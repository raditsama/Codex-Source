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ad8d7fd1bd4212" /></Relationships>
</file>

<file path=xl/workbook.xml><?xml version="1.0" encoding="utf-8"?>
<x:workbook xmlns:x="http://schemas.openxmlformats.org/spreadsheetml/2006/main">
  <x:sheets>
    <x:sheet xmlns:r="http://schemas.openxmlformats.org/officeDocument/2006/relationships" name="Summary Report" sheetId="1" r:id="R8fa67936a30c475f"/>
    <x:sheet xmlns:r="http://schemas.openxmlformats.org/officeDocument/2006/relationships" name="Instructions" sheetId="2" r:id="Reed273b0fd2f470b"/>
    <x:sheet xmlns:r="http://schemas.openxmlformats.org/officeDocument/2006/relationships" name="Configuration" sheetId="3" r:id="R1eca524c5cea46e8"/>
    <x:sheet xmlns:r="http://schemas.openxmlformats.org/officeDocument/2006/relationships" name="Decommissioning Raw" sheetId="4" r:id="Rc020fbbaef6a4486"/>
    <x:sheet xmlns:r="http://schemas.openxmlformats.org/officeDocument/2006/relationships" name="Provisioning Raw" sheetId="5" r:id="R374399fa702a4199"/>
    <x:sheet xmlns:r="http://schemas.openxmlformats.org/officeDocument/2006/relationships" name="Decommissioning Previous" sheetId="6" r:id="R3ac8ae1d64864e17"/>
    <x:sheet xmlns:r="http://schemas.openxmlformats.org/officeDocument/2006/relationships" name="Provisioning Previous" sheetId="7" r:id="R70176c0682a74a8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 mmm yyyy"/>
    <x:numFmt numFmtId="201" formatCode="0"/>
    <x:numFmt numFmtId="202" formatCode="#,##0"/>
    <x:numFmt numFmtId="203" formatCode="0.0%"/>
  </x:numFmts>
  <x:fonts count="6">
    <x:font>
      <x:sz val="11"/>
      <x:color theme="1"/>
      <x:name val="Aptos Narrow"/>
    </x:font>
    <x:font>
      <x:b/>
      <x:sz val="11"/>
      <x:color rgb="FFFFFFFF"/>
      <x:name val="Aptos Narrow"/>
    </x:font>
    <x:font>
      <x:b/>
      <x:sz val="11"/>
      <x:color rgb="FF7F6000"/>
      <x:name val="Aptos Narrow"/>
    </x:font>
    <x:font>
      <x:i/>
      <x:sz val="11"/>
      <x:color rgb="FF595959"/>
      <x:name val="Aptos Narrow"/>
    </x:font>
    <x:font>
      <x:i/>
      <x:sz val="11"/>
      <x:color rgb="FF7F6000"/>
      <x:name val="Aptos Narrow"/>
    </x:font>
    <x:font>
      <x:b/>
      <x:sz val="11"/>
      <x:color theme="1"/>
      <x:name val="Aptos Narrow"/>
    </x:font>
  </x:fonts>
  <x:fills count="14">
    <x:fill>
      <x:patternFill patternType="none"/>
    </x:fill>
    <x:fill>
      <x:patternFill patternType="gray125"/>
    </x:fill>
    <x:fill>
      <x:patternFill patternType="solid">
        <x:fgColor theme="0" tint="-0.24998"/>
      </x:patternFill>
    </x:fill>
    <x:fill>
      <x:patternFill patternType="solid">
        <x:fgColor theme="0" tint="-0.15"/>
      </x:patternFill>
    </x:fill>
    <x:fill>
      <x:patternFill patternType="solid">
        <x:fgColor theme="5" tint="0.79998"/>
      </x:patternFill>
    </x:fill>
    <x:fill>
      <x:patternFill patternType="solid">
        <x:fgColor rgb="FF595959"/>
      </x:patternFill>
    </x:fill>
    <x:fill>
      <x:patternFill patternType="solid">
        <x:fgColor rgb="FFFFF2CC"/>
      </x:patternFill>
    </x:fill>
    <x:fill>
      <x:patternFill patternType="solid">
        <x:fgColor rgb="FFE7E6E6"/>
      </x:patternFill>
    </x:fill>
    <x:fill>
      <x:patternFill patternType="solid">
        <x:fgColor rgb="FF7F8C8D"/>
      </x:patternFill>
    </x:fill>
    <x:fill>
      <x:patternFill patternType="solid">
        <x:fgColor rgb="FFE2F0D9"/>
      </x:patternFill>
    </x:fill>
    <x:fill>
      <x:patternFill patternType="solid">
        <x:fgColor rgb="FFD9EAD3"/>
      </x:patternFill>
    </x:fill>
    <x:fill>
      <x:patternFill patternType="solid">
        <x:fgColor rgb="FFBFBFBF"/>
      </x:patternFill>
    </x:fill>
    <x:fill>
      <x:patternFill patternType="solid">
        <x:fgColor rgb="FFFCE4D6"/>
      </x:patternFill>
    </x:fill>
    <x:fill>
      <x:patternFill patternType="solid">
        <x:fgColor rgb="FFF2F2F2"/>
      </x:patternFill>
    </x:fill>
  </x:fills>
  <x:borders count="15">
    <x:border/>
    <x:border>
      <x:left style="thin">
        <x:color auto="1"/>
      </x:left>
      <x:right style="thin">
        <x:color auto="1"/>
      </x:right>
      <x:top style="thin">
        <x:color auto="1"/>
      </x:top>
      <x:bottom style="thin">
        <x:color auto="1"/>
      </x:bottom>
    </x:border>
    <x:border>
      <x:right style="thin">
        <x:color auto="1"/>
      </x:right>
      <x:bottom style="thin">
        <x:color auto="1"/>
      </x:bottom>
    </x:border>
    <x:border>
      <x:left style="thin">
        <x:color auto="1"/>
      </x:left>
      <x:top style="thin">
        <x:color auto="1"/>
      </x:top>
      <x:bottom style="thin">
        <x:color auto="1"/>
      </x:bottom>
    </x:border>
    <x:border>
      <x:right style="thin">
        <x:color auto="1"/>
      </x:right>
      <x:top style="thin">
        <x:color auto="1"/>
      </x:top>
      <x:bottom style="thin">
        <x:color auto="1"/>
      </x:bottom>
    </x:border>
    <x:border>
      <x:left style="thin">
        <x:color rgb="FFBFBFBF"/>
      </x:left>
      <x:right style="thin">
        <x:color rgb="FFBFBFBF"/>
      </x:right>
      <x:top style="thin">
        <x:color rgb="FFBFBFBF"/>
      </x:top>
      <x:bottom style="thin">
        <x:color rgb="FFBFBFBF"/>
      </x:bottom>
    </x:border>
    <x:border>
      <x:left style="thin">
        <x:color rgb="FF595959"/>
      </x:left>
      <x:right style="thin">
        <x:color rgb="FF595959"/>
      </x:right>
      <x:top style="thin">
        <x:color rgb="FF595959"/>
      </x:top>
      <x:bottom style="thin">
        <x:color rgb="FF595959"/>
      </x:bottom>
    </x:border>
    <x:border>
      <x:left style="thin">
        <x:color rgb="FFB7A35A"/>
      </x:left>
      <x:top style="thin">
        <x:color rgb="FFB7A35A"/>
      </x:top>
    </x:border>
    <x:border>
      <x:top style="thin">
        <x:color rgb="FFB7A35A"/>
      </x:top>
    </x:border>
    <x:border>
      <x:right style="thin">
        <x:color rgb="FFB7A35A"/>
      </x:right>
      <x:top style="thin">
        <x:color rgb="FFB7A35A"/>
      </x:top>
    </x:border>
    <x:border>
      <x:left style="thin">
        <x:color rgb="FFB7A35A"/>
      </x:left>
    </x:border>
    <x:border>
      <x:right style="thin">
        <x:color rgb="FFB7A35A"/>
      </x:right>
    </x:border>
    <x:border>
      <x:left style="thin">
        <x:color rgb="FFB7A35A"/>
      </x:left>
      <x:bottom style="thin">
        <x:color rgb="FFB7A35A"/>
      </x:bottom>
    </x:border>
    <x:border>
      <x:bottom style="thin">
        <x:color rgb="FFB7A35A"/>
      </x:bottom>
    </x:border>
    <x:border>
      <x:right style="thin">
        <x:color rgb="FFB7A35A"/>
      </x:right>
      <x:bottom style="thin">
        <x:color rgb="FFB7A35A"/>
      </x:bottom>
    </x:border>
  </x:borders>
  <x:cellStyleXfs count="1">
    <x:xf numFmtId="0" fontId="0" fillId="0" borderId="0"/>
  </x:cellStyleXfs>
  <x:cellXfs count="84">
    <x:xf numFmtId="0" fontId="0" fillId="0" borderId="0" xfId="0"/>
    <x:xf numFmtId="0" fontId="0" fillId="0" borderId="1" xfId="0" applyBorder="1"/>
    <x:xf numFmtId="0" fontId="0" fillId="0" borderId="2" xfId="0" applyBorder="1"/>
    <x:xf numFmtId="0" fontId="0" fillId="2" borderId="3" xfId="0" applyFill="1" applyBorder="1" applyAlignment="1">
      <x:alignment horizontal="center"/>
    </x:xf>
    <x:xf numFmtId="0" fontId="0" fillId="2" borderId="4" xfId="0" applyFill="1" applyBorder="1" applyAlignment="1">
      <x:alignment horizontal="center"/>
    </x:xf>
    <x:xf numFmtId="0" fontId="0" fillId="3" borderId="1" xfId="0" applyFill="1" applyBorder="1"/>
    <x:xf numFmtId="0" fontId="0" fillId="4" borderId="1" xfId="0" applyFill="1" applyBorder="1"/>
    <x:xf numFmtId="200" fontId="0" fillId="0" borderId="0" xfId="0" applyNumberFormat="1" applyFont="1" applyFill="1" applyBorder="1"/>
    <x:xf numFmtId="201"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200" fontId="0" fillId="9" borderId="0" xfId="0" applyNumberFormat="1" applyFont="1" applyFill="1" applyBorder="1"/>
    <x:xf numFmtId="201" fontId="0" fillId="9" borderId="0" xfId="0" applyNumberFormat="1" applyFont="1" applyFill="1" applyBorder="1"/>
    <x:xf numFmtId="0" fontId="0" fillId="9"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1" fillId="8" borderId="5" xfId="0" applyNumberFormat="1" applyFont="1" applyFill="1" applyBorder="1"/>
    <x:xf numFmtId="0" fontId="0" fillId="0" borderId="5" xfId="0" applyNumberFormat="1" applyFont="1" applyFill="1" applyBorder="1"/>
    <x:xf numFmtId="200" fontId="0" fillId="0" borderId="5" xfId="0" applyNumberFormat="1" applyFont="1" applyFill="1" applyBorder="1"/>
    <x:xf numFmtId="0" fontId="1" fillId="8" borderId="5" xfId="0" applyNumberFormat="1" applyFont="1" applyFill="1" applyBorder="1" applyAlignment="1">
      <x:alignment wrapText="1"/>
    </x:xf>
    <x:xf numFmtId="0" fontId="0" fillId="0" borderId="5" xfId="0" applyNumberFormat="1" applyFont="1" applyFill="1" applyBorder="1" applyAlignment="1">
      <x:alignment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horizontal="center"/>
    </x:xf>
    <x:xf numFmtId="0" fontId="5" fillId="10" borderId="5" xfId="0" applyNumberFormat="1" applyFont="1" applyFill="1" applyBorder="1" applyAlignment="1">
      <x:alignment horizontal="center"/>
    </x:xf>
    <x:xf numFmtId="0" fontId="0" fillId="7" borderId="5" xfId="0" applyNumberFormat="1" applyFont="1" applyFill="1" applyBorder="1"/>
    <x:xf numFmtId="0" fontId="5" fillId="7" borderId="5" xfId="0" applyNumberFormat="1" applyFont="1" applyFill="1" applyBorder="1"/>
    <x:xf numFmtId="0" fontId="5" fillId="10" borderId="5"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5" fillId="7" borderId="5" xfId="0" applyNumberFormat="1" applyFont="1" applyFill="1" applyBorder="1" applyAlignment="1">
      <x:alignment wrapText="1"/>
    </x:xf>
    <x:xf numFmtId="0" fontId="0" fillId="0" borderId="6" xfId="0" applyNumberFormat="1" applyFont="1" applyFill="1" applyBorder="1"/>
    <x:xf numFmtId="0" fontId="0" fillId="11" borderId="6" xfId="0" applyNumberFormat="1" applyFont="1" applyFill="1" applyBorder="1"/>
    <x:xf numFmtId="0" fontId="5" fillId="11" borderId="6" xfId="0" applyNumberFormat="1" applyFont="1" applyFill="1" applyBorder="1"/>
    <x:xf numFmtId="0" fontId="5" fillId="11" borderId="6" xfId="0" applyNumberFormat="1" applyFont="1" applyFill="1" applyBorder="1" applyAlignment="1">
      <x:alignment horizontal="center"/>
    </x:xf>
    <x:xf numFmtId="0" fontId="0" fillId="12" borderId="6" xfId="0" applyNumberFormat="1" applyFont="1" applyFill="1" applyBorder="1"/>
    <x:xf numFmtId="0" fontId="5" fillId="12" borderId="6" xfId="0" applyNumberFormat="1" applyFont="1" applyFill="1" applyBorder="1"/>
    <x:xf numFmtId="0" fontId="0" fillId="7" borderId="6" xfId="0" applyNumberFormat="1" applyFont="1" applyFill="1" applyBorder="1"/>
    <x:xf numFmtId="0" fontId="5" fillId="7" borderId="6" xfId="0" applyNumberFormat="1" applyFont="1" applyFill="1" applyBorder="1"/>
    <x:xf numFmtId="0" fontId="5" fillId="7" borderId="6" xfId="0" applyNumberFormat="1" applyFont="1" applyFill="1" applyBorder="1" applyAlignment="1">
      <x:alignment horizontal="center"/>
    </x:xf>
    <x:xf numFmtId="0" fontId="0" fillId="0" borderId="6" xfId="0" applyNumberFormat="1" applyFont="1" applyFill="1" applyBorder="1" applyAlignment="1">
      <x:alignment horizontal="center"/>
    </x:xf>
    <x:xf numFmtId="0" fontId="5" fillId="12" borderId="6" xfId="0" applyNumberFormat="1" applyFont="1" applyFill="1" applyBorder="1" applyAlignment="1">
      <x:alignment horizontal="center"/>
    </x:xf>
    <x:xf numFmtId="202" fontId="0" fillId="0" borderId="6" xfId="0" applyNumberFormat="1" applyFont="1" applyFill="1" applyBorder="1" applyAlignment="1">
      <x:alignment horizontal="center"/>
    </x:xf>
    <x:xf numFmtId="202" fontId="5" fillId="12" borderId="6" xfId="0" applyNumberFormat="1" applyFont="1" applyFill="1" applyBorder="1" applyAlignment="1">
      <x:alignment horizontal="center"/>
    </x:xf>
    <x:xf numFmtId="0" fontId="0" fillId="8" borderId="6" xfId="0" applyNumberFormat="1" applyFont="1" applyFill="1" applyBorder="1"/>
    <x:xf numFmtId="0" fontId="1" fillId="8" borderId="6" xfId="0" applyNumberFormat="1" applyFont="1" applyFill="1" applyBorder="1"/>
    <x:xf numFmtId="0" fontId="1" fillId="8" borderId="6" xfId="0" applyNumberFormat="1" applyFont="1" applyFill="1" applyBorder="1" applyAlignment="1">
      <x:alignment horizontal="center"/>
    </x:xf>
    <x:xf numFmtId="203" fontId="0" fillId="0" borderId="6" xfId="0" applyNumberFormat="1" applyFont="1" applyFill="1" applyBorder="1" applyAlignment="1">
      <x:alignment horizontal="center"/>
    </x:xf>
    <x:xf numFmtId="203" fontId="5" fillId="12" borderId="6" xfId="0" applyNumberFormat="1" applyFont="1" applyFill="1" applyBorder="1" applyAlignment="1">
      <x:alignment horizontal="center"/>
    </x:xf>
    <x:xf numFmtId="0" fontId="0" fillId="13" borderId="6" xfId="0" applyNumberFormat="1" applyFont="1" applyFill="1" applyBorder="1"/>
    <x:xf numFmtId="0" fontId="5" fillId="0" borderId="6" xfId="0" applyNumberFormat="1" applyFont="1" applyFill="1" applyBorder="1"/>
    <x:xf numFmtId="202" fontId="5" fillId="0" borderId="6" xfId="0" applyNumberFormat="1" applyFont="1" applyFill="1" applyBorder="1"/>
    <x:xf numFmtId="202" fontId="5" fillId="0" borderId="6" xfId="0" applyNumberFormat="1" applyFont="1" applyFill="1" applyBorder="1" applyAlignment="1">
      <x:alignment horizontal="center"/>
    </x:xf>
    <x:xf numFmtId="203" fontId="5" fillId="0" borderId="6" xfId="0" applyNumberFormat="1" applyFont="1" applyFill="1" applyBorder="1" applyAlignment="1">
      <x:alignment horizontal="center"/>
    </x:xf>
    <x:xf numFmtId="0" fontId="3" fillId="6" borderId="0" xfId="0" applyNumberFormat="1" applyFont="1" applyFill="1" applyBorder="1"/>
    <x:xf numFmtId="0" fontId="3" fillId="6" borderId="7" xfId="0" applyNumberFormat="1" applyFont="1" applyFill="1" applyBorder="1"/>
    <x:xf numFmtId="0" fontId="3" fillId="6" borderId="8" xfId="0" applyNumberFormat="1" applyFont="1" applyFill="1" applyBorder="1"/>
    <x:xf numFmtId="0" fontId="3" fillId="6" borderId="9" xfId="0" applyNumberFormat="1" applyFont="1" applyFill="1" applyBorder="1"/>
    <x:xf numFmtId="0" fontId="3" fillId="6" borderId="10" xfId="0" applyNumberFormat="1" applyFont="1" applyFill="1" applyBorder="1"/>
    <x:xf numFmtId="0" fontId="3" fillId="6" borderId="11" xfId="0" applyNumberFormat="1" applyFont="1" applyFill="1" applyBorder="1"/>
    <x:xf numFmtId="0" fontId="3" fillId="6" borderId="12" xfId="0" applyNumberFormat="1" applyFont="1" applyFill="1" applyBorder="1"/>
    <x:xf numFmtId="0" fontId="3" fillId="6" borderId="13" xfId="0" applyNumberFormat="1" applyFont="1" applyFill="1" applyBorder="1"/>
    <x:xf numFmtId="0" fontId="3" fillId="6" borderId="14" xfId="0" applyNumberFormat="1" applyFont="1" applyFill="1" applyBorder="1"/>
    <x:xf numFmtId="0" fontId="3" fillId="6" borderId="7" xfId="0" applyNumberFormat="1" applyFont="1" applyFill="1" applyBorder="1" applyAlignment="1">
      <x:alignment wrapText="1"/>
    </x:xf>
    <x:xf numFmtId="0" fontId="3" fillId="6" borderId="8" xfId="0" applyNumberFormat="1" applyFont="1" applyFill="1" applyBorder="1" applyAlignment="1">
      <x:alignment wrapText="1"/>
    </x:xf>
    <x:xf numFmtId="0" fontId="3" fillId="6" borderId="9" xfId="0" applyNumberFormat="1" applyFont="1" applyFill="1" applyBorder="1" applyAlignment="1">
      <x:alignment wrapText="1"/>
    </x:xf>
    <x:xf numFmtId="0" fontId="3" fillId="6" borderId="10" xfId="0" applyNumberFormat="1" applyFont="1" applyFill="1" applyBorder="1" applyAlignment="1">
      <x:alignment wrapText="1"/>
    </x:xf>
    <x:xf numFmtId="0" fontId="3" fillId="6" borderId="0" xfId="0" applyNumberFormat="1" applyFont="1" applyFill="1" applyBorder="1" applyAlignment="1">
      <x:alignment wrapText="1"/>
    </x:xf>
    <x:xf numFmtId="0" fontId="3" fillId="6" borderId="11" xfId="0" applyNumberFormat="1" applyFont="1" applyFill="1" applyBorder="1" applyAlignment="1">
      <x:alignment wrapText="1"/>
    </x:xf>
    <x:xf numFmtId="0" fontId="3" fillId="6" borderId="12" xfId="0" applyNumberFormat="1" applyFont="1" applyFill="1" applyBorder="1" applyAlignment="1">
      <x:alignment wrapText="1"/>
    </x:xf>
    <x:xf numFmtId="0" fontId="3" fillId="6" borderId="13" xfId="0" applyNumberFormat="1" applyFont="1" applyFill="1" applyBorder="1" applyAlignment="1">
      <x:alignment wrapText="1"/>
    </x:xf>
    <x:xf numFmtId="0" fontId="3" fillId="6" borderId="14" xfId="0" applyNumberFormat="1" applyFont="1" applyFill="1" applyBorder="1" applyAlignment="1">
      <x:alignment wrapText="1"/>
    </x:xf>
    <x:xf numFmtId="0" fontId="3" fillId="7" borderId="0" xfId="0" applyNumberFormat="1" applyFont="1" applyFill="1" applyBorder="1" applyAlignment="1">
      <x:alignment horizontal="center"/>
    </x:xf>
  </x:cellXfs>
  <x:cellStyles count="1">
    <x:cellStyle name="Normal" xfId="0"/>
  </x:cellStyles>
  <x:dxfs count="12">
    <x:dxf>
      <x:font>
        <x:b/>
        <x:color rgb="FF9C0006"/>
      </x:font>
      <x:fill>
        <x:patternFill patternType="solid">
          <x:bgColor rgb="FFF4CCCC"/>
        </x:patternFill>
      </x:fill>
    </x:dxf>
    <x:dxf>
      <x:font>
        <x:color rgb="FF9C5700"/>
      </x:font>
      <x:fill>
        <x:patternFill patternType="solid">
          <x:bgColor rgb="FFFCE5CD"/>
        </x:patternFill>
      </x:fill>
    </x:dxf>
    <x:dxf>
      <x:font>
        <x:color rgb="FF7F6000"/>
      </x:font>
      <x:fill>
        <x:patternFill patternType="solid">
          <x:bgColor rgb="FFFFF2CC"/>
        </x:patternFill>
      </x:fill>
    </x:dxf>
    <x:dxf>
      <x:font>
        <x:b/>
        <x:color rgb="FF9C0006"/>
      </x:font>
      <x:fill>
        <x:patternFill patternType="solid">
          <x:bgColor rgb="FFF4CCCC"/>
        </x:patternFill>
      </x:fill>
    </x:dxf>
    <x:dxf>
      <x:font>
        <x:color rgb="FF9C5700"/>
      </x:font>
      <x:fill>
        <x:patternFill patternType="solid">
          <x:bgColor rgb="FFFCE5CD"/>
        </x:patternFill>
      </x:fill>
    </x:dxf>
    <x:dxf>
      <x:font>
        <x:color rgb="FF7F6000"/>
      </x:font>
      <x:fill>
        <x:patternFill patternType="solid">
          <x:bgColor rgb="FFFFF2CC"/>
        </x:patternFill>
      </x:fill>
    </x:dxf>
    <x:dxf>
      <x:font>
        <x:b/>
        <x:color rgb="FF9C0006"/>
      </x:font>
      <x:fill>
        <x:patternFill patternType="solid">
          <x:bgColor rgb="FFF4CCCC"/>
        </x:patternFill>
      </x:fill>
    </x:dxf>
    <x:dxf>
      <x:font>
        <x:color rgb="FF9C5700"/>
      </x:font>
      <x:fill>
        <x:patternFill patternType="solid">
          <x:bgColor rgb="FFFCE5CD"/>
        </x:patternFill>
      </x:fill>
    </x:dxf>
    <x:dxf>
      <x:font>
        <x:color rgb="FF7F6000"/>
      </x:font>
      <x:fill>
        <x:patternFill patternType="solid">
          <x:bgColor rgb="FFFFF2CC"/>
        </x:patternFill>
      </x:fill>
    </x:dxf>
    <x:dxf>
      <x:font>
        <x:b/>
        <x:color rgb="FF9C0006"/>
      </x:font>
      <x:fill>
        <x:patternFill patternType="solid">
          <x:bgColor rgb="FFF4CCCC"/>
        </x:patternFill>
      </x:fill>
    </x:dxf>
    <x:dxf>
      <x:font>
        <x:color rgb="FF9C5700"/>
      </x:font>
      <x:fill>
        <x:patternFill patternType="solid">
          <x:bgColor rgb="FFFCE5CD"/>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cfa2c2f6eb49aa" /><Relationship Type="http://schemas.openxmlformats.org/officeDocument/2006/relationships/theme" Target="/xl/theme/theme1.xml" Id="R73142c49a1324da4" /><Relationship Type="http://schemas.openxmlformats.org/officeDocument/2006/relationships/sharedStrings" Target="/xl/sharedStrings.xml" Id="Rac1f1f66e56b4ed0" /><Relationship Type="http://schemas.openxmlformats.org/officeDocument/2006/relationships/worksheet" Target="/xl/worksheets/sheet1.xml" Id="R8fa67936a30c475f" /><Relationship Type="http://schemas.openxmlformats.org/officeDocument/2006/relationships/worksheet" Target="/xl/worksheets/sheet2.xml" Id="Reed273b0fd2f470b" /><Relationship Type="http://schemas.openxmlformats.org/officeDocument/2006/relationships/worksheet" Target="/xl/worksheets/sheet3.xml" Id="R1eca524c5cea46e8" /><Relationship Type="http://schemas.openxmlformats.org/officeDocument/2006/relationships/worksheet" Target="/xl/worksheets/sheet4.xml" Id="Rc020fbbaef6a4486" /><Relationship Type="http://schemas.openxmlformats.org/officeDocument/2006/relationships/worksheet" Target="/xl/worksheets/sheet5.xml" Id="R374399fa702a4199" /><Relationship Type="http://schemas.openxmlformats.org/officeDocument/2006/relationships/worksheet" Target="/xl/worksheets/sheet6.xml" Id="R3ac8ae1d64864e17" /><Relationship Type="http://schemas.openxmlformats.org/officeDocument/2006/relationships/worksheet" Target="/xl/worksheets/sheet7.xml" Id="R70176c0682a74a83" /></Relationships>
</file>

<file path=xl/tables/table1.xml><?xml version="1.0" encoding="utf-8"?>
<x:table xmlns:x="http://schemas.openxmlformats.org/spreadsheetml/2006/main" id="1" name="DecommissioningCurrentInput" displayName="DecommissioningCurrentInput" ref="A4:AS372" headerRowCount="1" totalsRowCount="0" totalsRowShown="0">
  <x:autoFilter ref="A4:AS372"/>
  <x:tableColumns count="45">
    <x:tableColumn id="1" name="id"/>
    <x:tableColumn id="2" name="request_number"/>
    <x:tableColumn id="3" name="requestor_id"/>
    <x:tableColumn id="4" name="request_type"/>
    <x:tableColumn id="5" name="request_status"/>
    <x:tableColumn id="6" name="date_created"/>
    <x:tableColumn id="7" name="date_updated"/>
    <x:tableColumn id="8" name="date_submitted"/>
    <x:tableColumn id="9" name="application_name"/>
    <x:tableColumn id="10" name="project_name"/>
    <x:tableColumn id="11" name="decommission_type"/>
    <x:tableColumn id="12" name="powerapps_id"/>
    <x:tableColumn id="13" name="manager_email"/>
    <x:tableColumn id="14" name="dns_records"/>
    <x:tableColumn id="15" name="app_centre_ref"/>
    <x:tableColumn id="16" name="justification"/>
    <x:tableColumn id="17" name="backup"/>
    <x:tableColumn id="18" name="reason"/>
    <x:tableColumn id="19" name="origin"/>
    <x:tableColumn id="20" name="gate_1_status"/>
    <x:tableColumn id="21" name="gate_1_id"/>
    <x:tableColumn id="22" name="gate_1_date"/>
    <x:tableColumn id="23" name="gate_1_comments"/>
    <x:tableColumn id="24" name="gate_2_status"/>
    <x:tableColumn id="25" name="gate_2_id"/>
    <x:tableColumn id="26" name="gate_2_date"/>
    <x:tableColumn id="27" name="gate_2_comments"/>
    <x:tableColumn id="28" name="gate_3_status"/>
    <x:tableColumn id="29" name="gate_3_id"/>
    <x:tableColumn id="30" name="gate_3_date"/>
    <x:tableColumn id="31" name="gate_3_comments"/>
    <x:tableColumn id="32" name="gate_4_status"/>
    <x:tableColumn id="33" name="gate_4_id"/>
    <x:tableColumn id="34" name="gate_4_date"/>
    <x:tableColumn id="35" name="gate_4_comments"/>
    <x:tableColumn id="36" name="application_id"/>
    <x:tableColumn id="37" name="project_code"/>
    <x:tableColumn id="38" name="request_size"/>
    <x:tableColumn id="39" name="sr_number"/>
    <x:tableColumn id="40" name="data_retention"/>
    <x:tableColumn id="41" name="data_retention_duration"/>
    <x:tableColumn id="42" name="aging_start_date"/>
    <x:tableColumn id="43" name="aging_days"/>
    <x:tableColumn id="44" name="aging_bucket"/>
    <x:tableColumn id="45" name="tracking_flag"/>
  </x:tableColumns>
  <x:tableStyleInfo name="TableStyleMedium2" showFirstColumn="0" showLastColumn="0" showRowStripes="1" showColumnStripes="0"/>
</x:table>
</file>

<file path=xl/tables/table2.xml><?xml version="1.0" encoding="utf-8"?>
<x:table xmlns:x="http://schemas.openxmlformats.org/spreadsheetml/2006/main" id="2" name="ProvisioningCurrentInput" displayName="ProvisioningCurrentInput" ref="A4:AP265" headerRowCount="1" totalsRowCount="0" totalsRowShown="0">
  <x:autoFilter ref="A4:AP265"/>
  <x:tableColumns count="42">
    <x:tableColumn id="1" name="id"/>
    <x:tableColumn id="2" name="request_number"/>
    <x:tableColumn id="3" name="requestor_id"/>
    <x:tableColumn id="4" name="request_type"/>
    <x:tableColumn id="5" name="request_status"/>
    <x:tableColumn id="6" name="date_created"/>
    <x:tableColumn id="7" name="date_submitted"/>
    <x:tableColumn id="8" name="date_updated"/>
    <x:tableColumn id="9" name="application_id"/>
    <x:tableColumn id="10" name="application_name"/>
    <x:tableColumn id="11" name="project_code"/>
    <x:tableColumn id="12" name="project_name"/>
    <x:tableColumn id="13" name="manager_email"/>
    <x:tableColumn id="14" name="devops_project"/>
    <x:tableColumn id="15" name="request_category"/>
    <x:tableColumn id="16" name="environment"/>
    <x:tableColumn id="17" name="remarks"/>
    <x:tableColumn id="18" name="request_size"/>
    <x:tableColumn id="19" name="rfc_number"/>
    <x:tableColumn id="20" name="origin"/>
    <x:tableColumn id="21" name="gate_1_comments"/>
    <x:tableColumn id="22" name="gate_1_date"/>
    <x:tableColumn id="23" name="gate_1_id"/>
    <x:tableColumn id="24" name="gate_1_status"/>
    <x:tableColumn id="25" name="gate_2_comments"/>
    <x:tableColumn id="26" name="gate_2_date"/>
    <x:tableColumn id="27" name="gate_2_id"/>
    <x:tableColumn id="28" name="gate_2_status"/>
    <x:tableColumn id="29" name="gate_3_comments"/>
    <x:tableColumn id="30" name="gate_3_date"/>
    <x:tableColumn id="31" name="gate_3_id"/>
    <x:tableColumn id="32" name="gate_3_status"/>
    <x:tableColumn id="33" name="gate_4_comments"/>
    <x:tableColumn id="34" name="gate_4_date"/>
    <x:tableColumn id="35" name="gate_4_id"/>
    <x:tableColumn id="36" name="gate_4_status"/>
    <x:tableColumn id="37" name="sr_number"/>
    <x:tableColumn id="38" name="project_id"/>
    <x:tableColumn id="39" name="aging_start_date"/>
    <x:tableColumn id="40" name="aging_days"/>
    <x:tableColumn id="41" name="aging_bucket"/>
    <x:tableColumn id="42" name="tracking_flag"/>
  </x:tableColumns>
  <x:tableStyleInfo name="TableStyleMedium2" showFirstColumn="0" showLastColumn="0" showRowStripes="1" showColumnStripes="0"/>
</x:table>
</file>

<file path=xl/tables/table3.xml><?xml version="1.0" encoding="utf-8"?>
<x:table xmlns:x="http://schemas.openxmlformats.org/spreadsheetml/2006/main" id="3" name="DecommissioningPreviousInput" displayName="DecommissioningPreviousInput" ref="A4:AS372" headerRowCount="1" totalsRowCount="0" totalsRowShown="0">
  <x:autoFilter ref="A4:AS372"/>
  <x:tableColumns count="45">
    <x:tableColumn id="1" name="id"/>
    <x:tableColumn id="2" name="request_number"/>
    <x:tableColumn id="3" name="requestor_id"/>
    <x:tableColumn id="4" name="request_type"/>
    <x:tableColumn id="5" name="request_status"/>
    <x:tableColumn id="6" name="date_created"/>
    <x:tableColumn id="7" name="date_updated"/>
    <x:tableColumn id="8" name="date_submitted"/>
    <x:tableColumn id="9" name="application_name"/>
    <x:tableColumn id="10" name="project_name"/>
    <x:tableColumn id="11" name="decommission_type"/>
    <x:tableColumn id="12" name="powerapps_id"/>
    <x:tableColumn id="13" name="manager_email"/>
    <x:tableColumn id="14" name="dns_records"/>
    <x:tableColumn id="15" name="app_centre_ref"/>
    <x:tableColumn id="16" name="justification"/>
    <x:tableColumn id="17" name="backup"/>
    <x:tableColumn id="18" name="reason"/>
    <x:tableColumn id="19" name="origin"/>
    <x:tableColumn id="20" name="gate_1_status"/>
    <x:tableColumn id="21" name="gate_1_id"/>
    <x:tableColumn id="22" name="gate_1_date"/>
    <x:tableColumn id="23" name="gate_1_comments"/>
    <x:tableColumn id="24" name="gate_2_status"/>
    <x:tableColumn id="25" name="gate_2_id"/>
    <x:tableColumn id="26" name="gate_2_date"/>
    <x:tableColumn id="27" name="gate_2_comments"/>
    <x:tableColumn id="28" name="gate_3_status"/>
    <x:tableColumn id="29" name="gate_3_id"/>
    <x:tableColumn id="30" name="gate_3_date"/>
    <x:tableColumn id="31" name="gate_3_comments"/>
    <x:tableColumn id="32" name="gate_4_status"/>
    <x:tableColumn id="33" name="gate_4_id"/>
    <x:tableColumn id="34" name="gate_4_date"/>
    <x:tableColumn id="35" name="gate_4_comments"/>
    <x:tableColumn id="36" name="application_id"/>
    <x:tableColumn id="37" name="project_code"/>
    <x:tableColumn id="38" name="request_size"/>
    <x:tableColumn id="39" name="sr_number"/>
    <x:tableColumn id="40" name="data_retention"/>
    <x:tableColumn id="41" name="data_retention_duration"/>
    <x:tableColumn id="42" name="aging_start_date"/>
    <x:tableColumn id="43" name="aging_days"/>
    <x:tableColumn id="44" name="aging_bucket"/>
    <x:tableColumn id="45" name="tracking_flag"/>
  </x:tableColumns>
  <x:tableStyleInfo name="TableStyleMedium2" showFirstColumn="0" showLastColumn="0" showRowStripes="1" showColumnStripes="0"/>
</x:table>
</file>

<file path=xl/tables/table4.xml><?xml version="1.0" encoding="utf-8"?>
<x:table xmlns:x="http://schemas.openxmlformats.org/spreadsheetml/2006/main" id="4" name="ProvisioningPreviousInput" displayName="ProvisioningPreviousInput" ref="A4:AP265" headerRowCount="1" totalsRowCount="0" totalsRowShown="0">
  <x:autoFilter ref="A4:AP265"/>
  <x:tableColumns count="42">
    <x:tableColumn id="1" name="id"/>
    <x:tableColumn id="2" name="request_number"/>
    <x:tableColumn id="3" name="requestor_id"/>
    <x:tableColumn id="4" name="request_type"/>
    <x:tableColumn id="5" name="request_status"/>
    <x:tableColumn id="6" name="date_created"/>
    <x:tableColumn id="7" name="date_submitted"/>
    <x:tableColumn id="8" name="date_updated"/>
    <x:tableColumn id="9" name="application_id"/>
    <x:tableColumn id="10" name="application_name"/>
    <x:tableColumn id="11" name="project_code"/>
    <x:tableColumn id="12" name="project_name"/>
    <x:tableColumn id="13" name="manager_email"/>
    <x:tableColumn id="14" name="devops_project"/>
    <x:tableColumn id="15" name="request_category"/>
    <x:tableColumn id="16" name="environment"/>
    <x:tableColumn id="17" name="remarks"/>
    <x:tableColumn id="18" name="request_size"/>
    <x:tableColumn id="19" name="rfc_number"/>
    <x:tableColumn id="20" name="origin"/>
    <x:tableColumn id="21" name="gate_1_comments"/>
    <x:tableColumn id="22" name="gate_1_date"/>
    <x:tableColumn id="23" name="gate_1_id"/>
    <x:tableColumn id="24" name="gate_1_status"/>
    <x:tableColumn id="25" name="gate_2_comments"/>
    <x:tableColumn id="26" name="gate_2_date"/>
    <x:tableColumn id="27" name="gate_2_id"/>
    <x:tableColumn id="28" name="gate_2_status"/>
    <x:tableColumn id="29" name="gate_3_comments"/>
    <x:tableColumn id="30" name="gate_3_date"/>
    <x:tableColumn id="31" name="gate_3_id"/>
    <x:tableColumn id="32" name="gate_3_status"/>
    <x:tableColumn id="33" name="gate_4_comments"/>
    <x:tableColumn id="34" name="gate_4_date"/>
    <x:tableColumn id="35" name="gate_4_id"/>
    <x:tableColumn id="36" name="gate_4_status"/>
    <x:tableColumn id="37" name="sr_number"/>
    <x:tableColumn id="38" name="project_id"/>
    <x:tableColumn id="39" name="aging_start_date"/>
    <x:tableColumn id="40" name="aging_days"/>
    <x:tableColumn id="41" name="aging_bucket"/>
    <x:tableColumn id="42" name="tracking_fla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1753e2b905dc448d" /></Relationships>
</file>

<file path=xl/worksheets/_rels/sheet5.xml.rels>&#65279;<?xml version="1.0" encoding="utf-8"?><Relationships xmlns="http://schemas.openxmlformats.org/package/2006/relationships"><Relationship Type="http://schemas.openxmlformats.org/officeDocument/2006/relationships/table" Target="/xl/tables/table2.xml" Id="R7f7d4f1c9d274cdc" /></Relationships>
</file>

<file path=xl/worksheets/_rels/sheet6.xml.rels>&#65279;<?xml version="1.0" encoding="utf-8"?><Relationships xmlns="http://schemas.openxmlformats.org/package/2006/relationships"><Relationship Type="http://schemas.openxmlformats.org/officeDocument/2006/relationships/table" Target="/xl/tables/table3.xml" Id="Rbbac2fc117d1446e" /></Relationships>
</file>

<file path=xl/worksheets/_rels/sheet7.xml.rels>&#65279;<?xml version="1.0" encoding="utf-8"?><Relationships xmlns="http://schemas.openxmlformats.org/package/2006/relationships"><Relationship Type="http://schemas.openxmlformats.org/officeDocument/2006/relationships/table" Target="/xl/tables/table4.xml" Id="Rea9abb71113645a0" /></Relationships>
</file>

<file path=xl/worksheets/sheet1.xml><?xml version="1.0" encoding="utf-8"?>
<x:worksheet xmlns:x="http://schemas.openxmlformats.org/spreadsheetml/2006/main">
  <x:sheetViews>
    <x:sheetView showGridLines="0" workbookViewId="0"/>
  </x:sheetViews>
  <x:sheetFormatPr defaultRowHeight="15"/>
  <x:cols>
    <x:col min="2" max="2" width="38" hidden="0" customWidth="1"/>
    <x:col min="3" max="3" width="17" hidden="0" customWidth="1"/>
    <x:col min="4" max="4" width="17" hidden="0" customWidth="1"/>
    <x:col min="5" max="5" width="17" hidden="0" customWidth="1"/>
    <x:col min="6" max="6" width="17" hidden="0" customWidth="1"/>
  </x:cols>
  <x:sheetData>
    <x:row r="1">
      <x:c r="B1" s="11" t="str">
        <x:v>REUSABLE CLOUD INFRASTRUCTURE PROGRESS REPORT</x:v>
      </x:c>
      <x:c r="C1" s="11"/>
      <x:c r="D1" s="11"/>
      <x:c r="E1" s="11"/>
      <x:c r="F1" s="11"/>
    </x:row>
    <x:row r="2">
      <x:c r="B2" s="83" t="str">
        <x:f>"As of "&amp;TEXT('Configuration'!$B$4,"dd mmm yyyy")&amp;" | Current and previous-day inputs loaded"</x:f>
        <x:v>As of 17 Aug 2026 | Current and previous-day inputs loaded</x:v>
      </x:c>
      <x:c r="C2" s="83"/>
      <x:c r="D2" s="83"/>
      <x:c r="E2" s="83"/>
      <x:c r="F2" s="83"/>
    </x:row>
    <x:row r="3">
      <x:c r="B3"/>
      <x:c r="C3"/>
      <x:c r="D3"/>
      <x:c r="E3"/>
      <x:c r="F3"/>
    </x:row>
    <x:row r="4">
      <x:c r="B4" s="42"/>
      <x:c r="C4" s="45" t="str">
        <x:v>Decommissioning</x:v>
      </x:c>
      <x:c r="D4" s="45"/>
      <x:c r="E4" s="45" t="str">
        <x:v>Provisioning</x:v>
      </x:c>
      <x:c r="F4" s="45"/>
    </x:row>
    <x:row r="5">
      <x:c r="B5" s="47" t="str">
        <x:v>Aging Breakdown Pending ASSIGNMENT</x:v>
      </x:c>
      <x:c r="C5" s="50" t="str">
        <x:v>Previous Day</x:v>
      </x:c>
      <x:c r="D5" s="50" t="str">
        <x:v>Current</x:v>
      </x:c>
      <x:c r="E5" s="50" t="str">
        <x:v>Previous Day</x:v>
      </x:c>
      <x:c r="F5" s="50" t="str">
        <x:v>Current</x:v>
      </x:c>
    </x:row>
    <x:row r="6">
      <x:c r="B6" s="42" t="str">
        <x:v>71+ days</x:v>
      </x:c>
      <x:c r="C6" s="51" t="n">
        <x:f>COUNTIFS('Decommissioning Previous'!$E$5:$E$5004,"processing",'Decommissioning Previous'!$AR$5:$AR$5004,"71+ days")</x:f>
        <x:v>0</x:v>
      </x:c>
      <x:c r="D6" s="53" t="n">
        <x:f>COUNTIFS('Decommissioning Raw'!$E$5:$E$5004,"processing",'Decommissioning Raw'!$AR$5:$AR$5004,"71+ days")</x:f>
        <x:v>0</x:v>
      </x:c>
      <x:c r="E6" s="51" t="n">
        <x:f>COUNTIFS('Provisioning Previous'!$E$5:$E$5004,"processing",'Provisioning Previous'!$AO$5:$AO$5004,"71+ days")</x:f>
        <x:v>0</x:v>
      </x:c>
      <x:c r="F6" s="53" t="n">
        <x:f>COUNTIFS('Provisioning Raw'!$E$5:$E$5004,"processing",'Provisioning Raw'!$AO$5:$AO$5004,"71+ days")</x:f>
        <x:v>0</x:v>
      </x:c>
    </x:row>
    <x:row r="7">
      <x:c r="B7" s="42" t="str">
        <x:v>61-70 days</x:v>
      </x:c>
      <x:c r="C7" s="51" t="n">
        <x:f>COUNTIFS('Decommissioning Previous'!$E$5:$E$5004,"processing",'Decommissioning Previous'!$AR$5:$AR$5004,"61-70 days")</x:f>
        <x:v>1</x:v>
      </x:c>
      <x:c r="D7" s="53" t="n">
        <x:f>COUNTIFS('Decommissioning Raw'!$E$5:$E$5004,"processing",'Decommissioning Raw'!$AR$5:$AR$5004,"61-70 days")</x:f>
        <x:v>1</x:v>
      </x:c>
      <x:c r="E7" s="51" t="n">
        <x:f>COUNTIFS('Provisioning Previous'!$E$5:$E$5004,"processing",'Provisioning Previous'!$AO$5:$AO$5004,"61-70 days")</x:f>
        <x:v>0</x:v>
      </x:c>
      <x:c r="F7" s="53" t="n">
        <x:f>COUNTIFS('Provisioning Raw'!$E$5:$E$5004,"processing",'Provisioning Raw'!$AO$5:$AO$5004,"61-70 days")</x:f>
        <x:v>0</x:v>
      </x:c>
    </x:row>
    <x:row r="8">
      <x:c r="B8" s="42" t="str">
        <x:v>31-60 days</x:v>
      </x:c>
      <x:c r="C8" s="51" t="n">
        <x:f>COUNTIFS('Decommissioning Previous'!$E$5:$E$5004,"processing",'Decommissioning Previous'!$AR$5:$AR$5004,"31-60 days")</x:f>
        <x:v>4</x:v>
      </x:c>
      <x:c r="D8" s="53" t="n">
        <x:f>COUNTIFS('Decommissioning Raw'!$E$5:$E$5004,"processing",'Decommissioning Raw'!$AR$5:$AR$5004,"31-60 days")</x:f>
        <x:v>4</x:v>
      </x:c>
      <x:c r="E8" s="51" t="n">
        <x:f>COUNTIFS('Provisioning Previous'!$E$5:$E$5004,"processing",'Provisioning Previous'!$AO$5:$AO$5004,"31-60 days")</x:f>
        <x:v>0</x:v>
      </x:c>
      <x:c r="F8" s="53" t="n">
        <x:f>COUNTIFS('Provisioning Raw'!$E$5:$E$5004,"processing",'Provisioning Raw'!$AO$5:$AO$5004,"31-60 days")</x:f>
        <x:v>0</x:v>
      </x:c>
    </x:row>
    <x:row r="9">
      <x:c r="B9" s="42" t="str">
        <x:v>15-30 days</x:v>
      </x:c>
      <x:c r="C9" s="51" t="n">
        <x:f>COUNTIFS('Decommissioning Previous'!$E$5:$E$5004,"processing",'Decommissioning Previous'!$AR$5:$AR$5004,"15-30 days")</x:f>
        <x:v>1</x:v>
      </x:c>
      <x:c r="D9" s="53" t="n">
        <x:f>COUNTIFS('Decommissioning Raw'!$E$5:$E$5004,"processing",'Decommissioning Raw'!$AR$5:$AR$5004,"15-30 days")</x:f>
        <x:v>1</x:v>
      </x:c>
      <x:c r="E9" s="51" t="n">
        <x:f>COUNTIFS('Provisioning Previous'!$E$5:$E$5004,"processing",'Provisioning Previous'!$AO$5:$AO$5004,"15-30 days")</x:f>
        <x:v>0</x:v>
      </x:c>
      <x:c r="F9" s="53" t="n">
        <x:f>COUNTIFS('Provisioning Raw'!$E$5:$E$5004,"processing",'Provisioning Raw'!$AO$5:$AO$5004,"15-30 days")</x:f>
        <x:v>0</x:v>
      </x:c>
    </x:row>
    <x:row r="10">
      <x:c r="B10" s="42" t="str">
        <x:v>8-14 days</x:v>
      </x:c>
      <x:c r="C10" s="51" t="n">
        <x:f>COUNTIFS('Decommissioning Previous'!$E$5:$E$5004,"processing",'Decommissioning Previous'!$AR$5:$AR$5004,"8-14 days")</x:f>
        <x:v>1</x:v>
      </x:c>
      <x:c r="D10" s="53" t="n">
        <x:f>COUNTIFS('Decommissioning Raw'!$E$5:$E$5004,"processing",'Decommissioning Raw'!$AR$5:$AR$5004,"8-14 days")</x:f>
        <x:v>1</x:v>
      </x:c>
      <x:c r="E10" s="51" t="n">
        <x:f>COUNTIFS('Provisioning Previous'!$E$5:$E$5004,"processing",'Provisioning Previous'!$AO$5:$AO$5004,"8-14 days")</x:f>
        <x:v>0</x:v>
      </x:c>
      <x:c r="F10" s="53" t="n">
        <x:f>COUNTIFS('Provisioning Raw'!$E$5:$E$5004,"processing",'Provisioning Raw'!$AO$5:$AO$5004,"8-14 days")</x:f>
        <x:v>0</x:v>
      </x:c>
    </x:row>
    <x:row r="11">
      <x:c r="B11" s="42" t="str">
        <x:v>3-7 days</x:v>
      </x:c>
      <x:c r="C11" s="51" t="n">
        <x:f>COUNTIFS('Decommissioning Previous'!$E$5:$E$5004,"processing",'Decommissioning Previous'!$AR$5:$AR$5004,"3-7 days")</x:f>
        <x:v>3</x:v>
      </x:c>
      <x:c r="D11" s="53" t="n">
        <x:f>COUNTIFS('Decommissioning Raw'!$E$5:$E$5004,"processing",'Decommissioning Raw'!$AR$5:$AR$5004,"3-7 days")</x:f>
        <x:v>3</x:v>
      </x:c>
      <x:c r="E11" s="51" t="n">
        <x:f>COUNTIFS('Provisioning Previous'!$E$5:$E$5004,"processing",'Provisioning Previous'!$AO$5:$AO$5004,"3-7 days")</x:f>
        <x:v>0</x:v>
      </x:c>
      <x:c r="F11" s="53" t="n">
        <x:f>COUNTIFS('Provisioning Raw'!$E$5:$E$5004,"processing",'Provisioning Raw'!$AO$5:$AO$5004,"3-7 days")</x:f>
        <x:v>0</x:v>
      </x:c>
    </x:row>
    <x:row r="12">
      <x:c r="B12" s="42" t="str">
        <x:v>1-2 days</x:v>
      </x:c>
      <x:c r="C12" s="51" t="n">
        <x:f>COUNTIFS('Decommissioning Previous'!$E$5:$E$5004,"processing",'Decommissioning Previous'!$AR$5:$AR$5004,"1-2 days")</x:f>
        <x:v>0</x:v>
      </x:c>
      <x:c r="D12" s="53" t="n">
        <x:f>COUNTIFS('Decommissioning Raw'!$E$5:$E$5004,"processing",'Decommissioning Raw'!$AR$5:$AR$5004,"1-2 days")</x:f>
        <x:v>0</x:v>
      </x:c>
      <x:c r="E12" s="51" t="n">
        <x:f>COUNTIFS('Provisioning Previous'!$E$5:$E$5004,"processing",'Provisioning Previous'!$AO$5:$AO$5004,"1-2 days")</x:f>
        <x:v>0</x:v>
      </x:c>
      <x:c r="F12" s="53" t="n">
        <x:f>COUNTIFS('Provisioning Raw'!$E$5:$E$5004,"processing",'Provisioning Raw'!$AO$5:$AO$5004,"1-2 days")</x:f>
        <x:v>0</x:v>
      </x:c>
    </x:row>
    <x:row r="13">
      <x:c r="B13" s="42" t="str">
        <x:v>0 days</x:v>
      </x:c>
      <x:c r="C13" s="51" t="n">
        <x:f>COUNTIFS('Decommissioning Previous'!$E$5:$E$5004,"processing",'Decommissioning Previous'!$AR$5:$AR$5004,"0 days")</x:f>
        <x:v>2</x:v>
      </x:c>
      <x:c r="D13" s="53" t="n">
        <x:f>COUNTIFS('Decommissioning Raw'!$E$5:$E$5004,"processing",'Decommissioning Raw'!$AR$5:$AR$5004,"0 days")</x:f>
        <x:v>2</x:v>
      </x:c>
      <x:c r="E13" s="51" t="n">
        <x:f>COUNTIFS('Provisioning Previous'!$E$5:$E$5004,"processing",'Provisioning Previous'!$AO$5:$AO$5004,"0 days")</x:f>
        <x:v>2</x:v>
      </x:c>
      <x:c r="F13" s="53" t="n">
        <x:f>COUNTIFS('Provisioning Raw'!$E$5:$E$5004,"processing",'Provisioning Raw'!$AO$5:$AO$5004,"0 days")</x:f>
        <x:v>2</x:v>
      </x:c>
    </x:row>
    <x:row r="14">
      <x:c r="B14" s="42" t="str">
        <x:v>Missing Required Date</x:v>
      </x:c>
      <x:c r="C14" s="51" t="n">
        <x:f>COUNTIFS('Decommissioning Previous'!$E$5:$E$5004,"processing",'Decommissioning Previous'!$AR$5:$AR$5004,"Missing Required Date")</x:f>
        <x:v>0</x:v>
      </x:c>
      <x:c r="D14" s="53" t="n">
        <x:f>COUNTIFS('Decommissioning Raw'!$E$5:$E$5004,"processing",'Decommissioning Raw'!$AR$5:$AR$5004,"Missing Required Date")</x:f>
        <x:v>0</x:v>
      </x:c>
      <x:c r="E14" s="51" t="n">
        <x:f>COUNTIFS('Provisioning Previous'!$E$5:$E$5004,"processing",'Provisioning Previous'!$AO$5:$AO$5004,"Missing Required Date")</x:f>
        <x:v>1</x:v>
      </x:c>
      <x:c r="F14" s="53" t="n">
        <x:f>COUNTIFS('Provisioning Raw'!$E$5:$E$5004,"processing",'Provisioning Raw'!$AO$5:$AO$5004,"Missing Required Date")</x:f>
        <x:v>1</x:v>
      </x:c>
    </x:row>
    <x:row r="15">
      <x:c r="B15" s="47" t="str">
        <x:v>Total</x:v>
      </x:c>
      <x:c r="C15" s="52" t="n">
        <x:f>COUNTIFS('Decommissioning Previous'!$E$5:$E$5004,"processing")</x:f>
        <x:v>12</x:v>
      </x:c>
      <x:c r="D15" s="54" t="n">
        <x:f>COUNTIFS('Decommissioning Raw'!$E$5:$E$5004,"processing")</x:f>
        <x:v>12</x:v>
      </x:c>
      <x:c r="E15" s="52" t="n">
        <x:f>COUNTIFS('Provisioning Previous'!$E$5:$E$5004,"processing")</x:f>
        <x:v>3</x:v>
      </x:c>
      <x:c r="F15" s="54" t="n">
        <x:f>COUNTIFS('Provisioning Raw'!$E$5:$E$5004,"processing")</x:f>
        <x:v>3</x:v>
      </x:c>
    </x:row>
    <x:row r="16">
      <x:c r="B16"/>
      <x:c r="C16"/>
      <x:c r="D16"/>
      <x:c r="E16"/>
      <x:c r="F16"/>
    </x:row>
    <x:row r="17">
      <x:c r="B17"/>
      <x:c r="C17"/>
      <x:c r="D17"/>
      <x:c r="E17"/>
      <x:c r="F17"/>
    </x:row>
    <x:row r="18">
      <x:c r="B18" s="42"/>
      <x:c r="C18" s="45" t="str">
        <x:v>Decommissioning</x:v>
      </x:c>
      <x:c r="D18" s="45"/>
      <x:c r="E18" s="45" t="str">
        <x:v>Provisioning</x:v>
      </x:c>
      <x:c r="F18" s="45"/>
    </x:row>
    <x:row r="19">
      <x:c r="B19" s="47" t="str">
        <x:v>Aging Breakdown Pending EXECUTION</x:v>
      </x:c>
      <x:c r="C19" s="50" t="str">
        <x:v>Previous Day</x:v>
      </x:c>
      <x:c r="D19" s="50" t="str">
        <x:v>Current</x:v>
      </x:c>
      <x:c r="E19" s="50" t="str">
        <x:v>Previous Day</x:v>
      </x:c>
      <x:c r="F19" s="50" t="str">
        <x:v>Current</x:v>
      </x:c>
    </x:row>
    <x:row r="20">
      <x:c r="B20" s="42" t="str">
        <x:v>71+ days</x:v>
      </x:c>
      <x:c r="C20" s="51" t="n">
        <x:f>COUNTIFS('Decommissioning Previous'!$E$5:$E$5004,"executing",'Decommissioning Previous'!$AR$5:$AR$5004,"71+ days")</x:f>
        <x:v>0</x:v>
      </x:c>
      <x:c r="D20" s="53" t="n">
        <x:f>COUNTIFS('Decommissioning Raw'!$E$5:$E$5004,"executing",'Decommissioning Raw'!$AR$5:$AR$5004,"71+ days")</x:f>
        <x:v>0</x:v>
      </x:c>
      <x:c r="E20" s="51" t="n">
        <x:f>COUNTIFS('Provisioning Previous'!$E$5:$E$5004,"executing",'Provisioning Previous'!$AO$5:$AO$5004,"71+ days")</x:f>
        <x:v>0</x:v>
      </x:c>
      <x:c r="F20" s="53" t="n">
        <x:f>COUNTIFS('Provisioning Raw'!$E$5:$E$5004,"executing",'Provisioning Raw'!$AO$5:$AO$5004,"71+ days")</x:f>
        <x:v>0</x:v>
      </x:c>
    </x:row>
    <x:row r="21">
      <x:c r="B21" s="42" t="str">
        <x:v>61-70 days</x:v>
      </x:c>
      <x:c r="C21" s="51" t="n">
        <x:f>COUNTIFS('Decommissioning Previous'!$E$5:$E$5004,"executing",'Decommissioning Previous'!$AR$5:$AR$5004,"61-70 days")</x:f>
        <x:v>0</x:v>
      </x:c>
      <x:c r="D21" s="53" t="n">
        <x:f>COUNTIFS('Decommissioning Raw'!$E$5:$E$5004,"executing",'Decommissioning Raw'!$AR$5:$AR$5004,"61-70 days")</x:f>
        <x:v>0</x:v>
      </x:c>
      <x:c r="E21" s="51" t="n">
        <x:f>COUNTIFS('Provisioning Previous'!$E$5:$E$5004,"executing",'Provisioning Previous'!$AO$5:$AO$5004,"61-70 days")</x:f>
        <x:v>0</x:v>
      </x:c>
      <x:c r="F21" s="53" t="n">
        <x:f>COUNTIFS('Provisioning Raw'!$E$5:$E$5004,"executing",'Provisioning Raw'!$AO$5:$AO$5004,"61-70 days")</x:f>
        <x:v>0</x:v>
      </x:c>
    </x:row>
    <x:row r="22">
      <x:c r="B22" s="42" t="str">
        <x:v>31-60 days</x:v>
      </x:c>
      <x:c r="C22" s="51" t="n">
        <x:f>COUNTIFS('Decommissioning Previous'!$E$5:$E$5004,"executing",'Decommissioning Previous'!$AR$5:$AR$5004,"31-60 days")</x:f>
        <x:v>1</x:v>
      </x:c>
      <x:c r="D22" s="53" t="n">
        <x:f>COUNTIFS('Decommissioning Raw'!$E$5:$E$5004,"executing",'Decommissioning Raw'!$AR$5:$AR$5004,"31-60 days")</x:f>
        <x:v>1</x:v>
      </x:c>
      <x:c r="E22" s="51" t="n">
        <x:f>COUNTIFS('Provisioning Previous'!$E$5:$E$5004,"executing",'Provisioning Previous'!$AO$5:$AO$5004,"31-60 days")</x:f>
        <x:v>2</x:v>
      </x:c>
      <x:c r="F22" s="53" t="n">
        <x:f>COUNTIFS('Provisioning Raw'!$E$5:$E$5004,"executing",'Provisioning Raw'!$AO$5:$AO$5004,"31-60 days")</x:f>
        <x:v>2</x:v>
      </x:c>
    </x:row>
    <x:row r="23">
      <x:c r="B23" s="42" t="str">
        <x:v>15-30 days</x:v>
      </x:c>
      <x:c r="C23" s="51" t="n">
        <x:f>COUNTIFS('Decommissioning Previous'!$E$5:$E$5004,"executing",'Decommissioning Previous'!$AR$5:$AR$5004,"15-30 days")</x:f>
        <x:v>25</x:v>
      </x:c>
      <x:c r="D23" s="53" t="n">
        <x:f>COUNTIFS('Decommissioning Raw'!$E$5:$E$5004,"executing",'Decommissioning Raw'!$AR$5:$AR$5004,"15-30 days")</x:f>
        <x:v>25</x:v>
      </x:c>
      <x:c r="E23" s="51" t="n">
        <x:f>COUNTIFS('Provisioning Previous'!$E$5:$E$5004,"executing",'Provisioning Previous'!$AO$5:$AO$5004,"15-30 days")</x:f>
        <x:v>15</x:v>
      </x:c>
      <x:c r="F23" s="53" t="n">
        <x:f>COUNTIFS('Provisioning Raw'!$E$5:$E$5004,"executing",'Provisioning Raw'!$AO$5:$AO$5004,"15-30 days")</x:f>
        <x:v>15</x:v>
      </x:c>
    </x:row>
    <x:row r="24">
      <x:c r="B24" s="42" t="str">
        <x:v>8-14 days</x:v>
      </x:c>
      <x:c r="C24" s="51" t="n">
        <x:f>COUNTIFS('Decommissioning Previous'!$E$5:$E$5004,"executing",'Decommissioning Previous'!$AR$5:$AR$5004,"8-14 days")</x:f>
        <x:v>14</x:v>
      </x:c>
      <x:c r="D24" s="53" t="n">
        <x:f>COUNTIFS('Decommissioning Raw'!$E$5:$E$5004,"executing",'Decommissioning Raw'!$AR$5:$AR$5004,"8-14 days")</x:f>
        <x:v>14</x:v>
      </x:c>
      <x:c r="E24" s="51" t="n">
        <x:f>COUNTIFS('Provisioning Previous'!$E$5:$E$5004,"executing",'Provisioning Previous'!$AO$5:$AO$5004,"8-14 days")</x:f>
        <x:v>3</x:v>
      </x:c>
      <x:c r="F24" s="53" t="n">
        <x:f>COUNTIFS('Provisioning Raw'!$E$5:$E$5004,"executing",'Provisioning Raw'!$AO$5:$AO$5004,"8-14 days")</x:f>
        <x:v>3</x:v>
      </x:c>
    </x:row>
    <x:row r="25">
      <x:c r="B25" s="42" t="str">
        <x:v>3-7 days</x:v>
      </x:c>
      <x:c r="C25" s="51" t="n">
        <x:f>COUNTIFS('Decommissioning Previous'!$E$5:$E$5004,"executing",'Decommissioning Previous'!$AR$5:$AR$5004,"3-7 days")</x:f>
        <x:v>13</x:v>
      </x:c>
      <x:c r="D25" s="53" t="n">
        <x:f>COUNTIFS('Decommissioning Raw'!$E$5:$E$5004,"executing",'Decommissioning Raw'!$AR$5:$AR$5004,"3-7 days")</x:f>
        <x:v>13</x:v>
      </x:c>
      <x:c r="E25" s="51" t="n">
        <x:f>COUNTIFS('Provisioning Previous'!$E$5:$E$5004,"executing",'Provisioning Previous'!$AO$5:$AO$5004,"3-7 days")</x:f>
        <x:v>1</x:v>
      </x:c>
      <x:c r="F25" s="53" t="n">
        <x:f>COUNTIFS('Provisioning Raw'!$E$5:$E$5004,"executing",'Provisioning Raw'!$AO$5:$AO$5004,"3-7 days")</x:f>
        <x:v>1</x:v>
      </x:c>
    </x:row>
    <x:row r="26">
      <x:c r="B26" s="42" t="str">
        <x:v>1-2 days</x:v>
      </x:c>
      <x:c r="C26" s="51" t="n">
        <x:f>COUNTIFS('Decommissioning Previous'!$E$5:$E$5004,"executing",'Decommissioning Previous'!$AR$5:$AR$5004,"1-2 days")</x:f>
        <x:v>0</x:v>
      </x:c>
      <x:c r="D26" s="53" t="n">
        <x:f>COUNTIFS('Decommissioning Raw'!$E$5:$E$5004,"executing",'Decommissioning Raw'!$AR$5:$AR$5004,"1-2 days")</x:f>
        <x:v>0</x:v>
      </x:c>
      <x:c r="E26" s="51" t="n">
        <x:f>COUNTIFS('Provisioning Previous'!$E$5:$E$5004,"executing",'Provisioning Previous'!$AO$5:$AO$5004,"1-2 days")</x:f>
        <x:v>4</x:v>
      </x:c>
      <x:c r="F26" s="53" t="n">
        <x:f>COUNTIFS('Provisioning Raw'!$E$5:$E$5004,"executing",'Provisioning Raw'!$AO$5:$AO$5004,"1-2 days")</x:f>
        <x:v>4</x:v>
      </x:c>
    </x:row>
    <x:row r="27">
      <x:c r="B27" s="42" t="str">
        <x:v>0 days</x:v>
      </x:c>
      <x:c r="C27" s="51" t="n">
        <x:f>COUNTIFS('Decommissioning Previous'!$E$5:$E$5004,"executing",'Decommissioning Previous'!$AR$5:$AR$5004,"0 days")</x:f>
        <x:v>3</x:v>
      </x:c>
      <x:c r="D27" s="53" t="n">
        <x:f>COUNTIFS('Decommissioning Raw'!$E$5:$E$5004,"executing",'Decommissioning Raw'!$AR$5:$AR$5004,"0 days")</x:f>
        <x:v>3</x:v>
      </x:c>
      <x:c r="E27" s="51" t="n">
        <x:f>COUNTIFS('Provisioning Previous'!$E$5:$E$5004,"executing",'Provisioning Previous'!$AO$5:$AO$5004,"0 days")</x:f>
        <x:v>0</x:v>
      </x:c>
      <x:c r="F27" s="53" t="n">
        <x:f>COUNTIFS('Provisioning Raw'!$E$5:$E$5004,"executing",'Provisioning Raw'!$AO$5:$AO$5004,"0 days")</x:f>
        <x:v>0</x:v>
      </x:c>
    </x:row>
    <x:row r="28">
      <x:c r="B28" s="42" t="str">
        <x:v>Missing Required Date</x:v>
      </x:c>
      <x:c r="C28" s="51" t="n">
        <x:f>COUNTIFS('Decommissioning Previous'!$E$5:$E$5004,"executing",'Decommissioning Previous'!$AR$5:$AR$5004,"Missing Required Date")</x:f>
        <x:v>0</x:v>
      </x:c>
      <x:c r="D28" s="53" t="n">
        <x:f>COUNTIFS('Decommissioning Raw'!$E$5:$E$5004,"executing",'Decommissioning Raw'!$AR$5:$AR$5004,"Missing Required Date")</x:f>
        <x:v>0</x:v>
      </x:c>
      <x:c r="E28" s="51" t="n">
        <x:f>COUNTIFS('Provisioning Previous'!$E$5:$E$5004,"executing",'Provisioning Previous'!$AO$5:$AO$5004,"Missing Required Date")</x:f>
        <x:v>0</x:v>
      </x:c>
      <x:c r="F28" s="53" t="n">
        <x:f>COUNTIFS('Provisioning Raw'!$E$5:$E$5004,"executing",'Provisioning Raw'!$AO$5:$AO$5004,"Missing Required Date")</x:f>
        <x:v>0</x:v>
      </x:c>
    </x:row>
    <x:row r="29">
      <x:c r="B29" s="47" t="str">
        <x:v>Total</x:v>
      </x:c>
      <x:c r="C29" s="52" t="n">
        <x:f>COUNTIFS('Decommissioning Previous'!$E$5:$E$5004,"executing")</x:f>
        <x:v>56</x:v>
      </x:c>
      <x:c r="D29" s="54" t="n">
        <x:f>COUNTIFS('Decommissioning Raw'!$E$5:$E$5004,"executing")</x:f>
        <x:v>56</x:v>
      </x:c>
      <x:c r="E29" s="52" t="n">
        <x:f>COUNTIFS('Provisioning Previous'!$E$5:$E$5004,"executing")</x:f>
        <x:v>25</x:v>
      </x:c>
      <x:c r="F29" s="54" t="n">
        <x:f>COUNTIFS('Provisioning Raw'!$E$5:$E$5004,"executing")</x:f>
        <x:v>25</x:v>
      </x:c>
    </x:row>
    <x:row r="32">
      <x:c r="B32" s="42"/>
      <x:c r="C32" s="45" t="str">
        <x:v>Decommissioning</x:v>
      </x:c>
      <x:c r="D32" s="45"/>
      <x:c r="E32" s="45" t="str">
        <x:v>Provisioning</x:v>
      </x:c>
      <x:c r="F32" s="45"/>
    </x:row>
    <x:row r="33">
      <x:c r="B33" s="47" t="str">
        <x:v>Aging Breakdown Pending USER CONFIRMATION</x:v>
      </x:c>
      <x:c r="C33" s="50" t="str">
        <x:v>Previous Day</x:v>
      </x:c>
      <x:c r="D33" s="50" t="str">
        <x:v>Current</x:v>
      </x:c>
      <x:c r="E33" s="50" t="str">
        <x:v>Previous Day</x:v>
      </x:c>
      <x:c r="F33" s="50" t="str">
        <x:v>Current</x:v>
      </x:c>
    </x:row>
    <x:row r="34">
      <x:c r="B34" s="42" t="str">
        <x:v>71+ days</x:v>
      </x:c>
      <x:c r="C34" s="51" t="n">
        <x:f>COUNTIFS('Decommissioning Previous'!$E$5:$E$5004,"pending",'Decommissioning Previous'!$AR$5:$AR$5004,"71+ days")</x:f>
        <x:v>0</x:v>
      </x:c>
      <x:c r="D34" s="53" t="n">
        <x:f>COUNTIFS('Decommissioning Raw'!$E$5:$E$5004,"pending",'Decommissioning Raw'!$AR$5:$AR$5004,"71+ days")</x:f>
        <x:v>0</x:v>
      </x:c>
      <x:c r="E34" s="51" t="n">
        <x:f>COUNTIFS('Provisioning Previous'!$E$5:$E$5004,"pending",'Provisioning Previous'!$AO$5:$AO$5004,"71+ days")</x:f>
        <x:v>0</x:v>
      </x:c>
      <x:c r="F34" s="53" t="n">
        <x:f>COUNTIFS('Provisioning Raw'!$E$5:$E$5004,"pending",'Provisioning Raw'!$AO$5:$AO$5004,"71+ days")</x:f>
        <x:v>0</x:v>
      </x:c>
    </x:row>
    <x:row r="35">
      <x:c r="B35" s="42" t="str">
        <x:v>61-70 days</x:v>
      </x:c>
      <x:c r="C35" s="51" t="n">
        <x:f>COUNTIFS('Decommissioning Previous'!$E$5:$E$5004,"pending",'Decommissioning Previous'!$AR$5:$AR$5004,"61-70 days")</x:f>
        <x:v>0</x:v>
      </x:c>
      <x:c r="D35" s="53" t="n">
        <x:f>COUNTIFS('Decommissioning Raw'!$E$5:$E$5004,"pending",'Decommissioning Raw'!$AR$5:$AR$5004,"61-70 days")</x:f>
        <x:v>0</x:v>
      </x:c>
      <x:c r="E35" s="51" t="n">
        <x:f>COUNTIFS('Provisioning Previous'!$E$5:$E$5004,"pending",'Provisioning Previous'!$AO$5:$AO$5004,"61-70 days")</x:f>
        <x:v>0</x:v>
      </x:c>
      <x:c r="F35" s="53" t="n">
        <x:f>COUNTIFS('Provisioning Raw'!$E$5:$E$5004,"pending",'Provisioning Raw'!$AO$5:$AO$5004,"61-70 days")</x:f>
        <x:v>0</x:v>
      </x:c>
    </x:row>
    <x:row r="36">
      <x:c r="B36" s="42" t="str">
        <x:v>31-60 days</x:v>
      </x:c>
      <x:c r="C36" s="51" t="n">
        <x:f>COUNTIFS('Decommissioning Previous'!$E$5:$E$5004,"pending",'Decommissioning Previous'!$AR$5:$AR$5004,"31-60 days")</x:f>
        <x:v>0</x:v>
      </x:c>
      <x:c r="D36" s="53" t="n">
        <x:f>COUNTIFS('Decommissioning Raw'!$E$5:$E$5004,"pending",'Decommissioning Raw'!$AR$5:$AR$5004,"31-60 days")</x:f>
        <x:v>0</x:v>
      </x:c>
      <x:c r="E36" s="51" t="n">
        <x:f>COUNTIFS('Provisioning Previous'!$E$5:$E$5004,"pending",'Provisioning Previous'!$AO$5:$AO$5004,"31-60 days")</x:f>
        <x:v>0</x:v>
      </x:c>
      <x:c r="F36" s="53" t="n">
        <x:f>COUNTIFS('Provisioning Raw'!$E$5:$E$5004,"pending",'Provisioning Raw'!$AO$5:$AO$5004,"31-60 days")</x:f>
        <x:v>0</x:v>
      </x:c>
    </x:row>
    <x:row r="37">
      <x:c r="B37" s="42" t="str">
        <x:v>15-30 days</x:v>
      </x:c>
      <x:c r="C37" s="51" t="n">
        <x:f>COUNTIFS('Decommissioning Previous'!$E$5:$E$5004,"pending",'Decommissioning Previous'!$AR$5:$AR$5004,"15-30 days")</x:f>
        <x:v>0</x:v>
      </x:c>
      <x:c r="D37" s="53" t="n">
        <x:f>COUNTIFS('Decommissioning Raw'!$E$5:$E$5004,"pending",'Decommissioning Raw'!$AR$5:$AR$5004,"15-30 days")</x:f>
        <x:v>0</x:v>
      </x:c>
      <x:c r="E37" s="51" t="n">
        <x:f>COUNTIFS('Provisioning Previous'!$E$5:$E$5004,"pending",'Provisioning Previous'!$AO$5:$AO$5004,"15-30 days")</x:f>
        <x:v>0</x:v>
      </x:c>
      <x:c r="F37" s="53" t="n">
        <x:f>COUNTIFS('Provisioning Raw'!$E$5:$E$5004,"pending",'Provisioning Raw'!$AO$5:$AO$5004,"15-30 days")</x:f>
        <x:v>0</x:v>
      </x:c>
    </x:row>
    <x:row r="38">
      <x:c r="B38" s="42" t="str">
        <x:v>8-14 days</x:v>
      </x:c>
      <x:c r="C38" s="51" t="n">
        <x:f>COUNTIFS('Decommissioning Previous'!$E$5:$E$5004,"pending",'Decommissioning Previous'!$AR$5:$AR$5004,"8-14 days")</x:f>
        <x:v>0</x:v>
      </x:c>
      <x:c r="D38" s="53" t="n">
        <x:f>COUNTIFS('Decommissioning Raw'!$E$5:$E$5004,"pending",'Decommissioning Raw'!$AR$5:$AR$5004,"8-14 days")</x:f>
        <x:v>0</x:v>
      </x:c>
      <x:c r="E38" s="51" t="n">
        <x:f>COUNTIFS('Provisioning Previous'!$E$5:$E$5004,"pending",'Provisioning Previous'!$AO$5:$AO$5004,"8-14 days")</x:f>
        <x:v>0</x:v>
      </x:c>
      <x:c r="F38" s="53" t="n">
        <x:f>COUNTIFS('Provisioning Raw'!$E$5:$E$5004,"pending",'Provisioning Raw'!$AO$5:$AO$5004,"8-14 days")</x:f>
        <x:v>0</x:v>
      </x:c>
    </x:row>
    <x:row r="39">
      <x:c r="B39" s="42" t="str">
        <x:v>3-7 days</x:v>
      </x:c>
      <x:c r="C39" s="51" t="n">
        <x:f>COUNTIFS('Decommissioning Previous'!$E$5:$E$5004,"pending",'Decommissioning Previous'!$AR$5:$AR$5004,"3-7 days")</x:f>
        <x:v>0</x:v>
      </x:c>
      <x:c r="D39" s="53" t="n">
        <x:f>COUNTIFS('Decommissioning Raw'!$E$5:$E$5004,"pending",'Decommissioning Raw'!$AR$5:$AR$5004,"3-7 days")</x:f>
        <x:v>0</x:v>
      </x:c>
      <x:c r="E39" s="51" t="n">
        <x:f>COUNTIFS('Provisioning Previous'!$E$5:$E$5004,"pending",'Provisioning Previous'!$AO$5:$AO$5004,"3-7 days")</x:f>
        <x:v>0</x:v>
      </x:c>
      <x:c r="F39" s="53" t="n">
        <x:f>COUNTIFS('Provisioning Raw'!$E$5:$E$5004,"pending",'Provisioning Raw'!$AO$5:$AO$5004,"3-7 days")</x:f>
        <x:v>0</x:v>
      </x:c>
    </x:row>
    <x:row r="40">
      <x:c r="B40" s="42" t="str">
        <x:v>1-2 days</x:v>
      </x:c>
      <x:c r="C40" s="51" t="n">
        <x:f>COUNTIFS('Decommissioning Previous'!$E$5:$E$5004,"pending",'Decommissioning Previous'!$AR$5:$AR$5004,"1-2 days")</x:f>
        <x:v>0</x:v>
      </x:c>
      <x:c r="D40" s="53" t="n">
        <x:f>COUNTIFS('Decommissioning Raw'!$E$5:$E$5004,"pending",'Decommissioning Raw'!$AR$5:$AR$5004,"1-2 days")</x:f>
        <x:v>0</x:v>
      </x:c>
      <x:c r="E40" s="51" t="n">
        <x:f>COUNTIFS('Provisioning Previous'!$E$5:$E$5004,"pending",'Provisioning Previous'!$AO$5:$AO$5004,"1-2 days")</x:f>
        <x:v>0</x:v>
      </x:c>
      <x:c r="F40" s="53" t="n">
        <x:f>COUNTIFS('Provisioning Raw'!$E$5:$E$5004,"pending",'Provisioning Raw'!$AO$5:$AO$5004,"1-2 days")</x:f>
        <x:v>0</x:v>
      </x:c>
    </x:row>
    <x:row r="41">
      <x:c r="B41" s="42" t="str">
        <x:v>0 days</x:v>
      </x:c>
      <x:c r="C41" s="51" t="n">
        <x:f>COUNTIFS('Decommissioning Previous'!$E$5:$E$5004,"pending",'Decommissioning Previous'!$AR$5:$AR$5004,"0 days")</x:f>
        <x:v>0</x:v>
      </x:c>
      <x:c r="D41" s="53" t="n">
        <x:f>COUNTIFS('Decommissioning Raw'!$E$5:$E$5004,"pending",'Decommissioning Raw'!$AR$5:$AR$5004,"0 days")</x:f>
        <x:v>0</x:v>
      </x:c>
      <x:c r="E41" s="51" t="n">
        <x:f>COUNTIFS('Provisioning Previous'!$E$5:$E$5004,"pending",'Provisioning Previous'!$AO$5:$AO$5004,"0 days")</x:f>
        <x:v>0</x:v>
      </x:c>
      <x:c r="F41" s="53" t="n">
        <x:f>COUNTIFS('Provisioning Raw'!$E$5:$E$5004,"pending",'Provisioning Raw'!$AO$5:$AO$5004,"0 days")</x:f>
        <x:v>0</x:v>
      </x:c>
    </x:row>
    <x:row r="42">
      <x:c r="B42" s="42" t="str">
        <x:v>Missing Required Date</x:v>
      </x:c>
      <x:c r="C42" s="51" t="n">
        <x:f>COUNTIFS('Decommissioning Previous'!$E$5:$E$5004,"pending",'Decommissioning Previous'!$AR$5:$AR$5004,"Missing Required Date")</x:f>
        <x:v>31</x:v>
      </x:c>
      <x:c r="D42" s="53" t="n">
        <x:f>COUNTIFS('Decommissioning Raw'!$E$5:$E$5004,"pending",'Decommissioning Raw'!$AR$5:$AR$5004,"Missing Required Date")</x:f>
        <x:v>31</x:v>
      </x:c>
      <x:c r="E42" s="51" t="n">
        <x:f>COUNTIFS('Provisioning Previous'!$E$5:$E$5004,"pending",'Provisioning Previous'!$AO$5:$AO$5004,"Missing Required Date")</x:f>
        <x:v>10</x:v>
      </x:c>
      <x:c r="F42" s="53" t="n">
        <x:f>COUNTIFS('Provisioning Raw'!$E$5:$E$5004,"pending",'Provisioning Raw'!$AO$5:$AO$5004,"Missing Required Date")</x:f>
        <x:v>10</x:v>
      </x:c>
    </x:row>
    <x:row r="43">
      <x:c r="B43" s="47" t="str">
        <x:v>Total</x:v>
      </x:c>
      <x:c r="C43" s="52" t="n">
        <x:f>COUNTIFS('Decommissioning Previous'!$E$5:$E$5004,"pending")</x:f>
        <x:v>31</x:v>
      </x:c>
      <x:c r="D43" s="54" t="n">
        <x:f>COUNTIFS('Decommissioning Raw'!$E$5:$E$5004,"pending")</x:f>
        <x:v>31</x:v>
      </x:c>
      <x:c r="E43" s="52" t="n">
        <x:f>COUNTIFS('Provisioning Previous'!$E$5:$E$5004,"pending")</x:f>
        <x:v>10</x:v>
      </x:c>
      <x:c r="F43" s="54" t="n">
        <x:f>COUNTIFS('Provisioning Raw'!$E$5:$E$5004,"pending")</x:f>
        <x:v>10</x:v>
      </x:c>
    </x:row>
    <x:row r="46">
      <x:c r="B46" s="57" t="str">
        <x:v>ACTIVE PIPELINE OVERVIEW</x:v>
      </x:c>
      <x:c r="C46" s="57"/>
      <x:c r="D46" s="57"/>
      <x:c r="E46" s="57"/>
      <x:c r="F46" s="57"/>
    </x:row>
    <x:row r="47">
      <x:c r="B47" s="50" t="str">
        <x:v>Status</x:v>
      </x:c>
      <x:c r="C47" s="50" t="str">
        <x:v>Decommissioning</x:v>
      </x:c>
      <x:c r="D47" s="50" t="str">
        <x:v>Provisioning</x:v>
      </x:c>
      <x:c r="E47" s="50" t="str">
        <x:v>Total</x:v>
      </x:c>
      <x:c r="F47" s="50" t="str">
        <x:v>% of Active</x:v>
      </x:c>
    </x:row>
    <x:row r="48">
      <x:c r="B48" s="42" t="str">
        <x:v>processing</x:v>
      </x:c>
      <x:c r="C48" s="51" t="n">
        <x:f>COUNTIFS('Decommissioning Raw'!$E$5:$E$5004,"processing")</x:f>
        <x:v>12</x:v>
      </x:c>
      <x:c r="D48" s="51" t="n">
        <x:f>COUNTIFS('Provisioning Raw'!$E$5:$E$5004,"processing")</x:f>
        <x:v>3</x:v>
      </x:c>
      <x:c r="E48" s="51" t="n">
        <x:f>SUM(C48:D48)</x:f>
        <x:v>15</x:v>
      </x:c>
      <x:c r="F48" s="58" t="n">
        <x:f>IF($E$51=0,0,E48/$E$51)</x:f>
        <x:v>0.10948905109489052</x:v>
      </x:c>
    </x:row>
    <x:row r="49">
      <x:c r="B49" s="42" t="str">
        <x:v>pending</x:v>
      </x:c>
      <x:c r="C49" s="51" t="n">
        <x:f>COUNTIFS('Decommissioning Raw'!$E$5:$E$5004,"pending")</x:f>
        <x:v>31</x:v>
      </x:c>
      <x:c r="D49" s="51" t="n">
        <x:f>COUNTIFS('Provisioning Raw'!$E$5:$E$5004,"pending")</x:f>
        <x:v>10</x:v>
      </x:c>
      <x:c r="E49" s="51" t="n">
        <x:f>SUM(C49:D49)</x:f>
        <x:v>41</x:v>
      </x:c>
      <x:c r="F49" s="58" t="n">
        <x:f>IF($E$51=0,0,E49/$E$51)</x:f>
        <x:v>0.29927007299270075</x:v>
      </x:c>
    </x:row>
    <x:row r="50">
      <x:c r="B50" s="42" t="str">
        <x:v>executing</x:v>
      </x:c>
      <x:c r="C50" s="51" t="n">
        <x:f>COUNTIFS('Decommissioning Raw'!$E$5:$E$5004,"executing")</x:f>
        <x:v>56</x:v>
      </x:c>
      <x:c r="D50" s="51" t="n">
        <x:f>COUNTIFS('Provisioning Raw'!$E$5:$E$5004,"executing")</x:f>
        <x:v>25</x:v>
      </x:c>
      <x:c r="E50" s="51" t="n">
        <x:f>SUM(C50:D50)</x:f>
        <x:v>81</x:v>
      </x:c>
      <x:c r="F50" s="58" t="n">
        <x:f>IF($E$51=0,0,E50/$E$51)</x:f>
        <x:v>0.5912408759124088</x:v>
      </x:c>
    </x:row>
    <x:row r="51">
      <x:c r="B51" s="47" t="str">
        <x:v>Total</x:v>
      </x:c>
      <x:c r="C51" s="52" t="n">
        <x:f>SUM(C48:C50)</x:f>
        <x:v>99</x:v>
      </x:c>
      <x:c r="D51" s="52" t="n">
        <x:f>SUM(D48:D50)</x:f>
        <x:v>38</x:v>
      </x:c>
      <x:c r="E51" s="52" t="n">
        <x:f>SUM(E48:E50)</x:f>
        <x:v>137</x:v>
      </x:c>
      <x:c r="F51" s="59" t="n">
        <x:f>SUM(F48:F50)</x:f>
        <x:v>1</x:v>
      </x:c>
    </x:row>
    <x:row r="54">
      <x:c r="B54" s="57" t="str">
        <x:v>DAILY MOVEMENT — CURRENT MINUS PREVIOUS DAY</x:v>
      </x:c>
      <x:c r="C54" s="57"/>
      <x:c r="D54" s="57"/>
      <x:c r="E54" s="57"/>
      <x:c r="F54" s="57"/>
    </x:row>
    <x:row r="55">
      <x:c r="B55" s="50" t="str">
        <x:v>Status</x:v>
      </x:c>
      <x:c r="C55" s="50" t="str">
        <x:v>Previous Total</x:v>
      </x:c>
      <x:c r="D55" s="50" t="str">
        <x:v>Current Total</x:v>
      </x:c>
      <x:c r="E55" s="50" t="str">
        <x:v>Delta</x:v>
      </x:c>
      <x:c r="F55" s="50" t="str">
        <x:v>Movement</x:v>
      </x:c>
    </x:row>
    <x:row r="56">
      <x:c r="B56" s="42" t="str">
        <x:v>processing</x:v>
      </x:c>
      <x:c r="C56" s="53" t="n">
        <x:f>COUNTIFS('Decommissioning Previous'!$E$5:$E$5004,"processing")+COUNTIFS('Provisioning Previous'!$E$5:$E$5004,"processing")</x:f>
        <x:v>15</x:v>
      </x:c>
      <x:c r="D56" s="53" t="n">
        <x:f>COUNTIFS('Decommissioning Raw'!$E$5:$E$5004,"processing")+COUNTIFS('Provisioning Raw'!$E$5:$E$5004,"processing")</x:f>
        <x:v>15</x:v>
      </x:c>
      <x:c r="E56" s="53" t="n">
        <x:f>D56-C56</x:f>
        <x:v>0</x:v>
      </x:c>
      <x:c r="F56" s="51" t="str">
        <x:f>IF(E56&gt;0,"Increase",IF(E56&lt;0,"Decrease","No change"))</x:f>
        <x:v>No change</x:v>
      </x:c>
    </x:row>
    <x:row r="57">
      <x:c r="B57" s="42" t="str">
        <x:v>pending</x:v>
      </x:c>
      <x:c r="C57" s="53" t="n">
        <x:f>COUNTIFS('Decommissioning Previous'!$E$5:$E$5004,"pending")+COUNTIFS('Provisioning Previous'!$E$5:$E$5004,"pending")</x:f>
        <x:v>41</x:v>
      </x:c>
      <x:c r="D57" s="53" t="n">
        <x:f>COUNTIFS('Decommissioning Raw'!$E$5:$E$5004,"pending")+COUNTIFS('Provisioning Raw'!$E$5:$E$5004,"pending")</x:f>
        <x:v>41</x:v>
      </x:c>
      <x:c r="E57" s="53" t="n">
        <x:f>D57-C57</x:f>
        <x:v>0</x:v>
      </x:c>
      <x:c r="F57" s="51" t="str">
        <x:f>IF(E57&gt;0,"Increase",IF(E57&lt;0,"Decrease","No change"))</x:f>
        <x:v>No change</x:v>
      </x:c>
    </x:row>
    <x:row r="58">
      <x:c r="B58" s="42" t="str">
        <x:v>executing</x:v>
      </x:c>
      <x:c r="C58" s="53" t="n">
        <x:f>COUNTIFS('Decommissioning Previous'!$E$5:$E$5004,"executing")+COUNTIFS('Provisioning Previous'!$E$5:$E$5004,"executing")</x:f>
        <x:v>81</x:v>
      </x:c>
      <x:c r="D58" s="53" t="n">
        <x:f>COUNTIFS('Decommissioning Raw'!$E$5:$E$5004,"executing")+COUNTIFS('Provisioning Raw'!$E$5:$E$5004,"executing")</x:f>
        <x:v>81</x:v>
      </x:c>
      <x:c r="E58" s="53" t="n">
        <x:f>D58-C58</x:f>
        <x:v>0</x:v>
      </x:c>
      <x:c r="F58" s="51" t="str">
        <x:f>IF(E58&gt;0,"Increase",IF(E58&lt;0,"Decrease","No change"))</x:f>
        <x:v>No change</x:v>
      </x:c>
    </x:row>
    <x:row r="59">
      <x:c r="B59" s="47" t="str">
        <x:v>Total</x:v>
      </x:c>
      <x:c r="C59" s="54" t="n">
        <x:f>SUM(C56:C58)</x:f>
        <x:v>137</x:v>
      </x:c>
      <x:c r="D59" s="54" t="n">
        <x:f>SUM(D56:D58)</x:f>
        <x:v>137</x:v>
      </x:c>
      <x:c r="E59" s="54" t="n">
        <x:f>D59-C59</x:f>
        <x:v>0</x:v>
      </x:c>
      <x:c r="F59" s="52" t="str">
        <x:f>IF(E59&gt;0,"Increase",IF(E59&lt;0,"Decrease","No change"))</x:f>
        <x:v>No change</x:v>
      </x:c>
    </x:row>
    <x:row r="62">
      <x:c r="B62" s="57" t="str">
        <x:v>MANAGEMENT FOCUS</x:v>
      </x:c>
      <x:c r="C62" s="57"/>
      <x:c r="D62" s="57"/>
      <x:c r="E62" s="57"/>
      <x:c r="F62" s="57"/>
    </x:row>
    <x:row r="63">
      <x:c r="B63" s="60" t="str">
        <x:v>Active requests</x:v>
      </x:c>
      <x:c r="C63" s="60"/>
      <x:c r="D63" s="60"/>
      <x:c r="E63" s="63" t="n">
        <x:f>E51</x:f>
        <x:v>137</x:v>
      </x:c>
      <x:c r="F63" s="63"/>
    </x:row>
    <x:row r="64">
      <x:c r="B64" s="60" t="str">
        <x:v>Executing requests &gt;14 days</x:v>
      </x:c>
      <x:c r="C64" s="60"/>
      <x:c r="D64" s="60"/>
      <x:c r="E64" s="63" t="n">
        <x:f>COUNTIFS('Decommissioning Raw'!$E$5:$E$5004,"executing",'Decommissioning Raw'!$AQ$5:$AQ$5004,"&gt;14")+COUNTIFS('Provisioning Raw'!$E$5:$E$5004,"executing",'Provisioning Raw'!$AN$5:$AN$5004,"&gt;14")</x:f>
        <x:v>43</x:v>
      </x:c>
      <x:c r="F64" s="63"/>
    </x:row>
    <x:row r="65">
      <x:c r="B65" s="60" t="str">
        <x:v>Share of executing requests &gt;14 days</x:v>
      </x:c>
      <x:c r="C65" s="60"/>
      <x:c r="D65" s="60"/>
      <x:c r="E65" s="64" t="n">
        <x:f>IF(E50=0,0,E64/E50)</x:f>
        <x:v>0.5308641975308642</x:v>
      </x:c>
      <x:c r="F65" s="63"/>
    </x:row>
    <x:row r="66">
      <x:c r="B66" s="60" t="str">
        <x:v>Executing requests &gt;30 days</x:v>
      </x:c>
      <x:c r="C66" s="60"/>
      <x:c r="D66" s="60"/>
      <x:c r="E66" s="63" t="n">
        <x:f>COUNTIFS('Decommissioning Raw'!$E$5:$E$5004,"executing",'Decommissioning Raw'!$AQ$5:$AQ$5004,"&gt;30")+COUNTIFS('Provisioning Raw'!$E$5:$E$5004,"executing",'Provisioning Raw'!$AN$5:$AN$5004,"&gt;30")</x:f>
        <x:v>3</x:v>
      </x:c>
      <x:c r="F66" s="63"/>
    </x:row>
    <x:row r="67">
      <x:c r="B67" s="60" t="str">
        <x:v>Oldest executing request (days)</x:v>
      </x:c>
      <x:c r="C67" s="60"/>
      <x:c r="D67" s="60"/>
      <x:c r="E67" s="63" t="n">
        <x:f>MAX(MAXIFS('Decommissioning Raw'!$AQ$5:$AQ$5004,'Decommissioning Raw'!$E$5:$E$5004,"executing"),MAXIFS('Provisioning Raw'!$AN$5:$AN$5004,'Provisioning Raw'!$E$5:$E$5004,"executing"))</x:f>
        <x:v>48</x:v>
      </x:c>
      <x:c r="F67" s="63"/>
    </x:row>
    <x:row r="68">
      <x:c r="B68" s="60" t="str">
        <x:v>Requests with missing required aging date</x:v>
      </x:c>
      <x:c r="C68" s="60"/>
      <x:c r="D68" s="60"/>
      <x:c r="E68" s="63" t="n">
        <x:f>COUNTIFS('Decommissioning Raw'!$E$5:$E$5004,"processing",'Decommissioning Raw'!$AR$5:$AR$5004,"Missing Required Date")+COUNTIFS('Decommissioning Raw'!$E$5:$E$5004,"pending",'Decommissioning Raw'!$AR$5:$AR$5004,"Missing Required Date")+COUNTIFS('Decommissioning Raw'!$E$5:$E$5004,"executing",'Decommissioning Raw'!$AR$5:$AR$5004,"Missing Required Date")+COUNTIFS('Provisioning Raw'!$E$5:$E$5004,"processing",'Provisioning Raw'!$AO$5:$AO$5004,"Missing Required Date")+COUNTIFS('Provisioning Raw'!$E$5:$E$5004,"pending",'Provisioning Raw'!$AO$5:$AO$5004,"Missing Required Date")+COUNTIFS('Provisioning Raw'!$E$5:$E$5004,"executing",'Provisioning Raw'!$AO$5:$AO$5004,"Missing Required Date")</x:f>
        <x:v>42</x:v>
      </x:c>
      <x:c r="F68" s="63"/>
    </x:row>
    <x:row r="71" ht="30" customHeight="1">
      <x:c r="B71" s="74" t="str">
        <x:v>Daily input: replace raw DATA ROWS in all four input tables—current and previous day for each stream; keep headers and helper columns unchanged.</x:v>
      </x:c>
      <x:c r="C71" s="75"/>
      <x:c r="D71" s="75"/>
      <x:c r="E71" s="75"/>
      <x:c r="F71" s="76"/>
    </x:row>
    <x:row r="72" ht="30" customHeight="1">
      <x:c r="B72" s="77" t="str">
        <x:v>Definition: Pending ASSIGNMENT = processing; Pending EXECUTION = executing; Pending USER CONFIRMATION = pending.</x:v>
      </x:c>
      <x:c r="C72" s="78"/>
      <x:c r="D72" s="78"/>
      <x:c r="E72" s="78"/>
      <x:c r="F72" s="79"/>
    </x:row>
    <x:row r="73" ht="30" customHeight="1">
      <x:c r="B73" s="77" t="str">
        <x:v>Aging basis: processing uses Gate 2 Date; executing and pending use Gate 3 Date. Aging is whole calendar days.</x:v>
      </x:c>
      <x:c r="C73" s="78"/>
      <x:c r="D73" s="78"/>
      <x:c r="E73" s="78"/>
      <x:c r="F73" s="79"/>
    </x:row>
    <x:row r="74" ht="30" customHeight="1">
      <x:c r="B74" s="80" t="str">
        <x:v>Sample previous-day data equals current data, so the initial movement table shows zero change.</x:v>
      </x:c>
      <x:c r="C74" s="81"/>
      <x:c r="D74" s="81"/>
      <x:c r="E74" s="81"/>
      <x:c r="F74" s="82"/>
    </x:row>
  </x:sheetData>
  <x:mergeCells>
    <x:mergeCell ref="B1:F1"/>
    <x:mergeCell ref="B2:F2"/>
    <x:mergeCell ref="C4:D4"/>
    <x:mergeCell ref="E4:F4"/>
    <x:mergeCell ref="C18:D18"/>
    <x:mergeCell ref="E18:F18"/>
    <x:mergeCell ref="C32:D32"/>
    <x:mergeCell ref="E32:F32"/>
    <x:mergeCell ref="B46:F46"/>
    <x:mergeCell ref="B54:F54"/>
    <x:mergeCell ref="B62:F62"/>
    <x:mergeCell ref="B63:D63"/>
    <x:mergeCell ref="E63:F63"/>
    <x:mergeCell ref="B64:D64"/>
    <x:mergeCell ref="E64:F64"/>
    <x:mergeCell ref="B65:D65"/>
    <x:mergeCell ref="E65:F65"/>
    <x:mergeCell ref="B66:D66"/>
    <x:mergeCell ref="E66:F66"/>
    <x:mergeCell ref="B67:D67"/>
    <x:mergeCell ref="E67:F67"/>
    <x:mergeCell ref="B68:D68"/>
    <x:mergeCell ref="E68:F68"/>
    <x:mergeCell ref="B71:F71"/>
    <x:mergeCell ref="B72:F72"/>
    <x:mergeCell ref="B73:F73"/>
    <x:mergeCell ref="B74:F7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85" hidden="0" customWidth="1"/>
  </x:cols>
  <x:sheetData>
    <x:row r="1">
      <x:c r="A1" s="11" t="str">
        <x:v>HOW TO REFRESH THE DAILY PROGRESS REPORT</x:v>
      </x:c>
      <x:c r="B1" s="11"/>
      <x:c r="C1" s="11"/>
      <x:c r="D1" s="11"/>
      <x:c r="E1" s="11"/>
      <x:c r="F1" s="11"/>
    </x:row>
    <x:row r="3">
      <x:c r="A3" s="19" t="str">
        <x:v>READY-TO-USE WORKFLOW</x:v>
      </x:c>
      <x:c r="B3" s="19"/>
      <x:c r="C3" s="19"/>
      <x:c r="D3" s="19"/>
      <x:c r="E3" s="19"/>
      <x:c r="F3" s="19"/>
    </x:row>
    <x:row r="5" ht="34" customHeight="1">
      <x:c r="A5" s="39" t="str">
        <x:v>1</x:v>
      </x:c>
      <x:c r="B5" s="32" t="str">
        <x:v>Decommissioning Raw (current): clear A5:AO5004 and paste today's decommissioning data rows at A5.</x:v>
      </x:c>
    </x:row>
    <x:row r="6" ht="34" customHeight="1">
      <x:c r="A6" s="39" t="str">
        <x:v>2</x:v>
      </x:c>
      <x:c r="B6" s="32" t="str">
        <x:v>Provisioning Raw (current): clear A5:AL5004 and paste today's provisioning data rows at A5.</x:v>
      </x:c>
    </x:row>
    <x:row r="7" ht="34" customHeight="1">
      <x:c r="A7" s="39" t="str">
        <x:v>3</x:v>
      </x:c>
      <x:c r="B7" s="32" t="str">
        <x:v>Decommissioning Previous: clear A5:AO5004 and paste the previous-day decommissioning data rows at A5.</x:v>
      </x:c>
    </x:row>
    <x:row r="8" ht="34" customHeight="1">
      <x:c r="A8" s="39" t="str">
        <x:v>4</x:v>
      </x:c>
      <x:c r="B8" s="32" t="str">
        <x:v>Provisioning Previous: clear A5:AL5004 and paste the previous-day provisioning data rows at A5.</x:v>
      </x:c>
    </x:row>
    <x:row r="9" ht="34" customHeight="1">
      <x:c r="A9" s="39" t="str">
        <x:v>5</x:v>
      </x:c>
      <x:c r="B9" s="32" t="str">
        <x:v>Open Summary Report. Excel recalculates Previous Day, Current, and movement automatically; use Formulas → Calculate Now if needed.</x:v>
      </x:c>
    </x:row>
    <x:row r="10" ht="34" customHeight="1">
      <x:c r="A10" s="39" t="str">
        <x:v>6</x:v>
      </x:c>
      <x:c r="B10" s="32" t="str">
        <x:v>Save the workbook with the report date in its filename to preserve a daily snapshot.</x:v>
      </x:c>
    </x:row>
    <x:row r="11" ht="34" customHeight="1">
      <x:c r="A11" s="40"/>
      <x:c r="B11" s="40"/>
    </x:row>
    <x:row r="12" ht="34" customHeight="1">
      <x:c r="A12" s="20" t="str">
        <x:v>IMPORTANT CONTROLS</x:v>
      </x:c>
      <x:c r="B12" s="20"/>
      <x:c r="C12" s="19"/>
      <x:c r="D12" s="19"/>
      <x:c r="E12" s="19"/>
      <x:c r="F12" s="19"/>
    </x:row>
    <x:row r="13" ht="34" customHeight="1">
      <x:c r="A13" s="40"/>
      <x:c r="B13" s="40"/>
    </x:row>
    <x:row r="14" ht="34" customHeight="1">
      <x:c r="A14" s="41" t="str">
        <x:v>Headers</x:v>
      </x:c>
      <x:c r="B14" s="32" t="str">
        <x:v>Do not rename, reorder, insert, or delete source columns. The template expects the supplied raw-data formats.</x:v>
      </x:c>
    </x:row>
    <x:row r="15" ht="34" customHeight="1">
      <x:c r="A15" s="41" t="str">
        <x:v>Statuses</x:v>
      </x:c>
      <x:c r="B15" s="32" t="str">
        <x:v>Only processing, pending, and executing are reported.</x:v>
      </x:c>
    </x:row>
    <x:row r="16" ht="34" customHeight="1">
      <x:c r="A16" s="41" t="str">
        <x:v>Mappings</x:v>
      </x:c>
      <x:c r="B16" s="32" t="str">
        <x:v>processing → Pending ASSIGNMENT; executing → Pending EXECUTION; pending → Pending USER CONFIRMATION.</x:v>
      </x:c>
    </x:row>
    <x:row r="17" ht="34" customHeight="1">
      <x:c r="A17" s="41" t="str">
        <x:v>Aging</x:v>
      </x:c>
      <x:c r="B17" s="32" t="str">
        <x:v>processing uses Gate 2 Date; executing and pending use Gate 3 Date. All aging is whole calendar days.</x:v>
      </x:c>
    </x:row>
    <x:row r="18" ht="34" customHeight="1">
      <x:c r="A18" s="41" t="str">
        <x:v>Missing dates</x:v>
      </x:c>
      <x:c r="B18" s="32" t="str">
        <x:v>Blank required dates remain visible as Missing Required Date; they are not counted as zero days.</x:v>
      </x:c>
    </x:row>
    <x:row r="19" ht="34" customHeight="1">
      <x:c r="A19" s="41" t="str">
        <x:v>Previous Day</x:v>
      </x:c>
      <x:c r="B19" s="32" t="str">
        <x:v>Paste yesterday's two extracts into the Previous sheets. This sample uses current data for both periods.</x:v>
      </x:c>
    </x:row>
    <x:row r="20" ht="34" customHeight="1">
      <x:c r="A20" s="41" t="str">
        <x:v>Capacity</x:v>
      </x:c>
      <x:c r="B20" s="32" t="str">
        <x:v>The summary reads up to 5,000 rows per source.</x:v>
      </x:c>
    </x:row>
    <x:row r="22">
      <x:c r="A22" s="27" t="str">
        <x:v>Optional true Refresh All: establish four Power Query connections in desktop Excel—current and previous-day files for each stream—and load them into the matching input tables. Connection metadata is environment-specific.</x:v>
      </x:c>
      <x:c r="B22" s="27"/>
      <x:c r="C22" s="27"/>
      <x:c r="D22" s="27"/>
      <x:c r="E22" s="27"/>
      <x:c r="F22" s="27"/>
    </x:row>
    <x:row r="23">
      <x:c r="A23" s="27"/>
      <x:c r="B23" s="27"/>
      <x:c r="C23" s="27"/>
      <x:c r="D23" s="27"/>
      <x:c r="E23" s="27"/>
      <x:c r="F23" s="27"/>
    </x:row>
    <x:row r="24">
      <x:c r="A24" s="27"/>
      <x:c r="B24" s="27"/>
      <x:c r="C24" s="27"/>
      <x:c r="D24" s="27"/>
      <x:c r="E24" s="27"/>
      <x:c r="F24" s="27"/>
    </x:row>
  </x:sheetData>
  <x:mergeCells>
    <x:mergeCell ref="A1:F1"/>
    <x:mergeCell ref="A3:F3"/>
    <x:mergeCell ref="A12:F12"/>
    <x:mergeCell ref="A22:F2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48" hidden="0" customWidth="1"/>
  </x:cols>
  <x:sheetData>
    <x:row r="1">
      <x:c r="A1" s="11" t="str">
        <x:v>REPORT CONFIGURATION &amp; BUSINESS RULES</x:v>
      </x:c>
      <x:c r="B1" s="11"/>
      <x:c r="C1" s="11"/>
      <x:c r="D1" s="11"/>
      <x:c r="E1" s="11"/>
      <x:c r="F1" s="11"/>
    </x:row>
    <x:row r="3">
      <x:c r="A3" s="28" t="str">
        <x:v>Setting</x:v>
      </x:c>
      <x:c r="B3" s="28" t="str">
        <x:v>Value</x:v>
      </x:c>
    </x:row>
    <x:row r="4">
      <x:c r="A4" s="29" t="str">
        <x:v>Report Date</x:v>
      </x:c>
      <x:c r="B4" s="30" t="n">
        <x:f>TODAY()</x:f>
        <x:v>46251</x:v>
      </x:c>
    </x:row>
    <x:row r="5">
      <x:c r="A5" s="29" t="str">
        <x:v>Maximum rows per input</x:v>
      </x:c>
      <x:c r="B5" s="29" t="n">
        <x:v>5000</x:v>
      </x:c>
    </x:row>
    <x:row r="7">
      <x:c r="A7" s="31" t="str">
        <x:v>Source Status</x:v>
      </x:c>
      <x:c r="B7" s="31" t="str">
        <x:v>Report Treatment</x:v>
      </x:c>
      <x:c r="C7" s="31" t="str">
        <x:v>Aging Basis</x:v>
      </x:c>
    </x:row>
    <x:row r="8">
      <x:c r="A8" s="32" t="str">
        <x:v>processing</x:v>
      </x:c>
      <x:c r="B8" s="32" t="str">
        <x:v>Pending ASSIGNMENT</x:v>
      </x:c>
      <x:c r="C8" s="32" t="str">
        <x:v>Report Date − Gate 2 Date</x:v>
      </x:c>
    </x:row>
    <x:row r="9">
      <x:c r="A9" s="32" t="str">
        <x:v>pending</x:v>
      </x:c>
      <x:c r="B9" s="32" t="str">
        <x:v>Pending USER CONFIRMATION</x:v>
      </x:c>
      <x:c r="C9" s="32" t="str">
        <x:v>Report Date − Gate 3 Date</x:v>
      </x:c>
    </x:row>
    <x:row r="10">
      <x:c r="A10" s="32" t="str">
        <x:v>executing</x:v>
      </x:c>
      <x:c r="B10" s="32" t="str">
        <x:v>Pending EXECUTION</x:v>
      </x:c>
      <x:c r="C10" s="32" t="str">
        <x:v>Report Date − Gate 3 Date</x:v>
      </x:c>
    </x:row>
    <x:row r="11">
      <x:c r="A11" s="32" t="str">
        <x:v>all others</x:v>
      </x:c>
      <x:c r="B11" s="32" t="str">
        <x:v>Excluded</x:v>
      </x:c>
      <x:c r="C11" s="32" t="str">
        <x:v>Not applicable</x:v>
      </x:c>
    </x:row>
    <x:row r="13">
      <x:c r="A13" s="31" t="str">
        <x:v>Aging Bucket</x:v>
      </x:c>
      <x:c r="B13" s="31" t="str">
        <x:v>Rule</x:v>
      </x:c>
    </x:row>
    <x:row r="14">
      <x:c r="A14" s="32" t="str">
        <x:v>71+ days</x:v>
      </x:c>
      <x:c r="B14" s="32" t="str">
        <x:v>&gt;= 71</x:v>
      </x:c>
    </x:row>
    <x:row r="15">
      <x:c r="A15" s="32" t="str">
        <x:v>61-70 days</x:v>
      </x:c>
      <x:c r="B15" s="32" t="str">
        <x:v>61 to 70</x:v>
      </x:c>
    </x:row>
    <x:row r="16">
      <x:c r="A16" s="32" t="str">
        <x:v>31-60 days</x:v>
      </x:c>
      <x:c r="B16" s="32" t="str">
        <x:v>31 to 60</x:v>
      </x:c>
    </x:row>
    <x:row r="17">
      <x:c r="A17" s="32" t="str">
        <x:v>15-30 days</x:v>
      </x:c>
      <x:c r="B17" s="32" t="str">
        <x:v>15 to 30</x:v>
      </x:c>
    </x:row>
    <x:row r="18">
      <x:c r="A18" s="32" t="str">
        <x:v>8-14 days</x:v>
      </x:c>
      <x:c r="B18" s="32" t="str">
        <x:v>8 to 14</x:v>
      </x:c>
    </x:row>
    <x:row r="19">
      <x:c r="A19" s="32" t="str">
        <x:v>3-7 days</x:v>
      </x:c>
      <x:c r="B19" s="32" t="str">
        <x:v>3 to 7</x:v>
      </x:c>
    </x:row>
    <x:row r="20">
      <x:c r="A20" s="32" t="str">
        <x:v>1-2 days</x:v>
      </x:c>
      <x:c r="B20" s="32" t="str">
        <x:v>1 to 2</x:v>
      </x:c>
    </x:row>
    <x:row r="21">
      <x:c r="A21" s="32" t="str">
        <x:v>0 days</x:v>
      </x:c>
      <x:c r="B21" s="32" t="str">
        <x:v>0</x:v>
      </x:c>
    </x:row>
    <x:row r="22">
      <x:c r="A22" s="32" t="str">
        <x:v>Missing Required Date</x:v>
      </x:c>
      <x:c r="B22" s="32" t="str">
        <x:v>Blank Gate 2 for processing; blank Gate 3 for executing/pending</x:v>
      </x:c>
    </x:row>
    <x:row r="23">
      <x:c r="A23" s="32" t="str">
        <x:v>Future Date</x:v>
      </x:c>
      <x:c r="B23" s="32" t="str">
        <x:v>Negative aging</x:v>
      </x:c>
    </x:row>
    <x:row r="25">
      <x:c r="A25" s="27" t="str">
        <x:v>Previous Day inputs: paste yesterday's decommissioning and provisioning extracts into the two Previous sheets. This sample version uses today's extracts in both periods, so all initial deltas are zero.</x:v>
      </x:c>
      <x:c r="B25" s="27"/>
      <x:c r="C25" s="27"/>
      <x:c r="D25" s="27"/>
      <x:c r="E25" s="27"/>
      <x:c r="F25" s="27"/>
    </x:row>
    <x:row r="26">
      <x:c r="A26" s="27"/>
      <x:c r="B26" s="27"/>
      <x:c r="C26" s="27"/>
      <x:c r="D26" s="27"/>
      <x:c r="E26" s="27"/>
      <x:c r="F26" s="27"/>
    </x:row>
    <x:row r="27">
      <x:c r="A27" s="27"/>
      <x:c r="B27" s="27"/>
      <x:c r="C27" s="27"/>
      <x:c r="D27" s="27"/>
      <x:c r="E27" s="27"/>
      <x:c r="F27" s="27"/>
    </x:row>
  </x:sheetData>
  <x:mergeCells>
    <x:mergeCell ref="A1:F1"/>
    <x:mergeCell ref="A25:F27"/>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7" hidden="0" customWidth="1"/>
    <x:col min="4" max="4" width="17" hidden="0" customWidth="1"/>
    <x:col min="5" max="5" width="17" hidden="0" customWidth="1"/>
    <x:col min="6" max="6" width="20" hidden="0" customWidth="1"/>
    <x:col min="7" max="7" width="20" hidden="0" customWidth="1"/>
    <x:col min="8" max="8" width="20" hidden="0" customWidth="1"/>
    <x:col min="9" max="9" width="26" hidden="0" customWidth="1"/>
    <x:col min="10" max="10" width="26" hidden="0" customWidth="1"/>
    <x:col min="11" max="11" width="26" hidden="0" customWidth="1"/>
    <x:col min="12" max="12" width="26" hidden="0" customWidth="1"/>
    <x:col min="42" max="42" width="19" hidden="0" customWidth="1"/>
    <x:col min="43" max="43" width="13" hidden="0" customWidth="1"/>
    <x:col min="44" max="44" width="22" hidden="0" customWidth="1"/>
    <x:col min="45" max="45" width="22" hidden="0" customWidth="1"/>
  </x:cols>
  <x:sheetData>
    <x:row r="1" ht="30" customHeight="1">
      <x:c r="A1" s="12" t="str">
        <x:v>DECOMMISSIONING — CURRENT INPUT TABLE</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c r="AK1" s="12"/>
      <x:c r="AL1" s="12"/>
      <x:c r="AM1" s="12"/>
      <x:c r="AN1" s="12"/>
      <x:c r="AO1" s="12"/>
      <x:c r="AP1" s="12"/>
      <x:c r="AQ1" s="12"/>
      <x:c r="AR1" s="12"/>
      <x:c r="AS1" s="12"/>
    </x:row>
    <x:row r="2" ht="34" customHeight="1">
      <x:c r="A2" s="15" t="str">
        <x:v>Daily: clear only A5:AO5004, then paste source DATA ROWS at A5. Keep the header row and helper columns unchanged.</x:v>
      </x:c>
      <x:c r="B2" s="15"/>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c r="AQ2" s="15"/>
      <x:c r="AR2" s="15"/>
      <x:c r="AS2" s="15"/>
    </x:row>
    <x:row r="3">
      <x:c r="A3" s="17" t="str">
        <x:v>Sample source: CSSP-Decommisioning-1708.xlsx. Period: Current. Summary supports up to 5000 rows.</x:v>
      </x:c>
      <x:c r="B3" s="17"/>
      <x:c r="C3" s="17"/>
      <x:c r="D3" s="17"/>
      <x:c r="E3" s="17"/>
      <x:c r="F3" s="17"/>
      <x:c r="G3" s="17"/>
      <x:c r="H3" s="17"/>
      <x:c r="I3" s="17"/>
      <x:c r="J3" s="17"/>
      <x:c r="K3" s="17"/>
      <x:c r="L3" s="17"/>
      <x:c r="M3" s="17"/>
      <x:c r="N3" s="17"/>
      <x:c r="O3" s="17"/>
      <x:c r="P3" s="17"/>
      <x:c r="Q3" s="17"/>
      <x:c r="R3" s="17"/>
      <x:c r="S3" s="17"/>
      <x:c r="T3" s="17"/>
      <x:c r="U3" s="17"/>
      <x:c r="V3" s="17"/>
      <x:c r="W3" s="17"/>
      <x:c r="X3" s="17"/>
      <x:c r="Y3" s="17"/>
      <x:c r="Z3" s="17"/>
      <x:c r="AA3" s="17"/>
      <x:c r="AB3" s="17"/>
      <x:c r="AC3" s="17"/>
      <x:c r="AD3" s="17"/>
      <x:c r="AE3" s="17"/>
      <x:c r="AF3" s="17"/>
      <x:c r="AG3" s="17"/>
      <x:c r="AH3" s="17"/>
      <x:c r="AI3" s="17"/>
      <x:c r="AJ3" s="17"/>
      <x:c r="AK3" s="17"/>
      <x:c r="AL3" s="17"/>
      <x:c r="AM3" s="17"/>
      <x:c r="AN3" s="17"/>
      <x:c r="AO3" s="17"/>
      <x:c r="AP3" s="17"/>
      <x:c r="AQ3" s="17"/>
      <x:c r="AR3" s="17"/>
      <x:c r="AS3" s="17"/>
    </x:row>
    <x:row r="4" ht="42" customHeight="1">
      <x:c r="A4" s="22" t="str">
        <x:v>id</x:v>
      </x:c>
      <x:c r="B4" s="22" t="str">
        <x:v>request_number</x:v>
      </x:c>
      <x:c r="C4" s="22" t="str">
        <x:v>requestor_id</x:v>
      </x:c>
      <x:c r="D4" s="22" t="str">
        <x:v>request_type</x:v>
      </x:c>
      <x:c r="E4" s="22" t="str">
        <x:v>request_status</x:v>
      </x:c>
      <x:c r="F4" s="22" t="str">
        <x:v>date_created</x:v>
      </x:c>
      <x:c r="G4" s="22" t="str">
        <x:v>date_updated</x:v>
      </x:c>
      <x:c r="H4" s="22" t="str">
        <x:v>date_submitted</x:v>
      </x:c>
      <x:c r="I4" s="22" t="str">
        <x:v>application_name</x:v>
      </x:c>
      <x:c r="J4" s="22" t="str">
        <x:v>project_name</x:v>
      </x:c>
      <x:c r="K4" s="22" t="str">
        <x:v>decommission_type</x:v>
      </x:c>
      <x:c r="L4" s="22" t="str">
        <x:v>powerapps_id</x:v>
      </x:c>
      <x:c r="M4" s="22" t="str">
        <x:v>manager_email</x:v>
      </x:c>
      <x:c r="N4" s="22" t="str">
        <x:v>dns_records</x:v>
      </x:c>
      <x:c r="O4" s="22" t="str">
        <x:v>app_centre_ref</x:v>
      </x:c>
      <x:c r="P4" s="22" t="str">
        <x:v>justification</x:v>
      </x:c>
      <x:c r="Q4" s="22" t="str">
        <x:v>backup</x:v>
      </x:c>
      <x:c r="R4" s="22" t="str">
        <x:v>reason</x:v>
      </x:c>
      <x:c r="S4" s="22" t="str">
        <x:v>origin</x:v>
      </x:c>
      <x:c r="T4" s="22" t="str">
        <x:v>gate_1_status</x:v>
      </x:c>
      <x:c r="U4" s="22" t="str">
        <x:v>gate_1_id</x:v>
      </x:c>
      <x:c r="V4" s="22" t="str">
        <x:v>gate_1_date</x:v>
      </x:c>
      <x:c r="W4" s="22" t="str">
        <x:v>gate_1_comments</x:v>
      </x:c>
      <x:c r="X4" s="22" t="str">
        <x:v>gate_2_status</x:v>
      </x:c>
      <x:c r="Y4" s="22" t="str">
        <x:v>gate_2_id</x:v>
      </x:c>
      <x:c r="Z4" s="22" t="str">
        <x:v>gate_2_date</x:v>
      </x:c>
      <x:c r="AA4" s="22" t="str">
        <x:v>gate_2_comments</x:v>
      </x:c>
      <x:c r="AB4" s="22" t="str">
        <x:v>gate_3_status</x:v>
      </x:c>
      <x:c r="AC4" s="22" t="str">
        <x:v>gate_3_id</x:v>
      </x:c>
      <x:c r="AD4" s="22" t="str">
        <x:v>gate_3_date</x:v>
      </x:c>
      <x:c r="AE4" s="22" t="str">
        <x:v>gate_3_comments</x:v>
      </x:c>
      <x:c r="AF4" s="22" t="str">
        <x:v>gate_4_status</x:v>
      </x:c>
      <x:c r="AG4" s="22" t="str">
        <x:v>gate_4_id</x:v>
      </x:c>
      <x:c r="AH4" s="22" t="str">
        <x:v>gate_4_date</x:v>
      </x:c>
      <x:c r="AI4" s="22" t="str">
        <x:v>gate_4_comments</x:v>
      </x:c>
      <x:c r="AJ4" s="22" t="str">
        <x:v>application_id</x:v>
      </x:c>
      <x:c r="AK4" s="22" t="str">
        <x:v>project_code</x:v>
      </x:c>
      <x:c r="AL4" s="22" t="str">
        <x:v>request_size</x:v>
      </x:c>
      <x:c r="AM4" s="22" t="str">
        <x:v>sr_number</x:v>
      </x:c>
      <x:c r="AN4" s="22" t="str">
        <x:v>data_retention</x:v>
      </x:c>
      <x:c r="AO4" s="22" t="str">
        <x:v>data_retention_duration</x:v>
      </x:c>
      <x:c r="AP4" s="22" t="str">
        <x:v>aging_start_date</x:v>
      </x:c>
      <x:c r="AQ4" s="22" t="str">
        <x:v>aging_days</x:v>
      </x:c>
      <x:c r="AR4" s="22" t="str">
        <x:v>aging_bucket</x:v>
      </x:c>
      <x:c r="AS4" s="22" t="str">
        <x:v>tracking_flag</x:v>
      </x:c>
    </x:row>
    <x:row r="5" ht="24" customHeight="1">
      <x:c r="A5" t="str">
        <x:v>6ef3ecb9-948b-4541-9e2a-8170c8b4d27d</x:v>
      </x:c>
      <x:c r="B5" t="str">
        <x:v>CSSP10149822</x:v>
      </x:c>
      <x:c r="C5" t="str">
        <x:v>maffendy.bobmazmi@petronas.com</x:v>
      </x:c>
      <x:c r="D5" t="str">
        <x:v>decommission-cloud</x:v>
      </x:c>
      <x:c r="E5" t="str">
        <x:v>rejected</x:v>
      </x:c>
      <x:c r="F5" t="str">
        <x:v>2025-04-09T03:59:01.573</x:v>
      </x:c>
      <x:c r="G5" t="n">
        <x:v>46121.16748142361</x:v>
      </x:c>
      <x:c r="H5" t="str">
        <x:v>2025-04-09T03:59:01.573</x:v>
      </x:c>
      <x:c r="I5" t="str">
        <x:v>Asset Integrity Database Axis</x:v>
      </x:c>
      <x:c r="J5" t="str">
        <x:v>NA</x:v>
      </x:c>
      <x:c r="K5"/>
      <x:c r="L5"/>
      <x:c r="M5" t="str">
        <x:v>CCoE Core Services (Private)</x:v>
      </x:c>
      <x:c r="N5" t="str">
        <x:v>https://aida.petronas.com</x:v>
      </x:c>
      <x:c r="O5" t="n">
        <x:v>2637</x:v>
      </x:c>
      <x:c r="P5" t="str">
        <x:v>Application no longer in use.</x:v>
      </x:c>
      <x:c r="Q5" t="str">
        <x:v>2W</x:v>
      </x:c>
      <x:c r="R5" t="str">
        <x:v>Obsolete</x:v>
      </x:c>
      <x:c r="S5" t="str">
        <x:v>cssp-v1</x:v>
      </x:c>
      <x:c r="T5" t="str">
        <x:v>approved</x:v>
      </x:c>
      <x:c r="U5" t="str">
        <x:v>maffendy.bobmazmi@petronas.com</x:v>
      </x:c>
      <x:c r="V5" t="str">
        <x:v>2025-04-09T03:59:01.573</x:v>
      </x:c>
      <x:c r="W5"/>
      <x:c r="X5" t="str">
        <x:v>rejected</x:v>
      </x:c>
      <x:c r="Y5" t="str">
        <x:v>huajin.tan@petronas.com</x:v>
      </x:c>
      <x:c r="Z5" t="n">
        <x:v>46121.167481435186</x:v>
      </x:c>
      <x:c r="AA5"/>
      <x:c r="AB5"/>
      <x:c r="AC5" t="str">
        <x:v>CCoE Core Services (Private)</x:v>
      </x:c>
      <x:c r="AD5"/>
      <x:c r="AE5"/>
      <x:c r="AF5"/>
      <x:c r="AG5" t="str">
        <x:v>CCoE Core Services (Private)</x:v>
      </x:c>
      <x:c r="AH5"/>
      <x:c r="AI5"/>
      <x:c r="AJ5"/>
      <x:c r="AK5"/>
      <x:c r="AL5"/>
      <x:c r="AM5"/>
      <x:c r="AN5"/>
      <x:c r="AO5"/>
      <x:c r="AP5" s="23" t="str">
        <x:f>IF(E5="processing",IF(Z5="","",IF(ISNUMBER(Z5),INT(Z5),DATE(VALUE(LEFT(Z5,4)),VALUE(MID(Z5,6,2)),VALUE(MID(Z5,9,2))))),IF(OR(E5="executing",E5="pending"),IF(AD5="","",IF(ISNUMBER(AD5),INT(AD5),DATE(VALUE(LEFT(AD5,4)),VALUE(MID(AD5,6,2)),VALUE(MID(AD5,9,2))))),""))</x:f>
      </x:c>
      <x:c r="AQ5" s="24" t="str">
        <x:f>IF(AP5="","",INT('Configuration'!$B$4)-AP5)</x:f>
      </x:c>
      <x:c r="AR5" s="25" t="str">
        <x:f>IF(AP5="","Missing Required Date",IF(AQ5&lt;0,"Future Date",IF(AQ5=0,"0 days",IF(AQ5&lt;=2,"1-2 days",IF(AQ5&lt;=7,"3-7 days",IF(AQ5&lt;=14,"8-14 days",IF(AQ5&lt;=30,"15-30 days",IF(AQ5&lt;=60,"31-60 days",IF(AQ5&lt;=70,"61-70 days","71+ days")))))))))</x:f>
        <x:v>Missing Required Date</x:v>
      </x:c>
      <x:c r="AS5" s="25" t="str">
        <x:f>IF(OR(E5="processing",E5="executing",E5="pending"),IF(AP5="","Required aging date missing",IF(AQ5&gt;30,"Escalate &gt;30d",IF(AQ5&gt;14,"Watch &gt;14d","Within 14d"))),"Out of scope")</x:f>
        <x:v>Out of scope</x:v>
      </x:c>
    </x:row>
    <x:row r="6" ht="24" customHeight="1">
      <x:c r="A6" t="str">
        <x:v>8bc99c2f-ccb7-4219-b8be-9e0c4b545b00</x:v>
      </x:c>
      <x:c r="B6" t="str">
        <x:v>CSSP10864680</x:v>
      </x:c>
      <x:c r="C6" t="str">
        <x:v>zahar.ismail@petronas.com</x:v>
      </x:c>
      <x:c r="D6" t="str">
        <x:v>decommission-cloud</x:v>
      </x:c>
      <x:c r="E6" t="str">
        <x:v>rejected</x:v>
      </x:c>
      <x:c r="F6" t="n">
        <x:v>45827.26094421296</x:v>
      </x:c>
      <x:c r="G6" t="n">
        <x:v>46050.08617072917</x:v>
      </x:c>
      <x:c r="H6" t="n">
        <x:v>45827.26094421296</x:v>
      </x:c>
      <x:c r="I6" t="str">
        <x:v>Integrated Project Monitoring &amp; Performance Tracking (i-PROMPT)</x:v>
      </x:c>
      <x:c r="J6" t="str">
        <x:v>Enhancement of Integrated Project Monitoring &amp; Performance Tracking (i-PROMPT), Phase 2 for Malaysia Petroleum Management (MPM)</x:v>
      </x:c>
      <x:c r="K6" t="str">
        <x:v>partial</x:v>
      </x:c>
      <x:c r="L6"/>
      <x:c r="M6" t="str">
        <x:v>karlai.foong@petronas.com.my</x:v>
      </x:c>
      <x:c r="N6"/>
      <x:c r="O6"/>
      <x:c r="P6" t="str">
        <x:v>Service Retirement : TLS 1.0 and 1.1
To decomm Resource Group iPrompt D365
ptazsg-dev-ipms-rg
ptazsg-prod-ipms-rg
</x:v>
      </x:c>
      <x:c r="Q6" t="str">
        <x:v>12M</x:v>
      </x:c>
      <x:c r="R6" t="str">
        <x:v>Obsolete</x:v>
      </x:c>
      <x:c r="S6"/>
      <x:c r="T6" t="str">
        <x:v>approved</x:v>
      </x:c>
      <x:c r="U6" t="str">
        <x:v>zahar.ismail@petronas.com</x:v>
      </x:c>
      <x:c r="V6" t="n">
        <x:v>45827.26497344908</x:v>
      </x:c>
      <x:c r="W6" t="str">
        <x:v>iPrompt D365 is no longer in used. In the process of decommission.</x:v>
      </x:c>
      <x:c r="X6" t="str">
        <x:v>rejected</x:v>
      </x:c>
      <x:c r="Y6" t="str">
        <x:v>azwan.badari@petronas.com</x:v>
      </x:c>
      <x:c r="Z6" t="n">
        <x:v>46050.08617074074</x:v>
      </x:c>
      <x:c r="AA6" t="str">
        <x:v>Please cancel if this request is no longer required.</x:v>
      </x:c>
      <x:c r="AB6"/>
      <x:c r="AC6" t="str">
        <x:v>CCoE Business</x:v>
      </x:c>
      <x:c r="AD6"/>
      <x:c r="AE6"/>
      <x:c r="AF6"/>
      <x:c r="AG6" t="str">
        <x:v>CCoE Operations</x:v>
      </x:c>
      <x:c r="AH6"/>
      <x:c r="AI6"/>
      <x:c r="AJ6" t="str">
        <x:v>A-000399</x:v>
      </x:c>
      <x:c r="AK6" t="n">
        <x:v>2894</x:v>
      </x:c>
      <x:c r="AL6"/>
      <x:c r="AM6"/>
      <x:c r="AN6"/>
      <x:c r="AO6"/>
      <x:c r="AP6" s="23" t="str">
        <x:f>IF(E6="processing",IF(Z6="","",IF(ISNUMBER(Z6),INT(Z6),DATE(VALUE(LEFT(Z6,4)),VALUE(MID(Z6,6,2)),VALUE(MID(Z6,9,2))))),IF(OR(E6="executing",E6="pending"),IF(AD6="","",IF(ISNUMBER(AD6),INT(AD6),DATE(VALUE(LEFT(AD6,4)),VALUE(MID(AD6,6,2)),VALUE(MID(AD6,9,2))))),""))</x:f>
      </x:c>
      <x:c r="AQ6" s="24" t="str">
        <x:f>IF(AP6="","",INT('Configuration'!$B$4)-AP6)</x:f>
      </x:c>
      <x:c r="AR6" s="25" t="str">
        <x:f>IF(AP6="","Missing Required Date",IF(AQ6&lt;0,"Future Date",IF(AQ6=0,"0 days",IF(AQ6&lt;=2,"1-2 days",IF(AQ6&lt;=7,"3-7 days",IF(AQ6&lt;=14,"8-14 days",IF(AQ6&lt;=30,"15-30 days",IF(AQ6&lt;=60,"31-60 days",IF(AQ6&lt;=70,"61-70 days","71+ days")))))))))</x:f>
        <x:v>Missing Required Date</x:v>
      </x:c>
      <x:c r="AS6" s="25" t="str">
        <x:f>IF(OR(E6="processing",E6="executing",E6="pending"),IF(AP6="","Required aging date missing",IF(AQ6&gt;30,"Escalate &gt;30d",IF(AQ6&gt;14,"Watch &gt;14d","Within 14d"))),"Out of scope")</x:f>
        <x:v>Out of scope</x:v>
      </x:c>
    </x:row>
    <x:row r="7" ht="24" customHeight="1">
      <x:c r="A7" t="str">
        <x:v>ec7f5c14-eb0e-42b7-b177-cff3ae2fea77</x:v>
      </x:c>
      <x:c r="B7" t="str">
        <x:v>CSSP10929930</x:v>
      </x:c>
      <x:c r="C7" t="str">
        <x:v>marcus.leongkahsung@petronas.com</x:v>
      </x:c>
      <x:c r="D7" t="str">
        <x:v>decommission-cloud</x:v>
      </x:c>
      <x:c r="E7" t="str">
        <x:v>cancelled</x:v>
      </x:c>
      <x:c r="F7" t="n">
        <x:v>45876.22169540509</x:v>
      </x:c>
      <x:c r="G7" t="n">
        <x:v>46050.0882481713</x:v>
      </x:c>
      <x:c r="H7" t="n">
        <x:v>45876.22169540509</x:v>
      </x:c>
      <x:c r="I7" t="str">
        <x:v>MyMinutes</x:v>
      </x:c>
      <x:c r="J7" t="str">
        <x:v>Project Implementation of myMinutes in Azure under myFinder OPSR</x:v>
      </x:c>
      <x:c r="K7" t="str">
        <x:v>partial</x:v>
      </x:c>
      <x:c r="L7"/>
      <x:c r="M7" t="str">
        <x:v>mfaizal.sidek@petronas.com.my</x:v>
      </x:c>
      <x:c r="N7"/>
      <x:c r="O7"/>
      <x:c r="P7" t="str">
        <x:v>no longer required</x:v>
      </x:c>
      <x:c r="Q7" t="str">
        <x:v>2W</x:v>
      </x:c>
      <x:c r="R7" t="str">
        <x:v>Not in Used</x:v>
      </x:c>
      <x:c r="S7"/>
      <x:c r="T7" t="str">
        <x:v>rejected</x:v>
      </x:c>
      <x:c r="U7" t="str">
        <x:v>azwan.badari@petronas.com</x:v>
      </x:c>
      <x:c r="V7" t="n">
        <x:v>46050.0882481713</x:v>
      </x:c>
      <x:c r="W7"/>
      <x:c r="X7"/>
      <x:c r="Y7" t="str">
        <x:v>mfaizal.sidek@petronas.com</x:v>
      </x:c>
      <x:c r="Z7"/>
      <x:c r="AA7"/>
      <x:c r="AB7"/>
      <x:c r="AC7" t="str">
        <x:v>CCoE Business</x:v>
      </x:c>
      <x:c r="AD7"/>
      <x:c r="AE7"/>
      <x:c r="AF7"/>
      <x:c r="AG7" t="str">
        <x:v>CCoE Operations</x:v>
      </x:c>
      <x:c r="AH7"/>
      <x:c r="AI7"/>
      <x:c r="AJ7" t="str">
        <x:v>A-000487</x:v>
      </x:c>
      <x:c r="AK7" t="str">
        <x:v>PSR05071_1</x:v>
      </x:c>
      <x:c r="AL7"/>
      <x:c r="AM7"/>
      <x:c r="AN7"/>
      <x:c r="AO7"/>
      <x:c r="AP7" s="23" t="str">
        <x:f>IF(E7="processing",IF(Z7="","",IF(ISNUMBER(Z7),INT(Z7),DATE(VALUE(LEFT(Z7,4)),VALUE(MID(Z7,6,2)),VALUE(MID(Z7,9,2))))),IF(OR(E7="executing",E7="pending"),IF(AD7="","",IF(ISNUMBER(AD7),INT(AD7),DATE(VALUE(LEFT(AD7,4)),VALUE(MID(AD7,6,2)),VALUE(MID(AD7,9,2))))),""))</x:f>
      </x:c>
      <x:c r="AQ7" s="24" t="str">
        <x:f>IF(AP7="","",INT('Configuration'!$B$4)-AP7)</x:f>
      </x:c>
      <x:c r="AR7" s="25" t="str">
        <x:f>IF(AP7="","Missing Required Date",IF(AQ7&lt;0,"Future Date",IF(AQ7=0,"0 days",IF(AQ7&lt;=2,"1-2 days",IF(AQ7&lt;=7,"3-7 days",IF(AQ7&lt;=14,"8-14 days",IF(AQ7&lt;=30,"15-30 days",IF(AQ7&lt;=60,"31-60 days",IF(AQ7&lt;=70,"61-70 days","71+ days")))))))))</x:f>
        <x:v>Missing Required Date</x:v>
      </x:c>
      <x:c r="AS7" s="25" t="str">
        <x:f>IF(OR(E7="processing",E7="executing",E7="pending"),IF(AP7="","Required aging date missing",IF(AQ7&gt;30,"Escalate &gt;30d",IF(AQ7&gt;14,"Watch &gt;14d","Within 14d"))),"Out of scope")</x:f>
        <x:v>Out of scope</x:v>
      </x:c>
    </x:row>
    <x:row r="8" ht="24" customHeight="1">
      <x:c r="A8" t="str">
        <x:v>cf939f0d-e824-462f-ba3a-778ac45e27f7</x:v>
      </x:c>
      <x:c r="B8" t="str">
        <x:v>CSSP10288728</x:v>
      </x:c>
      <x:c r="C8" t="str">
        <x:v>engken.choo@petronas.com</x:v>
      </x:c>
      <x:c r="D8" t="str">
        <x:v>decommission-cloud</x:v>
      </x:c>
      <x:c r="E8" t="str">
        <x:v>rejected</x:v>
      </x:c>
      <x:c r="F8" t="n">
        <x:v>45881.272974085645</x:v>
      </x:c>
      <x:c r="G8" t="n">
        <x:v>46050.08747378472</x:v>
      </x:c>
      <x:c r="H8" t="n">
        <x:v>45881.28451481481</x:v>
      </x:c>
      <x:c r="I8" t="str">
        <x:v>Integrated Process Safety System (IPSS)</x:v>
      </x:c>
      <x:c r="J8" t="str">
        <x:v>Enhancement of Integrated Process Safety Solution (IPSS)</x:v>
      </x:c>
      <x:c r="K8" t="str">
        <x:v>partial</x:v>
      </x:c>
      <x:c r="L8"/>
      <x:c r="M8" t="str">
        <x:v>bryan.dewitt@petronas.com.my</x:v>
      </x:c>
      <x:c r="N8" t="str">
        <x:v>hsseipssqa.petronas.com, apihsseipssqa.petronas.com</x:v>
      </x:c>
      <x:c r="O8"/>
      <x:c r="P8" t="str">
        <x:v>the website is no longer required
hsseipssqa.petronas.com
apihsseipssqa.petronas.com</x:v>
      </x:c>
      <x:c r="Q8" t="str">
        <x:v>2W</x:v>
      </x:c>
      <x:c r="R8" t="str">
        <x:v>Not in Used</x:v>
      </x:c>
      <x:c r="S8"/>
      <x:c r="T8" t="str">
        <x:v>approved</x:v>
      </x:c>
      <x:c r="U8" t="str">
        <x:v>engken.choo@petronas.com</x:v>
      </x:c>
      <x:c r="V8" t="n">
        <x:v>45881.28624810185</x:v>
      </x:c>
      <x:c r="W8" t="str">
        <x:v>The following websites are no longer required: 
hsseipssqa.petronas.com and apihsseipssqa.petronas.com. 
Therefore, there is no need to renew their SSL certificates</x:v>
      </x:c>
      <x:c r="X8" t="str">
        <x:v>rejected</x:v>
      </x:c>
      <x:c r="Y8" t="str">
        <x:v>azwan.badari@petronas.com</x:v>
      </x:c>
      <x:c r="Z8" t="n">
        <x:v>46050.087473796295</x:v>
      </x:c>
      <x:c r="AA8" t="str">
        <x:v>Please cancel if this request is no longer required.</x:v>
      </x:c>
      <x:c r="AB8"/>
      <x:c r="AC8" t="str">
        <x:v>CCoE Business</x:v>
      </x:c>
      <x:c r="AD8"/>
      <x:c r="AE8"/>
      <x:c r="AF8"/>
      <x:c r="AG8" t="str">
        <x:v>CCoE Business</x:v>
      </x:c>
      <x:c r="AH8"/>
      <x:c r="AI8"/>
      <x:c r="AJ8" t="str">
        <x:v>A-000401</x:v>
      </x:c>
      <x:c r="AK8" t="n">
        <x:v>3020</x:v>
      </x:c>
      <x:c r="AL8"/>
      <x:c r="AM8"/>
      <x:c r="AN8"/>
      <x:c r="AO8"/>
      <x:c r="AP8" s="23" t="str">
        <x:f>IF(E8="processing",IF(Z8="","",IF(ISNUMBER(Z8),INT(Z8),DATE(VALUE(LEFT(Z8,4)),VALUE(MID(Z8,6,2)),VALUE(MID(Z8,9,2))))),IF(OR(E8="executing",E8="pending"),IF(AD8="","",IF(ISNUMBER(AD8),INT(AD8),DATE(VALUE(LEFT(AD8,4)),VALUE(MID(AD8,6,2)),VALUE(MID(AD8,9,2))))),""))</x:f>
      </x:c>
      <x:c r="AQ8" s="24" t="str">
        <x:f>IF(AP8="","",INT('Configuration'!$B$4)-AP8)</x:f>
      </x:c>
      <x:c r="AR8" s="25" t="str">
        <x:f>IF(AP8="","Missing Required Date",IF(AQ8&lt;0,"Future Date",IF(AQ8=0,"0 days",IF(AQ8&lt;=2,"1-2 days",IF(AQ8&lt;=7,"3-7 days",IF(AQ8&lt;=14,"8-14 days",IF(AQ8&lt;=30,"15-30 days",IF(AQ8&lt;=60,"31-60 days",IF(AQ8&lt;=70,"61-70 days","71+ days")))))))))</x:f>
        <x:v>Missing Required Date</x:v>
      </x:c>
      <x:c r="AS8" s="25" t="str">
        <x:f>IF(OR(E8="processing",E8="executing",E8="pending"),IF(AP8="","Required aging date missing",IF(AQ8&gt;30,"Escalate &gt;30d",IF(AQ8&gt;14,"Watch &gt;14d","Within 14d"))),"Out of scope")</x:f>
        <x:v>Out of scope</x:v>
      </x:c>
    </x:row>
    <x:row r="9" ht="24" customHeight="1">
      <x:c r="A9" t="str">
        <x:v>112a04b8-d292-413d-b6f2-5f78833e3d93</x:v>
      </x:c>
      <x:c r="B9" t="str">
        <x:v>CSSP10737090</x:v>
      </x:c>
      <x:c r="C9" t="str">
        <x:v>vu.bui@petronas.com</x:v>
      </x:c>
      <x:c r="D9" t="str">
        <x:v>decommission-cloud</x:v>
      </x:c>
      <x:c r="E9" t="str">
        <x:v>rejected</x:v>
      </x:c>
      <x:c r="F9" t="n">
        <x:v>45918.15324319444</x:v>
      </x:c>
      <x:c r="G9" t="n">
        <x:v>46050.08263844907</x:v>
      </x:c>
      <x:c r="H9" t="n">
        <x:v>45918.15324319444</x:v>
      </x:c>
      <x:c r="I9" t="str">
        <x:v>PETRONAS HSSE Incident Management System</x:v>
      </x:c>
      <x:c r="J9" t="str">
        <x:v>HSSE Incident Management System (HSSE IM) 6.0 Enhancement</x:v>
      </x:c>
      <x:c r="K9" t="str">
        <x:v>partial</x:v>
      </x:c>
      <x:c r="L9"/>
      <x:c r="M9" t="str">
        <x:v>mfadhlulwafi.mahadi@petronas.com</x:v>
      </x:c>
      <x:c r="N9"/>
      <x:c r="O9"/>
      <x:c r="P9" t="str">
        <x:v>This is resource need decommissioning
https://portal.azure.com/#@PETRONAS.onmicrosoft.com/resource/subscriptions/2be5068f-e0ac-4d57-aedc-96bc9798a265/resourceGroups/PTAZSG-IAC-DEV-MYHSSE-RG/providers/Microsoft.Web/sites/ptazsg-5myhsseimwb01/appServices</x:v>
      </x:c>
      <x:c r="Q9" t="str">
        <x:v>2W</x:v>
      </x:c>
      <x:c r="R9" t="str">
        <x:v>Not in Used</x:v>
      </x:c>
      <x:c r="S9"/>
      <x:c r="T9" t="str">
        <x:v>approved</x:v>
      </x:c>
      <x:c r="U9" t="str">
        <x:v>vu.bui@petronas.com</x:v>
      </x:c>
      <x:c r="V9" t="n">
        <x:v>45918.15614907407</x:v>
      </x:c>
      <x:c r="W9" t="str">
        <x:v>This is resource need decommissioning https://portal.azure.com/#@PETRONAS.onmicrosoft.com/resource/subscriptions/2be5068f-e0ac-4d57-aedc-96bc9798a265/resourceGroups/PTAZSG-IAC-DEV-MYHSSE-RG/providers/Microsoft.Web/sites/ptazsg-5myhsseimwb01/appServices</x:v>
      </x:c>
      <x:c r="X9" t="str">
        <x:v>rejected</x:v>
      </x:c>
      <x:c r="Y9" t="str">
        <x:v>azwan.badari@petronas.com</x:v>
      </x:c>
      <x:c r="Z9" t="n">
        <x:v>46050.08263846065</x:v>
      </x:c>
      <x:c r="AA9" t="str">
        <x:v>Please cancel and resubmit if still require to decommission the resources. Please select the correct project code related to the resources.</x:v>
      </x:c>
      <x:c r="AB9"/>
      <x:c r="AC9" t="str">
        <x:v>CCoE Business</x:v>
      </x:c>
      <x:c r="AD9"/>
      <x:c r="AE9"/>
      <x:c r="AF9"/>
      <x:c r="AG9" t="str">
        <x:v>CCoE Operations</x:v>
      </x:c>
      <x:c r="AH9"/>
      <x:c r="AI9"/>
      <x:c r="AJ9" t="str">
        <x:v>A-000388</x:v>
      </x:c>
      <x:c r="AK9" t="n">
        <x:v>4129</x:v>
      </x:c>
      <x:c r="AL9"/>
      <x:c r="AM9"/>
      <x:c r="AN9"/>
      <x:c r="AO9"/>
      <x:c r="AP9" s="23" t="str">
        <x:f>IF(E9="processing",IF(Z9="","",IF(ISNUMBER(Z9),INT(Z9),DATE(VALUE(LEFT(Z9,4)),VALUE(MID(Z9,6,2)),VALUE(MID(Z9,9,2))))),IF(OR(E9="executing",E9="pending"),IF(AD9="","",IF(ISNUMBER(AD9),INT(AD9),DATE(VALUE(LEFT(AD9,4)),VALUE(MID(AD9,6,2)),VALUE(MID(AD9,9,2))))),""))</x:f>
      </x:c>
      <x:c r="AQ9" s="24" t="str">
        <x:f>IF(AP9="","",INT('Configuration'!$B$4)-AP9)</x:f>
      </x:c>
      <x:c r="AR9" s="25" t="str">
        <x:f>IF(AP9="","Missing Required Date",IF(AQ9&lt;0,"Future Date",IF(AQ9=0,"0 days",IF(AQ9&lt;=2,"1-2 days",IF(AQ9&lt;=7,"3-7 days",IF(AQ9&lt;=14,"8-14 days",IF(AQ9&lt;=30,"15-30 days",IF(AQ9&lt;=60,"31-60 days",IF(AQ9&lt;=70,"61-70 days","71+ days")))))))))</x:f>
        <x:v>Missing Required Date</x:v>
      </x:c>
      <x:c r="AS9" s="25" t="str">
        <x:f>IF(OR(E9="processing",E9="executing",E9="pending"),IF(AP9="","Required aging date missing",IF(AQ9&gt;30,"Escalate &gt;30d",IF(AQ9&gt;14,"Watch &gt;14d","Within 14d"))),"Out of scope")</x:f>
        <x:v>Out of scope</x:v>
      </x:c>
    </x:row>
    <x:row r="10" ht="24" customHeight="1">
      <x:c r="A10" t="str">
        <x:v>81f1d54a-21c5-4b45-b1b2-33b4f09c674d</x:v>
      </x:c>
      <x:c r="B10" t="str">
        <x:v>CSSP10998132</x:v>
      </x:c>
      <x:c r="C10" t="str">
        <x:v>ismail.azman@petronas.com</x:v>
      </x:c>
      <x:c r="D10" t="str">
        <x:v>decommission-cloud</x:v>
      </x:c>
      <x:c r="E10" t="str">
        <x:v>cancelled</x:v>
      </x:c>
      <x:c r="F10" t="n">
        <x:v>45933.33272193287</x:v>
      </x:c>
      <x:c r="G10" t="n">
        <x:v>46050.07927552083</x:v>
      </x:c>
      <x:c r="H10" t="n">
        <x:v>45933.33272193287</x:v>
      </x:c>
      <x:c r="I10" t="str">
        <x:v>Sitecom / Real time Operation - RTO</x:v>
      </x:c>
      <x:c r="J10" t="str">
        <x:v>SecOps of Development (Dev.) Chapter for Upstream Technology, Digital &amp; Innovation</x:v>
      </x:c>
      <x:c r="K10" t="str">
        <x:v>partial</x:v>
      </x:c>
      <x:c r="L10"/>
      <x:c r="M10" t="str">
        <x:v>ismail.azman@petronas.com</x:v>
      </x:c>
      <x:c r="N10" t="str">
        <x:v>Na</x:v>
      </x:c>
      <x:c r="O10" t="str">
        <x:v>NA</x:v>
      </x:c>
      <x:c r="P10" t="str">
        <x:v>Test requests CSSP</x:v>
      </x:c>
      <x:c r="Q10" t="str">
        <x:v>2W</x:v>
      </x:c>
      <x:c r="R10" t="str">
        <x:v>Not in Used</x:v>
      </x:c>
      <x:c r="S10"/>
      <x:c r="T10" t="str">
        <x:v>rejected</x:v>
      </x:c>
      <x:c r="U10" t="str">
        <x:v>azwan.badari@petronas.com</x:v>
      </x:c>
      <x:c r="V10" t="n">
        <x:v>46050.07927553241</x:v>
      </x:c>
      <x:c r="W10" t="str">
        <x:v>Not required</x:v>
      </x:c>
      <x:c r="X10"/>
      <x:c r="Y10" t="str">
        <x:v>ismail.azman@petronas.com</x:v>
      </x:c>
      <x:c r="Z10"/>
      <x:c r="AA10"/>
      <x:c r="AB10"/>
      <x:c r="AC10" t="str">
        <x:v>CCoE Business</x:v>
      </x:c>
      <x:c r="AD10"/>
      <x:c r="AE10"/>
      <x:c r="AF10"/>
      <x:c r="AG10" t="str">
        <x:v>CCoE Operations</x:v>
      </x:c>
      <x:c r="AH10"/>
      <x:c r="AI10"/>
      <x:c r="AJ10" t="str">
        <x:v>A-000766</x:v>
      </x:c>
      <x:c r="AK10" t="n">
        <x:v>4064</x:v>
      </x:c>
      <x:c r="AL10"/>
      <x:c r="AM10"/>
      <x:c r="AN10"/>
      <x:c r="AO10"/>
      <x:c r="AP10" s="23" t="str">
        <x:f>IF(E10="processing",IF(Z10="","",IF(ISNUMBER(Z10),INT(Z10),DATE(VALUE(LEFT(Z10,4)),VALUE(MID(Z10,6,2)),VALUE(MID(Z10,9,2))))),IF(OR(E10="executing",E10="pending"),IF(AD10="","",IF(ISNUMBER(AD10),INT(AD10),DATE(VALUE(LEFT(AD10,4)),VALUE(MID(AD10,6,2)),VALUE(MID(AD10,9,2))))),""))</x:f>
      </x:c>
      <x:c r="AQ10" s="24" t="str">
        <x:f>IF(AP10="","",INT('Configuration'!$B$4)-AP10)</x:f>
      </x:c>
      <x:c r="AR10" s="25" t="str">
        <x:f>IF(AP10="","Missing Required Date",IF(AQ10&lt;0,"Future Date",IF(AQ10=0,"0 days",IF(AQ10&lt;=2,"1-2 days",IF(AQ10&lt;=7,"3-7 days",IF(AQ10&lt;=14,"8-14 days",IF(AQ10&lt;=30,"15-30 days",IF(AQ10&lt;=60,"31-60 days",IF(AQ10&lt;=70,"61-70 days","71+ days")))))))))</x:f>
        <x:v>Missing Required Date</x:v>
      </x:c>
      <x:c r="AS10" s="25" t="str">
        <x:f>IF(OR(E10="processing",E10="executing",E10="pending"),IF(AP10="","Required aging date missing",IF(AQ10&gt;30,"Escalate &gt;30d",IF(AQ10&gt;14,"Watch &gt;14d","Within 14d"))),"Out of scope")</x:f>
        <x:v>Out of scope</x:v>
      </x:c>
    </x:row>
    <x:row r="11" ht="24" customHeight="1">
      <x:c r="A11" t="str">
        <x:v>a8a5792f-a50e-47df-8ad4-b7b033a505c7</x:v>
      </x:c>
      <x:c r="B11" t="str">
        <x:v>CSSP10613042</x:v>
      </x:c>
      <x:c r="C11" t="str">
        <x:v>syafiqfathyamer.moh@petronas.com</x:v>
      </x:c>
      <x:c r="D11" t="str">
        <x:v>decommission-cloud</x:v>
      </x:c>
      <x:c r="E11" t="str">
        <x:v>rejected</x:v>
      </x:c>
      <x:c r="F11" t="n">
        <x:v>45945.38449571759</x:v>
      </x:c>
      <x:c r="G11" t="n">
        <x:v>46139.10167107639</x:v>
      </x:c>
      <x:c r="H11" t="n">
        <x:v>45945.38449571759</x:v>
      </x:c>
      <x:c r="I11" t="str">
        <x:v>PIVOT AA FeedProp</x:v>
      </x:c>
      <x:c r="J11" t="str">
        <x:v>Implementation of PIVOT AA FeedProp Phase 2</x:v>
      </x:c>
      <x:c r="K11" t="str">
        <x:v>partial</x:v>
      </x:c>
      <x:c r="L11"/>
      <x:c r="M11" t="str">
        <x:v>sunny.khiani@petronas.com.my</x:v>
      </x:c>
      <x:c r="N11"/>
      <x:c r="O11"/>
      <x:c r="P11" t="str">
        <x:v>Decommission leftover infrastructure.</x:v>
      </x:c>
      <x:c r="Q11" t="str">
        <x:v>1M</x:v>
      </x:c>
      <x:c r="R11" t="str">
        <x:v>Not in Used</x:v>
      </x:c>
      <x:c r="S11"/>
      <x:c r="T11" t="str">
        <x:v>approved</x:v>
      </x:c>
      <x:c r="U11" t="str">
        <x:v>sunny.khiani@petronas.com</x:v>
      </x:c>
      <x:c r="V11" t="n">
        <x:v>46136.17888002315</x:v>
      </x:c>
      <x:c r="W11" t="str">
        <x:v>approved</x:v>
      </x:c>
      <x:c r="X11" t="str">
        <x:v>approved</x:v>
      </x:c>
      <x:c r="Y11" t="str">
        <x:v>sunny.khiani@petronas.com</x:v>
      </x:c>
      <x:c r="Z11" t="n">
        <x:v>46136.179360925926</x:v>
      </x:c>
      <x:c r="AA11" t="str">
        <x:v>approved </x:v>
      </x:c>
      <x:c r="AB11" t="str">
        <x:v>rejected</x:v>
      </x:c>
      <x:c r="AC11" t="str">
        <x:v>azwan.badari@petronas.com</x:v>
      </x:c>
      <x:c r="AD11" t="n">
        <x:v>46139.10167108796</x:v>
      </x:c>
      <x:c r="AE11" t="str">
        <x:v>Rejected because no resources to be decommissioned has been selected and no approval been attached. </x:v>
      </x:c>
      <x:c r="AF11"/>
      <x:c r="AG11" t="str">
        <x:v>CCoE Operations</x:v>
      </x:c>
      <x:c r="AH11"/>
      <x:c r="AI11"/>
      <x:c r="AJ11" t="str">
        <x:v>A-000607</x:v>
      </x:c>
      <x:c r="AK11" t="n">
        <x:v>1221</x:v>
      </x:c>
      <x:c r="AL11"/>
      <x:c r="AM11"/>
      <x:c r="AN11"/>
      <x:c r="AO11"/>
      <x:c r="AP11" s="23" t="str">
        <x:f>IF(E11="processing",IF(Z11="","",IF(ISNUMBER(Z11),INT(Z11),DATE(VALUE(LEFT(Z11,4)),VALUE(MID(Z11,6,2)),VALUE(MID(Z11,9,2))))),IF(OR(E11="executing",E11="pending"),IF(AD11="","",IF(ISNUMBER(AD11),INT(AD11),DATE(VALUE(LEFT(AD11,4)),VALUE(MID(AD11,6,2)),VALUE(MID(AD11,9,2))))),""))</x:f>
      </x:c>
      <x:c r="AQ11" s="24" t="str">
        <x:f>IF(AP11="","",INT('Configuration'!$B$4)-AP11)</x:f>
      </x:c>
      <x:c r="AR11" s="25" t="str">
        <x:f>IF(AP11="","Missing Required Date",IF(AQ11&lt;0,"Future Date",IF(AQ11=0,"0 days",IF(AQ11&lt;=2,"1-2 days",IF(AQ11&lt;=7,"3-7 days",IF(AQ11&lt;=14,"8-14 days",IF(AQ11&lt;=30,"15-30 days",IF(AQ11&lt;=60,"31-60 days",IF(AQ11&lt;=70,"61-70 days","71+ days")))))))))</x:f>
        <x:v>Missing Required Date</x:v>
      </x:c>
      <x:c r="AS11" s="25" t="str">
        <x:f>IF(OR(E11="processing",E11="executing",E11="pending"),IF(AP11="","Required aging date missing",IF(AQ11&gt;30,"Escalate &gt;30d",IF(AQ11&gt;14,"Watch &gt;14d","Within 14d"))),"Out of scope")</x:f>
        <x:v>Out of scope</x:v>
      </x:c>
    </x:row>
    <x:row r="12" ht="24" customHeight="1">
      <x:c r="A12" t="str">
        <x:v>0daf85c0-fa94-4cfa-83fb-50b5382fa146</x:v>
      </x:c>
      <x:c r="B12" t="str">
        <x:v>CSSP10685915</x:v>
      </x:c>
      <x:c r="C12" t="str">
        <x:v>syafiqfathyamer.moh@petronas.com</x:v>
      </x:c>
      <x:c r="D12" t="str">
        <x:v>decommission-cloud</x:v>
      </x:c>
      <x:c r="E12" t="str">
        <x:v>executing</x:v>
      </x:c>
      <x:c r="F12" t="n">
        <x:v>45945.388504953706</x:v>
      </x:c>
      <x:c r="G12" t="n">
        <x:v>46229.69473699074</x:v>
      </x:c>
      <x:c r="H12" t="n">
        <x:v>46217.11628459491</x:v>
      </x:c>
      <x:c r="I12" t="str">
        <x:v>PIVOT CGC Fouling</x:v>
      </x:c>
      <x:c r="J12" t="str">
        <x:v>OSR00154: Support and Maintenance for PIVOT Program for Group Digital – CAPEX – PIVOT CGC Fouling</x:v>
      </x:c>
      <x:c r="K12" t="str">
        <x:v>partial</x:v>
      </x:c>
      <x:c r="L12"/>
      <x:c r="M12" t="str">
        <x:v>sunny.khiani@petronas.com.my</x:v>
      </x:c>
      <x:c r="N12"/>
      <x:c r="O12"/>
      <x:c r="P12" t="str">
        <x:v>Business agreed to decommission this application</x:v>
      </x:c>
      <x:c r="Q12" t="str">
        <x:v>1M</x:v>
      </x:c>
      <x:c r="R12" t="str">
        <x:v>Not in Used</x:v>
      </x:c>
      <x:c r="S12"/>
      <x:c r="T12" t="str">
        <x:v>approved</x:v>
      </x:c>
      <x:c r="U12" t="str">
        <x:v>syafiqfathyamer.moh@petronas.com</x:v>
      </x:c>
      <x:c r="V12" t="n">
        <x:v>46217.25918592593</x:v>
      </x:c>
      <x:c r="W12" t="str">
        <x:v>Requesting approval for decommission CGC Fouling</x:v>
      </x:c>
      <x:c r="X12" t="str">
        <x:v>approved</x:v>
      </x:c>
      <x:c r="Y12" t="str">
        <x:v>sunny.khiani@petronas.com</x:v>
      </x:c>
      <x:c r="Z12" t="n">
        <x:v>46220.10225755787</x:v>
      </x:c>
      <x:c r="AA12" t="str">
        <x:v>please do a scream test and make necessary data backups</x:v>
      </x:c>
      <x:c r="AB12" t="str">
        <x:v>approved</x:v>
      </x:c>
      <x:c r="AC12" t="str">
        <x:v>abhishek.bhowate@petronas.com</x:v>
      </x:c>
      <x:c r="AD12" t="n">
        <x:v>46229.69473701389</x:v>
      </x:c>
      <x:c r="AE12" t="str">
        <x:v>approve</x:v>
      </x:c>
      <x:c r="AF12"/>
      <x:c r="AG12" t="str">
        <x:v>IMS - CLOUD CSSP EXECUTOR</x:v>
      </x:c>
      <x:c r="AH12"/>
      <x:c r="AI12"/>
      <x:c r="AJ12" t="str">
        <x:v>A-000610</x:v>
      </x:c>
      <x:c r="AK12" t="str">
        <x:v>OSR00154_1</x:v>
      </x:c>
      <x:c r="AL12" t="str">
        <x:v>M</x:v>
      </x:c>
      <x:c r="AM12" t="str">
        <x:v>REQ000008194179</x:v>
      </x:c>
      <x:c r="AN12"/>
      <x:c r="AO12"/>
      <x:c r="AP12" s="23" t="n">
        <x:f>IF(E12="processing",IF(Z12="","",IF(ISNUMBER(Z12),INT(Z12),DATE(VALUE(LEFT(Z12,4)),VALUE(MID(Z12,6,2)),VALUE(MID(Z12,9,2))))),IF(OR(E12="executing",E12="pending"),IF(AD12="","",IF(ISNUMBER(AD12),INT(AD12),DATE(VALUE(LEFT(AD12,4)),VALUE(MID(AD12,6,2)),VALUE(MID(AD12,9,2))))),""))</x:f>
        <x:v>46229</x:v>
      </x:c>
      <x:c r="AQ12" s="24" t="n">
        <x:f>IF(AP12="","",INT('Configuration'!$B$4)-AP12)</x:f>
        <x:v>22</x:v>
      </x:c>
      <x:c r="AR12" s="25" t="str">
        <x:f>IF(AP12="","Missing Required Date",IF(AQ12&lt;0,"Future Date",IF(AQ12=0,"0 days",IF(AQ12&lt;=2,"1-2 days",IF(AQ12&lt;=7,"3-7 days",IF(AQ12&lt;=14,"8-14 days",IF(AQ12&lt;=30,"15-30 days",IF(AQ12&lt;=60,"31-60 days",IF(AQ12&lt;=70,"61-70 days","71+ days")))))))))</x:f>
        <x:v>15-30 days</x:v>
      </x:c>
      <x:c r="AS12" s="25" t="str">
        <x:f>IF(OR(E12="processing",E12="executing",E12="pending"),IF(AP12="","Required aging date missing",IF(AQ12&gt;30,"Escalate &gt;30d",IF(AQ12&gt;14,"Watch &gt;14d","Within 14d"))),"Out of scope")</x:f>
        <x:v>Watch &gt;14d</x:v>
      </x:c>
    </x:row>
    <x:row r="13" ht="24" customHeight="1">
      <x:c r="A13" t="str">
        <x:v>b8d9c41d-6ef1-4a89-ae40-a399e55eb53b</x:v>
      </x:c>
      <x:c r="B13" t="str">
        <x:v>CSSP10541419</x:v>
      </x:c>
      <x:c r="C13" t="str">
        <x:v>mizznajwan.mzaki@petronas.com</x:v>
      </x:c>
      <x:c r="D13" t="str">
        <x:v>decommission-cloud</x:v>
      </x:c>
      <x:c r="E13" t="str">
        <x:v>completed</x:v>
      </x:c>
      <x:c r="F13" t="n">
        <x:v>45947.11423760417</x:v>
      </x:c>
      <x:c r="G13" t="n">
        <x:v>46069.334303090276</x:v>
      </x:c>
      <x:c r="H13" t="n">
        <x:v>46059.378132199075</x:v>
      </x:c>
      <x:c r="I13" t="str">
        <x:v>Regasification Terminal Sungai Udang Digital Transformation - RGTSU-DX</x:v>
      </x:c>
      <x:c r="J13" t="str">
        <x:v>Digital Transformation at RGTSU (RGTSU-DX Phase 2)</x:v>
      </x:c>
      <x:c r="K13" t="str">
        <x:v>partial</x:v>
      </x:c>
      <x:c r="L13"/>
      <x:c r="M13" t="str">
        <x:v>masmaliza.zolkefli@petronas.com.my</x:v>
      </x:c>
      <x:c r="N13"/>
      <x:c r="O13"/>
      <x:c r="P13" t="str">
        <x:v>Application interface moved from FUSE to Graffiquo VIP</x:v>
      </x:c>
      <x:c r="Q13" t="str">
        <x:v>3M</x:v>
      </x:c>
      <x:c r="R13" t="str">
        <x:v>Consolidation</x:v>
      </x:c>
      <x:c r="S13"/>
      <x:c r="T13" t="str">
        <x:v>approved</x:v>
      </x:c>
      <x:c r="U13" t="str">
        <x:v>mizznajwan.mzaki@petronas.com</x:v>
      </x:c>
      <x:c r="V13" t="n">
        <x:v>46059.37866371528</x:v>
      </x:c>
      <x:c r="W13" t="str">
        <x:v>Decomm request as Application interface moved from FUSE to Graffiquo VIP</x:v>
      </x:c>
      <x:c r="X13" t="str">
        <x:v>approved</x:v>
      </x:c>
      <x:c r="Y13" t="str">
        <x:v>masmaliza.zolkefli@petronas.com</x:v>
      </x:c>
      <x:c r="Z13" t="n">
        <x:v>46059.55119658565</x:v>
      </x:c>
      <x:c r="AA13" t="str">
        <x:v>To ensure no interruption to current system.</x:v>
      </x:c>
      <x:c r="AB13" t="str">
        <x:v>approved</x:v>
      </x:c>
      <x:c r="AC13" t="str">
        <x:v>azwan.badari@petronas.com</x:v>
      </x:c>
      <x:c r="AD13" t="n">
        <x:v>46064.08149819444</x:v>
      </x:c>
      <x:c r="AE13" t="str">
        <x:v>Decommissioned under CSSP10136862 / REQ000007261851 </x:v>
      </x:c>
      <x:c r="AF13" t="str">
        <x:v>approved</x:v>
      </x:c>
      <x:c r="AG13" t="str">
        <x:v>azwan.badari@petronas.com</x:v>
      </x:c>
      <x:c r="AH13" t="n">
        <x:v>46069.334303090276</x:v>
      </x:c>
      <x:c r="AI13" t="str">
        <x:v>Completed</x:v>
      </x:c>
      <x:c r="AJ13" t="str">
        <x:v>A-000689</x:v>
      </x:c>
      <x:c r="AK13" t="n">
        <x:v>1938</x:v>
      </x:c>
      <x:c r="AL13" t="str">
        <x:v>S</x:v>
      </x:c>
      <x:c r="AM13" t="str">
        <x:v>REQ000007870526</x:v>
      </x:c>
      <x:c r="AN13"/>
      <x:c r="AO13"/>
      <x:c r="AP13" s="23" t="str">
        <x:f>IF(E13="processing",IF(Z13="","",IF(ISNUMBER(Z13),INT(Z13),DATE(VALUE(LEFT(Z13,4)),VALUE(MID(Z13,6,2)),VALUE(MID(Z13,9,2))))),IF(OR(E13="executing",E13="pending"),IF(AD13="","",IF(ISNUMBER(AD13),INT(AD13),DATE(VALUE(LEFT(AD13,4)),VALUE(MID(AD13,6,2)),VALUE(MID(AD13,9,2))))),""))</x:f>
      </x:c>
      <x:c r="AQ13" s="24" t="str">
        <x:f>IF(AP13="","",INT('Configuration'!$B$4)-AP13)</x:f>
      </x:c>
      <x:c r="AR13" s="25" t="str">
        <x:f>IF(AP13="","Missing Required Date",IF(AQ13&lt;0,"Future Date",IF(AQ13=0,"0 days",IF(AQ13&lt;=2,"1-2 days",IF(AQ13&lt;=7,"3-7 days",IF(AQ13&lt;=14,"8-14 days",IF(AQ13&lt;=30,"15-30 days",IF(AQ13&lt;=60,"31-60 days",IF(AQ13&lt;=70,"61-70 days","71+ days")))))))))</x:f>
        <x:v>Missing Required Date</x:v>
      </x:c>
      <x:c r="AS13" s="25" t="str">
        <x:f>IF(OR(E13="processing",E13="executing",E13="pending"),IF(AP13="","Required aging date missing",IF(AQ13&gt;30,"Escalate &gt;30d",IF(AQ13&gt;14,"Watch &gt;14d","Within 14d"))),"Out of scope")</x:f>
        <x:v>Out of scope</x:v>
      </x:c>
    </x:row>
    <x:row r="14" ht="24" customHeight="1">
      <x:c r="A14" t="str">
        <x:v>6056a465-c1d3-4d7e-bce5-d60e154e7c1e</x:v>
      </x:c>
      <x:c r="B14" t="str">
        <x:v>CSSP10512939</x:v>
      </x:c>
      <x:c r="C14" t="str">
        <x:v>mfaizal.suriyat@petronas.com</x:v>
      </x:c>
      <x:c r="D14" t="str">
        <x:v>decommission-cloud</x:v>
      </x:c>
      <x:c r="E14" t="str">
        <x:v>rejected</x:v>
      </x:c>
      <x:c r="F14" t="n">
        <x:v>45958.01583797453</x:v>
      </x:c>
      <x:c r="G14" t="n">
        <x:v>46050.37783171296</x:v>
      </x:c>
      <x:c r="H14" t="n">
        <x:v>45958.01583797453</x:v>
      </x:c>
      <x:c r="I14" t="str">
        <x:v>Predictive Analytics for Pipeline Freespan - PrAnSpan</x:v>
      </x:c>
      <x:c r="J14" t="str">
        <x:v>Support and Maintenance of Predictive Analytic Freespan (PrAnSpan) for GTS</x:v>
      </x:c>
      <x:c r="K14" t="str">
        <x:v>partial</x:v>
      </x:c>
      <x:c r="L14"/>
      <x:c r="M14" t="str">
        <x:v>shekha.mahdhar@petronas.com.my</x:v>
      </x:c>
      <x:c r="N14"/>
      <x:c r="O14" t="n">
        <x:v>2090</x:v>
      </x:c>
      <x:c r="P14" t="str">
        <x:v>Cloud Migration - modernization</x:v>
      </x:c>
      <x:c r="Q14" t="str">
        <x:v>1M</x:v>
      </x:c>
      <x:c r="R14" t="str">
        <x:v>Cloud Migration</x:v>
      </x:c>
      <x:c r="S14"/>
      <x:c r="T14" t="str">
        <x:v>approved</x:v>
      </x:c>
      <x:c r="U14" t="str">
        <x:v>mfaizal.suriyat@petronas.com</x:v>
      </x:c>
      <x:c r="V14" t="n">
        <x:v>45958.017802152775</x:v>
      </x:c>
      <x:c r="W14" t="str">
        <x:v>Remove All Component and RG in this RG - PTAZSG-PROD-PRANSPAN-ANALYTICS-GTS-RG</x:v>
      </x:c>
      <x:c r="X14" t="str">
        <x:v>approved</x:v>
      </x:c>
      <x:c r="Y14" t="str">
        <x:v>shekha.mahdhar@petronas.com</x:v>
      </x:c>
      <x:c r="Z14" t="n">
        <x:v>46050.34223949074</x:v>
      </x:c>
      <x:c r="AA14" t="str">
        <x:v>Ok</x:v>
      </x:c>
      <x:c r="AB14" t="str">
        <x:v>rejected</x:v>
      </x:c>
      <x:c r="AC14" t="str">
        <x:v>azwan.badari@petronas.com</x:v>
      </x:c>
      <x:c r="AD14" t="n">
        <x:v>46050.37783171296</x:v>
      </x:c>
      <x:c r="AE14" t="str">
        <x:v>Duplicate. RG PTAZSG-PROD-PRANSPAN-ANALYTICS-GTS-RG has been deleted under CSSP10803658.
Please cancel this request.</x:v>
      </x:c>
      <x:c r="AF14"/>
      <x:c r="AG14" t="str">
        <x:v>CCoE Operations</x:v>
      </x:c>
      <x:c r="AH14"/>
      <x:c r="AI14"/>
      <x:c r="AJ14" t="str">
        <x:v>A-000644</x:v>
      </x:c>
      <x:c r="AK14" t="n">
        <x:v>2090</x:v>
      </x:c>
      <x:c r="AL14"/>
      <x:c r="AM14"/>
      <x:c r="AN14" t="str">
        <x:v>noretention</x:v>
      </x:c>
      <x:c r="AO14" t="n">
        <x:v>0</x:v>
      </x:c>
      <x:c r="AP14" s="23" t="str">
        <x:f>IF(E14="processing",IF(Z14="","",IF(ISNUMBER(Z14),INT(Z14),DATE(VALUE(LEFT(Z14,4)),VALUE(MID(Z14,6,2)),VALUE(MID(Z14,9,2))))),IF(OR(E14="executing",E14="pending"),IF(AD14="","",IF(ISNUMBER(AD14),INT(AD14),DATE(VALUE(LEFT(AD14,4)),VALUE(MID(AD14,6,2)),VALUE(MID(AD14,9,2))))),""))</x:f>
      </x:c>
      <x:c r="AQ14" s="24" t="str">
        <x:f>IF(AP14="","",INT('Configuration'!$B$4)-AP14)</x:f>
      </x:c>
      <x:c r="AR14" s="25" t="str">
        <x:f>IF(AP14="","Missing Required Date",IF(AQ14&lt;0,"Future Date",IF(AQ14=0,"0 days",IF(AQ14&lt;=2,"1-2 days",IF(AQ14&lt;=7,"3-7 days",IF(AQ14&lt;=14,"8-14 days",IF(AQ14&lt;=30,"15-30 days",IF(AQ14&lt;=60,"31-60 days",IF(AQ14&lt;=70,"61-70 days","71+ days")))))))))</x:f>
        <x:v>Missing Required Date</x:v>
      </x:c>
      <x:c r="AS14" s="25" t="str">
        <x:f>IF(OR(E14="processing",E14="executing",E14="pending"),IF(AP14="","Required aging date missing",IF(AQ14&gt;30,"Escalate &gt;30d",IF(AQ14&gt;14,"Watch &gt;14d","Within 14d"))),"Out of scope")</x:f>
        <x:v>Out of scope</x:v>
      </x:c>
    </x:row>
    <x:row r="15" ht="24" customHeight="1">
      <x:c r="A15" t="str">
        <x:v>b5a262c2-6796-42be-83da-2a301b1d6e76</x:v>
      </x:c>
      <x:c r="B15" t="str">
        <x:v>CSSP10596587</x:v>
      </x:c>
      <x:c r="C15" t="str">
        <x:v>mfaizal.suriyat@petronas.com</x:v>
      </x:c>
      <x:c r="D15" t="str">
        <x:v>decommission-cloud</x:v>
      </x:c>
      <x:c r="E15" t="str">
        <x:v>pending</x:v>
      </x:c>
      <x:c r="F15" t="n">
        <x:v>45958.0190974537</x:v>
      </x:c>
      <x:c r="G15" t="n">
        <x:v>46050.34166543982</x:v>
      </x:c>
      <x:c r="H15" t="n">
        <x:v>45958.0190974537</x:v>
      </x:c>
      <x:c r="I15" t="str">
        <x:v>Predictive Analytics for Pipeline Freespan - PrAnSpan</x:v>
      </x:c>
      <x:c r="J15" t="str">
        <x:v>Support and Maintenance of Predictive Analytic Freespan (PrAnSpan) for GTS</x:v>
      </x:c>
      <x:c r="K15" t="str">
        <x:v>partial</x:v>
      </x:c>
      <x:c r="L15"/>
      <x:c r="M15" t="str">
        <x:v>shekha.mahdhar@petronas.com.my</x:v>
      </x:c>
      <x:c r="N15"/>
      <x:c r="O15" t="n">
        <x:v>2090</x:v>
      </x:c>
      <x:c r="P15" t="str">
        <x:v>Cloud Migration - Modernization</x:v>
      </x:c>
      <x:c r="Q15" t="str">
        <x:v>1M</x:v>
      </x:c>
      <x:c r="R15" t="str">
        <x:v>Cloud Migration</x:v>
      </x:c>
      <x:c r="S15"/>
      <x:c r="T15" t="str">
        <x:v>approved</x:v>
      </x:c>
      <x:c r="U15" t="str">
        <x:v>shekha.mahdhar@petronas.com</x:v>
      </x:c>
      <x:c r="V15" t="n">
        <x:v>46050.341665451386</x:v>
      </x:c>
      <x:c r="W15" t="str">
        <x:v>As requested</x:v>
      </x:c>
      <x:c r="X15"/>
      <x:c r="Y15" t="str">
        <x:v>shekha.mahdhar@petronas.com</x:v>
      </x:c>
      <x:c r="Z15"/>
      <x:c r="AA15"/>
      <x:c r="AB15"/>
      <x:c r="AC15" t="str">
        <x:v>CCoE Business</x:v>
      </x:c>
      <x:c r="AD15"/>
      <x:c r="AE15"/>
      <x:c r="AF15"/>
      <x:c r="AG15" t="str">
        <x:v>CCoE Operations</x:v>
      </x:c>
      <x:c r="AH15"/>
      <x:c r="AI15"/>
      <x:c r="AJ15" t="str">
        <x:v>A-000644</x:v>
      </x:c>
      <x:c r="AK15" t="n">
        <x:v>2090</x:v>
      </x:c>
      <x:c r="AL15"/>
      <x:c r="AM15"/>
      <x:c r="AN15" t="str">
        <x:v>noretention</x:v>
      </x:c>
      <x:c r="AO15" t="n">
        <x:v>0</x:v>
      </x:c>
      <x:c r="AP15" s="23" t="str">
        <x:f>IF(E15="processing",IF(Z15="","",IF(ISNUMBER(Z15),INT(Z15),DATE(VALUE(LEFT(Z15,4)),VALUE(MID(Z15,6,2)),VALUE(MID(Z15,9,2))))),IF(OR(E15="executing",E15="pending"),IF(AD15="","",IF(ISNUMBER(AD15),INT(AD15),DATE(VALUE(LEFT(AD15,4)),VALUE(MID(AD15,6,2)),VALUE(MID(AD15,9,2))))),""))</x:f>
      </x:c>
      <x:c r="AQ15" s="24" t="str">
        <x:f>IF(AP15="","",INT('Configuration'!$B$4)-AP15)</x:f>
      </x:c>
      <x:c r="AR15" s="25" t="str">
        <x:f>IF(AP15="","Missing Required Date",IF(AQ15&lt;0,"Future Date",IF(AQ15=0,"0 days",IF(AQ15&lt;=2,"1-2 days",IF(AQ15&lt;=7,"3-7 days",IF(AQ15&lt;=14,"8-14 days",IF(AQ15&lt;=30,"15-30 days",IF(AQ15&lt;=60,"31-60 days",IF(AQ15&lt;=70,"61-70 days","71+ days")))))))))</x:f>
        <x:v>Missing Required Date</x:v>
      </x:c>
      <x:c r="AS15" s="25" t="str">
        <x:f>IF(OR(E15="processing",E15="executing",E15="pending"),IF(AP15="","Required aging date missing",IF(AQ15&gt;30,"Escalate &gt;30d",IF(AQ15&gt;14,"Watch &gt;14d","Within 14d"))),"Out of scope")</x:f>
        <x:v>Required aging date missing</x:v>
      </x:c>
    </x:row>
    <x:row r="16" ht="24" customHeight="1">
      <x:c r="A16" t="str">
        <x:v>6107ea3c-5eec-487f-985c-73ea8f886762</x:v>
      </x:c>
      <x:c r="B16" t="str">
        <x:v>CSSP10170875</x:v>
      </x:c>
      <x:c r="C16" t="str">
        <x:v>waffiudin.aziz@petronas.com</x:v>
      </x:c>
      <x:c r="D16" t="str">
        <x:v>decommission-cloud</x:v>
      </x:c>
      <x:c r="E16" t="str">
        <x:v>completed</x:v>
      </x:c>
      <x:c r="F16" t="n">
        <x:v>45981.19213831019</x:v>
      </x:c>
      <x:c r="G16" t="n">
        <x:v>46048.29490238426</x:v>
      </x:c>
      <x:c r="H16" t="n">
        <x:v>45981.19213831019</x:v>
      </x:c>
      <x:c r="I16" t="str">
        <x:v>Mobile View for Aeroscout Location Engine - ALE</x:v>
      </x:c>
      <x:c r="J16" t="str">
        <x:v>Mobile View for Aeroscout Location Engine - ALE created for PRIVATECLOUD project record</x:v>
      </x:c>
      <x:c r="K16" t="str">
        <x:v>full</x:v>
      </x:c>
      <x:c r="L16" t="str">
        <x:v>NA</x:v>
      </x:c>
      <x:c r="M16" t="str">
        <x:v>rohaizad_rozali@petronas.com.my</x:v>
      </x:c>
      <x:c r="N16"/>
      <x:c r="O16"/>
      <x:c r="P16" t="str">
        <x:v>Apps no longer in used by asset</x:v>
      </x:c>
      <x:c r="Q16" t="str">
        <x:v>2W</x:v>
      </x:c>
      <x:c r="R16" t="str">
        <x:v>Not in Used</x:v>
      </x:c>
      <x:c r="S16"/>
      <x:c r="T16" t="str">
        <x:v>approved</x:v>
      </x:c>
      <x:c r="U16" t="str">
        <x:v>waffiudin.aziz@petronas.com</x:v>
      </x:c>
      <x:c r="V16" t="n">
        <x:v>45981.19275444445</x:v>
      </x:c>
      <x:c r="W16" t="str">
        <x:v>Reviewed with Abd Latif M Tobi (Gas Business Product Management)</x:v>
      </x:c>
      <x:c r="X16" t="str">
        <x:v>approved</x:v>
      </x:c>
      <x:c r="Y16" t="str">
        <x:v>rohaizad_rozali@petronas.com</x:v>
      </x:c>
      <x:c r="Z16" t="n">
        <x:v>45995.21524046296</x:v>
      </x:c>
      <x:c r="AA16" t="str">
        <x:v>Approved</x:v>
      </x:c>
      <x:c r="AB16" t="str">
        <x:v>approved</x:v>
      </x:c>
      <x:c r="AC16" t="str">
        <x:v>azwan.badari@petronas.com</x:v>
      </x:c>
      <x:c r="AD16" t="n">
        <x:v>46042.30823962963</x:v>
      </x:c>
      <x:c r="AE16" t="str">
        <x:v>Shutdown for more than 1 month but no reports or complain.
vCENPPGBMVAP02.PETRONAS.PETRONET.DIR	10.14.65.131	TM KVDC
vCENPPGBMVDB01.PETRONAS.PETRONET.DIR	10.14.65.132	TM KVDC
</x:v>
      </x:c>
      <x:c r="AF16" t="str">
        <x:v>approved</x:v>
      </x:c>
      <x:c r="AG16" t="str">
        <x:v>azlisham.md@petronas.com</x:v>
      </x:c>
      <x:c r="AH16" t="n">
        <x:v>46048.294902395835</x:v>
      </x:c>
      <x:c r="AI16" t="str">
        <x:v>The decommission request has been completed, and the status is now updated accordingly. Kindly verify from your end and confirm once reviewed.
</x:v>
      </x:c>
      <x:c r="AJ16" t="str">
        <x:v>A-000040</x:v>
      </x:c>
      <x:c r="AK16" t="n">
        <x:v>10017</x:v>
      </x:c>
      <x:c r="AL16" t="str">
        <x:v>M</x:v>
      </x:c>
      <x:c r="AM16" t="str">
        <x:v>REQ000007829202</x:v>
      </x:c>
      <x:c r="AN16" t="str">
        <x:v>disposal</x:v>
      </x:c>
      <x:c r="AO16" t="n">
        <x:v>0</x:v>
      </x:c>
      <x:c r="AP16" s="23" t="str">
        <x:f>IF(E16="processing",IF(Z16="","",IF(ISNUMBER(Z16),INT(Z16),DATE(VALUE(LEFT(Z16,4)),VALUE(MID(Z16,6,2)),VALUE(MID(Z16,9,2))))),IF(OR(E16="executing",E16="pending"),IF(AD16="","",IF(ISNUMBER(AD16),INT(AD16),DATE(VALUE(LEFT(AD16,4)),VALUE(MID(AD16,6,2)),VALUE(MID(AD16,9,2))))),""))</x:f>
      </x:c>
      <x:c r="AQ16" s="24" t="str">
        <x:f>IF(AP16="","",INT('Configuration'!$B$4)-AP16)</x:f>
      </x:c>
      <x:c r="AR16" s="25" t="str">
        <x:f>IF(AP16="","Missing Required Date",IF(AQ16&lt;0,"Future Date",IF(AQ16=0,"0 days",IF(AQ16&lt;=2,"1-2 days",IF(AQ16&lt;=7,"3-7 days",IF(AQ16&lt;=14,"8-14 days",IF(AQ16&lt;=30,"15-30 days",IF(AQ16&lt;=60,"31-60 days",IF(AQ16&lt;=70,"61-70 days","71+ days")))))))))</x:f>
        <x:v>Missing Required Date</x:v>
      </x:c>
      <x:c r="AS16" s="25" t="str">
        <x:f>IF(OR(E16="processing",E16="executing",E16="pending"),IF(AP16="","Required aging date missing",IF(AQ16&gt;30,"Escalate &gt;30d",IF(AQ16&gt;14,"Watch &gt;14d","Within 14d"))),"Out of scope")</x:f>
        <x:v>Out of scope</x:v>
      </x:c>
    </x:row>
    <x:row r="17" ht="24" customHeight="1">
      <x:c r="A17" t="str">
        <x:v>bdb2e056-1eb1-4173-90d0-d6d1435b1b61</x:v>
      </x:c>
      <x:c r="B17" t="str">
        <x:v>CSSP10703990</x:v>
      </x:c>
      <x:c r="C17" t="str">
        <x:v>essam.arab@petronas.com</x:v>
      </x:c>
      <x:c r="D17" t="str">
        <x:v>decommission-cloud</x:v>
      </x:c>
      <x:c r="E17" t="str">
        <x:v>completed</x:v>
      </x:c>
      <x:c r="F17" t="n">
        <x:v>45986.376623854165</x:v>
      </x:c>
      <x:c r="G17" t="n">
        <x:v>46136.177765127315</x:v>
      </x:c>
      <x:c r="H17" t="n">
        <x:v>45986.376623854165</x:v>
      </x:c>
      <x:c r="I17" t="str">
        <x:v>Alpha LNG</x:v>
      </x:c>
      <x:c r="J17" t="str">
        <x:v>Alpha LNG Phase 4 (PDSB)</x:v>
      </x:c>
      <x:c r="K17" t="str">
        <x:v>partial</x:v>
      </x:c>
      <x:c r="L17"/>
      <x:c r="M17" t="str">
        <x:v>sunny.khiani@petronas.com</x:v>
      </x:c>
      <x:c r="N17"/>
      <x:c r="O17"/>
      <x:c r="P17" t="str">
        <x:v>Resources to be deleted are in DEV ENVIRONMENT ONLY
Azure App Service: ptazsg-5alphalngap01
Azure App Service Plan: ptazsg-5alphalngasp01</x:v>
      </x:c>
      <x:c r="Q17" t="str">
        <x:v>1M</x:v>
      </x:c>
      <x:c r="R17" t="str">
        <x:v>Not in Used</x:v>
      </x:c>
      <x:c r="S17"/>
      <x:c r="T17" t="str">
        <x:v>approved</x:v>
      </x:c>
      <x:c r="U17" t="str">
        <x:v>essam.arab@petronas.com</x:v>
      </x:c>
      <x:c r="V17" t="n">
        <x:v>45986.37728894676</x:v>
      </x:c>
      <x:c r="W17" t="str">
        <x:v>Resources to be deleted are in DEV ENVIRONMENT ONLY 
Azure App Service: ptazsg-5alphalngap01 
Azure App Service Plan: ptazsg-5alphalngasp01</x:v>
      </x:c>
      <x:c r="X17" t="str">
        <x:v>approved</x:v>
      </x:c>
      <x:c r="Y17" t="str">
        <x:v>sunny.khiani@petronas.com</x:v>
      </x:c>
      <x:c r="Z17" t="n">
        <x:v>46136.1763408912</x:v>
      </x:c>
      <x:c r="AA17" t="str">
        <x:v>approved</x:v>
      </x:c>
      <x:c r="AB17" t="str">
        <x:v>approved</x:v>
      </x:c>
      <x:c r="AC17" t="str">
        <x:v>sunny.khiani@petronas.com</x:v>
      </x:c>
      <x:c r="AD17" t="n">
        <x:v>46136.1771902662</x:v>
      </x:c>
      <x:c r="AE17" t="str">
        <x:v>approved </x:v>
      </x:c>
      <x:c r="AF17" t="str">
        <x:v>approved</x:v>
      </x:c>
      <x:c r="AG17" t="str">
        <x:v>sunny.khiani@petronas.com</x:v>
      </x:c>
      <x:c r="AH17" t="n">
        <x:v>46136.17776513889</x:v>
      </x:c>
      <x:c r="AI17" t="str">
        <x:v>approved</x:v>
      </x:c>
      <x:c r="AJ17" t="str">
        <x:v>A-000043</x:v>
      </x:c>
      <x:c r="AK17" t="n">
        <x:v>1266</x:v>
      </x:c>
      <x:c r="AL17" t="str">
        <x:v>M</x:v>
      </x:c>
      <x:c r="AM17" t="str">
        <x:v>REQ000008009892</x:v>
      </x:c>
      <x:c r="AN17" t="str">
        <x:v>noretention</x:v>
      </x:c>
      <x:c r="AO17" t="n">
        <x:v>0</x:v>
      </x:c>
      <x:c r="AP17" s="23" t="str">
        <x:f>IF(E17="processing",IF(Z17="","",IF(ISNUMBER(Z17),INT(Z17),DATE(VALUE(LEFT(Z17,4)),VALUE(MID(Z17,6,2)),VALUE(MID(Z17,9,2))))),IF(OR(E17="executing",E17="pending"),IF(AD17="","",IF(ISNUMBER(AD17),INT(AD17),DATE(VALUE(LEFT(AD17,4)),VALUE(MID(AD17,6,2)),VALUE(MID(AD17,9,2))))),""))</x:f>
      </x:c>
      <x:c r="AQ17" s="24" t="str">
        <x:f>IF(AP17="","",INT('Configuration'!$B$4)-AP17)</x:f>
      </x:c>
      <x:c r="AR17" s="25" t="str">
        <x:f>IF(AP17="","Missing Required Date",IF(AQ17&lt;0,"Future Date",IF(AQ17=0,"0 days",IF(AQ17&lt;=2,"1-2 days",IF(AQ17&lt;=7,"3-7 days",IF(AQ17&lt;=14,"8-14 days",IF(AQ17&lt;=30,"15-30 days",IF(AQ17&lt;=60,"31-60 days",IF(AQ17&lt;=70,"61-70 days","71+ days")))))))))</x:f>
        <x:v>Missing Required Date</x:v>
      </x:c>
      <x:c r="AS17" s="25" t="str">
        <x:f>IF(OR(E17="processing",E17="executing",E17="pending"),IF(AP17="","Required aging date missing",IF(AQ17&gt;30,"Escalate &gt;30d",IF(AQ17&gt;14,"Watch &gt;14d","Within 14d"))),"Out of scope")</x:f>
        <x:v>Out of scope</x:v>
      </x:c>
    </x:row>
    <x:row r="18" ht="24" customHeight="1">
      <x:c r="A18" t="str">
        <x:v>6d98f3d9-2a38-460b-8c86-8d8820e4820f</x:v>
      </x:c>
      <x:c r="B18" t="str">
        <x:v>CSSP10528936</x:v>
      </x:c>
      <x:c r="C18" t="str">
        <x:v>nursyazana.z@petronas.com</x:v>
      </x:c>
      <x:c r="D18" t="str">
        <x:v>decommission-cloud</x:v>
      </x:c>
      <x:c r="E18" t="str">
        <x:v>rejected</x:v>
      </x:c>
      <x:c r="F18" t="n">
        <x:v>45988.31885174769</x:v>
      </x:c>
      <x:c r="G18" t="n">
        <x:v>46047.724322256945</x:v>
      </x:c>
      <x:c r="H18" t="n">
        <x:v>45991.895173310186</x:v>
      </x:c>
      <x:c r="I18" t="str">
        <x:v>Upstream Technical Applications SCUS</x:v>
      </x:c>
      <x:c r="J18" t="str">
        <x:v>Provision of Additional Capacity SCUS for Mexico Operation</x:v>
      </x:c>
      <x:c r="K18" t="str">
        <x:v>full</x:v>
      </x:c>
      <x:c r="L18" t="str">
        <x:v>DCOM202512011a6</x:v>
      </x:c>
      <x:c r="M18" t="str">
        <x:v>mhafiz.samsudin@petronas.com</x:v>
      </x:c>
      <x:c r="N18" t="str">
        <x:v>Not Applicable</x:v>
      </x:c>
      <x:c r="O18"/>
      <x:c r="P18" t="str">
        <x:v>Mexico office already close. Resources under Project_Code : 00592 has been shutdown and there is no issue as Ahmad Syazali has done the screaming test. You may refer to attached email</x:v>
      </x:c>
      <x:c r="Q18" t="str">
        <x:v>2W</x:v>
      </x:c>
      <x:c r="R18" t="str">
        <x:v>Not in Used</x:v>
      </x:c>
      <x:c r="S18"/>
      <x:c r="T18" t="str">
        <x:v>approved</x:v>
      </x:c>
      <x:c r="U18" t="str">
        <x:v>nursyazana.z@petronas.com</x:v>
      </x:c>
      <x:c r="V18" t="n">
        <x:v>45991.90263334491</x:v>
      </x:c>
      <x:c r="W18" t="str">
        <x:v>To Azwan and Ahmad Syazali, there are few resources is not being listed as per list above. I believe this is due to we already shutdown during screaming test e.g. VM. Thus, please proceed with the decommissioning of the resources also. Fyi, for financial discovery, I have attached the no in CSSP request and in progress to complete 7 chapters of financial discovery list.</x:v>
      </x:c>
      <x:c r="X18" t="str">
        <x:v>approved</x:v>
      </x:c>
      <x:c r="Y18" t="str">
        <x:v>mhafiz.samsudin@petronas.com</x:v>
      </x:c>
      <x:c r="Z18" t="n">
        <x:v>46000.28651947917</x:v>
      </x:c>
      <x:c r="AA18" t="str">
        <x:v>Reviewed and Aproved</x:v>
      </x:c>
      <x:c r="AB18" t="str">
        <x:v>rejected</x:v>
      </x:c>
      <x:c r="AC18" t="str">
        <x:v>azwan.badari@petronas.com</x:v>
      </x:c>
      <x:c r="AD18" t="n">
        <x:v>46047.72432226852</x:v>
      </x:c>
      <x:c r="AE18" t="str">
        <x:v>Please resubmit as there is no confirmation.</x:v>
      </x:c>
      <x:c r="AF18"/>
      <x:c r="AG18" t="str">
        <x:v>CCoE Business</x:v>
      </x:c>
      <x:c r="AH18"/>
      <x:c r="AI18"/>
      <x:c r="AJ18" t="str">
        <x:v>A-000803</x:v>
      </x:c>
      <x:c r="AK18" t="n">
        <x:v>592</x:v>
      </x:c>
      <x:c r="AL18"/>
      <x:c r="AM18"/>
      <x:c r="AN18" t="str">
        <x:v>retention</x:v>
      </x:c>
      <x:c r="AO18" t="n">
        <x:v>30</x:v>
      </x:c>
      <x:c r="AP18" s="23" t="str">
        <x:f>IF(E18="processing",IF(Z18="","",IF(ISNUMBER(Z18),INT(Z18),DATE(VALUE(LEFT(Z18,4)),VALUE(MID(Z18,6,2)),VALUE(MID(Z18,9,2))))),IF(OR(E18="executing",E18="pending"),IF(AD18="","",IF(ISNUMBER(AD18),INT(AD18),DATE(VALUE(LEFT(AD18,4)),VALUE(MID(AD18,6,2)),VALUE(MID(AD18,9,2))))),""))</x:f>
      </x:c>
      <x:c r="AQ18" s="24" t="str">
        <x:f>IF(AP18="","",INT('Configuration'!$B$4)-AP18)</x:f>
      </x:c>
      <x:c r="AR18" s="25" t="str">
        <x:f>IF(AP18="","Missing Required Date",IF(AQ18&lt;0,"Future Date",IF(AQ18=0,"0 days",IF(AQ18&lt;=2,"1-2 days",IF(AQ18&lt;=7,"3-7 days",IF(AQ18&lt;=14,"8-14 days",IF(AQ18&lt;=30,"15-30 days",IF(AQ18&lt;=60,"31-60 days",IF(AQ18&lt;=70,"61-70 days","71+ days")))))))))</x:f>
        <x:v>Missing Required Date</x:v>
      </x:c>
      <x:c r="AS18" s="25" t="str">
        <x:f>IF(OR(E18="processing",E18="executing",E18="pending"),IF(AP18="","Required aging date missing",IF(AQ18&gt;30,"Escalate &gt;30d",IF(AQ18&gt;14,"Watch &gt;14d","Within 14d"))),"Out of scope")</x:f>
        <x:v>Out of scope</x:v>
      </x:c>
    </x:row>
    <x:row r="19" ht="24" customHeight="1">
      <x:c r="A19" t="str">
        <x:v>c0a60393-9927-4fc3-80fc-1e06da243f5f</x:v>
      </x:c>
      <x:c r="B19" t="str">
        <x:v>CSSP10984549</x:v>
      </x:c>
      <x:c r="C19" t="str">
        <x:v>azrel.nasaruddin@petronas.com</x:v>
      </x:c>
      <x:c r="D19" t="str">
        <x:v>decommission-cloud</x:v>
      </x:c>
      <x:c r="E19" t="str">
        <x:v>cancelled</x:v>
      </x:c>
      <x:c r="F19" t="n">
        <x:v>45989.44871517361</x:v>
      </x:c>
      <x:c r="G19" t="n">
        <x:v>46050.07792778935</x:v>
      </x:c>
      <x:c r="H19" t="n">
        <x:v>45989.44871517361</x:v>
      </x:c>
      <x:c r="I19" t="str">
        <x:v>Enterprise Software Defined Wide Area Network - SDWAN</x:v>
      </x:c>
      <x:c r="J19" t="str">
        <x:v>Implementation of Enterprise Software Defined Wide Area Network (SDWAN) for PETRONAS</x:v>
      </x:c>
      <x:c r="K19" t="str">
        <x:v>partial</x:v>
      </x:c>
      <x:c r="L19"/>
      <x:c r="M19" t="str">
        <x:v>mhaslan.abuhassan@petronas.com</x:v>
      </x:c>
      <x:c r="N19"/>
      <x:c r="O19" t="str">
        <x:v>704D905153</x:v>
      </x:c>
      <x:c r="P19" t="str">
        <x:v>To Decommission Resource under RG - PTAZSG-PROD-WAF-RG, 
CPU Utilization for PTAZSG-PROD-OnPrem-WAFv1-01
PTAZSG-PROD-OnPrem-WAFv1-01
PTAZSG-PROD-Onprem-WAFv1-01-PIP</x:v>
      </x:c>
      <x:c r="Q19" t="str">
        <x:v>2W</x:v>
      </x:c>
      <x:c r="R19" t="str">
        <x:v>Not in Used</x:v>
      </x:c>
      <x:c r="S19"/>
      <x:c r="T19" t="str">
        <x:v>rejected</x:v>
      </x:c>
      <x:c r="U19" t="str">
        <x:v>azwan.badari@petronas.com</x:v>
      </x:c>
      <x:c r="V19" t="n">
        <x:v>46050.07792780093</x:v>
      </x:c>
      <x:c r="W19" t="str">
        <x:v>Not required </x:v>
      </x:c>
      <x:c r="X19"/>
      <x:c r="Y19" t="str">
        <x:v>mhaslan.abuhassan@petronas.com</x:v>
      </x:c>
      <x:c r="Z19"/>
      <x:c r="AA19"/>
      <x:c r="AB19"/>
      <x:c r="AC19" t="str">
        <x:v>CCoE Business</x:v>
      </x:c>
      <x:c r="AD19"/>
      <x:c r="AE19"/>
      <x:c r="AF19"/>
      <x:c r="AG19" t="str">
        <x:v>CCoE Operations</x:v>
      </x:c>
      <x:c r="AH19"/>
      <x:c r="AI19"/>
      <x:c r="AJ19" t="str">
        <x:v>A-000754</x:v>
      </x:c>
      <x:c r="AK19" t="str">
        <x:v>00480_1</x:v>
      </x:c>
      <x:c r="AL19"/>
      <x:c r="AM19"/>
      <x:c r="AN19" t="str">
        <x:v>noretention</x:v>
      </x:c>
      <x:c r="AO19" t="n">
        <x:v>0</x:v>
      </x:c>
      <x:c r="AP19" s="23" t="str">
        <x:f>IF(E19="processing",IF(Z19="","",IF(ISNUMBER(Z19),INT(Z19),DATE(VALUE(LEFT(Z19,4)),VALUE(MID(Z19,6,2)),VALUE(MID(Z19,9,2))))),IF(OR(E19="executing",E19="pending"),IF(AD19="","",IF(ISNUMBER(AD19),INT(AD19),DATE(VALUE(LEFT(AD19,4)),VALUE(MID(AD19,6,2)),VALUE(MID(AD19,9,2))))),""))</x:f>
      </x:c>
      <x:c r="AQ19" s="24" t="str">
        <x:f>IF(AP19="","",INT('Configuration'!$B$4)-AP19)</x:f>
      </x:c>
      <x:c r="AR19" s="25" t="str">
        <x:f>IF(AP19="","Missing Required Date",IF(AQ19&lt;0,"Future Date",IF(AQ19=0,"0 days",IF(AQ19&lt;=2,"1-2 days",IF(AQ19&lt;=7,"3-7 days",IF(AQ19&lt;=14,"8-14 days",IF(AQ19&lt;=30,"15-30 days",IF(AQ19&lt;=60,"31-60 days",IF(AQ19&lt;=70,"61-70 days","71+ days")))))))))</x:f>
        <x:v>Missing Required Date</x:v>
      </x:c>
      <x:c r="AS19" s="25" t="str">
        <x:f>IF(OR(E19="processing",E19="executing",E19="pending"),IF(AP19="","Required aging date missing",IF(AQ19&gt;30,"Escalate &gt;30d",IF(AQ19&gt;14,"Watch &gt;14d","Within 14d"))),"Out of scope")</x:f>
        <x:v>Out of scope</x:v>
      </x:c>
    </x:row>
    <x:row r="20" ht="24" customHeight="1">
      <x:c r="A20" t="str">
        <x:v>c256d4f6-56d9-4654-aae2-e852fc1db966</x:v>
      </x:c>
      <x:c r="B20" t="str">
        <x:v>CSSP10767995</x:v>
      </x:c>
      <x:c r="C20" t="str">
        <x:v>nursyazana.z@petronas.com</x:v>
      </x:c>
      <x:c r="D20" t="str">
        <x:v>decommission-cloud</x:v>
      </x:c>
      <x:c r="E20" t="str">
        <x:v>rejected</x:v>
      </x:c>
      <x:c r="F20" t="n">
        <x:v>45991.90715431713</x:v>
      </x:c>
      <x:c r="G20" t="n">
        <x:v>46047.724448692126</x:v>
      </x:c>
      <x:c r="H20" t="n">
        <x:v>45991.90715431713</x:v>
      </x:c>
      <x:c r="I20" t="str">
        <x:v>Upstream Technology and Digital Innovation (UTDI) Data Operations</x:v>
      </x:c>
      <x:c r="J20" t="str">
        <x:v>2023 - DSG repurpose for UTDI Data Ops as instruction from upstream tribe
Provision of Azure Cloud Services for Halliburton Decision Space Geoscience (DSG) Application for Group Technical Data</x:v>
      </x:c>
      <x:c r="K20" t="str">
        <x:v>partial</x:v>
      </x:c>
      <x:c r="L20"/>
      <x:c r="M20" t="str">
        <x:v>mhafiz.samsudin@petronas.com</x:v>
      </x:c>
      <x:c r="N20" t="str">
        <x:v>Not Applicable</x:v>
      </x:c>
      <x:c r="O20" t="str">
        <x:v>PSR04669</x:v>
      </x:c>
      <x:c r="P20" t="str">
        <x:v>Resources under Project_Code : PSR04469 has been shutdown except ptazscusprodgtdstor and ptscustdmexicostorage01 as per agreed. There is no issue as Ahmad Syazali has done the screaming test. You may refer to attached email
</x:v>
      </x:c>
      <x:c r="Q20" t="str">
        <x:v>1M</x:v>
      </x:c>
      <x:c r="R20" t="str">
        <x:v>Not in Used</x:v>
      </x:c>
      <x:c r="S20"/>
      <x:c r="T20" t="str">
        <x:v>approved</x:v>
      </x:c>
      <x:c r="U20" t="str">
        <x:v>nursyazana.z@petronas.com</x:v>
      </x:c>
      <x:c r="V20" t="n">
        <x:v>45991.911276307874</x:v>
      </x:c>
      <x:c r="W20" t="str">
        <x:v>I have reviewed the list. All can be decommissioned except for ptazscusprodgtdstor and ptscustdmexicostorage01 and also resources related to them such as queue and table</x:v>
      </x:c>
      <x:c r="X20" t="str">
        <x:v>approved</x:v>
      </x:c>
      <x:c r="Y20" t="str">
        <x:v>mhafiz.samsudin@petronas.com</x:v>
      </x:c>
      <x:c r="Z20" t="n">
        <x:v>46000.287257048614</x:v>
      </x:c>
      <x:c r="AA20" t="str">
        <x:v>Align with Cloud Cost Optimization initiative. Approved.</x:v>
      </x:c>
      <x:c r="AB20" t="str">
        <x:v>rejected</x:v>
      </x:c>
      <x:c r="AC20" t="str">
        <x:v>azwan.badari@petronas.com</x:v>
      </x:c>
      <x:c r="AD20" t="n">
        <x:v>46047.724448692126</x:v>
      </x:c>
      <x:c r="AE20" t="str">
        <x:v>Please resubmit as there is no confirmation.</x:v>
      </x:c>
      <x:c r="AF20"/>
      <x:c r="AG20" t="str">
        <x:v>CCoE Operations</x:v>
      </x:c>
      <x:c r="AH20"/>
      <x:c r="AI20"/>
      <x:c r="AJ20" t="str">
        <x:v>A-000241</x:v>
      </x:c>
      <x:c r="AK20" t="str">
        <x:v>PSR04669</x:v>
      </x:c>
      <x:c r="AL20"/>
      <x:c r="AM20"/>
      <x:c r="AN20" t="str">
        <x:v>retention</x:v>
      </x:c>
      <x:c r="AO20" t="n">
        <x:v>30</x:v>
      </x:c>
      <x:c r="AP20" s="23" t="str">
        <x:f>IF(E20="processing",IF(Z20="","",IF(ISNUMBER(Z20),INT(Z20),DATE(VALUE(LEFT(Z20,4)),VALUE(MID(Z20,6,2)),VALUE(MID(Z20,9,2))))),IF(OR(E20="executing",E20="pending"),IF(AD20="","",IF(ISNUMBER(AD20),INT(AD20),DATE(VALUE(LEFT(AD20,4)),VALUE(MID(AD20,6,2)),VALUE(MID(AD20,9,2))))),""))</x:f>
      </x:c>
      <x:c r="AQ20" s="24" t="str">
        <x:f>IF(AP20="","",INT('Configuration'!$B$4)-AP20)</x:f>
      </x:c>
      <x:c r="AR20" s="25" t="str">
        <x:f>IF(AP20="","Missing Required Date",IF(AQ20&lt;0,"Future Date",IF(AQ20=0,"0 days",IF(AQ20&lt;=2,"1-2 days",IF(AQ20&lt;=7,"3-7 days",IF(AQ20&lt;=14,"8-14 days",IF(AQ20&lt;=30,"15-30 days",IF(AQ20&lt;=60,"31-60 days",IF(AQ20&lt;=70,"61-70 days","71+ days")))))))))</x:f>
        <x:v>Missing Required Date</x:v>
      </x:c>
      <x:c r="AS20" s="25" t="str">
        <x:f>IF(OR(E20="processing",E20="executing",E20="pending"),IF(AP20="","Required aging date missing",IF(AQ20&gt;30,"Escalate &gt;30d",IF(AQ20&gt;14,"Watch &gt;14d","Within 14d"))),"Out of scope")</x:f>
        <x:v>Out of scope</x:v>
      </x:c>
    </x:row>
    <x:row r="21" ht="24" customHeight="1">
      <x:c r="A21" t="str">
        <x:v>42303bf0-4804-4229-9b4d-601b156d79bc</x:v>
      </x:c>
      <x:c r="B21" t="str">
        <x:v>CSSP10547052</x:v>
      </x:c>
      <x:c r="C21" t="str">
        <x:v>azrel.nasaruddin@petronas.com</x:v>
      </x:c>
      <x:c r="D21" t="str">
        <x:v>decommission-cloud</x:v>
      </x:c>
      <x:c r="E21" t="str">
        <x:v>cancelled</x:v>
      </x:c>
      <x:c r="F21" t="n">
        <x:v>45993.124247465275</x:v>
      </x:c>
      <x:c r="G21" t="n">
        <x:v>46050.07820643519</x:v>
      </x:c>
      <x:c r="H21" t="n">
        <x:v>45993.124247465275</x:v>
      </x:c>
      <x:c r="I21" t="str">
        <x:v>Common Security</x:v>
      </x:c>
      <x:c r="J21" t="str">
        <x:v>Common infrastructure related to security such as DDOS protection, WAF and others</x:v>
      </x:c>
      <x:c r="K21" t="str">
        <x:v>partial</x:v>
      </x:c>
      <x:c r="L21"/>
      <x:c r="M21" t="str">
        <x:v>mhaslan.abuhassan@petronas.com</x:v>
      </x:c>
      <x:c r="N21"/>
      <x:c r="O21"/>
      <x:c r="P21" t="str">
        <x:v>to be decomm resources for : 
CPU Utilization for PTAZSG-PROD-OnPrem-WAFv1-01
PTAZSG-PROD-OnPrem-WAFv1-01
PTAZSG-PROD-Onprem-WAFv1-01-PIP
</x:v>
      </x:c>
      <x:c r="Q21" t="str">
        <x:v>2W</x:v>
      </x:c>
      <x:c r="R21" t="str">
        <x:v>Not in Used</x:v>
      </x:c>
      <x:c r="S21"/>
      <x:c r="T21" t="str">
        <x:v>rejected</x:v>
      </x:c>
      <x:c r="U21" t="str">
        <x:v>azwan.badari@petronas.com</x:v>
      </x:c>
      <x:c r="V21" t="n">
        <x:v>46050.07820643519</x:v>
      </x:c>
      <x:c r="W21" t="str">
        <x:v>Not required</x:v>
      </x:c>
      <x:c r="X21"/>
      <x:c r="Y21" t="str">
        <x:v>mhaslan.abuhassan@petronas.com</x:v>
      </x:c>
      <x:c r="Z21"/>
      <x:c r="AA21"/>
      <x:c r="AB21"/>
      <x:c r="AC21" t="str">
        <x:v>CCoE Business</x:v>
      </x:c>
      <x:c r="AD21"/>
      <x:c r="AE21"/>
      <x:c r="AF21"/>
      <x:c r="AG21" t="str">
        <x:v>CCoE Operations</x:v>
      </x:c>
      <x:c r="AH21"/>
      <x:c r="AI21"/>
      <x:c r="AJ21" t="str">
        <x:v>C-000017</x:v>
      </x:c>
      <x:c r="AK21" t="str">
        <x:v>Common-Security</x:v>
      </x:c>
      <x:c r="AL21"/>
      <x:c r="AM21"/>
      <x:c r="AN21" t="str">
        <x:v>noretention</x:v>
      </x:c>
      <x:c r="AO21" t="n">
        <x:v>0</x:v>
      </x:c>
      <x:c r="AP21" s="23" t="str">
        <x:f>IF(E21="processing",IF(Z21="","",IF(ISNUMBER(Z21),INT(Z21),DATE(VALUE(LEFT(Z21,4)),VALUE(MID(Z21,6,2)),VALUE(MID(Z21,9,2))))),IF(OR(E21="executing",E21="pending"),IF(AD21="","",IF(ISNUMBER(AD21),INT(AD21),DATE(VALUE(LEFT(AD21,4)),VALUE(MID(AD21,6,2)),VALUE(MID(AD21,9,2))))),""))</x:f>
      </x:c>
      <x:c r="AQ21" s="24" t="str">
        <x:f>IF(AP21="","",INT('Configuration'!$B$4)-AP21)</x:f>
      </x:c>
      <x:c r="AR21" s="25" t="str">
        <x:f>IF(AP21="","Missing Required Date",IF(AQ21&lt;0,"Future Date",IF(AQ21=0,"0 days",IF(AQ21&lt;=2,"1-2 days",IF(AQ21&lt;=7,"3-7 days",IF(AQ21&lt;=14,"8-14 days",IF(AQ21&lt;=30,"15-30 days",IF(AQ21&lt;=60,"31-60 days",IF(AQ21&lt;=70,"61-70 days","71+ days")))))))))</x:f>
        <x:v>Missing Required Date</x:v>
      </x:c>
      <x:c r="AS21" s="25" t="str">
        <x:f>IF(OR(E21="processing",E21="executing",E21="pending"),IF(AP21="","Required aging date missing",IF(AQ21&gt;30,"Escalate &gt;30d",IF(AQ21&gt;14,"Watch &gt;14d","Within 14d"))),"Out of scope")</x:f>
        <x:v>Out of scope</x:v>
      </x:c>
    </x:row>
    <x:row r="22" ht="24" customHeight="1">
      <x:c r="A22" t="str">
        <x:v>9dba099f-8a6d-42f2-ac79-698ccc7fa5fb</x:v>
      </x:c>
      <x:c r="B22" t="str">
        <x:v>CSSP10619105</x:v>
      </x:c>
      <x:c r="C22" t="str">
        <x:v>nursyazana.z@petronas.com</x:v>
      </x:c>
      <x:c r="D22" t="str">
        <x:v>decommission-cloud</x:v>
      </x:c>
      <x:c r="E22" t="str">
        <x:v>rejected</x:v>
      </x:c>
      <x:c r="F22" t="n">
        <x:v>45995.348835358796</x:v>
      </x:c>
      <x:c r="G22" t="n">
        <x:v>46047.723683923614</x:v>
      </x:c>
      <x:c r="H22" t="n">
        <x:v>45995.348835358796</x:v>
      </x:c>
      <x:c r="I22" t="str">
        <x:v>Upstream Technical Applications GOMSCUS</x:v>
      </x:c>
      <x:c r="J22" t="str">
        <x:v>AZURE Resource Provisioning for EIV US Gulf of Mexico (GOM) In PETRONAS AZURE South Central U.S. (SCUS)</x:v>
      </x:c>
      <x:c r="K22" t="str">
        <x:v>full</x:v>
      </x:c>
      <x:c r="L22" t="str">
        <x:v>DCOM20251204726</x:v>
      </x:c>
      <x:c r="M22" t="str">
        <x:v>mhafiz.samsudin@petronas.com</x:v>
      </x:c>
      <x:c r="N22" t="str">
        <x:v>Not Applicable</x:v>
      </x:c>
      <x:c r="O22" t="str">
        <x:v>PSR05689_3</x:v>
      </x:c>
      <x:c r="P22" t="str">
        <x:v>As discussed with Syazali, all resources has been shutdown and can be decommissioned</x:v>
      </x:c>
      <x:c r="Q22" t="str">
        <x:v>2W</x:v>
      </x:c>
      <x:c r="R22" t="str">
        <x:v>Not in Used</x:v>
      </x:c>
      <x:c r="S22"/>
      <x:c r="T22" t="str">
        <x:v>approved</x:v>
      </x:c>
      <x:c r="U22" t="str">
        <x:v>nursyazana.z@petronas.com</x:v>
      </x:c>
      <x:c r="V22" t="n">
        <x:v>45995.34926141204</x:v>
      </x:c>
      <x:c r="W22" t="str">
        <x:v>This will be done by Ahmad Syazali and Khairul Azwan</x:v>
      </x:c>
      <x:c r="X22" t="str">
        <x:v>approved</x:v>
      </x:c>
      <x:c r="Y22" t="str">
        <x:v>mhafiz.samsudin@petronas.com</x:v>
      </x:c>
      <x:c r="Z22" t="n">
        <x:v>46000.28777040509</x:v>
      </x:c>
      <x:c r="AA22" t="str">
        <x:v>Crucial as part of Cloud Cost Optimization exercise. Approved.</x:v>
      </x:c>
      <x:c r="AB22" t="str">
        <x:v>rejected</x:v>
      </x:c>
      <x:c r="AC22" t="str">
        <x:v>azwan.badari@petronas.com</x:v>
      </x:c>
      <x:c r="AD22" t="n">
        <x:v>46047.72368393518</x:v>
      </x:c>
      <x:c r="AE22" t="str">
        <x:v>Please resubmit as there is no confirmation.</x:v>
      </x:c>
      <x:c r="AF22"/>
      <x:c r="AG22" t="str">
        <x:v>CCoE Operations</x:v>
      </x:c>
      <x:c r="AH22"/>
      <x:c r="AI22"/>
      <x:c r="AJ22" t="str">
        <x:v>A-000798</x:v>
      </x:c>
      <x:c r="AK22" t="str">
        <x:v>PSR05689_3</x:v>
      </x:c>
      <x:c r="AL22"/>
      <x:c r="AM22"/>
      <x:c r="AN22" t="str">
        <x:v>retention</x:v>
      </x:c>
      <x:c r="AO22" t="n">
        <x:v>30</x:v>
      </x:c>
      <x:c r="AP22" s="23" t="str">
        <x:f>IF(E22="processing",IF(Z22="","",IF(ISNUMBER(Z22),INT(Z22),DATE(VALUE(LEFT(Z22,4)),VALUE(MID(Z22,6,2)),VALUE(MID(Z22,9,2))))),IF(OR(E22="executing",E22="pending"),IF(AD22="","",IF(ISNUMBER(AD22),INT(AD22),DATE(VALUE(LEFT(AD22,4)),VALUE(MID(AD22,6,2)),VALUE(MID(AD22,9,2))))),""))</x:f>
      </x:c>
      <x:c r="AQ22" s="24" t="str">
        <x:f>IF(AP22="","",INT('Configuration'!$B$4)-AP22)</x:f>
      </x:c>
      <x:c r="AR22" s="25" t="str">
        <x:f>IF(AP22="","Missing Required Date",IF(AQ22&lt;0,"Future Date",IF(AQ22=0,"0 days",IF(AQ22&lt;=2,"1-2 days",IF(AQ22&lt;=7,"3-7 days",IF(AQ22&lt;=14,"8-14 days",IF(AQ22&lt;=30,"15-30 days",IF(AQ22&lt;=60,"31-60 days",IF(AQ22&lt;=70,"61-70 days","71+ days")))))))))</x:f>
        <x:v>Missing Required Date</x:v>
      </x:c>
      <x:c r="AS22" s="25" t="str">
        <x:f>IF(OR(E22="processing",E22="executing",E22="pending"),IF(AP22="","Required aging date missing",IF(AQ22&gt;30,"Escalate &gt;30d",IF(AQ22&gt;14,"Watch &gt;14d","Within 14d"))),"Out of scope")</x:f>
        <x:v>Out of scope</x:v>
      </x:c>
    </x:row>
    <x:row r="23" ht="24" customHeight="1">
      <x:c r="A23" t="str">
        <x:v>67b0ede6-e19a-4ac3-9b27-563c45721825</x:v>
      </x:c>
      <x:c r="B23" t="str">
        <x:v>CSSP10851603</x:v>
      </x:c>
      <x:c r="C23" t="str">
        <x:v>mohamadfaisal.maasah@petronas.com</x:v>
      </x:c>
      <x:c r="D23" t="str">
        <x:v>decommission-cloud</x:v>
      </x:c>
      <x:c r="E23" t="str">
        <x:v>completed</x:v>
      </x:c>
      <x:c r="F23" t="n">
        <x:v>46002.121400289354</x:v>
      </x:c>
      <x:c r="G23" t="n">
        <x:v>46037.24682813657</x:v>
      </x:c>
      <x:c r="H23" t="n">
        <x:v>46029.09373736111</x:v>
      </x:c>
      <x:c r="I23" t="str">
        <x:v>Daily Operations Tracking System - DOTS</x:v>
      </x:c>
      <x:c r="J23" t="str">
        <x:v>Cloud Migration Program - Daily Operations Tracking System (DOTS)</x:v>
      </x:c>
      <x:c r="K23" t="str">
        <x:v>full</x:v>
      </x:c>
      <x:c r="L23" t="str">
        <x:v>DCOM20260107c0d</x:v>
      </x:c>
      <x:c r="M23" t="str">
        <x:v>halim.matnoh@petronas.com</x:v>
      </x:c>
      <x:c r="N23" t="str">
        <x:v>https://dots.digitalfields.petronas.com/</x:v>
      </x:c>
      <x:c r="O23"/>
      <x:c r="P23" t="str">
        <x:v>Application not in used.
To include shared managed databased for DOTS.</x:v>
      </x:c>
      <x:c r="Q23" t="str">
        <x:v>2W</x:v>
      </x:c>
      <x:c r="R23" t="str">
        <x:v>Not in Used</x:v>
      </x:c>
      <x:c r="S23"/>
      <x:c r="T23" t="str">
        <x:v>approved</x:v>
      </x:c>
      <x:c r="U23" t="str">
        <x:v>mohamadfaisal.maasah@petronas.com</x:v>
      </x:c>
      <x:c r="V23" t="n">
        <x:v>46029.09445693287</x:v>
      </x:c>
      <x:c r="W23" t="str">
        <x:v>To decomm the application (full decommission)</x:v>
      </x:c>
      <x:c r="X23" t="str">
        <x:v>approved</x:v>
      </x:c>
      <x:c r="Y23" t="str">
        <x:v>halim.matnoh@petronas.com</x:v>
      </x:c>
      <x:c r="Z23" t="n">
        <x:v>46030.13889993056</x:v>
      </x:c>
      <x:c r="AA23" t="str">
        <x:v>approved</x:v>
      </x:c>
      <x:c r="AB23" t="str">
        <x:v>approved</x:v>
      </x:c>
      <x:c r="AC23" t="str">
        <x:v>azwan.badari@petronas.com</x:v>
      </x:c>
      <x:c r="AD23" t="n">
        <x:v>46031.305408541666</x:v>
      </x:c>
      <x:c r="AE23" t="str">
        <x:v>Full Decommission DOTS (00915_4) including DB in shared managed instance in,
ptazsg-1udsqlmi01
ptazsg-4udsqlmi01
ptazsg-5udsqlmi01)</x:v>
      </x:c>
      <x:c r="AF23" t="str">
        <x:v>approved</x:v>
      </x:c>
      <x:c r="AG23" t="str">
        <x:v>azwan.badari@petronas.com</x:v>
      </x:c>
      <x:c r="AH23" t="n">
        <x:v>46037.24682813657</x:v>
      </x:c>
      <x:c r="AI23" t="str">
        <x:v>Completed</x:v>
      </x:c>
      <x:c r="AJ23" t="str">
        <x:v>A-000221</x:v>
      </x:c>
      <x:c r="AK23" t="str">
        <x:v>00915_4</x:v>
      </x:c>
      <x:c r="AL23" t="str">
        <x:v>M</x:v>
      </x:c>
      <x:c r="AM23" t="str">
        <x:v>REQ000007803645</x:v>
      </x:c>
      <x:c r="AN23" t="str">
        <x:v>retention</x:v>
      </x:c>
      <x:c r="AO23" t="n">
        <x:v>14</x:v>
      </x:c>
      <x:c r="AP23" s="23" t="str">
        <x:f>IF(E23="processing",IF(Z23="","",IF(ISNUMBER(Z23),INT(Z23),DATE(VALUE(LEFT(Z23,4)),VALUE(MID(Z23,6,2)),VALUE(MID(Z23,9,2))))),IF(OR(E23="executing",E23="pending"),IF(AD23="","",IF(ISNUMBER(AD23),INT(AD23),DATE(VALUE(LEFT(AD23,4)),VALUE(MID(AD23,6,2)),VALUE(MID(AD23,9,2))))),""))</x:f>
      </x:c>
      <x:c r="AQ23" s="24" t="str">
        <x:f>IF(AP23="","",INT('Configuration'!$B$4)-AP23)</x:f>
      </x:c>
      <x:c r="AR23" s="25" t="str">
        <x:f>IF(AP23="","Missing Required Date",IF(AQ23&lt;0,"Future Date",IF(AQ23=0,"0 days",IF(AQ23&lt;=2,"1-2 days",IF(AQ23&lt;=7,"3-7 days",IF(AQ23&lt;=14,"8-14 days",IF(AQ23&lt;=30,"15-30 days",IF(AQ23&lt;=60,"31-60 days",IF(AQ23&lt;=70,"61-70 days","71+ days")))))))))</x:f>
        <x:v>Missing Required Date</x:v>
      </x:c>
      <x:c r="AS23" s="25" t="str">
        <x:f>IF(OR(E23="processing",E23="executing",E23="pending"),IF(AP23="","Required aging date missing",IF(AQ23&gt;30,"Escalate &gt;30d",IF(AQ23&gt;14,"Watch &gt;14d","Within 14d"))),"Out of scope")</x:f>
        <x:v>Out of scope</x:v>
      </x:c>
    </x:row>
    <x:row r="24" ht="24" customHeight="1">
      <x:c r="A24" t="str">
        <x:v>c6a129dd-daca-4be4-aad4-3f4bb646fe74</x:v>
      </x:c>
      <x:c r="B24" t="str">
        <x:v>CSSP10204527</x:v>
      </x:c>
      <x:c r="C24" t="str">
        <x:v>sitisoleha.mnizam@petronas.com</x:v>
      </x:c>
      <x:c r="D24" t="str">
        <x:v>decommission-cloud</x:v>
      </x:c>
      <x:c r="E24" t="str">
        <x:v>completed</x:v>
      </x:c>
      <x:c r="F24" t="n">
        <x:v>46010.09860125</x:v>
      </x:c>
      <x:c r="G24" t="n">
        <x:v>46027.370540034724</x:v>
      </x:c>
      <x:c r="H24" t="n">
        <x:v>46010.09860125</x:v>
      </x:c>
      <x:c r="I24" t="str">
        <x:v>Project Management Solution</x:v>
      </x:c>
      <x:c r="J24" t="str">
        <x:v>Implementation of Interim Project Management Solution for Malaysia Petroleum Management (MPM)</x:v>
      </x:c>
      <x:c r="K24" t="str">
        <x:v>partial</x:v>
      </x:c>
      <x:c r="L24"/>
      <x:c r="M24" t="str">
        <x:v>sharulazlan.ahmad@petronas.com.my</x:v>
      </x:c>
      <x:c r="N24" t="str">
        <x:v>https://ipromptpac.petronas.com/iPROMPT/</x:v>
      </x:c>
      <x:c r="O24" t="n">
        <x:v>4594</x:v>
      </x:c>
      <x:c r="P24" t="str">
        <x:v>COC team has confirmed that the both dev and prod i-PROMPT resource groups can be decom because most of the services are stopped and the storage account last activity was in 2022. Hence, before we decom the whole RG, below are the estimated costs for both dev and prod RG. The slight differences between the costs is due to the higher number of storage account found in prod RG. Production RG: PTAZSG-PROD-IPMS-RG Development RG: PTAZSG-DEV-IPMS-RG</x:v>
      </x:c>
      <x:c r="Q24" t="str">
        <x:v>1M</x:v>
      </x:c>
      <x:c r="R24" t="str">
        <x:v>Consolidation</x:v>
      </x:c>
      <x:c r="S24"/>
      <x:c r="T24" t="str">
        <x:v>approved</x:v>
      </x:c>
      <x:c r="U24" t="str">
        <x:v>sitisoleha.mnizam@petronas.com</x:v>
      </x:c>
      <x:c r="V24" t="n">
        <x:v>46010.130798252314</x:v>
      </x:c>
      <x:c r="W24" t="str">
        <x:v>COC team has confirmed that the both dev and prod i-PROMPT resource groups can be decom because most of the services are stopped and the storage account last activity was in 2022. Hence, before we decom the whole RG, below are the estimated costs for both dev and prod RG. The slight differences between the costs is due to the higher number of storage account found in prod RG. Production RG: PTAZSG-PROD-IPMS-RG Development RG: PTAZSG-DEV-IPMS-RG</x:v>
      </x:c>
      <x:c r="X24" t="str">
        <x:v>approved</x:v>
      </x:c>
      <x:c r="Y24" t="str">
        <x:v>sharulazlan.ahmad@petronas.com</x:v>
      </x:c>
      <x:c r="Z24" t="n">
        <x:v>46013.41591048611</x:v>
      </x:c>
      <x:c r="AA24" t="str">
        <x:v>Approved</x:v>
      </x:c>
      <x:c r="AB24" t="str">
        <x:v>approved</x:v>
      </x:c>
      <x:c r="AC24" t="str">
        <x:v>azwan.badari@petronas.com</x:v>
      </x:c>
      <x:c r="AD24" t="n">
        <x:v>46015.12481969907</x:v>
      </x:c>
      <x:c r="AE24" t="str">
        <x:v>Decommission 2 RG only.
Production RG: PTAZSG-PROD-IPMS-RG Development RG: PTAZSG-DEV-IPMS-RG
DNS provided in the form is still in use (Outsystem).</x:v>
      </x:c>
      <x:c r="AF24" t="str">
        <x:v>approved</x:v>
      </x:c>
      <x:c r="AG24" t="str">
        <x:v>azlisham.md@petronas.com</x:v>
      </x:c>
      <x:c r="AH24" t="n">
        <x:v>46027.37054004629</x:v>
      </x:c>
      <x:c r="AI24" t="str">
        <x:v>The decommission request has been completed, and the status is now updated accordingly. Kindly verify from your end and confirm once reviewed.
</x:v>
      </x:c>
      <x:c r="AJ24" t="str">
        <x:v>A-000662</x:v>
      </x:c>
      <x:c r="AK24" t="n">
        <x:v>584</x:v>
      </x:c>
      <x:c r="AL24" t="str">
        <x:v>M</x:v>
      </x:c>
      <x:c r="AM24" t="str">
        <x:v>REQ000007761967</x:v>
      </x:c>
      <x:c r="AN24" t="str">
        <x:v>noretention</x:v>
      </x:c>
      <x:c r="AO24" t="n">
        <x:v>0</x:v>
      </x:c>
      <x:c r="AP24" s="23" t="str">
        <x:f>IF(E24="processing",IF(Z24="","",IF(ISNUMBER(Z24),INT(Z24),DATE(VALUE(LEFT(Z24,4)),VALUE(MID(Z24,6,2)),VALUE(MID(Z24,9,2))))),IF(OR(E24="executing",E24="pending"),IF(AD24="","",IF(ISNUMBER(AD24),INT(AD24),DATE(VALUE(LEFT(AD24,4)),VALUE(MID(AD24,6,2)),VALUE(MID(AD24,9,2))))),""))</x:f>
      </x:c>
      <x:c r="AQ24" s="24" t="str">
        <x:f>IF(AP24="","",INT('Configuration'!$B$4)-AP24)</x:f>
      </x:c>
      <x:c r="AR24" s="25" t="str">
        <x:f>IF(AP24="","Missing Required Date",IF(AQ24&lt;0,"Future Date",IF(AQ24=0,"0 days",IF(AQ24&lt;=2,"1-2 days",IF(AQ24&lt;=7,"3-7 days",IF(AQ24&lt;=14,"8-14 days",IF(AQ24&lt;=30,"15-30 days",IF(AQ24&lt;=60,"31-60 days",IF(AQ24&lt;=70,"61-70 days","71+ days")))))))))</x:f>
        <x:v>Missing Required Date</x:v>
      </x:c>
      <x:c r="AS24" s="25" t="str">
        <x:f>IF(OR(E24="processing",E24="executing",E24="pending"),IF(AP24="","Required aging date missing",IF(AQ24&gt;30,"Escalate &gt;30d",IF(AQ24&gt;14,"Watch &gt;14d","Within 14d"))),"Out of scope")</x:f>
        <x:v>Out of scope</x:v>
      </x:c>
    </x:row>
    <x:row r="25" ht="24" customHeight="1">
      <x:c r="A25" t="str">
        <x:v>75e71d16-4e6b-4a65-9d08-118dd73320c6</x:v>
      </x:c>
      <x:c r="B25" t="str">
        <x:v>CSSP10745533</x:v>
      </x:c>
      <x:c r="C25" t="str">
        <x:v>norhamizah.hasni@petronas.com</x:v>
      </x:c>
      <x:c r="D25" t="str">
        <x:v>decommission-cloud</x:v>
      </x:c>
      <x:c r="E25" t="str">
        <x:v>completed</x:v>
      </x:c>
      <x:c r="F25" t="n">
        <x:v>46013.30532982639</x:v>
      </x:c>
      <x:c r="G25" t="n">
        <x:v>46031.0865446875</x:v>
      </x:c>
      <x:c r="H25" t="n">
        <x:v>46013.30532982639</x:v>
      </x:c>
      <x:c r="I25" t="str">
        <x:v>CI Academy Portal</x:v>
      </x:c>
      <x:c r="J25" t="str">
        <x:v>Cloud Transformation Programme - CI Academy Portal</x:v>
      </x:c>
      <x:c r="K25" t="str">
        <x:v>partial</x:v>
      </x:c>
      <x:c r="L25"/>
      <x:c r="M25" t="str">
        <x:v>sazali.mokhtar@petronas.com</x:v>
      </x:c>
      <x:c r="N25"/>
      <x:c r="O25"/>
      <x:c r="P25" t="str">
        <x:v>To decommission old resources in Singapore region due to completed migration in MY region</x:v>
      </x:c>
      <x:c r="Q25" t="str">
        <x:v>2W</x:v>
      </x:c>
      <x:c r="R25" t="str">
        <x:v>Cloud Migration</x:v>
      </x:c>
      <x:c r="S25"/>
      <x:c r="T25" t="str">
        <x:v>approved</x:v>
      </x:c>
      <x:c r="U25" t="str">
        <x:v>norhamizah.hasni@petronas.com</x:v>
      </x:c>
      <x:c r="V25" t="n">
        <x:v>46013.306402581016</x:v>
      </x:c>
      <x:c r="W25" t="str">
        <x:v>To decommission resources in SG region</x:v>
      </x:c>
      <x:c r="X25" t="str">
        <x:v>approved</x:v>
      </x:c>
      <x:c r="Y25" t="str">
        <x:v>sazali.mokhtar@petronas.com</x:v>
      </x:c>
      <x:c r="Z25" t="n">
        <x:v>46027.13940638889</x:v>
      </x:c>
      <x:c r="AA25" t="str">
        <x:v>To decommission old resources in Singapore region due to completed migration in MY region - ( Hamizah )</x:v>
      </x:c>
      <x:c r="AB25" t="str">
        <x:v>approved</x:v>
      </x:c>
      <x:c r="AC25" t="str">
        <x:v>azwan.badari@petronas.com</x:v>
      </x:c>
      <x:c r="AD25" t="n">
        <x:v>46028.10141092593</x:v>
      </x:c>
      <x:c r="AE25" t="str">
        <x:v>Repatriation</x:v>
      </x:c>
      <x:c r="AF25" t="str">
        <x:v>approved</x:v>
      </x:c>
      <x:c r="AG25" t="str">
        <x:v>azwan.badari@petronas.com</x:v>
      </x:c>
      <x:c r="AH25" t="n">
        <x:v>46031.08654469907</x:v>
      </x:c>
      <x:c r="AI25" t="str">
        <x:v>Completed</x:v>
      </x:c>
      <x:c r="AJ25" t="str">
        <x:v>A-000111</x:v>
      </x:c>
      <x:c r="AK25" t="str">
        <x:v>02421_89</x:v>
      </x:c>
      <x:c r="AL25" t="str">
        <x:v>S</x:v>
      </x:c>
      <x:c r="AM25" t="str">
        <x:v>REQ000007790054</x:v>
      </x:c>
      <x:c r="AN25" t="str">
        <x:v>noretention</x:v>
      </x:c>
      <x:c r="AO25" t="n">
        <x:v>0</x:v>
      </x:c>
      <x:c r="AP25" s="23" t="str">
        <x:f>IF(E25="processing",IF(Z25="","",IF(ISNUMBER(Z25),INT(Z25),DATE(VALUE(LEFT(Z25,4)),VALUE(MID(Z25,6,2)),VALUE(MID(Z25,9,2))))),IF(OR(E25="executing",E25="pending"),IF(AD25="","",IF(ISNUMBER(AD25),INT(AD25),DATE(VALUE(LEFT(AD25,4)),VALUE(MID(AD25,6,2)),VALUE(MID(AD25,9,2))))),""))</x:f>
      </x:c>
      <x:c r="AQ25" s="24" t="str">
        <x:f>IF(AP25="","",INT('Configuration'!$B$4)-AP25)</x:f>
      </x:c>
      <x:c r="AR25" s="25" t="str">
        <x:f>IF(AP25="","Missing Required Date",IF(AQ25&lt;0,"Future Date",IF(AQ25=0,"0 days",IF(AQ25&lt;=2,"1-2 days",IF(AQ25&lt;=7,"3-7 days",IF(AQ25&lt;=14,"8-14 days",IF(AQ25&lt;=30,"15-30 days",IF(AQ25&lt;=60,"31-60 days",IF(AQ25&lt;=70,"61-70 days","71+ days")))))))))</x:f>
        <x:v>Missing Required Date</x:v>
      </x:c>
      <x:c r="AS25" s="25" t="str">
        <x:f>IF(OR(E25="processing",E25="executing",E25="pending"),IF(AP25="","Required aging date missing",IF(AQ25&gt;30,"Escalate &gt;30d",IF(AQ25&gt;14,"Watch &gt;14d","Within 14d"))),"Out of scope")</x:f>
        <x:v>Out of scope</x:v>
      </x:c>
    </x:row>
    <x:row r="26" ht="24" customHeight="1">
      <x:c r="A26" t="str">
        <x:v>19a4096f-0ee7-4553-b3bf-ebf4344efc24</x:v>
      </x:c>
      <x:c r="B26" t="str">
        <x:v>CSSP10759471</x:v>
      </x:c>
      <x:c r="C26" t="str">
        <x:v>fahmi.badurisam@petronas.com</x:v>
      </x:c>
      <x:c r="D26" t="str">
        <x:v>decommission-cloud</x:v>
      </x:c>
      <x:c r="E26" t="str">
        <x:v>completed</x:v>
      </x:c>
      <x:c r="F26" t="n">
        <x:v>46014.15188853009</x:v>
      </x:c>
      <x:c r="G26" t="n">
        <x:v>46048.32282732639</x:v>
      </x:c>
      <x:c r="H26" t="n">
        <x:v>46014.15188853009</x:v>
      </x:c>
      <x:c r="I26" t="str">
        <x:v>UPS Monitoring</x:v>
      </x:c>
      <x:c r="J26" t="str">
        <x:v>UPS Monitoring</x:v>
      </x:c>
      <x:c r="K26" t="str">
        <x:v>full</x:v>
      </x:c>
      <x:c r="L26" t="str">
        <x:v>DCOM20251223e29</x:v>
      </x:c>
      <x:c r="M26" t="str">
        <x:v>hafiz.awahab@petronas.com</x:v>
      </x:c>
      <x:c r="N26"/>
      <x:c r="O26"/>
      <x:c r="P26" t="str">
        <x:v>INDY 500 decommissioning.</x:v>
      </x:c>
      <x:c r="Q26" t="str">
        <x:v>2W</x:v>
      </x:c>
      <x:c r="R26" t="str">
        <x:v>Not in Used</x:v>
      </x:c>
      <x:c r="S26"/>
      <x:c r="T26" t="str">
        <x:v>approved</x:v>
      </x:c>
      <x:c r="U26" t="str">
        <x:v>fahmi.badurisam@petronas.com</x:v>
      </x:c>
      <x:c r="V26" t="n">
        <x:v>46014.15294532407</x:v>
      </x:c>
      <x:c r="W26" t="str">
        <x:v>Based on INDY 500 the UPS Monitoring System can be decommissioned by the end of December 2025.</x:v>
      </x:c>
      <x:c r="X26" t="str">
        <x:v>approved</x:v>
      </x:c>
      <x:c r="Y26" t="str">
        <x:v>hafiz.awahab@petronas.com</x:v>
      </x:c>
      <x:c r="Z26" t="n">
        <x:v>46027.267196354165</x:v>
      </x:c>
      <x:c r="AA26" t="str">
        <x:v>N/A</x:v>
      </x:c>
      <x:c r="AB26" t="str">
        <x:v>approved</x:v>
      </x:c>
      <x:c r="AC26" t="str">
        <x:v>azwan.badari@petronas.com</x:v>
      </x:c>
      <x:c r="AD26" t="n">
        <x:v>46028.104025706016</x:v>
      </x:c>
      <x:c r="AE26" t="str">
        <x:v>Full decommission. Delete all resources and RG PTAZSG-IAC-PROD-UPSMON-RG</x:v>
      </x:c>
      <x:c r="AF26" t="str">
        <x:v>approved</x:v>
      </x:c>
      <x:c r="AG26" t="str">
        <x:v>abdullah.haziq@petronas.com</x:v>
      </x:c>
      <x:c r="AH26" t="n">
        <x:v>46048.322827337965</x:v>
      </x:c>
      <x:c r="AI26" t="str">
        <x:v>completed.</x:v>
      </x:c>
      <x:c r="AJ26" t="str">
        <x:v>A-000825</x:v>
      </x:c>
      <x:c r="AK26" t="str">
        <x:v>PC-00074</x:v>
      </x:c>
      <x:c r="AL26" t="str">
        <x:v>M</x:v>
      </x:c>
      <x:c r="AM26" t="str">
        <x:v>REQ000007789495</x:v>
      </x:c>
      <x:c r="AN26" t="str">
        <x:v>disposal</x:v>
      </x:c>
      <x:c r="AO26" t="n">
        <x:v>0</x:v>
      </x:c>
      <x:c r="AP26" s="23" t="str">
        <x:f>IF(E26="processing",IF(Z26="","",IF(ISNUMBER(Z26),INT(Z26),DATE(VALUE(LEFT(Z26,4)),VALUE(MID(Z26,6,2)),VALUE(MID(Z26,9,2))))),IF(OR(E26="executing",E26="pending"),IF(AD26="","",IF(ISNUMBER(AD26),INT(AD26),DATE(VALUE(LEFT(AD26,4)),VALUE(MID(AD26,6,2)),VALUE(MID(AD26,9,2))))),""))</x:f>
      </x:c>
      <x:c r="AQ26" s="24" t="str">
        <x:f>IF(AP26="","",INT('Configuration'!$B$4)-AP26)</x:f>
      </x:c>
      <x:c r="AR26" s="25" t="str">
        <x:f>IF(AP26="","Missing Required Date",IF(AQ26&lt;0,"Future Date",IF(AQ26=0,"0 days",IF(AQ26&lt;=2,"1-2 days",IF(AQ26&lt;=7,"3-7 days",IF(AQ26&lt;=14,"8-14 days",IF(AQ26&lt;=30,"15-30 days",IF(AQ26&lt;=60,"31-60 days",IF(AQ26&lt;=70,"61-70 days","71+ days")))))))))</x:f>
        <x:v>Missing Required Date</x:v>
      </x:c>
      <x:c r="AS26" s="25" t="str">
        <x:f>IF(OR(E26="processing",E26="executing",E26="pending"),IF(AP26="","Required aging date missing",IF(AQ26&gt;30,"Escalate &gt;30d",IF(AQ26&gt;14,"Watch &gt;14d","Within 14d"))),"Out of scope")</x:f>
        <x:v>Out of scope</x:v>
      </x:c>
    </x:row>
    <x:row r="27" ht="24" customHeight="1">
      <x:c r="A27" t="str">
        <x:v>b3e9a526-8855-4213-a5e0-c6b29a4822c1</x:v>
      </x:c>
      <x:c r="B27" t="str">
        <x:v>CSSP10150850</x:v>
      </x:c>
      <x:c r="C27" t="str">
        <x:v>chuah_kenneth@petronas.com</x:v>
      </x:c>
      <x:c r="D27" t="str">
        <x:v>decommission-cloud</x:v>
      </x:c>
      <x:c r="E27" t="str">
        <x:v>completed</x:v>
      </x:c>
      <x:c r="F27" t="n">
        <x:v>46014.29165355324</x:v>
      </x:c>
      <x:c r="G27" t="n">
        <x:v>46059.21626530093</x:v>
      </x:c>
      <x:c r="H27" t="n">
        <x:v>46014.29165355324</x:v>
      </x:c>
      <x:c r="I27" t="str">
        <x:v>Cyber Security Trend Micro</x:v>
      </x:c>
      <x:c r="J27" t="str">
        <x:v>Cyber Security Trend Micro created for PRIVATECLOUD project record</x:v>
      </x:c>
      <x:c r="K27" t="str">
        <x:v>full</x:v>
      </x:c>
      <x:c r="L27" t="str">
        <x:v>DCOM202512232b1</x:v>
      </x:c>
      <x:c r="M27" t="str">
        <x:v>ahmadfajar.faeiz@petronas.com</x:v>
      </x:c>
      <x:c r="N27"/>
      <x:c r="O27"/>
      <x:c r="P27" t="str">
        <x:v>All endpoints and servers protection (antimalware) migrated to Microsoft Defender for Endpoint (MDE).</x:v>
      </x:c>
      <x:c r="Q27" t="str">
        <x:v>3M</x:v>
      </x:c>
      <x:c r="R27" t="str">
        <x:v>End of Lease</x:v>
      </x:c>
      <x:c r="S27"/>
      <x:c r="T27" t="str">
        <x:v>approved</x:v>
      </x:c>
      <x:c r="U27" t="str">
        <x:v>chuah_kenneth@petronas.com</x:v>
      </x:c>
      <x:c r="V27" t="n">
        <x:v>46014.29540594907</x:v>
      </x:c>
      <x:c r="W27" t="str">
        <x:v>Resources has been submitted to Azlisham for further validation. 
Actual Resources for Trend Micro Deep Security ;
vcentmdsm01 - 10.14.17.149
vcentmdsm02 - 10.14.17.151
vcentmdsmdb - 10.14.17.150</x:v>
      </x:c>
      <x:c r="X27" t="str">
        <x:v>approved</x:v>
      </x:c>
      <x:c r="Y27" t="str">
        <x:v>ahmadfajar.faeiz@petronas.com</x:v>
      </x:c>
      <x:c r="Z27" t="n">
        <x:v>46050.335932002316</x:v>
      </x:c>
      <x:c r="AA27" t="str">
        <x:v>endpoint are protected by MDE</x:v>
      </x:c>
      <x:c r="AB27" t="str">
        <x:v>approved</x:v>
      </x:c>
      <x:c r="AC27" t="str">
        <x:v>azwan.badari@petronas.com</x:v>
      </x:c>
      <x:c r="AD27" t="n">
        <x:v>46050.3487265625</x:v>
      </x:c>
      <x:c r="AE27" t="str">
        <x:v>Decommission vcentmdsm01 - 10.14.17.149, vcentmdsm02 - 10.14.17.151, vcentmdsmdb - 10.14.17.150</x:v>
      </x:c>
      <x:c r="AF27" t="str">
        <x:v>approved</x:v>
      </x:c>
      <x:c r="AG27" t="str">
        <x:v>azlisham.md@petronas.com</x:v>
      </x:c>
      <x:c r="AH27" t="n">
        <x:v>46059.2162653125</x:v>
      </x:c>
      <x:c r="AI27" t="str">
        <x:v>The decommission request has been completed, and the status is now updated accordingly. Kindly verify from your end and confirm once reviewed.
</x:v>
      </x:c>
      <x:c r="AJ27" t="str">
        <x:v>A-000181</x:v>
      </x:c>
      <x:c r="AK27" t="n">
        <x:v>10055</x:v>
      </x:c>
      <x:c r="AL27" t="str">
        <x:v>M</x:v>
      </x:c>
      <x:c r="AM27" t="str">
        <x:v>REQ000007847048</x:v>
      </x:c>
      <x:c r="AN27" t="str">
        <x:v>retention</x:v>
      </x:c>
      <x:c r="AO27"/>
      <x:c r="AP27" s="23" t="str">
        <x:f>IF(E27="processing",IF(Z27="","",IF(ISNUMBER(Z27),INT(Z27),DATE(VALUE(LEFT(Z27,4)),VALUE(MID(Z27,6,2)),VALUE(MID(Z27,9,2))))),IF(OR(E27="executing",E27="pending"),IF(AD27="","",IF(ISNUMBER(AD27),INT(AD27),DATE(VALUE(LEFT(AD27,4)),VALUE(MID(AD27,6,2)),VALUE(MID(AD27,9,2))))),""))</x:f>
      </x:c>
      <x:c r="AQ27" s="24" t="str">
        <x:f>IF(AP27="","",INT('Configuration'!$B$4)-AP27)</x:f>
      </x:c>
      <x:c r="AR27" s="25" t="str">
        <x:f>IF(AP27="","Missing Required Date",IF(AQ27&lt;0,"Future Date",IF(AQ27=0,"0 days",IF(AQ27&lt;=2,"1-2 days",IF(AQ27&lt;=7,"3-7 days",IF(AQ27&lt;=14,"8-14 days",IF(AQ27&lt;=30,"15-30 days",IF(AQ27&lt;=60,"31-60 days",IF(AQ27&lt;=70,"61-70 days","71+ days")))))))))</x:f>
        <x:v>Missing Required Date</x:v>
      </x:c>
      <x:c r="AS27" s="25" t="str">
        <x:f>IF(OR(E27="processing",E27="executing",E27="pending"),IF(AP27="","Required aging date missing",IF(AQ27&gt;30,"Escalate &gt;30d",IF(AQ27&gt;14,"Watch &gt;14d","Within 14d"))),"Out of scope")</x:f>
        <x:v>Out of scope</x:v>
      </x:c>
    </x:row>
    <x:row r="28" ht="24" customHeight="1">
      <x:c r="A28" t="str">
        <x:v>05ee9847-ff57-4050-a9e1-aec0b95b5284</x:v>
      </x:c>
      <x:c r="B28" t="str">
        <x:v>CSSP10737482</x:v>
      </x:c>
      <x:c r="C28" t="str">
        <x:v>syahir.shaiful@petronas.com</x:v>
      </x:c>
      <x:c r="D28" t="str">
        <x:v>decommission-cloud</x:v>
      </x:c>
      <x:c r="E28" t="str">
        <x:v>completed</x:v>
      </x:c>
      <x:c r="F28" t="n">
        <x:v>46014.3209653588</x:v>
      </x:c>
      <x:c r="G28" t="n">
        <x:v>46083.35332028935</x:v>
      </x:c>
      <x:c r="H28" t="n">
        <x:v>46014.3209653588</x:v>
      </x:c>
      <x:c r="I28" t="str">
        <x:v>Upstream Technology and Digital Innovation - UTDI Data Operations</x:v>
      </x:c>
      <x:c r="J28" t="str">
        <x:v>2023 - DSG repurpose for UTDI Data Ops as instruction from upstream tribe
Provision of Azure Cloud Services for Halliburton Decision Space Geoscience (DSG) Application for Group Technical Data</x:v>
      </x:c>
      <x:c r="K28" t="str">
        <x:v>partial</x:v>
      </x:c>
      <x:c r="L28"/>
      <x:c r="M28" t="str">
        <x:v>wanzul-atfi.matnawi@petronas.com</x:v>
      </x:c>
      <x:c r="N28"/>
      <x:c r="O28"/>
      <x:c r="P28"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
</x:v>
      </x:c>
      <x:c r="Q28" t="str">
        <x:v>1M</x:v>
      </x:c>
      <x:c r="R28" t="str">
        <x:v>Not in Used</x:v>
      </x:c>
      <x:c r="S28"/>
      <x:c r="T28" t="str">
        <x:v>approved</x:v>
      </x:c>
      <x:c r="U28" t="str">
        <x:v>syahir.shaiful@petronas.com</x:v>
      </x:c>
      <x:c r="V28" t="n">
        <x:v>46014.32806236111</x:v>
      </x:c>
      <x:c r="W28"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x:v>
      </x:c>
      <x:c r="X28" t="str">
        <x:v>approved</x:v>
      </x:c>
      <x:c r="Y28" t="str">
        <x:v>wanzul-atfi.matnawi@petronas.com</x:v>
      </x:c>
      <x:c r="Z28" t="n">
        <x:v>46076.157491550926</x:v>
      </x:c>
      <x:c r="AA28" t="str">
        <x:v>As have been identified and validated by Data team.</x:v>
      </x:c>
      <x:c r="AB28" t="str">
        <x:v>approved</x:v>
      </x:c>
      <x:c r="AC28" t="str">
        <x:v>azwan.badari@petronas.com</x:v>
      </x:c>
      <x:c r="AD28" t="n">
        <x:v>46077.098174583334</x:v>
      </x:c>
      <x:c r="AE28" t="str">
        <x:v>Proceed as per listed</x:v>
      </x:c>
      <x:c r="AF28" t="str">
        <x:v>approved</x:v>
      </x:c>
      <x:c r="AG28" t="str">
        <x:v>azlisham.md@petronas.com</x:v>
      </x:c>
      <x:c r="AH28" t="n">
        <x:v>46083.35332030093</x:v>
      </x:c>
      <x:c r="AI28" t="str">
        <x:v>The decommission request has been completed, and the status is now updated accordingly. Kindly verify from your end and confirm once reviewed.
The storage account (highlighted in red)  cannot be deleted due to its artifacts being in use
</x:v>
      </x:c>
      <x:c r="AJ28" t="str">
        <x:v>A-000241</x:v>
      </x:c>
      <x:c r="AK28" t="str">
        <x:v>PSR04669</x:v>
      </x:c>
      <x:c r="AL28" t="str">
        <x:v>M</x:v>
      </x:c>
      <x:c r="AM28" t="str">
        <x:v>REQ000007888792</x:v>
      </x:c>
      <x:c r="AN28" t="str">
        <x:v>noretention</x:v>
      </x:c>
      <x:c r="AO28" t="n">
        <x:v>0</x:v>
      </x:c>
      <x:c r="AP28" s="23" t="str">
        <x:f>IF(E28="processing",IF(Z28="","",IF(ISNUMBER(Z28),INT(Z28),DATE(VALUE(LEFT(Z28,4)),VALUE(MID(Z28,6,2)),VALUE(MID(Z28,9,2))))),IF(OR(E28="executing",E28="pending"),IF(AD28="","",IF(ISNUMBER(AD28),INT(AD28),DATE(VALUE(LEFT(AD28,4)),VALUE(MID(AD28,6,2)),VALUE(MID(AD28,9,2))))),""))</x:f>
      </x:c>
      <x:c r="AQ28" s="24" t="str">
        <x:f>IF(AP28="","",INT('Configuration'!$B$4)-AP28)</x:f>
      </x:c>
      <x:c r="AR28" s="25" t="str">
        <x:f>IF(AP28="","Missing Required Date",IF(AQ28&lt;0,"Future Date",IF(AQ28=0,"0 days",IF(AQ28&lt;=2,"1-2 days",IF(AQ28&lt;=7,"3-7 days",IF(AQ28&lt;=14,"8-14 days",IF(AQ28&lt;=30,"15-30 days",IF(AQ28&lt;=60,"31-60 days",IF(AQ28&lt;=70,"61-70 days","71+ days")))))))))</x:f>
        <x:v>Missing Required Date</x:v>
      </x:c>
      <x:c r="AS28" s="25" t="str">
        <x:f>IF(OR(E28="processing",E28="executing",E28="pending"),IF(AP28="","Required aging date missing",IF(AQ28&gt;30,"Escalate &gt;30d",IF(AQ28&gt;14,"Watch &gt;14d","Within 14d"))),"Out of scope")</x:f>
        <x:v>Out of scope</x:v>
      </x:c>
    </x:row>
    <x:row r="29" ht="24" customHeight="1">
      <x:c r="A29" t="str">
        <x:v>26802f94-96c1-42b1-8695-2b1d58cb4e08</x:v>
      </x:c>
      <x:c r="B29" t="str">
        <x:v>CSSP10471891</x:v>
      </x:c>
      <x:c r="C29" t="str">
        <x:v>syahir.shaiful@petronas.com</x:v>
      </x:c>
      <x:c r="D29" t="str">
        <x:v>decommission-cloud</x:v>
      </x:c>
      <x:c r="E29" t="str">
        <x:v>completed</x:v>
      </x:c>
      <x:c r="F29" t="n">
        <x:v>46014.330027662036</x:v>
      </x:c>
      <x:c r="G29" t="n">
        <x:v>46084.14960159722</x:v>
      </x:c>
      <x:c r="H29" t="n">
        <x:v>46014.330027662036</x:v>
      </x:c>
      <x:c r="I29" t="str">
        <x:v>Upstream Technology and Digital Innovation - UTDI Data Operations</x:v>
      </x:c>
      <x:c r="J29" t="str">
        <x:v>2023 - DSG repurpose for UTDI Data Ops as instruction from upstream tribe
Provision of Cloud Services for Gabon Office - DSG West Europe</x:v>
      </x:c>
      <x:c r="K29" t="str">
        <x:v>partial</x:v>
      </x:c>
      <x:c r="L29"/>
      <x:c r="M29" t="str">
        <x:v>wanzul-atfi.matnawi@petronas.com</x:v>
      </x:c>
      <x:c r="N29"/>
      <x:c r="O29"/>
      <x:c r="P29"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x:v>
      </x:c>
      <x:c r="Q29" t="str">
        <x:v>1M</x:v>
      </x:c>
      <x:c r="R29" t="str">
        <x:v>Not in Used</x:v>
      </x:c>
      <x:c r="S29"/>
      <x:c r="T29" t="str">
        <x:v>approved</x:v>
      </x:c>
      <x:c r="U29" t="str">
        <x:v>syahir.shaiful@petronas.com</x:v>
      </x:c>
      <x:c r="V29" t="n">
        <x:v>46014.330819097224</x:v>
      </x:c>
      <x:c r="W29"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x:v>
      </x:c>
      <x:c r="X29" t="str">
        <x:v>approved</x:v>
      </x:c>
      <x:c r="Y29" t="str">
        <x:v>wanzul-atfi.matnawi@petronas.com</x:v>
      </x:c>
      <x:c r="Z29" t="n">
        <x:v>46076.15656545139</x:v>
      </x:c>
      <x:c r="AA29" t="str">
        <x:v>As have been identified and validated by Data team.</x:v>
      </x:c>
      <x:c r="AB29" t="str">
        <x:v>approved</x:v>
      </x:c>
      <x:c r="AC29" t="str">
        <x:v>azwan.badari@petronas.com</x:v>
      </x:c>
      <x:c r="AD29" t="n">
        <x:v>46077.097926712966</x:v>
      </x:c>
      <x:c r="AE29" t="str">
        <x:v>Proceed as per listed</x:v>
      </x:c>
      <x:c r="AF29" t="str">
        <x:v>approved</x:v>
      </x:c>
      <x:c r="AG29" t="str">
        <x:v>azlisham.md@petronas.com</x:v>
      </x:c>
      <x:c r="AH29" t="n">
        <x:v>46084.14960159722</x:v>
      </x:c>
      <x:c r="AI29" t="str">
        <x:v>same request with CSSP10737482</x:v>
      </x:c>
      <x:c r="AJ29" t="str">
        <x:v>A-000241</x:v>
      </x:c>
      <x:c r="AK29" t="str">
        <x:v>AZ-DSG-WEU</x:v>
      </x:c>
      <x:c r="AL29" t="str">
        <x:v>M</x:v>
      </x:c>
      <x:c r="AM29" t="str">
        <x:v>REQ000007888791</x:v>
      </x:c>
      <x:c r="AN29" t="str">
        <x:v>noretention</x:v>
      </x:c>
      <x:c r="AO29" t="n">
        <x:v>0</x:v>
      </x:c>
      <x:c r="AP29" s="23" t="str">
        <x:f>IF(E29="processing",IF(Z29="","",IF(ISNUMBER(Z29),INT(Z29),DATE(VALUE(LEFT(Z29,4)),VALUE(MID(Z29,6,2)),VALUE(MID(Z29,9,2))))),IF(OR(E29="executing",E29="pending"),IF(AD29="","",IF(ISNUMBER(AD29),INT(AD29),DATE(VALUE(LEFT(AD29,4)),VALUE(MID(AD29,6,2)),VALUE(MID(AD29,9,2))))),""))</x:f>
      </x:c>
      <x:c r="AQ29" s="24" t="str">
        <x:f>IF(AP29="","",INT('Configuration'!$B$4)-AP29)</x:f>
      </x:c>
      <x:c r="AR29" s="25" t="str">
        <x:f>IF(AP29="","Missing Required Date",IF(AQ29&lt;0,"Future Date",IF(AQ29=0,"0 days",IF(AQ29&lt;=2,"1-2 days",IF(AQ29&lt;=7,"3-7 days",IF(AQ29&lt;=14,"8-14 days",IF(AQ29&lt;=30,"15-30 days",IF(AQ29&lt;=60,"31-60 days",IF(AQ29&lt;=70,"61-70 days","71+ days")))))))))</x:f>
        <x:v>Missing Required Date</x:v>
      </x:c>
      <x:c r="AS29" s="25" t="str">
        <x:f>IF(OR(E29="processing",E29="executing",E29="pending"),IF(AP29="","Required aging date missing",IF(AQ29&gt;30,"Escalate &gt;30d",IF(AQ29&gt;14,"Watch &gt;14d","Within 14d"))),"Out of scope")</x:f>
        <x:v>Out of scope</x:v>
      </x:c>
    </x:row>
    <x:row r="30" ht="24" customHeight="1">
      <x:c r="A30" t="str">
        <x:v>280ff278-f9e5-4b4e-801a-bd7fcb23f040</x:v>
      </x:c>
      <x:c r="B30" t="str">
        <x:v>CSSP10985709</x:v>
      </x:c>
      <x:c r="C30" t="str">
        <x:v>nurulnajwa.mud@petronas.com</x:v>
      </x:c>
      <x:c r="D30" t="str">
        <x:v>decommission-cloud</x:v>
      </x:c>
      <x:c r="E30" t="str">
        <x:v>completed</x:v>
      </x:c>
      <x:c r="F30" t="n">
        <x:v>46014.361186180555</x:v>
      </x:c>
      <x:c r="G30" t="n">
        <x:v>46028.33286449074</x:v>
      </x:c>
      <x:c r="H30" t="n">
        <x:v>46014.362696840275</x:v>
      </x:c>
      <x:c r="I30" t="str">
        <x:v>Business Intelligence Reporting and Analytic - BIRA</x:v>
      </x:c>
      <x:c r="J30" t="str">
        <x:v>Cloud Migration- BIRA (Business Intelligence Reporting &amp; Analytic)</x:v>
      </x:c>
      <x:c r="K30" t="str">
        <x:v>partial</x:v>
      </x:c>
      <x:c r="L30"/>
      <x:c r="M30" t="str">
        <x:v>kuek.chiayin@petronas.com.my</x:v>
      </x:c>
      <x:c r="N30" t="str">
        <x:v>-</x:v>
      </x:c>
      <x:c r="O30"/>
      <x:c r="P30" t="str">
        <x:v>Approval to proceed with the decommissioning of these specified Azure Storage Account. due to not in used
ptazsg5birastrdl Storage account StorageV2 
ptazsg4birastrdl Storage account StorageV2
ptazsg1birastrlrs Storage account StorageV2</x:v>
      </x:c>
      <x:c r="Q30" t="str">
        <x:v>3M</x:v>
      </x:c>
      <x:c r="R30" t="str">
        <x:v>Not in Used</x:v>
      </x:c>
      <x:c r="S30"/>
      <x:c r="T30" t="str">
        <x:v>approved</x:v>
      </x:c>
      <x:c r="U30" t="str">
        <x:v>nurulnajwa.mud@petronas.com</x:v>
      </x:c>
      <x:c r="V30" t="n">
        <x:v>46014.36509957176</x:v>
      </x:c>
      <x:c r="W30" t="str">
        <x:v>Decom the following Storage account:
DEV: ptazsg5birastrdl,
UAT: ptazsg4birastrdl,
PROD: ptazsg1birastrlrs</x:v>
      </x:c>
      <x:c r="X30" t="str">
        <x:v>approved</x:v>
      </x:c>
      <x:c r="Y30" t="str">
        <x:v>kuek.chiayin@petronas.com</x:v>
      </x:c>
      <x:c r="Z30" t="n">
        <x:v>46027.305764606484</x:v>
      </x:c>
      <x:c r="AA30" t="str">
        <x:v>Verified that the storage account is not in use, and can be decommissioned. </x:v>
      </x:c>
      <x:c r="AB30" t="str">
        <x:v>approved</x:v>
      </x:c>
      <x:c r="AC30" t="str">
        <x:v>azlisham.md@petronas.com</x:v>
      </x:c>
      <x:c r="AD30" t="n">
        <x:v>46027.552840868055</x:v>
      </x:c>
      <x:c r="AE30" t="str">
        <x:v>proceed to decom</x:v>
      </x:c>
      <x:c r="AF30" t="str">
        <x:v>approved</x:v>
      </x:c>
      <x:c r="AG30" t="str">
        <x:v>azlisham.md@petronas.com</x:v>
      </x:c>
      <x:c r="AH30" t="n">
        <x:v>46028.33286451389</x:v>
      </x:c>
      <x:c r="AI30" t="str">
        <x:v>The decommission request has been completed, and the status is now updated accordingly. Kindly verify from your end and confirm once reviewed.
</x:v>
      </x:c>
      <x:c r="AJ30" t="str">
        <x:v>A-000092</x:v>
      </x:c>
      <x:c r="AK30" t="str">
        <x:v>02421_15</x:v>
      </x:c>
      <x:c r="AL30" t="str">
        <x:v>M</x:v>
      </x:c>
      <x:c r="AM30" t="str">
        <x:v>REQ000007789020</x:v>
      </x:c>
      <x:c r="AN30" t="str">
        <x:v>noretention</x:v>
      </x:c>
      <x:c r="AO30" t="n">
        <x:v>0</x:v>
      </x:c>
      <x:c r="AP30" s="23" t="str">
        <x:f>IF(E30="processing",IF(Z30="","",IF(ISNUMBER(Z30),INT(Z30),DATE(VALUE(LEFT(Z30,4)),VALUE(MID(Z30,6,2)),VALUE(MID(Z30,9,2))))),IF(OR(E30="executing",E30="pending"),IF(AD30="","",IF(ISNUMBER(AD30),INT(AD30),DATE(VALUE(LEFT(AD30,4)),VALUE(MID(AD30,6,2)),VALUE(MID(AD30,9,2))))),""))</x:f>
      </x:c>
      <x:c r="AQ30" s="24" t="str">
        <x:f>IF(AP30="","",INT('Configuration'!$B$4)-AP30)</x:f>
      </x:c>
      <x:c r="AR30" s="25" t="str">
        <x:f>IF(AP30="","Missing Required Date",IF(AQ30&lt;0,"Future Date",IF(AQ30=0,"0 days",IF(AQ30&lt;=2,"1-2 days",IF(AQ30&lt;=7,"3-7 days",IF(AQ30&lt;=14,"8-14 days",IF(AQ30&lt;=30,"15-30 days",IF(AQ30&lt;=60,"31-60 days",IF(AQ30&lt;=70,"61-70 days","71+ days")))))))))</x:f>
        <x:v>Missing Required Date</x:v>
      </x:c>
      <x:c r="AS30" s="25" t="str">
        <x:f>IF(OR(E30="processing",E30="executing",E30="pending"),IF(AP30="","Required aging date missing",IF(AQ30&gt;30,"Escalate &gt;30d",IF(AQ30&gt;14,"Watch &gt;14d","Within 14d"))),"Out of scope")</x:f>
        <x:v>Out of scope</x:v>
      </x:c>
    </x:row>
    <x:row r="31" ht="24" customHeight="1">
      <x:c r="A31" t="str">
        <x:v>dbdb4c36-7ab2-4bd2-a432-02c4d278d555</x:v>
      </x:c>
      <x:c r="B31" t="str">
        <x:v>CSSP10217386</x:v>
      </x:c>
      <x:c r="C31" t="str">
        <x:v>izdihar.roslan@petronas.com</x:v>
      </x:c>
      <x:c r="D31" t="str">
        <x:v>decommission-cloud</x:v>
      </x:c>
      <x:c r="E31" t="str">
        <x:v>completed</x:v>
      </x:c>
      <x:c r="F31" t="n">
        <x:v>46015.07346467592</x:v>
      </x:c>
      <x:c r="G31" t="n">
        <x:v>46031.08617920139</x:v>
      </x:c>
      <x:c r="H31" t="n">
        <x:v>46015.07346467592</x:v>
      </x:c>
      <x:c r="I31" t="str">
        <x:v>Visual Integrated Solution for Material - VISMA</x:v>
      </x:c>
      <x:c r="J31" t="str">
        <x:v>VISUAL INTEGRATED SOLUTION for MATERIAL</x:v>
      </x:c>
      <x:c r="K31" t="str">
        <x:v>partial</x:v>
      </x:c>
      <x:c r="L31"/>
      <x:c r="M31" t="str">
        <x:v>sazali.mokhtar@petronas.com</x:v>
      </x:c>
      <x:c r="N31"/>
      <x:c r="O31"/>
      <x:c r="P31" t="str">
        <x:v>To decommission old resources in Singapore region due to completed migration in MY region</x:v>
      </x:c>
      <x:c r="Q31" t="str">
        <x:v>2W</x:v>
      </x:c>
      <x:c r="R31" t="str">
        <x:v>Cloud Migration</x:v>
      </x:c>
      <x:c r="S31"/>
      <x:c r="T31" t="str">
        <x:v>approved</x:v>
      </x:c>
      <x:c r="U31" t="str">
        <x:v>izdihar.roslan@petronas.com</x:v>
      </x:c>
      <x:c r="V31" t="n">
        <x:v>46015.07469375</x:v>
      </x:c>
      <x:c r="W31" t="str">
        <x:v>To decommission old resources in Singapore region due to completed migration in MY region</x:v>
      </x:c>
      <x:c r="X31" t="str">
        <x:v>approved</x:v>
      </x:c>
      <x:c r="Y31" t="str">
        <x:v>sazali.mokhtar@petronas.com</x:v>
      </x:c>
      <x:c r="Z31" t="n">
        <x:v>46027.13922033565</x:v>
      </x:c>
      <x:c r="AA31" t="str">
        <x:v>To decommission old resources in Singapore region due to completed migration in MY region - ( Hamizah )</x:v>
      </x:c>
      <x:c r="AB31" t="str">
        <x:v>approved</x:v>
      </x:c>
      <x:c r="AC31" t="str">
        <x:v>azwan.badari@petronas.com</x:v>
      </x:c>
      <x:c r="AD31" t="n">
        <x:v>46028.089728506944</x:v>
      </x:c>
      <x:c r="AE31" t="str">
        <x:v>Decommission VISMA in SG region.
ptawsg-iac-nonprod-corporatecommon-visma-dev-bucket
iam/ptaw_iac_nonprod_corporatecommon_visma_user
</x:v>
      </x:c>
      <x:c r="AF31" t="str">
        <x:v>approved</x:v>
      </x:c>
      <x:c r="AG31" t="str">
        <x:v>azwan.badari@petronas.com</x:v>
      </x:c>
      <x:c r="AH31" t="n">
        <x:v>46031.08617920139</x:v>
      </x:c>
      <x:c r="AI31" t="str">
        <x:v>Completed</x:v>
      </x:c>
      <x:c r="AJ31" t="str">
        <x:v>A-000847</x:v>
      </x:c>
      <x:c r="AK31" t="n">
        <x:v>4631</x:v>
      </x:c>
      <x:c r="AL31" t="str">
        <x:v>S</x:v>
      </x:c>
      <x:c r="AM31" t="str">
        <x:v>REQ000007789469</x:v>
      </x:c>
      <x:c r="AN31" t="str">
        <x:v>noretention</x:v>
      </x:c>
      <x:c r="AO31" t="n">
        <x:v>0</x:v>
      </x:c>
      <x:c r="AP31" s="23" t="str">
        <x:f>IF(E31="processing",IF(Z31="","",IF(ISNUMBER(Z31),INT(Z31),DATE(VALUE(LEFT(Z31,4)),VALUE(MID(Z31,6,2)),VALUE(MID(Z31,9,2))))),IF(OR(E31="executing",E31="pending"),IF(AD31="","",IF(ISNUMBER(AD31),INT(AD31),DATE(VALUE(LEFT(AD31,4)),VALUE(MID(AD31,6,2)),VALUE(MID(AD31,9,2))))),""))</x:f>
      </x:c>
      <x:c r="AQ31" s="24" t="str">
        <x:f>IF(AP31="","",INT('Configuration'!$B$4)-AP31)</x:f>
      </x:c>
      <x:c r="AR31" s="25" t="str">
        <x:f>IF(AP31="","Missing Required Date",IF(AQ31&lt;0,"Future Date",IF(AQ31=0,"0 days",IF(AQ31&lt;=2,"1-2 days",IF(AQ31&lt;=7,"3-7 days",IF(AQ31&lt;=14,"8-14 days",IF(AQ31&lt;=30,"15-30 days",IF(AQ31&lt;=60,"31-60 days",IF(AQ31&lt;=70,"61-70 days","71+ days")))))))))</x:f>
        <x:v>Missing Required Date</x:v>
      </x:c>
      <x:c r="AS31" s="25" t="str">
        <x:f>IF(OR(E31="processing",E31="executing",E31="pending"),IF(AP31="","Required aging date missing",IF(AQ31&gt;30,"Escalate &gt;30d",IF(AQ31&gt;14,"Watch &gt;14d","Within 14d"))),"Out of scope")</x:f>
        <x:v>Out of scope</x:v>
      </x:c>
    </x:row>
    <x:row r="32" ht="24" customHeight="1">
      <x:c r="A32" t="str">
        <x:v>1eacd220-97a0-4e97-9a5b-0673c47648a5</x:v>
      </x:c>
      <x:c r="B32" t="str">
        <x:v>CSSP10442429</x:v>
      </x:c>
      <x:c r="C32" t="str">
        <x:v>nurizzati.mbasir@petronas.com</x:v>
      </x:c>
      <x:c r="D32" t="str">
        <x:v>decommission-cloud</x:v>
      </x:c>
      <x:c r="E32" t="str">
        <x:v>completed</x:v>
      </x:c>
      <x:c r="F32" t="n">
        <x:v>46015.17047128472</x:v>
      </x:c>
      <x:c r="G32" t="n">
        <x:v>46049.13510611111</x:v>
      </x:c>
      <x:c r="H32" t="n">
        <x:v>46015.17047128472</x:v>
      </x:c>
      <x:c r="I32" t="str">
        <x:v>SMART / DPVA Upstream</x:v>
      </x:c>
      <x:c r="J32" t="str">
        <x:v>Vessel Analytics (VA)</x:v>
      </x:c>
      <x:c r="K32" t="str">
        <x:v>full</x:v>
      </x:c>
      <x:c r="L32" t="str">
        <x:v>DCOM2025122461e</x:v>
      </x:c>
      <x:c r="M32" t="str">
        <x:v>salita.yami@petronas.com.my</x:v>
      </x:c>
      <x:c r="N32" t="str">
        <x:v>https://app.powerbi.com/reportEmbed?reportId=f414f4f3-df10-4736-a643-7fb9016513c0&amp;autoAuth=true&amp;ctid=3b2e8941-7948-4131-978a-b2dfc7295091</x:v>
      </x:c>
      <x:c r="O32" t="n">
        <x:v>3866</x:v>
      </x:c>
      <x:c r="P32" t="str">
        <x:v>This application is no longer in used by the users.</x:v>
      </x:c>
      <x:c r="Q32" t="str">
        <x:v>12M</x:v>
      </x:c>
      <x:c r="R32" t="str">
        <x:v>Not in Used</x:v>
      </x:c>
      <x:c r="S32"/>
      <x:c r="T32" t="str">
        <x:v>approved</x:v>
      </x:c>
      <x:c r="U32" t="str">
        <x:v>nurizzati.mbasir@petronas.com</x:v>
      </x:c>
      <x:c r="V32" t="n">
        <x:v>46015.19700034722</x:v>
      </x:c>
      <x:c r="W32" t="str">
        <x:v>Please decom RG that related with Vessel Analytics(VA) application only for all enviroments.
PTAZSG-PROD-DPVA-RG
PTAZSG-DEV-DPVA-RG</x:v>
      </x:c>
      <x:c r="X32" t="str">
        <x:v>approved</x:v>
      </x:c>
      <x:c r="Y32" t="str">
        <x:v>salita.yami@petronas.com</x:v>
      </x:c>
      <x:c r="Z32" t="n">
        <x:v>46017.05619234954</x:v>
      </x:c>
      <x:c r="AA32" t="str">
        <x:v>Proceed</x:v>
      </x:c>
      <x:c r="AB32" t="str">
        <x:v>approved</x:v>
      </x:c>
      <x:c r="AC32" t="str">
        <x:v>azwan.badari@petronas.com</x:v>
      </x:c>
      <x:c r="AD32" t="n">
        <x:v>46028.11110158565</x:v>
      </x:c>
      <x:c r="AE32" t="str">
        <x:v>Full decommission.
PTAZSG-PROD-DPVA-RG &amp; PTAZSG-DEV-DPVA-RG</x:v>
      </x:c>
      <x:c r="AF32" t="str">
        <x:v>approved</x:v>
      </x:c>
      <x:c r="AG32" t="str">
        <x:v>azlisham.md@petronas.com</x:v>
      </x:c>
      <x:c r="AH32" t="n">
        <x:v>46049.13510612269</x:v>
      </x:c>
      <x:c r="AI32" t="str">
        <x:v>The decommission request has been completed, and the status is now updated accordingly. Kindly verify from your end and confirm once reviewed.
</x:v>
      </x:c>
      <x:c r="AJ32" t="str">
        <x:v>A-000779</x:v>
      </x:c>
      <x:c r="AK32" t="n">
        <x:v>3866</x:v>
      </x:c>
      <x:c r="AL32" t="str">
        <x:v>M</x:v>
      </x:c>
      <x:c r="AM32" t="str">
        <x:v>REQ000007790074</x:v>
      </x:c>
      <x:c r="AN32" t="str">
        <x:v>retention</x:v>
      </x:c>
      <x:c r="AO32" t="n">
        <x:v>1095</x:v>
      </x:c>
      <x:c r="AP32" s="23" t="str">
        <x:f>IF(E32="processing",IF(Z32="","",IF(ISNUMBER(Z32),INT(Z32),DATE(VALUE(LEFT(Z32,4)),VALUE(MID(Z32,6,2)),VALUE(MID(Z32,9,2))))),IF(OR(E32="executing",E32="pending"),IF(AD32="","",IF(ISNUMBER(AD32),INT(AD32),DATE(VALUE(LEFT(AD32,4)),VALUE(MID(AD32,6,2)),VALUE(MID(AD32,9,2))))),""))</x:f>
      </x:c>
      <x:c r="AQ32" s="24" t="str">
        <x:f>IF(AP32="","",INT('Configuration'!$B$4)-AP32)</x:f>
      </x:c>
      <x:c r="AR32" s="25" t="str">
        <x:f>IF(AP32="","Missing Required Date",IF(AQ32&lt;0,"Future Date",IF(AQ32=0,"0 days",IF(AQ32&lt;=2,"1-2 days",IF(AQ32&lt;=7,"3-7 days",IF(AQ32&lt;=14,"8-14 days",IF(AQ32&lt;=30,"15-30 days",IF(AQ32&lt;=60,"31-60 days",IF(AQ32&lt;=70,"61-70 days","71+ days")))))))))</x:f>
        <x:v>Missing Required Date</x:v>
      </x:c>
      <x:c r="AS32" s="25" t="str">
        <x:f>IF(OR(E32="processing",E32="executing",E32="pending"),IF(AP32="","Required aging date missing",IF(AQ32&gt;30,"Escalate &gt;30d",IF(AQ32&gt;14,"Watch &gt;14d","Within 14d"))),"Out of scope")</x:f>
        <x:v>Out of scope</x:v>
      </x:c>
    </x:row>
    <x:row r="33" ht="24" customHeight="1">
      <x:c r="A33" t="str">
        <x:v>d8a012f7-8228-43ae-90b2-567d90948366</x:v>
      </x:c>
      <x:c r="B33" t="str">
        <x:v>CSSP10818859</x:v>
      </x:c>
      <x:c r="C33" t="str">
        <x:v>noorsabrina.mahhussi@petronas.com</x:v>
      </x:c>
      <x:c r="D33" t="str">
        <x:v>decommission-cloud</x:v>
      </x:c>
      <x:c r="E33" t="str">
        <x:v>completed</x:v>
      </x:c>
      <x:c r="F33" t="n">
        <x:v>46020.18950961805</x:v>
      </x:c>
      <x:c r="G33" t="n">
        <x:v>46030.28119804398</x:v>
      </x:c>
      <x:c r="H33" t="n">
        <x:v>46020.18950961805</x:v>
      </x:c>
      <x:c r="I33" t="str">
        <x:v>MyProcure</x:v>
      </x:c>
      <x:c r="J33" t="str">
        <x:v>Procurement Innovation Through Automation And Procurement Marketplace</x:v>
      </x:c>
      <x:c r="K33" t="str">
        <x:v>partial</x:v>
      </x:c>
      <x:c r="L33"/>
      <x:c r="M33" t="str">
        <x:v>mosman.mhassanomar@petronas.com.my</x:v>
      </x:c>
      <x:c r="N33"/>
      <x:c r="O33" t="str">
        <x:v>PSR04343</x:v>
      </x:c>
      <x:c r="P33" t="str">
        <x:v>Resources are no longer in use. Previous request to decomm had been raised in 2024 but did not go through. Raising a new urgent request in order to comply with DPIA requirements. Kindly refer to attachment for specific resources to be decommissioned. </x:v>
      </x:c>
      <x:c r="Q33" t="str">
        <x:v>3M</x:v>
      </x:c>
      <x:c r="R33" t="str">
        <x:v>Obsolete</x:v>
      </x:c>
      <x:c r="S33"/>
      <x:c r="T33" t="str">
        <x:v>approved</x:v>
      </x:c>
      <x:c r="U33" t="str">
        <x:v>noorsabrina.mahhussi@petronas.com</x:v>
      </x:c>
      <x:c r="V33" t="n">
        <x:v>46020.193970451386</x:v>
      </x:c>
      <x:c r="W33" t="str">
        <x:v>Confirmed based on list provided by Zul Fakar. List is attached</x:v>
      </x:c>
      <x:c r="X33" t="str">
        <x:v>approved</x:v>
      </x:c>
      <x:c r="Y33" t="str">
        <x:v>mosman.mhassanomar@petronas.com</x:v>
      </x:c>
      <x:c r="Z33" t="n">
        <x:v>46021.08448145833</x:v>
      </x:c>
      <x:c r="AA33" t="str">
        <x:v>As per recommended by the Support Team/ Technical Team</x:v>
      </x:c>
      <x:c r="AB33" t="str">
        <x:v>approved</x:v>
      </x:c>
      <x:c r="AC33" t="str">
        <x:v>azwan.badari@petronas.com</x:v>
      </x:c>
      <x:c r="AD33" t="n">
        <x:v>46028.11219449074</x:v>
      </x:c>
      <x:c r="AE33" t="str">
        <x:v>Decommission listed storage account</x:v>
      </x:c>
      <x:c r="AF33" t="str">
        <x:v>approved</x:v>
      </x:c>
      <x:c r="AG33" t="str">
        <x:v>azlisham.md@petronas.com</x:v>
      </x:c>
      <x:c r="AH33" t="n">
        <x:v>46030.281198055556</x:v>
      </x:c>
      <x:c r="AI33" t="str">
        <x:v>The decommission request has been completed, and the status is now updated accordingly. Kindly verify from your end and confirm once reviewed.
</x:v>
      </x:c>
      <x:c r="AJ33" t="str">
        <x:v>A-000490</x:v>
      </x:c>
      <x:c r="AK33" t="n">
        <x:v>4343</x:v>
      </x:c>
      <x:c r="AL33" t="str">
        <x:v>M</x:v>
      </x:c>
      <x:c r="AM33" t="str">
        <x:v>REQ000007789503</x:v>
      </x:c>
      <x:c r="AN33" t="str">
        <x:v>retention</x:v>
      </x:c>
      <x:c r="AO33" t="n">
        <x:v>90</x:v>
      </x:c>
      <x:c r="AP33" s="23" t="str">
        <x:f>IF(E33="processing",IF(Z33="","",IF(ISNUMBER(Z33),INT(Z33),DATE(VALUE(LEFT(Z33,4)),VALUE(MID(Z33,6,2)),VALUE(MID(Z33,9,2))))),IF(OR(E33="executing",E33="pending"),IF(AD33="","",IF(ISNUMBER(AD33),INT(AD33),DATE(VALUE(LEFT(AD33,4)),VALUE(MID(AD33,6,2)),VALUE(MID(AD33,9,2))))),""))</x:f>
      </x:c>
      <x:c r="AQ33" s="24" t="str">
        <x:f>IF(AP33="","",INT('Configuration'!$B$4)-AP33)</x:f>
      </x:c>
      <x:c r="AR33" s="25" t="str">
        <x:f>IF(AP33="","Missing Required Date",IF(AQ33&lt;0,"Future Date",IF(AQ33=0,"0 days",IF(AQ33&lt;=2,"1-2 days",IF(AQ33&lt;=7,"3-7 days",IF(AQ33&lt;=14,"8-14 days",IF(AQ33&lt;=30,"15-30 days",IF(AQ33&lt;=60,"31-60 days",IF(AQ33&lt;=70,"61-70 days","71+ days")))))))))</x:f>
        <x:v>Missing Required Date</x:v>
      </x:c>
      <x:c r="AS33" s="25" t="str">
        <x:f>IF(OR(E33="processing",E33="executing",E33="pending"),IF(AP33="","Required aging date missing",IF(AQ33&gt;30,"Escalate &gt;30d",IF(AQ33&gt;14,"Watch &gt;14d","Within 14d"))),"Out of scope")</x:f>
        <x:v>Out of scope</x:v>
      </x:c>
    </x:row>
    <x:row r="34" ht="24" customHeight="1">
      <x:c r="A34" t="str">
        <x:v>b6820993-44bf-4101-ba58-bee50b0da18d</x:v>
      </x:c>
      <x:c r="B34" t="str">
        <x:v>CSSP10371521</x:v>
      </x:c>
      <x:c r="C34" t="str">
        <x:v>azrin.azizan@petronas.com</x:v>
      </x:c>
      <x:c r="D34" t="str">
        <x:v>decommission-cloud</x:v>
      </x:c>
      <x:c r="E34" t="str">
        <x:v>completed</x:v>
      </x:c>
      <x:c r="F34" t="n">
        <x:v>46021.15885364584</x:v>
      </x:c>
      <x:c r="G34" t="n">
        <x:v>46035.39747679398</x:v>
      </x:c>
      <x:c r="H34" t="n">
        <x:v>46021.15885364584</x:v>
      </x:c>
      <x:c r="I34" t="str">
        <x:v>M365 SharePoint - SPO</x:v>
      </x:c>
      <x:c r="J34" t="str">
        <x:v>Cloud Migration Program - Migration SharePoint 2013 to SharePoint 2019</x:v>
      </x:c>
      <x:c r="K34" t="str">
        <x:v>partial</x:v>
      </x:c>
      <x:c r="L34"/>
      <x:c r="M34" t="str">
        <x:v>nshahidahothman@petronas.com.my</x:v>
      </x:c>
      <x:c r="N34"/>
      <x:c r="O34"/>
      <x:c r="P34" t="str">
        <x:v>The SP2019 staging environment is no longer required, as all relevant testing, validation, and migration activities have been completed. There are currently no active applications, users, or business processes dependent on this staging farm. Additionally, SharePoint Server 2019 is approaching its end-of-life (EOL) in July 2026.</x:v>
      </x:c>
      <x:c r="Q34" t="str">
        <x:v>2W</x:v>
      </x:c>
      <x:c r="R34" t="str">
        <x:v>Obsolete</x:v>
      </x:c>
      <x:c r="S34"/>
      <x:c r="T34" t="str">
        <x:v>approved</x:v>
      </x:c>
      <x:c r="U34" t="str">
        <x:v>azrin.azizan@petronas.com</x:v>
      </x:c>
      <x:c r="V34" t="n">
        <x:v>46021.30261300926</x:v>
      </x:c>
      <x:c r="W34" t="str">
        <x:v>Application Server	172.25.52.142	PTSG-4SPss01
	172.25.52.143	PTSG-4SPss02
	172.25.52.144	PTSG-4SPss03
	172.25.52.145	PTSG-4SPss04
	172.25.52.177	PTSG-4SPos01
	172.25.52.147	PTSG-4SPfs01
	172.25.52.148	PTSG-4SPap01
	172.25.52.149	PTSG-4SPap02
SP Load Balancer	172.25.50.35	PTAZSG-4SPWB-LB
WFE Server	172.25.50.31	PTSG-4SPwb01
	172.25.50.32	PTSG-4SPwb02
DB Load Balancer	172.25.56.45	PTAZSG-4SPDB-LB
Database Server	172.25.56.37	PTSG-4SPdb01
</x:v>
      </x:c>
      <x:c r="X34" t="str">
        <x:v>approved</x:v>
      </x:c>
      <x:c r="Y34" t="str">
        <x:v>nshahidahothman@petronas.com</x:v>
      </x:c>
      <x:c r="Z34" t="n">
        <x:v>46021.37536042824</x:v>
      </x:c>
      <x:c r="AA34" t="str">
        <x:v>total resource for staging : 53 </x:v>
      </x:c>
      <x:c r="AB34" t="str">
        <x:v>approved</x:v>
      </x:c>
      <x:c r="AC34" t="str">
        <x:v>azwan.badari@petronas.com</x:v>
      </x:c>
      <x:c r="AD34" t="n">
        <x:v>46028.113725752315</x:v>
      </x:c>
      <x:c r="AE34" t="str">
        <x:v>Decommission listed resources</x:v>
      </x:c>
      <x:c r="AF34" t="str">
        <x:v>approved</x:v>
      </x:c>
      <x:c r="AG34" t="str">
        <x:v>azlisham.md@petronas.com</x:v>
      </x:c>
      <x:c r="AH34" t="n">
        <x:v>46035.397476805556</x:v>
      </x:c>
      <x:c r="AI34" t="str">
        <x:v>The decommission request has been completed, and the status is now updated accordingly. Kindly verify from your end and confirm once reviewed.
</x:v>
      </x:c>
      <x:c r="AJ34" t="str">
        <x:v>A-000449</x:v>
      </x:c>
      <x:c r="AK34" t="str">
        <x:v>00915_1</x:v>
      </x:c>
      <x:c r="AL34" t="str">
        <x:v>L</x:v>
      </x:c>
      <x:c r="AM34" t="str">
        <x:v>REQ000007789505</x:v>
      </x:c>
      <x:c r="AN34" t="str">
        <x:v>noretention</x:v>
      </x:c>
      <x:c r="AO34" t="n">
        <x:v>0</x:v>
      </x:c>
      <x:c r="AP34" s="23" t="str">
        <x:f>IF(E34="processing",IF(Z34="","",IF(ISNUMBER(Z34),INT(Z34),DATE(VALUE(LEFT(Z34,4)),VALUE(MID(Z34,6,2)),VALUE(MID(Z34,9,2))))),IF(OR(E34="executing",E34="pending"),IF(AD34="","",IF(ISNUMBER(AD34),INT(AD34),DATE(VALUE(LEFT(AD34,4)),VALUE(MID(AD34,6,2)),VALUE(MID(AD34,9,2))))),""))</x:f>
      </x:c>
      <x:c r="AQ34" s="24" t="str">
        <x:f>IF(AP34="","",INT('Configuration'!$B$4)-AP34)</x:f>
      </x:c>
      <x:c r="AR34" s="25" t="str">
        <x:f>IF(AP34="","Missing Required Date",IF(AQ34&lt;0,"Future Date",IF(AQ34=0,"0 days",IF(AQ34&lt;=2,"1-2 days",IF(AQ34&lt;=7,"3-7 days",IF(AQ34&lt;=14,"8-14 days",IF(AQ34&lt;=30,"15-30 days",IF(AQ34&lt;=60,"31-60 days",IF(AQ34&lt;=70,"61-70 days","71+ days")))))))))</x:f>
        <x:v>Missing Required Date</x:v>
      </x:c>
      <x:c r="AS34" s="25" t="str">
        <x:f>IF(OR(E34="processing",E34="executing",E34="pending"),IF(AP34="","Required aging date missing",IF(AQ34&gt;30,"Escalate &gt;30d",IF(AQ34&gt;14,"Watch &gt;14d","Within 14d"))),"Out of scope")</x:f>
        <x:v>Out of scope</x:v>
      </x:c>
    </x:row>
    <x:row r="35" ht="24" customHeight="1">
      <x:c r="A35" t="str">
        <x:v>4b944bb2-7e2b-4d62-b883-9faa363798d6</x:v>
      </x:c>
      <x:c r="B35" t="str">
        <x:v>CSSP10672556</x:v>
      </x:c>
      <x:c r="C35" t="str">
        <x:v>izdihar.roslan@petronas.com</x:v>
      </x:c>
      <x:c r="D35" t="str">
        <x:v>decommission-cloud</x:v>
      </x:c>
      <x:c r="E35" t="str">
        <x:v>completed</x:v>
      </x:c>
      <x:c r="F35" t="n">
        <x:v>46021.251309050924</x:v>
      </x:c>
      <x:c r="G35" t="n">
        <x:v>46031.08607520833</x:v>
      </x:c>
      <x:c r="H35" t="n">
        <x:v>46021.251309050924</x:v>
      </x:c>
      <x:c r="I35" t="str">
        <x:v>Freight-X</x:v>
      </x:c>
      <x:c r="J35" t="str">
        <x:v>Freight-X</x:v>
      </x:c>
      <x:c r="K35" t="str">
        <x:v>partial</x:v>
      </x:c>
      <x:c r="L35"/>
      <x:c r="M35" t="str">
        <x:v>sazali.mokhtar@petronas.com</x:v>
      </x:c>
      <x:c r="N35"/>
      <x:c r="O35"/>
      <x:c r="P35" t="str">
        <x:v>To decommission old resources in Singapore region due to completed migration in MY region</x:v>
      </x:c>
      <x:c r="Q35" t="str">
        <x:v>2W</x:v>
      </x:c>
      <x:c r="R35" t="str">
        <x:v>Cloud Migration</x:v>
      </x:c>
      <x:c r="S35"/>
      <x:c r="T35" t="str">
        <x:v>approved</x:v>
      </x:c>
      <x:c r="U35" t="str">
        <x:v>izdihar.roslan@petronas.com</x:v>
      </x:c>
      <x:c r="V35" t="n">
        <x:v>46021.25258869213</x:v>
      </x:c>
      <x:c r="W35" t="str">
        <x:v>To decommission old resources in AWS Singapore region due to completed migration in AWS MY region</x:v>
      </x:c>
      <x:c r="X35" t="str">
        <x:v>approved</x:v>
      </x:c>
      <x:c r="Y35" t="str">
        <x:v>sazali.mokhtar@petronas.com</x:v>
      </x:c>
      <x:c r="Z35" t="n">
        <x:v>46027.13854450231</x:v>
      </x:c>
      <x:c r="AA35" t="str">
        <x:v>To decommission old resources in Singapore region due to completed migration in MY region - (Hamizah)</x:v>
      </x:c>
      <x:c r="AB35" t="str">
        <x:v>approved</x:v>
      </x:c>
      <x:c r="AC35" t="str">
        <x:v>azwan.badari@petronas.com</x:v>
      </x:c>
      <x:c r="AD35" t="n">
        <x:v>46028.09807695602</x:v>
      </x:c>
      <x:c r="AE35" t="str">
        <x:v>Repatriation.</x:v>
      </x:c>
      <x:c r="AF35" t="str">
        <x:v>approved</x:v>
      </x:c>
      <x:c r="AG35" t="str">
        <x:v>azwan.badari@petronas.com</x:v>
      </x:c>
      <x:c r="AH35" t="n">
        <x:v>46031.08607520833</x:v>
      </x:c>
      <x:c r="AI35" t="str">
        <x:v>Completed</x:v>
      </x:c>
      <x:c r="AJ35" t="str">
        <x:v>A-000326</x:v>
      </x:c>
      <x:c r="AK35" t="n">
        <x:v>3217</x:v>
      </x:c>
      <x:c r="AL35" t="str">
        <x:v>S</x:v>
      </x:c>
      <x:c r="AM35" t="str">
        <x:v>REQ000007789492</x:v>
      </x:c>
      <x:c r="AN35" t="str">
        <x:v>noretention</x:v>
      </x:c>
      <x:c r="AO35" t="n">
        <x:v>0</x:v>
      </x:c>
      <x:c r="AP35" s="23" t="str">
        <x:f>IF(E35="processing",IF(Z35="","",IF(ISNUMBER(Z35),INT(Z35),DATE(VALUE(LEFT(Z35,4)),VALUE(MID(Z35,6,2)),VALUE(MID(Z35,9,2))))),IF(OR(E35="executing",E35="pending"),IF(AD35="","",IF(ISNUMBER(AD35),INT(AD35),DATE(VALUE(LEFT(AD35,4)),VALUE(MID(AD35,6,2)),VALUE(MID(AD35,9,2))))),""))</x:f>
      </x:c>
      <x:c r="AQ35" s="24" t="str">
        <x:f>IF(AP35="","",INT('Configuration'!$B$4)-AP35)</x:f>
      </x:c>
      <x:c r="AR35" s="25" t="str">
        <x:f>IF(AP35="","Missing Required Date",IF(AQ35&lt;0,"Future Date",IF(AQ35=0,"0 days",IF(AQ35&lt;=2,"1-2 days",IF(AQ35&lt;=7,"3-7 days",IF(AQ35&lt;=14,"8-14 days",IF(AQ35&lt;=30,"15-30 days",IF(AQ35&lt;=60,"31-60 days",IF(AQ35&lt;=70,"61-70 days","71+ days")))))))))</x:f>
        <x:v>Missing Required Date</x:v>
      </x:c>
      <x:c r="AS35" s="25" t="str">
        <x:f>IF(OR(E35="processing",E35="executing",E35="pending"),IF(AP35="","Required aging date missing",IF(AQ35&gt;30,"Escalate &gt;30d",IF(AQ35&gt;14,"Watch &gt;14d","Within 14d"))),"Out of scope")</x:f>
        <x:v>Out of scope</x:v>
      </x:c>
    </x:row>
    <x:row r="36" ht="24" customHeight="1">
      <x:c r="A36" t="str">
        <x:v>fadb5b26-da4e-4bb7-be40-533763a9818e</x:v>
      </x:c>
      <x:c r="B36" t="str">
        <x:v>CSSP10774226</x:v>
      </x:c>
      <x:c r="C36" t="str">
        <x:v>wanmiqbal.wanmhdnoor@petronas.com</x:v>
      </x:c>
      <x:c r="D36" t="str">
        <x:v>decommission-cloud</x:v>
      </x:c>
      <x:c r="E36" t="str">
        <x:v>completed</x:v>
      </x:c>
      <x:c r="F36" t="n">
        <x:v>46021.34533282407</x:v>
      </x:c>
      <x:c r="G36" t="n">
        <x:v>46048.32267015046</x:v>
      </x:c>
      <x:c r="H36" t="n">
        <x:v>46021.34533282407</x:v>
      </x:c>
      <x:c r="I36" t="str">
        <x:v>Upstream Real Time Data Program - URTD</x:v>
      </x:c>
      <x:c r="J36" t="str">
        <x:v>Installation of Upstream Real Time Data Program (URTD) for Centre of Excellence, PCSB</x:v>
      </x:c>
      <x:c r="K36" t="str">
        <x:v>partial</x:v>
      </x:c>
      <x:c r="L36"/>
      <x:c r="M36" t="str">
        <x:v>mohammadsani.johari@petronas.com</x:v>
      </x:c>
      <x:c r="N36" t="str">
        <x:v>stg.urtd.petronas.com</x:v>
      </x:c>
      <x:c r="O36"/>
      <x:c r="P36" t="str">
        <x:v>PaaS DB and Dev Server are no longer in used.</x:v>
      </x:c>
      <x:c r="Q36" t="str">
        <x:v>3M</x:v>
      </x:c>
      <x:c r="R36" t="str">
        <x:v>Not in Used</x:v>
      </x:c>
      <x:c r="S36"/>
      <x:c r="T36" t="str">
        <x:v>approved</x:v>
      </x:c>
      <x:c r="U36" t="str">
        <x:v>wanmiqbal.wanmhdnoor@petronas.com</x:v>
      </x:c>
      <x:c r="V36" t="n">
        <x:v>46021.348551944444</x:v>
      </x:c>
      <x:c r="W36" t="str">
        <x:v>Only Decomm resources related to ptsg-1urtdsvrdb01.database.windows.net &amp; 172.25.32.16, PTSG-1URTDAP02</x:v>
      </x:c>
      <x:c r="X36" t="str">
        <x:v>approved</x:v>
      </x:c>
      <x:c r="Y36" t="str">
        <x:v>mohammadsani.johari@petronas.com</x:v>
      </x:c>
      <x:c r="Z36" t="n">
        <x:v>46021.46783623843</x:v>
      </x:c>
      <x:c r="AA36" t="str">
        <x:v>Resources not in used.</x:v>
      </x:c>
      <x:c r="AB36" t="str">
        <x:v>approved</x:v>
      </x:c>
      <x:c r="AC36" t="str">
        <x:v>azwan.badari@petronas.com</x:v>
      </x:c>
      <x:c r="AD36" t="n">
        <x:v>46028.12227986111</x:v>
      </x:c>
      <x:c r="AE36" t="str">
        <x:v>Decommission listed resources only</x:v>
      </x:c>
      <x:c r="AF36" t="str">
        <x:v>approved</x:v>
      </x:c>
      <x:c r="AG36" t="str">
        <x:v>abdullah.haziq@petronas.com</x:v>
      </x:c>
      <x:c r="AH36" t="n">
        <x:v>46048.32267016204</x:v>
      </x:c>
      <x:c r="AI36" t="str">
        <x:v>completed.</x:v>
      </x:c>
      <x:c r="AJ36" t="str">
        <x:v>A-000827</x:v>
      </x:c>
      <x:c r="AK36" t="n">
        <x:v>747</x:v>
      </x:c>
      <x:c r="AL36" t="str">
        <x:v>M</x:v>
      </x:c>
      <x:c r="AM36" t="str">
        <x:v>REQ000007790220</x:v>
      </x:c>
      <x:c r="AN36" t="str">
        <x:v>retention</x:v>
      </x:c>
      <x:c r="AO36" t="n">
        <x:v>30</x:v>
      </x:c>
      <x:c r="AP36" s="23" t="str">
        <x:f>IF(E36="processing",IF(Z36="","",IF(ISNUMBER(Z36),INT(Z36),DATE(VALUE(LEFT(Z36,4)),VALUE(MID(Z36,6,2)),VALUE(MID(Z36,9,2))))),IF(OR(E36="executing",E36="pending"),IF(AD36="","",IF(ISNUMBER(AD36),INT(AD36),DATE(VALUE(LEFT(AD36,4)),VALUE(MID(AD36,6,2)),VALUE(MID(AD36,9,2))))),""))</x:f>
      </x:c>
      <x:c r="AQ36" s="24" t="str">
        <x:f>IF(AP36="","",INT('Configuration'!$B$4)-AP36)</x:f>
      </x:c>
      <x:c r="AR36" s="25" t="str">
        <x:f>IF(AP36="","Missing Required Date",IF(AQ36&lt;0,"Future Date",IF(AQ36=0,"0 days",IF(AQ36&lt;=2,"1-2 days",IF(AQ36&lt;=7,"3-7 days",IF(AQ36&lt;=14,"8-14 days",IF(AQ36&lt;=30,"15-30 days",IF(AQ36&lt;=60,"31-60 days",IF(AQ36&lt;=70,"61-70 days","71+ days")))))))))</x:f>
        <x:v>Missing Required Date</x:v>
      </x:c>
      <x:c r="AS36" s="25" t="str">
        <x:f>IF(OR(E36="processing",E36="executing",E36="pending"),IF(AP36="","Required aging date missing",IF(AQ36&gt;30,"Escalate &gt;30d",IF(AQ36&gt;14,"Watch &gt;14d","Within 14d"))),"Out of scope")</x:f>
        <x:v>Out of scope</x:v>
      </x:c>
    </x:row>
    <x:row r="37" ht="24" customHeight="1">
      <x:c r="A37" t="str">
        <x:v>e59f0759-3ddf-4f24-845b-2520cb3a8fdd</x:v>
      </x:c>
      <x:c r="B37" t="str">
        <x:v>CSSP10719729</x:v>
      </x:c>
      <x:c r="C37" t="str">
        <x:v>wanmiqbal.wanmhdnoor@petronas.com</x:v>
      </x:c>
      <x:c r="D37" t="str">
        <x:v>decommission-cloud</x:v>
      </x:c>
      <x:c r="E37" t="str">
        <x:v>completed</x:v>
      </x:c>
      <x:c r="F37" t="n">
        <x:v>46021.35460304398</x:v>
      </x:c>
      <x:c r="G37" t="n">
        <x:v>46031.32813864583</x:v>
      </x:c>
      <x:c r="H37" t="n">
        <x:v>46021.35460304398</x:v>
      </x:c>
      <x:c r="I37" t="str">
        <x:v>Decision Ready Data - DRD</x:v>
      </x:c>
      <x:c r="J37" t="str">
        <x:v>Implementation of Decision Ready Data (DRD)</x:v>
      </x:c>
      <x:c r="K37" t="str">
        <x:v>full</x:v>
      </x:c>
      <x:c r="L37" t="str">
        <x:v>DCOM20251230434</x:v>
      </x:c>
      <x:c r="M37" t="str">
        <x:v>mohammadsani.johari@petronas.com</x:v>
      </x:c>
      <x:c r="N37" t="str">
        <x:v>mmpd.drd.petronas.com.my, downstream.drd.petronas.com</x:v>
      </x:c>
      <x:c r="O37"/>
      <x:c r="P37" t="str">
        <x:v>The DRD for downstream is part of the decommissioning exercise under Black Swan.</x:v>
      </x:c>
      <x:c r="Q37" t="str">
        <x:v>12M</x:v>
      </x:c>
      <x:c r="R37" t="str">
        <x:v>Not in Used</x:v>
      </x:c>
      <x:c r="S37"/>
      <x:c r="T37" t="str">
        <x:v>approved</x:v>
      </x:c>
      <x:c r="U37" t="str">
        <x:v>wanmiqbal.wanmhdnoor@petronas.com</x:v>
      </x:c>
      <x:c r="V37" t="n">
        <x:v>46021.355464872686</x:v>
      </x:c>
      <x:c r="W37" t="str">
        <x:v>The DRD for downstream is part of the decommissioning exercise under Black Swan</x:v>
      </x:c>
      <x:c r="X37" t="str">
        <x:v>approved</x:v>
      </x:c>
      <x:c r="Y37" t="str">
        <x:v>mohammadsani.johari@petronas.com</x:v>
      </x:c>
      <x:c r="Z37" t="n">
        <x:v>46021.467437349536</x:v>
      </x:c>
      <x:c r="AA37" t="str">
        <x:v>Approved as per indy500.</x:v>
      </x:c>
      <x:c r="AB37" t="str">
        <x:v>approved</x:v>
      </x:c>
      <x:c r="AC37" t="str">
        <x:v>azwan.badari@petronas.com</x:v>
      </x:c>
      <x:c r="AD37" t="n">
        <x:v>46028.11686712963</x:v>
      </x:c>
      <x:c r="AE37" t="str">
        <x:v>Full decommission for project code 03418 including DNS</x:v>
      </x:c>
      <x:c r="AF37" t="str">
        <x:v>approved</x:v>
      </x:c>
      <x:c r="AG37" t="str">
        <x:v>azwan.badari@petronas.com</x:v>
      </x:c>
      <x:c r="AH37" t="n">
        <x:v>46031.32813865741</x:v>
      </x:c>
      <x:c r="AI37" t="str">
        <x:v>Completed</x:v>
      </x:c>
      <x:c r="AJ37" t="str">
        <x:v>A-000232</x:v>
      </x:c>
      <x:c r="AK37" t="n">
        <x:v>3418</x:v>
      </x:c>
      <x:c r="AL37" t="str">
        <x:v>L</x:v>
      </x:c>
      <x:c r="AM37" t="str">
        <x:v>REQ000007789509</x:v>
      </x:c>
      <x:c r="AN37" t="str">
        <x:v>retention</x:v>
      </x:c>
      <x:c r="AO37" t="n">
        <x:v>30</x:v>
      </x:c>
      <x:c r="AP37" s="23" t="str">
        <x:f>IF(E37="processing",IF(Z37="","",IF(ISNUMBER(Z37),INT(Z37),DATE(VALUE(LEFT(Z37,4)),VALUE(MID(Z37,6,2)),VALUE(MID(Z37,9,2))))),IF(OR(E37="executing",E37="pending"),IF(AD37="","",IF(ISNUMBER(AD37),INT(AD37),DATE(VALUE(LEFT(AD37,4)),VALUE(MID(AD37,6,2)),VALUE(MID(AD37,9,2))))),""))</x:f>
      </x:c>
      <x:c r="AQ37" s="24" t="str">
        <x:f>IF(AP37="","",INT('Configuration'!$B$4)-AP37)</x:f>
      </x:c>
      <x:c r="AR37" s="25" t="str">
        <x:f>IF(AP37="","Missing Required Date",IF(AQ37&lt;0,"Future Date",IF(AQ37=0,"0 days",IF(AQ37&lt;=2,"1-2 days",IF(AQ37&lt;=7,"3-7 days",IF(AQ37&lt;=14,"8-14 days",IF(AQ37&lt;=30,"15-30 days",IF(AQ37&lt;=60,"31-60 days",IF(AQ37&lt;=70,"61-70 days","71+ days")))))))))</x:f>
        <x:v>Missing Required Date</x:v>
      </x:c>
      <x:c r="AS37" s="25" t="str">
        <x:f>IF(OR(E37="processing",E37="executing",E37="pending"),IF(AP37="","Required aging date missing",IF(AQ37&gt;30,"Escalate &gt;30d",IF(AQ37&gt;14,"Watch &gt;14d","Within 14d"))),"Out of scope")</x:f>
        <x:v>Out of scope</x:v>
      </x:c>
    </x:row>
    <x:row r="38" ht="24" customHeight="1">
      <x:c r="A38" t="str">
        <x:v>554aa139-262d-4c6f-87cd-e03c650d15e4</x:v>
      </x:c>
      <x:c r="B38" t="str">
        <x:v>CSSP10932025</x:v>
      </x:c>
      <x:c r="C38" t="str">
        <x:v>maffendy.bobmazmi@petronas.com</x:v>
      </x:c>
      <x:c r="D38" t="str">
        <x:v>decommission-cloud</x:v>
      </x:c>
      <x:c r="E38" t="str">
        <x:v>completed</x:v>
      </x:c>
      <x:c r="F38" t="n">
        <x:v>46027.26554569444</x:v>
      </x:c>
      <x:c r="G38" t="n">
        <x:v>46052.20346646991</x:v>
      </x:c>
      <x:c r="H38" t="n">
        <x:v>46027.268025578705</x:v>
      </x:c>
      <x:c r="I38" t="str">
        <x:v>Asset Integrity Management Database - AIDA GPU</x:v>
      </x:c>
      <x:c r="J38" t="str">
        <x:v>GPU Asset Integrity Management Database AIDA</x:v>
      </x:c>
      <x:c r="K38" t="str">
        <x:v>full</x:v>
      </x:c>
      <x:c r="L38" t="str">
        <x:v>DCOM20260105ade</x:v>
      </x:c>
      <x:c r="M38" t="str">
        <x:v>huajin.tan@petronas.com.my</x:v>
      </x:c>
      <x:c r="N38" t="str">
        <x:v>aida.petronas.com</x:v>
      </x:c>
      <x:c r="O38"/>
      <x:c r="P38" t="str">
        <x:v>Asset has been expanded to enterprise level (MAVIS). The asset originally initiated by GPU and has been expanded to PETRONAS enterprise level (MAVIS) by collaboration with GTS. New application replacing AIDA, has been launched and deployed at GPU namely Machine Vision &amp; Inspection Workflow Management System.  The asset write-off and disposal has been endorsed by PGB DSC.</x:v>
      </x:c>
      <x:c r="Q38" t="str">
        <x:v>2W</x:v>
      </x:c>
      <x:c r="R38" t="str">
        <x:v>Not in Used</x:v>
      </x:c>
      <x:c r="S38"/>
      <x:c r="T38" t="str">
        <x:v>approved</x:v>
      </x:c>
      <x:c r="U38" t="str">
        <x:v>maffendy.bobmazmi@petronas.com</x:v>
      </x:c>
      <x:c r="V38" t="n">
        <x:v>46027.26923625</x:v>
      </x:c>
      <x:c r="W38" t="str">
        <x:v>Confirmed</x:v>
      </x:c>
      <x:c r="X38" t="str">
        <x:v>approved</x:v>
      </x:c>
      <x:c r="Y38" t="str">
        <x:v>huajin.tan@petronas.com</x:v>
      </x:c>
      <x:c r="Z38" t="n">
        <x:v>46051.12687817129</x:v>
      </x:c>
      <x:c r="AA38" t="str">
        <x:v>Approved as business have provided their endorsement</x:v>
      </x:c>
      <x:c r="AB38" t="str">
        <x:v>approved</x:v>
      </x:c>
      <x:c r="AC38" t="str">
        <x:v>azwan.badari@petronas.com</x:v>
      </x:c>
      <x:c r="AD38" t="n">
        <x:v>46051.18944396991</x:v>
      </x:c>
      <x:c r="AE38" t="str">
        <x:v>Full decommission ptazsg-dev-gpu-aida-rg and DNS aida.petronas.com</x:v>
      </x:c>
      <x:c r="AF38" t="str">
        <x:v>approved</x:v>
      </x:c>
      <x:c r="AG38" t="str">
        <x:v>azwan.badari@petronas.com</x:v>
      </x:c>
      <x:c r="AH38" t="n">
        <x:v>46052.20346646991</x:v>
      </x:c>
      <x:c r="AI38" t="str">
        <x:v>Completed</x:v>
      </x:c>
      <x:c r="AJ38" t="str">
        <x:v>A-000036</x:v>
      </x:c>
      <x:c r="AK38" t="n">
        <x:v>2637</x:v>
      </x:c>
      <x:c r="AL38" t="str">
        <x:v>M</x:v>
      </x:c>
      <x:c r="AM38" t="str">
        <x:v>REQ000007849037</x:v>
      </x:c>
      <x:c r="AN38" t="str">
        <x:v>noretention</x:v>
      </x:c>
      <x:c r="AO38" t="n">
        <x:v>0</x:v>
      </x:c>
      <x:c r="AP38" s="23" t="str">
        <x:f>IF(E38="processing",IF(Z38="","",IF(ISNUMBER(Z38),INT(Z38),DATE(VALUE(LEFT(Z38,4)),VALUE(MID(Z38,6,2)),VALUE(MID(Z38,9,2))))),IF(OR(E38="executing",E38="pending"),IF(AD38="","",IF(ISNUMBER(AD38),INT(AD38),DATE(VALUE(LEFT(AD38,4)),VALUE(MID(AD38,6,2)),VALUE(MID(AD38,9,2))))),""))</x:f>
      </x:c>
      <x:c r="AQ38" s="24" t="str">
        <x:f>IF(AP38="","",INT('Configuration'!$B$4)-AP38)</x:f>
      </x:c>
      <x:c r="AR38" s="25" t="str">
        <x:f>IF(AP38="","Missing Required Date",IF(AQ38&lt;0,"Future Date",IF(AQ38=0,"0 days",IF(AQ38&lt;=2,"1-2 days",IF(AQ38&lt;=7,"3-7 days",IF(AQ38&lt;=14,"8-14 days",IF(AQ38&lt;=30,"15-30 days",IF(AQ38&lt;=60,"31-60 days",IF(AQ38&lt;=70,"61-70 days","71+ days")))))))))</x:f>
        <x:v>Missing Required Date</x:v>
      </x:c>
      <x:c r="AS38" s="25" t="str">
        <x:f>IF(OR(E38="processing",E38="executing",E38="pending"),IF(AP38="","Required aging date missing",IF(AQ38&gt;30,"Escalate &gt;30d",IF(AQ38&gt;14,"Watch &gt;14d","Within 14d"))),"Out of scope")</x:f>
        <x:v>Out of scope</x:v>
      </x:c>
    </x:row>
    <x:row r="39" ht="24" customHeight="1">
      <x:c r="A39" t="str">
        <x:v>bb20d2ac-320e-49d2-bb7e-ba31119ecf21</x:v>
      </x:c>
      <x:c r="B39" t="str">
        <x:v>CSSP10561989</x:v>
      </x:c>
      <x:c r="C39" t="str">
        <x:v>norhamizah.hasni@petronas.com</x:v>
      </x:c>
      <x:c r="D39" t="str">
        <x:v>decommission-cloud</x:v>
      </x:c>
      <x:c r="E39" t="str">
        <x:v>cancelled</x:v>
      </x:c>
      <x:c r="F39" t="n">
        <x:v>46027.26609387731</x:v>
      </x:c>
      <x:c r="G39" t="n">
        <x:v>46050.09466488426</x:v>
      </x:c>
      <x:c r="H39" t="n">
        <x:v>46027.26609387731</x:v>
      </x:c>
      <x:c r="I39" t="str">
        <x:v>MyProcure</x:v>
      </x:c>
      <x:c r="J39" t="str">
        <x:v>Procurement Innovation Through Automation And Procurement Marketplace</x:v>
      </x:c>
      <x:c r="K39" t="str">
        <x:v>partial</x:v>
      </x:c>
      <x:c r="L39"/>
      <x:c r="M39" t="str">
        <x:v>sazali.mokhtar@petronas.com</x:v>
      </x:c>
      <x:c r="N39"/>
      <x:c r="O39"/>
      <x:c r="P39" t="str">
        <x:v>To decommission old resources in Singapore region due to completed migration in MY region</x:v>
      </x:c>
      <x:c r="Q39" t="str">
        <x:v>2W</x:v>
      </x:c>
      <x:c r="R39" t="str">
        <x:v>Cloud Migration</x:v>
      </x:c>
      <x:c r="S39"/>
      <x:c r="T39" t="str">
        <x:v>rejected</x:v>
      </x:c>
      <x:c r="U39" t="str">
        <x:v>azwan.badari@petronas.com</x:v>
      </x:c>
      <x:c r="V39" t="n">
        <x:v>46050.094664895834</x:v>
      </x:c>
      <x:c r="W39" t="str">
        <x:v>No longer required</x:v>
      </x:c>
      <x:c r="X39"/>
      <x:c r="Y39" t="str">
        <x:v>sazali.mokhtar@petronas.com</x:v>
      </x:c>
      <x:c r="Z39"/>
      <x:c r="AA39"/>
      <x:c r="AB39"/>
      <x:c r="AC39" t="str">
        <x:v>CCoE Business</x:v>
      </x:c>
      <x:c r="AD39"/>
      <x:c r="AE39"/>
      <x:c r="AF39"/>
      <x:c r="AG39" t="str">
        <x:v>CCoE Operations</x:v>
      </x:c>
      <x:c r="AH39"/>
      <x:c r="AI39"/>
      <x:c r="AJ39" t="str">
        <x:v>A-000490</x:v>
      </x:c>
      <x:c r="AK39" t="n">
        <x:v>4343</x:v>
      </x:c>
      <x:c r="AL39"/>
      <x:c r="AM39"/>
      <x:c r="AN39" t="str">
        <x:v>noretention</x:v>
      </x:c>
      <x:c r="AO39" t="n">
        <x:v>0</x:v>
      </x:c>
      <x:c r="AP39" s="23" t="str">
        <x:f>IF(E39="processing",IF(Z39="","",IF(ISNUMBER(Z39),INT(Z39),DATE(VALUE(LEFT(Z39,4)),VALUE(MID(Z39,6,2)),VALUE(MID(Z39,9,2))))),IF(OR(E39="executing",E39="pending"),IF(AD39="","",IF(ISNUMBER(AD39),INT(AD39),DATE(VALUE(LEFT(AD39,4)),VALUE(MID(AD39,6,2)),VALUE(MID(AD39,9,2))))),""))</x:f>
      </x:c>
      <x:c r="AQ39" s="24" t="str">
        <x:f>IF(AP39="","",INT('Configuration'!$B$4)-AP39)</x:f>
      </x:c>
      <x:c r="AR39" s="25" t="str">
        <x:f>IF(AP39="","Missing Required Date",IF(AQ39&lt;0,"Future Date",IF(AQ39=0,"0 days",IF(AQ39&lt;=2,"1-2 days",IF(AQ39&lt;=7,"3-7 days",IF(AQ39&lt;=14,"8-14 days",IF(AQ39&lt;=30,"15-30 days",IF(AQ39&lt;=60,"31-60 days",IF(AQ39&lt;=70,"61-70 days","71+ days")))))))))</x:f>
        <x:v>Missing Required Date</x:v>
      </x:c>
      <x:c r="AS39" s="25" t="str">
        <x:f>IF(OR(E39="processing",E39="executing",E39="pending"),IF(AP39="","Required aging date missing",IF(AQ39&gt;30,"Escalate &gt;30d",IF(AQ39&gt;14,"Watch &gt;14d","Within 14d"))),"Out of scope")</x:f>
        <x:v>Out of scope</x:v>
      </x:c>
    </x:row>
    <x:row r="40" ht="24" customHeight="1">
      <x:c r="A40" t="str">
        <x:v>4586e4b5-916f-4c51-9e27-fe55a08e3eb7</x:v>
      </x:c>
      <x:c r="B40" t="str">
        <x:v>CSSP10474599</x:v>
      </x:c>
      <x:c r="C40" t="str">
        <x:v>izdihar.roslan@petronas.com</x:v>
      </x:c>
      <x:c r="D40" t="str">
        <x:v>decommission-cloud</x:v>
      </x:c>
      <x:c r="E40" t="str">
        <x:v>cancelled</x:v>
      </x:c>
      <x:c r="F40" t="n">
        <x:v>46027.33155769676</x:v>
      </x:c>
      <x:c r="G40" t="n">
        <x:v>46057.28447568287</x:v>
      </x:c>
      <x:c r="H40" t="n">
        <x:v>46027.33155769676</x:v>
      </x:c>
      <x:c r="I40" t="str">
        <x:v>FORTS</x:v>
      </x:c>
      <x:c r="J40" t="str">
        <x:v>AWS Cloud Migration - FORTS</x:v>
      </x:c>
      <x:c r="K40" t="str">
        <x:v>full</x:v>
      </x:c>
      <x:c r="L40" t="str">
        <x:v>NA</x:v>
      </x:c>
      <x:c r="M40" t="str">
        <x:v>mdkhiri@petronas.com</x:v>
      </x:c>
      <x:c r="N40"/>
      <x:c r="O40"/>
      <x:c r="P40" t="str">
        <x:v>FFFF</x:v>
      </x:c>
      <x:c r="Q40" t="str">
        <x:v>2W</x:v>
      </x:c>
      <x:c r="R40" t="str">
        <x:v>Not in Used</x:v>
      </x:c>
      <x:c r="S40"/>
      <x:c r="T40" t="str">
        <x:v>rejected</x:v>
      </x:c>
      <x:c r="U40" t="str">
        <x:v>azwan.badari@petronas.com</x:v>
      </x:c>
      <x:c r="V40" t="n">
        <x:v>46057.28447569445</x:v>
      </x:c>
      <x:c r="W40" t="str">
        <x:v>Cancelled</x:v>
      </x:c>
      <x:c r="X40"/>
      <x:c r="Y40" t="str">
        <x:v>mdkhiri@petronas.com</x:v>
      </x:c>
      <x:c r="Z40"/>
      <x:c r="AA40"/>
      <x:c r="AB40"/>
      <x:c r="AC40" t="str">
        <x:v>CCoE Business</x:v>
      </x:c>
      <x:c r="AD40"/>
      <x:c r="AE40"/>
      <x:c r="AF40"/>
      <x:c r="AG40" t="str">
        <x:v>CCoE Operations</x:v>
      </x:c>
      <x:c r="AH40"/>
      <x:c r="AI40"/>
      <x:c r="AJ40" t="str">
        <x:v>A-000321</x:v>
      </x:c>
      <x:c r="AK40" t="str">
        <x:v>00915_117</x:v>
      </x:c>
      <x:c r="AL40"/>
      <x:c r="AM40"/>
      <x:c r="AN40" t="str">
        <x:v>noretention</x:v>
      </x:c>
      <x:c r="AO40" t="n">
        <x:v>0</x:v>
      </x:c>
      <x:c r="AP40" s="23" t="str">
        <x:f>IF(E40="processing",IF(Z40="","",IF(ISNUMBER(Z40),INT(Z40),DATE(VALUE(LEFT(Z40,4)),VALUE(MID(Z40,6,2)),VALUE(MID(Z40,9,2))))),IF(OR(E40="executing",E40="pending"),IF(AD40="","",IF(ISNUMBER(AD40),INT(AD40),DATE(VALUE(LEFT(AD40,4)),VALUE(MID(AD40,6,2)),VALUE(MID(AD40,9,2))))),""))</x:f>
      </x:c>
      <x:c r="AQ40" s="24" t="str">
        <x:f>IF(AP40="","",INT('Configuration'!$B$4)-AP40)</x:f>
      </x:c>
      <x:c r="AR40" s="25" t="str">
        <x:f>IF(AP40="","Missing Required Date",IF(AQ40&lt;0,"Future Date",IF(AQ40=0,"0 days",IF(AQ40&lt;=2,"1-2 days",IF(AQ40&lt;=7,"3-7 days",IF(AQ40&lt;=14,"8-14 days",IF(AQ40&lt;=30,"15-30 days",IF(AQ40&lt;=60,"31-60 days",IF(AQ40&lt;=70,"61-70 days","71+ days")))))))))</x:f>
        <x:v>Missing Required Date</x:v>
      </x:c>
      <x:c r="AS40" s="25" t="str">
        <x:f>IF(OR(E40="processing",E40="executing",E40="pending"),IF(AP40="","Required aging date missing",IF(AQ40&gt;30,"Escalate &gt;30d",IF(AQ40&gt;14,"Watch &gt;14d","Within 14d"))),"Out of scope")</x:f>
        <x:v>Out of scope</x:v>
      </x:c>
    </x:row>
    <x:row r="41" ht="24" customHeight="1">
      <x:c r="A41" t="str">
        <x:v>0a1cea43-c926-4b79-956d-98225c0a684c</x:v>
      </x:c>
      <x:c r="B41" t="str">
        <x:v>CSSP10578777</x:v>
      </x:c>
      <x:c r="C41" t="str">
        <x:v>zulhasyidi.hassan@petronas.com</x:v>
      </x:c>
      <x:c r="D41" t="str">
        <x:v>decommission-cloud</x:v>
      </x:c>
      <x:c r="E41" t="str">
        <x:v>completed</x:v>
      </x:c>
      <x:c r="F41" t="n">
        <x:v>46028.119965798614</x:v>
      </x:c>
      <x:c r="G41" t="n">
        <x:v>46043.16438711806</x:v>
      </x:c>
      <x:c r="H41" t="n">
        <x:v>46028.119965798614</x:v>
      </x:c>
      <x:c r="I41" t="str">
        <x:v>Plant Information - PI GTS</x:v>
      </x:c>
      <x:c r="J41" t="str">
        <x:v>AWS-Cloud Migration - PI GTS</x:v>
      </x:c>
      <x:c r="K41" t="str">
        <x:v>full</x:v>
      </x:c>
      <x:c r="L41" t="str">
        <x:v>DCOM20260106247</x:v>
      </x:c>
      <x:c r="M41" t="str">
        <x:v>mohammadsani.johari@petronas.com.my</x:v>
      </x:c>
      <x:c r="N41" t="str">
        <x:v>gts.pi.petronas.com</x:v>
      </x:c>
      <x:c r="O41"/>
      <x:c r="P41" t="str">
        <x:v>Not in used</x:v>
      </x:c>
      <x:c r="Q41" t="str">
        <x:v>1M</x:v>
      </x:c>
      <x:c r="R41" t="str">
        <x:v>Not in Used</x:v>
      </x:c>
      <x:c r="S41"/>
      <x:c r="T41" t="str">
        <x:v>approved</x:v>
      </x:c>
      <x:c r="U41" t="str">
        <x:v>zulhasyidi.hassan@petronas.com</x:v>
      </x:c>
      <x:c r="V41" t="n">
        <x:v>46028.12156226852</x:v>
      </x:c>
      <x:c r="W41" t="str">
        <x:v>Full decommissioning for GTS PI application</x:v>
      </x:c>
      <x:c r="X41" t="str">
        <x:v>approved</x:v>
      </x:c>
      <x:c r="Y41" t="str">
        <x:v>mohammadsani.johari@petronas.com</x:v>
      </x:c>
      <x:c r="Z41" t="n">
        <x:v>46041.16444457176</x:v>
      </x:c>
      <x:c r="AA41" t="str">
        <x:v>Approved, as per Indy500 requirement.</x:v>
      </x:c>
      <x:c r="AB41" t="str">
        <x:v>approved</x:v>
      </x:c>
      <x:c r="AC41" t="str">
        <x:v>azwan.badari@petronas.com</x:v>
      </x:c>
      <x:c r="AD41" t="n">
        <x:v>46041.21639307871</x:v>
      </x:c>
      <x:c r="AE41" t="str">
        <x:v>Full decommission PI (00915_107)</x:v>
      </x:c>
      <x:c r="AF41" t="str">
        <x:v>approved</x:v>
      </x:c>
      <x:c r="AG41" t="str">
        <x:v>azwan.badari@petronas.com</x:v>
      </x:c>
      <x:c r="AH41" t="n">
        <x:v>46043.16438711806</x:v>
      </x:c>
      <x:c r="AI41" t="str">
        <x:v>Completed</x:v>
      </x:c>
      <x:c r="AJ41" t="str">
        <x:v>A-000570</x:v>
      </x:c>
      <x:c r="AK41" t="str">
        <x:v>00915_107</x:v>
      </x:c>
      <x:c r="AL41" t="str">
        <x:v>M</x:v>
      </x:c>
      <x:c r="AM41" t="str">
        <x:v>REQ000007826332</x:v>
      </x:c>
      <x:c r="AN41" t="str">
        <x:v>noretention</x:v>
      </x:c>
      <x:c r="AO41" t="n">
        <x:v>0</x:v>
      </x:c>
      <x:c r="AP41" s="23" t="str">
        <x:f>IF(E41="processing",IF(Z41="","",IF(ISNUMBER(Z41),INT(Z41),DATE(VALUE(LEFT(Z41,4)),VALUE(MID(Z41,6,2)),VALUE(MID(Z41,9,2))))),IF(OR(E41="executing",E41="pending"),IF(AD41="","",IF(ISNUMBER(AD41),INT(AD41),DATE(VALUE(LEFT(AD41,4)),VALUE(MID(AD41,6,2)),VALUE(MID(AD41,9,2))))),""))</x:f>
      </x:c>
      <x:c r="AQ41" s="24" t="str">
        <x:f>IF(AP41="","",INT('Configuration'!$B$4)-AP41)</x:f>
      </x:c>
      <x:c r="AR41" s="25" t="str">
        <x:f>IF(AP41="","Missing Required Date",IF(AQ41&lt;0,"Future Date",IF(AQ41=0,"0 days",IF(AQ41&lt;=2,"1-2 days",IF(AQ41&lt;=7,"3-7 days",IF(AQ41&lt;=14,"8-14 days",IF(AQ41&lt;=30,"15-30 days",IF(AQ41&lt;=60,"31-60 days",IF(AQ41&lt;=70,"61-70 days","71+ days")))))))))</x:f>
        <x:v>Missing Required Date</x:v>
      </x:c>
      <x:c r="AS41" s="25" t="str">
        <x:f>IF(OR(E41="processing",E41="executing",E41="pending"),IF(AP41="","Required aging date missing",IF(AQ41&gt;30,"Escalate &gt;30d",IF(AQ41&gt;14,"Watch &gt;14d","Within 14d"))),"Out of scope")</x:f>
        <x:v>Out of scope</x:v>
      </x:c>
    </x:row>
    <x:row r="42" ht="24" customHeight="1">
      <x:c r="A42" t="str">
        <x:v>4e611de9-a52a-41ed-b37f-bb0808c8e961</x:v>
      </x:c>
      <x:c r="B42" t="str">
        <x:v>CSSP10828102</x:v>
      </x:c>
      <x:c r="C42" t="str">
        <x:v>izdihar.roslan@petronas.com</x:v>
      </x:c>
      <x:c r="D42" t="str">
        <x:v>decommission-cloud</x:v>
      </x:c>
      <x:c r="E42" t="str">
        <x:v>completed</x:v>
      </x:c>
      <x:c r="F42" t="n">
        <x:v>46028.12039350694</x:v>
      </x:c>
      <x:c r="G42" t="n">
        <x:v>46043.468110856484</x:v>
      </x:c>
      <x:c r="H42" t="n">
        <x:v>46028.12039350694</x:v>
      </x:c>
      <x:c r="I42" t="str">
        <x:v>Enterprise Decarbonization iCON - ED-iCON</x:v>
      </x:c>
      <x:c r="J42" t="str">
        <x:v>Enterprise Decarbonization (ED) iCON</x:v>
      </x:c>
      <x:c r="K42" t="str">
        <x:v>partial</x:v>
      </x:c>
      <x:c r="L42"/>
      <x:c r="M42" t="str">
        <x:v>sazali.mokhtar@petronas.com</x:v>
      </x:c>
      <x:c r="N42"/>
      <x:c r="O42" t="n">
        <x:v>3476</x:v>
      </x:c>
      <x:c r="P42" t="str">
        <x:v>Cloud Repatriation - To decommission old resources in Singapore region due to completed migration in MY region</x:v>
      </x:c>
      <x:c r="Q42" t="str">
        <x:v>2W</x:v>
      </x:c>
      <x:c r="R42" t="str">
        <x:v>Cloud Migration</x:v>
      </x:c>
      <x:c r="S42"/>
      <x:c r="T42" t="str">
        <x:v>approved</x:v>
      </x:c>
      <x:c r="U42" t="str">
        <x:v>izdihar.roslan@petronas.com</x:v>
      </x:c>
      <x:c r="V42" t="n">
        <x:v>46028.1215250463</x:v>
      </x:c>
      <x:c r="W42" t="str">
        <x:v>Cloud Repatriation - To decommission old resources in Singapore region due to completed migration in MY region</x:v>
      </x:c>
      <x:c r="X42" t="str">
        <x:v>approved</x:v>
      </x:c>
      <x:c r="Y42" t="str">
        <x:v>sazali.mokhtar@petronas.com</x:v>
      </x:c>
      <x:c r="Z42" t="n">
        <x:v>46042.11528070602</x:v>
      </x:c>
      <x:c r="AA42" t="str">
        <x:v>Cloud Repatriation - To decommission old resources in Singapore region due to completed migration in MY region</x:v>
      </x:c>
      <x:c r="AB42" t="str">
        <x:v>approved</x:v>
      </x:c>
      <x:c r="AC42" t="str">
        <x:v>azwan.badari@petronas.com</x:v>
      </x:c>
      <x:c r="AD42" t="n">
        <x:v>46042.118401354164</x:v>
      </x:c>
      <x:c r="AE42" t="str">
        <x:v>Cloud Repatriation - Decomm 03476 in SG</x:v>
      </x:c>
      <x:c r="AF42" t="str">
        <x:v>approved</x:v>
      </x:c>
      <x:c r="AG42" t="str">
        <x:v>azwan.badari@petronas.com</x:v>
      </x:c>
      <x:c r="AH42" t="n">
        <x:v>46043.46811086805</x:v>
      </x:c>
      <x:c r="AI42" t="str">
        <x:v>Completed</x:v>
      </x:c>
      <x:c r="AJ42" t="str">
        <x:v>A-000033</x:v>
      </x:c>
      <x:c r="AK42" t="n">
        <x:v>3476</x:v>
      </x:c>
      <x:c r="AL42" t="str">
        <x:v>M</x:v>
      </x:c>
      <x:c r="AM42" t="str">
        <x:v>REQ000007828185</x:v>
      </x:c>
      <x:c r="AN42" t="str">
        <x:v>noretention</x:v>
      </x:c>
      <x:c r="AO42" t="n">
        <x:v>0</x:v>
      </x:c>
      <x:c r="AP42" s="23" t="str">
        <x:f>IF(E42="processing",IF(Z42="","",IF(ISNUMBER(Z42),INT(Z42),DATE(VALUE(LEFT(Z42,4)),VALUE(MID(Z42,6,2)),VALUE(MID(Z42,9,2))))),IF(OR(E42="executing",E42="pending"),IF(AD42="","",IF(ISNUMBER(AD42),INT(AD42),DATE(VALUE(LEFT(AD42,4)),VALUE(MID(AD42,6,2)),VALUE(MID(AD42,9,2))))),""))</x:f>
      </x:c>
      <x:c r="AQ42" s="24" t="str">
        <x:f>IF(AP42="","",INT('Configuration'!$B$4)-AP42)</x:f>
      </x:c>
      <x:c r="AR42" s="25" t="str">
        <x:f>IF(AP42="","Missing Required Date",IF(AQ42&lt;0,"Future Date",IF(AQ42=0,"0 days",IF(AQ42&lt;=2,"1-2 days",IF(AQ42&lt;=7,"3-7 days",IF(AQ42&lt;=14,"8-14 days",IF(AQ42&lt;=30,"15-30 days",IF(AQ42&lt;=60,"31-60 days",IF(AQ42&lt;=70,"61-70 days","71+ days")))))))))</x:f>
        <x:v>Missing Required Date</x:v>
      </x:c>
      <x:c r="AS42" s="25" t="str">
        <x:f>IF(OR(E42="processing",E42="executing",E42="pending"),IF(AP42="","Required aging date missing",IF(AQ42&gt;30,"Escalate &gt;30d",IF(AQ42&gt;14,"Watch &gt;14d","Within 14d"))),"Out of scope")</x:f>
        <x:v>Out of scope</x:v>
      </x:c>
    </x:row>
    <x:row r="43" ht="24" customHeight="1">
      <x:c r="A43" t="str">
        <x:v>90120b9f-5cea-46de-a540-4ff191469fc6</x:v>
      </x:c>
      <x:c r="B43" t="str">
        <x:v>CSSP10960000</x:v>
      </x:c>
      <x:c r="C43" t="str">
        <x:v>mohamadsyafiq.mnoor@petronas.com</x:v>
      </x:c>
      <x:c r="D43" t="str">
        <x:v>decommission-cloud</x:v>
      </x:c>
      <x:c r="E43" t="str">
        <x:v>completed</x:v>
      </x:c>
      <x:c r="F43" t="n">
        <x:v>46030.26838638889</x:v>
      </x:c>
      <x:c r="G43" t="n">
        <x:v>46037.12722962963</x:v>
      </x:c>
      <x:c r="H43" t="n">
        <x:v>46030.26838638889</x:v>
      </x:c>
      <x:c r="I43" t="str">
        <x:v>Azure Machine Learning - PC Derivatives</x:v>
      </x:c>
      <x:c r="J43" t="str">
        <x:v>Run &amp; Maintain Citizen Analytics Use Case for Sales Gas Optimization for PC Derivatives Sdn Bhd</x:v>
      </x:c>
      <x:c r="K43" t="str">
        <x:v>partial</x:v>
      </x:c>
      <x:c r="L43"/>
      <x:c r="M43" t="str">
        <x:v>khairulnizam.bahari@petronas.com</x:v>
      </x:c>
      <x:c r="N43"/>
      <x:c r="O43"/>
      <x:c r="P43" t="str">
        <x:v>To decommission Azure Resource Group PTAZSG-IAC-DAA-PROD-PCOGD_SGO-RG</x:v>
      </x:c>
      <x:c r="Q43" t="str">
        <x:v>2W</x:v>
      </x:c>
      <x:c r="R43" t="str">
        <x:v>End of Lease</x:v>
      </x:c>
      <x:c r="S43"/>
      <x:c r="T43" t="str">
        <x:v>approved</x:v>
      </x:c>
      <x:c r="U43" t="str">
        <x:v>mohamadsyafiq.mnoor@petronas.com</x:v>
      </x:c>
      <x:c r="V43" t="n">
        <x:v>46030.26997469908</x:v>
      </x:c>
      <x:c r="W43" t="str">
        <x:v>As per email from business, this Azure Resource Group PTAZSG-IAC-DAA-PROD-PCOGD_SGO-RG need to be decommissioned</x:v>
      </x:c>
      <x:c r="X43" t="str">
        <x:v>approved</x:v>
      </x:c>
      <x:c r="Y43" t="str">
        <x:v>khairulnizam.bahari@petronas.com</x:v>
      </x:c>
      <x:c r="Z43" t="n">
        <x:v>46031.34340445602</x:v>
      </x:c>
      <x:c r="AA43" t="str">
        <x:v>Decommission Azure Resource Group PTAZSG-IAC-DAA-PROD-PCOGD_SGO-RG</x:v>
      </x:c>
      <x:c r="AB43" t="str">
        <x:v>approved</x:v>
      </x:c>
      <x:c r="AC43" t="str">
        <x:v>azwan.badari@petronas.com</x:v>
      </x:c>
      <x:c r="AD43" t="n">
        <x:v>46036.31966637731</x:v>
      </x:c>
      <x:c r="AE43" t="str">
        <x:v>Decommission all resources and delete RG PTAZSG-IAC-DAA-PROD-PCOGD-SGO-RG</x:v>
      </x:c>
      <x:c r="AF43" t="str">
        <x:v>approved</x:v>
      </x:c>
      <x:c r="AG43" t="str">
        <x:v>azlisham.md@petronas.com</x:v>
      </x:c>
      <x:c r="AH43" t="n">
        <x:v>46037.127229641206</x:v>
      </x:c>
      <x:c r="AI43" t="str">
        <x:v>The decommission request has been completed, and the status is now updated accordingly. Kindly verify from your end and confirm once reviewed.
</x:v>
      </x:c>
      <x:c r="AJ43" t="str">
        <x:v>A-001304</x:v>
      </x:c>
      <x:c r="AK43" t="n">
        <x:v>4758</x:v>
      </x:c>
      <x:c r="AL43" t="str">
        <x:v>M</x:v>
      </x:c>
      <x:c r="AM43" t="str">
        <x:v>REQ000007815155</x:v>
      </x:c>
      <x:c r="AN43" t="str">
        <x:v>retention</x:v>
      </x:c>
      <x:c r="AO43" t="n">
        <x:v>7</x:v>
      </x:c>
      <x:c r="AP43" s="23" t="str">
        <x:f>IF(E43="processing",IF(Z43="","",IF(ISNUMBER(Z43),INT(Z43),DATE(VALUE(LEFT(Z43,4)),VALUE(MID(Z43,6,2)),VALUE(MID(Z43,9,2))))),IF(OR(E43="executing",E43="pending"),IF(AD43="","",IF(ISNUMBER(AD43),INT(AD43),DATE(VALUE(LEFT(AD43,4)),VALUE(MID(AD43,6,2)),VALUE(MID(AD43,9,2))))),""))</x:f>
      </x:c>
      <x:c r="AQ43" s="24" t="str">
        <x:f>IF(AP43="","",INT('Configuration'!$B$4)-AP43)</x:f>
      </x:c>
      <x:c r="AR43" s="25" t="str">
        <x:f>IF(AP43="","Missing Required Date",IF(AQ43&lt;0,"Future Date",IF(AQ43=0,"0 days",IF(AQ43&lt;=2,"1-2 days",IF(AQ43&lt;=7,"3-7 days",IF(AQ43&lt;=14,"8-14 days",IF(AQ43&lt;=30,"15-30 days",IF(AQ43&lt;=60,"31-60 days",IF(AQ43&lt;=70,"61-70 days","71+ days")))))))))</x:f>
        <x:v>Missing Required Date</x:v>
      </x:c>
      <x:c r="AS43" s="25" t="str">
        <x:f>IF(OR(E43="processing",E43="executing",E43="pending"),IF(AP43="","Required aging date missing",IF(AQ43&gt;30,"Escalate &gt;30d",IF(AQ43&gt;14,"Watch &gt;14d","Within 14d"))),"Out of scope")</x:f>
        <x:v>Out of scope</x:v>
      </x:c>
    </x:row>
    <x:row r="44" ht="24" customHeight="1">
      <x:c r="A44" t="str">
        <x:v>9f28ea8a-b13b-4a5b-84ba-cb9eb6ad0d0d</x:v>
      </x:c>
      <x:c r="B44" t="str">
        <x:v>CSSP10159861</x:v>
      </x:c>
      <x:c r="C44" t="str">
        <x:v>mibrahim.sulaima@petronas.com</x:v>
      </x:c>
      <x:c r="D44" t="str">
        <x:v>decommission-cloud</x:v>
      </x:c>
      <x:c r="E44" t="str">
        <x:v>cancelled</x:v>
      </x:c>
      <x:c r="F44" t="n">
        <x:v>46031.08573958333</x:v>
      </x:c>
      <x:c r="G44" t="n">
        <x:v>46031.086062118055</x:v>
      </x:c>
      <x:c r="H44" t="n">
        <x:v>46031.08573958333</x:v>
      </x:c>
      <x:c r="I44" t="str">
        <x:v>Enhancement of Enhanced Resource Monetization by Artificial Intelligence - ERMAI Phase 3 for Malaysia Petroleum Management - MPM</x:v>
      </x:c>
      <x:c r="J44" t="str">
        <x:v>Implementation of Enhanced Resource Monetization Artificial Intelligence (ERMAI) for Malaysia Petroleum Management (MPM)</x:v>
      </x:c>
      <x:c r="K44" t="str">
        <x:v>partial</x:v>
      </x:c>
      <x:c r="L44"/>
      <x:c r="M44" t="str">
        <x:v>limeng.tan@petronas.com.my</x:v>
      </x:c>
      <x:c r="N44"/>
      <x:c r="O44"/>
      <x:c r="P44" t="str">
        <x:v>To decom ermai dev resources that not being used anymore</x:v>
      </x:c>
      <x:c r="Q44" t="str">
        <x:v>2W</x:v>
      </x:c>
      <x:c r="R44" t="str">
        <x:v>Not in Used</x:v>
      </x:c>
      <x:c r="S44"/>
      <x:c r="T44" t="str">
        <x:v>rejected</x:v>
      </x:c>
      <x:c r="U44" t="str">
        <x:v>mibrahim.sulaima@petronas.com</x:v>
      </x:c>
      <x:c r="V44" t="n">
        <x:v>46031.08606212963</x:v>
      </x:c>
      <x:c r="W44"/>
      <x:c r="X44"/>
      <x:c r="Y44" t="str">
        <x:v>limeng.tan@petronas.com</x:v>
      </x:c>
      <x:c r="Z44"/>
      <x:c r="AA44"/>
      <x:c r="AB44"/>
      <x:c r="AC44" t="str">
        <x:v>CCoE Business</x:v>
      </x:c>
      <x:c r="AD44"/>
      <x:c r="AE44"/>
      <x:c r="AF44"/>
      <x:c r="AG44" t="str">
        <x:v>CCoE Operations</x:v>
      </x:c>
      <x:c r="AH44"/>
      <x:c r="AI44"/>
      <x:c r="AJ44" t="str">
        <x:v>A-000303</x:v>
      </x:c>
      <x:c r="AK44" t="n">
        <x:v>2123</x:v>
      </x:c>
      <x:c r="AL44"/>
      <x:c r="AM44"/>
      <x:c r="AN44" t="str">
        <x:v>noretention</x:v>
      </x:c>
      <x:c r="AO44" t="n">
        <x:v>0</x:v>
      </x:c>
      <x:c r="AP44" s="23" t="str">
        <x:f>IF(E44="processing",IF(Z44="","",IF(ISNUMBER(Z44),INT(Z44),DATE(VALUE(LEFT(Z44,4)),VALUE(MID(Z44,6,2)),VALUE(MID(Z44,9,2))))),IF(OR(E44="executing",E44="pending"),IF(AD44="","",IF(ISNUMBER(AD44),INT(AD44),DATE(VALUE(LEFT(AD44,4)),VALUE(MID(AD44,6,2)),VALUE(MID(AD44,9,2))))),""))</x:f>
      </x:c>
      <x:c r="AQ44" s="24" t="str">
        <x:f>IF(AP44="","",INT('Configuration'!$B$4)-AP44)</x:f>
      </x:c>
      <x:c r="AR44" s="25" t="str">
        <x:f>IF(AP44="","Missing Required Date",IF(AQ44&lt;0,"Future Date",IF(AQ44=0,"0 days",IF(AQ44&lt;=2,"1-2 days",IF(AQ44&lt;=7,"3-7 days",IF(AQ44&lt;=14,"8-14 days",IF(AQ44&lt;=30,"15-30 days",IF(AQ44&lt;=60,"31-60 days",IF(AQ44&lt;=70,"61-70 days","71+ days")))))))))</x:f>
        <x:v>Missing Required Date</x:v>
      </x:c>
      <x:c r="AS44" s="25" t="str">
        <x:f>IF(OR(E44="processing",E44="executing",E44="pending"),IF(AP44="","Required aging date missing",IF(AQ44&gt;30,"Escalate &gt;30d",IF(AQ44&gt;14,"Watch &gt;14d","Within 14d"))),"Out of scope")</x:f>
        <x:v>Out of scope</x:v>
      </x:c>
    </x:row>
    <x:row r="45" ht="24" customHeight="1">
      <x:c r="A45" t="str">
        <x:v>410ea196-1243-4e2c-b845-57ce8b099e18</x:v>
      </x:c>
      <x:c r="B45" t="str">
        <x:v>CSSP10622149</x:v>
      </x:c>
      <x:c r="C45" t="str">
        <x:v>mibrahim.sulaima@petronas.com</x:v>
      </x:c>
      <x:c r="D45" t="str">
        <x:v>decommission-cloud</x:v>
      </x:c>
      <x:c r="E45" t="str">
        <x:v>cancelled</x:v>
      </x:c>
      <x:c r="F45" t="n">
        <x:v>46031.08751207176</x:v>
      </x:c>
      <x:c r="G45" t="n">
        <x:v>46031.08769891204</x:v>
      </x:c>
      <x:c r="H45" t="n">
        <x:v>46031.08751207176</x:v>
      </x:c>
      <x:c r="I45" t="str">
        <x:v>Enhancement of Enhanced Resource Monetization by Artificial Intelligence - ERMAI Phase 3 for Malaysia Petroleum Management - MPM</x:v>
      </x:c>
      <x:c r="J45" t="str">
        <x:v>Enhancement of Enhanced Resource Monetization by Artificial Intelligence (ERMAI) Phase 4 </x:v>
      </x:c>
      <x:c r="K45" t="str">
        <x:v>partial</x:v>
      </x:c>
      <x:c r="L45"/>
      <x:c r="M45" t="str">
        <x:v>limeng.tan@petronas.com.my</x:v>
      </x:c>
      <x:c r="N45"/>
      <x:c r="O45"/>
      <x:c r="P45" t="str">
        <x:v>To decom AKS and PosgreSQL DB resources for ERMAI dev since not being used anymore</x:v>
      </x:c>
      <x:c r="Q45" t="str">
        <x:v>2W</x:v>
      </x:c>
      <x:c r="R45" t="str">
        <x:v>Not in Used</x:v>
      </x:c>
      <x:c r="S45"/>
      <x:c r="T45" t="str">
        <x:v>rejected</x:v>
      </x:c>
      <x:c r="U45" t="str">
        <x:v>mibrahim.sulaima@petronas.com</x:v>
      </x:c>
      <x:c r="V45" t="n">
        <x:v>46031.08769891204</x:v>
      </x:c>
      <x:c r="W45"/>
      <x:c r="X45"/>
      <x:c r="Y45" t="str">
        <x:v>limeng.tan@petronas.com</x:v>
      </x:c>
      <x:c r="Z45"/>
      <x:c r="AA45"/>
      <x:c r="AB45"/>
      <x:c r="AC45" t="str">
        <x:v>CCoE Business</x:v>
      </x:c>
      <x:c r="AD45"/>
      <x:c r="AE45"/>
      <x:c r="AF45"/>
      <x:c r="AG45" t="str">
        <x:v>CCoE Operations</x:v>
      </x:c>
      <x:c r="AH45"/>
      <x:c r="AI45"/>
      <x:c r="AJ45" t="str">
        <x:v>A-000303</x:v>
      </x:c>
      <x:c r="AK45" t="n">
        <x:v>100</x:v>
      </x:c>
      <x:c r="AL45"/>
      <x:c r="AM45"/>
      <x:c r="AN45" t="str">
        <x:v>noretention</x:v>
      </x:c>
      <x:c r="AO45" t="n">
        <x:v>0</x:v>
      </x:c>
      <x:c r="AP45" s="23" t="str">
        <x:f>IF(E45="processing",IF(Z45="","",IF(ISNUMBER(Z45),INT(Z45),DATE(VALUE(LEFT(Z45,4)),VALUE(MID(Z45,6,2)),VALUE(MID(Z45,9,2))))),IF(OR(E45="executing",E45="pending"),IF(AD45="","",IF(ISNUMBER(AD45),INT(AD45),DATE(VALUE(LEFT(AD45,4)),VALUE(MID(AD45,6,2)),VALUE(MID(AD45,9,2))))),""))</x:f>
      </x:c>
      <x:c r="AQ45" s="24" t="str">
        <x:f>IF(AP45="","",INT('Configuration'!$B$4)-AP45)</x:f>
      </x:c>
      <x:c r="AR45" s="25" t="str">
        <x:f>IF(AP45="","Missing Required Date",IF(AQ45&lt;0,"Future Date",IF(AQ45=0,"0 days",IF(AQ45&lt;=2,"1-2 days",IF(AQ45&lt;=7,"3-7 days",IF(AQ45&lt;=14,"8-14 days",IF(AQ45&lt;=30,"15-30 days",IF(AQ45&lt;=60,"31-60 days",IF(AQ45&lt;=70,"61-70 days","71+ days")))))))))</x:f>
        <x:v>Missing Required Date</x:v>
      </x:c>
      <x:c r="AS45" s="25" t="str">
        <x:f>IF(OR(E45="processing",E45="executing",E45="pending"),IF(AP45="","Required aging date missing",IF(AQ45&gt;30,"Escalate &gt;30d",IF(AQ45&gt;14,"Watch &gt;14d","Within 14d"))),"Out of scope")</x:f>
        <x:v>Out of scope</x:v>
      </x:c>
    </x:row>
    <x:row r="46" ht="24" customHeight="1">
      <x:c r="A46" t="str">
        <x:v>9aecfc02-2056-4390-879d-2a2098196200</x:v>
      </x:c>
      <x:c r="B46" t="str">
        <x:v>CSSP10527994</x:v>
      </x:c>
      <x:c r="C46" t="str">
        <x:v>mibrahim.sulaima@petronas.com</x:v>
      </x:c>
      <x:c r="D46" t="str">
        <x:v>decommission-cloud</x:v>
      </x:c>
      <x:c r="E46" t="str">
        <x:v>completed</x:v>
      </x:c>
      <x:c r="F46" t="n">
        <x:v>46031.08856185185</x:v>
      </x:c>
      <x:c r="G46" t="n">
        <x:v>46038.07838650463</x:v>
      </x:c>
      <x:c r="H46" t="n">
        <x:v>46031.08856185185</x:v>
      </x:c>
      <x:c r="I46" t="str">
        <x:v>Enhancement of Enhanced Resource Monetization by Artificial Intelligence - ERMAI Phase 3 for Malaysia Petroleum Management - MPM</x:v>
      </x:c>
      <x:c r="J46" t="str">
        <x:v>Implementation of Enhanced Resource Monetization Artificial Intelligence (ERMAI) Malaysia Petroleum Management (MPM)</x:v>
      </x:c>
      <x:c r="K46" t="str">
        <x:v>partial</x:v>
      </x:c>
      <x:c r="L46"/>
      <x:c r="M46" t="str">
        <x:v>limeng.tan@petronas.com.my</x:v>
      </x:c>
      <x:c r="N46"/>
      <x:c r="O46"/>
      <x:c r="P46" t="str">
        <x:v>To decom AKS and PosgreSQL temp01 in ERMAI dev since not being used anymore</x:v>
      </x:c>
      <x:c r="Q46" t="str">
        <x:v>2W</x:v>
      </x:c>
      <x:c r="R46" t="str">
        <x:v>Not in Used</x:v>
      </x:c>
      <x:c r="S46"/>
      <x:c r="T46" t="str">
        <x:v>approved</x:v>
      </x:c>
      <x:c r="U46" t="str">
        <x:v>mibrahim.sulaima@petronas.com</x:v>
      </x:c>
      <x:c r="V46" t="n">
        <x:v>46031.09554671296</x:v>
      </x:c>
      <x:c r="W46" t="str">
        <x:v>To decom AKS - ptsg-5ermaiaks01 and PosgreSQL Flexible server - ptazsg-5ermaisql01temp. These resources have been confirmed not being used anymore. This can save cost in Dev environment for about 30% monthly.</x:v>
      </x:c>
      <x:c r="X46" t="str">
        <x:v>approved</x:v>
      </x:c>
      <x:c r="Y46" t="str">
        <x:v>limeng.tan@petronas.com</x:v>
      </x:c>
      <x:c r="Z46" t="n">
        <x:v>46031.38794288194</x:v>
      </x:c>
      <x:c r="AA46" t="str">
        <x:v>approved as requested</x:v>
      </x:c>
      <x:c r="AB46" t="str">
        <x:v>approved</x:v>
      </x:c>
      <x:c r="AC46" t="str">
        <x:v>azwan.badari@petronas.com</x:v>
      </x:c>
      <x:c r="AD46" t="n">
        <x:v>46036.323659814814</x:v>
      </x:c>
      <x:c r="AE46" t="str">
        <x:v>Decommission AKS - ptsg-5ermaiaks01 and PosgreSQL Flexible server - ptazsg-5ermaisql01temp</x:v>
      </x:c>
      <x:c r="AF46" t="str">
        <x:v>approved</x:v>
      </x:c>
      <x:c r="AG46" t="str">
        <x:v>azwan.badari@petronas.com</x:v>
      </x:c>
      <x:c r="AH46" t="n">
        <x:v>46038.0783865162</x:v>
      </x:c>
      <x:c r="AI46" t="str">
        <x:v>Completed</x:v>
      </x:c>
      <x:c r="AJ46" t="str">
        <x:v>A-000303</x:v>
      </x:c>
      <x:c r="AK46" t="n">
        <x:v>4443</x:v>
      </x:c>
      <x:c r="AL46" t="str">
        <x:v>M</x:v>
      </x:c>
      <x:c r="AM46" t="str">
        <x:v>REQ000007815159</x:v>
      </x:c>
      <x:c r="AN46" t="str">
        <x:v>noretention</x:v>
      </x:c>
      <x:c r="AO46" t="n">
        <x:v>0</x:v>
      </x:c>
      <x:c r="AP46" s="23" t="str">
        <x:f>IF(E46="processing",IF(Z46="","",IF(ISNUMBER(Z46),INT(Z46),DATE(VALUE(LEFT(Z46,4)),VALUE(MID(Z46,6,2)),VALUE(MID(Z46,9,2))))),IF(OR(E46="executing",E46="pending"),IF(AD46="","",IF(ISNUMBER(AD46),INT(AD46),DATE(VALUE(LEFT(AD46,4)),VALUE(MID(AD46,6,2)),VALUE(MID(AD46,9,2))))),""))</x:f>
      </x:c>
      <x:c r="AQ46" s="24" t="str">
        <x:f>IF(AP46="","",INT('Configuration'!$B$4)-AP46)</x:f>
      </x:c>
      <x:c r="AR46" s="25" t="str">
        <x:f>IF(AP46="","Missing Required Date",IF(AQ46&lt;0,"Future Date",IF(AQ46=0,"0 days",IF(AQ46&lt;=2,"1-2 days",IF(AQ46&lt;=7,"3-7 days",IF(AQ46&lt;=14,"8-14 days",IF(AQ46&lt;=30,"15-30 days",IF(AQ46&lt;=60,"31-60 days",IF(AQ46&lt;=70,"61-70 days","71+ days")))))))))</x:f>
        <x:v>Missing Required Date</x:v>
      </x:c>
      <x:c r="AS46" s="25" t="str">
        <x:f>IF(OR(E46="processing",E46="executing",E46="pending"),IF(AP46="","Required aging date missing",IF(AQ46&gt;30,"Escalate &gt;30d",IF(AQ46&gt;14,"Watch &gt;14d","Within 14d"))),"Out of scope")</x:f>
        <x:v>Out of scope</x:v>
      </x:c>
    </x:row>
    <x:row r="47" ht="24" customHeight="1">
      <x:c r="A47" t="str">
        <x:v>e09d2466-1f5f-48a0-8531-127ecf1af6ec</x:v>
      </x:c>
      <x:c r="B47" t="str">
        <x:v>CSSP10175424</x:v>
      </x:c>
      <x:c r="C47" t="str">
        <x:v>mnizar.omar@petronas.com</x:v>
      </x:c>
      <x:c r="D47" t="str">
        <x:v>decommission-cloud</x:v>
      </x:c>
      <x:c r="E47" t="str">
        <x:v>cancelled</x:v>
      </x:c>
      <x:c r="F47" t="n">
        <x:v>46031.138883680556</x:v>
      </x:c>
      <x:c r="G47" t="n">
        <x:v>46031.14463625</x:v>
      </x:c>
      <x:c r="H47" t="n">
        <x:v>46031.138883680556</x:v>
      </x:c>
      <x:c r="I47" t="str">
        <x:v>Active Directory Domain Controller - ADDC KVDC</x:v>
      </x:c>
      <x:c r="J47" t="str">
        <x:v>Active Directory Domain Controller - ADDC KVDC created for PRIVATECLOUD project record</x:v>
      </x:c>
      <x:c r="K47" t="str">
        <x:v>partial</x:v>
      </x:c>
      <x:c r="L47"/>
      <x:c r="M47" t="str">
        <x:v>zulizzi.yasin@petronas.com.my</x:v>
      </x:c>
      <x:c r="N47"/>
      <x:c r="O47"/>
      <x:c r="P47" t="str">
        <x:v>This domain controller is not required anymore as part of domain controllers decommissioning plan.</x:v>
      </x:c>
      <x:c r="Q47" t="str">
        <x:v>2W</x:v>
      </x:c>
      <x:c r="R47" t="str">
        <x:v>Not in Used</x:v>
      </x:c>
      <x:c r="S47"/>
      <x:c r="T47" t="str">
        <x:v>rejected</x:v>
      </x:c>
      <x:c r="U47" t="str">
        <x:v>mnizar.omar@petronas.com</x:v>
      </x:c>
      <x:c r="V47" t="n">
        <x:v>46031.14463625</x:v>
      </x:c>
      <x:c r="W47"/>
      <x:c r="X47"/>
      <x:c r="Y47" t="str">
        <x:v>zulizzi.yasin@petronas.com</x:v>
      </x:c>
      <x:c r="Z47"/>
      <x:c r="AA47"/>
      <x:c r="AB47"/>
      <x:c r="AC47" t="str">
        <x:v>CCoE Business</x:v>
      </x:c>
      <x:c r="AD47"/>
      <x:c r="AE47"/>
      <x:c r="AF47"/>
      <x:c r="AG47" t="str">
        <x:v>CCoE Operations</x:v>
      </x:c>
      <x:c r="AH47"/>
      <x:c r="AI47"/>
      <x:c r="AJ47" t="str">
        <x:v>A-000015</x:v>
      </x:c>
      <x:c r="AK47" t="str">
        <x:v>10002_03</x:v>
      </x:c>
      <x:c r="AL47"/>
      <x:c r="AM47"/>
      <x:c r="AN47" t="str">
        <x:v>noretention</x:v>
      </x:c>
      <x:c r="AO47" t="n">
        <x:v>0</x:v>
      </x:c>
      <x:c r="AP47" s="23" t="str">
        <x:f>IF(E47="processing",IF(Z47="","",IF(ISNUMBER(Z47),INT(Z47),DATE(VALUE(LEFT(Z47,4)),VALUE(MID(Z47,6,2)),VALUE(MID(Z47,9,2))))),IF(OR(E47="executing",E47="pending"),IF(AD47="","",IF(ISNUMBER(AD47),INT(AD47),DATE(VALUE(LEFT(AD47,4)),VALUE(MID(AD47,6,2)),VALUE(MID(AD47,9,2))))),""))</x:f>
      </x:c>
      <x:c r="AQ47" s="24" t="str">
        <x:f>IF(AP47="","",INT('Configuration'!$B$4)-AP47)</x:f>
      </x:c>
      <x:c r="AR47" s="25" t="str">
        <x:f>IF(AP47="","Missing Required Date",IF(AQ47&lt;0,"Future Date",IF(AQ47=0,"0 days",IF(AQ47&lt;=2,"1-2 days",IF(AQ47&lt;=7,"3-7 days",IF(AQ47&lt;=14,"8-14 days",IF(AQ47&lt;=30,"15-30 days",IF(AQ47&lt;=60,"31-60 days",IF(AQ47&lt;=70,"61-70 days","71+ days")))))))))</x:f>
        <x:v>Missing Required Date</x:v>
      </x:c>
      <x:c r="AS47" s="25" t="str">
        <x:f>IF(OR(E47="processing",E47="executing",E47="pending"),IF(AP47="","Required aging date missing",IF(AQ47&gt;30,"Escalate &gt;30d",IF(AQ47&gt;14,"Watch &gt;14d","Within 14d"))),"Out of scope")</x:f>
        <x:v>Out of scope</x:v>
      </x:c>
    </x:row>
    <x:row r="48" ht="24" customHeight="1">
      <x:c r="A48" t="str">
        <x:v>5d8ee9f0-2be6-4505-be54-65b3bf899f4d</x:v>
      </x:c>
      <x:c r="B48" t="str">
        <x:v>CSSP10240613</x:v>
      </x:c>
      <x:c r="C48" t="str">
        <x:v>mnizar.omar@petronas.com</x:v>
      </x:c>
      <x:c r="D48" t="str">
        <x:v>decommission-cloud</x:v>
      </x:c>
      <x:c r="E48" t="str">
        <x:v>cancelled</x:v>
      </x:c>
      <x:c r="F48" t="n">
        <x:v>46031.15790505787</x:v>
      </x:c>
      <x:c r="G48" t="n">
        <x:v>46031.15871037037</x:v>
      </x:c>
      <x:c r="H48" t="n">
        <x:v>46031.15790505787</x:v>
      </x:c>
      <x:c r="I48" t="str">
        <x:v>Common Active Directory - AD</x:v>
      </x:c>
      <x:c r="J48" t="str">
        <x:v>Common infrastructure for COC dashboard, integration, ict2u, labs</x:v>
      </x:c>
      <x:c r="K48" t="str">
        <x:v>partial</x:v>
      </x:c>
      <x:c r="L48"/>
      <x:c r="M48" t="str">
        <x:v>zulizzi.yasin@petronas.com.my</x:v>
      </x:c>
      <x:c r="N48"/>
      <x:c r="O48"/>
      <x:c r="P48" t="str">
        <x:v>Domain controllers are not in use anymore. Please refer the attachment for the list of items to be decommed.</x:v>
      </x:c>
      <x:c r="Q48" t="str">
        <x:v>2W</x:v>
      </x:c>
      <x:c r="R48" t="str">
        <x:v>Not in Used</x:v>
      </x:c>
      <x:c r="S48"/>
      <x:c r="T48" t="str">
        <x:v>rejected</x:v>
      </x:c>
      <x:c r="U48" t="str">
        <x:v>mnizar.omar@petronas.com</x:v>
      </x:c>
      <x:c r="V48" t="n">
        <x:v>46031.15871037037</x:v>
      </x:c>
      <x:c r="W48"/>
      <x:c r="X48"/>
      <x:c r="Y48" t="str">
        <x:v>zulizzi.yasin@petronas.com</x:v>
      </x:c>
      <x:c r="Z48"/>
      <x:c r="AA48"/>
      <x:c r="AB48"/>
      <x:c r="AC48" t="str">
        <x:v>CCoE Business</x:v>
      </x:c>
      <x:c r="AD48"/>
      <x:c r="AE48"/>
      <x:c r="AF48"/>
      <x:c r="AG48" t="str">
        <x:v>CCoE Operations</x:v>
      </x:c>
      <x:c r="AH48"/>
      <x:c r="AI48"/>
      <x:c r="AJ48" t="str">
        <x:v>C-000004</x:v>
      </x:c>
      <x:c r="AK48" t="str">
        <x:v>Common-AD</x:v>
      </x:c>
      <x:c r="AL48"/>
      <x:c r="AM48"/>
      <x:c r="AN48" t="str">
        <x:v>noretention</x:v>
      </x:c>
      <x:c r="AO48" t="n">
        <x:v>0</x:v>
      </x:c>
      <x:c r="AP48" s="23" t="str">
        <x:f>IF(E48="processing",IF(Z48="","",IF(ISNUMBER(Z48),INT(Z48),DATE(VALUE(LEFT(Z48,4)),VALUE(MID(Z48,6,2)),VALUE(MID(Z48,9,2))))),IF(OR(E48="executing",E48="pending"),IF(AD48="","",IF(ISNUMBER(AD48),INT(AD48),DATE(VALUE(LEFT(AD48,4)),VALUE(MID(AD48,6,2)),VALUE(MID(AD48,9,2))))),""))</x:f>
      </x:c>
      <x:c r="AQ48" s="24" t="str">
        <x:f>IF(AP48="","",INT('Configuration'!$B$4)-AP48)</x:f>
      </x:c>
      <x:c r="AR48" s="25" t="str">
        <x:f>IF(AP48="","Missing Required Date",IF(AQ48&lt;0,"Future Date",IF(AQ48=0,"0 days",IF(AQ48&lt;=2,"1-2 days",IF(AQ48&lt;=7,"3-7 days",IF(AQ48&lt;=14,"8-14 days",IF(AQ48&lt;=30,"15-30 days",IF(AQ48&lt;=60,"31-60 days",IF(AQ48&lt;=70,"61-70 days","71+ days")))))))))</x:f>
        <x:v>Missing Required Date</x:v>
      </x:c>
      <x:c r="AS48" s="25" t="str">
        <x:f>IF(OR(E48="processing",E48="executing",E48="pending"),IF(AP48="","Required aging date missing",IF(AQ48&gt;30,"Escalate &gt;30d",IF(AQ48&gt;14,"Watch &gt;14d","Within 14d"))),"Out of scope")</x:f>
        <x:v>Out of scope</x:v>
      </x:c>
    </x:row>
    <x:row r="49" ht="24" customHeight="1">
      <x:c r="A49" t="str">
        <x:v>7f765445-b497-44da-8017-8873ca22791f</x:v>
      </x:c>
      <x:c r="B49" t="str">
        <x:v>CSSP10262348</x:v>
      </x:c>
      <x:c r="C49" t="str">
        <x:v>mnizar.omar@petronas.com</x:v>
      </x:c>
      <x:c r="D49" t="str">
        <x:v>decommission-cloud</x:v>
      </x:c>
      <x:c r="E49" t="str">
        <x:v>completed</x:v>
      </x:c>
      <x:c r="F49" t="n">
        <x:v>46031.17346643518</x:v>
      </x:c>
      <x:c r="G49" t="n">
        <x:v>46041.14016837963</x:v>
      </x:c>
      <x:c r="H49" t="n">
        <x:v>46031.17346643518</x:v>
      </x:c>
      <x:c r="I49" t="str">
        <x:v>Common Active Directory - AD</x:v>
      </x:c>
      <x:c r="J49" t="str">
        <x:v>Common infrastructure for COC dashboard, integration, ict2u, labs</x:v>
      </x:c>
      <x:c r="K49" t="str">
        <x:v>partial</x:v>
      </x:c>
      <x:c r="L49"/>
      <x:c r="M49" t="str">
        <x:v>zulizzi.yasin@petronas.com.my</x:v>
      </x:c>
      <x:c r="N49"/>
      <x:c r="O49"/>
      <x:c r="P49" t="str">
        <x:v>The domain controllers are not in use anymore which are part of our decommissioning plan. Please refer the attachment for the list of servers to be decommissioned. 
CEN308-INFDC-03
PTSCUS-1INFdc01
PTSCUS-1INFdc02
PTWEU-1INFdc01
PTWEU-1INFdc02
AZRSAPRODADDS01
</x:v>
      </x:c>
      <x:c r="Q49" t="str">
        <x:v>2W</x:v>
      </x:c>
      <x:c r="R49" t="str">
        <x:v>Not in Used</x:v>
      </x:c>
      <x:c r="S49"/>
      <x:c r="T49" t="str">
        <x:v>approved</x:v>
      </x:c>
      <x:c r="U49" t="str">
        <x:v>mnizar.omar@petronas.com</x:v>
      </x:c>
      <x:c r="V49" t="n">
        <x:v>46031.17527797454</x:v>
      </x:c>
      <x:c r="W49" t="str">
        <x:v>Servers have been shut down and confirmed not in use.</x:v>
      </x:c>
      <x:c r="X49" t="str">
        <x:v>approved</x:v>
      </x:c>
      <x:c r="Y49" t="str">
        <x:v>zulizzi.yasin@petronas.com</x:v>
      </x:c>
      <x:c r="Z49" t="n">
        <x:v>46035.09325394676</x:v>
      </x:c>
      <x:c r="AA49" t="str">
        <x:v>Reviewed</x:v>
      </x:c>
      <x:c r="AB49" t="str">
        <x:v>approved</x:v>
      </x:c>
      <x:c r="AC49" t="str">
        <x:v>azwan.badari@petronas.com</x:v>
      </x:c>
      <x:c r="AD49" t="n">
        <x:v>46036.35665873843</x:v>
      </x:c>
      <x:c r="AE49" t="str">
        <x:v>Decommission listed VM
CEN308-INFDC-03	10.3.193.171
PTSCUS-1INFdc01	172.18.32.11
PTSCUS-1INFdc02	172.18.32.12
PTWEU-1INFdc01	172.24.32.11
PTWEU-1INFdc02	172.24.32.4
AZRSAPRODADDS01	172.24.9.1</x:v>
      </x:c>
      <x:c r="AF49" t="str">
        <x:v>approved</x:v>
      </x:c>
      <x:c r="AG49" t="str">
        <x:v>azlisham.md@petronas.com</x:v>
      </x:c>
      <x:c r="AH49" t="n">
        <x:v>46041.140168391204</x:v>
      </x:c>
      <x:c r="AI49" t="str">
        <x:v>The decommission request has been completed, and the status is now updated accordingly. Kindly verify from your end and confirm once reviewed.
</x:v>
      </x:c>
      <x:c r="AJ49" t="str">
        <x:v>C-000004</x:v>
      </x:c>
      <x:c r="AK49" t="str">
        <x:v>Common-AD</x:v>
      </x:c>
      <x:c r="AL49" t="str">
        <x:v>M</x:v>
      </x:c>
      <x:c r="AM49" t="str">
        <x:v>REQ000007815546</x:v>
      </x:c>
      <x:c r="AN49" t="str">
        <x:v>noretention</x:v>
      </x:c>
      <x:c r="AO49" t="n">
        <x:v>0</x:v>
      </x:c>
      <x:c r="AP49" s="23" t="str">
        <x:f>IF(E49="processing",IF(Z49="","",IF(ISNUMBER(Z49),INT(Z49),DATE(VALUE(LEFT(Z49,4)),VALUE(MID(Z49,6,2)),VALUE(MID(Z49,9,2))))),IF(OR(E49="executing",E49="pending"),IF(AD49="","",IF(ISNUMBER(AD49),INT(AD49),DATE(VALUE(LEFT(AD49,4)),VALUE(MID(AD49,6,2)),VALUE(MID(AD49,9,2))))),""))</x:f>
      </x:c>
      <x:c r="AQ49" s="24" t="str">
        <x:f>IF(AP49="","",INT('Configuration'!$B$4)-AP49)</x:f>
      </x:c>
      <x:c r="AR49" s="25" t="str">
        <x:f>IF(AP49="","Missing Required Date",IF(AQ49&lt;0,"Future Date",IF(AQ49=0,"0 days",IF(AQ49&lt;=2,"1-2 days",IF(AQ49&lt;=7,"3-7 days",IF(AQ49&lt;=14,"8-14 days",IF(AQ49&lt;=30,"15-30 days",IF(AQ49&lt;=60,"31-60 days",IF(AQ49&lt;=70,"61-70 days","71+ days")))))))))</x:f>
        <x:v>Missing Required Date</x:v>
      </x:c>
      <x:c r="AS49" s="25" t="str">
        <x:f>IF(OR(E49="processing",E49="executing",E49="pending"),IF(AP49="","Required aging date missing",IF(AQ49&gt;30,"Escalate &gt;30d",IF(AQ49&gt;14,"Watch &gt;14d","Within 14d"))),"Out of scope")</x:f>
        <x:v>Out of scope</x:v>
      </x:c>
    </x:row>
    <x:row r="50" ht="24" customHeight="1">
      <x:c r="A50" t="str">
        <x:v>a4db4910-6efc-4ec6-adcc-0c92781fa443</x:v>
      </x:c>
      <x:c r="B50" t="str">
        <x:v>CSSP10861160</x:v>
      </x:c>
      <x:c r="C50" t="str">
        <x:v>izdihar.roslan@petronas.com</x:v>
      </x:c>
      <x:c r="D50" t="str">
        <x:v>decommission-cloud</x:v>
      </x:c>
      <x:c r="E50" t="str">
        <x:v>cancelled</x:v>
      </x:c>
      <x:c r="F50" t="n">
        <x:v>46031.299027650464</x:v>
      </x:c>
      <x:c r="G50" t="n">
        <x:v>46051.19519085648</x:v>
      </x:c>
      <x:c r="H50" t="n">
        <x:v>46031.299027650464</x:v>
      </x:c>
      <x:c r="I50" t="str">
        <x:v>MyProcure</x:v>
      </x:c>
      <x:c r="J50" t="str">
        <x:v>Procurement Innovation Through Automation And Procurement Marketplace</x:v>
      </x:c>
      <x:c r="K50" t="str">
        <x:v>partial</x:v>
      </x:c>
      <x:c r="L50"/>
      <x:c r="M50" t="str">
        <x:v>sazali.mokhtar@petronas.com</x:v>
      </x:c>
      <x:c r="N50"/>
      <x:c r="O50" t="n">
        <x:v>4343</x:v>
      </x:c>
      <x:c r="P50" t="str">
        <x:v>Cloud Repatriation - To decommission old resources in Singapore region due to completed migration in MY region</x:v>
      </x:c>
      <x:c r="Q50" t="str">
        <x:v>2W</x:v>
      </x:c>
      <x:c r="R50" t="str">
        <x:v>Cloud Migration</x:v>
      </x:c>
      <x:c r="S50"/>
      <x:c r="T50" t="str">
        <x:v>rejected</x:v>
      </x:c>
      <x:c r="U50" t="str">
        <x:v>azwan.badari@petronas.com</x:v>
      </x:c>
      <x:c r="V50" t="n">
        <x:v>46051.19519085648</x:v>
      </x:c>
      <x:c r="W50" t="str">
        <x:v>Cancelled</x:v>
      </x:c>
      <x:c r="X50"/>
      <x:c r="Y50" t="str">
        <x:v>sazali.mokhtar@petronas.com</x:v>
      </x:c>
      <x:c r="Z50"/>
      <x:c r="AA50"/>
      <x:c r="AB50"/>
      <x:c r="AC50" t="str">
        <x:v>CCoE Business</x:v>
      </x:c>
      <x:c r="AD50"/>
      <x:c r="AE50"/>
      <x:c r="AF50"/>
      <x:c r="AG50" t="str">
        <x:v>CCoE Operations</x:v>
      </x:c>
      <x:c r="AH50"/>
      <x:c r="AI50"/>
      <x:c r="AJ50" t="str">
        <x:v>A-000490</x:v>
      </x:c>
      <x:c r="AK50" t="n">
        <x:v>4343</x:v>
      </x:c>
      <x:c r="AL50"/>
      <x:c r="AM50"/>
      <x:c r="AN50" t="str">
        <x:v>noretention</x:v>
      </x:c>
      <x:c r="AO50" t="n">
        <x:v>0</x:v>
      </x:c>
      <x:c r="AP50" s="23" t="str">
        <x:f>IF(E50="processing",IF(Z50="","",IF(ISNUMBER(Z50),INT(Z50),DATE(VALUE(LEFT(Z50,4)),VALUE(MID(Z50,6,2)),VALUE(MID(Z50,9,2))))),IF(OR(E50="executing",E50="pending"),IF(AD50="","",IF(ISNUMBER(AD50),INT(AD50),DATE(VALUE(LEFT(AD50,4)),VALUE(MID(AD50,6,2)),VALUE(MID(AD50,9,2))))),""))</x:f>
      </x:c>
      <x:c r="AQ50" s="24" t="str">
        <x:f>IF(AP50="","",INT('Configuration'!$B$4)-AP50)</x:f>
      </x:c>
      <x:c r="AR50" s="25" t="str">
        <x:f>IF(AP50="","Missing Required Date",IF(AQ50&lt;0,"Future Date",IF(AQ50=0,"0 days",IF(AQ50&lt;=2,"1-2 days",IF(AQ50&lt;=7,"3-7 days",IF(AQ50&lt;=14,"8-14 days",IF(AQ50&lt;=30,"15-30 days",IF(AQ50&lt;=60,"31-60 days",IF(AQ50&lt;=70,"61-70 days","71+ days")))))))))</x:f>
        <x:v>Missing Required Date</x:v>
      </x:c>
      <x:c r="AS50" s="25" t="str">
        <x:f>IF(OR(E50="processing",E50="executing",E50="pending"),IF(AP50="","Required aging date missing",IF(AQ50&gt;30,"Escalate &gt;30d",IF(AQ50&gt;14,"Watch &gt;14d","Within 14d"))),"Out of scope")</x:f>
        <x:v>Out of scope</x:v>
      </x:c>
    </x:row>
    <x:row r="51" ht="24" customHeight="1">
      <x:c r="A51" t="str">
        <x:v>9b7f550e-e5cb-4f88-94d2-23a74bc7c118</x:v>
      </x:c>
      <x:c r="B51" t="str">
        <x:v>CSSP10888172</x:v>
      </x:c>
      <x:c r="C51" t="str">
        <x:v>izdihar.roslan@petronas.com</x:v>
      </x:c>
      <x:c r="D51" t="str">
        <x:v>decommission-cloud</x:v>
      </x:c>
      <x:c r="E51" t="str">
        <x:v>cancelled</x:v>
      </x:c>
      <x:c r="F51" t="n">
        <x:v>46031.30166020833</x:v>
      </x:c>
      <x:c r="G51" t="n">
        <x:v>46051.19508881945</x:v>
      </x:c>
      <x:c r="H51" t="n">
        <x:v>46031.30166020833</x:v>
      </x:c>
      <x:c r="I51" t="str">
        <x:v>MyProcure</x:v>
      </x:c>
      <x:c r="J51" t="str">
        <x:v>Procurement Innovation Through Automation And Procurement Marketplace</x:v>
      </x:c>
      <x:c r="K51" t="str">
        <x:v>partial</x:v>
      </x:c>
      <x:c r="L51"/>
      <x:c r="M51" t="str">
        <x:v>sazali.mokhtar@petronas.com</x:v>
      </x:c>
      <x:c r="N51"/>
      <x:c r="O51"/>
      <x:c r="P51" t="str">
        <x:v>Cloud Repatriation - To decommission old resources in Singapore region due to completed migration in MY region</x:v>
      </x:c>
      <x:c r="Q51" t="str">
        <x:v>2W</x:v>
      </x:c>
      <x:c r="R51" t="str">
        <x:v>Cloud Migration</x:v>
      </x:c>
      <x:c r="S51"/>
      <x:c r="T51" t="str">
        <x:v>rejected</x:v>
      </x:c>
      <x:c r="U51" t="str">
        <x:v>azwan.badari@petronas.com</x:v>
      </x:c>
      <x:c r="V51" t="n">
        <x:v>46051.19508883102</x:v>
      </x:c>
      <x:c r="W51" t="str">
        <x:v>Cancelled</x:v>
      </x:c>
      <x:c r="X51"/>
      <x:c r="Y51" t="str">
        <x:v>sazali.mokhtar@petronas.com</x:v>
      </x:c>
      <x:c r="Z51"/>
      <x:c r="AA51"/>
      <x:c r="AB51"/>
      <x:c r="AC51" t="str">
        <x:v>CCoE Business</x:v>
      </x:c>
      <x:c r="AD51"/>
      <x:c r="AE51"/>
      <x:c r="AF51"/>
      <x:c r="AG51" t="str">
        <x:v>CCoE Operations</x:v>
      </x:c>
      <x:c r="AH51"/>
      <x:c r="AI51"/>
      <x:c r="AJ51" t="str">
        <x:v>A-000490</x:v>
      </x:c>
      <x:c r="AK51" t="n">
        <x:v>4343</x:v>
      </x:c>
      <x:c r="AL51"/>
      <x:c r="AM51"/>
      <x:c r="AN51" t="str">
        <x:v>noretention</x:v>
      </x:c>
      <x:c r="AO51" t="n">
        <x:v>0</x:v>
      </x:c>
      <x:c r="AP51" s="23" t="str">
        <x:f>IF(E51="processing",IF(Z51="","",IF(ISNUMBER(Z51),INT(Z51),DATE(VALUE(LEFT(Z51,4)),VALUE(MID(Z51,6,2)),VALUE(MID(Z51,9,2))))),IF(OR(E51="executing",E51="pending"),IF(AD51="","",IF(ISNUMBER(AD51),INT(AD51),DATE(VALUE(LEFT(AD51,4)),VALUE(MID(AD51,6,2)),VALUE(MID(AD51,9,2))))),""))</x:f>
      </x:c>
      <x:c r="AQ51" s="24" t="str">
        <x:f>IF(AP51="","",INT('Configuration'!$B$4)-AP51)</x:f>
      </x:c>
      <x:c r="AR51" s="25" t="str">
        <x:f>IF(AP51="","Missing Required Date",IF(AQ51&lt;0,"Future Date",IF(AQ51=0,"0 days",IF(AQ51&lt;=2,"1-2 days",IF(AQ51&lt;=7,"3-7 days",IF(AQ51&lt;=14,"8-14 days",IF(AQ51&lt;=30,"15-30 days",IF(AQ51&lt;=60,"31-60 days",IF(AQ51&lt;=70,"61-70 days","71+ days")))))))))</x:f>
        <x:v>Missing Required Date</x:v>
      </x:c>
      <x:c r="AS51" s="25" t="str">
        <x:f>IF(OR(E51="processing",E51="executing",E51="pending"),IF(AP51="","Required aging date missing",IF(AQ51&gt;30,"Escalate &gt;30d",IF(AQ51&gt;14,"Watch &gt;14d","Within 14d"))),"Out of scope")</x:f>
        <x:v>Out of scope</x:v>
      </x:c>
    </x:row>
    <x:row r="52" ht="24" customHeight="1">
      <x:c r="A52" t="str">
        <x:v>170c452c-8ff0-4744-b0fe-2d5884db40b4</x:v>
      </x:c>
      <x:c r="B52" t="str">
        <x:v>CSSP10280084</x:v>
      </x:c>
      <x:c r="C52" t="str">
        <x:v>izdihar.roslan@petronas.com</x:v>
      </x:c>
      <x:c r="D52" t="str">
        <x:v>decommission-cloud</x:v>
      </x:c>
      <x:c r="E52" t="str">
        <x:v>cancelled</x:v>
      </x:c>
      <x:c r="F52" t="n">
        <x:v>46031.30300150463</x:v>
      </x:c>
      <x:c r="G52" t="n">
        <x:v>46051.19498824074</x:v>
      </x:c>
      <x:c r="H52" t="n">
        <x:v>46031.30300150463</x:v>
      </x:c>
      <x:c r="I52" t="str">
        <x:v>MyProcure</x:v>
      </x:c>
      <x:c r="J52" t="str">
        <x:v>Procurement Innovation Through Automation And Procurement Marketplace</x:v>
      </x:c>
      <x:c r="K52" t="str">
        <x:v>partial</x:v>
      </x:c>
      <x:c r="L52"/>
      <x:c r="M52" t="str">
        <x:v>sazali.mokhtar@petronas.com</x:v>
      </x:c>
      <x:c r="N52"/>
      <x:c r="O52"/>
      <x:c r="P52" t="str">
        <x:v>Cloud Repatriation - To decommission old resources in Singapore region due to completed migration in MY region</x:v>
      </x:c>
      <x:c r="Q52" t="str">
        <x:v>2W</x:v>
      </x:c>
      <x:c r="R52" t="str">
        <x:v>Cloud Migration</x:v>
      </x:c>
      <x:c r="S52"/>
      <x:c r="T52" t="str">
        <x:v>rejected</x:v>
      </x:c>
      <x:c r="U52" t="str">
        <x:v>azwan.badari@petronas.com</x:v>
      </x:c>
      <x:c r="V52" t="n">
        <x:v>46051.19498825231</x:v>
      </x:c>
      <x:c r="W52" t="str">
        <x:v>Cancelled</x:v>
      </x:c>
      <x:c r="X52"/>
      <x:c r="Y52" t="str">
        <x:v>sazali.mokhtar@petronas.com</x:v>
      </x:c>
      <x:c r="Z52"/>
      <x:c r="AA52"/>
      <x:c r="AB52"/>
      <x:c r="AC52" t="str">
        <x:v>CCoE Business</x:v>
      </x:c>
      <x:c r="AD52"/>
      <x:c r="AE52"/>
      <x:c r="AF52"/>
      <x:c r="AG52" t="str">
        <x:v>CCoE Operations</x:v>
      </x:c>
      <x:c r="AH52"/>
      <x:c r="AI52"/>
      <x:c r="AJ52" t="str">
        <x:v>A-000490</x:v>
      </x:c>
      <x:c r="AK52" t="n">
        <x:v>4343</x:v>
      </x:c>
      <x:c r="AL52"/>
      <x:c r="AM52"/>
      <x:c r="AN52" t="str">
        <x:v>noretention</x:v>
      </x:c>
      <x:c r="AO52" t="n">
        <x:v>0</x:v>
      </x:c>
      <x:c r="AP52" s="23" t="str">
        <x:f>IF(E52="processing",IF(Z52="","",IF(ISNUMBER(Z52),INT(Z52),DATE(VALUE(LEFT(Z52,4)),VALUE(MID(Z52,6,2)),VALUE(MID(Z52,9,2))))),IF(OR(E52="executing",E52="pending"),IF(AD52="","",IF(ISNUMBER(AD52),INT(AD52),DATE(VALUE(LEFT(AD52,4)),VALUE(MID(AD52,6,2)),VALUE(MID(AD52,9,2))))),""))</x:f>
      </x:c>
      <x:c r="AQ52" s="24" t="str">
        <x:f>IF(AP52="","",INT('Configuration'!$B$4)-AP52)</x:f>
      </x:c>
      <x:c r="AR52" s="25" t="str">
        <x:f>IF(AP52="","Missing Required Date",IF(AQ52&lt;0,"Future Date",IF(AQ52=0,"0 days",IF(AQ52&lt;=2,"1-2 days",IF(AQ52&lt;=7,"3-7 days",IF(AQ52&lt;=14,"8-14 days",IF(AQ52&lt;=30,"15-30 days",IF(AQ52&lt;=60,"31-60 days",IF(AQ52&lt;=70,"61-70 days","71+ days")))))))))</x:f>
        <x:v>Missing Required Date</x:v>
      </x:c>
      <x:c r="AS52" s="25" t="str">
        <x:f>IF(OR(E52="processing",E52="executing",E52="pending"),IF(AP52="","Required aging date missing",IF(AQ52&gt;30,"Escalate &gt;30d",IF(AQ52&gt;14,"Watch &gt;14d","Within 14d"))),"Out of scope")</x:f>
        <x:v>Out of scope</x:v>
      </x:c>
    </x:row>
    <x:row r="53" ht="24" customHeight="1">
      <x:c r="A53" t="str">
        <x:v>10815a01-d922-4fc6-aa81-7d131c5d370f</x:v>
      </x:c>
      <x:c r="B53" t="str">
        <x:v>CSSP10575261</x:v>
      </x:c>
      <x:c r="C53" t="str">
        <x:v>izdihar.roslan@petronas.com</x:v>
      </x:c>
      <x:c r="D53" t="str">
        <x:v>decommission-cloud</x:v>
      </x:c>
      <x:c r="E53" t="str">
        <x:v>cancelled</x:v>
      </x:c>
      <x:c r="F53" t="n">
        <x:v>46031.305276770836</x:v>
      </x:c>
      <x:c r="G53" t="n">
        <x:v>46219.259701875</x:v>
      </x:c>
      <x:c r="H53" t="n">
        <x:v>46031.305276770836</x:v>
      </x:c>
      <x:c r="I53" t="str">
        <x:v>MyProcure</x:v>
      </x:c>
      <x:c r="J53" t="str">
        <x:v>Procurement Innovation Through Automation And Procurement Marketplace</x:v>
      </x:c>
      <x:c r="K53" t="str">
        <x:v>partial</x:v>
      </x:c>
      <x:c r="L53"/>
      <x:c r="M53" t="str">
        <x:v>sazali.mokhtar@petronas.com</x:v>
      </x:c>
      <x:c r="N53"/>
      <x:c r="O53"/>
      <x:c r="P53" t="str">
        <x:v>Cloud Repatriation - To decommission old resources in Singapore region due to completed migration in MY region</x:v>
      </x:c>
      <x:c r="Q53" t="str">
        <x:v>2W</x:v>
      </x:c>
      <x:c r="R53" t="str">
        <x:v>Cloud Migration</x:v>
      </x:c>
      <x:c r="S53"/>
      <x:c r="T53" t="str">
        <x:v>rejected</x:v>
      </x:c>
      <x:c r="U53" t="str">
        <x:v>izdihar.roslan@petronas.com</x:v>
      </x:c>
      <x:c r="V53" t="n">
        <x:v>46219.259701875</x:v>
      </x:c>
      <x:c r="W53"/>
      <x:c r="X53"/>
      <x:c r="Y53" t="str">
        <x:v>sazali.mokhtar@petronas.com</x:v>
      </x:c>
      <x:c r="Z53"/>
      <x:c r="AA53"/>
      <x:c r="AB53"/>
      <x:c r="AC53" t="str">
        <x:v>CCoE Business</x:v>
      </x:c>
      <x:c r="AD53"/>
      <x:c r="AE53"/>
      <x:c r="AF53"/>
      <x:c r="AG53" t="str">
        <x:v>CCoE Operations</x:v>
      </x:c>
      <x:c r="AH53"/>
      <x:c r="AI53"/>
      <x:c r="AJ53" t="str">
        <x:v>A-000490</x:v>
      </x:c>
      <x:c r="AK53" t="n">
        <x:v>2800</x:v>
      </x:c>
      <x:c r="AL53"/>
      <x:c r="AM53"/>
      <x:c r="AN53" t="str">
        <x:v>noretention</x:v>
      </x:c>
      <x:c r="AO53" t="n">
        <x:v>0</x:v>
      </x:c>
      <x:c r="AP53" s="23" t="str">
        <x:f>IF(E53="processing",IF(Z53="","",IF(ISNUMBER(Z53),INT(Z53),DATE(VALUE(LEFT(Z53,4)),VALUE(MID(Z53,6,2)),VALUE(MID(Z53,9,2))))),IF(OR(E53="executing",E53="pending"),IF(AD53="","",IF(ISNUMBER(AD53),INT(AD53),DATE(VALUE(LEFT(AD53,4)),VALUE(MID(AD53,6,2)),VALUE(MID(AD53,9,2))))),""))</x:f>
      </x:c>
      <x:c r="AQ53" s="24" t="str">
        <x:f>IF(AP53="","",INT('Configuration'!$B$4)-AP53)</x:f>
      </x:c>
      <x:c r="AR53" s="25" t="str">
        <x:f>IF(AP53="","Missing Required Date",IF(AQ53&lt;0,"Future Date",IF(AQ53=0,"0 days",IF(AQ53&lt;=2,"1-2 days",IF(AQ53&lt;=7,"3-7 days",IF(AQ53&lt;=14,"8-14 days",IF(AQ53&lt;=30,"15-30 days",IF(AQ53&lt;=60,"31-60 days",IF(AQ53&lt;=70,"61-70 days","71+ days")))))))))</x:f>
        <x:v>Missing Required Date</x:v>
      </x:c>
      <x:c r="AS53" s="25" t="str">
        <x:f>IF(OR(E53="processing",E53="executing",E53="pending"),IF(AP53="","Required aging date missing",IF(AQ53&gt;30,"Escalate &gt;30d",IF(AQ53&gt;14,"Watch &gt;14d","Within 14d"))),"Out of scope")</x:f>
        <x:v>Out of scope</x:v>
      </x:c>
    </x:row>
    <x:row r="54" ht="24" customHeight="1">
      <x:c r="A54" t="str">
        <x:v>e9494d31-0e6e-46f7-b930-083021ca8133</x:v>
      </x:c>
      <x:c r="B54" t="str">
        <x:v>CSSP10692553</x:v>
      </x:c>
      <x:c r="C54" t="str">
        <x:v>izdihar.roslan@petronas.com</x:v>
      </x:c>
      <x:c r="D54" t="str">
        <x:v>decommission-cloud</x:v>
      </x:c>
      <x:c r="E54" t="str">
        <x:v>cancelled</x:v>
      </x:c>
      <x:c r="F54" t="n">
        <x:v>46031.31501050926</x:v>
      </x:c>
      <x:c r="G54" t="n">
        <x:v>46057.28470877315</x:v>
      </x:c>
      <x:c r="H54" t="n">
        <x:v>46031.31501050926</x:v>
      </x:c>
      <x:c r="I54" t="str">
        <x:v>FORTS</x:v>
      </x:c>
      <x:c r="J54" t="str">
        <x:v>AWS Cloud Migration - FORTS</x:v>
      </x:c>
      <x:c r="K54" t="str">
        <x:v>full</x:v>
      </x:c>
      <x:c r="L54" t="str">
        <x:v>DCOM202601094c5</x:v>
      </x:c>
      <x:c r="M54" t="str">
        <x:v>mkhiri.msharif@petronas.com.my</x:v>
      </x:c>
      <x:c r="N54"/>
      <x:c r="O54"/>
      <x:c r="P54" t="str">
        <x:v>As in attached email</x:v>
      </x:c>
      <x:c r="Q54" t="str">
        <x:v>2W</x:v>
      </x:c>
      <x:c r="R54" t="str">
        <x:v>Not in Used</x:v>
      </x:c>
      <x:c r="S54"/>
      <x:c r="T54" t="str">
        <x:v>rejected</x:v>
      </x:c>
      <x:c r="U54" t="str">
        <x:v>azwan.badari@petronas.com</x:v>
      </x:c>
      <x:c r="V54" t="n">
        <x:v>46057.28470877315</x:v>
      </x:c>
      <x:c r="W54" t="str">
        <x:v>Cancelled</x:v>
      </x:c>
      <x:c r="X54"/>
      <x:c r="Y54" t="str">
        <x:v>mkhiri.msharif@petronas.com</x:v>
      </x:c>
      <x:c r="Z54"/>
      <x:c r="AA54"/>
      <x:c r="AB54"/>
      <x:c r="AC54" t="str">
        <x:v>CCoE Business</x:v>
      </x:c>
      <x:c r="AD54"/>
      <x:c r="AE54"/>
      <x:c r="AF54"/>
      <x:c r="AG54" t="str">
        <x:v>CCoE Operations</x:v>
      </x:c>
      <x:c r="AH54"/>
      <x:c r="AI54"/>
      <x:c r="AJ54" t="str">
        <x:v>A-000321</x:v>
      </x:c>
      <x:c r="AK54" t="str">
        <x:v>00915_117</x:v>
      </x:c>
      <x:c r="AL54"/>
      <x:c r="AM54"/>
      <x:c r="AN54" t="str">
        <x:v>noretention</x:v>
      </x:c>
      <x:c r="AO54" t="n">
        <x:v>0</x:v>
      </x:c>
      <x:c r="AP54" s="23" t="str">
        <x:f>IF(E54="processing",IF(Z54="","",IF(ISNUMBER(Z54),INT(Z54),DATE(VALUE(LEFT(Z54,4)),VALUE(MID(Z54,6,2)),VALUE(MID(Z54,9,2))))),IF(OR(E54="executing",E54="pending"),IF(AD54="","",IF(ISNUMBER(AD54),INT(AD54),DATE(VALUE(LEFT(AD54,4)),VALUE(MID(AD54,6,2)),VALUE(MID(AD54,9,2))))),""))</x:f>
      </x:c>
      <x:c r="AQ54" s="24" t="str">
        <x:f>IF(AP54="","",INT('Configuration'!$B$4)-AP54)</x:f>
      </x:c>
      <x:c r="AR54" s="25" t="str">
        <x:f>IF(AP54="","Missing Required Date",IF(AQ54&lt;0,"Future Date",IF(AQ54=0,"0 days",IF(AQ54&lt;=2,"1-2 days",IF(AQ54&lt;=7,"3-7 days",IF(AQ54&lt;=14,"8-14 days",IF(AQ54&lt;=30,"15-30 days",IF(AQ54&lt;=60,"31-60 days",IF(AQ54&lt;=70,"61-70 days","71+ days")))))))))</x:f>
        <x:v>Missing Required Date</x:v>
      </x:c>
      <x:c r="AS54" s="25" t="str">
        <x:f>IF(OR(E54="processing",E54="executing",E54="pending"),IF(AP54="","Required aging date missing",IF(AQ54&gt;30,"Escalate &gt;30d",IF(AQ54&gt;14,"Watch &gt;14d","Within 14d"))),"Out of scope")</x:f>
        <x:v>Out of scope</x:v>
      </x:c>
    </x:row>
    <x:row r="55" ht="24" customHeight="1">
      <x:c r="A55" t="str">
        <x:v>d0967d7a-2fa4-4c39-bbdd-e72c29b361f7</x:v>
      </x:c>
      <x:c r="B55" t="str">
        <x:v>CSSP10215372</x:v>
      </x:c>
      <x:c r="C55" t="str">
        <x:v>izdihar.roslan@petronas.com</x:v>
      </x:c>
      <x:c r="D55" t="str">
        <x:v>decommission-cloud</x:v>
      </x:c>
      <x:c r="E55" t="str">
        <x:v>completed</x:v>
      </x:c>
      <x:c r="F55" t="n">
        <x:v>46031.31586847222</x:v>
      </x:c>
      <x:c r="G55" t="n">
        <x:v>46041.014904641204</x:v>
      </x:c>
      <x:c r="H55" t="n">
        <x:v>46031.31586847222</x:v>
      </x:c>
      <x:c r="I55" t="str">
        <x:v>FORTS</x:v>
      </x:c>
      <x:c r="J55" t="str">
        <x:v>AWS Cloud Migration - FORTS</x:v>
      </x:c>
      <x:c r="K55" t="str">
        <x:v>full</x:v>
      </x:c>
      <x:c r="L55" t="str">
        <x:v>DCOM202601094c5</x:v>
      </x:c>
      <x:c r="M55" t="str">
        <x:v>mkhiri.msharif@petronas.com.my</x:v>
      </x:c>
      <x:c r="N55"/>
      <x:c r="O55"/>
      <x:c r="P55" t="str">
        <x:v>As communicated in attached email</x:v>
      </x:c>
      <x:c r="Q55" t="str">
        <x:v>2W</x:v>
      </x:c>
      <x:c r="R55" t="str">
        <x:v>Not in Used</x:v>
      </x:c>
      <x:c r="S55"/>
      <x:c r="T55" t="str">
        <x:v>approved</x:v>
      </x:c>
      <x:c r="U55" t="str">
        <x:v>izdihar.roslan@petronas.com</x:v>
      </x:c>
      <x:c r="V55" t="n">
        <x:v>46031.31632521991</x:v>
      </x:c>
      <x:c r="W55" t="str">
        <x:v>Full decomission</x:v>
      </x:c>
      <x:c r="X55" t="str">
        <x:v>approved</x:v>
      </x:c>
      <x:c r="Y55" t="str">
        <x:v>mkhiri.msharif@petronas.com</x:v>
      </x:c>
      <x:c r="Z55" t="n">
        <x:v>46031.31904798611</x:v>
      </x:c>
      <x:c r="AA55" t="str">
        <x:v>Approced. Data has been backup</x:v>
      </x:c>
      <x:c r="AB55" t="str">
        <x:v>approved</x:v>
      </x:c>
      <x:c r="AC55" t="str">
        <x:v>azwan.badari@petronas.com</x:v>
      </x:c>
      <x:c r="AD55" t="n">
        <x:v>46036.36346202546</x:v>
      </x:c>
      <x:c r="AE55" t="str">
        <x:v>Decommission FORTS under code 00915_117</x:v>
      </x:c>
      <x:c r="AF55" t="str">
        <x:v>approved</x:v>
      </x:c>
      <x:c r="AG55" t="str">
        <x:v>azwan.badari@petronas.com</x:v>
      </x:c>
      <x:c r="AH55" t="n">
        <x:v>46041.014904641204</x:v>
      </x:c>
      <x:c r="AI55" t="str">
        <x:v>Completed</x:v>
      </x:c>
      <x:c r="AJ55" t="str">
        <x:v>A-000321</x:v>
      </x:c>
      <x:c r="AK55" t="str">
        <x:v>00915_117</x:v>
      </x:c>
      <x:c r="AL55" t="str">
        <x:v>M</x:v>
      </x:c>
      <x:c r="AM55" t="str">
        <x:v>REQ000007815636</x:v>
      </x:c>
      <x:c r="AN55" t="str">
        <x:v>disposal</x:v>
      </x:c>
      <x:c r="AO55" t="n">
        <x:v>0</x:v>
      </x:c>
      <x:c r="AP55" s="23" t="str">
        <x:f>IF(E55="processing",IF(Z55="","",IF(ISNUMBER(Z55),INT(Z55),DATE(VALUE(LEFT(Z55,4)),VALUE(MID(Z55,6,2)),VALUE(MID(Z55,9,2))))),IF(OR(E55="executing",E55="pending"),IF(AD55="","",IF(ISNUMBER(AD55),INT(AD55),DATE(VALUE(LEFT(AD55,4)),VALUE(MID(AD55,6,2)),VALUE(MID(AD55,9,2))))),""))</x:f>
      </x:c>
      <x:c r="AQ55" s="24" t="str">
        <x:f>IF(AP55="","",INT('Configuration'!$B$4)-AP55)</x:f>
      </x:c>
      <x:c r="AR55" s="25" t="str">
        <x:f>IF(AP55="","Missing Required Date",IF(AQ55&lt;0,"Future Date",IF(AQ55=0,"0 days",IF(AQ55&lt;=2,"1-2 days",IF(AQ55&lt;=7,"3-7 days",IF(AQ55&lt;=14,"8-14 days",IF(AQ55&lt;=30,"15-30 days",IF(AQ55&lt;=60,"31-60 days",IF(AQ55&lt;=70,"61-70 days","71+ days")))))))))</x:f>
        <x:v>Missing Required Date</x:v>
      </x:c>
      <x:c r="AS55" s="25" t="str">
        <x:f>IF(OR(E55="processing",E55="executing",E55="pending"),IF(AP55="","Required aging date missing",IF(AQ55&gt;30,"Escalate &gt;30d",IF(AQ55&gt;14,"Watch &gt;14d","Within 14d"))),"Out of scope")</x:f>
        <x:v>Out of scope</x:v>
      </x:c>
    </x:row>
    <x:row r="56" ht="24" customHeight="1">
      <x:c r="A56" t="str">
        <x:v>fe23029d-5099-4b04-b757-7557c66cb686</x:v>
      </x:c>
      <x:c r="B56" t="str">
        <x:v>CSSP10783734</x:v>
      </x:c>
      <x:c r="C56" t="str">
        <x:v>izdihar.roslan@petronas.com</x:v>
      </x:c>
      <x:c r="D56" t="str">
        <x:v>decommission-cloud</x:v>
      </x:c>
      <x:c r="E56" t="str">
        <x:v>cancelled</x:v>
      </x:c>
      <x:c r="F56" t="n">
        <x:v>46031.32259686343</x:v>
      </x:c>
      <x:c r="G56" t="n">
        <x:v>46051.19490336806</x:v>
      </x:c>
      <x:c r="H56" t="n">
        <x:v>46031.32259686343</x:v>
      </x:c>
      <x:c r="I56" t="str">
        <x:v>MyProcure</x:v>
      </x:c>
      <x:c r="J56" t="str">
        <x:v>Procurement Innovation Through Automation And Procurement Marketplace</x:v>
      </x:c>
      <x:c r="K56" t="str">
        <x:v>partial</x:v>
      </x:c>
      <x:c r="L56"/>
      <x:c r="M56" t="str">
        <x:v>sazali.mokhtar@petronas.com</x:v>
      </x:c>
      <x:c r="N56"/>
      <x:c r="O56"/>
      <x:c r="P56" t="str">
        <x:v>Cloud Repatriation - To decommission old resources in Singapore region due to completed migration in MY region</x:v>
      </x:c>
      <x:c r="Q56" t="str">
        <x:v>2W</x:v>
      </x:c>
      <x:c r="R56" t="str">
        <x:v>Cloud Migration</x:v>
      </x:c>
      <x:c r="S56"/>
      <x:c r="T56" t="str">
        <x:v>rejected</x:v>
      </x:c>
      <x:c r="U56" t="str">
        <x:v>azwan.badari@petronas.com</x:v>
      </x:c>
      <x:c r="V56" t="n">
        <x:v>46051.19490336806</x:v>
      </x:c>
      <x:c r="W56" t="str">
        <x:v>Cancelled</x:v>
      </x:c>
      <x:c r="X56"/>
      <x:c r="Y56" t="str">
        <x:v>sazali.mokhtar@petronas.com</x:v>
      </x:c>
      <x:c r="Z56"/>
      <x:c r="AA56"/>
      <x:c r="AB56"/>
      <x:c r="AC56" t="str">
        <x:v>CCoE Business</x:v>
      </x:c>
      <x:c r="AD56"/>
      <x:c r="AE56"/>
      <x:c r="AF56"/>
      <x:c r="AG56" t="str">
        <x:v>CCoE Operations</x:v>
      </x:c>
      <x:c r="AH56"/>
      <x:c r="AI56"/>
      <x:c r="AJ56" t="str">
        <x:v>A-000490</x:v>
      </x:c>
      <x:c r="AK56" t="n">
        <x:v>4343</x:v>
      </x:c>
      <x:c r="AL56"/>
      <x:c r="AM56"/>
      <x:c r="AN56" t="str">
        <x:v>noretention</x:v>
      </x:c>
      <x:c r="AO56" t="n">
        <x:v>0</x:v>
      </x:c>
      <x:c r="AP56" s="23" t="str">
        <x:f>IF(E56="processing",IF(Z56="","",IF(ISNUMBER(Z56),INT(Z56),DATE(VALUE(LEFT(Z56,4)),VALUE(MID(Z56,6,2)),VALUE(MID(Z56,9,2))))),IF(OR(E56="executing",E56="pending"),IF(AD56="","",IF(ISNUMBER(AD56),INT(AD56),DATE(VALUE(LEFT(AD56,4)),VALUE(MID(AD56,6,2)),VALUE(MID(AD56,9,2))))),""))</x:f>
      </x:c>
      <x:c r="AQ56" s="24" t="str">
        <x:f>IF(AP56="","",INT('Configuration'!$B$4)-AP56)</x:f>
      </x:c>
      <x:c r="AR56" s="25" t="str">
        <x:f>IF(AP56="","Missing Required Date",IF(AQ56&lt;0,"Future Date",IF(AQ56=0,"0 days",IF(AQ56&lt;=2,"1-2 days",IF(AQ56&lt;=7,"3-7 days",IF(AQ56&lt;=14,"8-14 days",IF(AQ56&lt;=30,"15-30 days",IF(AQ56&lt;=60,"31-60 days",IF(AQ56&lt;=70,"61-70 days","71+ days")))))))))</x:f>
        <x:v>Missing Required Date</x:v>
      </x:c>
      <x:c r="AS56" s="25" t="str">
        <x:f>IF(OR(E56="processing",E56="executing",E56="pending"),IF(AP56="","Required aging date missing",IF(AQ56&gt;30,"Escalate &gt;30d",IF(AQ56&gt;14,"Watch &gt;14d","Within 14d"))),"Out of scope")</x:f>
        <x:v>Out of scope</x:v>
      </x:c>
    </x:row>
    <x:row r="57" ht="24" customHeight="1">
      <x:c r="A57" t="str">
        <x:v>8d44e34e-b191-49d0-9af6-a21890477bbc</x:v>
      </x:c>
      <x:c r="B57" t="str">
        <x:v>CSSP10466320</x:v>
      </x:c>
      <x:c r="C57" t="str">
        <x:v>izdihar.roslan@petronas.com</x:v>
      </x:c>
      <x:c r="D57" t="str">
        <x:v>decommission-cloud</x:v>
      </x:c>
      <x:c r="E57" t="str">
        <x:v>cancelled</x:v>
      </x:c>
      <x:c r="F57" t="n">
        <x:v>46031.323940821756</x:v>
      </x:c>
      <x:c r="G57" t="n">
        <x:v>46051.19483211805</x:v>
      </x:c>
      <x:c r="H57" t="n">
        <x:v>46031.323940821756</x:v>
      </x:c>
      <x:c r="I57" t="str">
        <x:v>MyProcure</x:v>
      </x:c>
      <x:c r="J57" t="str">
        <x:v>Procurement Innovation Through Automation And Procurement Marketplace</x:v>
      </x:c>
      <x:c r="K57" t="str">
        <x:v>partial</x:v>
      </x:c>
      <x:c r="L57"/>
      <x:c r="M57" t="str">
        <x:v>sazali.mokhtar@petronas.com</x:v>
      </x:c>
      <x:c r="N57"/>
      <x:c r="O57"/>
      <x:c r="P57" t="str">
        <x:v>Cloud Repatriation - To decommission old resources in Singapore region due to completed migration in MY region</x:v>
      </x:c>
      <x:c r="Q57" t="str">
        <x:v>2W</x:v>
      </x:c>
      <x:c r="R57" t="str">
        <x:v>Cloud Migration</x:v>
      </x:c>
      <x:c r="S57"/>
      <x:c r="T57" t="str">
        <x:v>rejected</x:v>
      </x:c>
      <x:c r="U57" t="str">
        <x:v>azwan.badari@petronas.com</x:v>
      </x:c>
      <x:c r="V57" t="n">
        <x:v>46051.19483212963</x:v>
      </x:c>
      <x:c r="W57" t="str">
        <x:v>Cancelled</x:v>
      </x:c>
      <x:c r="X57"/>
      <x:c r="Y57" t="str">
        <x:v>sazali.mokhtar@petronas.com</x:v>
      </x:c>
      <x:c r="Z57"/>
      <x:c r="AA57"/>
      <x:c r="AB57"/>
      <x:c r="AC57" t="str">
        <x:v>CCoE Business</x:v>
      </x:c>
      <x:c r="AD57"/>
      <x:c r="AE57"/>
      <x:c r="AF57"/>
      <x:c r="AG57" t="str">
        <x:v>CCoE Operations</x:v>
      </x:c>
      <x:c r="AH57"/>
      <x:c r="AI57"/>
      <x:c r="AJ57" t="str">
        <x:v>A-000490</x:v>
      </x:c>
      <x:c r="AK57" t="n">
        <x:v>4343</x:v>
      </x:c>
      <x:c r="AL57"/>
      <x:c r="AM57"/>
      <x:c r="AN57" t="str">
        <x:v>noretention</x:v>
      </x:c>
      <x:c r="AO57" t="n">
        <x:v>0</x:v>
      </x:c>
      <x:c r="AP57" s="23" t="str">
        <x:f>IF(E57="processing",IF(Z57="","",IF(ISNUMBER(Z57),INT(Z57),DATE(VALUE(LEFT(Z57,4)),VALUE(MID(Z57,6,2)),VALUE(MID(Z57,9,2))))),IF(OR(E57="executing",E57="pending"),IF(AD57="","",IF(ISNUMBER(AD57),INT(AD57),DATE(VALUE(LEFT(AD57,4)),VALUE(MID(AD57,6,2)),VALUE(MID(AD57,9,2))))),""))</x:f>
      </x:c>
      <x:c r="AQ57" s="24" t="str">
        <x:f>IF(AP57="","",INT('Configuration'!$B$4)-AP57)</x:f>
      </x:c>
      <x:c r="AR57" s="25" t="str">
        <x:f>IF(AP57="","Missing Required Date",IF(AQ57&lt;0,"Future Date",IF(AQ57=0,"0 days",IF(AQ57&lt;=2,"1-2 days",IF(AQ57&lt;=7,"3-7 days",IF(AQ57&lt;=14,"8-14 days",IF(AQ57&lt;=30,"15-30 days",IF(AQ57&lt;=60,"31-60 days",IF(AQ57&lt;=70,"61-70 days","71+ days")))))))))</x:f>
        <x:v>Missing Required Date</x:v>
      </x:c>
      <x:c r="AS57" s="25" t="str">
        <x:f>IF(OR(E57="processing",E57="executing",E57="pending"),IF(AP57="","Required aging date missing",IF(AQ57&gt;30,"Escalate &gt;30d",IF(AQ57&gt;14,"Watch &gt;14d","Within 14d"))),"Out of scope")</x:f>
        <x:v>Out of scope</x:v>
      </x:c>
    </x:row>
    <x:row r="58" ht="24" customHeight="1">
      <x:c r="A58" t="str">
        <x:v>b4d3c314-6ea6-4c32-b1b9-32e033e4544a</x:v>
      </x:c>
      <x:c r="B58" t="str">
        <x:v>CSSP10764031</x:v>
      </x:c>
      <x:c r="C58" t="str">
        <x:v>izdihar.roslan@petronas.com</x:v>
      </x:c>
      <x:c r="D58" t="str">
        <x:v>decommission-cloud</x:v>
      </x:c>
      <x:c r="E58" t="str">
        <x:v>cancelled</x:v>
      </x:c>
      <x:c r="F58" t="n">
        <x:v>46031.32512898148</x:v>
      </x:c>
      <x:c r="G58" t="n">
        <x:v>46219.25947127315</x:v>
      </x:c>
      <x:c r="H58" t="n">
        <x:v>46031.32512898148</x:v>
      </x:c>
      <x:c r="I58" t="str">
        <x:v>MyProcure</x:v>
      </x:c>
      <x:c r="J58" t="str">
        <x:v>Procurement Innovation Through Automation And Procurement Marketplace</x:v>
      </x:c>
      <x:c r="K58" t="str">
        <x:v>partial</x:v>
      </x:c>
      <x:c r="L58"/>
      <x:c r="M58" t="str">
        <x:v>sazali.mokhtar@petronas.com</x:v>
      </x:c>
      <x:c r="N58"/>
      <x:c r="O58"/>
      <x:c r="P58" t="str">
        <x:v>Cloud Repatriation - To decommission old resources in Singapore region due to completed migration in MY region</x:v>
      </x:c>
      <x:c r="Q58" t="str">
        <x:v>2W</x:v>
      </x:c>
      <x:c r="R58" t="str">
        <x:v>Cloud Migration</x:v>
      </x:c>
      <x:c r="S58"/>
      <x:c r="T58" t="str">
        <x:v>rejected</x:v>
      </x:c>
      <x:c r="U58" t="str">
        <x:v>izdihar.roslan@petronas.com</x:v>
      </x:c>
      <x:c r="V58" t="n">
        <x:v>46219.25947127315</x:v>
      </x:c>
      <x:c r="W58"/>
      <x:c r="X58"/>
      <x:c r="Y58" t="str">
        <x:v>sazali.mokhtar@petronas.com</x:v>
      </x:c>
      <x:c r="Z58"/>
      <x:c r="AA58"/>
      <x:c r="AB58"/>
      <x:c r="AC58" t="str">
        <x:v>CCoE Business</x:v>
      </x:c>
      <x:c r="AD58"/>
      <x:c r="AE58"/>
      <x:c r="AF58"/>
      <x:c r="AG58" t="str">
        <x:v>CCoE Operations</x:v>
      </x:c>
      <x:c r="AH58"/>
      <x:c r="AI58"/>
      <x:c r="AJ58" t="str">
        <x:v>A-000490</x:v>
      </x:c>
      <x:c r="AK58" t="n">
        <x:v>2800</x:v>
      </x:c>
      <x:c r="AL58"/>
      <x:c r="AM58"/>
      <x:c r="AN58" t="str">
        <x:v>noretention</x:v>
      </x:c>
      <x:c r="AO58" t="n">
        <x:v>0</x:v>
      </x:c>
      <x:c r="AP58" s="23" t="str">
        <x:f>IF(E58="processing",IF(Z58="","",IF(ISNUMBER(Z58),INT(Z58),DATE(VALUE(LEFT(Z58,4)),VALUE(MID(Z58,6,2)),VALUE(MID(Z58,9,2))))),IF(OR(E58="executing",E58="pending"),IF(AD58="","",IF(ISNUMBER(AD58),INT(AD58),DATE(VALUE(LEFT(AD58,4)),VALUE(MID(AD58,6,2)),VALUE(MID(AD58,9,2))))),""))</x:f>
      </x:c>
      <x:c r="AQ58" s="24" t="str">
        <x:f>IF(AP58="","",INT('Configuration'!$B$4)-AP58)</x:f>
      </x:c>
      <x:c r="AR58" s="25" t="str">
        <x:f>IF(AP58="","Missing Required Date",IF(AQ58&lt;0,"Future Date",IF(AQ58=0,"0 days",IF(AQ58&lt;=2,"1-2 days",IF(AQ58&lt;=7,"3-7 days",IF(AQ58&lt;=14,"8-14 days",IF(AQ58&lt;=30,"15-30 days",IF(AQ58&lt;=60,"31-60 days",IF(AQ58&lt;=70,"61-70 days","71+ days")))))))))</x:f>
        <x:v>Missing Required Date</x:v>
      </x:c>
      <x:c r="AS58" s="25" t="str">
        <x:f>IF(OR(E58="processing",E58="executing",E58="pending"),IF(AP58="","Required aging date missing",IF(AQ58&gt;30,"Escalate &gt;30d",IF(AQ58&gt;14,"Watch &gt;14d","Within 14d"))),"Out of scope")</x:f>
        <x:v>Out of scope</x:v>
      </x:c>
    </x:row>
    <x:row r="59" ht="24" customHeight="1">
      <x:c r="A59" t="str">
        <x:v>4d27c2ff-c345-45bf-9411-d4aae3fb161a</x:v>
      </x:c>
      <x:c r="B59" t="str">
        <x:v>CSSP10618851</x:v>
      </x:c>
      <x:c r="C59" t="str">
        <x:v>izdihar.roslan@petronas.com</x:v>
      </x:c>
      <x:c r="D59" t="str">
        <x:v>decommission-cloud</x:v>
      </x:c>
      <x:c r="E59" t="str">
        <x:v>cancelled</x:v>
      </x:c>
      <x:c r="F59" t="n">
        <x:v>46031.32594293982</x:v>
      </x:c>
      <x:c r="G59" t="n">
        <x:v>46051.19474792824</x:v>
      </x:c>
      <x:c r="H59" t="n">
        <x:v>46031.32594293982</x:v>
      </x:c>
      <x:c r="I59" t="str">
        <x:v>MyProcure</x:v>
      </x:c>
      <x:c r="J59" t="str">
        <x:v>Procurement Innovation Through Automation And Procurement Marketplace</x:v>
      </x:c>
      <x:c r="K59" t="str">
        <x:v>partial</x:v>
      </x:c>
      <x:c r="L59"/>
      <x:c r="M59" t="str">
        <x:v>sazali.mokhtar@petronas.com</x:v>
      </x:c>
      <x:c r="N59"/>
      <x:c r="O59"/>
      <x:c r="P59" t="str">
        <x:v>Cloud Repatriation - To decommission old resources in Singapore region due to completed migration in MY region</x:v>
      </x:c>
      <x:c r="Q59" t="str">
        <x:v>2W</x:v>
      </x:c>
      <x:c r="R59" t="str">
        <x:v>Cloud Migration</x:v>
      </x:c>
      <x:c r="S59"/>
      <x:c r="T59" t="str">
        <x:v>rejected</x:v>
      </x:c>
      <x:c r="U59" t="str">
        <x:v>azwan.badari@petronas.com</x:v>
      </x:c>
      <x:c r="V59" t="n">
        <x:v>46051.19474792824</x:v>
      </x:c>
      <x:c r="W59" t="str">
        <x:v>Cancelled</x:v>
      </x:c>
      <x:c r="X59"/>
      <x:c r="Y59" t="str">
        <x:v>sazali.mokhtar@petronas.com</x:v>
      </x:c>
      <x:c r="Z59"/>
      <x:c r="AA59"/>
      <x:c r="AB59"/>
      <x:c r="AC59" t="str">
        <x:v>CCoE Business</x:v>
      </x:c>
      <x:c r="AD59"/>
      <x:c r="AE59"/>
      <x:c r="AF59"/>
      <x:c r="AG59" t="str">
        <x:v>CCoE Operations</x:v>
      </x:c>
      <x:c r="AH59"/>
      <x:c r="AI59"/>
      <x:c r="AJ59" t="str">
        <x:v>A-000490</x:v>
      </x:c>
      <x:c r="AK59" t="n">
        <x:v>4343</x:v>
      </x:c>
      <x:c r="AL59"/>
      <x:c r="AM59"/>
      <x:c r="AN59" t="str">
        <x:v>noretention</x:v>
      </x:c>
      <x:c r="AO59" t="n">
        <x:v>0</x:v>
      </x:c>
      <x:c r="AP59" s="23" t="str">
        <x:f>IF(E59="processing",IF(Z59="","",IF(ISNUMBER(Z59),INT(Z59),DATE(VALUE(LEFT(Z59,4)),VALUE(MID(Z59,6,2)),VALUE(MID(Z59,9,2))))),IF(OR(E59="executing",E59="pending"),IF(AD59="","",IF(ISNUMBER(AD59),INT(AD59),DATE(VALUE(LEFT(AD59,4)),VALUE(MID(AD59,6,2)),VALUE(MID(AD59,9,2))))),""))</x:f>
      </x:c>
      <x:c r="AQ59" s="24" t="str">
        <x:f>IF(AP59="","",INT('Configuration'!$B$4)-AP59)</x:f>
      </x:c>
      <x:c r="AR59" s="25" t="str">
        <x:f>IF(AP59="","Missing Required Date",IF(AQ59&lt;0,"Future Date",IF(AQ59=0,"0 days",IF(AQ59&lt;=2,"1-2 days",IF(AQ59&lt;=7,"3-7 days",IF(AQ59&lt;=14,"8-14 days",IF(AQ59&lt;=30,"15-30 days",IF(AQ59&lt;=60,"31-60 days",IF(AQ59&lt;=70,"61-70 days","71+ days")))))))))</x:f>
        <x:v>Missing Required Date</x:v>
      </x:c>
      <x:c r="AS59" s="25" t="str">
        <x:f>IF(OR(E59="processing",E59="executing",E59="pending"),IF(AP59="","Required aging date missing",IF(AQ59&gt;30,"Escalate &gt;30d",IF(AQ59&gt;14,"Watch &gt;14d","Within 14d"))),"Out of scope")</x:f>
        <x:v>Out of scope</x:v>
      </x:c>
    </x:row>
    <x:row r="60" ht="24" customHeight="1">
      <x:c r="A60" t="str">
        <x:v>5a6a6648-d1fc-46cb-8f5d-a053dd4e3fc9</x:v>
      </x:c>
      <x:c r="B60" t="str">
        <x:v>CSSP10913240</x:v>
      </x:c>
      <x:c r="C60" t="str">
        <x:v>izdihar.roslan@petronas.com</x:v>
      </x:c>
      <x:c r="D60" t="str">
        <x:v>decommission-cloud</x:v>
      </x:c>
      <x:c r="E60" t="str">
        <x:v>completed</x:v>
      </x:c>
      <x:c r="F60" t="n">
        <x:v>46031.327029548615</x:v>
      </x:c>
      <x:c r="G60" t="n">
        <x:v>46047.731811516205</x:v>
      </x:c>
      <x:c r="H60" t="n">
        <x:v>46031.328305752315</x:v>
      </x:c>
      <x:c r="I60" t="str">
        <x:v>MyProcure</x:v>
      </x:c>
      <x:c r="J60" t="str">
        <x:v>Procurement Innovation Through Automation And Procurement Marketplace</x:v>
      </x:c>
      <x:c r="K60" t="str">
        <x:v>partial</x:v>
      </x:c>
      <x:c r="L60"/>
      <x:c r="M60" t="str">
        <x:v>sazali.mokhtar@petronas.com</x:v>
      </x:c>
      <x:c r="N60"/>
      <x:c r="O60"/>
      <x:c r="P60" t="str">
        <x:v>Cloud Repatriation - To decommission old resources in Singapore region due to completed migration in MY region</x:v>
      </x:c>
      <x:c r="Q60" t="str">
        <x:v>2W</x:v>
      </x:c>
      <x:c r="R60" t="str">
        <x:v>Cloud Migration</x:v>
      </x:c>
      <x:c r="S60"/>
      <x:c r="T60" t="str">
        <x:v>approved</x:v>
      </x:c>
      <x:c r="U60" t="str">
        <x:v>izdihar.roslan@petronas.com</x:v>
      </x:c>
      <x:c r="V60" t="n">
        <x:v>46031.333133796295</x:v>
      </x:c>
      <x:c r="W60" t="str">
        <x:v>To decom AWS SG Resources for Myprocure as in attached excel file.</x:v>
      </x:c>
      <x:c r="X60" t="str">
        <x:v>approved</x:v>
      </x:c>
      <x:c r="Y60" t="str">
        <x:v>sazali.mokhtar@petronas.com</x:v>
      </x:c>
      <x:c r="Z60" t="n">
        <x:v>46042.11500907408</x:v>
      </x:c>
      <x:c r="AA60" t="str">
        <x:v>Cloud Repatriation - To decommission old resources in Singapore region due to completed migration in MY region</x:v>
      </x:c>
      <x:c r="AB60" t="str">
        <x:v>approved</x:v>
      </x:c>
      <x:c r="AC60" t="str">
        <x:v>azwan.badari@petronas.com</x:v>
      </x:c>
      <x:c r="AD60" t="n">
        <x:v>46042.11935061343</x:v>
      </x:c>
      <x:c r="AE60" t="str">
        <x:v>Cloud Repatriation - Decomm 04343 in SG</x:v>
      </x:c>
      <x:c r="AF60" t="str">
        <x:v>approved</x:v>
      </x:c>
      <x:c r="AG60" t="str">
        <x:v>azwan.badari@petronas.com</x:v>
      </x:c>
      <x:c r="AH60" t="n">
        <x:v>46047.731811516205</x:v>
      </x:c>
      <x:c r="AI60" t="str">
        <x:v>Completed</x:v>
      </x:c>
      <x:c r="AJ60" t="str">
        <x:v>A-000490</x:v>
      </x:c>
      <x:c r="AK60" t="n">
        <x:v>4343</x:v>
      </x:c>
      <x:c r="AL60" t="str">
        <x:v>M</x:v>
      </x:c>
      <x:c r="AM60" t="str">
        <x:v>REQ000007828187</x:v>
      </x:c>
      <x:c r="AN60" t="str">
        <x:v>noretention</x:v>
      </x:c>
      <x:c r="AO60" t="n">
        <x:v>0</x:v>
      </x:c>
      <x:c r="AP60" s="23" t="str">
        <x:f>IF(E60="processing",IF(Z60="","",IF(ISNUMBER(Z60),INT(Z60),DATE(VALUE(LEFT(Z60,4)),VALUE(MID(Z60,6,2)),VALUE(MID(Z60,9,2))))),IF(OR(E60="executing",E60="pending"),IF(AD60="","",IF(ISNUMBER(AD60),INT(AD60),DATE(VALUE(LEFT(AD60,4)),VALUE(MID(AD60,6,2)),VALUE(MID(AD60,9,2))))),""))</x:f>
      </x:c>
      <x:c r="AQ60" s="24" t="str">
        <x:f>IF(AP60="","",INT('Configuration'!$B$4)-AP60)</x:f>
      </x:c>
      <x:c r="AR60" s="25" t="str">
        <x:f>IF(AP60="","Missing Required Date",IF(AQ60&lt;0,"Future Date",IF(AQ60=0,"0 days",IF(AQ60&lt;=2,"1-2 days",IF(AQ60&lt;=7,"3-7 days",IF(AQ60&lt;=14,"8-14 days",IF(AQ60&lt;=30,"15-30 days",IF(AQ60&lt;=60,"31-60 days",IF(AQ60&lt;=70,"61-70 days","71+ days")))))))))</x:f>
        <x:v>Missing Required Date</x:v>
      </x:c>
      <x:c r="AS60" s="25" t="str">
        <x:f>IF(OR(E60="processing",E60="executing",E60="pending"),IF(AP60="","Required aging date missing",IF(AQ60&gt;30,"Escalate &gt;30d",IF(AQ60&gt;14,"Watch &gt;14d","Within 14d"))),"Out of scope")</x:f>
        <x:v>Out of scope</x:v>
      </x:c>
    </x:row>
    <x:row r="61" ht="24" customHeight="1">
      <x:c r="A61" t="str">
        <x:v>9355a540-93bd-43a2-a7c5-cc43fb898fb9</x:v>
      </x:c>
      <x:c r="B61" t="str">
        <x:v>CSSP10212506</x:v>
      </x:c>
      <x:c r="C61" t="str">
        <x:v>wanmiqbal.wanmhdnoor@petronas.com</x:v>
      </x:c>
      <x:c r="D61" t="str">
        <x:v>decommission-cloud</x:v>
      </x:c>
      <x:c r="E61" t="str">
        <x:v>completed</x:v>
      </x:c>
      <x:c r="F61" t="n">
        <x:v>46034.14629664352</x:v>
      </x:c>
      <x:c r="G61" t="n">
        <x:v>46042.076999467594</x:v>
      </x:c>
      <x:c r="H61" t="n">
        <x:v>46034.14629664352</x:v>
      </x:c>
      <x:c r="I61" t="str">
        <x:v>Upstream Real Time Data Program - URTD</x:v>
      </x:c>
      <x:c r="J61" t="str">
        <x:v>Installation of Upstream Real Time Data Program (URTD) for Centre of Excellence, PCSB</x:v>
      </x:c>
      <x:c r="K61" t="str">
        <x:v>partial</x:v>
      </x:c>
      <x:c r="L61"/>
      <x:c r="M61" t="str">
        <x:v>mohammadsani.johari@petronas.com</x:v>
      </x:c>
      <x:c r="N61" t="str">
        <x:v>NA</x:v>
      </x:c>
      <x:c r="O61"/>
      <x:c r="P61" t="str">
        <x:v>Decom only storage account</x:v>
      </x:c>
      <x:c r="Q61" t="str">
        <x:v>3M</x:v>
      </x:c>
      <x:c r="R61" t="str">
        <x:v>Not in Used</x:v>
      </x:c>
      <x:c r="S61"/>
      <x:c r="T61" t="str">
        <x:v>approved</x:v>
      </x:c>
      <x:c r="U61" t="str">
        <x:v>wanmiqbal.wanmhdnoor@petronas.com</x:v>
      </x:c>
      <x:c r="V61" t="n">
        <x:v>46034.14985767361</x:v>
      </x:c>
      <x:c r="W61" t="str">
        <x:v>To decomm only storage account. </x:v>
      </x:c>
      <x:c r="X61" t="str">
        <x:v>approved</x:v>
      </x:c>
      <x:c r="Y61" t="str">
        <x:v>mohammadsani.johari@petronas.com</x:v>
      </x:c>
      <x:c r="Z61" t="n">
        <x:v>46041.164737824074</x:v>
      </x:c>
      <x:c r="AA61" t="str">
        <x:v>Approved, as per Indy500 requirement.</x:v>
      </x:c>
      <x:c r="AB61" t="str">
        <x:v>approved</x:v>
      </x:c>
      <x:c r="AC61" t="str">
        <x:v>azwan.badari@petronas.com</x:v>
      </x:c>
      <x:c r="AD61" t="n">
        <x:v>46041.21302689815</x:v>
      </x:c>
      <x:c r="AE61" t="str">
        <x:v>Decommission ptsg1urtd2func01strg only</x:v>
      </x:c>
      <x:c r="AF61" t="str">
        <x:v>approved</x:v>
      </x:c>
      <x:c r="AG61" t="str">
        <x:v>azlisham.md@petronas.com</x:v>
      </x:c>
      <x:c r="AH61" t="n">
        <x:v>46042.07699947917</x:v>
      </x:c>
      <x:c r="AI61" t="str">
        <x:v>The decommission request has been completed, and the status is now updated accordingly. Kindly verify from your end and confirm once reviewed.
</x:v>
      </x:c>
      <x:c r="AJ61" t="str">
        <x:v>A-000827</x:v>
      </x:c>
      <x:c r="AK61" t="n">
        <x:v>747</x:v>
      </x:c>
      <x:c r="AL61" t="str">
        <x:v>S</x:v>
      </x:c>
      <x:c r="AM61" t="str">
        <x:v>REQ000007825797</x:v>
      </x:c>
      <x:c r="AN61" t="str">
        <x:v>disposal</x:v>
      </x:c>
      <x:c r="AO61" t="n">
        <x:v>0</x:v>
      </x:c>
      <x:c r="AP61" s="23" t="str">
        <x:f>IF(E61="processing",IF(Z61="","",IF(ISNUMBER(Z61),INT(Z61),DATE(VALUE(LEFT(Z61,4)),VALUE(MID(Z61,6,2)),VALUE(MID(Z61,9,2))))),IF(OR(E61="executing",E61="pending"),IF(AD61="","",IF(ISNUMBER(AD61),INT(AD61),DATE(VALUE(LEFT(AD61,4)),VALUE(MID(AD61,6,2)),VALUE(MID(AD61,9,2))))),""))</x:f>
      </x:c>
      <x:c r="AQ61" s="24" t="str">
        <x:f>IF(AP61="","",INT('Configuration'!$B$4)-AP61)</x:f>
      </x:c>
      <x:c r="AR61" s="25" t="str">
        <x:f>IF(AP61="","Missing Required Date",IF(AQ61&lt;0,"Future Date",IF(AQ61=0,"0 days",IF(AQ61&lt;=2,"1-2 days",IF(AQ61&lt;=7,"3-7 days",IF(AQ61&lt;=14,"8-14 days",IF(AQ61&lt;=30,"15-30 days",IF(AQ61&lt;=60,"31-60 days",IF(AQ61&lt;=70,"61-70 days","71+ days")))))))))</x:f>
        <x:v>Missing Required Date</x:v>
      </x:c>
      <x:c r="AS61" s="25" t="str">
        <x:f>IF(OR(E61="processing",E61="executing",E61="pending"),IF(AP61="","Required aging date missing",IF(AQ61&gt;30,"Escalate &gt;30d",IF(AQ61&gt;14,"Watch &gt;14d","Within 14d"))),"Out of scope")</x:f>
        <x:v>Out of scope</x:v>
      </x:c>
    </x:row>
    <x:row r="62" ht="24" customHeight="1">
      <x:c r="A62" t="str">
        <x:v>e11ae033-64c5-4dc0-94b6-bbeef2b9f8d0</x:v>
      </x:c>
      <x:c r="B62" t="str">
        <x:v>CSSP10256227</x:v>
      </x:c>
      <x:c r="C62" t="str">
        <x:v>yenheung.yap@petronas.com</x:v>
      </x:c>
      <x:c r="D62" t="str">
        <x:v>decommission-cloud</x:v>
      </x:c>
      <x:c r="E62" t="str">
        <x:v>completed</x:v>
      </x:c>
      <x:c r="F62" t="n">
        <x:v>46038.08449648148</x:v>
      </x:c>
      <x:c r="G62" t="n">
        <x:v>46044.29190258102</x:v>
      </x:c>
      <x:c r="H62" t="n">
        <x:v>46038.08449648148</x:v>
      </x:c>
      <x:c r="I62" t="str">
        <x:v>Business Intelligence Reporting and Analytic - BIRA</x:v>
      </x:c>
      <x:c r="J62" t="str">
        <x:v>Cloud Migration- BIRA (Business Intelligence Reporting &amp; Analytic)</x:v>
      </x:c>
      <x:c r="K62" t="str">
        <x:v>partial</x:v>
      </x:c>
      <x:c r="L62"/>
      <x:c r="M62" t="str">
        <x:v>adi.razali@petronas.com</x:v>
      </x:c>
      <x:c r="N62"/>
      <x:c r="O62"/>
      <x:c r="P62" t="str">
        <x:v>Decom CCM Database only</x:v>
      </x:c>
      <x:c r="Q62" t="str">
        <x:v>3M</x:v>
      </x:c>
      <x:c r="R62" t="str">
        <x:v>Not in Used</x:v>
      </x:c>
      <x:c r="S62"/>
      <x:c r="T62" t="str">
        <x:v>approved</x:v>
      </x:c>
      <x:c r="U62" t="str">
        <x:v>yenheung.yap@petronas.com</x:v>
      </x:c>
      <x:c r="V62" t="n">
        <x:v>46038.08492267361</x:v>
      </x:c>
      <x:c r="W62" t="str">
        <x:v>decom CCM database only</x:v>
      </x:c>
      <x:c r="X62" t="str">
        <x:v>approved</x:v>
      </x:c>
      <x:c r="Y62" t="str">
        <x:v>adi.razali@petronas.com</x:v>
      </x:c>
      <x:c r="Z62" t="n">
        <x:v>46041.07835888889</x:v>
      </x:c>
      <x:c r="AA62" t="str">
        <x:v>As per planned by Eric Yap</x:v>
      </x:c>
      <x:c r="AB62" t="str">
        <x:v>approved</x:v>
      </x:c>
      <x:c r="AC62" t="str">
        <x:v>azwan.badari@petronas.com</x:v>
      </x:c>
      <x:c r="AD62" t="n">
        <x:v>46041.15176574074</x:v>
      </x:c>
      <x:c r="AE62" t="str">
        <x:v>Decommission database named, (backup 3 months)
CCMAppMart in PTSG-4BIRADB01.
CCMAppMart in PTSG-1BIRADBC2</x:v>
      </x:c>
      <x:c r="AF62" t="str">
        <x:v>approved</x:v>
      </x:c>
      <x:c r="AG62" t="str">
        <x:v>badri.shaharudin@petronas.com</x:v>
      </x:c>
      <x:c r="AH62" t="n">
        <x:v>46044.291902592595</x:v>
      </x:c>
      <x:c r="AI62" t="str">
        <x:v>CCMAppMart deleted</x:v>
      </x:c>
      <x:c r="AJ62" t="str">
        <x:v>A-000092</x:v>
      </x:c>
      <x:c r="AK62" t="str">
        <x:v>02421_15</x:v>
      </x:c>
      <x:c r="AL62" t="str">
        <x:v>M</x:v>
      </x:c>
      <x:c r="AM62" t="str">
        <x:v>REQ000007825744</x:v>
      </x:c>
      <x:c r="AN62" t="str">
        <x:v>retention</x:v>
      </x:c>
      <x:c r="AO62" t="n">
        <x:v>30</x:v>
      </x:c>
      <x:c r="AP62" s="23" t="str">
        <x:f>IF(E62="processing",IF(Z62="","",IF(ISNUMBER(Z62),INT(Z62),DATE(VALUE(LEFT(Z62,4)),VALUE(MID(Z62,6,2)),VALUE(MID(Z62,9,2))))),IF(OR(E62="executing",E62="pending"),IF(AD62="","",IF(ISNUMBER(AD62),INT(AD62),DATE(VALUE(LEFT(AD62,4)),VALUE(MID(AD62,6,2)),VALUE(MID(AD62,9,2))))),""))</x:f>
      </x:c>
      <x:c r="AQ62" s="24" t="str">
        <x:f>IF(AP62="","",INT('Configuration'!$B$4)-AP62)</x:f>
      </x:c>
      <x:c r="AR62" s="25" t="str">
        <x:f>IF(AP62="","Missing Required Date",IF(AQ62&lt;0,"Future Date",IF(AQ62=0,"0 days",IF(AQ62&lt;=2,"1-2 days",IF(AQ62&lt;=7,"3-7 days",IF(AQ62&lt;=14,"8-14 days",IF(AQ62&lt;=30,"15-30 days",IF(AQ62&lt;=60,"31-60 days",IF(AQ62&lt;=70,"61-70 days","71+ days")))))))))</x:f>
        <x:v>Missing Required Date</x:v>
      </x:c>
      <x:c r="AS62" s="25" t="str">
        <x:f>IF(OR(E62="processing",E62="executing",E62="pending"),IF(AP62="","Required aging date missing",IF(AQ62&gt;30,"Escalate &gt;30d",IF(AQ62&gt;14,"Watch &gt;14d","Within 14d"))),"Out of scope")</x:f>
        <x:v>Out of scope</x:v>
      </x:c>
    </x:row>
    <x:row r="63" ht="24" customHeight="1">
      <x:c r="A63" t="str">
        <x:v>6320ba63-3c83-4b37-b605-b4211b85dca9</x:v>
      </x:c>
      <x:c r="B63" t="str">
        <x:v>CSSP10721535</x:v>
      </x:c>
      <x:c r="C63" t="str">
        <x:v>rajila.vadakkalthund@petronas.com</x:v>
      </x:c>
      <x:c r="D63" t="str">
        <x:v>decommission-cloud</x:v>
      </x:c>
      <x:c r="E63" t="str">
        <x:v>rejected</x:v>
      </x:c>
      <x:c r="F63" t="n">
        <x:v>46041.1350996412</x:v>
      </x:c>
      <x:c r="G63" t="n">
        <x:v>46050.382592835645</x:v>
      </x:c>
      <x:c r="H63" t="n">
        <x:v>46041.1350996412</x:v>
      </x:c>
      <x:c r="I63" t="str">
        <x:v>Sitecom / Real time Operation - RTO</x:v>
      </x:c>
      <x:c r="J63" t="str">
        <x:v>SecOps of Development (Dev.) Chapter for Upstream Technology, Digital &amp; Innovation</x:v>
      </x:c>
      <x:c r="K63" t="str">
        <x:v>full</x:v>
      </x:c>
      <x:c r="L63" t="str">
        <x:v>DCOM20260119c60</x:v>
      </x:c>
      <x:c r="M63" t="str">
        <x:v>afiqah.aziz@petronas.com.my</x:v>
      </x:c>
      <x:c r="N63"/>
      <x:c r="O63"/>
      <x:c r="P63" t="str">
        <x:v>Sitecom has been replaced with Halvue application</x:v>
      </x:c>
      <x:c r="Q63" t="str">
        <x:v>12M</x:v>
      </x:c>
      <x:c r="R63" t="str">
        <x:v>Not in Used</x:v>
      </x:c>
      <x:c r="S63"/>
      <x:c r="T63" t="str">
        <x:v>approved</x:v>
      </x:c>
      <x:c r="U63" t="str">
        <x:v>rajila.vadakkalthund@petronas.com</x:v>
      </x:c>
      <x:c r="V63" t="n">
        <x:v>46043.2315634375</x:v>
      </x:c>
      <x:c r="W63" t="str">
        <x:v>Need to backup all resources and decom</x:v>
      </x:c>
      <x:c r="X63" t="str">
        <x:v>approved</x:v>
      </x:c>
      <x:c r="Y63" t="str">
        <x:v>afiqah.aziz@petronas.com</x:v>
      </x:c>
      <x:c r="Z63" t="n">
        <x:v>46050.31340309028</x:v>
      </x:c>
      <x:c r="AA63" t="str">
        <x:v>Agreed to decom as no further utilisation</x:v>
      </x:c>
      <x:c r="AB63" t="str">
        <x:v>rejected</x:v>
      </x:c>
      <x:c r="AC63" t="str">
        <x:v>azwan.badari@petronas.com</x:v>
      </x:c>
      <x:c r="AD63" t="n">
        <x:v>46050.382592835645</x:v>
      </x:c>
      <x:c r="AE63" t="str">
        <x:v>RG ptazsg-iac-daa-dev-rto-poc-rg and all resources in it already decommissioned under CSSP10728584.</x:v>
      </x:c>
      <x:c r="AF63"/>
      <x:c r="AG63" t="str">
        <x:v>CCoE Operations</x:v>
      </x:c>
      <x:c r="AH63"/>
      <x:c r="AI63"/>
      <x:c r="AJ63" t="str">
        <x:v>A-000766</x:v>
      </x:c>
      <x:c r="AK63" t="n">
        <x:v>4064</x:v>
      </x:c>
      <x:c r="AL63"/>
      <x:c r="AM63"/>
      <x:c r="AN63" t="str">
        <x:v>retention</x:v>
      </x:c>
      <x:c r="AO63" t="n">
        <x:v>365</x:v>
      </x:c>
      <x:c r="AP63" s="23" t="str">
        <x:f>IF(E63="processing",IF(Z63="","",IF(ISNUMBER(Z63),INT(Z63),DATE(VALUE(LEFT(Z63,4)),VALUE(MID(Z63,6,2)),VALUE(MID(Z63,9,2))))),IF(OR(E63="executing",E63="pending"),IF(AD63="","",IF(ISNUMBER(AD63),INT(AD63),DATE(VALUE(LEFT(AD63,4)),VALUE(MID(AD63,6,2)),VALUE(MID(AD63,9,2))))),""))</x:f>
      </x:c>
      <x:c r="AQ63" s="24" t="str">
        <x:f>IF(AP63="","",INT('Configuration'!$B$4)-AP63)</x:f>
      </x:c>
      <x:c r="AR63" s="25" t="str">
        <x:f>IF(AP63="","Missing Required Date",IF(AQ63&lt;0,"Future Date",IF(AQ63=0,"0 days",IF(AQ63&lt;=2,"1-2 days",IF(AQ63&lt;=7,"3-7 days",IF(AQ63&lt;=14,"8-14 days",IF(AQ63&lt;=30,"15-30 days",IF(AQ63&lt;=60,"31-60 days",IF(AQ63&lt;=70,"61-70 days","71+ days")))))))))</x:f>
        <x:v>Missing Required Date</x:v>
      </x:c>
      <x:c r="AS63" s="25" t="str">
        <x:f>IF(OR(E63="processing",E63="executing",E63="pending"),IF(AP63="","Required aging date missing",IF(AQ63&gt;30,"Escalate &gt;30d",IF(AQ63&gt;14,"Watch &gt;14d","Within 14d"))),"Out of scope")</x:f>
        <x:v>Out of scope</x:v>
      </x:c>
    </x:row>
    <x:row r="64" ht="24" customHeight="1">
      <x:c r="A64" t="str">
        <x:v>c4e0a46f-d841-4035-9b2f-e63a373218bd</x:v>
      </x:c>
      <x:c r="B64" t="str">
        <x:v>CSSP10715412</x:v>
      </x:c>
      <x:c r="C64" t="str">
        <x:v>rajila.vadakkalthund@petronas.com</x:v>
      </x:c>
      <x:c r="D64" t="str">
        <x:v>decommission-cloud</x:v>
      </x:c>
      <x:c r="E64" t="str">
        <x:v>cancelled</x:v>
      </x:c>
      <x:c r="F64" t="n">
        <x:v>46041.175281111115</x:v>
      </x:c>
      <x:c r="G64" t="n">
        <x:v>46042.253474386576</x:v>
      </x:c>
      <x:c r="H64" t="n">
        <x:v>46041.199167708335</x:v>
      </x:c>
      <x:c r="I64" t="str">
        <x:v>SiteCom and DrillScene Applications for Wells COE PETRON</x:v>
      </x:c>
      <x:c r="J64" t="str">
        <x:v>SiteCom and DrillScene Applications for Wells COE PETRON created for PRIVATECLOUD project record</x:v>
      </x:c>
      <x:c r="K64" t="str">
        <x:v>full</x:v>
      </x:c>
      <x:c r="L64" t="str">
        <x:v>DCOM20260119778</x:v>
      </x:c>
      <x:c r="M64" t="str">
        <x:v>afiqah.aziz@petronas.com.my</x:v>
      </x:c>
      <x:c r="N64"/>
      <x:c r="O64"/>
      <x:c r="P64" t="str">
        <x:v>Sitecom has been replaced with Halvue application</x:v>
      </x:c>
      <x:c r="Q64" t="str">
        <x:v>12M</x:v>
      </x:c>
      <x:c r="R64" t="str">
        <x:v>Not in Used</x:v>
      </x:c>
      <x:c r="S64"/>
      <x:c r="T64" t="str">
        <x:v>rejected</x:v>
      </x:c>
      <x:c r="U64" t="str">
        <x:v>rajila.vadakkalthund@petronas.com</x:v>
      </x:c>
      <x:c r="V64" t="n">
        <x:v>46042.25347440972</x:v>
      </x:c>
      <x:c r="W64"/>
      <x:c r="X64"/>
      <x:c r="Y64" t="str">
        <x:v>afiqah.aziz@petronas.com</x:v>
      </x:c>
      <x:c r="Z64"/>
      <x:c r="AA64"/>
      <x:c r="AB64"/>
      <x:c r="AC64" t="str">
        <x:v>CCoE Business</x:v>
      </x:c>
      <x:c r="AD64"/>
      <x:c r="AE64"/>
      <x:c r="AF64"/>
      <x:c r="AG64" t="str">
        <x:v>CCoE Business</x:v>
      </x:c>
      <x:c r="AH64"/>
      <x:c r="AI64"/>
      <x:c r="AJ64" t="str">
        <x:v>A-000236</x:v>
      </x:c>
      <x:c r="AK64" t="n">
        <x:v>10071</x:v>
      </x:c>
      <x:c r="AL64"/>
      <x:c r="AM64"/>
      <x:c r="AN64" t="str">
        <x:v>retention</x:v>
      </x:c>
      <x:c r="AO64"/>
      <x:c r="AP64" s="23" t="str">
        <x:f>IF(E64="processing",IF(Z64="","",IF(ISNUMBER(Z64),INT(Z64),DATE(VALUE(LEFT(Z64,4)),VALUE(MID(Z64,6,2)),VALUE(MID(Z64,9,2))))),IF(OR(E64="executing",E64="pending"),IF(AD64="","",IF(ISNUMBER(AD64),INT(AD64),DATE(VALUE(LEFT(AD64,4)),VALUE(MID(AD64,6,2)),VALUE(MID(AD64,9,2))))),""))</x:f>
      </x:c>
      <x:c r="AQ64" s="24" t="str">
        <x:f>IF(AP64="","",INT('Configuration'!$B$4)-AP64)</x:f>
      </x:c>
      <x:c r="AR64" s="25" t="str">
        <x:f>IF(AP64="","Missing Required Date",IF(AQ64&lt;0,"Future Date",IF(AQ64=0,"0 days",IF(AQ64&lt;=2,"1-2 days",IF(AQ64&lt;=7,"3-7 days",IF(AQ64&lt;=14,"8-14 days",IF(AQ64&lt;=30,"15-30 days",IF(AQ64&lt;=60,"31-60 days",IF(AQ64&lt;=70,"61-70 days","71+ days")))))))))</x:f>
        <x:v>Missing Required Date</x:v>
      </x:c>
      <x:c r="AS64" s="25" t="str">
        <x:f>IF(OR(E64="processing",E64="executing",E64="pending"),IF(AP64="","Required aging date missing",IF(AQ64&gt;30,"Escalate &gt;30d",IF(AQ64&gt;14,"Watch &gt;14d","Within 14d"))),"Out of scope")</x:f>
        <x:v>Out of scope</x:v>
      </x:c>
    </x:row>
    <x:row r="65" ht="24" customHeight="1">
      <x:c r="A65" t="str">
        <x:v>46ca1a48-c732-48b2-8cfd-bed3eff22d43</x:v>
      </x:c>
      <x:c r="B65" t="str">
        <x:v>CSSP10481206</x:v>
      </x:c>
      <x:c r="C65" t="str">
        <x:v>wanmiqbal.wanmhdnoor@petronas.com</x:v>
      </x:c>
      <x:c r="D65" t="str">
        <x:v>decommission-cloud</x:v>
      </x:c>
      <x:c r="E65" t="str">
        <x:v>cancelled</x:v>
      </x:c>
      <x:c r="F65" t="n">
        <x:v>46041.30737822917</x:v>
      </x:c>
      <x:c r="G65" t="n">
        <x:v>46041.311425300926</x:v>
      </x:c>
      <x:c r="H65" t="n">
        <x:v>46041.30737822917</x:v>
      </x:c>
      <x:c r="I65" t="str">
        <x:v>Upstream Real Time Data Program - URTD</x:v>
      </x:c>
      <x:c r="J65" t="str">
        <x:v>Installation of Upstream Real Time Data Program (URTD) for Centre of Excellence, PCSB</x:v>
      </x:c>
      <x:c r="K65" t="str">
        <x:v>partial</x:v>
      </x:c>
      <x:c r="L65"/>
      <x:c r="M65" t="str">
        <x:v>mohammadsani.johari@petronas.com</x:v>
      </x:c>
      <x:c r="N65"/>
      <x:c r="O65"/>
      <x:c r="P65" t="str">
        <x:v>Decom storage account that are not in used</x:v>
      </x:c>
      <x:c r="Q65" t="str">
        <x:v>1M</x:v>
      </x:c>
      <x:c r="R65" t="str">
        <x:v>Not in Used</x:v>
      </x:c>
      <x:c r="S65"/>
      <x:c r="T65" t="str">
        <x:v>rejected</x:v>
      </x:c>
      <x:c r="U65" t="str">
        <x:v>wanmiqbal.wanmhdnoor@petronas.com</x:v>
      </x:c>
      <x:c r="V65" t="n">
        <x:v>46041.3114253125</x:v>
      </x:c>
      <x:c r="W65"/>
      <x:c r="X65"/>
      <x:c r="Y65" t="str">
        <x:v>mohammadsani.johari@petronas.com</x:v>
      </x:c>
      <x:c r="Z65"/>
      <x:c r="AA65"/>
      <x:c r="AB65"/>
      <x:c r="AC65" t="str">
        <x:v>CCoE Business</x:v>
      </x:c>
      <x:c r="AD65"/>
      <x:c r="AE65"/>
      <x:c r="AF65"/>
      <x:c r="AG65" t="str">
        <x:v>CCoE Operations</x:v>
      </x:c>
      <x:c r="AH65"/>
      <x:c r="AI65"/>
      <x:c r="AJ65" t="str">
        <x:v>A-000827</x:v>
      </x:c>
      <x:c r="AK65" t="n">
        <x:v>747</x:v>
      </x:c>
      <x:c r="AL65"/>
      <x:c r="AM65"/>
      <x:c r="AN65" t="str">
        <x:v>retention</x:v>
      </x:c>
      <x:c r="AO65" t="n">
        <x:v>14</x:v>
      </x:c>
      <x:c r="AP65" s="23" t="str">
        <x:f>IF(E65="processing",IF(Z65="","",IF(ISNUMBER(Z65),INT(Z65),DATE(VALUE(LEFT(Z65,4)),VALUE(MID(Z65,6,2)),VALUE(MID(Z65,9,2))))),IF(OR(E65="executing",E65="pending"),IF(AD65="","",IF(ISNUMBER(AD65),INT(AD65),DATE(VALUE(LEFT(AD65,4)),VALUE(MID(AD65,6,2)),VALUE(MID(AD65,9,2))))),""))</x:f>
      </x:c>
      <x:c r="AQ65" s="24" t="str">
        <x:f>IF(AP65="","",INT('Configuration'!$B$4)-AP65)</x:f>
      </x:c>
      <x:c r="AR65" s="25" t="str">
        <x:f>IF(AP65="","Missing Required Date",IF(AQ65&lt;0,"Future Date",IF(AQ65=0,"0 days",IF(AQ65&lt;=2,"1-2 days",IF(AQ65&lt;=7,"3-7 days",IF(AQ65&lt;=14,"8-14 days",IF(AQ65&lt;=30,"15-30 days",IF(AQ65&lt;=60,"31-60 days",IF(AQ65&lt;=70,"61-70 days","71+ days")))))))))</x:f>
        <x:v>Missing Required Date</x:v>
      </x:c>
      <x:c r="AS65" s="25" t="str">
        <x:f>IF(OR(E65="processing",E65="executing",E65="pending"),IF(AP65="","Required aging date missing",IF(AQ65&gt;30,"Escalate &gt;30d",IF(AQ65&gt;14,"Watch &gt;14d","Within 14d"))),"Out of scope")</x:f>
        <x:v>Out of scope</x:v>
      </x:c>
    </x:row>
    <x:row r="66" ht="24" customHeight="1">
      <x:c r="A66" t="str">
        <x:v>4e3dda71-64e0-47a0-b520-ea0415748772</x:v>
      </x:c>
      <x:c r="B66" t="str">
        <x:v>CSSP10936679</x:v>
      </x:c>
      <x:c r="C66" t="str">
        <x:v>wanmiqbal.wanmhdnoor@petronas.com</x:v>
      </x:c>
      <x:c r="D66" t="str">
        <x:v>decommission-cloud</x:v>
      </x:c>
      <x:c r="E66" t="str">
        <x:v>completed</x:v>
      </x:c>
      <x:c r="F66" t="n">
        <x:v>46041.31401675926</x:v>
      </x:c>
      <x:c r="G66" t="n">
        <x:v>46042.156522453704</x:v>
      </x:c>
      <x:c r="H66" t="n">
        <x:v>46041.31401675926</x:v>
      </x:c>
      <x:c r="I66" t="str">
        <x:v>Upstream Real Time Data Program - URTD</x:v>
      </x:c>
      <x:c r="J66" t="str">
        <x:v>Installation of Upstream Real Time Data Program (URTD) for Centre of Excellence, PCSB</x:v>
      </x:c>
      <x:c r="K66" t="str">
        <x:v>partial</x:v>
      </x:c>
      <x:c r="L66"/>
      <x:c r="M66" t="str">
        <x:v>mohammadsani.johari@petronas.com</x:v>
      </x:c>
      <x:c r="N66"/>
      <x:c r="O66"/>
      <x:c r="P66" t="str">
        <x:v>Storage account not in used</x:v>
      </x:c>
      <x:c r="Q66" t="str">
        <x:v>1M</x:v>
      </x:c>
      <x:c r="R66" t="str">
        <x:v>Not in Used</x:v>
      </x:c>
      <x:c r="S66"/>
      <x:c r="T66" t="str">
        <x:v>approved</x:v>
      </x:c>
      <x:c r="U66" t="str">
        <x:v>wanmiqbal.wanmhdnoor@petronas.com</x:v>
      </x:c>
      <x:c r="V66" t="n">
        <x:v>46041.31589722222</x:v>
      </x:c>
      <x:c r="W66" t="str">
        <x:v>sqlauditsousvoocdslrlc3q - BlobStorage account to be decommision because not in use</x:v>
      </x:c>
      <x:c r="X66" t="str">
        <x:v>approved</x:v>
      </x:c>
      <x:c r="Y66" t="str">
        <x:v>mohammadsani.johari@petronas.com</x:v>
      </x:c>
      <x:c r="Z66" t="n">
        <x:v>46041.31731241898</x:v>
      </x:c>
      <x:c r="AA66" t="str">
        <x:v>Approved.</x:v>
      </x:c>
      <x:c r="AB66" t="str">
        <x:v>approved</x:v>
      </x:c>
      <x:c r="AC66" t="str">
        <x:v>azwan.badari@petronas.com</x:v>
      </x:c>
      <x:c r="AD66" t="n">
        <x:v>46042.09821379629</x:v>
      </x:c>
      <x:c r="AE66" t="str">
        <x:v>Decommission storage account sqlauditsousvoocdslrlc3q</x:v>
      </x:c>
      <x:c r="AF66" t="str">
        <x:v>approved</x:v>
      </x:c>
      <x:c r="AG66" t="str">
        <x:v>azlisham.md@petronas.com</x:v>
      </x:c>
      <x:c r="AH66" t="n">
        <x:v>46042.15652246528</x:v>
      </x:c>
      <x:c r="AI66" t="str">
        <x:v>The decommission request has been completed, and the status is now updated accordingly. Kindly verify from your end and confirm once reviewed.
</x:v>
      </x:c>
      <x:c r="AJ66" t="str">
        <x:v>A-000827</x:v>
      </x:c>
      <x:c r="AK66" t="n">
        <x:v>747</x:v>
      </x:c>
      <x:c r="AL66" t="str">
        <x:v>S</x:v>
      </x:c>
      <x:c r="AM66" t="str">
        <x:v>REQ000007828065</x:v>
      </x:c>
      <x:c r="AN66" t="str">
        <x:v>retention</x:v>
      </x:c>
      <x:c r="AO66" t="n">
        <x:v>9</x:v>
      </x:c>
      <x:c r="AP66" s="23" t="str">
        <x:f>IF(E66="processing",IF(Z66="","",IF(ISNUMBER(Z66),INT(Z66),DATE(VALUE(LEFT(Z66,4)),VALUE(MID(Z66,6,2)),VALUE(MID(Z66,9,2))))),IF(OR(E66="executing",E66="pending"),IF(AD66="","",IF(ISNUMBER(AD66),INT(AD66),DATE(VALUE(LEFT(AD66,4)),VALUE(MID(AD66,6,2)),VALUE(MID(AD66,9,2))))),""))</x:f>
      </x:c>
      <x:c r="AQ66" s="24" t="str">
        <x:f>IF(AP66="","",INT('Configuration'!$B$4)-AP66)</x:f>
      </x:c>
      <x:c r="AR66" s="25" t="str">
        <x:f>IF(AP66="","Missing Required Date",IF(AQ66&lt;0,"Future Date",IF(AQ66=0,"0 days",IF(AQ66&lt;=2,"1-2 days",IF(AQ66&lt;=7,"3-7 days",IF(AQ66&lt;=14,"8-14 days",IF(AQ66&lt;=30,"15-30 days",IF(AQ66&lt;=60,"31-60 days",IF(AQ66&lt;=70,"61-70 days","71+ days")))))))))</x:f>
        <x:v>Missing Required Date</x:v>
      </x:c>
      <x:c r="AS66" s="25" t="str">
        <x:f>IF(OR(E66="processing",E66="executing",E66="pending"),IF(AP66="","Required aging date missing",IF(AQ66&gt;30,"Escalate &gt;30d",IF(AQ66&gt;14,"Watch &gt;14d","Within 14d"))),"Out of scope")</x:f>
        <x:v>Out of scope</x:v>
      </x:c>
    </x:row>
    <x:row r="67" ht="24" customHeight="1">
      <x:c r="A67" t="str">
        <x:v>2ea4f262-8abb-4125-a0ca-85fa740ccdac</x:v>
      </x:c>
      <x:c r="B67" t="str">
        <x:v>CSSP10136110</x:v>
      </x:c>
      <x:c r="C67" t="str">
        <x:v>mirfan.mazuki@petronas.com</x:v>
      </x:c>
      <x:c r="D67" t="str">
        <x:v>decommission-cloud</x:v>
      </x:c>
      <x:c r="E67" t="str">
        <x:v>completed</x:v>
      </x:c>
      <x:c r="F67" t="n">
        <x:v>46042.35484554398</x:v>
      </x:c>
      <x:c r="G67" t="n">
        <x:v>46049.267289247684</x:v>
      </x:c>
      <x:c r="H67" t="n">
        <x:v>46043.08379355324</x:v>
      </x:c>
      <x:c r="I67" t="str">
        <x:v>ACFIN Website</x:v>
      </x:c>
      <x:c r="J67" t="str">
        <x:v>ACFIN Website for PETRONAS Advisor Office</x:v>
      </x:c>
      <x:c r="K67" t="str">
        <x:v>full</x:v>
      </x:c>
      <x:c r="L67" t="str">
        <x:v>DCOM202601206d4</x:v>
      </x:c>
      <x:c r="M67" t="str">
        <x:v>amirshazlan.mshah@petronas.com.my</x:v>
      </x:c>
      <x:c r="N67" t="str">
        <x:v>www.acfin.com.my, www.acfin.my</x:v>
      </x:c>
      <x:c r="O67"/>
      <x:c r="P67" t="str">
        <x:v>User request</x:v>
      </x:c>
      <x:c r="Q67" t="str">
        <x:v>2W</x:v>
      </x:c>
      <x:c r="R67" t="str">
        <x:v>Not in Used</x:v>
      </x:c>
      <x:c r="S67"/>
      <x:c r="T67" t="str">
        <x:v>approved</x:v>
      </x:c>
      <x:c r="U67" t="str">
        <x:v>mirfan.mazuki@petronas.com</x:v>
      </x:c>
      <x:c r="V67" t="n">
        <x:v>46043.09998899305</x:v>
      </x:c>
      <x:c r="W67" t="str">
        <x:v>NA</x:v>
      </x:c>
      <x:c r="X67" t="str">
        <x:v>approved</x:v>
      </x:c>
      <x:c r="Y67" t="str">
        <x:v>amirshazlan.mshah@petronas.com</x:v>
      </x:c>
      <x:c r="Z67" t="n">
        <x:v>46045.100231226854</x:v>
      </x:c>
      <x:c r="AA67" t="str">
        <x:v>approved</x:v>
      </x:c>
      <x:c r="AB67" t="str">
        <x:v>approved</x:v>
      </x:c>
      <x:c r="AC67" t="str">
        <x:v>azwan.badari@petronas.com</x:v>
      </x:c>
      <x:c r="AD67" t="n">
        <x:v>46045.306661608796</x:v>
      </x:c>
      <x:c r="AE67" t="str">
        <x:v>Full decommission 03284</x:v>
      </x:c>
      <x:c r="AF67" t="str">
        <x:v>approved</x:v>
      </x:c>
      <x:c r="AG67" t="str">
        <x:v>azwan.badari@petronas.com</x:v>
      </x:c>
      <x:c r="AH67" t="n">
        <x:v>46049.26728925926</x:v>
      </x:c>
      <x:c r="AI67" t="str">
        <x:v>Completed</x:v>
      </x:c>
      <x:c r="AJ67" t="str">
        <x:v>A-000004</x:v>
      </x:c>
      <x:c r="AK67" t="n">
        <x:v>3284</x:v>
      </x:c>
      <x:c r="AL67" t="str">
        <x:v>M</x:v>
      </x:c>
      <x:c r="AM67" t="str">
        <x:v>REQ000007837744</x:v>
      </x:c>
      <x:c r="AN67" t="str">
        <x:v>disposal</x:v>
      </x:c>
      <x:c r="AO67" t="n">
        <x:v>0</x:v>
      </x:c>
      <x:c r="AP67" s="23" t="str">
        <x:f>IF(E67="processing",IF(Z67="","",IF(ISNUMBER(Z67),INT(Z67),DATE(VALUE(LEFT(Z67,4)),VALUE(MID(Z67,6,2)),VALUE(MID(Z67,9,2))))),IF(OR(E67="executing",E67="pending"),IF(AD67="","",IF(ISNUMBER(AD67),INT(AD67),DATE(VALUE(LEFT(AD67,4)),VALUE(MID(AD67,6,2)),VALUE(MID(AD67,9,2))))),""))</x:f>
      </x:c>
      <x:c r="AQ67" s="24" t="str">
        <x:f>IF(AP67="","",INT('Configuration'!$B$4)-AP67)</x:f>
      </x:c>
      <x:c r="AR67" s="25" t="str">
        <x:f>IF(AP67="","Missing Required Date",IF(AQ67&lt;0,"Future Date",IF(AQ67=0,"0 days",IF(AQ67&lt;=2,"1-2 days",IF(AQ67&lt;=7,"3-7 days",IF(AQ67&lt;=14,"8-14 days",IF(AQ67&lt;=30,"15-30 days",IF(AQ67&lt;=60,"31-60 days",IF(AQ67&lt;=70,"61-70 days","71+ days")))))))))</x:f>
        <x:v>Missing Required Date</x:v>
      </x:c>
      <x:c r="AS67" s="25" t="str">
        <x:f>IF(OR(E67="processing",E67="executing",E67="pending"),IF(AP67="","Required aging date missing",IF(AQ67&gt;30,"Escalate &gt;30d",IF(AQ67&gt;14,"Watch &gt;14d","Within 14d"))),"Out of scope")</x:f>
        <x:v>Out of scope</x:v>
      </x:c>
    </x:row>
    <x:row r="68" ht="24" customHeight="1">
      <x:c r="A68" t="str">
        <x:v>4cb5421c-76ee-4918-91f4-9015721e68f2</x:v>
      </x:c>
      <x:c r="B68" t="str">
        <x:v>CSSP10956620</x:v>
      </x:c>
      <x:c r="C68" t="str">
        <x:v>rajila.vadakkalthund@petronas.com</x:v>
      </x:c>
      <x:c r="D68" t="str">
        <x:v>decommission-cloud</x:v>
      </x:c>
      <x:c r="E68" t="str">
        <x:v>completed</x:v>
      </x:c>
      <x:c r="F68" t="n">
        <x:v>46042.40565572917</x:v>
      </x:c>
      <x:c r="G68" t="n">
        <x:v>46057.18847627315</x:v>
      </x:c>
      <x:c r="H68" t="n">
        <x:v>46042.40565572917</x:v>
      </x:c>
      <x:c r="I68" t="str">
        <x:v>SiteCom and DrillScene Applications for Wells COE PETRON</x:v>
      </x:c>
      <x:c r="J68" t="str">
        <x:v>SiteCom and DrillScene Applications for Wells COE PETRON created for PRIVATECLOUD project record</x:v>
      </x:c>
      <x:c r="K68" t="str">
        <x:v>full</x:v>
      </x:c>
      <x:c r="L68" t="str">
        <x:v>DCOM20260119778</x:v>
      </x:c>
      <x:c r="M68" t="str">
        <x:v>afiqah.aziz@petronas.com.my</x:v>
      </x:c>
      <x:c r="N68"/>
      <x:c r="O68"/>
      <x:c r="P68" t="str">
        <x:v>Sitecom has been replaced with Halvue application</x:v>
      </x:c>
      <x:c r="Q68" t="str">
        <x:v>12M</x:v>
      </x:c>
      <x:c r="R68" t="str">
        <x:v>Not in Used</x:v>
      </x:c>
      <x:c r="S68"/>
      <x:c r="T68" t="str">
        <x:v>approved</x:v>
      </x:c>
      <x:c r="U68" t="str">
        <x:v>rajila.vadakkalthund@petronas.com</x:v>
      </x:c>
      <x:c r="V68" t="n">
        <x:v>46043.218533657404</x:v>
      </x:c>
      <x:c r="W68" t="str">
        <x:v>need to take backup of all servers listed in the attachment.</x:v>
      </x:c>
      <x:c r="X68" t="str">
        <x:v>approved</x:v>
      </x:c>
      <x:c r="Y68" t="str">
        <x:v>afiqah.aziz@petronas.com</x:v>
      </x:c>
      <x:c r="Z68" t="n">
        <x:v>46050.31225452547</x:v>
      </x:c>
      <x:c r="AA68" t="str">
        <x:v>Proceed to decom as discussed. </x:v>
      </x:c>
      <x:c r="AB68" t="str">
        <x:v>approved</x:v>
      </x:c>
      <x:c r="AC68" t="str">
        <x:v>azwan.badari@petronas.com</x:v>
      </x:c>
      <x:c r="AD68" t="n">
        <x:v>46050.35107866898</x:v>
      </x:c>
      <x:c r="AE68" t="str">
        <x:v>Full Decommission (10071) listed on-premise VM. Keep backup for 12 months</x:v>
      </x:c>
      <x:c r="AF68" t="str">
        <x:v>approved</x:v>
      </x:c>
      <x:c r="AG68" t="str">
        <x:v>azlisham.md@petronas.com</x:v>
      </x:c>
      <x:c r="AH68" t="n">
        <x:v>46057.188476284726</x:v>
      </x:c>
      <x:c r="AI68" t="str">
        <x:v>The decommission request has been completed, and the status is now updated accordingly. Kindly verify from your end and confirm once reviewed.
</x:v>
      </x:c>
      <x:c r="AJ68" t="str">
        <x:v>A-000236</x:v>
      </x:c>
      <x:c r="AK68" t="n">
        <x:v>10071</x:v>
      </x:c>
      <x:c r="AL68" t="str">
        <x:v>M</x:v>
      </x:c>
      <x:c r="AM68" t="str">
        <x:v>REQ000007847422</x:v>
      </x:c>
      <x:c r="AN68" t="str">
        <x:v>retention</x:v>
      </x:c>
      <x:c r="AO68" t="n">
        <x:v>365</x:v>
      </x:c>
      <x:c r="AP68" s="23" t="str">
        <x:f>IF(E68="processing",IF(Z68="","",IF(ISNUMBER(Z68),INT(Z68),DATE(VALUE(LEFT(Z68,4)),VALUE(MID(Z68,6,2)),VALUE(MID(Z68,9,2))))),IF(OR(E68="executing",E68="pending"),IF(AD68="","",IF(ISNUMBER(AD68),INT(AD68),DATE(VALUE(LEFT(AD68,4)),VALUE(MID(AD68,6,2)),VALUE(MID(AD68,9,2))))),""))</x:f>
      </x:c>
      <x:c r="AQ68" s="24" t="str">
        <x:f>IF(AP68="","",INT('Configuration'!$B$4)-AP68)</x:f>
      </x:c>
      <x:c r="AR68" s="25" t="str">
        <x:f>IF(AP68="","Missing Required Date",IF(AQ68&lt;0,"Future Date",IF(AQ68=0,"0 days",IF(AQ68&lt;=2,"1-2 days",IF(AQ68&lt;=7,"3-7 days",IF(AQ68&lt;=14,"8-14 days",IF(AQ68&lt;=30,"15-30 days",IF(AQ68&lt;=60,"31-60 days",IF(AQ68&lt;=70,"61-70 days","71+ days")))))))))</x:f>
        <x:v>Missing Required Date</x:v>
      </x:c>
      <x:c r="AS68" s="25" t="str">
        <x:f>IF(OR(E68="processing",E68="executing",E68="pending"),IF(AP68="","Required aging date missing",IF(AQ68&gt;30,"Escalate &gt;30d",IF(AQ68&gt;14,"Watch &gt;14d","Within 14d"))),"Out of scope")</x:f>
        <x:v>Out of scope</x:v>
      </x:c>
    </x:row>
    <x:row r="69" ht="24" customHeight="1">
      <x:c r="A69" t="str">
        <x:v>a6c49856-9f68-47d2-b48a-632ad105b938</x:v>
      </x:c>
      <x:c r="B69" t="str">
        <x:v>CSSP10693653</x:v>
      </x:c>
      <x:c r="C69" t="str">
        <x:v>nurulirdawaty.mnabi@petronas.com</x:v>
      </x:c>
      <x:c r="D69" t="str">
        <x:v>decommission-cloud</x:v>
      </x:c>
      <x:c r="E69" t="str">
        <x:v>completed</x:v>
      </x:c>
      <x:c r="F69" t="n">
        <x:v>46043.153167743054</x:v>
      </x:c>
      <x:c r="G69" t="n">
        <x:v>46045.37386167824</x:v>
      </x:c>
      <x:c r="H69" t="n">
        <x:v>46043.17235550926</x:v>
      </x:c>
      <x:c r="I69" t="str">
        <x:v>Visual Inspection Corrosion Interface - VINCI</x:v>
      </x:c>
      <x:c r="J69" t="str">
        <x:v>Enhancement Of Visual Inspection Corrosion Interface (VINCI) System For Operation Excellence (OE), PCSB</x:v>
      </x:c>
      <x:c r="K69" t="str">
        <x:v>full</x:v>
      </x:c>
      <x:c r="L69" t="str">
        <x:v>-</x:v>
      </x:c>
      <x:c r="M69" t="str">
        <x:v>halim.matnoh@petronas.com.my</x:v>
      </x:c>
      <x:c r="N69"/>
      <x:c r="O69"/>
      <x:c r="P69" t="str">
        <x:v>Full Decommission for PTAZSG-DEV-VINCI-RG (PSR0609) and PTAZSG-UAT-VINCI-RG(PSR0609). Please refer to previous decommission as reference.</x:v>
      </x:c>
      <x:c r="Q69" t="str">
        <x:v>2W</x:v>
      </x:c>
      <x:c r="R69" t="str">
        <x:v>Obsolete</x:v>
      </x:c>
      <x:c r="S69"/>
      <x:c r="T69" t="str">
        <x:v>approved</x:v>
      </x:c>
      <x:c r="U69" t="str">
        <x:v>nurulirdawaty.mnabi@petronas.com</x:v>
      </x:c>
      <x:c r="V69" t="n">
        <x:v>46043.173315011576</x:v>
      </x:c>
      <x:c r="W69" t="str">
        <x:v>Yes, please proceed to decomm all.</x:v>
      </x:c>
      <x:c r="X69" t="str">
        <x:v>approved</x:v>
      </x:c>
      <x:c r="Y69" t="str">
        <x:v>halim.matnoh@petronas.com</x:v>
      </x:c>
      <x:c r="Z69" t="n">
        <x:v>46044.121236631945</x:v>
      </x:c>
      <x:c r="AA69" t="str">
        <x:v>approved</x:v>
      </x:c>
      <x:c r="AB69" t="str">
        <x:v>approved</x:v>
      </x:c>
      <x:c r="AC69" t="str">
        <x:v>azwan.badari@petronas.com</x:v>
      </x:c>
      <x:c r="AD69" t="n">
        <x:v>46044.13021737269</x:v>
      </x:c>
      <x:c r="AE69" t="str">
        <x:v>Decommission both RG, PTAZSG-DEV-VINCI-RG (PSR0609) and PTAZSG-UAT-VINCI-RG(PSR0609)</x:v>
      </x:c>
      <x:c r="AF69" t="str">
        <x:v>approved</x:v>
      </x:c>
      <x:c r="AG69" t="str">
        <x:v>azlisham.md@petronas.com</x:v>
      </x:c>
      <x:c r="AH69" t="n">
        <x:v>46045.37386168981</x:v>
      </x:c>
      <x:c r="AI69" t="str">
        <x:v>The decommission request has been completed, and the status is now updated accordingly. Kindly verify from your end and confirm once reviewed.
</x:v>
      </x:c>
      <x:c r="AJ69" t="str">
        <x:v>A-000846</x:v>
      </x:c>
      <x:c r="AK69" t="str">
        <x:v>PSR06029</x:v>
      </x:c>
      <x:c r="AL69" t="str">
        <x:v>M</x:v>
      </x:c>
      <x:c r="AM69" t="str">
        <x:v>REQ000007834437</x:v>
      </x:c>
      <x:c r="AN69" t="str">
        <x:v>noretention</x:v>
      </x:c>
      <x:c r="AO69" t="n">
        <x:v>0</x:v>
      </x:c>
      <x:c r="AP69" s="23" t="str">
        <x:f>IF(E69="processing",IF(Z69="","",IF(ISNUMBER(Z69),INT(Z69),DATE(VALUE(LEFT(Z69,4)),VALUE(MID(Z69,6,2)),VALUE(MID(Z69,9,2))))),IF(OR(E69="executing",E69="pending"),IF(AD69="","",IF(ISNUMBER(AD69),INT(AD69),DATE(VALUE(LEFT(AD69,4)),VALUE(MID(AD69,6,2)),VALUE(MID(AD69,9,2))))),""))</x:f>
      </x:c>
      <x:c r="AQ69" s="24" t="str">
        <x:f>IF(AP69="","",INT('Configuration'!$B$4)-AP69)</x:f>
      </x:c>
      <x:c r="AR69" s="25" t="str">
        <x:f>IF(AP69="","Missing Required Date",IF(AQ69&lt;0,"Future Date",IF(AQ69=0,"0 days",IF(AQ69&lt;=2,"1-2 days",IF(AQ69&lt;=7,"3-7 days",IF(AQ69&lt;=14,"8-14 days",IF(AQ69&lt;=30,"15-30 days",IF(AQ69&lt;=60,"31-60 days",IF(AQ69&lt;=70,"61-70 days","71+ days")))))))))</x:f>
        <x:v>Missing Required Date</x:v>
      </x:c>
      <x:c r="AS69" s="25" t="str">
        <x:f>IF(OR(E69="processing",E69="executing",E69="pending"),IF(AP69="","Required aging date missing",IF(AQ69&gt;30,"Escalate &gt;30d",IF(AQ69&gt;14,"Watch &gt;14d","Within 14d"))),"Out of scope")</x:f>
        <x:v>Out of scope</x:v>
      </x:c>
    </x:row>
    <x:row r="70" ht="24" customHeight="1">
      <x:c r="A70" t="str">
        <x:v>a11e5124-0a1e-4c64-b612-5bb136c7bd95</x:v>
      </x:c>
      <x:c r="B70" t="str">
        <x:v>CSSP10361019</x:v>
      </x:c>
      <x:c r="C70" t="str">
        <x:v>keanseng.lim@petronas.com</x:v>
      </x:c>
      <x:c r="D70" t="str">
        <x:v>decommission-cloud</x:v>
      </x:c>
      <x:c r="E70" t="str">
        <x:v>completed</x:v>
      </x:c>
      <x:c r="F70" t="n">
        <x:v>46043.350739409725</x:v>
      </x:c>
      <x:c r="G70" t="n">
        <x:v>46093.29256314815</x:v>
      </x:c>
      <x:c r="H70" t="n">
        <x:v>46058.27612099537</x:v>
      </x:c>
      <x:c r="I70" t="str">
        <x:v>PIVOT Enterprise Knowledge Advisor Cerebro</x:v>
      </x:c>
      <x:c r="J70" t="str">
        <x:v>OSR00154: Support and Maintenance for PIVOT Program for Group Digital – Enterprise Knowledge Advisor for Cerebro</x:v>
      </x:c>
      <x:c r="K70" t="str">
        <x:v>partial</x:v>
      </x:c>
      <x:c r="L70"/>
      <x:c r="M70" t="str">
        <x:v>lim.hoongkeng@petronas.com</x:v>
      </x:c>
      <x:c r="N70"/>
      <x:c r="O70"/>
      <x:c r="P70" t="str">
        <x:v>Both EKIH &amp; CEREBRO has been decommisioned. The identified resources is obsolted and not in used.
This has been confirmed by Business Product Owner.</x:v>
      </x:c>
      <x:c r="Q70" t="str">
        <x:v>2W</x:v>
      </x:c>
      <x:c r="R70" t="str">
        <x:v>Obsolete</x:v>
      </x:c>
      <x:c r="S70"/>
      <x:c r="T70" t="str">
        <x:v>approved</x:v>
      </x:c>
      <x:c r="U70" t="str">
        <x:v>keanseng.lim@petronas.com</x:v>
      </x:c>
      <x:c r="V70" t="n">
        <x:v>46059.0654168287</x:v>
      </x:c>
      <x:c r="W70" t="str">
        <x:v>Uploaded the approval email and reselected all resources to be decommissioned</x:v>
      </x:c>
      <x:c r="X70" t="str">
        <x:v>approved</x:v>
      </x:c>
      <x:c r="Y70" t="str">
        <x:v>lim.hoongkeng@petronas.com</x:v>
      </x:c>
      <x:c r="Z70" t="n">
        <x:v>46092.27898173611</x:v>
      </x:c>
      <x:c r="AA70" t="str">
        <x:v>Reapproving as requested.</x:v>
      </x:c>
      <x:c r="AB70" t="str">
        <x:v>approved</x:v>
      </x:c>
      <x:c r="AC70" t="str">
        <x:v>azwan.badari@petronas.com</x:v>
      </x:c>
      <x:c r="AD70" t="n">
        <x:v>46092.324756875</x:v>
      </x:c>
      <x:c r="AE70" t="str">
        <x:v>Proceed to decommission listed resources</x:v>
      </x:c>
      <x:c r="AF70" t="str">
        <x:v>approved</x:v>
      </x:c>
      <x:c r="AG70" t="str">
        <x:v>azwan.badari@petronas.com</x:v>
      </x:c>
      <x:c r="AH70" t="n">
        <x:v>46093.292563159725</x:v>
      </x:c>
      <x:c r="AI70" t="str">
        <x:v>Completed</x:v>
      </x:c>
      <x:c r="AJ70" t="str">
        <x:v>A-000609</x:v>
      </x:c>
      <x:c r="AK70" t="str">
        <x:v>OSR00154_10</x:v>
      </x:c>
      <x:c r="AL70" t="str">
        <x:v>M</x:v>
      </x:c>
      <x:c r="AM70" t="str">
        <x:v>REQ000007928247</x:v>
      </x:c>
      <x:c r="AN70" t="str">
        <x:v>disposal</x:v>
      </x:c>
      <x:c r="AO70" t="n">
        <x:v>0</x:v>
      </x:c>
      <x:c r="AP70" s="23" t="str">
        <x:f>IF(E70="processing",IF(Z70="","",IF(ISNUMBER(Z70),INT(Z70),DATE(VALUE(LEFT(Z70,4)),VALUE(MID(Z70,6,2)),VALUE(MID(Z70,9,2))))),IF(OR(E70="executing",E70="pending"),IF(AD70="","",IF(ISNUMBER(AD70),INT(AD70),DATE(VALUE(LEFT(AD70,4)),VALUE(MID(AD70,6,2)),VALUE(MID(AD70,9,2))))),""))</x:f>
      </x:c>
      <x:c r="AQ70" s="24" t="str">
        <x:f>IF(AP70="","",INT('Configuration'!$B$4)-AP70)</x:f>
      </x:c>
      <x:c r="AR70" s="25" t="str">
        <x:f>IF(AP70="","Missing Required Date",IF(AQ70&lt;0,"Future Date",IF(AQ70=0,"0 days",IF(AQ70&lt;=2,"1-2 days",IF(AQ70&lt;=7,"3-7 days",IF(AQ70&lt;=14,"8-14 days",IF(AQ70&lt;=30,"15-30 days",IF(AQ70&lt;=60,"31-60 days",IF(AQ70&lt;=70,"61-70 days","71+ days")))))))))</x:f>
        <x:v>Missing Required Date</x:v>
      </x:c>
      <x:c r="AS70" s="25" t="str">
        <x:f>IF(OR(E70="processing",E70="executing",E70="pending"),IF(AP70="","Required aging date missing",IF(AQ70&gt;30,"Escalate &gt;30d",IF(AQ70&gt;14,"Watch &gt;14d","Within 14d"))),"Out of scope")</x:f>
        <x:v>Out of scope</x:v>
      </x:c>
    </x:row>
    <x:row r="71" ht="24" customHeight="1">
      <x:c r="A71" t="str">
        <x:v>77f1a609-e277-4a20-8446-fa2cd0b7234e</x:v>
      </x:c>
      <x:c r="B71" t="str">
        <x:v>CSSP10644672</x:v>
      </x:c>
      <x:c r="C71" t="str">
        <x:v>wanmiqbal.wanmhdnoor@petronas.com</x:v>
      </x:c>
      <x:c r="D71" t="str">
        <x:v>decommission-cloud</x:v>
      </x:c>
      <x:c r="E71" t="str">
        <x:v>rejected</x:v>
      </x:c>
      <x:c r="F71" t="n">
        <x:v>46044.072314652774</x:v>
      </x:c>
      <x:c r="G71" t="n">
        <x:v>46044.301271006945</x:v>
      </x:c>
      <x:c r="H71" t="n">
        <x:v>46044.072314652774</x:v>
      </x:c>
      <x:c r="I71" t="str">
        <x:v>Upstream Real Time Data Program - URTD</x:v>
      </x:c>
      <x:c r="J71" t="str">
        <x:v>Installation of Upstream Real Time Data Program (URTD) for Centre of Excellence, PCSB</x:v>
      </x:c>
      <x:c r="K71" t="str">
        <x:v>partial</x:v>
      </x:c>
      <x:c r="L71"/>
      <x:c r="M71" t="str">
        <x:v>mohammadsani.johari@petronas.com</x:v>
      </x:c>
      <x:c r="N71"/>
      <x:c r="O71"/>
      <x:c r="P71" t="str">
        <x:v>Not in used</x:v>
      </x:c>
      <x:c r="Q71" t="str">
        <x:v>1M</x:v>
      </x:c>
      <x:c r="R71" t="str">
        <x:v>Not in Used</x:v>
      </x:c>
      <x:c r="S71"/>
      <x:c r="T71" t="str">
        <x:v>approved</x:v>
      </x:c>
      <x:c r="U71" t="str">
        <x:v>wanmiqbal.wanmhdnoor@petronas.com</x:v>
      </x:c>
      <x:c r="V71" t="n">
        <x:v>46044.08375150463</x:v>
      </x:c>
      <x:c r="W71" t="str">
        <x:v>Decomm only for resources related to:
1. PTSG-1URTDAP02
2. ptsg-1urtdsvrdb01
3. ptsg1urtd2func01strg
4.ptazsg-devurtd2-apim
5.sqlauditsousvoocdslrlc3q</x:v>
      </x:c>
      <x:c r="X71" t="str">
        <x:v>rejected</x:v>
      </x:c>
      <x:c r="Y71" t="str">
        <x:v>mohammadsani.johari@petronas.com</x:v>
      </x:c>
      <x:c r="Z71" t="n">
        <x:v>46044.30127101852</x:v>
      </x:c>
      <x:c r="AA71"/>
      <x:c r="AB71"/>
      <x:c r="AC71" t="str">
        <x:v>CCoE Business</x:v>
      </x:c>
      <x:c r="AD71"/>
      <x:c r="AE71"/>
      <x:c r="AF71"/>
      <x:c r="AG71" t="str">
        <x:v>CCoE Operations</x:v>
      </x:c>
      <x:c r="AH71"/>
      <x:c r="AI71"/>
      <x:c r="AJ71" t="str">
        <x:v>A-000827</x:v>
      </x:c>
      <x:c r="AK71" t="n">
        <x:v>747</x:v>
      </x:c>
      <x:c r="AL71"/>
      <x:c r="AM71"/>
      <x:c r="AN71" t="str">
        <x:v>retention</x:v>
      </x:c>
      <x:c r="AO71" t="n">
        <x:v>14</x:v>
      </x:c>
      <x:c r="AP71" s="23" t="str">
        <x:f>IF(E71="processing",IF(Z71="","",IF(ISNUMBER(Z71),INT(Z71),DATE(VALUE(LEFT(Z71,4)),VALUE(MID(Z71,6,2)),VALUE(MID(Z71,9,2))))),IF(OR(E71="executing",E71="pending"),IF(AD71="","",IF(ISNUMBER(AD71),INT(AD71),DATE(VALUE(LEFT(AD71,4)),VALUE(MID(AD71,6,2)),VALUE(MID(AD71,9,2))))),""))</x:f>
      </x:c>
      <x:c r="AQ71" s="24" t="str">
        <x:f>IF(AP71="","",INT('Configuration'!$B$4)-AP71)</x:f>
      </x:c>
      <x:c r="AR71" s="25" t="str">
        <x:f>IF(AP71="","Missing Required Date",IF(AQ71&lt;0,"Future Date",IF(AQ71=0,"0 days",IF(AQ71&lt;=2,"1-2 days",IF(AQ71&lt;=7,"3-7 days",IF(AQ71&lt;=14,"8-14 days",IF(AQ71&lt;=30,"15-30 days",IF(AQ71&lt;=60,"31-60 days",IF(AQ71&lt;=70,"61-70 days","71+ days")))))))))</x:f>
        <x:v>Missing Required Date</x:v>
      </x:c>
      <x:c r="AS71" s="25" t="str">
        <x:f>IF(OR(E71="processing",E71="executing",E71="pending"),IF(AP71="","Required aging date missing",IF(AQ71&gt;30,"Escalate &gt;30d",IF(AQ71&gt;14,"Watch &gt;14d","Within 14d"))),"Out of scope")</x:f>
        <x:v>Out of scope</x:v>
      </x:c>
    </x:row>
    <x:row r="72" ht="24" customHeight="1">
      <x:c r="A72" t="str">
        <x:v>fcd598c0-a60b-40ad-96c2-6de6f09d5bc9</x:v>
      </x:c>
      <x:c r="B72" t="str">
        <x:v>CSSP10177449</x:v>
      </x:c>
      <x:c r="C72" t="str">
        <x:v>anissyafiqah.matzail@petronas.com</x:v>
      </x:c>
      <x:c r="D72" t="str">
        <x:v>decommission-cloud</x:v>
      </x:c>
      <x:c r="E72" t="str">
        <x:v>completed</x:v>
      </x:c>
      <x:c r="F72" t="n">
        <x:v>46045.056981354166</x:v>
      </x:c>
      <x:c r="G72" t="n">
        <x:v>46086.08018722222</x:v>
      </x:c>
      <x:c r="H72" t="n">
        <x:v>46080.09998799769</x:v>
      </x:c>
      <x:c r="I72" t="str">
        <x:v>Winglue</x:v>
      </x:c>
      <x:c r="J72" t="str">
        <x:v>OCI MIGRATION - WINGLUE</x:v>
      </x:c>
      <x:c r="K72" t="str">
        <x:v>full</x:v>
      </x:c>
      <x:c r="L72" t="str">
        <x:v>-</x:v>
      </x:c>
      <x:c r="M72" t="str">
        <x:v>halim.matnoh@petronas.com.my</x:v>
      </x:c>
      <x:c r="N72" t="str">
        <x:v>-</x:v>
      </x:c>
      <x:c r="O72"/>
      <x:c r="P72" t="str">
        <x:v>User confirmed that Winglue's application are no longer in used. Refer to the attachment for the focal confirmation.</x:v>
      </x:c>
      <x:c r="Q72" t="str">
        <x:v>2W</x:v>
      </x:c>
      <x:c r="R72" t="str">
        <x:v>Not in Used</x:v>
      </x:c>
      <x:c r="S72"/>
      <x:c r="T72" t="str">
        <x:v>approved</x:v>
      </x:c>
      <x:c r="U72" t="str">
        <x:v>anissyafiqah.matzail@petronas.com</x:v>
      </x:c>
      <x:c r="V72" t="n">
        <x:v>46080.10086576389</x:v>
      </x:c>
      <x:c r="W72" t="str">
        <x:v>Yes, please proceed to decomm all.</x:v>
      </x:c>
      <x:c r="X72" t="str">
        <x:v>approved</x:v>
      </x:c>
      <x:c r="Y72" t="str">
        <x:v>halim.matnoh@petronas.com</x:v>
      </x:c>
      <x:c r="Z72" t="n">
        <x:v>46080.16334452546</x:v>
      </x:c>
      <x:c r="AA72" t="str">
        <x:v>approved</x:v>
      </x:c>
      <x:c r="AB72" t="str">
        <x:v>approved</x:v>
      </x:c>
      <x:c r="AC72" t="str">
        <x:v>azwan.badari@petronas.com</x:v>
      </x:c>
      <x:c r="AD72" t="n">
        <x:v>46083.158775034724</x:v>
      </x:c>
      <x:c r="AE72" t="str">
        <x:v>Proceed to decommission resources in the list.</x:v>
      </x:c>
      <x:c r="AF72" t="str">
        <x:v>approved</x:v>
      </x:c>
      <x:c r="AG72" t="str">
        <x:v>azlisham.md@petronas.com</x:v>
      </x:c>
      <x:c r="AH72" t="n">
        <x:v>46086.08018722222</x:v>
      </x:c>
      <x:c r="AI72" t="str">
        <x:v>The decommission request has been completed, and the status is now updated accordingly. Kindly verify from your end and confirm once reviewed.
</x:v>
      </x:c>
      <x:c r="AJ72" t="str">
        <x:v>A-000860</x:v>
      </x:c>
      <x:c r="AK72" t="str">
        <x:v>OCI-00037</x:v>
      </x:c>
      <x:c r="AL72" t="str">
        <x:v>M</x:v>
      </x:c>
      <x:c r="AM72" t="str">
        <x:v>REQ000007906393</x:v>
      </x:c>
      <x:c r="AN72" t="str">
        <x:v>noretention</x:v>
      </x:c>
      <x:c r="AO72" t="n">
        <x:v>0</x:v>
      </x:c>
      <x:c r="AP72" s="23" t="str">
        <x:f>IF(E72="processing",IF(Z72="","",IF(ISNUMBER(Z72),INT(Z72),DATE(VALUE(LEFT(Z72,4)),VALUE(MID(Z72,6,2)),VALUE(MID(Z72,9,2))))),IF(OR(E72="executing",E72="pending"),IF(AD72="","",IF(ISNUMBER(AD72),INT(AD72),DATE(VALUE(LEFT(AD72,4)),VALUE(MID(AD72,6,2)),VALUE(MID(AD72,9,2))))),""))</x:f>
      </x:c>
      <x:c r="AQ72" s="24" t="str">
        <x:f>IF(AP72="","",INT('Configuration'!$B$4)-AP72)</x:f>
      </x:c>
      <x:c r="AR72" s="25" t="str">
        <x:f>IF(AP72="","Missing Required Date",IF(AQ72&lt;0,"Future Date",IF(AQ72=0,"0 days",IF(AQ72&lt;=2,"1-2 days",IF(AQ72&lt;=7,"3-7 days",IF(AQ72&lt;=14,"8-14 days",IF(AQ72&lt;=30,"15-30 days",IF(AQ72&lt;=60,"31-60 days",IF(AQ72&lt;=70,"61-70 days","71+ days")))))))))</x:f>
        <x:v>Missing Required Date</x:v>
      </x:c>
      <x:c r="AS72" s="25" t="str">
        <x:f>IF(OR(E72="processing",E72="executing",E72="pending"),IF(AP72="","Required aging date missing",IF(AQ72&gt;30,"Escalate &gt;30d",IF(AQ72&gt;14,"Watch &gt;14d","Within 14d"))),"Out of scope")</x:f>
        <x:v>Out of scope</x:v>
      </x:c>
    </x:row>
    <x:row r="73" ht="24" customHeight="1">
      <x:c r="A73" t="str">
        <x:v>9a805d0b-bb21-480b-b88d-10371246b4e8</x:v>
      </x:c>
      <x:c r="B73" t="str">
        <x:v>CSSP10521638</x:v>
      </x:c>
      <x:c r="C73" t="str">
        <x:v>anissyafiqah.matzail@petronas.com</x:v>
      </x:c>
      <x:c r="D73" t="str">
        <x:v>decommission-cloud</x:v>
      </x:c>
      <x:c r="E73" t="str">
        <x:v>rejected</x:v>
      </x:c>
      <x:c r="F73" t="n">
        <x:v>46045.05726483796</x:v>
      </x:c>
      <x:c r="G73" t="n">
        <x:v>46045.07939284722</x:v>
      </x:c>
      <x:c r="H73" t="n">
        <x:v>46045.07124848379</x:v>
      </x:c>
      <x:c r="I73" t="str">
        <x:v>IDAMS / WINCAIRS PMA</x:v>
      </x:c>
      <x:c r="J73" t="str">
        <x:v>OCI MIGRATION - IDAMS (PMA)</x:v>
      </x:c>
      <x:c r="K73" t="str">
        <x:v>full</x:v>
      </x:c>
      <x:c r="L73" t="str">
        <x:v>-</x:v>
      </x:c>
      <x:c r="M73" t="str">
        <x:v>halim.matnoh@petronas.com.my</x:v>
      </x:c>
      <x:c r="N73"/>
      <x:c r="O73"/>
      <x:c r="P73" t="str">
        <x:v>Contract has expired on 31/05/2025, and user confirmed that they are no longer in used. Refer to the attachment for PMA focal confirmation.</x:v>
      </x:c>
      <x:c r="Q73" t="str">
        <x:v>2W</x:v>
      </x:c>
      <x:c r="R73" t="str">
        <x:v>Not in Used</x:v>
      </x:c>
      <x:c r="S73"/>
      <x:c r="T73" t="str">
        <x:v>rejected</x:v>
      </x:c>
      <x:c r="U73" t="str">
        <x:v>anissyafiqah.matzail@petronas.com</x:v>
      </x:c>
      <x:c r="V73" t="n">
        <x:v>46045.07857402778</x:v>
      </x:c>
      <x:c r="W73"/>
      <x:c r="X73" t="str">
        <x:v>rejected</x:v>
      </x:c>
      <x:c r="Y73" t="str">
        <x:v>anissyafiqah.matzail@petronas.com</x:v>
      </x:c>
      <x:c r="Z73" t="n">
        <x:v>46045.07881730324</x:v>
      </x:c>
      <x:c r="AA73"/>
      <x:c r="AB73" t="str">
        <x:v>rejected</x:v>
      </x:c>
      <x:c r="AC73" t="str">
        <x:v>anissyafiqah.matzail@petronas.com</x:v>
      </x:c>
      <x:c r="AD73" t="n">
        <x:v>46045.079392858795</x:v>
      </x:c>
      <x:c r="AE73"/>
      <x:c r="AF73"/>
      <x:c r="AG73" t="str">
        <x:v>CCoE Business</x:v>
      </x:c>
      <x:c r="AH73"/>
      <x:c r="AI73"/>
      <x:c r="AJ73" t="str">
        <x:v>A-000371</x:v>
      </x:c>
      <x:c r="AK73" t="str">
        <x:v>OCI-00019</x:v>
      </x:c>
      <x:c r="AL73"/>
      <x:c r="AM73"/>
      <x:c r="AN73" t="str">
        <x:v>noretention</x:v>
      </x:c>
      <x:c r="AO73" t="n">
        <x:v>0</x:v>
      </x:c>
      <x:c r="AP73" s="23" t="str">
        <x:f>IF(E73="processing",IF(Z73="","",IF(ISNUMBER(Z73),INT(Z73),DATE(VALUE(LEFT(Z73,4)),VALUE(MID(Z73,6,2)),VALUE(MID(Z73,9,2))))),IF(OR(E73="executing",E73="pending"),IF(AD73="","",IF(ISNUMBER(AD73),INT(AD73),DATE(VALUE(LEFT(AD73,4)),VALUE(MID(AD73,6,2)),VALUE(MID(AD73,9,2))))),""))</x:f>
      </x:c>
      <x:c r="AQ73" s="24" t="str">
        <x:f>IF(AP73="","",INT('Configuration'!$B$4)-AP73)</x:f>
      </x:c>
      <x:c r="AR73" s="25" t="str">
        <x:f>IF(AP73="","Missing Required Date",IF(AQ73&lt;0,"Future Date",IF(AQ73=0,"0 days",IF(AQ73&lt;=2,"1-2 days",IF(AQ73&lt;=7,"3-7 days",IF(AQ73&lt;=14,"8-14 days",IF(AQ73&lt;=30,"15-30 days",IF(AQ73&lt;=60,"31-60 days",IF(AQ73&lt;=70,"61-70 days","71+ days")))))))))</x:f>
        <x:v>Missing Required Date</x:v>
      </x:c>
      <x:c r="AS73" s="25" t="str">
        <x:f>IF(OR(E73="processing",E73="executing",E73="pending"),IF(AP73="","Required aging date missing",IF(AQ73&gt;30,"Escalate &gt;30d",IF(AQ73&gt;14,"Watch &gt;14d","Within 14d"))),"Out of scope")</x:f>
        <x:v>Out of scope</x:v>
      </x:c>
    </x:row>
    <x:row r="74" ht="24" customHeight="1">
      <x:c r="A74" t="str">
        <x:v>f94988b0-1141-4fc1-8762-18add88c3e9d</x:v>
      </x:c>
      <x:c r="B74" t="str">
        <x:v>CSSP10603924</x:v>
      </x:c>
      <x:c r="C74" t="str">
        <x:v>anissyafiqah.matzail@petronas.com</x:v>
      </x:c>
      <x:c r="D74" t="str">
        <x:v>decommission-cloud</x:v>
      </x:c>
      <x:c r="E74" t="str">
        <x:v>completed</x:v>
      </x:c>
      <x:c r="F74" t="n">
        <x:v>46045.05746077546</x:v>
      </x:c>
      <x:c r="G74" t="n">
        <x:v>46051.16171277778</x:v>
      </x:c>
      <x:c r="H74" t="n">
        <x:v>46045.27895855324</x:v>
      </x:c>
      <x:c r="I74" t="str">
        <x:v>IDAMS / WINCAIRS SKO</x:v>
      </x:c>
      <x:c r="J74" t="str">
        <x:v>OCI MIGRATION - IDAMS (SKO)</x:v>
      </x:c>
      <x:c r="K74" t="str">
        <x:v>full</x:v>
      </x:c>
      <x:c r="L74" t="str">
        <x:v>-</x:v>
      </x:c>
      <x:c r="M74" t="str">
        <x:v>halim.matnoh@petronas.com.my</x:v>
      </x:c>
      <x:c r="N74"/>
      <x:c r="O74"/>
      <x:c r="P74" t="str">
        <x:v>Contract has expired on 31/05/2025, and user confirmed that they are no longer in used. Refer to the attachment for SKO focal confirmation.</x:v>
      </x:c>
      <x:c r="Q74" t="str">
        <x:v>2W</x:v>
      </x:c>
      <x:c r="R74" t="str">
        <x:v>Not in Used</x:v>
      </x:c>
      <x:c r="S74"/>
      <x:c r="T74" t="str">
        <x:v>approved</x:v>
      </x:c>
      <x:c r="U74" t="str">
        <x:v>anissyafiqah.matzail@petronas.com</x:v>
      </x:c>
      <x:c r="V74" t="n">
        <x:v>46045.28063155092</x:v>
      </x:c>
      <x:c r="W74" t="str">
        <x:v>Yes, please proceed to decomm all.</x:v>
      </x:c>
      <x:c r="X74" t="str">
        <x:v>approved</x:v>
      </x:c>
      <x:c r="Y74" t="str">
        <x:v>halim.matnoh@petronas.com</x:v>
      </x:c>
      <x:c r="Z74" t="n">
        <x:v>46048.26005511574</x:v>
      </x:c>
      <x:c r="AA74" t="str">
        <x:v>approved</x:v>
      </x:c>
      <x:c r="AB74" t="str">
        <x:v>approved</x:v>
      </x:c>
      <x:c r="AC74" t="str">
        <x:v>azwan.badari@petronas.com</x:v>
      </x:c>
      <x:c r="AD74" t="n">
        <x:v>46049.12222152778</x:v>
      </x:c>
      <x:c r="AE74" t="str">
        <x:v>Decommission ptawsg-1skodb01</x:v>
      </x:c>
      <x:c r="AF74" t="str">
        <x:v>approved</x:v>
      </x:c>
      <x:c r="AG74" t="str">
        <x:v>azwan.badari@petronas.com</x:v>
      </x:c>
      <x:c r="AH74" t="n">
        <x:v>46051.161712789355</x:v>
      </x:c>
      <x:c r="AI74" t="str">
        <x:v>Completed</x:v>
      </x:c>
      <x:c r="AJ74" t="str">
        <x:v>A-000373</x:v>
      </x:c>
      <x:c r="AK74" t="str">
        <x:v>OCI-00024</x:v>
      </x:c>
      <x:c r="AL74" t="str">
        <x:v>M</x:v>
      </x:c>
      <x:c r="AM74" t="str">
        <x:v>REQ000007842863</x:v>
      </x:c>
      <x:c r="AN74" t="str">
        <x:v>noretention</x:v>
      </x:c>
      <x:c r="AO74" t="n">
        <x:v>0</x:v>
      </x:c>
      <x:c r="AP74" s="23" t="str">
        <x:f>IF(E74="processing",IF(Z74="","",IF(ISNUMBER(Z74),INT(Z74),DATE(VALUE(LEFT(Z74,4)),VALUE(MID(Z74,6,2)),VALUE(MID(Z74,9,2))))),IF(OR(E74="executing",E74="pending"),IF(AD74="","",IF(ISNUMBER(AD74),INT(AD74),DATE(VALUE(LEFT(AD74,4)),VALUE(MID(AD74,6,2)),VALUE(MID(AD74,9,2))))),""))</x:f>
      </x:c>
      <x:c r="AQ74" s="24" t="str">
        <x:f>IF(AP74="","",INT('Configuration'!$B$4)-AP74)</x:f>
      </x:c>
      <x:c r="AR74" s="25" t="str">
        <x:f>IF(AP74="","Missing Required Date",IF(AQ74&lt;0,"Future Date",IF(AQ74=0,"0 days",IF(AQ74&lt;=2,"1-2 days",IF(AQ74&lt;=7,"3-7 days",IF(AQ74&lt;=14,"8-14 days",IF(AQ74&lt;=30,"15-30 days",IF(AQ74&lt;=60,"31-60 days",IF(AQ74&lt;=70,"61-70 days","71+ days")))))))))</x:f>
        <x:v>Missing Required Date</x:v>
      </x:c>
      <x:c r="AS74" s="25" t="str">
        <x:f>IF(OR(E74="processing",E74="executing",E74="pending"),IF(AP74="","Required aging date missing",IF(AQ74&gt;30,"Escalate &gt;30d",IF(AQ74&gt;14,"Watch &gt;14d","Within 14d"))),"Out of scope")</x:f>
        <x:v>Out of scope</x:v>
      </x:c>
    </x:row>
    <x:row r="75" ht="24" customHeight="1">
      <x:c r="A75" t="str">
        <x:v>a58e5bb6-2b1f-4c45-9438-7b4ec6f1fe9c</x:v>
      </x:c>
      <x:c r="B75" t="str">
        <x:v>CSSP10705796</x:v>
      </x:c>
      <x:c r="C75" t="str">
        <x:v>anissyafiqah.matzail@petronas.com</x:v>
      </x:c>
      <x:c r="D75" t="str">
        <x:v>decommission-cloud</x:v>
      </x:c>
      <x:c r="E75" t="str">
        <x:v>completed</x:v>
      </x:c>
      <x:c r="F75" t="n">
        <x:v>46045.05846983796</x:v>
      </x:c>
      <x:c r="G75" t="n">
        <x:v>46051.161858113424</x:v>
      </x:c>
      <x:c r="H75" t="n">
        <x:v>46045.27843265046</x:v>
      </x:c>
      <x:c r="I75" t="str">
        <x:v>IDAMS / WINCAIRS SBO</x:v>
      </x:c>
      <x:c r="J75" t="str">
        <x:v>OCI MIGRATION - IDAMS (SBO)</x:v>
      </x:c>
      <x:c r="K75" t="str">
        <x:v>full</x:v>
      </x:c>
      <x:c r="L75" t="str">
        <x:v>-</x:v>
      </x:c>
      <x:c r="M75" t="str">
        <x:v>halim.matnoh@petronas.com.my</x:v>
      </x:c>
      <x:c r="N75"/>
      <x:c r="O75"/>
      <x:c r="P75" t="str">
        <x:v>Contract has expired on 31/05/2025, and user confirmed that they are no longer in used. Refer to the attachment for SBO focal confirmation.</x:v>
      </x:c>
      <x:c r="Q75" t="str">
        <x:v>2W</x:v>
      </x:c>
      <x:c r="R75" t="str">
        <x:v>Not in Used</x:v>
      </x:c>
      <x:c r="S75"/>
      <x:c r="T75" t="str">
        <x:v>approved</x:v>
      </x:c>
      <x:c r="U75" t="str">
        <x:v>anissyafiqah.matzail@petronas.com</x:v>
      </x:c>
      <x:c r="V75" t="n">
        <x:v>46045.28050383102</x:v>
      </x:c>
      <x:c r="W75" t="str">
        <x:v>Yes, please proceed to decomm all.</x:v>
      </x:c>
      <x:c r="X75" t="str">
        <x:v>approved</x:v>
      </x:c>
      <x:c r="Y75" t="str">
        <x:v>halim.matnoh@petronas.com</x:v>
      </x:c>
      <x:c r="Z75" t="n">
        <x:v>46048.25916700232</x:v>
      </x:c>
      <x:c r="AA75" t="str">
        <x:v>approved</x:v>
      </x:c>
      <x:c r="AB75" t="str">
        <x:v>approved</x:v>
      </x:c>
      <x:c r="AC75" t="str">
        <x:v>azwan.badari@petronas.com</x:v>
      </x:c>
      <x:c r="AD75" t="n">
        <x:v>46049.123674027775</x:v>
      </x:c>
      <x:c r="AE75" t="str">
        <x:v>Decommission ptawsg-1sbodb01</x:v>
      </x:c>
      <x:c r="AF75" t="str">
        <x:v>approved</x:v>
      </x:c>
      <x:c r="AG75" t="str">
        <x:v>azwan.badari@petronas.com</x:v>
      </x:c>
      <x:c r="AH75" t="n">
        <x:v>46051.161858125</x:v>
      </x:c>
      <x:c r="AI75" t="str">
        <x:v>Completed</x:v>
      </x:c>
      <x:c r="AJ75" t="str">
        <x:v>A-000372</x:v>
      </x:c>
      <x:c r="AK75" t="str">
        <x:v>OCI-00023</x:v>
      </x:c>
      <x:c r="AL75" t="str">
        <x:v>M</x:v>
      </x:c>
      <x:c r="AM75" t="str">
        <x:v>REQ000007842867</x:v>
      </x:c>
      <x:c r="AN75" t="str">
        <x:v>noretention</x:v>
      </x:c>
      <x:c r="AO75" t="n">
        <x:v>0</x:v>
      </x:c>
      <x:c r="AP75" s="23" t="str">
        <x:f>IF(E75="processing",IF(Z75="","",IF(ISNUMBER(Z75),INT(Z75),DATE(VALUE(LEFT(Z75,4)),VALUE(MID(Z75,6,2)),VALUE(MID(Z75,9,2))))),IF(OR(E75="executing",E75="pending"),IF(AD75="","",IF(ISNUMBER(AD75),INT(AD75),DATE(VALUE(LEFT(AD75,4)),VALUE(MID(AD75,6,2)),VALUE(MID(AD75,9,2))))),""))</x:f>
      </x:c>
      <x:c r="AQ75" s="24" t="str">
        <x:f>IF(AP75="","",INT('Configuration'!$B$4)-AP75)</x:f>
      </x:c>
      <x:c r="AR75" s="25" t="str">
        <x:f>IF(AP75="","Missing Required Date",IF(AQ75&lt;0,"Future Date",IF(AQ75=0,"0 days",IF(AQ75&lt;=2,"1-2 days",IF(AQ75&lt;=7,"3-7 days",IF(AQ75&lt;=14,"8-14 days",IF(AQ75&lt;=30,"15-30 days",IF(AQ75&lt;=60,"31-60 days",IF(AQ75&lt;=70,"61-70 days","71+ days")))))))))</x:f>
        <x:v>Missing Required Date</x:v>
      </x:c>
      <x:c r="AS75" s="25" t="str">
        <x:f>IF(OR(E75="processing",E75="executing",E75="pending"),IF(AP75="","Required aging date missing",IF(AQ75&gt;30,"Escalate &gt;30d",IF(AQ75&gt;14,"Watch &gt;14d","Within 14d"))),"Out of scope")</x:f>
        <x:v>Out of scope</x:v>
      </x:c>
    </x:row>
    <x:row r="76" ht="24" customHeight="1">
      <x:c r="A76" t="str">
        <x:v>b8581bb4-3858-4233-b3ac-6f559264b410</x:v>
      </x:c>
      <x:c r="B76" t="str">
        <x:v>CSSP10334029</x:v>
      </x:c>
      <x:c r="C76" t="str">
        <x:v>anissyafiqah.matzail@petronas.com</x:v>
      </x:c>
      <x:c r="D76" t="str">
        <x:v>decommission-cloud</x:v>
      </x:c>
      <x:c r="E76" t="str">
        <x:v>completed</x:v>
      </x:c>
      <x:c r="F76" t="n">
        <x:v>46045.10757586805</x:v>
      </x:c>
      <x:c r="G76" t="n">
        <x:v>46051.16224954861</x:v>
      </x:c>
      <x:c r="H76" t="n">
        <x:v>46045.27757</x:v>
      </x:c>
      <x:c r="I76" t="str">
        <x:v>IDAMS / WINCAIRS PMA</x:v>
      </x:c>
      <x:c r="J76" t="str">
        <x:v>OCI MIGRATION - IDAMS (PMA)</x:v>
      </x:c>
      <x:c r="K76" t="str">
        <x:v>full</x:v>
      </x:c>
      <x:c r="L76" t="str">
        <x:v>-</x:v>
      </x:c>
      <x:c r="M76" t="str">
        <x:v>halim.matnoh@petronas.com.my</x:v>
      </x:c>
      <x:c r="N76"/>
      <x:c r="O76"/>
      <x:c r="P76" t="str">
        <x:v>Contract has expired on 31/05/2025, and user confirmed that they are no longer in used. Refer to the attachment for PMA focal confirmation.</x:v>
      </x:c>
      <x:c r="Q76" t="str">
        <x:v>2W</x:v>
      </x:c>
      <x:c r="R76" t="str">
        <x:v>Not in Used</x:v>
      </x:c>
      <x:c r="S76"/>
      <x:c r="T76" t="str">
        <x:v>approved</x:v>
      </x:c>
      <x:c r="U76" t="str">
        <x:v>anissyafiqah.matzail@petronas.com</x:v>
      </x:c>
      <x:c r="V76" t="n">
        <x:v>46045.280407280094</x:v>
      </x:c>
      <x:c r="W76" t="str">
        <x:v>Yes, please proceed to decomm all.</x:v>
      </x:c>
      <x:c r="X76" t="str">
        <x:v>approved</x:v>
      </x:c>
      <x:c r="Y76" t="str">
        <x:v>halim.matnoh@petronas.com</x:v>
      </x:c>
      <x:c r="Z76" t="n">
        <x:v>46048.258588703706</x:v>
      </x:c>
      <x:c r="AA76" t="str">
        <x:v>approved</x:v>
      </x:c>
      <x:c r="AB76" t="str">
        <x:v>approved</x:v>
      </x:c>
      <x:c r="AC76" t="str">
        <x:v>azwan.badari@petronas.com</x:v>
      </x:c>
      <x:c r="AD76" t="n">
        <x:v>46049.124175185185</x:v>
      </x:c>
      <x:c r="AE76" t="str">
        <x:v>Decommission ptawsg-1pmadb01</x:v>
      </x:c>
      <x:c r="AF76" t="str">
        <x:v>approved</x:v>
      </x:c>
      <x:c r="AG76" t="str">
        <x:v>azwan.badari@petronas.com</x:v>
      </x:c>
      <x:c r="AH76" t="n">
        <x:v>46051.16224954861</x:v>
      </x:c>
      <x:c r="AI76" t="str">
        <x:v>Completed</x:v>
      </x:c>
      <x:c r="AJ76" t="str">
        <x:v>A-000371</x:v>
      </x:c>
      <x:c r="AK76" t="str">
        <x:v>OCI-00019</x:v>
      </x:c>
      <x:c r="AL76" t="str">
        <x:v>M</x:v>
      </x:c>
      <x:c r="AM76" t="str">
        <x:v>REQ000007842787</x:v>
      </x:c>
      <x:c r="AN76" t="str">
        <x:v>noretention</x:v>
      </x:c>
      <x:c r="AO76" t="n">
        <x:v>0</x:v>
      </x:c>
      <x:c r="AP76" s="23" t="str">
        <x:f>IF(E76="processing",IF(Z76="","",IF(ISNUMBER(Z76),INT(Z76),DATE(VALUE(LEFT(Z76,4)),VALUE(MID(Z76,6,2)),VALUE(MID(Z76,9,2))))),IF(OR(E76="executing",E76="pending"),IF(AD76="","",IF(ISNUMBER(AD76),INT(AD76),DATE(VALUE(LEFT(AD76,4)),VALUE(MID(AD76,6,2)),VALUE(MID(AD76,9,2))))),""))</x:f>
      </x:c>
      <x:c r="AQ76" s="24" t="str">
        <x:f>IF(AP76="","",INT('Configuration'!$B$4)-AP76)</x:f>
      </x:c>
      <x:c r="AR76" s="25" t="str">
        <x:f>IF(AP76="","Missing Required Date",IF(AQ76&lt;0,"Future Date",IF(AQ76=0,"0 days",IF(AQ76&lt;=2,"1-2 days",IF(AQ76&lt;=7,"3-7 days",IF(AQ76&lt;=14,"8-14 days",IF(AQ76&lt;=30,"15-30 days",IF(AQ76&lt;=60,"31-60 days",IF(AQ76&lt;=70,"61-70 days","71+ days")))))))))</x:f>
        <x:v>Missing Required Date</x:v>
      </x:c>
      <x:c r="AS76" s="25" t="str">
        <x:f>IF(OR(E76="processing",E76="executing",E76="pending"),IF(AP76="","Required aging date missing",IF(AQ76&gt;30,"Escalate &gt;30d",IF(AQ76&gt;14,"Watch &gt;14d","Within 14d"))),"Out of scope")</x:f>
        <x:v>Out of scope</x:v>
      </x:c>
    </x:row>
    <x:row r="77" ht="24" customHeight="1">
      <x:c r="A77" t="str">
        <x:v>7acb7bd0-bec5-46cf-a488-6c0e833afa26</x:v>
      </x:c>
      <x:c r="B77" t="str">
        <x:v>CSSP10303191</x:v>
      </x:c>
      <x:c r="C77" t="str">
        <x:v>wanmiqbal.wanmhdnoor@petronas.com</x:v>
      </x:c>
      <x:c r="D77" t="str">
        <x:v>decommission-cloud</x:v>
      </x:c>
      <x:c r="E77" t="str">
        <x:v>completed</x:v>
      </x:c>
      <x:c r="F77" t="n">
        <x:v>46048.090024606485</x:v>
      </x:c>
      <x:c r="G77" t="n">
        <x:v>46052.14945298611</x:v>
      </x:c>
      <x:c r="H77" t="n">
        <x:v>46048.090024606485</x:v>
      </x:c>
      <x:c r="I77" t="str">
        <x:v>Upstream Real Time Data Program - URTD</x:v>
      </x:c>
      <x:c r="J77" t="str">
        <x:v>Installation of Upstream Real Time Data Program (URTD) for Centre of Excellence, PCSB</x:v>
      </x:c>
      <x:c r="K77" t="str">
        <x:v>partial</x:v>
      </x:c>
      <x:c r="L77"/>
      <x:c r="M77" t="str">
        <x:v>mohammadsani.johari@petronas.com</x:v>
      </x:c>
      <x:c r="N77" t="str">
        <x:v>NA</x:v>
      </x:c>
      <x:c r="O77" t="str">
        <x:v>NA</x:v>
      </x:c>
      <x:c r="P77" t="str">
        <x:v>APIM not in used</x:v>
      </x:c>
      <x:c r="Q77" t="str">
        <x:v>2W</x:v>
      </x:c>
      <x:c r="R77" t="str">
        <x:v>Not in Used</x:v>
      </x:c>
      <x:c r="S77"/>
      <x:c r="T77" t="str">
        <x:v>approved</x:v>
      </x:c>
      <x:c r="U77" t="str">
        <x:v>wanmiqbal.wanmhdnoor@petronas.com</x:v>
      </x:c>
      <x:c r="V77" t="n">
        <x:v>46048.09086525463</x:v>
      </x:c>
      <x:c r="W77" t="str">
        <x:v>API Management not in used. </x:v>
      </x:c>
      <x:c r="X77" t="str">
        <x:v>approved</x:v>
      </x:c>
      <x:c r="Y77" t="str">
        <x:v>mohammadsani.johari@petronas.com</x:v>
      </x:c>
      <x:c r="Z77" t="n">
        <x:v>46050.2638690625</x:v>
      </x:c>
      <x:c r="AA77" t="str">
        <x:v>APIM not in used anymore.</x:v>
      </x:c>
      <x:c r="AB77" t="str">
        <x:v>approved</x:v>
      </x:c>
      <x:c r="AC77" t="str">
        <x:v>azwan.badari@petronas.com</x:v>
      </x:c>
      <x:c r="AD77" t="n">
        <x:v>46050.280963969904</x:v>
      </x:c>
      <x:c r="AE77" t="str">
        <x:v>Decommission ptazsg-devurtd2-apim only</x:v>
      </x:c>
      <x:c r="AF77" t="str">
        <x:v>approved</x:v>
      </x:c>
      <x:c r="AG77" t="str">
        <x:v>abdullah.haziq@petronas.com</x:v>
      </x:c>
      <x:c r="AH77" t="n">
        <x:v>46052.149452997684</x:v>
      </x:c>
      <x:c r="AI77" t="str">
        <x:v>decomm complete</x:v>
      </x:c>
      <x:c r="AJ77" t="str">
        <x:v>A-000827</x:v>
      </x:c>
      <x:c r="AK77" t="n">
        <x:v>747</x:v>
      </x:c>
      <x:c r="AL77" t="str">
        <x:v>S</x:v>
      </x:c>
      <x:c r="AM77" t="str">
        <x:v>REQ000007846354</x:v>
      </x:c>
      <x:c r="AN77" t="str">
        <x:v>retention</x:v>
      </x:c>
      <x:c r="AO77" t="n">
        <x:v>14</x:v>
      </x:c>
      <x:c r="AP77" s="23" t="str">
        <x:f>IF(E77="processing",IF(Z77="","",IF(ISNUMBER(Z77),INT(Z77),DATE(VALUE(LEFT(Z77,4)),VALUE(MID(Z77,6,2)),VALUE(MID(Z77,9,2))))),IF(OR(E77="executing",E77="pending"),IF(AD77="","",IF(ISNUMBER(AD77),INT(AD77),DATE(VALUE(LEFT(AD77,4)),VALUE(MID(AD77,6,2)),VALUE(MID(AD77,9,2))))),""))</x:f>
      </x:c>
      <x:c r="AQ77" s="24" t="str">
        <x:f>IF(AP77="","",INT('Configuration'!$B$4)-AP77)</x:f>
      </x:c>
      <x:c r="AR77" s="25" t="str">
        <x:f>IF(AP77="","Missing Required Date",IF(AQ77&lt;0,"Future Date",IF(AQ77=0,"0 days",IF(AQ77&lt;=2,"1-2 days",IF(AQ77&lt;=7,"3-7 days",IF(AQ77&lt;=14,"8-14 days",IF(AQ77&lt;=30,"15-30 days",IF(AQ77&lt;=60,"31-60 days",IF(AQ77&lt;=70,"61-70 days","71+ days")))))))))</x:f>
        <x:v>Missing Required Date</x:v>
      </x:c>
      <x:c r="AS77" s="25" t="str">
        <x:f>IF(OR(E77="processing",E77="executing",E77="pending"),IF(AP77="","Required aging date missing",IF(AQ77&gt;30,"Escalate &gt;30d",IF(AQ77&gt;14,"Watch &gt;14d","Within 14d"))),"Out of scope")</x:f>
        <x:v>Out of scope</x:v>
      </x:c>
    </x:row>
    <x:row r="78" ht="24" customHeight="1">
      <x:c r="A78" t="str">
        <x:v>4bb4f4d7-db29-42d7-911e-33bbeff5c3cc</x:v>
      </x:c>
      <x:c r="B78" t="str">
        <x:v>CSSP10810813</x:v>
      </x:c>
      <x:c r="C78" t="str">
        <x:v>abdullahnaqib.hassa@petronas.com</x:v>
      </x:c>
      <x:c r="D78" t="str">
        <x:v>decommission-cloud</x:v>
      </x:c>
      <x:c r="E78" t="str">
        <x:v>completed</x:v>
      </x:c>
      <x:c r="F78" t="n">
        <x:v>46048.29415862269</x:v>
      </x:c>
      <x:c r="G78" t="n">
        <x:v>46066.29397096065</x:v>
      </x:c>
      <x:c r="H78" t="n">
        <x:v>46048.29616762731</x:v>
      </x:c>
      <x:c r="I78" t="str">
        <x:v>SAP 30 ECC6</x:v>
      </x:c>
      <x:c r="J78" t="str">
        <x:v>ERP Transformation - Central Finance Implementation – Global Design (Remark : PETRONAS CFIN Source System Box MC1)(Y30)</x:v>
      </x:c>
      <x:c r="K78" t="str">
        <x:v>partial</x:v>
      </x:c>
      <x:c r="L78"/>
      <x:c r="M78" t="str">
        <x:v>rizuanatan@petronas.com</x:v>
      </x:c>
      <x:c r="N78" t="str">
        <x:v>sapy30scs.petronas.com,peteccmc1.petronas.com</x:v>
      </x:c>
      <x:c r="O78"/>
      <x:c r="P78" t="str">
        <x:v>No longer required. Project went live</x:v>
      </x:c>
      <x:c r="Q78" t="str">
        <x:v>2W</x:v>
      </x:c>
      <x:c r="R78" t="str">
        <x:v>Not in Used</x:v>
      </x:c>
      <x:c r="S78"/>
      <x:c r="T78" t="str">
        <x:v>approved</x:v>
      </x:c>
      <x:c r="U78" t="str">
        <x:v>abdullahnaqib.hassa@petronas.com</x:v>
      </x:c>
      <x:c r="V78" t="n">
        <x:v>46048.318922025464</x:v>
      </x:c>
      <x:c r="W78" t="str">
        <x:v>Please decom all resource under PTAZSG-UAT-SAP-CFIN-QAS-Y30-RG</x:v>
      </x:c>
      <x:c r="X78" t="str">
        <x:v>approved</x:v>
      </x:c>
      <x:c r="Y78" t="str">
        <x:v>rizuanatan@petronas.com</x:v>
      </x:c>
      <x:c r="Z78" t="n">
        <x:v>46048.35221680556</x:v>
      </x:c>
      <x:c r="AA78" t="str">
        <x:v>No longer required by project team.</x:v>
      </x:c>
      <x:c r="AB78" t="str">
        <x:v>approved</x:v>
      </x:c>
      <x:c r="AC78" t="str">
        <x:v>azwan.badari@petronas.com</x:v>
      </x:c>
      <x:c r="AD78" t="n">
        <x:v>46049.12039653935</x:v>
      </x:c>
      <x:c r="AE78" t="str">
        <x:v>Decommission all resources and delete RG PTAZSG-UAT-SAP-CFIN-QAS-Y30-RG</x:v>
      </x:c>
      <x:c r="AF78" t="str">
        <x:v>approved</x:v>
      </x:c>
      <x:c r="AG78" t="str">
        <x:v>azlisham.md@petronas.com</x:v>
      </x:c>
      <x:c r="AH78" t="n">
        <x:v>46066.29397097222</x:v>
      </x:c>
      <x:c r="AI78" t="str">
        <x:v>The decommission request has been completed, and the status is now updated accordingly. Kindly verify from your end and confirm once reviewed.
</x:v>
      </x:c>
      <x:c r="AJ78" t="str">
        <x:v>A-000714</x:v>
      </x:c>
      <x:c r="AK78" t="str">
        <x:v>01405_13</x:v>
      </x:c>
      <x:c r="AL78" t="str">
        <x:v>M</x:v>
      </x:c>
      <x:c r="AM78" t="str">
        <x:v>REQ000007842778</x:v>
      </x:c>
      <x:c r="AN78" t="str">
        <x:v>noretention</x:v>
      </x:c>
      <x:c r="AO78" t="n">
        <x:v>0</x:v>
      </x:c>
      <x:c r="AP78" s="23" t="str">
        <x:f>IF(E78="processing",IF(Z78="","",IF(ISNUMBER(Z78),INT(Z78),DATE(VALUE(LEFT(Z78,4)),VALUE(MID(Z78,6,2)),VALUE(MID(Z78,9,2))))),IF(OR(E78="executing",E78="pending"),IF(AD78="","",IF(ISNUMBER(AD78),INT(AD78),DATE(VALUE(LEFT(AD78,4)),VALUE(MID(AD78,6,2)),VALUE(MID(AD78,9,2))))),""))</x:f>
      </x:c>
      <x:c r="AQ78" s="24" t="str">
        <x:f>IF(AP78="","",INT('Configuration'!$B$4)-AP78)</x:f>
      </x:c>
      <x:c r="AR78" s="25" t="str">
        <x:f>IF(AP78="","Missing Required Date",IF(AQ78&lt;0,"Future Date",IF(AQ78=0,"0 days",IF(AQ78&lt;=2,"1-2 days",IF(AQ78&lt;=7,"3-7 days",IF(AQ78&lt;=14,"8-14 days",IF(AQ78&lt;=30,"15-30 days",IF(AQ78&lt;=60,"31-60 days",IF(AQ78&lt;=70,"61-70 days","71+ days")))))))))</x:f>
        <x:v>Missing Required Date</x:v>
      </x:c>
      <x:c r="AS78" s="25" t="str">
        <x:f>IF(OR(E78="processing",E78="executing",E78="pending"),IF(AP78="","Required aging date missing",IF(AQ78&gt;30,"Escalate &gt;30d",IF(AQ78&gt;14,"Watch &gt;14d","Within 14d"))),"Out of scope")</x:f>
        <x:v>Out of scope</x:v>
      </x:c>
    </x:row>
    <x:row r="79" ht="24" customHeight="1">
      <x:c r="A79" t="str">
        <x:v>16cec1dd-b569-468b-9d9f-b4bf5d5e1465</x:v>
      </x:c>
      <x:c r="B79" t="str">
        <x:v>CSSP10900691</x:v>
      </x:c>
      <x:c r="C79" t="str">
        <x:v>abdullahnaqib.hassa@petronas.com</x:v>
      </x:c>
      <x:c r="D79" t="str">
        <x:v>decommission-cloud</x:v>
      </x:c>
      <x:c r="E79" t="str">
        <x:v>completed</x:v>
      </x:c>
      <x:c r="F79" t="n">
        <x:v>46048.321216412034</x:v>
      </x:c>
      <x:c r="G79" t="n">
        <x:v>46050.13567537037</x:v>
      </x:c>
      <x:c r="H79" t="n">
        <x:v>46048.321216412034</x:v>
      </x:c>
      <x:c r="I79" t="str">
        <x:v>SAP 68 Central Finance - CFIN</x:v>
      </x:c>
      <x:c r="J79" t="str">
        <x:v>ERP Transformation - Central Finance Implementation – Global Design (Remark : PETRONAS CFIN - MC1 - CFIN)(X68)</x:v>
      </x:c>
      <x:c r="K79" t="str">
        <x:v>partial</x:v>
      </x:c>
      <x:c r="L79"/>
      <x:c r="M79" t="str">
        <x:v>rizuanatan@petronas.com</x:v>
      </x:c>
      <x:c r="N79"/>
      <x:c r="O79"/>
      <x:c r="P79" t="str">
        <x:v>No longer required, migrated to SAP RISE</x:v>
      </x:c>
      <x:c r="Q79" t="str">
        <x:v>2W</x:v>
      </x:c>
      <x:c r="R79" t="str">
        <x:v>Not in Used</x:v>
      </x:c>
      <x:c r="S79"/>
      <x:c r="T79" t="str">
        <x:v>approved</x:v>
      </x:c>
      <x:c r="U79" t="str">
        <x:v>abdullahnaqib.hassa@petronas.com</x:v>
      </x:c>
      <x:c r="V79" t="n">
        <x:v>46048.32158747685</x:v>
      </x:c>
      <x:c r="W79" t="str">
        <x:v>Delete all in PTAZSG-UAT-SAP-CFIN-X68-RG resource group</x:v>
      </x:c>
      <x:c r="X79" t="str">
        <x:v>approved</x:v>
      </x:c>
      <x:c r="Y79" t="str">
        <x:v>rizuanatan@petronas.com</x:v>
      </x:c>
      <x:c r="Z79" t="n">
        <x:v>46048.34661945602</x:v>
      </x:c>
      <x:c r="AA79" t="str">
        <x:v>X68 SID no longer use.</x:v>
      </x:c>
      <x:c r="AB79" t="str">
        <x:v>approved</x:v>
      </x:c>
      <x:c r="AC79" t="str">
        <x:v>azwan.badari@petronas.com</x:v>
      </x:c>
      <x:c r="AD79" t="n">
        <x:v>46049.120088599535</x:v>
      </x:c>
      <x:c r="AE79" t="str">
        <x:v>Decommission all resources and delete RG PTAZSG-UAT-SAP-CFIN-X68-RG</x:v>
      </x:c>
      <x:c r="AF79" t="str">
        <x:v>approved</x:v>
      </x:c>
      <x:c r="AG79" t="str">
        <x:v>azlisham.md@petronas.com</x:v>
      </x:c>
      <x:c r="AH79" t="n">
        <x:v>46050.13567537037</x:v>
      </x:c>
      <x:c r="AI79" t="str">
        <x:v>The decommission request has been completed, and the status is now updated accordingly. Kindly verify from your end and confirm once reviewed.
</x:v>
      </x:c>
      <x:c r="AJ79" t="str">
        <x:v>A-000731</x:v>
      </x:c>
      <x:c r="AK79" t="str">
        <x:v>01803_19</x:v>
      </x:c>
      <x:c r="AL79" t="str">
        <x:v>M</x:v>
      </x:c>
      <x:c r="AM79" t="str">
        <x:v>REQ000007842862</x:v>
      </x:c>
      <x:c r="AN79" t="str">
        <x:v>disposal</x:v>
      </x:c>
      <x:c r="AO79" t="n">
        <x:v>0</x:v>
      </x:c>
      <x:c r="AP79" s="23" t="str">
        <x:f>IF(E79="processing",IF(Z79="","",IF(ISNUMBER(Z79),INT(Z79),DATE(VALUE(LEFT(Z79,4)),VALUE(MID(Z79,6,2)),VALUE(MID(Z79,9,2))))),IF(OR(E79="executing",E79="pending"),IF(AD79="","",IF(ISNUMBER(AD79),INT(AD79),DATE(VALUE(LEFT(AD79,4)),VALUE(MID(AD79,6,2)),VALUE(MID(AD79,9,2))))),""))</x:f>
      </x:c>
      <x:c r="AQ79" s="24" t="str">
        <x:f>IF(AP79="","",INT('Configuration'!$B$4)-AP79)</x:f>
      </x:c>
      <x:c r="AR79" s="25" t="str">
        <x:f>IF(AP79="","Missing Required Date",IF(AQ79&lt;0,"Future Date",IF(AQ79=0,"0 days",IF(AQ79&lt;=2,"1-2 days",IF(AQ79&lt;=7,"3-7 days",IF(AQ79&lt;=14,"8-14 days",IF(AQ79&lt;=30,"15-30 days",IF(AQ79&lt;=60,"31-60 days",IF(AQ79&lt;=70,"61-70 days","71+ days")))))))))</x:f>
        <x:v>Missing Required Date</x:v>
      </x:c>
      <x:c r="AS79" s="25" t="str">
        <x:f>IF(OR(E79="processing",E79="executing",E79="pending"),IF(AP79="","Required aging date missing",IF(AQ79&gt;30,"Escalate &gt;30d",IF(AQ79&gt;14,"Watch &gt;14d","Within 14d"))),"Out of scope")</x:f>
        <x:v>Out of scope</x:v>
      </x:c>
    </x:row>
    <x:row r="80" ht="24" customHeight="1">
      <x:c r="A80" t="str">
        <x:v>4768ac08-8ace-4aa5-9cf6-c8e017043438</x:v>
      </x:c>
      <x:c r="B80" t="str">
        <x:v>CSSP10853444</x:v>
      </x:c>
      <x:c r="C80" t="str">
        <x:v>joharizam.mahmood@petronas.com</x:v>
      </x:c>
      <x:c r="D80" t="str">
        <x:v>decommission-cloud</x:v>
      </x:c>
      <x:c r="E80" t="str">
        <x:v>completed</x:v>
      </x:c>
      <x:c r="F80" t="n">
        <x:v>46048.37316362269</x:v>
      </x:c>
      <x:c r="G80" t="n">
        <x:v>46076.16789613426</x:v>
      </x:c>
      <x:c r="H80" t="n">
        <x:v>46048.37812184028</x:v>
      </x:c>
      <x:c r="I80" t="str">
        <x:v>PETRONAS Unified Search and Personal Assistant - PUSPA for REAL</x:v>
      </x:c>
      <x:c r="J80" t="str">
        <x:v>PETRONAS Unified Search and Personal Assistant (PUSPA) EPIC 1 and EPIC 2 Development</x:v>
      </x:c>
      <x:c r="K80" t="str">
        <x:v>partial</x:v>
      </x:c>
      <x:c r="L80"/>
      <x:c r="M80" t="str">
        <x:v>khairuldin.zubai@petronas.com.my</x:v>
      </x:c>
      <x:c r="N80"/>
      <x:c r="O80"/>
      <x:c r="P80" t="str">
        <x:v>Request to delete the resource group ptazsg-dev-pdb-rg, as it is no longer required by PUSPA+ REAL Dashboard on post‑decommissioning of PUSPA in Sept 2024</x:v>
      </x:c>
      <x:c r="Q80" t="str">
        <x:v>2W</x:v>
      </x:c>
      <x:c r="R80" t="str">
        <x:v>Not in Used</x:v>
      </x:c>
      <x:c r="S80"/>
      <x:c r="T80" t="str">
        <x:v>approved</x:v>
      </x:c>
      <x:c r="U80" t="str">
        <x:v>joharizam.mahmood@petronas.com</x:v>
      </x:c>
      <x:c r="V80" t="n">
        <x:v>46048.38169515046</x:v>
      </x:c>
      <x:c r="W80" t="str">
        <x:v>Confirmation to delete all related resources under RG: ptazsg-dev-pdb-rg, as it is no longer required by PUSPA+ REAL Dashboard on post‑decommissioning of PUSPA
</x:v>
      </x:c>
      <x:c r="X80" t="str">
        <x:v>approved</x:v>
      </x:c>
      <x:c r="Y80" t="str">
        <x:v>khairuldin.zubai@petronas.com</x:v>
      </x:c>
      <x:c r="Z80" t="n">
        <x:v>46066.18494037037</x:v>
      </x:c>
      <x:c r="AA80" t="str">
        <x:v>Confirmed with PUSPA Product Manager Joharizam that the RG is not used by PUSPA and REAL Dashboard</x:v>
      </x:c>
      <x:c r="AB80" t="str">
        <x:v>approved</x:v>
      </x:c>
      <x:c r="AC80" t="str">
        <x:v>azwan.badari@petronas.com</x:v>
      </x:c>
      <x:c r="AD80" t="n">
        <x:v>46072.292499131945</x:v>
      </x:c>
      <x:c r="AE80" t="str">
        <x:v>Proceed</x:v>
      </x:c>
      <x:c r="AF80" t="str">
        <x:v>approved</x:v>
      </x:c>
      <x:c r="AG80" t="str">
        <x:v>azlisham.md@petronas.com</x:v>
      </x:c>
      <x:c r="AH80" t="n">
        <x:v>46076.16789614583</x:v>
      </x:c>
      <x:c r="AI80" t="str">
        <x:v>The decommission request has been completed, and the status is now updated accordingly. Kindly verify from your end and confirm once reviewed.
</x:v>
      </x:c>
      <x:c r="AJ80" t="str">
        <x:v>A-001245</x:v>
      </x:c>
      <x:c r="AK80" t="n">
        <x:v>1478</x:v>
      </x:c>
      <x:c r="AL80" t="str">
        <x:v>M</x:v>
      </x:c>
      <x:c r="AM80" t="str">
        <x:v>REQ000007881185</x:v>
      </x:c>
      <x:c r="AN80" t="str">
        <x:v>noretention</x:v>
      </x:c>
      <x:c r="AO80" t="n">
        <x:v>0</x:v>
      </x:c>
      <x:c r="AP80" s="23" t="str">
        <x:f>IF(E80="processing",IF(Z80="","",IF(ISNUMBER(Z80),INT(Z80),DATE(VALUE(LEFT(Z80,4)),VALUE(MID(Z80,6,2)),VALUE(MID(Z80,9,2))))),IF(OR(E80="executing",E80="pending"),IF(AD80="","",IF(ISNUMBER(AD80),INT(AD80),DATE(VALUE(LEFT(AD80,4)),VALUE(MID(AD80,6,2)),VALUE(MID(AD80,9,2))))),""))</x:f>
      </x:c>
      <x:c r="AQ80" s="24" t="str">
        <x:f>IF(AP80="","",INT('Configuration'!$B$4)-AP80)</x:f>
      </x:c>
      <x:c r="AR80" s="25" t="str">
        <x:f>IF(AP80="","Missing Required Date",IF(AQ80&lt;0,"Future Date",IF(AQ80=0,"0 days",IF(AQ80&lt;=2,"1-2 days",IF(AQ80&lt;=7,"3-7 days",IF(AQ80&lt;=14,"8-14 days",IF(AQ80&lt;=30,"15-30 days",IF(AQ80&lt;=60,"31-60 days",IF(AQ80&lt;=70,"61-70 days","71+ days")))))))))</x:f>
        <x:v>Missing Required Date</x:v>
      </x:c>
      <x:c r="AS80" s="25" t="str">
        <x:f>IF(OR(E80="processing",E80="executing",E80="pending"),IF(AP80="","Required aging date missing",IF(AQ80&gt;30,"Escalate &gt;30d",IF(AQ80&gt;14,"Watch &gt;14d","Within 14d"))),"Out of scope")</x:f>
        <x:v>Out of scope</x:v>
      </x:c>
    </x:row>
    <x:row r="81" ht="24" customHeight="1">
      <x:c r="A81" t="str">
        <x:v>b6b412df-de85-45dd-81f0-30040e4604b4</x:v>
      </x:c>
      <x:c r="B81" t="str">
        <x:v>CSSP10790999</x:v>
      </x:c>
      <x:c r="C81" t="str">
        <x:v>izham.ajmaan@petronas.com</x:v>
      </x:c>
      <x:c r="D81" t="str">
        <x:v>decommission-cloud</x:v>
      </x:c>
      <x:c r="E81" t="str">
        <x:v>completed</x:v>
      </x:c>
      <x:c r="F81" t="n">
        <x:v>46049.19318569444</x:v>
      </x:c>
      <x:c r="G81" t="n">
        <x:v>46059.16956327546</x:v>
      </x:c>
      <x:c r="H81" t="n">
        <x:v>46049.19318569444</x:v>
      </x:c>
      <x:c r="I81" t="str">
        <x:v>VMware vCenter PRPC RTOT</x:v>
      </x:c>
      <x:c r="J81" t="str">
        <x:v>VMware vCenter PRPC RTOT created for PRIVATECLOUD project record</x:v>
      </x:c>
      <x:c r="K81" t="str">
        <x:v>ci</x:v>
      </x:c>
      <x:c r="L81"/>
      <x:c r="M81" t="str">
        <x:v>raihan_ahmad@petronas.com</x:v>
      </x:c>
      <x:c r="N81"/>
      <x:c r="O81"/>
      <x:c r="P81" t="str">
        <x:v>OPZ-2-MAC
vms-0291101
vms-0291102
OPZ-7-MAC
vms-0791101
vms-0791102</x:v>
      </x:c>
      <x:c r="Q81" t="str">
        <x:v>3M</x:v>
      </x:c>
      <x:c r="R81" t="str">
        <x:v>Not in Used</x:v>
      </x:c>
      <x:c r="S81"/>
      <x:c r="T81" t="str">
        <x:v>approved</x:v>
      </x:c>
      <x:c r="U81" t="str">
        <x:v>izham.ajmaan@petronas.com</x:v>
      </x:c>
      <x:c r="V81" t="n">
        <x:v>46050.13935665509</x:v>
      </x:c>
      <x:c r="W81" t="str">
        <x:v>vms-0291101 | 172.19.100.151	 
vms-0291102 | 172.19.100.153
vms-0791101 | 172.24.100.151
vms-0791102 | 172.24.100.153</x:v>
      </x:c>
      <x:c r="X81" t="str">
        <x:v>approved</x:v>
      </x:c>
      <x:c r="Y81" t="str">
        <x:v>raihan_ahmad@petronas.com</x:v>
      </x:c>
      <x:c r="Z81" t="n">
        <x:v>46050.279515243055</x:v>
      </x:c>
      <x:c r="AA81" t="str">
        <x:v>Approved since there is no utilizing  on the VM and for optimizing the cost.</x:v>
      </x:c>
      <x:c r="AB81" t="str">
        <x:v>approved</x:v>
      </x:c>
      <x:c r="AC81" t="str">
        <x:v>azwan.badari@petronas.com</x:v>
      </x:c>
      <x:c r="AD81" t="n">
        <x:v>46050.28249275463</x:v>
      </x:c>
      <x:c r="AE81" t="str">
        <x:v>On-premise VM</x:v>
      </x:c>
      <x:c r="AF81" t="str">
        <x:v>approved</x:v>
      </x:c>
      <x:c r="AG81" t="str">
        <x:v>azlisham.md@petronas.com</x:v>
      </x:c>
      <x:c r="AH81" t="n">
        <x:v>46059.16956329861</x:v>
      </x:c>
      <x:c r="AI81" t="str">
        <x:v>The decommission request has been completed, and the status is now updated accordingly. Kindly verify from your end and confirm once reviewed.
</x:v>
      </x:c>
      <x:c r="AJ81" t="str">
        <x:v>P-000049</x:v>
      </x:c>
      <x:c r="AK81" t="str">
        <x:v>10188_11</x:v>
      </x:c>
      <x:c r="AL81" t="str">
        <x:v>M</x:v>
      </x:c>
      <x:c r="AM81" t="str">
        <x:v>REQ000007846201</x:v>
      </x:c>
      <x:c r="AN81" t="str">
        <x:v>noretention</x:v>
      </x:c>
      <x:c r="AO81" t="n">
        <x:v>0</x:v>
      </x:c>
      <x:c r="AP81" s="23" t="str">
        <x:f>IF(E81="processing",IF(Z81="","",IF(ISNUMBER(Z81),INT(Z81),DATE(VALUE(LEFT(Z81,4)),VALUE(MID(Z81,6,2)),VALUE(MID(Z81,9,2))))),IF(OR(E81="executing",E81="pending"),IF(AD81="","",IF(ISNUMBER(AD81),INT(AD81),DATE(VALUE(LEFT(AD81,4)),VALUE(MID(AD81,6,2)),VALUE(MID(AD81,9,2))))),""))</x:f>
      </x:c>
      <x:c r="AQ81" s="24" t="str">
        <x:f>IF(AP81="","",INT('Configuration'!$B$4)-AP81)</x:f>
      </x:c>
      <x:c r="AR81" s="25" t="str">
        <x:f>IF(AP81="","Missing Required Date",IF(AQ81&lt;0,"Future Date",IF(AQ81=0,"0 days",IF(AQ81&lt;=2,"1-2 days",IF(AQ81&lt;=7,"3-7 days",IF(AQ81&lt;=14,"8-14 days",IF(AQ81&lt;=30,"15-30 days",IF(AQ81&lt;=60,"31-60 days",IF(AQ81&lt;=70,"61-70 days","71+ days")))))))))</x:f>
        <x:v>Missing Required Date</x:v>
      </x:c>
      <x:c r="AS81" s="25" t="str">
        <x:f>IF(OR(E81="processing",E81="executing",E81="pending"),IF(AP81="","Required aging date missing",IF(AQ81&gt;30,"Escalate &gt;30d",IF(AQ81&gt;14,"Watch &gt;14d","Within 14d"))),"Out of scope")</x:f>
        <x:v>Out of scope</x:v>
      </x:c>
    </x:row>
    <x:row r="82" ht="24" customHeight="1">
      <x:c r="A82" t="str">
        <x:v>6a73b2fb-bd5b-4932-94ab-131925f5df5b</x:v>
      </x:c>
      <x:c r="B82" t="str">
        <x:v>CSSP10214238</x:v>
      </x:c>
      <x:c r="C82" t="str">
        <x:v>ramzan.mujib@petronas.com</x:v>
      </x:c>
      <x:c r="D82" t="str">
        <x:v>decommission-cloud</x:v>
      </x:c>
      <x:c r="E82" t="str">
        <x:v>completed</x:v>
      </x:c>
      <x:c r="F82" t="n">
        <x:v>46049.29746436342</x:v>
      </x:c>
      <x:c r="G82" t="n">
        <x:v>46098.17611399305</x:v>
      </x:c>
      <x:c r="H82" t="n">
        <x:v>46049.29746436342</x:v>
      </x:c>
      <x:c r="I82" t="str">
        <x:v>Plant Incident Reporting System - PIRS PCMTBE</x:v>
      </x:c>
      <x:c r="J82" t="str">
        <x:v>Cloud Migration Programme - Plant Incident Report</x:v>
      </x:c>
      <x:c r="K82" t="str">
        <x:v>full</x:v>
      </x:c>
      <x:c r="L82" t="str">
        <x:v>Not Applicable</x:v>
      </x:c>
      <x:c r="M82" t="str">
        <x:v>amelia_yeow@petronas.com.my</x:v>
      </x:c>
      <x:c r="N82"/>
      <x:c r="O82"/>
      <x:c r="P82" t="str">
        <x:v>PIR app. in black swan 2025 list and approved for decom by management after migrate to APM PLA</x:v>
      </x:c>
      <x:c r="Q82" t="str">
        <x:v>6M</x:v>
      </x:c>
      <x:c r="R82" t="str">
        <x:v>End of Lease</x:v>
      </x:c>
      <x:c r="S82"/>
      <x:c r="T82" t="str">
        <x:v>approved</x:v>
      </x:c>
      <x:c r="U82" t="str">
        <x:v>ramzan.mujib@petronas.com</x:v>
      </x:c>
      <x:c r="V82" t="n">
        <x:v>46049.2982281713</x:v>
      </x:c>
      <x:c r="W82" t="str">
        <x:v>Proceed as per approval PC MTBE  Black Swan 2025</x:v>
      </x:c>
      <x:c r="X82" t="str">
        <x:v>approved</x:v>
      </x:c>
      <x:c r="Y82" t="str">
        <x:v>amelia_yeow@petronas.com</x:v>
      </x:c>
      <x:c r="Z82" t="n">
        <x:v>46097.10988611111</x:v>
      </x:c>
      <x:c r="AA82" t="str">
        <x:v>Necessary steps have been completed prior to decom</x:v>
      </x:c>
      <x:c r="AB82" t="str">
        <x:v>approved</x:v>
      </x:c>
      <x:c r="AC82" t="str">
        <x:v>azwan.badari@petronas.com</x:v>
      </x:c>
      <x:c r="AD82" t="n">
        <x:v>46097.285399988425</x:v>
      </x:c>
      <x:c r="AE82" t="str">
        <x:v>Proceed to full decommission. Delete resources and RG, PTAZSG-IAC-DEV-PIR-PC-MTBE-RG &amp; PTAZSG-IAC-PROD-PIR-PC-MTBE-RG</x:v>
      </x:c>
      <x:c r="AF82" t="str">
        <x:v>approved</x:v>
      </x:c>
      <x:c r="AG82" t="str">
        <x:v>azwan.badari@petronas.com</x:v>
      </x:c>
      <x:c r="AH82" t="n">
        <x:v>46098.17611400463</x:v>
      </x:c>
      <x:c r="AI82" t="str">
        <x:v>Completed with the listed resources. To check the activity of the DB in SQLMI with the same project code, if not in use decide if those will be decommissioned too or not. </x:v>
      </x:c>
      <x:c r="AJ82" t="str">
        <x:v>A-000600</x:v>
      </x:c>
      <x:c r="AK82" t="str">
        <x:v>02421_124</x:v>
      </x:c>
      <x:c r="AL82" t="str">
        <x:v>S</x:v>
      </x:c>
      <x:c r="AM82" t="str">
        <x:v>REQ000007937995</x:v>
      </x:c>
      <x:c r="AN82" t="str">
        <x:v>disposal</x:v>
      </x:c>
      <x:c r="AO82" t="n">
        <x:v>0</x:v>
      </x:c>
      <x:c r="AP82" s="23" t="str">
        <x:f>IF(E82="processing",IF(Z82="","",IF(ISNUMBER(Z82),INT(Z82),DATE(VALUE(LEFT(Z82,4)),VALUE(MID(Z82,6,2)),VALUE(MID(Z82,9,2))))),IF(OR(E82="executing",E82="pending"),IF(AD82="","",IF(ISNUMBER(AD82),INT(AD82),DATE(VALUE(LEFT(AD82,4)),VALUE(MID(AD82,6,2)),VALUE(MID(AD82,9,2))))),""))</x:f>
      </x:c>
      <x:c r="AQ82" s="24" t="str">
        <x:f>IF(AP82="","",INT('Configuration'!$B$4)-AP82)</x:f>
      </x:c>
      <x:c r="AR82" s="25" t="str">
        <x:f>IF(AP82="","Missing Required Date",IF(AQ82&lt;0,"Future Date",IF(AQ82=0,"0 days",IF(AQ82&lt;=2,"1-2 days",IF(AQ82&lt;=7,"3-7 days",IF(AQ82&lt;=14,"8-14 days",IF(AQ82&lt;=30,"15-30 days",IF(AQ82&lt;=60,"31-60 days",IF(AQ82&lt;=70,"61-70 days","71+ days")))))))))</x:f>
        <x:v>Missing Required Date</x:v>
      </x:c>
      <x:c r="AS82" s="25" t="str">
        <x:f>IF(OR(E82="processing",E82="executing",E82="pending"),IF(AP82="","Required aging date missing",IF(AQ82&gt;30,"Escalate &gt;30d",IF(AQ82&gt;14,"Watch &gt;14d","Within 14d"))),"Out of scope")</x:f>
        <x:v>Out of scope</x:v>
      </x:c>
    </x:row>
    <x:row r="83" ht="24" customHeight="1">
      <x:c r="A83" t="str">
        <x:v>77524547-9556-4680-8e15-ff261708c2a8</x:v>
      </x:c>
      <x:c r="B83" t="str">
        <x:v>CSSP10289737</x:v>
      </x:c>
      <x:c r="C83" t="str">
        <x:v>sengchin.leong@petronas.com</x:v>
      </x:c>
      <x:c r="D83" t="str">
        <x:v>decommission-cloud</x:v>
      </x:c>
      <x:c r="E83" t="str">
        <x:v>pending</x:v>
      </x:c>
      <x:c r="F83" t="n">
        <x:v>46050.01319706019</x:v>
      </x:c>
      <x:c r="G83" t="n">
        <x:v>46050.01579672454</x:v>
      </x:c>
      <x:c r="H83" t="n">
        <x:v>46050.01319706019</x:v>
      </x:c>
      <x:c r="I83" t="str">
        <x:v>Cyber Security Mandiant Security Validation - MSV BFDC</x:v>
      </x:c>
      <x:c r="J83" t="str">
        <x:v>Cyber Security Mandiant Security Validation - MSV BFDC created for PRIVATECLOUD project record</x:v>
      </x:c>
      <x:c r="K83" t="str">
        <x:v>partial</x:v>
      </x:c>
      <x:c r="L83"/>
      <x:c r="M83" t="str">
        <x:v>mshafri.hatta@petronas.com</x:v>
      </x:c>
      <x:c r="N83"/>
      <x:c r="O83"/>
      <x:c r="P83" t="str">
        <x:v>One of the module (172.25.8.83) has been unsubscribed due to cost optimization.
the VM no longer in use</x:v>
      </x:c>
      <x:c r="Q83" t="str">
        <x:v>12M</x:v>
      </x:c>
      <x:c r="R83" t="str">
        <x:v>End of Lease</x:v>
      </x:c>
      <x:c r="S83"/>
      <x:c r="T83" t="str">
        <x:v>approved</x:v>
      </x:c>
      <x:c r="U83" t="str">
        <x:v>sengchin.leong@petronas.com</x:v>
      </x:c>
      <x:c r="V83" t="n">
        <x:v>46050.01579673611</x:v>
      </x:c>
      <x:c r="W83" t="str">
        <x:v>decommission for MSV (Mandiant Security Validation) - Protected Theatre module - 172.25.8.83
The module has been unsubscribed and VM no longer in used</x:v>
      </x:c>
      <x:c r="X83"/>
      <x:c r="Y83" t="str">
        <x:v>mshafri.hatta@petronas.com</x:v>
      </x:c>
      <x:c r="Z83"/>
      <x:c r="AA83"/>
      <x:c r="AB83"/>
      <x:c r="AC83" t="str">
        <x:v>CCoE Business</x:v>
      </x:c>
      <x:c r="AD83"/>
      <x:c r="AE83"/>
      <x:c r="AF83"/>
      <x:c r="AG83" t="str">
        <x:v>CCoE Operations</x:v>
      </x:c>
      <x:c r="AH83"/>
      <x:c r="AI83"/>
      <x:c r="AJ83" t="str">
        <x:v>A-000170</x:v>
      </x:c>
      <x:c r="AK83" t="n">
        <x:v>10213</x:v>
      </x:c>
      <x:c r="AL83"/>
      <x:c r="AM83"/>
      <x:c r="AN83" t="str">
        <x:v>retention</x:v>
      </x:c>
      <x:c r="AO83" t="n">
        <x:v>30</x:v>
      </x:c>
      <x:c r="AP83" s="23" t="str">
        <x:f>IF(E83="processing",IF(Z83="","",IF(ISNUMBER(Z83),INT(Z83),DATE(VALUE(LEFT(Z83,4)),VALUE(MID(Z83,6,2)),VALUE(MID(Z83,9,2))))),IF(OR(E83="executing",E83="pending"),IF(AD83="","",IF(ISNUMBER(AD83),INT(AD83),DATE(VALUE(LEFT(AD83,4)),VALUE(MID(AD83,6,2)),VALUE(MID(AD83,9,2))))),""))</x:f>
      </x:c>
      <x:c r="AQ83" s="24" t="str">
        <x:f>IF(AP83="","",INT('Configuration'!$B$4)-AP83)</x:f>
      </x:c>
      <x:c r="AR83" s="25" t="str">
        <x:f>IF(AP83="","Missing Required Date",IF(AQ83&lt;0,"Future Date",IF(AQ83=0,"0 days",IF(AQ83&lt;=2,"1-2 days",IF(AQ83&lt;=7,"3-7 days",IF(AQ83&lt;=14,"8-14 days",IF(AQ83&lt;=30,"15-30 days",IF(AQ83&lt;=60,"31-60 days",IF(AQ83&lt;=70,"61-70 days","71+ days")))))))))</x:f>
        <x:v>Missing Required Date</x:v>
      </x:c>
      <x:c r="AS83" s="25" t="str">
        <x:f>IF(OR(E83="processing",E83="executing",E83="pending"),IF(AP83="","Required aging date missing",IF(AQ83&gt;30,"Escalate &gt;30d",IF(AQ83&gt;14,"Watch &gt;14d","Within 14d"))),"Out of scope")</x:f>
        <x:v>Required aging date missing</x:v>
      </x:c>
    </x:row>
    <x:row r="84" ht="24" customHeight="1">
      <x:c r="A84" t="str">
        <x:v>b00ce160-a1aa-4225-b953-1a9e8b334600</x:v>
      </x:c>
      <x:c r="B84" t="str">
        <x:v>CSSP10385911</x:v>
      </x:c>
      <x:c r="C84" t="str">
        <x:v>mfaizal.suriyat@petronas.com</x:v>
      </x:c>
      <x:c r="D84" t="str">
        <x:v>decommission-cloud</x:v>
      </x:c>
      <x:c r="E84" t="str">
        <x:v>completed</x:v>
      </x:c>
      <x:c r="F84" t="n">
        <x:v>46050.128076469904</x:v>
      </x:c>
      <x:c r="G84" t="n">
        <x:v>46072.82528517361</x:v>
      </x:c>
      <x:c r="H84" t="n">
        <x:v>46051.304994212966</x:v>
      </x:c>
      <x:c r="I84" t="str">
        <x:v>RISER</x:v>
      </x:c>
      <x:c r="J84" t="str">
        <x:v>RISER</x:v>
      </x:c>
      <x:c r="K84" t="str">
        <x:v>full</x:v>
      </x:c>
      <x:c r="L84" t="str">
        <x:v>DCOM2026012946c</x:v>
      </x:c>
      <x:c r="M84" t="str">
        <x:v>sarkunan.tigarajan@petronas.com.my</x:v>
      </x:c>
      <x:c r="N84"/>
      <x:c r="O84"/>
      <x:c r="P84" t="str">
        <x:v>Decommissioning for RISER</x:v>
      </x:c>
      <x:c r="Q84" t="str">
        <x:v>1M</x:v>
      </x:c>
      <x:c r="R84" t="str">
        <x:v>Not in Used</x:v>
      </x:c>
      <x:c r="S84"/>
      <x:c r="T84" t="str">
        <x:v>approved</x:v>
      </x:c>
      <x:c r="U84" t="str">
        <x:v>mfaizal.suriyat@petronas.com</x:v>
      </x:c>
      <x:c r="V84" t="n">
        <x:v>46051.306624641205</x:v>
      </x:c>
      <x:c r="W84" t="str">
        <x:v>1.	Staging (Non-Production): PTAW-IAC-NonPROD-AIP-Environment-01
2.	Production: PTAW-IAC-PROD-AIP-Environment-01
</x:v>
      </x:c>
      <x:c r="X84" t="str">
        <x:v>approved</x:v>
      </x:c>
      <x:c r="Y84" t="str">
        <x:v>sarkunan.tigarajan@petronas.com</x:v>
      </x:c>
      <x:c r="Z84" t="n">
        <x:v>46051.31261626157</x:v>
      </x:c>
      <x:c r="AA84" t="str">
        <x:v>Approved</x:v>
      </x:c>
      <x:c r="AB84" t="str">
        <x:v>approved</x:v>
      </x:c>
      <x:c r="AC84" t="str">
        <x:v>azwan.badari@petronas.com</x:v>
      </x:c>
      <x:c r="AD84" t="n">
        <x:v>46052.03453763889</x:v>
      </x:c>
      <x:c r="AE84" t="str">
        <x:v>Decommission 03457</x:v>
      </x:c>
      <x:c r="AF84" t="str">
        <x:v>approved</x:v>
      </x:c>
      <x:c r="AG84" t="str">
        <x:v>azwan.badari@petronas.com</x:v>
      </x:c>
      <x:c r="AH84" t="n">
        <x:v>46072.82528518519</x:v>
      </x:c>
      <x:c r="AI84" t="str">
        <x:v>Completed</x:v>
      </x:c>
      <x:c r="AJ84" t="str">
        <x:v>A-000690</x:v>
      </x:c>
      <x:c r="AK84" t="n">
        <x:v>3457</x:v>
      </x:c>
      <x:c r="AL84" t="str">
        <x:v>M</x:v>
      </x:c>
      <x:c r="AM84" t="str">
        <x:v>REQ000007850113</x:v>
      </x:c>
      <x:c r="AN84" t="str">
        <x:v>noretention</x:v>
      </x:c>
      <x:c r="AO84" t="n">
        <x:v>0</x:v>
      </x:c>
      <x:c r="AP84" s="23" t="str">
        <x:f>IF(E84="processing",IF(Z84="","",IF(ISNUMBER(Z84),INT(Z84),DATE(VALUE(LEFT(Z84,4)),VALUE(MID(Z84,6,2)),VALUE(MID(Z84,9,2))))),IF(OR(E84="executing",E84="pending"),IF(AD84="","",IF(ISNUMBER(AD84),INT(AD84),DATE(VALUE(LEFT(AD84,4)),VALUE(MID(AD84,6,2)),VALUE(MID(AD84,9,2))))),""))</x:f>
      </x:c>
      <x:c r="AQ84" s="24" t="str">
        <x:f>IF(AP84="","",INT('Configuration'!$B$4)-AP84)</x:f>
      </x:c>
      <x:c r="AR84" s="25" t="str">
        <x:f>IF(AP84="","Missing Required Date",IF(AQ84&lt;0,"Future Date",IF(AQ84=0,"0 days",IF(AQ84&lt;=2,"1-2 days",IF(AQ84&lt;=7,"3-7 days",IF(AQ84&lt;=14,"8-14 days",IF(AQ84&lt;=30,"15-30 days",IF(AQ84&lt;=60,"31-60 days",IF(AQ84&lt;=70,"61-70 days","71+ days")))))))))</x:f>
        <x:v>Missing Required Date</x:v>
      </x:c>
      <x:c r="AS84" s="25" t="str">
        <x:f>IF(OR(E84="processing",E84="executing",E84="pending"),IF(AP84="","Required aging date missing",IF(AQ84&gt;30,"Escalate &gt;30d",IF(AQ84&gt;14,"Watch &gt;14d","Within 14d"))),"Out of scope")</x:f>
        <x:v>Out of scope</x:v>
      </x:c>
    </x:row>
    <x:row r="85" ht="24" customHeight="1">
      <x:c r="A85" t="str">
        <x:v>fffd0b9b-2361-49c7-ad9e-ff9f5e9d733a</x:v>
      </x:c>
      <x:c r="B85" t="str">
        <x:v>CSSP10696569</x:v>
      </x:c>
      <x:c r="C85" t="str">
        <x:v>mfuad.ahmadrafee@petronas.com</x:v>
      </x:c>
      <x:c r="D85" t="str">
        <x:v>decommission-cloud</x:v>
      </x:c>
      <x:c r="E85" t="str">
        <x:v>completed</x:v>
      </x:c>
      <x:c r="F85" t="n">
        <x:v>46050.13738940972</x:v>
      </x:c>
      <x:c r="G85" t="n">
        <x:v>46076.306974548614</x:v>
      </x:c>
      <x:c r="H85" t="n">
        <x:v>46050.13738940972</x:v>
      </x:c>
      <x:c r="I85" t="str">
        <x:v>M365 Teams Message Broadcast</x:v>
      </x:c>
      <x:c r="J85" t="str">
        <x:v>MS Teams Message Broadcast (POC Environment) for Group Risk Demonstration</x:v>
      </x:c>
      <x:c r="K85" t="str">
        <x:v>full</x:v>
      </x:c>
      <x:c r="L85" t="str">
        <x:v>-</x:v>
      </x:c>
      <x:c r="M85" t="str">
        <x:v>nshahidahothman@petronas.com</x:v>
      </x:c>
      <x:c r="N85"/>
      <x:c r="O85"/>
      <x:c r="P85" t="str">
        <x:v>The RG is not in used</x:v>
      </x:c>
      <x:c r="Q85" t="str">
        <x:v>2W</x:v>
      </x:c>
      <x:c r="R85" t="str">
        <x:v>Not in Used</x:v>
      </x:c>
      <x:c r="S85"/>
      <x:c r="T85" t="str">
        <x:v>approved</x:v>
      </x:c>
      <x:c r="U85" t="str">
        <x:v>mfuad.ahmadrafee@petronas.com</x:v>
      </x:c>
      <x:c r="V85" t="n">
        <x:v>46050.14723096065</x:v>
      </x:c>
      <x:c r="W85" t="str">
        <x:v>These resources were identified during the DPIA remediation process. After further review, we found that they were originally requested during the previous M365 project for POC purposes and are no longer in use.</x:v>
      </x:c>
      <x:c r="X85" t="str">
        <x:v>approved</x:v>
      </x:c>
      <x:c r="Y85" t="str">
        <x:v>nshahidahothman@petronas.com</x:v>
      </x:c>
      <x:c r="Z85" t="n">
        <x:v>46057.17380285879</x:v>
      </x:c>
      <x:c r="AA85" t="str">
        <x:v>proceed</x:v>
      </x:c>
      <x:c r="AB85" t="str">
        <x:v>approved</x:v>
      </x:c>
      <x:c r="AC85" t="str">
        <x:v>azwan.badari@petronas.com</x:v>
      </x:c>
      <x:c r="AD85" t="n">
        <x:v>46058.09125491898</x:v>
      </x:c>
      <x:c r="AE85" t="str">
        <x:v>Decommission all resources and RG PTAZSG-DEV-ENS-POC-RG</x:v>
      </x:c>
      <x:c r="AF85" t="str">
        <x:v>approved</x:v>
      </x:c>
      <x:c r="AG85" t="str">
        <x:v>abdullah.haziq@petronas.com</x:v>
      </x:c>
      <x:c r="AH85" t="n">
        <x:v>46076.306974548614</x:v>
      </x:c>
      <x:c r="AI85" t="str">
        <x:v>Decommission all resources and RG PTAZSG-DEV-ENS-POC-RG</x:v>
      </x:c>
      <x:c r="AJ85" t="str">
        <x:v>A-000450</x:v>
      </x:c>
      <x:c r="AK85" t="str">
        <x:v>PC-00012</x:v>
      </x:c>
      <x:c r="AL85" t="str">
        <x:v>M</x:v>
      </x:c>
      <x:c r="AM85" t="str">
        <x:v>REQ000007859287</x:v>
      </x:c>
      <x:c r="AN85" t="str">
        <x:v>disposal</x:v>
      </x:c>
      <x:c r="AO85" t="n">
        <x:v>0</x:v>
      </x:c>
      <x:c r="AP85" s="23" t="str">
        <x:f>IF(E85="processing",IF(Z85="","",IF(ISNUMBER(Z85),INT(Z85),DATE(VALUE(LEFT(Z85,4)),VALUE(MID(Z85,6,2)),VALUE(MID(Z85,9,2))))),IF(OR(E85="executing",E85="pending"),IF(AD85="","",IF(ISNUMBER(AD85),INT(AD85),DATE(VALUE(LEFT(AD85,4)),VALUE(MID(AD85,6,2)),VALUE(MID(AD85,9,2))))),""))</x:f>
      </x:c>
      <x:c r="AQ85" s="24" t="str">
        <x:f>IF(AP85="","",INT('Configuration'!$B$4)-AP85)</x:f>
      </x:c>
      <x:c r="AR85" s="25" t="str">
        <x:f>IF(AP85="","Missing Required Date",IF(AQ85&lt;0,"Future Date",IF(AQ85=0,"0 days",IF(AQ85&lt;=2,"1-2 days",IF(AQ85&lt;=7,"3-7 days",IF(AQ85&lt;=14,"8-14 days",IF(AQ85&lt;=30,"15-30 days",IF(AQ85&lt;=60,"31-60 days",IF(AQ85&lt;=70,"61-70 days","71+ days")))))))))</x:f>
        <x:v>Missing Required Date</x:v>
      </x:c>
      <x:c r="AS85" s="25" t="str">
        <x:f>IF(OR(E85="processing",E85="executing",E85="pending"),IF(AP85="","Required aging date missing",IF(AQ85&gt;30,"Escalate &gt;30d",IF(AQ85&gt;14,"Watch &gt;14d","Within 14d"))),"Out of scope")</x:f>
        <x:v>Out of scope</x:v>
      </x:c>
    </x:row>
    <x:row r="86" ht="24" customHeight="1">
      <x:c r="A86" t="str">
        <x:v>2f24b3bc-d655-44dc-8935-32ed396c7554</x:v>
      </x:c>
      <x:c r="B86" t="str">
        <x:v>CSSP10342452</x:v>
      </x:c>
      <x:c r="C86" t="str">
        <x:v>mfuad.ahmadrafee@petronas.com</x:v>
      </x:c>
      <x:c r="D86" t="str">
        <x:v>decommission-cloud</x:v>
      </x:c>
      <x:c r="E86" t="str">
        <x:v>completed</x:v>
      </x:c>
      <x:c r="F86" t="n">
        <x:v>46050.15942528935</x:v>
      </x:c>
      <x:c r="G86" t="n">
        <x:v>46076.29773550926</x:v>
      </x:c>
      <x:c r="H86" t="n">
        <x:v>46050.15942528935</x:v>
      </x:c>
      <x:c r="I86" t="str">
        <x:v>President Townhall</x:v>
      </x:c>
      <x:c r="J86" t="str">
        <x:v>Subscription for Azure Media Services for President Townhall</x:v>
      </x:c>
      <x:c r="K86" t="str">
        <x:v>full</x:v>
      </x:c>
      <x:c r="L86" t="str">
        <x:v>-</x:v>
      </x:c>
      <x:c r="M86" t="str">
        <x:v>nshahidahothman@petronas.com</x:v>
      </x:c>
      <x:c r="N86"/>
      <x:c r="O86"/>
      <x:c r="P86" t="str">
        <x:v>These resources were identified during the DPIA remediation process. After further review, we found that they were originally requested during the previous M365 project for POC purposes and are no longer in use.</x:v>
      </x:c>
      <x:c r="Q86" t="str">
        <x:v>2W</x:v>
      </x:c>
      <x:c r="R86" t="str">
        <x:v>Not in Used</x:v>
      </x:c>
      <x:c r="S86"/>
      <x:c r="T86" t="str">
        <x:v>approved</x:v>
      </x:c>
      <x:c r="U86" t="str">
        <x:v>mfuad.ahmadrafee@petronas.com</x:v>
      </x:c>
      <x:c r="V86" t="n">
        <x:v>46050.165020555556</x:v>
      </x:c>
      <x:c r="W86" t="str">
        <x:v>These resources were identified during the DPIA remediation process. After further review, we found that they were originally requested during the previous M365 project for POC purposes and are no longer in use.</x:v>
      </x:c>
      <x:c r="X86" t="str">
        <x:v>approved</x:v>
      </x:c>
      <x:c r="Y86" t="str">
        <x:v>nshahidahothman@petronas.com</x:v>
      </x:c>
      <x:c r="Z86" t="n">
        <x:v>46057.172987337966</x:v>
      </x:c>
      <x:c r="AA86" t="str">
        <x:v>proceed</x:v>
      </x:c>
      <x:c r="AB86" t="str">
        <x:v>approved</x:v>
      </x:c>
      <x:c r="AC86" t="str">
        <x:v>azwan.badari@petronas.com</x:v>
      </x:c>
      <x:c r="AD86" t="n">
        <x:v>46058.08360071759</x:v>
      </x:c>
      <x:c r="AE86" t="str">
        <x:v>Decommission all resources and both RG, PTAZSG-DEV-PRESTH-RG &amp; PTAZSG-PROD-PRESTH-RG</x:v>
      </x:c>
      <x:c r="AF86" t="str">
        <x:v>approved</x:v>
      </x:c>
      <x:c r="AG86" t="str">
        <x:v>abdullah.haziq@petronas.com</x:v>
      </x:c>
      <x:c r="AH86" t="n">
        <x:v>46076.297735520835</x:v>
      </x:c>
      <x:c r="AI86" t="str">
        <x:v>Resource decommission complete</x:v>
      </x:c>
      <x:c r="AJ86" t="str">
        <x:v>C-000036</x:v>
      </x:c>
      <x:c r="AK86" t="str">
        <x:v>PC-00003</x:v>
      </x:c>
      <x:c r="AL86" t="str">
        <x:v>M</x:v>
      </x:c>
      <x:c r="AM86" t="str">
        <x:v>REQ000007859727</x:v>
      </x:c>
      <x:c r="AN86" t="str">
        <x:v>disposal</x:v>
      </x:c>
      <x:c r="AO86" t="n">
        <x:v>0</x:v>
      </x:c>
      <x:c r="AP86" s="23" t="str">
        <x:f>IF(E86="processing",IF(Z86="","",IF(ISNUMBER(Z86),INT(Z86),DATE(VALUE(LEFT(Z86,4)),VALUE(MID(Z86,6,2)),VALUE(MID(Z86,9,2))))),IF(OR(E86="executing",E86="pending"),IF(AD86="","",IF(ISNUMBER(AD86),INT(AD86),DATE(VALUE(LEFT(AD86,4)),VALUE(MID(AD86,6,2)),VALUE(MID(AD86,9,2))))),""))</x:f>
      </x:c>
      <x:c r="AQ86" s="24" t="str">
        <x:f>IF(AP86="","",INT('Configuration'!$B$4)-AP86)</x:f>
      </x:c>
      <x:c r="AR86" s="25" t="str">
        <x:f>IF(AP86="","Missing Required Date",IF(AQ86&lt;0,"Future Date",IF(AQ86=0,"0 days",IF(AQ86&lt;=2,"1-2 days",IF(AQ86&lt;=7,"3-7 days",IF(AQ86&lt;=14,"8-14 days",IF(AQ86&lt;=30,"15-30 days",IF(AQ86&lt;=60,"31-60 days",IF(AQ86&lt;=70,"61-70 days","71+ days")))))))))</x:f>
        <x:v>Missing Required Date</x:v>
      </x:c>
      <x:c r="AS86" s="25" t="str">
        <x:f>IF(OR(E86="processing",E86="executing",E86="pending"),IF(AP86="","Required aging date missing",IF(AQ86&gt;30,"Escalate &gt;30d",IF(AQ86&gt;14,"Watch &gt;14d","Within 14d"))),"Out of scope")</x:f>
        <x:v>Out of scope</x:v>
      </x:c>
    </x:row>
    <x:row r="87" ht="24" customHeight="1">
      <x:c r="A87" t="str">
        <x:v>0eb38b0d-c959-4e8d-a296-62530cad6454</x:v>
      </x:c>
      <x:c r="B87" t="str">
        <x:v>CSSP10522577</x:v>
      </x:c>
      <x:c r="C87" t="str">
        <x:v>aqeelah.rashidi@petronas.com</x:v>
      </x:c>
      <x:c r="D87" t="str">
        <x:v>decommission-cloud</x:v>
      </x:c>
      <x:c r="E87" t="str">
        <x:v>completed</x:v>
      </x:c>
      <x:c r="F87" t="n">
        <x:v>46050.16435633102</x:v>
      </x:c>
      <x:c r="G87" t="n">
        <x:v>46064.167046076385</x:v>
      </x:c>
      <x:c r="H87" t="n">
        <x:v>46050.16435633102</x:v>
      </x:c>
      <x:c r="I87" t="str">
        <x:v>ATG TotaLizer Automation System - ATLAS</x:v>
      </x:c>
      <x:c r="J87" t="str">
        <x:v>Cloud Migration Program - ATLAS - ATG Tota(L)izer Automation System</x:v>
      </x:c>
      <x:c r="K87" t="str">
        <x:v>full</x:v>
      </x:c>
      <x:c r="L87" t="str">
        <x:v>DCOM20250912867</x:v>
      </x:c>
      <x:c r="M87" t="str">
        <x:v>mohammadsani.johari@petronas.com</x:v>
      </x:c>
      <x:c r="N87"/>
      <x:c r="O87"/>
      <x:c r="P87" t="str">
        <x:v>The application is no longer use by end user. End users agree to decommissioning all related VM and physical server related with application. Below is the list for related physical server that yet to decommission.
1.	cenppdbpiap01- 10.13.4.56
2.	sbappdbpiap01- 10.45.224.56
3.	Easppdbpiap01- 10.18.96.56
4.	skappdbpiap01- 10.43.64.56
</x:v>
      </x:c>
      <x:c r="Q87" t="str">
        <x:v>2W</x:v>
      </x:c>
      <x:c r="R87" t="str">
        <x:v>Not in Used</x:v>
      </x:c>
      <x:c r="S87"/>
      <x:c r="T87" t="str">
        <x:v>approved</x:v>
      </x:c>
      <x:c r="U87" t="str">
        <x:v>aqeelah.rashidi@petronas.com</x:v>
      </x:c>
      <x:c r="V87" t="n">
        <x:v>46050.16481652778</x:v>
      </x:c>
      <x:c r="W87" t="str">
        <x:v>physical server related</x:v>
      </x:c>
      <x:c r="X87" t="str">
        <x:v>approved</x:v>
      </x:c>
      <x:c r="Y87" t="str">
        <x:v>mohammadsani.johari@petronas.com</x:v>
      </x:c>
      <x:c r="Z87" t="n">
        <x:v>46050.26681255787</x:v>
      </x:c>
      <x:c r="AA87" t="str">
        <x:v>To decom ATLAS physical server </x:v>
      </x:c>
      <x:c r="AB87" t="str">
        <x:v>approved</x:v>
      </x:c>
      <x:c r="AC87" t="str">
        <x:v>azwan.badari@petronas.com</x:v>
      </x:c>
      <x:c r="AD87" t="n">
        <x:v>46050.28605560185</x:v>
      </x:c>
      <x:c r="AE87" t="str">
        <x:v>Decommission 4 physical server.
1. cenppdbpiap01- 10.13.4.56 2. sbappdbpiap01- 10.45.224.56 3. Easppdbpiap01- 10.18.96.56 4. skappdbpiap01- 10.43.64.56</x:v>
      </x:c>
      <x:c r="AF87" t="str">
        <x:v>approved</x:v>
      </x:c>
      <x:c r="AG87" t="str">
        <x:v>azlisham.md@petronas.com</x:v>
      </x:c>
      <x:c r="AH87" t="n">
        <x:v>46064.16704608796</x:v>
      </x:c>
      <x:c r="AI87" t="str">
        <x:v>The decommission request has been completed, and the status is now updated accordingly. Kindly verify from your end and confirm once reviewed.
</x:v>
      </x:c>
      <x:c r="AJ87" t="str">
        <x:v>A-000080</x:v>
      </x:c>
      <x:c r="AK87" t="str">
        <x:v>02421_135</x:v>
      </x:c>
      <x:c r="AL87" t="str">
        <x:v>L</x:v>
      </x:c>
      <x:c r="AM87" t="str">
        <x:v>REQ000007846361</x:v>
      </x:c>
      <x:c r="AN87" t="str">
        <x:v>noretention</x:v>
      </x:c>
      <x:c r="AO87" t="n">
        <x:v>0</x:v>
      </x:c>
      <x:c r="AP87" s="23" t="str">
        <x:f>IF(E87="processing",IF(Z87="","",IF(ISNUMBER(Z87),INT(Z87),DATE(VALUE(LEFT(Z87,4)),VALUE(MID(Z87,6,2)),VALUE(MID(Z87,9,2))))),IF(OR(E87="executing",E87="pending"),IF(AD87="","",IF(ISNUMBER(AD87),INT(AD87),DATE(VALUE(LEFT(AD87,4)),VALUE(MID(AD87,6,2)),VALUE(MID(AD87,9,2))))),""))</x:f>
      </x:c>
      <x:c r="AQ87" s="24" t="str">
        <x:f>IF(AP87="","",INT('Configuration'!$B$4)-AP87)</x:f>
      </x:c>
      <x:c r="AR87" s="25" t="str">
        <x:f>IF(AP87="","Missing Required Date",IF(AQ87&lt;0,"Future Date",IF(AQ87=0,"0 days",IF(AQ87&lt;=2,"1-2 days",IF(AQ87&lt;=7,"3-7 days",IF(AQ87&lt;=14,"8-14 days",IF(AQ87&lt;=30,"15-30 days",IF(AQ87&lt;=60,"31-60 days",IF(AQ87&lt;=70,"61-70 days","71+ days")))))))))</x:f>
        <x:v>Missing Required Date</x:v>
      </x:c>
      <x:c r="AS87" s="25" t="str">
        <x:f>IF(OR(E87="processing",E87="executing",E87="pending"),IF(AP87="","Required aging date missing",IF(AQ87&gt;30,"Escalate &gt;30d",IF(AQ87&gt;14,"Watch &gt;14d","Within 14d"))),"Out of scope")</x:f>
        <x:v>Out of scope</x:v>
      </x:c>
    </x:row>
    <x:row r="88" ht="24" customHeight="1">
      <x:c r="A88" t="str">
        <x:v>11dd9fd0-3e28-4ca5-a850-18be9ce90734</x:v>
      </x:c>
      <x:c r="B88" t="str">
        <x:v>CSSP10577735</x:v>
      </x:c>
      <x:c r="C88" t="str">
        <x:v>mfuad.ahmadrafee@petronas.com</x:v>
      </x:c>
      <x:c r="D88" t="str">
        <x:v>decommission-cloud</x:v>
      </x:c>
      <x:c r="E88" t="str">
        <x:v>completed</x:v>
      </x:c>
      <x:c r="F88" t="n">
        <x:v>46050.25470893519</x:v>
      </x:c>
      <x:c r="G88" t="n">
        <x:v>46076.32617826389</x:v>
      </x:c>
      <x:c r="H88" t="n">
        <x:v>46050.25470893519</x:v>
      </x:c>
      <x:c r="I88" t="str">
        <x:v>M365  </x:v>
      </x:c>
      <x:c r="J88" t="str">
        <x:v>Microsoft 365 (M365) Deployment for PETRONAS Groupwide.</x:v>
      </x:c>
      <x:c r="K88" t="str">
        <x:v>full</x:v>
      </x:c>
      <x:c r="L88" t="str">
        <x:v>-</x:v>
      </x:c>
      <x:c r="M88" t="str">
        <x:v>nshahidahothman@petronas.com</x:v>
      </x:c>
      <x:c r="N88"/>
      <x:c r="O88"/>
      <x:c r="P88" t="str">
        <x:v>These resources were identified during the DPIA remediation process. After further review, we found that they were originally requested during the previous M365 project for POC purposes and are no longer in use.</x:v>
      </x:c>
      <x:c r="Q88" t="str">
        <x:v>2W</x:v>
      </x:c>
      <x:c r="R88" t="str">
        <x:v>Not in Used</x:v>
      </x:c>
      <x:c r="S88"/>
      <x:c r="T88" t="str">
        <x:v>approved</x:v>
      </x:c>
      <x:c r="U88" t="str">
        <x:v>mfuad.ahmadrafee@petronas.com</x:v>
      </x:c>
      <x:c r="V88" t="n">
        <x:v>46050.326638321756</x:v>
      </x:c>
      <x:c r="W88" t="str">
        <x:v>These resources were identified during the DPIA remediation process. After further review, we found that they were originally requested during the previous M365 project for POC purposes and are no longer in use.</x:v>
      </x:c>
      <x:c r="X88" t="str">
        <x:v>approved</x:v>
      </x:c>
      <x:c r="Y88" t="str">
        <x:v>nshahidahothman@petronas.com</x:v>
      </x:c>
      <x:c r="Z88" t="n">
        <x:v>46057.17223980324</x:v>
      </x:c>
      <x:c r="AA88" t="str">
        <x:v>proceed</x:v>
      </x:c>
      <x:c r="AB88" t="str">
        <x:v>approved</x:v>
      </x:c>
      <x:c r="AC88" t="str">
        <x:v>azwan.badari@petronas.com</x:v>
      </x:c>
      <x:c r="AD88" t="n">
        <x:v>46058.116220625</x:v>
      </x:c>
      <x:c r="AE88" t="str">
        <x:v>Decommission all resources and both RG PTAZSG-CORE-RMS-RG &amp; PTAZSG-PROD-CMG04-RG</x:v>
      </x:c>
      <x:c r="AF88" t="str">
        <x:v>approved</x:v>
      </x:c>
      <x:c r="AG88" t="str">
        <x:v>abdullah.haziq@petronas.com</x:v>
      </x:c>
      <x:c r="AH88" t="n">
        <x:v>46076.32617829861</x:v>
      </x:c>
      <x:c r="AI88" t="str">
        <x:v>Decommission all resources and both RG PTAZSG-CORE-RMS-RG &amp; PTAZSG-PROD-CMG04-RG</x:v>
      </x:c>
      <x:c r="AJ88" t="str">
        <x:v>A-000440</x:v>
      </x:c>
      <x:c r="AK88" t="str">
        <x:v>M365</x:v>
      </x:c>
      <x:c r="AL88" t="str">
        <x:v>M</x:v>
      </x:c>
      <x:c r="AM88" t="str">
        <x:v>REQ000007859928</x:v>
      </x:c>
      <x:c r="AN88" t="str">
        <x:v>disposal</x:v>
      </x:c>
      <x:c r="AO88" t="n">
        <x:v>0</x:v>
      </x:c>
      <x:c r="AP88" s="23" t="str">
        <x:f>IF(E88="processing",IF(Z88="","",IF(ISNUMBER(Z88),INT(Z88),DATE(VALUE(LEFT(Z88,4)),VALUE(MID(Z88,6,2)),VALUE(MID(Z88,9,2))))),IF(OR(E88="executing",E88="pending"),IF(AD88="","",IF(ISNUMBER(AD88),INT(AD88),DATE(VALUE(LEFT(AD88,4)),VALUE(MID(AD88,6,2)),VALUE(MID(AD88,9,2))))),""))</x:f>
      </x:c>
      <x:c r="AQ88" s="24" t="str">
        <x:f>IF(AP88="","",INT('Configuration'!$B$4)-AP88)</x:f>
      </x:c>
      <x:c r="AR88" s="25" t="str">
        <x:f>IF(AP88="","Missing Required Date",IF(AQ88&lt;0,"Future Date",IF(AQ88=0,"0 days",IF(AQ88&lt;=2,"1-2 days",IF(AQ88&lt;=7,"3-7 days",IF(AQ88&lt;=14,"8-14 days",IF(AQ88&lt;=30,"15-30 days",IF(AQ88&lt;=60,"31-60 days",IF(AQ88&lt;=70,"61-70 days","71+ days")))))))))</x:f>
        <x:v>Missing Required Date</x:v>
      </x:c>
      <x:c r="AS88" s="25" t="str">
        <x:f>IF(OR(E88="processing",E88="executing",E88="pending"),IF(AP88="","Required aging date missing",IF(AQ88&gt;30,"Escalate &gt;30d",IF(AQ88&gt;14,"Watch &gt;14d","Within 14d"))),"Out of scope")</x:f>
        <x:v>Out of scope</x:v>
      </x:c>
    </x:row>
    <x:row r="89" ht="24" customHeight="1">
      <x:c r="A89" t="str">
        <x:v>43f520a7-aecc-4f2b-8665-a17b83e9a4df</x:v>
      </x:c>
      <x:c r="B89" t="str">
        <x:v>CSSP10999243</x:v>
      </x:c>
      <x:c r="C89" t="str">
        <x:v>mfaizal.suriyat@petronas.com</x:v>
      </x:c>
      <x:c r="D89" t="str">
        <x:v>decommission-cloud</x:v>
      </x:c>
      <x:c r="E89" t="str">
        <x:v>completed</x:v>
      </x:c>
      <x:c r="F89" t="n">
        <x:v>46050.273656840276</x:v>
      </x:c>
      <x:c r="G89" t="n">
        <x:v>46052.20092318287</x:v>
      </x:c>
      <x:c r="H89" t="n">
        <x:v>46050.273656840276</x:v>
      </x:c>
      <x:c r="I89" t="str">
        <x:v>PETRONAS Pipeline Engineering Solution - P-PIES</x:v>
      </x:c>
      <x:c r="J89" t="str">
        <x:v>Development of Phase 2 PETRONAS Pipeline Engineering Solution (P-PiES) System for GTS</x:v>
      </x:c>
      <x:c r="K89" t="str">
        <x:v>partial</x:v>
      </x:c>
      <x:c r="L89"/>
      <x:c r="M89" t="str">
        <x:v>shekha.mahdhar@petronas.com.my</x:v>
      </x:c>
      <x:c r="N89"/>
      <x:c r="O89"/>
      <x:c r="P89" t="str">
        <x:v>VM replaced with other VM</x:v>
      </x:c>
      <x:c r="Q89" t="str">
        <x:v>2W</x:v>
      </x:c>
      <x:c r="R89" t="str">
        <x:v>Obsolete</x:v>
      </x:c>
      <x:c r="S89"/>
      <x:c r="T89" t="str">
        <x:v>approved</x:v>
      </x:c>
      <x:c r="U89" t="str">
        <x:v>mfaizal.suriyat@petronas.com</x:v>
      </x:c>
      <x:c r="V89" t="n">
        <x:v>46050.27497662037</x:v>
      </x:c>
      <x:c r="W89" t="str">
        <x:v>ptsg-4piesap01,ptsg-4piesap01_disk1_db1501356f2c4d7b8b9932f92b31f1fe</x:v>
      </x:c>
      <x:c r="X89" t="str">
        <x:v>approved</x:v>
      </x:c>
      <x:c r="Y89" t="str">
        <x:v>shekha.mahdhar@petronas.com</x:v>
      </x:c>
      <x:c r="Z89" t="n">
        <x:v>46050.33998696759</x:v>
      </x:c>
      <x:c r="AA89" t="str">
        <x:v>As requested.</x:v>
      </x:c>
      <x:c r="AB89" t="str">
        <x:v>approved</x:v>
      </x:c>
      <x:c r="AC89" t="str">
        <x:v>azwan.badari@petronas.com</x:v>
      </x:c>
      <x:c r="AD89" t="n">
        <x:v>46051.18600653935</x:v>
      </x:c>
      <x:c r="AE89" t="str">
        <x:v>Decommission ptsg-4piesap01</x:v>
      </x:c>
      <x:c r="AF89" t="str">
        <x:v>approved</x:v>
      </x:c>
      <x:c r="AG89" t="str">
        <x:v>azwan.badari@petronas.com</x:v>
      </x:c>
      <x:c r="AH89" t="n">
        <x:v>46052.20092319445</x:v>
      </x:c>
      <x:c r="AI89" t="str">
        <x:v>Completed</x:v>
      </x:c>
      <x:c r="AJ89" t="str">
        <x:v>A-000640</x:v>
      </x:c>
      <x:c r="AK89" t="n">
        <x:v>313</x:v>
      </x:c>
      <x:c r="AL89" t="str">
        <x:v>M</x:v>
      </x:c>
      <x:c r="AM89" t="str">
        <x:v>REQ000007848216</x:v>
      </x:c>
      <x:c r="AN89" t="str">
        <x:v>disposal</x:v>
      </x:c>
      <x:c r="AO89" t="n">
        <x:v>0</x:v>
      </x:c>
      <x:c r="AP89" s="23" t="str">
        <x:f>IF(E89="processing",IF(Z89="","",IF(ISNUMBER(Z89),INT(Z89),DATE(VALUE(LEFT(Z89,4)),VALUE(MID(Z89,6,2)),VALUE(MID(Z89,9,2))))),IF(OR(E89="executing",E89="pending"),IF(AD89="","",IF(ISNUMBER(AD89),INT(AD89),DATE(VALUE(LEFT(AD89,4)),VALUE(MID(AD89,6,2)),VALUE(MID(AD89,9,2))))),""))</x:f>
      </x:c>
      <x:c r="AQ89" s="24" t="str">
        <x:f>IF(AP89="","",INT('Configuration'!$B$4)-AP89)</x:f>
      </x:c>
      <x:c r="AR89" s="25" t="str">
        <x:f>IF(AP89="","Missing Required Date",IF(AQ89&lt;0,"Future Date",IF(AQ89=0,"0 days",IF(AQ89&lt;=2,"1-2 days",IF(AQ89&lt;=7,"3-7 days",IF(AQ89&lt;=14,"8-14 days",IF(AQ89&lt;=30,"15-30 days",IF(AQ89&lt;=60,"31-60 days",IF(AQ89&lt;=70,"61-70 days","71+ days")))))))))</x:f>
        <x:v>Missing Required Date</x:v>
      </x:c>
      <x:c r="AS89" s="25" t="str">
        <x:f>IF(OR(E89="processing",E89="executing",E89="pending"),IF(AP89="","Required aging date missing",IF(AQ89&gt;30,"Escalate &gt;30d",IF(AQ89&gt;14,"Watch &gt;14d","Within 14d"))),"Out of scope")</x:f>
        <x:v>Out of scope</x:v>
      </x:c>
    </x:row>
    <x:row r="90" ht="24" customHeight="1">
      <x:c r="A90" t="str">
        <x:v>b60c3fa6-59c1-4e01-a90b-402d28a4a538</x:v>
      </x:c>
      <x:c r="B90" t="str">
        <x:v>CSSP10175519</x:v>
      </x:c>
      <x:c r="C90" t="str">
        <x:v>aziah.azahari@petronas.com</x:v>
      </x:c>
      <x:c r="D90" t="str">
        <x:v>decommission-cloud</x:v>
      </x:c>
      <x:c r="E90" t="str">
        <x:v>completed</x:v>
      </x:c>
      <x:c r="F90" t="n">
        <x:v>46050.33061923611</x:v>
      </x:c>
      <x:c r="G90" t="n">
        <x:v>46052.156467719906</x:v>
      </x:c>
      <x:c r="H90" t="n">
        <x:v>46050.332872743056</x:v>
      </x:c>
      <x:c r="I90" t="str">
        <x:v>Authorization For Expenditure Management System - AFEMS PCSB</x:v>
      </x:c>
      <x:c r="J90" t="str">
        <x:v>Cloud Migration Program - Authorization For Expenditure Management System (AFEMS) 4.0</x:v>
      </x:c>
      <x:c r="K90" t="str">
        <x:v>partial</x:v>
      </x:c>
      <x:c r="L90"/>
      <x:c r="M90" t="str">
        <x:v>rafedah.mdtap@petronas.com.my</x:v>
      </x:c>
      <x:c r="N90" t="str">
        <x:v>afems-pccmo.petronas.com</x:v>
      </x:c>
      <x:c r="O90"/>
      <x:c r="P90" t="str">
        <x:v>DNS still exist and tagged to UAT RG ptazscus-uat-afems-rg which not included in earlier full decommission request. Previous AFEMS PCCMO decommission CSSP No is CSSP10132527.</x:v>
      </x:c>
      <x:c r="Q90" t="str">
        <x:v>2W</x:v>
      </x:c>
      <x:c r="R90" t="str">
        <x:v>Not in Used</x:v>
      </x:c>
      <x:c r="S90"/>
      <x:c r="T90" t="str">
        <x:v>approved</x:v>
      </x:c>
      <x:c r="U90" t="str">
        <x:v>aziah.azahari@petronas.com</x:v>
      </x:c>
      <x:c r="V90" t="n">
        <x:v>46050.3615687037</x:v>
      </x:c>
      <x:c r="W90" t="str">
        <x:v>To decommission selected resource</x:v>
      </x:c>
      <x:c r="X90" t="str">
        <x:v>approved</x:v>
      </x:c>
      <x:c r="Y90" t="str">
        <x:v>rafedah.mdtap@petronas.com</x:v>
      </x:c>
      <x:c r="Z90" t="n">
        <x:v>46051.127006875</x:v>
      </x:c>
      <x:c r="AA90" t="str">
        <x:v>Approved as discussed</x:v>
      </x:c>
      <x:c r="AB90" t="str">
        <x:v>approved</x:v>
      </x:c>
      <x:c r="AC90" t="str">
        <x:v>azwan.badari@petronas.com</x:v>
      </x:c>
      <x:c r="AD90" t="n">
        <x:v>46051.16356065972</x:v>
      </x:c>
      <x:c r="AE90" t="str">
        <x:v>Decommission ptazscus-uat-afems-rg and DNS afems-pccmo.petronas.com</x:v>
      </x:c>
      <x:c r="AF90" t="str">
        <x:v>approved</x:v>
      </x:c>
      <x:c r="AG90" t="str">
        <x:v>azwan.badari@petronas.com</x:v>
      </x:c>
      <x:c r="AH90" t="n">
        <x:v>46052.156467719906</x:v>
      </x:c>
      <x:c r="AI90" t="str">
        <x:v>Completed</x:v>
      </x:c>
      <x:c r="AJ90" t="str">
        <x:v>A-000028</x:v>
      </x:c>
      <x:c r="AK90" t="str">
        <x:v>00915_65</x:v>
      </x:c>
      <x:c r="AL90" t="str">
        <x:v>M</x:v>
      </x:c>
      <x:c r="AM90" t="str">
        <x:v>REQ000007848196</x:v>
      </x:c>
      <x:c r="AN90" t="str">
        <x:v>retention</x:v>
      </x:c>
      <x:c r="AO90"/>
      <x:c r="AP90" s="23" t="str">
        <x:f>IF(E90="processing",IF(Z90="","",IF(ISNUMBER(Z90),INT(Z90),DATE(VALUE(LEFT(Z90,4)),VALUE(MID(Z90,6,2)),VALUE(MID(Z90,9,2))))),IF(OR(E90="executing",E90="pending"),IF(AD90="","",IF(ISNUMBER(AD90),INT(AD90),DATE(VALUE(LEFT(AD90,4)),VALUE(MID(AD90,6,2)),VALUE(MID(AD90,9,2))))),""))</x:f>
      </x:c>
      <x:c r="AQ90" s="24" t="str">
        <x:f>IF(AP90="","",INT('Configuration'!$B$4)-AP90)</x:f>
      </x:c>
      <x:c r="AR90" s="25" t="str">
        <x:f>IF(AP90="","Missing Required Date",IF(AQ90&lt;0,"Future Date",IF(AQ90=0,"0 days",IF(AQ90&lt;=2,"1-2 days",IF(AQ90&lt;=7,"3-7 days",IF(AQ90&lt;=14,"8-14 days",IF(AQ90&lt;=30,"15-30 days",IF(AQ90&lt;=60,"31-60 days",IF(AQ90&lt;=70,"61-70 days","71+ days")))))))))</x:f>
        <x:v>Missing Required Date</x:v>
      </x:c>
      <x:c r="AS90" s="25" t="str">
        <x:f>IF(OR(E90="processing",E90="executing",E90="pending"),IF(AP90="","Required aging date missing",IF(AQ90&gt;30,"Escalate &gt;30d",IF(AQ90&gt;14,"Watch &gt;14d","Within 14d"))),"Out of scope")</x:f>
        <x:v>Out of scope</x:v>
      </x:c>
    </x:row>
    <x:row r="91" ht="24" customHeight="1">
      <x:c r="A91" t="str">
        <x:v>a7a986de-fcbe-4f4e-9eff-254a29772caf</x:v>
      </x:c>
      <x:c r="B91" t="str">
        <x:v>CSSP10454461</x:v>
      </x:c>
      <x:c r="C91" t="str">
        <x:v>zuwina.masaat@petronas.com</x:v>
      </x:c>
      <x:c r="D91" t="str">
        <x:v>decommission-cloud</x:v>
      </x:c>
      <x:c r="E91" t="str">
        <x:v>completed</x:v>
      </x:c>
      <x:c r="F91" t="n">
        <x:v>46050.36744322917</x:v>
      </x:c>
      <x:c r="G91" t="n">
        <x:v>46058.0780556713</x:v>
      </x:c>
      <x:c r="H91" t="n">
        <x:v>46050.36744322917</x:v>
      </x:c>
      <x:c r="I91" t="str">
        <x:v>Asset Ageing Life Extension System - ALES</x:v>
      </x:c>
      <x:c r="J91" t="str">
        <x:v>ALES for MPM</x:v>
      </x:c>
      <x:c r="K91" t="str">
        <x:v>ci</x:v>
      </x:c>
      <x:c r="L91"/>
      <x:c r="M91" t="str">
        <x:v>wadiah.rusli@petronas.com</x:v>
      </x:c>
      <x:c r="N91"/>
      <x:c r="O91"/>
      <x:c r="P91" t="str">
        <x:v>No backup required. This request to remove CMDB Record for CI Name - ALE Suite and retain CI Name - Asset Ageing Life Extension System (ALES) 2.0</x:v>
      </x:c>
      <x:c r="Q91" t="str">
        <x:v>1M</x:v>
      </x:c>
      <x:c r="R91" t="str">
        <x:v>Consolidation</x:v>
      </x:c>
      <x:c r="S91"/>
      <x:c r="T91" t="str">
        <x:v>approved</x:v>
      </x:c>
      <x:c r="U91" t="str">
        <x:v>zuwina.masaat@petronas.com</x:v>
      </x:c>
      <x:c r="V91" t="n">
        <x:v>46050.36804540509</x:v>
      </x:c>
      <x:c r="W91" t="str">
        <x:v>No resource to be removed.</x:v>
      </x:c>
      <x:c r="X91" t="str">
        <x:v>approved</x:v>
      </x:c>
      <x:c r="Y91" t="str">
        <x:v>wadiah.rusli@petronas.com</x:v>
      </x:c>
      <x:c r="Z91" t="n">
        <x:v>46050.372398125</x:v>
      </x:c>
      <x:c r="AA91" t="str">
        <x:v>Please remove ALE Suite </x:v>
      </x:c>
      <x:c r="AB91" t="str">
        <x:v>approved</x:v>
      </x:c>
      <x:c r="AC91" t="str">
        <x:v>saniza.ismail@petronas.com</x:v>
      </x:c>
      <x:c r="AD91" t="n">
        <x:v>46051.19904368056</x:v>
      </x:c>
      <x:c r="AE91" t="str">
        <x:v>To update CI record in CMDB</x:v>
      </x:c>
      <x:c r="AF91" t="str">
        <x:v>approved</x:v>
      </x:c>
      <x:c r="AG91" t="str">
        <x:v>saniza.ismail@petronas.com</x:v>
      </x:c>
      <x:c r="AH91" t="n">
        <x:v>46058.07805568287</x:v>
      </x:c>
      <x:c r="AI91" t="str">
        <x:v>Update CI  ALE Suite to Status Disposed in CMDB</x:v>
      </x:c>
      <x:c r="AJ91" t="str">
        <x:v>A-000041</x:v>
      </x:c>
      <x:c r="AK91" t="n">
        <x:v>3374</x:v>
      </x:c>
      <x:c r="AL91" t="str">
        <x:v>S</x:v>
      </x:c>
      <x:c r="AM91" t="str">
        <x:v>REQ000007849045</x:v>
      </x:c>
      <x:c r="AN91" t="str">
        <x:v>noretention</x:v>
      </x:c>
      <x:c r="AO91" t="n">
        <x:v>0</x:v>
      </x:c>
      <x:c r="AP91" s="23" t="str">
        <x:f>IF(E91="processing",IF(Z91="","",IF(ISNUMBER(Z91),INT(Z91),DATE(VALUE(LEFT(Z91,4)),VALUE(MID(Z91,6,2)),VALUE(MID(Z91,9,2))))),IF(OR(E91="executing",E91="pending"),IF(AD91="","",IF(ISNUMBER(AD91),INT(AD91),DATE(VALUE(LEFT(AD91,4)),VALUE(MID(AD91,6,2)),VALUE(MID(AD91,9,2))))),""))</x:f>
      </x:c>
      <x:c r="AQ91" s="24" t="str">
        <x:f>IF(AP91="","",INT('Configuration'!$B$4)-AP91)</x:f>
      </x:c>
      <x:c r="AR91" s="25" t="str">
        <x:f>IF(AP91="","Missing Required Date",IF(AQ91&lt;0,"Future Date",IF(AQ91=0,"0 days",IF(AQ91&lt;=2,"1-2 days",IF(AQ91&lt;=7,"3-7 days",IF(AQ91&lt;=14,"8-14 days",IF(AQ91&lt;=30,"15-30 days",IF(AQ91&lt;=60,"31-60 days",IF(AQ91&lt;=70,"61-70 days","71+ days")))))))))</x:f>
        <x:v>Missing Required Date</x:v>
      </x:c>
      <x:c r="AS91" s="25" t="str">
        <x:f>IF(OR(E91="processing",E91="executing",E91="pending"),IF(AP91="","Required aging date missing",IF(AQ91&gt;30,"Escalate &gt;30d",IF(AQ91&gt;14,"Watch &gt;14d","Within 14d"))),"Out of scope")</x:f>
        <x:v>Out of scope</x:v>
      </x:c>
    </x:row>
    <x:row r="92" ht="24" customHeight="1">
      <x:c r="A92" t="str">
        <x:v>3986ddb3-b49e-409a-9e59-64dd4affe2a1</x:v>
      </x:c>
      <x:c r="B92" t="str">
        <x:v>CSSP10783990</x:v>
      </x:c>
      <x:c r="C92" t="str">
        <x:v>diana.ali@petronas.com</x:v>
      </x:c>
      <x:c r="D92" t="str">
        <x:v>decommission-cloud</x:v>
      </x:c>
      <x:c r="E92" t="str">
        <x:v>cancelled</x:v>
      </x:c>
      <x:c r="F92" t="n">
        <x:v>46051.076688877314</x:v>
      </x:c>
      <x:c r="G92" t="n">
        <x:v>46051.077641909724</x:v>
      </x:c>
      <x:c r="H92" t="n">
        <x:v>46051.076688877314</x:v>
      </x:c>
      <x:c r="I92" t="str">
        <x:v>Enterprise Application Integration - EAI WebMethod</x:v>
      </x:c>
      <x:c r="J92" t="str">
        <x:v>EAI WebMethod Integration Platform Cloud Migration and Upgrade</x:v>
      </x:c>
      <x:c r="K92" t="str">
        <x:v>partial</x:v>
      </x:c>
      <x:c r="L92"/>
      <x:c r="M92" t="str">
        <x:v>mahzan.musa@petronas.com</x:v>
      </x:c>
      <x:c r="N92" t="str">
        <x:v>myeai.petronas.com, myeaiext.petronas.com</x:v>
      </x:c>
      <x:c r="O92"/>
      <x:c r="P92" t="str">
        <x:v>Migrated to MuleSoft</x:v>
      </x:c>
      <x:c r="Q92" t="str">
        <x:v>6M</x:v>
      </x:c>
      <x:c r="R92" t="str">
        <x:v>Upgrade</x:v>
      </x:c>
      <x:c r="S92"/>
      <x:c r="T92" t="str">
        <x:v>rejected</x:v>
      </x:c>
      <x:c r="U92" t="str">
        <x:v>diana.ali@petronas.com</x:v>
      </x:c>
      <x:c r="V92" t="n">
        <x:v>46051.0776419213</x:v>
      </x:c>
      <x:c r="W92"/>
      <x:c r="X92"/>
      <x:c r="Y92" t="str">
        <x:v>mahzan.musa@petronas.com</x:v>
      </x:c>
      <x:c r="Z92"/>
      <x:c r="AA92"/>
      <x:c r="AB92"/>
      <x:c r="AC92" t="str">
        <x:v>CCoE Business</x:v>
      </x:c>
      <x:c r="AD92"/>
      <x:c r="AE92"/>
      <x:c r="AF92"/>
      <x:c r="AG92" t="str">
        <x:v>CCoE Operations</x:v>
      </x:c>
      <x:c r="AH92"/>
      <x:c r="AI92"/>
      <x:c r="AJ92" t="str">
        <x:v>A-000253</x:v>
      </x:c>
      <x:c r="AK92" t="n">
        <x:v>1726</x:v>
      </x:c>
      <x:c r="AL92"/>
      <x:c r="AM92"/>
      <x:c r="AN92" t="str">
        <x:v>retention</x:v>
      </x:c>
      <x:c r="AO92" t="n">
        <x:v>90</x:v>
      </x:c>
      <x:c r="AP92" s="23" t="str">
        <x:f>IF(E92="processing",IF(Z92="","",IF(ISNUMBER(Z92),INT(Z92),DATE(VALUE(LEFT(Z92,4)),VALUE(MID(Z92,6,2)),VALUE(MID(Z92,9,2))))),IF(OR(E92="executing",E92="pending"),IF(AD92="","",IF(ISNUMBER(AD92),INT(AD92),DATE(VALUE(LEFT(AD92,4)),VALUE(MID(AD92,6,2)),VALUE(MID(AD92,9,2))))),""))</x:f>
      </x:c>
      <x:c r="AQ92" s="24" t="str">
        <x:f>IF(AP92="","",INT('Configuration'!$B$4)-AP92)</x:f>
      </x:c>
      <x:c r="AR92" s="25" t="str">
        <x:f>IF(AP92="","Missing Required Date",IF(AQ92&lt;0,"Future Date",IF(AQ92=0,"0 days",IF(AQ92&lt;=2,"1-2 days",IF(AQ92&lt;=7,"3-7 days",IF(AQ92&lt;=14,"8-14 days",IF(AQ92&lt;=30,"15-30 days",IF(AQ92&lt;=60,"31-60 days",IF(AQ92&lt;=70,"61-70 days","71+ days")))))))))</x:f>
        <x:v>Missing Required Date</x:v>
      </x:c>
      <x:c r="AS92" s="25" t="str">
        <x:f>IF(OR(E92="processing",E92="executing",E92="pending"),IF(AP92="","Required aging date missing",IF(AQ92&gt;30,"Escalate &gt;30d",IF(AQ92&gt;14,"Watch &gt;14d","Within 14d"))),"Out of scope")</x:f>
        <x:v>Out of scope</x:v>
      </x:c>
    </x:row>
    <x:row r="93" ht="24" customHeight="1">
      <x:c r="A93" t="str">
        <x:v>d778a5ce-abff-4322-ad68-1474fea0794d</x:v>
      </x:c>
      <x:c r="B93" t="str">
        <x:v>CSSP10238871</x:v>
      </x:c>
      <x:c r="C93" t="str">
        <x:v>diana.ali@petronas.com</x:v>
      </x:c>
      <x:c r="D93" t="str">
        <x:v>decommission-cloud</x:v>
      </x:c>
      <x:c r="E93" t="str">
        <x:v>completed</x:v>
      </x:c>
      <x:c r="F93" t="n">
        <x:v>46051.14567229167</x:v>
      </x:c>
      <x:c r="G93" t="n">
        <x:v>46064.311223715275</x:v>
      </x:c>
      <x:c r="H93" t="n">
        <x:v>46051.14567229167</x:v>
      </x:c>
      <x:c r="I93" t="str">
        <x:v>Enterprise Application Integration - EAI WebMethod</x:v>
      </x:c>
      <x:c r="J93" t="str">
        <x:v>EAI WebMethod Integration Platform Cloud Migration and Upgrade</x:v>
      </x:c>
      <x:c r="K93" t="str">
        <x:v>ci</x:v>
      </x:c>
      <x:c r="L93"/>
      <x:c r="M93" t="str">
        <x:v>mahzan.musa@petronas.com</x:v>
      </x:c>
      <x:c r="N93"/>
      <x:c r="O93"/>
      <x:c r="P93" t="str">
        <x:v>The WebMethods integration has been migrated to MuleSoft. We will proceed with an application decommission for now. A full decommission request will be submitted later in February once the stabilization period ends.</x:v>
      </x:c>
      <x:c r="Q93" t="str">
        <x:v>6M</x:v>
      </x:c>
      <x:c r="R93" t="str">
        <x:v>Upgrade</x:v>
      </x:c>
      <x:c r="S93"/>
      <x:c r="T93" t="str">
        <x:v>approved</x:v>
      </x:c>
      <x:c r="U93" t="str">
        <x:v>diana.ali@petronas.com</x:v>
      </x:c>
      <x:c r="V93" t="n">
        <x:v>46051.26499429398</x:v>
      </x:c>
      <x:c r="W93" t="str">
        <x:v>The WebMethods integration has been migrated to MuleSoft. We will proceed with an application decommission for now. A full decommission request will be submitted later in February once the stabilization period ends.</x:v>
      </x:c>
      <x:c r="X93" t="str">
        <x:v>approved</x:v>
      </x:c>
      <x:c r="Y93" t="str">
        <x:v>mahzan.musa@petronas.com</x:v>
      </x:c>
      <x:c r="Z93" t="n">
        <x:v>46057.308362777774</x:v>
      </x:c>
      <x:c r="AA93" t="str">
        <x:v>Approve decommissioning as EAI webMethods replaced with MuleSoft. Migration completed Jan-2026.</x:v>
      </x:c>
      <x:c r="AB93" t="str">
        <x:v>approved</x:v>
      </x:c>
      <x:c r="AC93" t="str">
        <x:v>saniza.ismail@petronas.com</x:v>
      </x:c>
      <x:c r="AD93" t="n">
        <x:v>46064.307258622684</x:v>
      </x:c>
      <x:c r="AE93" t="str">
        <x:v>To change Webmethod EAI to Disposed in CMDB.</x:v>
      </x:c>
      <x:c r="AF93" t="str">
        <x:v>approved</x:v>
      </x:c>
      <x:c r="AG93" t="str">
        <x:v>saniza.ismail@petronas.com</x:v>
      </x:c>
      <x:c r="AH93" t="n">
        <x:v>46064.31122372685</x:v>
      </x:c>
      <x:c r="AI93" t="str">
        <x:v>Change Webmethod EAI CI Status to Disposed in CMDB
1. WebMethods EAI (onCloud 10.7 External)
2. WebMethods EAI (onCloud 10.7 Internal)</x:v>
      </x:c>
      <x:c r="AJ93" t="str">
        <x:v>A-000253</x:v>
      </x:c>
      <x:c r="AK93" t="n">
        <x:v>1726</x:v>
      </x:c>
      <x:c r="AL93" t="str">
        <x:v>S</x:v>
      </x:c>
      <x:c r="AM93" t="str">
        <x:v>REQ000007870614</x:v>
      </x:c>
      <x:c r="AN93" t="str">
        <x:v>retention</x:v>
      </x:c>
      <x:c r="AO93" t="n">
        <x:v>90</x:v>
      </x:c>
      <x:c r="AP93" s="23" t="str">
        <x:f>IF(E93="processing",IF(Z93="","",IF(ISNUMBER(Z93),INT(Z93),DATE(VALUE(LEFT(Z93,4)),VALUE(MID(Z93,6,2)),VALUE(MID(Z93,9,2))))),IF(OR(E93="executing",E93="pending"),IF(AD93="","",IF(ISNUMBER(AD93),INT(AD93),DATE(VALUE(LEFT(AD93,4)),VALUE(MID(AD93,6,2)),VALUE(MID(AD93,9,2))))),""))</x:f>
      </x:c>
      <x:c r="AQ93" s="24" t="str">
        <x:f>IF(AP93="","",INT('Configuration'!$B$4)-AP93)</x:f>
      </x:c>
      <x:c r="AR93" s="25" t="str">
        <x:f>IF(AP93="","Missing Required Date",IF(AQ93&lt;0,"Future Date",IF(AQ93=0,"0 days",IF(AQ93&lt;=2,"1-2 days",IF(AQ93&lt;=7,"3-7 days",IF(AQ93&lt;=14,"8-14 days",IF(AQ93&lt;=30,"15-30 days",IF(AQ93&lt;=60,"31-60 days",IF(AQ93&lt;=70,"61-70 days","71+ days")))))))))</x:f>
        <x:v>Missing Required Date</x:v>
      </x:c>
      <x:c r="AS93" s="25" t="str">
        <x:f>IF(OR(E93="processing",E93="executing",E93="pending"),IF(AP93="","Required aging date missing",IF(AQ93&gt;30,"Escalate &gt;30d",IF(AQ93&gt;14,"Watch &gt;14d","Within 14d"))),"Out of scope")</x:f>
        <x:v>Out of scope</x:v>
      </x:c>
    </x:row>
    <x:row r="94" ht="24" customHeight="1">
      <x:c r="A94" t="str">
        <x:v>553c9672-36e8-48ac-8730-da383cbf82ca</x:v>
      </x:c>
      <x:c r="B94" t="str">
        <x:v>CSSP10654103</x:v>
      </x:c>
      <x:c r="C94" t="str">
        <x:v>izmir.marzuki@petronas.com</x:v>
      </x:c>
      <x:c r="D94" t="str">
        <x:v>decommission-cloud</x:v>
      </x:c>
      <x:c r="E94" t="str">
        <x:v>completed</x:v>
      </x:c>
      <x:c r="F94" t="n">
        <x:v>46051.290883298614</x:v>
      </x:c>
      <x:c r="G94" t="n">
        <x:v>46053.176320694445</x:v>
      </x:c>
      <x:c r="H94" t="n">
        <x:v>46051.290883298614</x:v>
      </x:c>
      <x:c r="I94" t="str">
        <x:v>GoAnywhere MFT</x:v>
      </x:c>
      <x:c r="J94" t="str">
        <x:v>Provision of Hosting Infrastructure-as-a-Service (IaaS) for GoAnywhere MFT for PETRONAS Group</x:v>
      </x:c>
      <x:c r="K94" t="str">
        <x:v>partial</x:v>
      </x:c>
      <x:c r="L94"/>
      <x:c r="M94" t="str">
        <x:v>saiful.zahari@petronas.com</x:v>
      </x:c>
      <x:c r="N94"/>
      <x:c r="O94"/>
      <x:c r="P94" t="str">
        <x:v>1) ptazsg1mftgofilestrggrs is not in used. 2) ptazsg5mftgofilestrglrs is not in used. 3) ptazsg5mftgostrglrs is not in used.</x:v>
      </x:c>
      <x:c r="Q94" t="str">
        <x:v>2W</x:v>
      </x:c>
      <x:c r="R94" t="str">
        <x:v>Not in Used</x:v>
      </x:c>
      <x:c r="S94"/>
      <x:c r="T94" t="str">
        <x:v>approved</x:v>
      </x:c>
      <x:c r="U94" t="str">
        <x:v>izmir.marzuki@petronas.com</x:v>
      </x:c>
      <x:c r="V94" t="n">
        <x:v>46051.2934659838</x:v>
      </x:c>
      <x:c r="W94" t="str">
        <x:v>1) ptazsg1mftgofilestrggrs is not in used. 2) ptazsg5mftgofilestrglrs is not in used. 3) ptazsg5mftgostrglrs is not in used.</x:v>
      </x:c>
      <x:c r="X94" t="str">
        <x:v>approved</x:v>
      </x:c>
      <x:c r="Y94" t="str">
        <x:v>saiful.zahari@petronas.com</x:v>
      </x:c>
      <x:c r="Z94" t="n">
        <x:v>46052.07055008102</x:v>
      </x:c>
      <x:c r="AA94" t="str">
        <x:v>Ensure that all related and non interdependent resources are also deleted eg snapshots and backup (if any)</x:v>
      </x:c>
      <x:c r="AB94" t="str">
        <x:v>approved</x:v>
      </x:c>
      <x:c r="AC94" t="str">
        <x:v>azwan.badari@petronas.com</x:v>
      </x:c>
      <x:c r="AD94" t="n">
        <x:v>46052.1625878125</x:v>
      </x:c>
      <x:c r="AE94" t="str">
        <x:v>Decommission listed storage account</x:v>
      </x:c>
      <x:c r="AF94" t="str">
        <x:v>approved</x:v>
      </x:c>
      <x:c r="AG94" t="str">
        <x:v>azwan.badari@petronas.com</x:v>
      </x:c>
      <x:c r="AH94" t="n">
        <x:v>46053.17632071759</x:v>
      </x:c>
      <x:c r="AI94" t="str">
        <x:v>Completed</x:v>
      </x:c>
      <x:c r="AJ94" t="str">
        <x:v>A-000342</x:v>
      </x:c>
      <x:c r="AK94" t="n">
        <x:v>1335</x:v>
      </x:c>
      <x:c r="AL94" t="str">
        <x:v>M</x:v>
      </x:c>
      <x:c r="AM94" t="str">
        <x:v>REQ000007850888</x:v>
      </x:c>
      <x:c r="AN94" t="str">
        <x:v>noretention</x:v>
      </x:c>
      <x:c r="AO94" t="n">
        <x:v>0</x:v>
      </x:c>
      <x:c r="AP94" s="23" t="str">
        <x:f>IF(E94="processing",IF(Z94="","",IF(ISNUMBER(Z94),INT(Z94),DATE(VALUE(LEFT(Z94,4)),VALUE(MID(Z94,6,2)),VALUE(MID(Z94,9,2))))),IF(OR(E94="executing",E94="pending"),IF(AD94="","",IF(ISNUMBER(AD94),INT(AD94),DATE(VALUE(LEFT(AD94,4)),VALUE(MID(AD94,6,2)),VALUE(MID(AD94,9,2))))),""))</x:f>
      </x:c>
      <x:c r="AQ94" s="24" t="str">
        <x:f>IF(AP94="","",INT('Configuration'!$B$4)-AP94)</x:f>
      </x:c>
      <x:c r="AR94" s="25" t="str">
        <x:f>IF(AP94="","Missing Required Date",IF(AQ94&lt;0,"Future Date",IF(AQ94=0,"0 days",IF(AQ94&lt;=2,"1-2 days",IF(AQ94&lt;=7,"3-7 days",IF(AQ94&lt;=14,"8-14 days",IF(AQ94&lt;=30,"15-30 days",IF(AQ94&lt;=60,"31-60 days",IF(AQ94&lt;=70,"61-70 days","71+ days")))))))))</x:f>
        <x:v>Missing Required Date</x:v>
      </x:c>
      <x:c r="AS94" s="25" t="str">
        <x:f>IF(OR(E94="processing",E94="executing",E94="pending"),IF(AP94="","Required aging date missing",IF(AQ94&gt;30,"Escalate &gt;30d",IF(AQ94&gt;14,"Watch &gt;14d","Within 14d"))),"Out of scope")</x:f>
        <x:v>Out of scope</x:v>
      </x:c>
    </x:row>
    <x:row r="95" ht="24" customHeight="1">
      <x:c r="A95" t="str">
        <x:v>75aa387d-efbb-4f36-b7e7-29d01ccacb86</x:v>
      </x:c>
      <x:c r="B95" t="str">
        <x:v>CSSP10892983</x:v>
      </x:c>
      <x:c r="C95" t="str">
        <x:v>mfaizal.salleh@petronas.com</x:v>
      </x:c>
      <x:c r="D95" t="str">
        <x:v>decommission-cloud</x:v>
      </x:c>
      <x:c r="E95" t="str">
        <x:v>completed</x:v>
      </x:c>
      <x:c r="F95" t="n">
        <x:v>46052.06957261574</x:v>
      </x:c>
      <x:c r="G95" t="n">
        <x:v>46058.291024398146</x:v>
      </x:c>
      <x:c r="H95" t="n">
        <x:v>46052.06957261574</x:v>
      </x:c>
      <x:c r="I95" t="str">
        <x:v>Malaysian Financial Reporting Standards - MFRS</x:v>
      </x:c>
      <x:c r="J95" t="str">
        <x:v>Implementation Malaysian Financial Reporting Standards (MFRS) Statutory Reporting (MFRS16) for PETRONAS Group of Companies</x:v>
      </x:c>
      <x:c r="K95" t="str">
        <x:v>partial</x:v>
      </x:c>
      <x:c r="L95"/>
      <x:c r="M95" t="str">
        <x:v>amirshazlan.mshah@petronas.com.my</x:v>
      </x:c>
      <x:c r="N95"/>
      <x:c r="O95"/>
      <x:c r="P95" t="str">
        <x:v>Not in used</x:v>
      </x:c>
      <x:c r="Q95" t="str">
        <x:v>2W</x:v>
      </x:c>
      <x:c r="R95" t="str">
        <x:v>Not in Used</x:v>
      </x:c>
      <x:c r="S95"/>
      <x:c r="T95" t="str">
        <x:v>approved</x:v>
      </x:c>
      <x:c r="U95" t="str">
        <x:v>mfaizal.salleh@petronas.com</x:v>
      </x:c>
      <x:c r="V95" t="n">
        <x:v>46052.0760990625</x:v>
      </x:c>
      <x:c r="W95" t="str">
        <x:v>Not in used - 
Resource not found 
ptsg4mfrsblobstrg
ptazsguatmfrsrgdiag
ptsg4mfrsfunc01strg
ptsg1mfrsblobstrg
</x:v>
      </x:c>
      <x:c r="X95" t="str">
        <x:v>approved</x:v>
      </x:c>
      <x:c r="Y95" t="str">
        <x:v>amirshazlan.mshah@petronas.com</x:v>
      </x:c>
      <x:c r="Z95" t="n">
        <x:v>46052.092986793985</x:v>
      </x:c>
      <x:c r="AA95" t="str">
        <x:v>approval</x:v>
      </x:c>
      <x:c r="AB95" t="str">
        <x:v>approved</x:v>
      </x:c>
      <x:c r="AC95" t="str">
        <x:v>azwan.badari@petronas.com</x:v>
      </x:c>
      <x:c r="AD95" t="n">
        <x:v>46052.20992331018</x:v>
      </x:c>
      <x:c r="AE95" t="str">
        <x:v>Proceed</x:v>
      </x:c>
      <x:c r="AF95" t="str">
        <x:v>approved</x:v>
      </x:c>
      <x:c r="AG95" t="str">
        <x:v>azlisham.md@petronas.com</x:v>
      </x:c>
      <x:c r="AH95" t="n">
        <x:v>46058.29102440972</x:v>
      </x:c>
      <x:c r="AI95" t="str">
        <x:v>The decommission request has been completed, and the status is now updated accordingly. Kindly verify from your end and confirm once reviewed.
</x:v>
      </x:c>
      <x:c r="AJ95" t="str">
        <x:v>A-000461</x:v>
      </x:c>
      <x:c r="AK95" t="n">
        <x:v>789</x:v>
      </x:c>
      <x:c r="AL95" t="str">
        <x:v>M</x:v>
      </x:c>
      <x:c r="AM95" t="str">
        <x:v>REQ000007851251</x:v>
      </x:c>
      <x:c r="AN95" t="str">
        <x:v>noretention</x:v>
      </x:c>
      <x:c r="AO95" t="n">
        <x:v>0</x:v>
      </x:c>
      <x:c r="AP95" s="23" t="str">
        <x:f>IF(E95="processing",IF(Z95="","",IF(ISNUMBER(Z95),INT(Z95),DATE(VALUE(LEFT(Z95,4)),VALUE(MID(Z95,6,2)),VALUE(MID(Z95,9,2))))),IF(OR(E95="executing",E95="pending"),IF(AD95="","",IF(ISNUMBER(AD95),INT(AD95),DATE(VALUE(LEFT(AD95,4)),VALUE(MID(AD95,6,2)),VALUE(MID(AD95,9,2))))),""))</x:f>
      </x:c>
      <x:c r="AQ95" s="24" t="str">
        <x:f>IF(AP95="","",INT('Configuration'!$B$4)-AP95)</x:f>
      </x:c>
      <x:c r="AR95" s="25" t="str">
        <x:f>IF(AP95="","Missing Required Date",IF(AQ95&lt;0,"Future Date",IF(AQ95=0,"0 days",IF(AQ95&lt;=2,"1-2 days",IF(AQ95&lt;=7,"3-7 days",IF(AQ95&lt;=14,"8-14 days",IF(AQ95&lt;=30,"15-30 days",IF(AQ95&lt;=60,"31-60 days",IF(AQ95&lt;=70,"61-70 days","71+ days")))))))))</x:f>
        <x:v>Missing Required Date</x:v>
      </x:c>
      <x:c r="AS95" s="25" t="str">
        <x:f>IF(OR(E95="processing",E95="executing",E95="pending"),IF(AP95="","Required aging date missing",IF(AQ95&gt;30,"Escalate &gt;30d",IF(AQ95&gt;14,"Watch &gt;14d","Within 14d"))),"Out of scope")</x:f>
        <x:v>Out of scope</x:v>
      </x:c>
    </x:row>
    <x:row r="96" ht="24" customHeight="1">
      <x:c r="A96" t="str">
        <x:v>34877244-ad85-4856-bd47-9fbef95c822d</x:v>
      </x:c>
      <x:c r="B96" t="str">
        <x:v>CSSP10245126</x:v>
      </x:c>
      <x:c r="C96" t="str">
        <x:v>hari.amirchow@petronas.com</x:v>
      </x:c>
      <x:c r="D96" t="str">
        <x:v>decommission-cloud</x:v>
      </x:c>
      <x:c r="E96" t="str">
        <x:v>completed</x:v>
      </x:c>
      <x:c r="F96" t="n">
        <x:v>46052.5995028125</x:v>
      </x:c>
      <x:c r="G96" t="n">
        <x:v>46066.10319702546</x:v>
      </x:c>
      <x:c r="H96" t="n">
        <x:v>46052.5995028125</x:v>
      </x:c>
      <x:c r="I96" t="str">
        <x:v>SAP 40 BPC</x:v>
      </x:c>
      <x:c r="J96" t="str">
        <x:v>Migration and Optimization of SAP P40 to BPC 10.1 using HANA Database for Group Financial Control (GFC)</x:v>
      </x:c>
      <x:c r="K96" t="str">
        <x:v>partial</x:v>
      </x:c>
      <x:c r="L96"/>
      <x:c r="M96" t="str">
        <x:v>rizuanatan@petronas.com</x:v>
      </x:c>
      <x:c r="N96"/>
      <x:c r="O96"/>
      <x:c r="P96" t="str">
        <x:v>Issue with DB corruption. DB had to be restored in new server</x:v>
      </x:c>
      <x:c r="Q96" t="str">
        <x:v>2W</x:v>
      </x:c>
      <x:c r="R96" t="str">
        <x:v>Not in Used</x:v>
      </x:c>
      <x:c r="S96"/>
      <x:c r="T96" t="str">
        <x:v>approved</x:v>
      </x:c>
      <x:c r="U96" t="str">
        <x:v>hari.amirchow@petronas.com</x:v>
      </x:c>
      <x:c r="V96" t="n">
        <x:v>46052.603825150465</x:v>
      </x:c>
      <x:c r="W96" t="str">
        <x:v>Old VM that has been replaced with new VM due to restore issue</x:v>
      </x:c>
      <x:c r="X96" t="str">
        <x:v>approved</x:v>
      </x:c>
      <x:c r="Y96" t="str">
        <x:v>rizuanatan@petronas.com</x:v>
      </x:c>
      <x:c r="Z96" t="n">
        <x:v>46062.1190328588</x:v>
      </x:c>
      <x:c r="AA96" t="str">
        <x:v>Due to a database corruption issue, the server was moved to a new VM. The old VM is no longer being used.</x:v>
      </x:c>
      <x:c r="AB96" t="str">
        <x:v>approved</x:v>
      </x:c>
      <x:c r="AC96" t="str">
        <x:v>azwan.badari@petronas.com</x:v>
      </x:c>
      <x:c r="AD96" t="n">
        <x:v>46062.149009849534</x:v>
      </x:c>
      <x:c r="AE96" t="str">
        <x:v>Proceed to decommission listed VM.</x:v>
      </x:c>
      <x:c r="AF96" t="str">
        <x:v>approved</x:v>
      </x:c>
      <x:c r="AG96" t="str">
        <x:v>azlisham.md@petronas.com</x:v>
      </x:c>
      <x:c r="AH96" t="n">
        <x:v>46066.10319703704</x:v>
      </x:c>
      <x:c r="AI96" t="str">
        <x:v>The decommission request has been completed, and the status is now updated accordingly. Kindly verify from your end and confirm once reviewed.
</x:v>
      </x:c>
      <x:c r="AJ96" t="str">
        <x:v>A-000723</x:v>
      </x:c>
      <x:c r="AK96" t="str">
        <x:v>PSR05474</x:v>
      </x:c>
      <x:c r="AL96" t="str">
        <x:v>M</x:v>
      </x:c>
      <x:c r="AM96" t="str">
        <x:v>REQ000007865007</x:v>
      </x:c>
      <x:c r="AN96" t="str">
        <x:v>noretention</x:v>
      </x:c>
      <x:c r="AO96" t="n">
        <x:v>0</x:v>
      </x:c>
      <x:c r="AP96" s="23" t="str">
        <x:f>IF(E96="processing",IF(Z96="","",IF(ISNUMBER(Z96),INT(Z96),DATE(VALUE(LEFT(Z96,4)),VALUE(MID(Z96,6,2)),VALUE(MID(Z96,9,2))))),IF(OR(E96="executing",E96="pending"),IF(AD96="","",IF(ISNUMBER(AD96),INT(AD96),DATE(VALUE(LEFT(AD96,4)),VALUE(MID(AD96,6,2)),VALUE(MID(AD96,9,2))))),""))</x:f>
      </x:c>
      <x:c r="AQ96" s="24" t="str">
        <x:f>IF(AP96="","",INT('Configuration'!$B$4)-AP96)</x:f>
      </x:c>
      <x:c r="AR96" s="25" t="str">
        <x:f>IF(AP96="","Missing Required Date",IF(AQ96&lt;0,"Future Date",IF(AQ96=0,"0 days",IF(AQ96&lt;=2,"1-2 days",IF(AQ96&lt;=7,"3-7 days",IF(AQ96&lt;=14,"8-14 days",IF(AQ96&lt;=30,"15-30 days",IF(AQ96&lt;=60,"31-60 days",IF(AQ96&lt;=70,"61-70 days","71+ days")))))))))</x:f>
        <x:v>Missing Required Date</x:v>
      </x:c>
      <x:c r="AS96" s="25" t="str">
        <x:f>IF(OR(E96="processing",E96="executing",E96="pending"),IF(AP96="","Required aging date missing",IF(AQ96&gt;30,"Escalate &gt;30d",IF(AQ96&gt;14,"Watch &gt;14d","Within 14d"))),"Out of scope")</x:f>
        <x:v>Out of scope</x:v>
      </x:c>
    </x:row>
    <x:row r="97" ht="24" customHeight="1">
      <x:c r="A97" t="str">
        <x:v>dbdae2f3-d153-4f86-aed1-be13cc473370</x:v>
      </x:c>
      <x:c r="B97" t="str">
        <x:v>CSSP10431985</x:v>
      </x:c>
      <x:c r="C97" t="str">
        <x:v>azad.johari@petronas.com</x:v>
      </x:c>
      <x:c r="D97" t="str">
        <x:v>decommission-cloud</x:v>
      </x:c>
      <x:c r="E97" t="str">
        <x:v>rejected</x:v>
      </x:c>
      <x:c r="F97" t="n">
        <x:v>46057.03354863426</x:v>
      </x:c>
      <x:c r="G97" t="n">
        <x:v>46132.3543505787</x:v>
      </x:c>
      <x:c r="H97" t="n">
        <x:v>46057.03354863426</x:v>
      </x:c>
      <x:c r="I97" t="str">
        <x:v>Talent Analytics - TA</x:v>
      </x:c>
      <x:c r="J97" t="str">
        <x:v>VM for Talent Analytics POC</x:v>
      </x:c>
      <x:c r="K97" t="str">
        <x:v>partial</x:v>
      </x:c>
      <x:c r="L97"/>
      <x:c r="M97" t="str">
        <x:v>amirshazlan.mshah@petronas.com</x:v>
      </x:c>
      <x:c r="N97"/>
      <x:c r="O97"/>
      <x:c r="P97" t="str">
        <x:v>PTSG-1TLDap01, PTSG-5TLDap01 not in used.</x:v>
      </x:c>
      <x:c r="Q97" t="str">
        <x:v>12M</x:v>
      </x:c>
      <x:c r="R97" t="str">
        <x:v>Not in Used</x:v>
      </x:c>
      <x:c r="S97"/>
      <x:c r="T97" t="str">
        <x:v>approved</x:v>
      </x:c>
      <x:c r="U97" t="str">
        <x:v>azad.johari@petronas.com</x:v>
      </x:c>
      <x:c r="V97" t="n">
        <x:v>46057.0353228125</x:v>
      </x:c>
      <x:c r="W97" t="str">
        <x:v>no resource found. these 2 servers to be decomm PTSG-1TLDap01, PTSG-5TLDap01. both in AWS.</x:v>
      </x:c>
      <x:c r="X97" t="str">
        <x:v>approved</x:v>
      </x:c>
      <x:c r="Y97" t="str">
        <x:v>amirshazlan.mshah@petronas.com</x:v>
      </x:c>
      <x:c r="Z97" t="n">
        <x:v>46126.383479571756</x:v>
      </x:c>
      <x:c r="AA97" t="str">
        <x:v>approved</x:v>
      </x:c>
      <x:c r="AB97" t="str">
        <x:v>rejected</x:v>
      </x:c>
      <x:c r="AC97" t="str">
        <x:v>azwan.badari@petronas.com</x:v>
      </x:c>
      <x:c r="AD97" t="n">
        <x:v>46132.3543505787</x:v>
      </x:c>
      <x:c r="AE97" t="str">
        <x:v>Server PTSG-1TLDap01, PTSG-5TLDap01 not found, might has been decommissioned.</x:v>
      </x:c>
      <x:c r="AF97"/>
      <x:c r="AG97" t="str">
        <x:v>CCoE Operations</x:v>
      </x:c>
      <x:c r="AH97"/>
      <x:c r="AI97"/>
      <x:c r="AJ97" t="str">
        <x:v>A-000801</x:v>
      </x:c>
      <x:c r="AK97" t="n">
        <x:v>845</x:v>
      </x:c>
      <x:c r="AL97"/>
      <x:c r="AM97"/>
      <x:c r="AN97" t="str">
        <x:v>noretention</x:v>
      </x:c>
      <x:c r="AO97" t="n">
        <x:v>0</x:v>
      </x:c>
      <x:c r="AP97" s="23" t="str">
        <x:f>IF(E97="processing",IF(Z97="","",IF(ISNUMBER(Z97),INT(Z97),DATE(VALUE(LEFT(Z97,4)),VALUE(MID(Z97,6,2)),VALUE(MID(Z97,9,2))))),IF(OR(E97="executing",E97="pending"),IF(AD97="","",IF(ISNUMBER(AD97),INT(AD97),DATE(VALUE(LEFT(AD97,4)),VALUE(MID(AD97,6,2)),VALUE(MID(AD97,9,2))))),""))</x:f>
      </x:c>
      <x:c r="AQ97" s="24" t="str">
        <x:f>IF(AP97="","",INT('Configuration'!$B$4)-AP97)</x:f>
      </x:c>
      <x:c r="AR97" s="25" t="str">
        <x:f>IF(AP97="","Missing Required Date",IF(AQ97&lt;0,"Future Date",IF(AQ97=0,"0 days",IF(AQ97&lt;=2,"1-2 days",IF(AQ97&lt;=7,"3-7 days",IF(AQ97&lt;=14,"8-14 days",IF(AQ97&lt;=30,"15-30 days",IF(AQ97&lt;=60,"31-60 days",IF(AQ97&lt;=70,"61-70 days","71+ days")))))))))</x:f>
        <x:v>Missing Required Date</x:v>
      </x:c>
      <x:c r="AS97" s="25" t="str">
        <x:f>IF(OR(E97="processing",E97="executing",E97="pending"),IF(AP97="","Required aging date missing",IF(AQ97&gt;30,"Escalate &gt;30d",IF(AQ97&gt;14,"Watch &gt;14d","Within 14d"))),"Out of scope")</x:f>
        <x:v>Out of scope</x:v>
      </x:c>
    </x:row>
    <x:row r="98" ht="24" customHeight="1">
      <x:c r="A98" t="str">
        <x:v>8836aca8-9ff7-4684-975e-5433333a7be1</x:v>
      </x:c>
      <x:c r="B98" t="str">
        <x:v>CSSP10348510</x:v>
      </x:c>
      <x:c r="C98" t="str">
        <x:v>marziah.mahmod@petronas.com</x:v>
      </x:c>
      <x:c r="D98" t="str">
        <x:v>decommission-cloud</x:v>
      </x:c>
      <x:c r="E98" t="str">
        <x:v>completed</x:v>
      </x:c>
      <x:c r="F98" t="n">
        <x:v>46057.04398732639</x:v>
      </x:c>
      <x:c r="G98" t="n">
        <x:v>46078.24838221065</x:v>
      </x:c>
      <x:c r="H98" t="n">
        <x:v>46076.22634980324</x:v>
      </x:c>
      <x:c r="I98" t="str">
        <x:v>Plant Information - PI Enterprise</x:v>
      </x:c>
      <x:c r="J98" t="str">
        <x:v>CTP Old to New LZ - PI Enterprise</x:v>
      </x:c>
      <x:c r="K98" t="str">
        <x:v>full</x:v>
      </x:c>
      <x:c r="L98" t="str">
        <x:v>DCOM20260204e88</x:v>
      </x:c>
      <x:c r="M98" t="str">
        <x:v>mohammadsani.johari@petronas.com.my</x:v>
      </x:c>
      <x:c r="N98" t="str">
        <x:v>PTAWSG-1PIGDA01;10.102.21.191, PTAWSG-1PIGDA02;10.102.22.28</x:v>
      </x:c>
      <x:c r="O98"/>
      <x:c r="P98" t="str">
        <x:v>Server consolidation as part of cost optimization for EPH.</x:v>
      </x:c>
      <x:c r="Q98" t="str">
        <x:v>1M</x:v>
      </x:c>
      <x:c r="R98" t="str">
        <x:v>Consolidation</x:v>
      </x:c>
      <x:c r="S98"/>
      <x:c r="T98" t="str">
        <x:v>approved</x:v>
      </x:c>
      <x:c r="U98" t="str">
        <x:v>marziah.mahmod@petronas.com</x:v>
      </x:c>
      <x:c r="V98" t="n">
        <x:v>46076.29970640046</x:v>
      </x:c>
      <x:c r="W98" t="str">
        <x:v>Server consolidation as part of cost optimization for EPH.</x:v>
      </x:c>
      <x:c r="X98" t="str">
        <x:v>approved</x:v>
      </x:c>
      <x:c r="Y98" t="str">
        <x:v>mohammadsani.johari@petronas.com</x:v>
      </x:c>
      <x:c r="Z98" t="n">
        <x:v>46076.31845005787</x:v>
      </x:c>
      <x:c r="AA98" t="str">
        <x:v>Approved</x:v>
      </x:c>
      <x:c r="AB98" t="str">
        <x:v>approved</x:v>
      </x:c>
      <x:c r="AC98" t="str">
        <x:v>azwan.badari@petronas.com</x:v>
      </x:c>
      <x:c r="AD98" t="n">
        <x:v>46077.100795150465</x:v>
      </x:c>
      <x:c r="AE98" t="str">
        <x:v>PTAWSG-1PIGDA01;10.102.21.191, PTAWSG-1PIGDA02;10.102.22.28 in AWS, PTAW-IAC-PROD-PEnT-Environment-01</x:v>
      </x:c>
      <x:c r="AF98" t="str">
        <x:v>approved</x:v>
      </x:c>
      <x:c r="AG98" t="str">
        <x:v>azlisham.md@petronas.com</x:v>
      </x:c>
      <x:c r="AH98" t="n">
        <x:v>46078.24838222222</x:v>
      </x:c>
      <x:c r="AI98" t="str">
        <x:v>The decommission request has been completed, and the status is now updated accordingly. Kindly verify from your end and confirm once reviewed.
</x:v>
      </x:c>
      <x:c r="AJ98" t="str">
        <x:v>A-000568</x:v>
      </x:c>
      <x:c r="AK98" t="str">
        <x:v>02421_71</x:v>
      </x:c>
      <x:c r="AL98" t="str">
        <x:v>M</x:v>
      </x:c>
      <x:c r="AM98" t="str">
        <x:v>REQ000007889231</x:v>
      </x:c>
      <x:c r="AN98" t="str">
        <x:v>noretention</x:v>
      </x:c>
      <x:c r="AO98" t="n">
        <x:v>0</x:v>
      </x:c>
      <x:c r="AP98" s="23" t="str">
        <x:f>IF(E98="processing",IF(Z98="","",IF(ISNUMBER(Z98),INT(Z98),DATE(VALUE(LEFT(Z98,4)),VALUE(MID(Z98,6,2)),VALUE(MID(Z98,9,2))))),IF(OR(E98="executing",E98="pending"),IF(AD98="","",IF(ISNUMBER(AD98),INT(AD98),DATE(VALUE(LEFT(AD98,4)),VALUE(MID(AD98,6,2)),VALUE(MID(AD98,9,2))))),""))</x:f>
      </x:c>
      <x:c r="AQ98" s="24" t="str">
        <x:f>IF(AP98="","",INT('Configuration'!$B$4)-AP98)</x:f>
      </x:c>
      <x:c r="AR98" s="25" t="str">
        <x:f>IF(AP98="","Missing Required Date",IF(AQ98&lt;0,"Future Date",IF(AQ98=0,"0 days",IF(AQ98&lt;=2,"1-2 days",IF(AQ98&lt;=7,"3-7 days",IF(AQ98&lt;=14,"8-14 days",IF(AQ98&lt;=30,"15-30 days",IF(AQ98&lt;=60,"31-60 days",IF(AQ98&lt;=70,"61-70 days","71+ days")))))))))</x:f>
        <x:v>Missing Required Date</x:v>
      </x:c>
      <x:c r="AS98" s="25" t="str">
        <x:f>IF(OR(E98="processing",E98="executing",E98="pending"),IF(AP98="","Required aging date missing",IF(AQ98&gt;30,"Escalate &gt;30d",IF(AQ98&gt;14,"Watch &gt;14d","Within 14d"))),"Out of scope")</x:f>
        <x:v>Out of scope</x:v>
      </x:c>
    </x:row>
    <x:row r="99" ht="24" customHeight="1">
      <x:c r="A99" t="str">
        <x:v>a210e434-a6eb-4702-8acc-5a76408edc4b</x:v>
      </x:c>
      <x:c r="B99" t="str">
        <x:v>CSSP10650004</x:v>
      </x:c>
      <x:c r="C99" t="str">
        <x:v>syahadah.salleh@petronas.com</x:v>
      </x:c>
      <x:c r="D99" t="str">
        <x:v>decommission-cloud</x:v>
      </x:c>
      <x:c r="E99" t="str">
        <x:v>completed</x:v>
      </x:c>
      <x:c r="F99" t="n">
        <x:v>46057.18969716435</x:v>
      </x:c>
      <x:c r="G99" t="n">
        <x:v>46092.40004934028</x:v>
      </x:c>
      <x:c r="H99" t="n">
        <x:v>46057.18969716435</x:v>
      </x:c>
      <x:c r="I99" t="str">
        <x:v>SharePoint - SPO ShareGate Desktop</x:v>
      </x:c>
      <x:c r="J99" t="str">
        <x:v>Cloud Migration Program - Sharepoint ShareGate Desktop Migration</x:v>
      </x:c>
      <x:c r="K99" t="str">
        <x:v>partial</x:v>
      </x:c>
      <x:c r="L99"/>
      <x:c r="M99" t="str">
        <x:v>nshahidahothman@petronas.com.my</x:v>
      </x:c>
      <x:c r="N99" t="str">
        <x:v>na</x:v>
      </x:c>
      <x:c r="O99" t="str">
        <x:v>na</x:v>
      </x:c>
      <x:c r="P99" t="str">
        <x:v>COC enforcement.</x:v>
      </x:c>
      <x:c r="Q99" t="str">
        <x:v>1M</x:v>
      </x:c>
      <x:c r="R99" t="str">
        <x:v>Not in Used</x:v>
      </x:c>
      <x:c r="S99"/>
      <x:c r="T99" t="str">
        <x:v>approved</x:v>
      </x:c>
      <x:c r="U99" t="str">
        <x:v>syahadah.salleh@petronas.com</x:v>
      </x:c>
      <x:c r="V99" t="n">
        <x:v>46057.19137364583</x:v>
      </x:c>
      <x:c r="W99" t="str">
        <x:v>Storage account not in use, 0 usage for past years.</x:v>
      </x:c>
      <x:c r="X99" t="str">
        <x:v>approved</x:v>
      </x:c>
      <x:c r="Y99" t="str">
        <x:v>nshahidahothman@petronas.com</x:v>
      </x:c>
      <x:c r="Z99" t="n">
        <x:v>46078.248162731485</x:v>
      </x:c>
      <x:c r="AA99" t="str">
        <x:v>proceed</x:v>
      </x:c>
      <x:c r="AB99" t="str">
        <x:v>approved</x:v>
      </x:c>
      <x:c r="AC99" t="str">
        <x:v>azwan.badari@petronas.com</x:v>
      </x:c>
      <x:c r="AD99" t="n">
        <x:v>46079.045031064816</x:v>
      </x:c>
      <x:c r="AE99" t="str">
        <x:v>Decommission selected storage account, ptsg1spsgstrg</x:v>
      </x:c>
      <x:c r="AF99" t="str">
        <x:v>approved</x:v>
      </x:c>
      <x:c r="AG99" t="str">
        <x:v>abdullah.haziq@petronas.com</x:v>
      </x:c>
      <x:c r="AH99" t="n">
        <x:v>46092.400049351854</x:v>
      </x:c>
      <x:c r="AI99" t="str">
        <x:v>completed</x:v>
      </x:c>
      <x:c r="AJ99" t="str">
        <x:v>A-000787</x:v>
      </x:c>
      <x:c r="AK99" t="str">
        <x:v>00915_32</x:v>
      </x:c>
      <x:c r="AL99" t="str">
        <x:v>S</x:v>
      </x:c>
      <x:c r="AM99" t="str">
        <x:v>REQ000007894393</x:v>
      </x:c>
      <x:c r="AN99" t="str">
        <x:v>noretention</x:v>
      </x:c>
      <x:c r="AO99" t="n">
        <x:v>0</x:v>
      </x:c>
      <x:c r="AP99" s="23" t="str">
        <x:f>IF(E99="processing",IF(Z99="","",IF(ISNUMBER(Z99),INT(Z99),DATE(VALUE(LEFT(Z99,4)),VALUE(MID(Z99,6,2)),VALUE(MID(Z99,9,2))))),IF(OR(E99="executing",E99="pending"),IF(AD99="","",IF(ISNUMBER(AD99),INT(AD99),DATE(VALUE(LEFT(AD99,4)),VALUE(MID(AD99,6,2)),VALUE(MID(AD99,9,2))))),""))</x:f>
      </x:c>
      <x:c r="AQ99" s="24" t="str">
        <x:f>IF(AP99="","",INT('Configuration'!$B$4)-AP99)</x:f>
      </x:c>
      <x:c r="AR99" s="25" t="str">
        <x:f>IF(AP99="","Missing Required Date",IF(AQ99&lt;0,"Future Date",IF(AQ99=0,"0 days",IF(AQ99&lt;=2,"1-2 days",IF(AQ99&lt;=7,"3-7 days",IF(AQ99&lt;=14,"8-14 days",IF(AQ99&lt;=30,"15-30 days",IF(AQ99&lt;=60,"31-60 days",IF(AQ99&lt;=70,"61-70 days","71+ days")))))))))</x:f>
        <x:v>Missing Required Date</x:v>
      </x:c>
      <x:c r="AS99" s="25" t="str">
        <x:f>IF(OR(E99="processing",E99="executing",E99="pending"),IF(AP99="","Required aging date missing",IF(AQ99&gt;30,"Escalate &gt;30d",IF(AQ99&gt;14,"Watch &gt;14d","Within 14d"))),"Out of scope")</x:f>
        <x:v>Out of scope</x:v>
      </x:c>
    </x:row>
    <x:row r="100" ht="24" customHeight="1">
      <x:c r="A100" t="str">
        <x:v>f191af8a-ec87-42d5-8835-d7dd954ffe0d</x:v>
      </x:c>
      <x:c r="B100" t="str">
        <x:v>CSSP10132385</x:v>
      </x:c>
      <x:c r="C100" t="str">
        <x:v>izdihar.roslan@petronas.com</x:v>
      </x:c>
      <x:c r="D100" t="str">
        <x:v>decommission-cloud</x:v>
      </x:c>
      <x:c r="E100" t="str">
        <x:v>completed</x:v>
      </x:c>
      <x:c r="F100" t="n">
        <x:v>46057.28393950232</x:v>
      </x:c>
      <x:c r="G100" t="n">
        <x:v>46063.16590309028</x:v>
      </x:c>
      <x:c r="H100" t="n">
        <x:v>46057.28393950232</x:v>
      </x:c>
      <x:c r="I100" t="str">
        <x:v>Lab Information Management System - LIMS PDB</x:v>
      </x:c>
      <x:c r="J100" t="str">
        <x:v>OCI MIGRATION - LIMS PDB</x:v>
      </x:c>
      <x:c r="K100" t="str">
        <x:v>partial</x:v>
      </x:c>
      <x:c r="L100"/>
      <x:c r="M100" t="str">
        <x:v>sazali.mokhtar@petronas.com.my</x:v>
      </x:c>
      <x:c r="N100"/>
      <x:c r="O100"/>
      <x:c r="P100" t="str">
        <x:v>Cloud Repatriation - To decommission old resources in Singapore region due to completed migration in MY region</x:v>
      </x:c>
      <x:c r="Q100" t="str">
        <x:v>2W</x:v>
      </x:c>
      <x:c r="R100" t="str">
        <x:v>Cloud Migration</x:v>
      </x:c>
      <x:c r="S100"/>
      <x:c r="T100" t="str">
        <x:v>approved</x:v>
      </x:c>
      <x:c r="U100" t="str">
        <x:v>izdihar.roslan@petronas.com</x:v>
      </x:c>
      <x:c r="V100" t="n">
        <x:v>46057.288906469905</x:v>
      </x:c>
      <x:c r="W100" t="str">
        <x:v>Cloud Repatriation - To decommission old resources in Singapore region due to completed migration in MY region</x:v>
      </x:c>
      <x:c r="X100" t="str">
        <x:v>approved</x:v>
      </x:c>
      <x:c r="Y100" t="str">
        <x:v>sazali.mokhtar@petronas.com</x:v>
      </x:c>
      <x:c r="Z100" t="n">
        <x:v>46058.07360192129</x:v>
      </x:c>
      <x:c r="AA100" t="str">
        <x:v>Cloud Repatriation - To decommission old resources in Singapore region due to completed migration in MY region.</x:v>
      </x:c>
      <x:c r="AB100" t="str">
        <x:v>approved</x:v>
      </x:c>
      <x:c r="AC100" t="str">
        <x:v>azwan.badari@petronas.com</x:v>
      </x:c>
      <x:c r="AD100" t="n">
        <x:v>46058.143799606485</x:v>
      </x:c>
      <x:c r="AE100" t="str">
        <x:v>Decommission as per listed resources</x:v>
      </x:c>
      <x:c r="AF100" t="str">
        <x:v>approved</x:v>
      </x:c>
      <x:c r="AG100" t="str">
        <x:v>azwan.badari@petronas.com</x:v>
      </x:c>
      <x:c r="AH100" t="n">
        <x:v>46063.16590309028</x:v>
      </x:c>
      <x:c r="AI100" t="str">
        <x:v>Completed</x:v>
      </x:c>
      <x:c r="AJ100" t="str">
        <x:v>A-000426</x:v>
      </x:c>
      <x:c r="AK100" t="str">
        <x:v>00915_209</x:v>
      </x:c>
      <x:c r="AL100" t="str">
        <x:v>M</x:v>
      </x:c>
      <x:c r="AM100" t="str">
        <x:v>REQ000007859789</x:v>
      </x:c>
      <x:c r="AN100" t="str">
        <x:v>disposal</x:v>
      </x:c>
      <x:c r="AO100" t="n">
        <x:v>0</x:v>
      </x:c>
      <x:c r="AP100" s="23" t="str">
        <x:f>IF(E100="processing",IF(Z100="","",IF(ISNUMBER(Z100),INT(Z100),DATE(VALUE(LEFT(Z100,4)),VALUE(MID(Z100,6,2)),VALUE(MID(Z100,9,2))))),IF(OR(E100="executing",E100="pending"),IF(AD100="","",IF(ISNUMBER(AD100),INT(AD100),DATE(VALUE(LEFT(AD100,4)),VALUE(MID(AD100,6,2)),VALUE(MID(AD100,9,2))))),""))</x:f>
      </x:c>
      <x:c r="AQ100" s="24" t="str">
        <x:f>IF(AP100="","",INT('Configuration'!$B$4)-AP100)</x:f>
      </x:c>
      <x:c r="AR100" s="25" t="str">
        <x:f>IF(AP100="","Missing Required Date",IF(AQ100&lt;0,"Future Date",IF(AQ100=0,"0 days",IF(AQ100&lt;=2,"1-2 days",IF(AQ100&lt;=7,"3-7 days",IF(AQ100&lt;=14,"8-14 days",IF(AQ100&lt;=30,"15-30 days",IF(AQ100&lt;=60,"31-60 days",IF(AQ100&lt;=70,"61-70 days","71+ days")))))))))</x:f>
        <x:v>Missing Required Date</x:v>
      </x:c>
      <x:c r="AS100" s="25" t="str">
        <x:f>IF(OR(E100="processing",E100="executing",E100="pending"),IF(AP100="","Required aging date missing",IF(AQ100&gt;30,"Escalate &gt;30d",IF(AQ100&gt;14,"Watch &gt;14d","Within 14d"))),"Out of scope")</x:f>
        <x:v>Out of scope</x:v>
      </x:c>
    </x:row>
    <x:row r="101" ht="24" customHeight="1">
      <x:c r="A101" t="str">
        <x:v>8e017d90-1def-41d9-8d66-b921ead6c49f</x:v>
      </x:c>
      <x:c r="B101" t="str">
        <x:v>CSSP10359052</x:v>
      </x:c>
      <x:c r="C101" t="str">
        <x:v>izdihar.roslan@petronas.com</x:v>
      </x:c>
      <x:c r="D101" t="str">
        <x:v>decommission-cloud</x:v>
      </x:c>
      <x:c r="E101" t="str">
        <x:v>pending</x:v>
      </x:c>
      <x:c r="F101" t="n">
        <x:v>46057.2896978125</x:v>
      </x:c>
      <x:c r="G101" t="n">
        <x:v>46219.262821331016</x:v>
      </x:c>
      <x:c r="H101" t="n">
        <x:v>46057.2896978125</x:v>
      </x:c>
      <x:c r="I101" t="str">
        <x:v>Lab Information Management System - LIMS PDB</x:v>
      </x:c>
      <x:c r="J101" t="str">
        <x:v>OCI MIGRATION - Integrated Lab Information System (PDB)</x:v>
      </x:c>
      <x:c r="K101" t="str">
        <x:v>partial</x:v>
      </x:c>
      <x:c r="L101"/>
      <x:c r="M101" t="str">
        <x:v>sazali.mokhtar@petronas.com.my</x:v>
      </x:c>
      <x:c r="N101"/>
      <x:c r="O101"/>
      <x:c r="P101" t="str">
        <x:v>Cloud Repatriation - To decommission old resources in Singapore region due to completed migration in MY region</x:v>
      </x:c>
      <x:c r="Q101" t="str">
        <x:v>2W</x:v>
      </x:c>
      <x:c r="R101" t="str">
        <x:v>Cloud Migration</x:v>
      </x:c>
      <x:c r="S101"/>
      <x:c r="T101" t="str">
        <x:v>pending</x:v>
      </x:c>
      <x:c r="U101" t="str">
        <x:v>izdihar.roslan@petronas.com</x:v>
      </x:c>
      <x:c r="V101"/>
      <x:c r="W101"/>
      <x:c r="X101"/>
      <x:c r="Y101" t="str">
        <x:v>sazali.mokhtar@petronas.com</x:v>
      </x:c>
      <x:c r="Z101"/>
      <x:c r="AA101"/>
      <x:c r="AB101"/>
      <x:c r="AC101" t="str">
        <x:v>CCoE Business</x:v>
      </x:c>
      <x:c r="AD101"/>
      <x:c r="AE101"/>
      <x:c r="AF101"/>
      <x:c r="AG101" t="str">
        <x:v>CCoE Operations</x:v>
      </x:c>
      <x:c r="AH101"/>
      <x:c r="AI101"/>
      <x:c r="AJ101" t="str">
        <x:v>A-000426</x:v>
      </x:c>
      <x:c r="AK101" t="str">
        <x:v>OCI-00021</x:v>
      </x:c>
      <x:c r="AL101"/>
      <x:c r="AM101"/>
      <x:c r="AN101" t="str">
        <x:v>noretention</x:v>
      </x:c>
      <x:c r="AO101" t="n">
        <x:v>0</x:v>
      </x:c>
      <x:c r="AP101" s="23" t="str">
        <x:f>IF(E101="processing",IF(Z101="","",IF(ISNUMBER(Z101),INT(Z101),DATE(VALUE(LEFT(Z101,4)),VALUE(MID(Z101,6,2)),VALUE(MID(Z101,9,2))))),IF(OR(E101="executing",E101="pending"),IF(AD101="","",IF(ISNUMBER(AD101),INT(AD101),DATE(VALUE(LEFT(AD101,4)),VALUE(MID(AD101,6,2)),VALUE(MID(AD101,9,2))))),""))</x:f>
      </x:c>
      <x:c r="AQ101" s="24" t="str">
        <x:f>IF(AP101="","",INT('Configuration'!$B$4)-AP101)</x:f>
      </x:c>
      <x:c r="AR101" s="25" t="str">
        <x:f>IF(AP101="","Missing Required Date",IF(AQ101&lt;0,"Future Date",IF(AQ101=0,"0 days",IF(AQ101&lt;=2,"1-2 days",IF(AQ101&lt;=7,"3-7 days",IF(AQ101&lt;=14,"8-14 days",IF(AQ101&lt;=30,"15-30 days",IF(AQ101&lt;=60,"31-60 days",IF(AQ101&lt;=70,"61-70 days","71+ days")))))))))</x:f>
        <x:v>Missing Required Date</x:v>
      </x:c>
      <x:c r="AS101" s="25" t="str">
        <x:f>IF(OR(E101="processing",E101="executing",E101="pending"),IF(AP101="","Required aging date missing",IF(AQ101&gt;30,"Escalate &gt;30d",IF(AQ101&gt;14,"Watch &gt;14d","Within 14d"))),"Out of scope")</x:f>
        <x:v>Required aging date missing</x:v>
      </x:c>
    </x:row>
    <x:row r="102" ht="24" customHeight="1">
      <x:c r="A102" t="str">
        <x:v>fe35be98-9b56-46d7-8e50-a9decc18c354</x:v>
      </x:c>
      <x:c r="B102" t="str">
        <x:v>CSSP10117120</x:v>
      </x:c>
      <x:c r="C102" t="str">
        <x:v>izdihar.roslan@petronas.com</x:v>
      </x:c>
      <x:c r="D102" t="str">
        <x:v>decommission-cloud</x:v>
      </x:c>
      <x:c r="E102" t="str">
        <x:v>completed</x:v>
      </x:c>
      <x:c r="F102" t="n">
        <x:v>46057.31085957176</x:v>
      </x:c>
      <x:c r="G102" t="n">
        <x:v>46063.10813641204</x:v>
      </x:c>
      <x:c r="H102" t="n">
        <x:v>46057.31085957176</x:v>
      </x:c>
      <x:c r="I102" t="str">
        <x:v>INCOTDA</x:v>
      </x:c>
      <x:c r="J102" t="str">
        <x:v>Provision of INCOTDA DevSecOps Programme Continuation for DFE</x:v>
      </x:c>
      <x:c r="K102" t="str">
        <x:v>partial</x:v>
      </x:c>
      <x:c r="L102"/>
      <x:c r="M102" t="str">
        <x:v>sazali.mokhtar@petronas.com.my</x:v>
      </x:c>
      <x:c r="N102"/>
      <x:c r="O102"/>
      <x:c r="P102" t="str">
        <x:v>Cloud Repatriation - To decommission old resources in Singapore region due to completed migration in MY region</x:v>
      </x:c>
      <x:c r="Q102" t="str">
        <x:v>2W</x:v>
      </x:c>
      <x:c r="R102" t="str">
        <x:v>Cloud Migration</x:v>
      </x:c>
      <x:c r="S102"/>
      <x:c r="T102" t="str">
        <x:v>approved</x:v>
      </x:c>
      <x:c r="U102" t="str">
        <x:v>izdihar.roslan@petronas.com</x:v>
      </x:c>
      <x:c r="V102" t="n">
        <x:v>46057.311152905095</x:v>
      </x:c>
      <x:c r="W102" t="str">
        <x:v>Cloud Repatriation - To decommission old resources in Singapore region due to completed migration in MY region</x:v>
      </x:c>
      <x:c r="X102" t="str">
        <x:v>approved</x:v>
      </x:c>
      <x:c r="Y102" t="str">
        <x:v>sazali.mokhtar@petronas.com</x:v>
      </x:c>
      <x:c r="Z102" t="n">
        <x:v>46057.329781203705</x:v>
      </x:c>
      <x:c r="AA102" t="str">
        <x:v>Cloud Repatriation – Decommissioning legacy resources in the Singapore region following the completion of migration to the MY region.</x:v>
      </x:c>
      <x:c r="AB102" t="str">
        <x:v>approved</x:v>
      </x:c>
      <x:c r="AC102" t="str">
        <x:v>azwan.badari@petronas.com</x:v>
      </x:c>
      <x:c r="AD102" t="n">
        <x:v>46058.11168594907</x:v>
      </x:c>
      <x:c r="AE102" t="str">
        <x:v>Proceed to decommission as listed resources in SG</x:v>
      </x:c>
      <x:c r="AF102" t="str">
        <x:v>approved</x:v>
      </x:c>
      <x:c r="AG102" t="str">
        <x:v>azwan.badari@petronas.com</x:v>
      </x:c>
      <x:c r="AH102" t="n">
        <x:v>46063.10813641204</x:v>
      </x:c>
      <x:c r="AI102" t="str">
        <x:v>Completed</x:v>
      </x:c>
      <x:c r="AJ102" t="str">
        <x:v>A-001220</x:v>
      </x:c>
      <x:c r="AK102" t="n">
        <x:v>4341</x:v>
      </x:c>
      <x:c r="AL102" t="str">
        <x:v>M</x:v>
      </x:c>
      <x:c r="AM102" t="str">
        <x:v>REQ000007859919</x:v>
      </x:c>
      <x:c r="AN102" t="str">
        <x:v>noretention</x:v>
      </x:c>
      <x:c r="AO102" t="n">
        <x:v>0</x:v>
      </x:c>
      <x:c r="AP102" s="23" t="str">
        <x:f>IF(E102="processing",IF(Z102="","",IF(ISNUMBER(Z102),INT(Z102),DATE(VALUE(LEFT(Z102,4)),VALUE(MID(Z102,6,2)),VALUE(MID(Z102,9,2))))),IF(OR(E102="executing",E102="pending"),IF(AD102="","",IF(ISNUMBER(AD102),INT(AD102),DATE(VALUE(LEFT(AD102,4)),VALUE(MID(AD102,6,2)),VALUE(MID(AD102,9,2))))),""))</x:f>
      </x:c>
      <x:c r="AQ102" s="24" t="str">
        <x:f>IF(AP102="","",INT('Configuration'!$B$4)-AP102)</x:f>
      </x:c>
      <x:c r="AR102" s="25" t="str">
        <x:f>IF(AP102="","Missing Required Date",IF(AQ102&lt;0,"Future Date",IF(AQ102=0,"0 days",IF(AQ102&lt;=2,"1-2 days",IF(AQ102&lt;=7,"3-7 days",IF(AQ102&lt;=14,"8-14 days",IF(AQ102&lt;=30,"15-30 days",IF(AQ102&lt;=60,"31-60 days",IF(AQ102&lt;=70,"61-70 days","71+ days")))))))))</x:f>
        <x:v>Missing Required Date</x:v>
      </x:c>
      <x:c r="AS102" s="25" t="str">
        <x:f>IF(OR(E102="processing",E102="executing",E102="pending"),IF(AP102="","Required aging date missing",IF(AQ102&gt;30,"Escalate &gt;30d",IF(AQ102&gt;14,"Watch &gt;14d","Within 14d"))),"Out of scope")</x:f>
        <x:v>Out of scope</x:v>
      </x:c>
    </x:row>
    <x:row r="103" ht="24" customHeight="1">
      <x:c r="A103" t="str">
        <x:v>f3175e11-9594-4bb3-924e-6372942fda80</x:v>
      </x:c>
      <x:c r="B103" t="str">
        <x:v>CSSP10845786</x:v>
      </x:c>
      <x:c r="C103" t="str">
        <x:v>ivanlim.choonkit@petronas.com</x:v>
      </x:c>
      <x:c r="D103" t="str">
        <x:v>decommission-cloud</x:v>
      </x:c>
      <x:c r="E103" t="str">
        <x:v>rejected</x:v>
      </x:c>
      <x:c r="F103" t="n">
        <x:v>46058.35969225694</x:v>
      </x:c>
      <x:c r="G103" t="n">
        <x:v>46062.15727766204</x:v>
      </x:c>
      <x:c r="H103" t="n">
        <x:v>46058.35969225694</x:v>
      </x:c>
      <x:c r="I103" t="str">
        <x:v>Upstream Mobile Application</x:v>
      </x:c>
      <x:c r="J103" t="str">
        <x:v>Provision of Hosting Services for UP Mobile for Upstream Digital, PCSB</x:v>
      </x:c>
      <x:c r="K103" t="str">
        <x:v>partial</x:v>
      </x:c>
      <x:c r="L103"/>
      <x:c r="M103" t="str">
        <x:v>sharulazlan.ahmad@petronas.com</x:v>
      </x:c>
      <x:c r="N103" t="str">
        <x:v>https://up.petronas.com </x:v>
      </x:c>
      <x:c r="O103" t="str">
        <x:v>PSR03811</x:v>
      </x:c>
      <x:c r="P103" t="str">
        <x:v>DPIA activity to decomm unused resources</x:v>
      </x:c>
      <x:c r="Q103" t="str">
        <x:v>1M</x:v>
      </x:c>
      <x:c r="R103" t="str">
        <x:v>Not in Used</x:v>
      </x:c>
      <x:c r="S103"/>
      <x:c r="T103" t="str">
        <x:v>approved</x:v>
      </x:c>
      <x:c r="U103" t="str">
        <x:v>sharulazlan.ahmad@petronas.com</x:v>
      </x:c>
      <x:c r="V103" t="n">
        <x:v>46059.30391927083</x:v>
      </x:c>
      <x:c r="W103" t="str">
        <x:v>Reviewed and approved</x:v>
      </x:c>
      <x:c r="X103" t="str">
        <x:v>approved</x:v>
      </x:c>
      <x:c r="Y103" t="str">
        <x:v>sharulazlan.ahmad@petronas.com</x:v>
      </x:c>
      <x:c r="Z103" t="n">
        <x:v>46059.304245844905</x:v>
      </x:c>
      <x:c r="AA103" t="str">
        <x:v>Approved</x:v>
      </x:c>
      <x:c r="AB103" t="str">
        <x:v>rejected</x:v>
      </x:c>
      <x:c r="AC103" t="str">
        <x:v>azwan.badari@petronas.com</x:v>
      </x:c>
      <x:c r="AD103" t="n">
        <x:v>46062.15727766204</x:v>
      </x:c>
      <x:c r="AE103" t="str">
        <x:v>To cancelled</x:v>
      </x:c>
      <x:c r="AF103"/>
      <x:c r="AG103" t="str">
        <x:v>CCoE Operations</x:v>
      </x:c>
      <x:c r="AH103"/>
      <x:c r="AI103"/>
      <x:c r="AJ103" t="str">
        <x:v>A-000823</x:v>
      </x:c>
      <x:c r="AK103" t="str">
        <x:v>PSR05960</x:v>
      </x:c>
      <x:c r="AL103"/>
      <x:c r="AM103"/>
      <x:c r="AN103" t="str">
        <x:v>retention</x:v>
      </x:c>
      <x:c r="AO103" t="n">
        <x:v>30</x:v>
      </x:c>
      <x:c r="AP103" s="23" t="str">
        <x:f>IF(E103="processing",IF(Z103="","",IF(ISNUMBER(Z103),INT(Z103),DATE(VALUE(LEFT(Z103,4)),VALUE(MID(Z103,6,2)),VALUE(MID(Z103,9,2))))),IF(OR(E103="executing",E103="pending"),IF(AD103="","",IF(ISNUMBER(AD103),INT(AD103),DATE(VALUE(LEFT(AD103,4)),VALUE(MID(AD103,6,2)),VALUE(MID(AD103,9,2))))),""))</x:f>
      </x:c>
      <x:c r="AQ103" s="24" t="str">
        <x:f>IF(AP103="","",INT('Configuration'!$B$4)-AP103)</x:f>
      </x:c>
      <x:c r="AR103" s="25" t="str">
        <x:f>IF(AP103="","Missing Required Date",IF(AQ103&lt;0,"Future Date",IF(AQ103=0,"0 days",IF(AQ103&lt;=2,"1-2 days",IF(AQ103&lt;=7,"3-7 days",IF(AQ103&lt;=14,"8-14 days",IF(AQ103&lt;=30,"15-30 days",IF(AQ103&lt;=60,"31-60 days",IF(AQ103&lt;=70,"61-70 days","71+ days")))))))))</x:f>
        <x:v>Missing Required Date</x:v>
      </x:c>
      <x:c r="AS103" s="25" t="str">
        <x:f>IF(OR(E103="processing",E103="executing",E103="pending"),IF(AP103="","Required aging date missing",IF(AQ103&gt;30,"Escalate &gt;30d",IF(AQ103&gt;14,"Watch &gt;14d","Within 14d"))),"Out of scope")</x:f>
        <x:v>Out of scope</x:v>
      </x:c>
    </x:row>
    <x:row r="104" ht="24" customHeight="1">
      <x:c r="A104" t="str">
        <x:v>5c1c127f-8997-41a6-97f4-d365211cc1ea</x:v>
      </x:c>
      <x:c r="B104" t="str">
        <x:v>CSSP10957330</x:v>
      </x:c>
      <x:c r="C104" t="str">
        <x:v>ivanlim.choonkit@petronas.com</x:v>
      </x:c>
      <x:c r="D104" t="str">
        <x:v>decommission-cloud</x:v>
      </x:c>
      <x:c r="E104" t="str">
        <x:v>rejected</x:v>
      </x:c>
      <x:c r="F104" t="n">
        <x:v>46058.36844184028</x:v>
      </x:c>
      <x:c r="G104" t="n">
        <x:v>46062.157018136575</x:v>
      </x:c>
      <x:c r="H104" t="n">
        <x:v>46058.36844184028</x:v>
      </x:c>
      <x:c r="I104" t="str">
        <x:v>Upstream Mobile Application</x:v>
      </x:c>
      <x:c r="J104" t="str">
        <x:v>Provision of Hosting Services for UP Mobile for Upstream Digital, PCSB</x:v>
      </x:c>
      <x:c r="K104" t="str">
        <x:v>partial</x:v>
      </x:c>
      <x:c r="L104"/>
      <x:c r="M104" t="str">
        <x:v>sharulazlan.ahmad@petronas.com.my</x:v>
      </x:c>
      <x:c r="N104" t="str">
        <x:v>https://up.petronas.com </x:v>
      </x:c>
      <x:c r="O104" t="str">
        <x:v>003UD1-001</x:v>
      </x:c>
      <x:c r="P104" t="str">
        <x:v>[DPIA] - To decomm resources that are unused</x:v>
      </x:c>
      <x:c r="Q104" t="str">
        <x:v>1M</x:v>
      </x:c>
      <x:c r="R104" t="str">
        <x:v>Not in Used</x:v>
      </x:c>
      <x:c r="S104"/>
      <x:c r="T104" t="str">
        <x:v>approved</x:v>
      </x:c>
      <x:c r="U104" t="str">
        <x:v>sharulazlan.ahmad@petronas.com</x:v>
      </x:c>
      <x:c r="V104" t="n">
        <x:v>46059.30542949074</x:v>
      </x:c>
      <x:c r="W104" t="str">
        <x:v>Reviewed</x:v>
      </x:c>
      <x:c r="X104" t="str">
        <x:v>approved</x:v>
      </x:c>
      <x:c r="Y104" t="str">
        <x:v>sharulazlan.ahmad@petronas.com</x:v>
      </x:c>
      <x:c r="Z104" t="n">
        <x:v>46059.30565318287</x:v>
      </x:c>
      <x:c r="AA104" t="str">
        <x:v>Approved</x:v>
      </x:c>
      <x:c r="AB104" t="str">
        <x:v>rejected</x:v>
      </x:c>
      <x:c r="AC104" t="str">
        <x:v>azwan.badari@petronas.com</x:v>
      </x:c>
      <x:c r="AD104" t="n">
        <x:v>46062.157018136575</x:v>
      </x:c>
      <x:c r="AE104" t="str">
        <x:v>To cancelled</x:v>
      </x:c>
      <x:c r="AF104"/>
      <x:c r="AG104" t="str">
        <x:v>CCoE Operations</x:v>
      </x:c>
      <x:c r="AH104"/>
      <x:c r="AI104"/>
      <x:c r="AJ104" t="str">
        <x:v>A-000823</x:v>
      </x:c>
      <x:c r="AK104" t="str">
        <x:v>PSR05960</x:v>
      </x:c>
      <x:c r="AL104"/>
      <x:c r="AM104"/>
      <x:c r="AN104" t="str">
        <x:v>retention</x:v>
      </x:c>
      <x:c r="AO104" t="n">
        <x:v>30</x:v>
      </x:c>
      <x:c r="AP104" s="23" t="str">
        <x:f>IF(E104="processing",IF(Z104="","",IF(ISNUMBER(Z104),INT(Z104),DATE(VALUE(LEFT(Z104,4)),VALUE(MID(Z104,6,2)),VALUE(MID(Z104,9,2))))),IF(OR(E104="executing",E104="pending"),IF(AD104="","",IF(ISNUMBER(AD104),INT(AD104),DATE(VALUE(LEFT(AD104,4)),VALUE(MID(AD104,6,2)),VALUE(MID(AD104,9,2))))),""))</x:f>
      </x:c>
      <x:c r="AQ104" s="24" t="str">
        <x:f>IF(AP104="","",INT('Configuration'!$B$4)-AP104)</x:f>
      </x:c>
      <x:c r="AR104" s="25" t="str">
        <x:f>IF(AP104="","Missing Required Date",IF(AQ104&lt;0,"Future Date",IF(AQ104=0,"0 days",IF(AQ104&lt;=2,"1-2 days",IF(AQ104&lt;=7,"3-7 days",IF(AQ104&lt;=14,"8-14 days",IF(AQ104&lt;=30,"15-30 days",IF(AQ104&lt;=60,"31-60 days",IF(AQ104&lt;=70,"61-70 days","71+ days")))))))))</x:f>
        <x:v>Missing Required Date</x:v>
      </x:c>
      <x:c r="AS104" s="25" t="str">
        <x:f>IF(OR(E104="processing",E104="executing",E104="pending"),IF(AP104="","Required aging date missing",IF(AQ104&gt;30,"Escalate &gt;30d",IF(AQ104&gt;14,"Watch &gt;14d","Within 14d"))),"Out of scope")</x:f>
        <x:v>Out of scope</x:v>
      </x:c>
    </x:row>
    <x:row r="105" ht="24" customHeight="1">
      <x:c r="A105" t="str">
        <x:v>72939741-a7d4-497b-b140-3cc5701f0c81</x:v>
      </x:c>
      <x:c r="B105" t="str">
        <x:v>CSSP10249306</x:v>
      </x:c>
      <x:c r="C105" t="str">
        <x:v>ivanlim.choonkit@petronas.com</x:v>
      </x:c>
      <x:c r="D105" t="str">
        <x:v>decommission-cloud</x:v>
      </x:c>
      <x:c r="E105" t="str">
        <x:v>completed</x:v>
      </x:c>
      <x:c r="F105" t="n">
        <x:v>46058.37582083333</x:v>
      </x:c>
      <x:c r="G105" t="n">
        <x:v>46065.15117547454</x:v>
      </x:c>
      <x:c r="H105" t="n">
        <x:v>46058.37582083333</x:v>
      </x:c>
      <x:c r="I105" t="str">
        <x:v>Upstream Mobile Application</x:v>
      </x:c>
      <x:c r="J105" t="str">
        <x:v>Provision of Production Environment (Microsoft Azure Cloud Services) Hosting for Upstream Mobile Application for Operational Excellence (OE), PCSB - PCSB Integrated Operations (IO) Up-Mobile Infrastructure (Mobile App) - Production</x:v>
      </x:c>
      <x:c r="K105" t="str">
        <x:v>partial</x:v>
      </x:c>
      <x:c r="L105"/>
      <x:c r="M105" t="str">
        <x:v>sharulazlan.ahmad@petronas.com.my</x:v>
      </x:c>
      <x:c r="N105" t="str">
        <x:v>https://up.petronas.com </x:v>
      </x:c>
      <x:c r="O105" t="str">
        <x:v>003UD1-001</x:v>
      </x:c>
      <x:c r="P105" t="str">
        <x:v>[DPIA] - Decomm resources that is not in used</x:v>
      </x:c>
      <x:c r="Q105" t="str">
        <x:v>1M</x:v>
      </x:c>
      <x:c r="R105" t="str">
        <x:v>Not in Used</x:v>
      </x:c>
      <x:c r="S105"/>
      <x:c r="T105" t="str">
        <x:v>approved</x:v>
      </x:c>
      <x:c r="U105" t="str">
        <x:v>ivanlim.choonkit@petronas.com</x:v>
      </x:c>
      <x:c r="V105" t="n">
        <x:v>46058.3981578125</x:v>
      </x:c>
      <x:c r="W105" t="str">
        <x:v>[DPIA] Upstream Mobile Application - To decomm unused resources</x:v>
      </x:c>
      <x:c r="X105" t="str">
        <x:v>approved</x:v>
      </x:c>
      <x:c r="Y105" t="str">
        <x:v>sharulazlan.ahmad@petronas.com</x:v>
      </x:c>
      <x:c r="Z105" t="n">
        <x:v>46059.304800868056</x:v>
      </x:c>
      <x:c r="AA105" t="str">
        <x:v>Approved</x:v>
      </x:c>
      <x:c r="AB105" t="str">
        <x:v>approved</x:v>
      </x:c>
      <x:c r="AC105" t="str">
        <x:v>azwan.badari@petronas.com</x:v>
      </x:c>
      <x:c r="AD105" t="n">
        <x:v>46062.15926033565</x:v>
      </x:c>
      <x:c r="AE105" t="str">
        <x:v>Decommission selected resources</x:v>
      </x:c>
      <x:c r="AF105" t="str">
        <x:v>approved</x:v>
      </x:c>
      <x:c r="AG105" t="str">
        <x:v>azlisham.md@petronas.com</x:v>
      </x:c>
      <x:c r="AH105" t="n">
        <x:v>46065.15117547454</x:v>
      </x:c>
      <x:c r="AI105" t="str">
        <x:v>The decommission request has been completed, and the status is now updated accordingly. Kindly verify from your end and confirm once reviewed.
</x:v>
      </x:c>
      <x:c r="AJ105" t="str">
        <x:v>A-000823</x:v>
      </x:c>
      <x:c r="AK105" t="str">
        <x:v>PSR04596</x:v>
      </x:c>
      <x:c r="AL105" t="str">
        <x:v>M</x:v>
      </x:c>
      <x:c r="AM105" t="str">
        <x:v>REQ000007865931</x:v>
      </x:c>
      <x:c r="AN105" t="str">
        <x:v>retention</x:v>
      </x:c>
      <x:c r="AO105" t="n">
        <x:v>30</x:v>
      </x:c>
      <x:c r="AP105" s="23" t="str">
        <x:f>IF(E105="processing",IF(Z105="","",IF(ISNUMBER(Z105),INT(Z105),DATE(VALUE(LEFT(Z105,4)),VALUE(MID(Z105,6,2)),VALUE(MID(Z105,9,2))))),IF(OR(E105="executing",E105="pending"),IF(AD105="","",IF(ISNUMBER(AD105),INT(AD105),DATE(VALUE(LEFT(AD105,4)),VALUE(MID(AD105,6,2)),VALUE(MID(AD105,9,2))))),""))</x:f>
      </x:c>
      <x:c r="AQ105" s="24" t="str">
        <x:f>IF(AP105="","",INT('Configuration'!$B$4)-AP105)</x:f>
      </x:c>
      <x:c r="AR105" s="25" t="str">
        <x:f>IF(AP105="","Missing Required Date",IF(AQ105&lt;0,"Future Date",IF(AQ105=0,"0 days",IF(AQ105&lt;=2,"1-2 days",IF(AQ105&lt;=7,"3-7 days",IF(AQ105&lt;=14,"8-14 days",IF(AQ105&lt;=30,"15-30 days",IF(AQ105&lt;=60,"31-60 days",IF(AQ105&lt;=70,"61-70 days","71+ days")))))))))</x:f>
        <x:v>Missing Required Date</x:v>
      </x:c>
      <x:c r="AS105" s="25" t="str">
        <x:f>IF(OR(E105="processing",E105="executing",E105="pending"),IF(AP105="","Required aging date missing",IF(AQ105&gt;30,"Escalate &gt;30d",IF(AQ105&gt;14,"Watch &gt;14d","Within 14d"))),"Out of scope")</x:f>
        <x:v>Out of scope</x:v>
      </x:c>
    </x:row>
    <x:row r="106" ht="24" customHeight="1">
      <x:c r="A106" t="str">
        <x:v>da65f520-e4d4-4105-99d5-f281e22b9290</x:v>
      </x:c>
      <x:c r="B106" t="str">
        <x:v>CSSP10921166</x:v>
      </x:c>
      <x:c r="C106" t="str">
        <x:v>siddiq.faiz@petronas.com</x:v>
      </x:c>
      <x:c r="D106" t="str">
        <x:v>decommission-cloud</x:v>
      </x:c>
      <x:c r="E106" t="str">
        <x:v>completed</x:v>
      </x:c>
      <x:c r="F106" t="n">
        <x:v>46059.55295952546</x:v>
      </x:c>
      <x:c r="G106" t="n">
        <x:v>46065.131144074076</x:v>
      </x:c>
      <x:c r="H106" t="n">
        <x:v>46059.55295952546</x:v>
      </x:c>
      <x:c r="I106" t="str">
        <x:v>GPU Technical Centre (GTC) and Barrier Management Tools</x:v>
      </x:c>
      <x:c r="J106" t="str">
        <x:v>GPU Technical Centre (GTC) and Barrier Management Tools</x:v>
      </x:c>
      <x:c r="K106" t="str">
        <x:v>partial</x:v>
      </x:c>
      <x:c r="L106"/>
      <x:c r="M106" t="str">
        <x:v>syaiful_hendra@petronas.com</x:v>
      </x:c>
      <x:c r="N106"/>
      <x:c r="O106"/>
      <x:c r="P106" t="str">
        <x:v>To decommission ONLY the following server, as it is no longer in use:
Server Function: System 1 Fleet Server
Hostname: CENPGTCSFLAP01
S/N: 8G6WB33
IP Address: 10.14.21.59</x:v>
      </x:c>
      <x:c r="Q106" t="str">
        <x:v>12M</x:v>
      </x:c>
      <x:c r="R106" t="str">
        <x:v>Not in Used</x:v>
      </x:c>
      <x:c r="S106"/>
      <x:c r="T106" t="str">
        <x:v>approved</x:v>
      </x:c>
      <x:c r="U106" t="str">
        <x:v>siddiq.faiz@petronas.com</x:v>
      </x:c>
      <x:c r="V106" t="n">
        <x:v>46059.55564398148</x:v>
      </x:c>
      <x:c r="W106" t="str">
        <x:v>To decommission ONLY the following server, as it is no longer in use:
Server Function: System 1 Fleet Server
Hostname: CENPGTCSFLAP01
S/N: 8G6WB33
IP Address: 10.14.21.59</x:v>
      </x:c>
      <x:c r="X106" t="str">
        <x:v>approved</x:v>
      </x:c>
      <x:c r="Y106" t="str">
        <x:v>syaiful_hendra@petronas.com</x:v>
      </x:c>
      <x:c r="Z106" t="n">
        <x:v>46062.326688981484</x:v>
      </x:c>
      <x:c r="AA106" t="str">
        <x:v>agreed to decomm  1 server out of 3 server. System 1 Evo still functional as normal with remaining 2 server.</x:v>
      </x:c>
      <x:c r="AB106" t="str">
        <x:v>approved</x:v>
      </x:c>
      <x:c r="AC106" t="str">
        <x:v>azwan.badari@petronas.com</x:v>
      </x:c>
      <x:c r="AD106" t="n">
        <x:v>46062.39347964121</x:v>
      </x:c>
      <x:c r="AE106" t="str">
        <x:v>Proceed to decommission physical server in KVDC.</x:v>
      </x:c>
      <x:c r="AF106" t="str">
        <x:v>approved</x:v>
      </x:c>
      <x:c r="AG106" t="str">
        <x:v>azlisham.md@petronas.com</x:v>
      </x:c>
      <x:c r="AH106" t="n">
        <x:v>46065.131144074076</x:v>
      </x:c>
      <x:c r="AI106" t="str">
        <x:v>The decommission request has been completed, and the status is now updated accordingly. Kindly verify from your end and confirm once reviewed.
</x:v>
      </x:c>
      <x:c r="AJ106" t="str">
        <x:v>A-001321</x:v>
      </x:c>
      <x:c r="AK106" t="str">
        <x:v>PSR1014</x:v>
      </x:c>
      <x:c r="AL106" t="str">
        <x:v>L</x:v>
      </x:c>
      <x:c r="AM106" t="str">
        <x:v>REQ000007866855</x:v>
      </x:c>
      <x:c r="AN106" t="str">
        <x:v>disposal</x:v>
      </x:c>
      <x:c r="AO106" t="n">
        <x:v>0</x:v>
      </x:c>
      <x:c r="AP106" s="23" t="str">
        <x:f>IF(E106="processing",IF(Z106="","",IF(ISNUMBER(Z106),INT(Z106),DATE(VALUE(LEFT(Z106,4)),VALUE(MID(Z106,6,2)),VALUE(MID(Z106,9,2))))),IF(OR(E106="executing",E106="pending"),IF(AD106="","",IF(ISNUMBER(AD106),INT(AD106),DATE(VALUE(LEFT(AD106,4)),VALUE(MID(AD106,6,2)),VALUE(MID(AD106,9,2))))),""))</x:f>
      </x:c>
      <x:c r="AQ106" s="24" t="str">
        <x:f>IF(AP106="","",INT('Configuration'!$B$4)-AP106)</x:f>
      </x:c>
      <x:c r="AR106" s="25" t="str">
        <x:f>IF(AP106="","Missing Required Date",IF(AQ106&lt;0,"Future Date",IF(AQ106=0,"0 days",IF(AQ106&lt;=2,"1-2 days",IF(AQ106&lt;=7,"3-7 days",IF(AQ106&lt;=14,"8-14 days",IF(AQ106&lt;=30,"15-30 days",IF(AQ106&lt;=60,"31-60 days",IF(AQ106&lt;=70,"61-70 days","71+ days")))))))))</x:f>
        <x:v>Missing Required Date</x:v>
      </x:c>
      <x:c r="AS106" s="25" t="str">
        <x:f>IF(OR(E106="processing",E106="executing",E106="pending"),IF(AP106="","Required aging date missing",IF(AQ106&gt;30,"Escalate &gt;30d",IF(AQ106&gt;14,"Watch &gt;14d","Within 14d"))),"Out of scope")</x:f>
        <x:v>Out of scope</x:v>
      </x:c>
    </x:row>
    <x:row r="107" ht="24" customHeight="1">
      <x:c r="A107" t="str">
        <x:v>f3a70e1e-5ccf-44c1-84c2-5513331284a8</x:v>
      </x:c>
      <x:c r="B107" t="str">
        <x:v>CSSP10827404</x:v>
      </x:c>
      <x:c r="C107" t="str">
        <x:v>mzurfaiezzuddin.zur@petronas.com</x:v>
      </x:c>
      <x:c r="D107" t="str">
        <x:v>decommission-cloud</x:v>
      </x:c>
      <x:c r="E107" t="str">
        <x:v>completed</x:v>
      </x:c>
      <x:c r="F107" t="n">
        <x:v>46062.04841793981</x:v>
      </x:c>
      <x:c r="G107" t="n">
        <x:v>46069.36041013889</x:v>
      </x:c>
      <x:c r="H107" t="n">
        <x:v>46062.04841793981</x:v>
      </x:c>
      <x:c r="I107" t="str">
        <x:v>Wells DROID</x:v>
      </x:c>
      <x:c r="J107" t="str">
        <x:v>Cloud Migration - Wells Droid 2.0</x:v>
      </x:c>
      <x:c r="K107" t="str">
        <x:v>partial</x:v>
      </x:c>
      <x:c r="L107"/>
      <x:c r="M107" t="str">
        <x:v>sazali.mokhtar@petronas.com</x:v>
      </x:c>
      <x:c r="N107"/>
      <x:c r="O107"/>
      <x:c r="P107" t="str">
        <x:v>Cloud Repatriation - To decommission old resources in Singapore region due to completed migration in MY region</x:v>
      </x:c>
      <x:c r="Q107" t="str">
        <x:v>2W</x:v>
      </x:c>
      <x:c r="R107" t="str">
        <x:v>Cloud Migration</x:v>
      </x:c>
      <x:c r="S107"/>
      <x:c r="T107" t="str">
        <x:v>approved</x:v>
      </x:c>
      <x:c r="U107" t="str">
        <x:v>mzurfaiezzuddin.zur@petronas.com</x:v>
      </x:c>
      <x:c r="V107" t="n">
        <x:v>46062.04970261574</x:v>
      </x:c>
      <x:c r="W107" t="str">
        <x:v>Cloud Repatriation - To decommission old resources in Singapore region due to completed migration in MY region</x:v>
      </x:c>
      <x:c r="X107" t="str">
        <x:v>approved</x:v>
      </x:c>
      <x:c r="Y107" t="str">
        <x:v>sazali.mokhtar@petronas.com</x:v>
      </x:c>
      <x:c r="Z107" t="n">
        <x:v>46064.098356828705</x:v>
      </x:c>
      <x:c r="AA107" t="str">
        <x:v>Reviewed and approved from 40,000 feet above the sea. All the best!</x:v>
      </x:c>
      <x:c r="AB107" t="str">
        <x:v>approved</x:v>
      </x:c>
      <x:c r="AC107" t="str">
        <x:v>azwan.badari@petronas.com</x:v>
      </x:c>
      <x:c r="AD107" t="n">
        <x:v>46064.14671349537</x:v>
      </x:c>
      <x:c r="AE107" t="str">
        <x:v>Repat - Decommission as listed</x:v>
      </x:c>
      <x:c r="AF107" t="str">
        <x:v>approved</x:v>
      </x:c>
      <x:c r="AG107" t="str">
        <x:v>azwan.badari@petronas.com</x:v>
      </x:c>
      <x:c r="AH107" t="n">
        <x:v>46069.36041015046</x:v>
      </x:c>
      <x:c r="AI107" t="str">
        <x:v>Completed</x:v>
      </x:c>
      <x:c r="AJ107" t="str">
        <x:v>A-000859</x:v>
      </x:c>
      <x:c r="AK107" t="str">
        <x:v>00915_133</x:v>
      </x:c>
      <x:c r="AL107" t="str">
        <x:v>M</x:v>
      </x:c>
      <x:c r="AM107" t="str">
        <x:v>REQ000007870571</x:v>
      </x:c>
      <x:c r="AN107" t="str">
        <x:v>noretention</x:v>
      </x:c>
      <x:c r="AO107" t="n">
        <x:v>0</x:v>
      </x:c>
      <x:c r="AP107" s="23" t="str">
        <x:f>IF(E107="processing",IF(Z107="","",IF(ISNUMBER(Z107),INT(Z107),DATE(VALUE(LEFT(Z107,4)),VALUE(MID(Z107,6,2)),VALUE(MID(Z107,9,2))))),IF(OR(E107="executing",E107="pending"),IF(AD107="","",IF(ISNUMBER(AD107),INT(AD107),DATE(VALUE(LEFT(AD107,4)),VALUE(MID(AD107,6,2)),VALUE(MID(AD107,9,2))))),""))</x:f>
      </x:c>
      <x:c r="AQ107" s="24" t="str">
        <x:f>IF(AP107="","",INT('Configuration'!$B$4)-AP107)</x:f>
      </x:c>
      <x:c r="AR107" s="25" t="str">
        <x:f>IF(AP107="","Missing Required Date",IF(AQ107&lt;0,"Future Date",IF(AQ107=0,"0 days",IF(AQ107&lt;=2,"1-2 days",IF(AQ107&lt;=7,"3-7 days",IF(AQ107&lt;=14,"8-14 days",IF(AQ107&lt;=30,"15-30 days",IF(AQ107&lt;=60,"31-60 days",IF(AQ107&lt;=70,"61-70 days","71+ days")))))))))</x:f>
        <x:v>Missing Required Date</x:v>
      </x:c>
      <x:c r="AS107" s="25" t="str">
        <x:f>IF(OR(E107="processing",E107="executing",E107="pending"),IF(AP107="","Required aging date missing",IF(AQ107&gt;30,"Escalate &gt;30d",IF(AQ107&gt;14,"Watch &gt;14d","Within 14d"))),"Out of scope")</x:f>
        <x:v>Out of scope</x:v>
      </x:c>
    </x:row>
    <x:row r="108" ht="24" customHeight="1">
      <x:c r="A108" t="str">
        <x:v>693955db-9694-4d71-86ee-fc7e801a69fc</x:v>
      </x:c>
      <x:c r="B108" t="str">
        <x:v>CSSP10431237</x:v>
      </x:c>
      <x:c r="C108" t="str">
        <x:v>mzurfaiezzuddin.zur@petronas.com</x:v>
      </x:c>
      <x:c r="D108" t="str">
        <x:v>decommission-cloud</x:v>
      </x:c>
      <x:c r="E108" t="str">
        <x:v>completed</x:v>
      </x:c>
      <x:c r="F108" t="n">
        <x:v>46062.086416736114</x:v>
      </x:c>
      <x:c r="G108" t="n">
        <x:v>46069.36910383102</x:v>
      </x:c>
      <x:c r="H108" t="n">
        <x:v>46062.086416736114</x:v>
      </x:c>
      <x:c r="I108" t="str">
        <x:v>Quality Practitioner Registration Scheme - QPRS</x:v>
      </x:c>
      <x:c r="J108" t="str">
        <x:v>[PMOF] Development of Quality Practitioner Registration Scheme (QPRS) for GPD</x:v>
      </x:c>
      <x:c r="K108" t="str">
        <x:v>partial</x:v>
      </x:c>
      <x:c r="L108"/>
      <x:c r="M108" t="str">
        <x:v>sazali.mokhtar@petronas.com</x:v>
      </x:c>
      <x:c r="N108"/>
      <x:c r="O108"/>
      <x:c r="P108" t="str">
        <x:v>Cloud Repatriation - To decommission old resources in Singapore region due to completed migration in MY region</x:v>
      </x:c>
      <x:c r="Q108" t="str">
        <x:v>2W</x:v>
      </x:c>
      <x:c r="R108" t="str">
        <x:v>Cloud Migration</x:v>
      </x:c>
      <x:c r="S108"/>
      <x:c r="T108" t="str">
        <x:v>approved</x:v>
      </x:c>
      <x:c r="U108" t="str">
        <x:v>mzurfaiezzuddin.zur@petronas.com</x:v>
      </x:c>
      <x:c r="V108" t="n">
        <x:v>46062.086910081016</x:v>
      </x:c>
      <x:c r="W108" t="str">
        <x:v>Cloud Repatriation - To decommission old resources in Singapore region due to completed migration in MY region</x:v>
      </x:c>
      <x:c r="X108" t="str">
        <x:v>approved</x:v>
      </x:c>
      <x:c r="Y108" t="str">
        <x:v>sazali.mokhtar@petronas.com</x:v>
      </x:c>
      <x:c r="Z108" t="n">
        <x:v>46064.09436747685</x:v>
      </x:c>
      <x:c r="AA108" t="str">
        <x:v>Special approval from 40,000 ft above the sea.</x:v>
      </x:c>
      <x:c r="AB108" t="str">
        <x:v>approved</x:v>
      </x:c>
      <x:c r="AC108" t="str">
        <x:v>azwan.badari@petronas.com</x:v>
      </x:c>
      <x:c r="AD108" t="n">
        <x:v>46064.14355855324</x:v>
      </x:c>
      <x:c r="AE108" t="str">
        <x:v>Repat - Decommission as listed</x:v>
      </x:c>
      <x:c r="AF108" t="str">
        <x:v>approved</x:v>
      </x:c>
      <x:c r="AG108" t="str">
        <x:v>azwan.badari@petronas.com</x:v>
      </x:c>
      <x:c r="AH108" t="n">
        <x:v>46069.36910383102</x:v>
      </x:c>
      <x:c r="AI108" t="str">
        <x:v>Completed</x:v>
      </x:c>
      <x:c r="AJ108" t="str">
        <x:v>A-000632</x:v>
      </x:c>
      <x:c r="AK108" t="n">
        <x:v>2795</x:v>
      </x:c>
      <x:c r="AL108" t="str">
        <x:v>M</x:v>
      </x:c>
      <x:c r="AM108" t="str">
        <x:v>REQ000007870658</x:v>
      </x:c>
      <x:c r="AN108" t="str">
        <x:v>noretention</x:v>
      </x:c>
      <x:c r="AO108" t="n">
        <x:v>0</x:v>
      </x:c>
      <x:c r="AP108" s="23" t="str">
        <x:f>IF(E108="processing",IF(Z108="","",IF(ISNUMBER(Z108),INT(Z108),DATE(VALUE(LEFT(Z108,4)),VALUE(MID(Z108,6,2)),VALUE(MID(Z108,9,2))))),IF(OR(E108="executing",E108="pending"),IF(AD108="","",IF(ISNUMBER(AD108),INT(AD108),DATE(VALUE(LEFT(AD108,4)),VALUE(MID(AD108,6,2)),VALUE(MID(AD108,9,2))))),""))</x:f>
      </x:c>
      <x:c r="AQ108" s="24" t="str">
        <x:f>IF(AP108="","",INT('Configuration'!$B$4)-AP108)</x:f>
      </x:c>
      <x:c r="AR108" s="25" t="str">
        <x:f>IF(AP108="","Missing Required Date",IF(AQ108&lt;0,"Future Date",IF(AQ108=0,"0 days",IF(AQ108&lt;=2,"1-2 days",IF(AQ108&lt;=7,"3-7 days",IF(AQ108&lt;=14,"8-14 days",IF(AQ108&lt;=30,"15-30 days",IF(AQ108&lt;=60,"31-60 days",IF(AQ108&lt;=70,"61-70 days","71+ days")))))))))</x:f>
        <x:v>Missing Required Date</x:v>
      </x:c>
      <x:c r="AS108" s="25" t="str">
        <x:f>IF(OR(E108="processing",E108="executing",E108="pending"),IF(AP108="","Required aging date missing",IF(AQ108&gt;30,"Escalate &gt;30d",IF(AQ108&gt;14,"Watch &gt;14d","Within 14d"))),"Out of scope")</x:f>
        <x:v>Out of scope</x:v>
      </x:c>
    </x:row>
    <x:row r="109" ht="24" customHeight="1">
      <x:c r="A109" t="str">
        <x:v>fa8b8055-6eae-4c8b-acc0-4c51be888c92</x:v>
      </x:c>
      <x:c r="B109" t="str">
        <x:v>CSSP10192804</x:v>
      </x:c>
      <x:c r="C109" t="str">
        <x:v>joharizam.mahmood@petronas.com</x:v>
      </x:c>
      <x:c r="D109" t="str">
        <x:v>decommission-cloud</x:v>
      </x:c>
      <x:c r="E109" t="str">
        <x:v>completed</x:v>
      </x:c>
      <x:c r="F109" t="n">
        <x:v>46062.41405493055</x:v>
      </x:c>
      <x:c r="G109" t="n">
        <x:v>46076.093769722225</x:v>
      </x:c>
      <x:c r="H109" t="n">
        <x:v>46063.04408354167</x:v>
      </x:c>
      <x:c r="I109" t="str">
        <x:v>Daily Staff Self Check-In</x:v>
      </x:c>
      <x:c r="J109" t="str">
        <x:v>Implementation of Daily Staff Self Check-in Function for PD&amp;T</x:v>
      </x:c>
      <x:c r="K109" t="str">
        <x:v>partial</x:v>
      </x:c>
      <x:c r="L109"/>
      <x:c r="M109" t="str">
        <x:v>khairuldin.zubai@petronas.com.my</x:v>
      </x:c>
      <x:c r="N109"/>
      <x:c r="O109"/>
      <x:c r="P109" t="str">
        <x:v>RGs ptazsg-prod-sscf-rg and ptazsg-dev-sscf-rg is no longer use.</x:v>
      </x:c>
      <x:c r="Q109" t="str">
        <x:v>2W</x:v>
      </x:c>
      <x:c r="R109" t="str">
        <x:v>Obsolete</x:v>
      </x:c>
      <x:c r="S109"/>
      <x:c r="T109" t="str">
        <x:v>approved</x:v>
      </x:c>
      <x:c r="U109" t="str">
        <x:v>joharizam.mahmood@petronas.com</x:v>
      </x:c>
      <x:c r="V109" t="n">
        <x:v>46063.046540497686</x:v>
      </x:c>
      <x:c r="W109" t="str">
        <x:v>All the resources under RGs ptazsg-prod-sscf-rg and ptazsg-dev-sscf-rg are no longer in use.</x:v>
      </x:c>
      <x:c r="X109" t="str">
        <x:v>approved</x:v>
      </x:c>
      <x:c r="Y109" t="str">
        <x:v>khairuldin.zubai@petronas.com</x:v>
      </x:c>
      <x:c r="Z109" t="n">
        <x:v>46066.183479074076</x:v>
      </x:c>
      <x:c r="AA109" t="str">
        <x:v>Confirmed with PUSPA Product Manager Joharizam that the RG is not used by PUSPA and REAL Dashboard</x:v>
      </x:c>
      <x:c r="AB109" t="str">
        <x:v>approved</x:v>
      </x:c>
      <x:c r="AC109" t="str">
        <x:v>azwan.badari@petronas.com</x:v>
      </x:c>
      <x:c r="AD109" t="n">
        <x:v>46072.29119787037</x:v>
      </x:c>
      <x:c r="AE109" t="str">
        <x:v>Proceed the mentioned RG</x:v>
      </x:c>
      <x:c r="AF109" t="str">
        <x:v>approved</x:v>
      </x:c>
      <x:c r="AG109" t="str">
        <x:v>azlisham.md@petronas.com</x:v>
      </x:c>
      <x:c r="AH109" t="n">
        <x:v>46076.093769733794</x:v>
      </x:c>
      <x:c r="AI109" t="str">
        <x:v>The decommission request has been completed, and the status is now updated accordingly. Kindly verify from your end and confirm once reviewed.
</x:v>
      </x:c>
      <x:c r="AJ109" t="str">
        <x:v>A-000791</x:v>
      </x:c>
      <x:c r="AK109" t="n">
        <x:v>906</x:v>
      </x:c>
      <x:c r="AL109" t="str">
        <x:v>M</x:v>
      </x:c>
      <x:c r="AM109" t="str">
        <x:v>REQ000007881184</x:v>
      </x:c>
      <x:c r="AN109" t="str">
        <x:v>noretention</x:v>
      </x:c>
      <x:c r="AO109" t="n">
        <x:v>0</x:v>
      </x:c>
      <x:c r="AP109" s="23" t="str">
        <x:f>IF(E109="processing",IF(Z109="","",IF(ISNUMBER(Z109),INT(Z109),DATE(VALUE(LEFT(Z109,4)),VALUE(MID(Z109,6,2)),VALUE(MID(Z109,9,2))))),IF(OR(E109="executing",E109="pending"),IF(AD109="","",IF(ISNUMBER(AD109),INT(AD109),DATE(VALUE(LEFT(AD109,4)),VALUE(MID(AD109,6,2)),VALUE(MID(AD109,9,2))))),""))</x:f>
      </x:c>
      <x:c r="AQ109" s="24" t="str">
        <x:f>IF(AP109="","",INT('Configuration'!$B$4)-AP109)</x:f>
      </x:c>
      <x:c r="AR109" s="25" t="str">
        <x:f>IF(AP109="","Missing Required Date",IF(AQ109&lt;0,"Future Date",IF(AQ109=0,"0 days",IF(AQ109&lt;=2,"1-2 days",IF(AQ109&lt;=7,"3-7 days",IF(AQ109&lt;=14,"8-14 days",IF(AQ109&lt;=30,"15-30 days",IF(AQ109&lt;=60,"31-60 days",IF(AQ109&lt;=70,"61-70 days","71+ days")))))))))</x:f>
        <x:v>Missing Required Date</x:v>
      </x:c>
      <x:c r="AS109" s="25" t="str">
        <x:f>IF(OR(E109="processing",E109="executing",E109="pending"),IF(AP109="","Required aging date missing",IF(AQ109&gt;30,"Escalate &gt;30d",IF(AQ109&gt;14,"Watch &gt;14d","Within 14d"))),"Out of scope")</x:f>
        <x:v>Out of scope</x:v>
      </x:c>
    </x:row>
    <x:row r="110" ht="24" customHeight="1">
      <x:c r="A110" t="str">
        <x:v>1e270ca8-36b1-40e1-8e64-cd57b362f487</x:v>
      </x:c>
      <x:c r="B110" t="str">
        <x:v>CSSP10232771</x:v>
      </x:c>
      <x:c r="C110" t="str">
        <x:v>joharizam.mahmood@petronas.com</x:v>
      </x:c>
      <x:c r="D110" t="str">
        <x:v>decommission-cloud</x:v>
      </x:c>
      <x:c r="E110" t="str">
        <x:v>completed</x:v>
      </x:c>
      <x:c r="F110" t="n">
        <x:v>46063.070962708334</x:v>
      </x:c>
      <x:c r="G110" t="n">
        <x:v>46073.11500913194</x:v>
      </x:c>
      <x:c r="H110" t="n">
        <x:v>46063.070962708334</x:v>
      </x:c>
      <x:c r="I110" t="str">
        <x:v>PETRONAS Unified Search and Personal Assistant - PUSPA for REAL</x:v>
      </x:c>
      <x:c r="J110" t="str">
        <x:v>PETRONAS Unified Search and Personal Assistant (PUSPA) EPIC 1 and EPIC 2 Development</x:v>
      </x:c>
      <x:c r="K110" t="str">
        <x:v>partial</x:v>
      </x:c>
      <x:c r="L110"/>
      <x:c r="M110" t="str">
        <x:v>khairuldin.zubai@petronas.com.my</x:v>
      </x:c>
      <x:c r="N110"/>
      <x:c r="O110"/>
      <x:c r="P110" t="str">
        <x:v>Request to delete the resource under RG ptazsg-dev-pdb-rg, as it is no longer required by PUSPA+ REAL Dashboard on post‑decommissioning of PUSPA in Sept 2024
</x:v>
      </x:c>
      <x:c r="Q110" t="str">
        <x:v>2W</x:v>
      </x:c>
      <x:c r="R110" t="str">
        <x:v>Not in Used</x:v>
      </x:c>
      <x:c r="S110"/>
      <x:c r="T110" t="str">
        <x:v>approved</x:v>
      </x:c>
      <x:c r="U110" t="str">
        <x:v>joharizam.mahmood@petronas.com</x:v>
      </x:c>
      <x:c r="V110" t="n">
        <x:v>46063.07542486111</x:v>
      </x:c>
      <x:c r="W110" t="str">
        <x:v>All the resources under RG ptazsg-dev-pdb-rg, are no longer required</x:v>
      </x:c>
      <x:c r="X110" t="str">
        <x:v>approved</x:v>
      </x:c>
      <x:c r="Y110" t="str">
        <x:v>khairuldin.zubai@petronas.com</x:v>
      </x:c>
      <x:c r="Z110" t="n">
        <x:v>46066.18265890046</x:v>
      </x:c>
      <x:c r="AA110" t="str">
        <x:v>Confirmed with PUSPA Product Manager Joharizam that the RG is not used by PUSPA and REAL Dashboard</x:v>
      </x:c>
      <x:c r="AB110" t="str">
        <x:v>approved</x:v>
      </x:c>
      <x:c r="AC110" t="str">
        <x:v>azwan.badari@petronas.com</x:v>
      </x:c>
      <x:c r="AD110" t="n">
        <x:v>46072.290084224536</x:v>
      </x:c>
      <x:c r="AE110" t="str">
        <x:v>Proceed</x:v>
      </x:c>
      <x:c r="AF110" t="str">
        <x:v>approved</x:v>
      </x:c>
      <x:c r="AG110" t="str">
        <x:v>azlisham.md@petronas.com</x:v>
      </x:c>
      <x:c r="AH110" t="n">
        <x:v>46073.11500913194</x:v>
      </x:c>
      <x:c r="AI110" t="str">
        <x:v>This request is a duplicate of REQ000007881185/CSSP10853444 for decommissioning resources under resource group ptazsg-dev-pdb-rg.</x:v>
      </x:c>
      <x:c r="AJ110" t="str">
        <x:v>A-001245</x:v>
      </x:c>
      <x:c r="AK110" t="n">
        <x:v>1478</x:v>
      </x:c>
      <x:c r="AL110" t="str">
        <x:v>M</x:v>
      </x:c>
      <x:c r="AM110" t="str">
        <x:v>REQ000007881744</x:v>
      </x:c>
      <x:c r="AN110" t="str">
        <x:v>noretention</x:v>
      </x:c>
      <x:c r="AO110" t="n">
        <x:v>0</x:v>
      </x:c>
      <x:c r="AP110" s="23" t="str">
        <x:f>IF(E110="processing",IF(Z110="","",IF(ISNUMBER(Z110),INT(Z110),DATE(VALUE(LEFT(Z110,4)),VALUE(MID(Z110,6,2)),VALUE(MID(Z110,9,2))))),IF(OR(E110="executing",E110="pending"),IF(AD110="","",IF(ISNUMBER(AD110),INT(AD110),DATE(VALUE(LEFT(AD110,4)),VALUE(MID(AD110,6,2)),VALUE(MID(AD110,9,2))))),""))</x:f>
      </x:c>
      <x:c r="AQ110" s="24" t="str">
        <x:f>IF(AP110="","",INT('Configuration'!$B$4)-AP110)</x:f>
      </x:c>
      <x:c r="AR110" s="25" t="str">
        <x:f>IF(AP110="","Missing Required Date",IF(AQ110&lt;0,"Future Date",IF(AQ110=0,"0 days",IF(AQ110&lt;=2,"1-2 days",IF(AQ110&lt;=7,"3-7 days",IF(AQ110&lt;=14,"8-14 days",IF(AQ110&lt;=30,"15-30 days",IF(AQ110&lt;=60,"31-60 days",IF(AQ110&lt;=70,"61-70 days","71+ days")))))))))</x:f>
        <x:v>Missing Required Date</x:v>
      </x:c>
      <x:c r="AS110" s="25" t="str">
        <x:f>IF(OR(E110="processing",E110="executing",E110="pending"),IF(AP110="","Required aging date missing",IF(AQ110&gt;30,"Escalate &gt;30d",IF(AQ110&gt;14,"Watch &gt;14d","Within 14d"))),"Out of scope")</x:f>
        <x:v>Out of scope</x:v>
      </x:c>
    </x:row>
    <x:row r="111" ht="24" customHeight="1">
      <x:c r="A111" t="str">
        <x:v>0f17e0cb-5535-4b0c-89d0-fb5eea0677e2</x:v>
      </x:c>
      <x:c r="B111" t="str">
        <x:v>CSSP10454800</x:v>
      </x:c>
      <x:c r="C111" t="str">
        <x:v>sulaiman.tawil@petronas.com</x:v>
      </x:c>
      <x:c r="D111" t="str">
        <x:v>decommission-cloud</x:v>
      </x:c>
      <x:c r="E111" t="str">
        <x:v>rejected</x:v>
      </x:c>
      <x:c r="F111" t="n">
        <x:v>46063.12165032407</x:v>
      </x:c>
      <x:c r="G111" t="n">
        <x:v>46063.30405385417</x:v>
      </x:c>
      <x:c r="H111" t="n">
        <x:v>46063.27556483796</x:v>
      </x:c>
      <x:c r="I111" t="str">
        <x:v>Facial Recognition - FR</x:v>
      </x:c>
      <x:c r="J111" t="str">
        <x:v>Implementation of Facial Recognition (FR) for PETRONAS LNG Complex for Group Security, GHSSE</x:v>
      </x:c>
      <x:c r="K111" t="str">
        <x:v>full</x:v>
      </x:c>
      <x:c r="L111" t="str">
        <x:v>DCOM20260210ef0</x:v>
      </x:c>
      <x:c r="M111" t="str">
        <x:v>sulaiman.tawil@petronas.com.my</x:v>
      </x:c>
      <x:c r="N111"/>
      <x:c r="O111"/>
      <x:c r="P111" t="str">
        <x:v>DPIA and Server not in used as confirmed by Fazreel (GS)</x:v>
      </x:c>
      <x:c r="Q111" t="str">
        <x:v>1M</x:v>
      </x:c>
      <x:c r="R111" t="str">
        <x:v>Not in Used</x:v>
      </x:c>
      <x:c r="S111"/>
      <x:c r="T111" t="str">
        <x:v>approved</x:v>
      </x:c>
      <x:c r="U111" t="str">
        <x:v>sulaiman.tawil@petronas.com</x:v>
      </x:c>
      <x:c r="V111" t="n">
        <x:v>46063.27626310185</x:v>
      </x:c>
      <x:c r="W111" t="str">
        <x:v>Please proceed.</x:v>
      </x:c>
      <x:c r="X111" t="str">
        <x:v>rejected</x:v>
      </x:c>
      <x:c r="Y111" t="str">
        <x:v>azwan.badari@petronas.com</x:v>
      </x:c>
      <x:c r="Z111" t="n">
        <x:v>46063.30405385417</x:v>
      </x:c>
      <x:c r="AA111" t="str">
        <x:v>To change the resource to be decommissioned</x:v>
      </x:c>
      <x:c r="AB111"/>
      <x:c r="AC111" t="str">
        <x:v>CCoE Business</x:v>
      </x:c>
      <x:c r="AD111"/>
      <x:c r="AE111"/>
      <x:c r="AF111"/>
      <x:c r="AG111" t="str">
        <x:v>CCoE Business</x:v>
      </x:c>
      <x:c r="AH111"/>
      <x:c r="AI111"/>
      <x:c r="AJ111" t="str">
        <x:v>A-000325</x:v>
      </x:c>
      <x:c r="AK111" t="n">
        <x:v>2794</x:v>
      </x:c>
      <x:c r="AL111"/>
      <x:c r="AM111"/>
      <x:c r="AN111" t="str">
        <x:v>noretention</x:v>
      </x:c>
      <x:c r="AO111" t="n">
        <x:v>0</x:v>
      </x:c>
      <x:c r="AP111" s="23" t="str">
        <x:f>IF(E111="processing",IF(Z111="","",IF(ISNUMBER(Z111),INT(Z111),DATE(VALUE(LEFT(Z111,4)),VALUE(MID(Z111,6,2)),VALUE(MID(Z111,9,2))))),IF(OR(E111="executing",E111="pending"),IF(AD111="","",IF(ISNUMBER(AD111),INT(AD111),DATE(VALUE(LEFT(AD111,4)),VALUE(MID(AD111,6,2)),VALUE(MID(AD111,9,2))))),""))</x:f>
      </x:c>
      <x:c r="AQ111" s="24" t="str">
        <x:f>IF(AP111="","",INT('Configuration'!$B$4)-AP111)</x:f>
      </x:c>
      <x:c r="AR111" s="25" t="str">
        <x:f>IF(AP111="","Missing Required Date",IF(AQ111&lt;0,"Future Date",IF(AQ111=0,"0 days",IF(AQ111&lt;=2,"1-2 days",IF(AQ111&lt;=7,"3-7 days",IF(AQ111&lt;=14,"8-14 days",IF(AQ111&lt;=30,"15-30 days",IF(AQ111&lt;=60,"31-60 days",IF(AQ111&lt;=70,"61-70 days","71+ days")))))))))</x:f>
        <x:v>Missing Required Date</x:v>
      </x:c>
      <x:c r="AS111" s="25" t="str">
        <x:f>IF(OR(E111="processing",E111="executing",E111="pending"),IF(AP111="","Required aging date missing",IF(AQ111&gt;30,"Escalate &gt;30d",IF(AQ111&gt;14,"Watch &gt;14d","Within 14d"))),"Out of scope")</x:f>
        <x:v>Out of scope</x:v>
      </x:c>
    </x:row>
    <x:row r="112" ht="24" customHeight="1">
      <x:c r="A112" t="str">
        <x:v>ba5c1654-d2df-44fe-b524-7bc1f0f471ca</x:v>
      </x:c>
      <x:c r="B112" t="str">
        <x:v>CSSP10652416</x:v>
      </x:c>
      <x:c r="C112" t="str">
        <x:v>sulaiman.tawil@petronas.com</x:v>
      </x:c>
      <x:c r="D112" t="str">
        <x:v>decommission-cloud</x:v>
      </x:c>
      <x:c r="E112" t="str">
        <x:v>rejected</x:v>
      </x:c>
      <x:c r="F112" t="n">
        <x:v>46063.12353199074</x:v>
      </x:c>
      <x:c r="G112" t="n">
        <x:v>46063.303990960645</x:v>
      </x:c>
      <x:c r="H112" t="n">
        <x:v>46063.27261546296</x:v>
      </x:c>
      <x:c r="I112" t="str">
        <x:v>Facial Recognition - FR</x:v>
      </x:c>
      <x:c r="J112" t="str">
        <x:v>REAL Implementation of Facial Recognition Centralize Cloud Server for PETRONAS</x:v>
      </x:c>
      <x:c r="K112" t="str">
        <x:v>full</x:v>
      </x:c>
      <x:c r="L112" t="str">
        <x:v>DCOM2026021063c</x:v>
      </x:c>
      <x:c r="M112" t="str">
        <x:v>sulaiman.tawil@petronas.com.my</x:v>
      </x:c>
      <x:c r="N112"/>
      <x:c r="O112"/>
      <x:c r="P112" t="str">
        <x:v>DPIA and Server not in used as confirmed by Fazreel (GS).</x:v>
      </x:c>
      <x:c r="Q112" t="str">
        <x:v>1M</x:v>
      </x:c>
      <x:c r="R112" t="str">
        <x:v>Not in Used</x:v>
      </x:c>
      <x:c r="S112"/>
      <x:c r="T112" t="str">
        <x:v>approved</x:v>
      </x:c>
      <x:c r="U112" t="str">
        <x:v>sulaiman.tawil@petronas.com</x:v>
      </x:c>
      <x:c r="V112" t="n">
        <x:v>46063.27331255787</x:v>
      </x:c>
      <x:c r="W112" t="str">
        <x:v>Please proceed.</x:v>
      </x:c>
      <x:c r="X112" t="str">
        <x:v>rejected</x:v>
      </x:c>
      <x:c r="Y112" t="str">
        <x:v>azwan.badari@petronas.com</x:v>
      </x:c>
      <x:c r="Z112" t="n">
        <x:v>46063.3039909838</x:v>
      </x:c>
      <x:c r="AA112" t="str">
        <x:v>To change the resource to be decommissioned.</x:v>
      </x:c>
      <x:c r="AB112"/>
      <x:c r="AC112" t="str">
        <x:v>CCoE Business</x:v>
      </x:c>
      <x:c r="AD112"/>
      <x:c r="AE112"/>
      <x:c r="AF112"/>
      <x:c r="AG112" t="str">
        <x:v>CCoE Business</x:v>
      </x:c>
      <x:c r="AH112"/>
      <x:c r="AI112"/>
      <x:c r="AJ112" t="str">
        <x:v>A-000325</x:v>
      </x:c>
      <x:c r="AK112" t="n">
        <x:v>3057</x:v>
      </x:c>
      <x:c r="AL112"/>
      <x:c r="AM112"/>
      <x:c r="AN112" t="str">
        <x:v>noretention</x:v>
      </x:c>
      <x:c r="AO112" t="n">
        <x:v>0</x:v>
      </x:c>
      <x:c r="AP112" s="23" t="str">
        <x:f>IF(E112="processing",IF(Z112="","",IF(ISNUMBER(Z112),INT(Z112),DATE(VALUE(LEFT(Z112,4)),VALUE(MID(Z112,6,2)),VALUE(MID(Z112,9,2))))),IF(OR(E112="executing",E112="pending"),IF(AD112="","",IF(ISNUMBER(AD112),INT(AD112),DATE(VALUE(LEFT(AD112,4)),VALUE(MID(AD112,6,2)),VALUE(MID(AD112,9,2))))),""))</x:f>
      </x:c>
      <x:c r="AQ112" s="24" t="str">
        <x:f>IF(AP112="","",INT('Configuration'!$B$4)-AP112)</x:f>
      </x:c>
      <x:c r="AR112" s="25" t="str">
        <x:f>IF(AP112="","Missing Required Date",IF(AQ112&lt;0,"Future Date",IF(AQ112=0,"0 days",IF(AQ112&lt;=2,"1-2 days",IF(AQ112&lt;=7,"3-7 days",IF(AQ112&lt;=14,"8-14 days",IF(AQ112&lt;=30,"15-30 days",IF(AQ112&lt;=60,"31-60 days",IF(AQ112&lt;=70,"61-70 days","71+ days")))))))))</x:f>
        <x:v>Missing Required Date</x:v>
      </x:c>
      <x:c r="AS112" s="25" t="str">
        <x:f>IF(OR(E112="processing",E112="executing",E112="pending"),IF(AP112="","Required aging date missing",IF(AQ112&gt;30,"Escalate &gt;30d",IF(AQ112&gt;14,"Watch &gt;14d","Within 14d"))),"Out of scope")</x:f>
        <x:v>Out of scope</x:v>
      </x:c>
    </x:row>
    <x:row r="113" ht="24" customHeight="1">
      <x:c r="A113" t="str">
        <x:v>307e04f0-f6f5-4c92-bd50-5dedff02ddd3</x:v>
      </x:c>
      <x:c r="B113" t="str">
        <x:v>CSSP10352771</x:v>
      </x:c>
      <x:c r="C113" t="str">
        <x:v>anisaufa.mohamadafif@petronas.com</x:v>
      </x:c>
      <x:c r="D113" t="str">
        <x:v>decommission-cloud</x:v>
      </x:c>
      <x:c r="E113" t="str">
        <x:v>completed</x:v>
      </x:c>
      <x:c r="F113" t="n">
        <x:v>46063.14253813658</x:v>
      </x:c>
      <x:c r="G113" t="n">
        <x:v>46072.22617755787</x:v>
      </x:c>
      <x:c r="H113" t="n">
        <x:v>46063.14253813658</x:v>
      </x:c>
      <x:c r="I113" t="str">
        <x:v>Enterprise Data Hub - EDH</x:v>
      </x:c>
      <x:c r="J113" t="str">
        <x:v>PETRONAS Enterprise Data Hub</x:v>
      </x:c>
      <x:c r="K113" t="str">
        <x:v>partial</x:v>
      </x:c>
      <x:c r="L113"/>
      <x:c r="M113" t="str">
        <x:v>sahrilnizam.ismail@petronas.com</x:v>
      </x:c>
      <x:c r="N113"/>
      <x:c r="O113"/>
      <x:c r="P113" t="str">
        <x:v>To decommission EDH DQ Servers as the resources have been successfully replicated to Talend Common. EDH Team Leads have also approved to decommission (refer attached email).</x:v>
      </x:c>
      <x:c r="Q113" t="str">
        <x:v>1M</x:v>
      </x:c>
      <x:c r="R113" t="str">
        <x:v>Not in Used</x:v>
      </x:c>
      <x:c r="S113"/>
      <x:c r="T113" t="str">
        <x:v>approved</x:v>
      </x:c>
      <x:c r="U113" t="str">
        <x:v>anisaufa.mohamadafif@petronas.com</x:v>
      </x:c>
      <x:c r="V113" t="n">
        <x:v>46063.271755960646</x:v>
      </x:c>
      <x:c r="W113" t="str">
        <x:v>Submitting for servers tagged to 'AZ-EDH'.</x:v>
      </x:c>
      <x:c r="X113" t="str">
        <x:v>approved</x:v>
      </x:c>
      <x:c r="Y113" t="str">
        <x:v>sahrilnizam.ismail@petronas.com</x:v>
      </x:c>
      <x:c r="Z113" t="n">
        <x:v>46063.36478408565</x:v>
      </x:c>
      <x:c r="AA113" t="str">
        <x:v>Reviewed.</x:v>
      </x:c>
      <x:c r="AB113" t="str">
        <x:v>approved</x:v>
      </x:c>
      <x:c r="AC113" t="str">
        <x:v>azwan.badari@petronas.com</x:v>
      </x:c>
      <x:c r="AD113" t="n">
        <x:v>46064.131288564815</x:v>
      </x:c>
      <x:c r="AE113" t="str">
        <x:v>Decommission VM ptsg-5edhapp03 &amp; ptsg-5edhapp02</x:v>
      </x:c>
      <x:c r="AF113" t="str">
        <x:v>approved</x:v>
      </x:c>
      <x:c r="AG113" t="str">
        <x:v>azlisham.md@petronas.com</x:v>
      </x:c>
      <x:c r="AH113" t="n">
        <x:v>46072.22617755787</x:v>
      </x:c>
      <x:c r="AI113" t="str">
        <x:v>same request with CSSP10360167
</x:v>
      </x:c>
      <x:c r="AJ113" t="str">
        <x:v>A-000262</x:v>
      </x:c>
      <x:c r="AK113" t="str">
        <x:v>AZ-EDH</x:v>
      </x:c>
      <x:c r="AL113" t="str">
        <x:v>M</x:v>
      </x:c>
      <x:c r="AM113" t="str">
        <x:v>REQ000007870651</x:v>
      </x:c>
      <x:c r="AN113" t="str">
        <x:v>retention</x:v>
      </x:c>
      <x:c r="AO113" t="n">
        <x:v>30</x:v>
      </x:c>
      <x:c r="AP113" s="23" t="str">
        <x:f>IF(E113="processing",IF(Z113="","",IF(ISNUMBER(Z113),INT(Z113),DATE(VALUE(LEFT(Z113,4)),VALUE(MID(Z113,6,2)),VALUE(MID(Z113,9,2))))),IF(OR(E113="executing",E113="pending"),IF(AD113="","",IF(ISNUMBER(AD113),INT(AD113),DATE(VALUE(LEFT(AD113,4)),VALUE(MID(AD113,6,2)),VALUE(MID(AD113,9,2))))),""))</x:f>
      </x:c>
      <x:c r="AQ113" s="24" t="str">
        <x:f>IF(AP113="","",INT('Configuration'!$B$4)-AP113)</x:f>
      </x:c>
      <x:c r="AR113" s="25" t="str">
        <x:f>IF(AP113="","Missing Required Date",IF(AQ113&lt;0,"Future Date",IF(AQ113=0,"0 days",IF(AQ113&lt;=2,"1-2 days",IF(AQ113&lt;=7,"3-7 days",IF(AQ113&lt;=14,"8-14 days",IF(AQ113&lt;=30,"15-30 days",IF(AQ113&lt;=60,"31-60 days",IF(AQ113&lt;=70,"61-70 days","71+ days")))))))))</x:f>
        <x:v>Missing Required Date</x:v>
      </x:c>
      <x:c r="AS113" s="25" t="str">
        <x:f>IF(OR(E113="processing",E113="executing",E113="pending"),IF(AP113="","Required aging date missing",IF(AQ113&gt;30,"Escalate &gt;30d",IF(AQ113&gt;14,"Watch &gt;14d","Within 14d"))),"Out of scope")</x:f>
        <x:v>Out of scope</x:v>
      </x:c>
    </x:row>
    <x:row r="114" ht="24" customHeight="1">
      <x:c r="A114" t="str">
        <x:v>126fc6de-ea9c-46a0-9c7e-c29dfb3febc8</x:v>
      </x:c>
      <x:c r="B114" t="str">
        <x:v>CSSP10985343</x:v>
      </x:c>
      <x:c r="C114" t="str">
        <x:v>mzurfaiezzuddin.zur@petronas.com</x:v>
      </x:c>
      <x:c r="D114" t="str">
        <x:v>decommission-cloud</x:v>
      </x:c>
      <x:c r="E114" t="str">
        <x:v>completed</x:v>
      </x:c>
      <x:c r="F114" t="n">
        <x:v>46063.14367128472</x:v>
      </x:c>
      <x:c r="G114" t="n">
        <x:v>46069.35513512731</x:v>
      </x:c>
      <x:c r="H114" t="n">
        <x:v>46063.14367128472</x:v>
      </x:c>
      <x:c r="I114" t="str">
        <x:v>CRAFT</x:v>
      </x:c>
      <x:c r="J114" t="str">
        <x:v>CRAFT</x:v>
      </x:c>
      <x:c r="K114" t="str">
        <x:v>partial</x:v>
      </x:c>
      <x:c r="L114"/>
      <x:c r="M114" t="str">
        <x:v>sazali.mokhtar@petronas.com</x:v>
      </x:c>
      <x:c r="N114"/>
      <x:c r="O114"/>
      <x:c r="P114" t="str">
        <x:v>Cloud Repatriation - To decommission old resources in Singapore region due to completed migration in MY region</x:v>
      </x:c>
      <x:c r="Q114" t="str">
        <x:v>2W</x:v>
      </x:c>
      <x:c r="R114" t="str">
        <x:v>Cloud Migration</x:v>
      </x:c>
      <x:c r="S114"/>
      <x:c r="T114" t="str">
        <x:v>approved</x:v>
      </x:c>
      <x:c r="U114" t="str">
        <x:v>mzurfaiezzuddin.zur@petronas.com</x:v>
      </x:c>
      <x:c r="V114" t="n">
        <x:v>46063.14452832176</x:v>
      </x:c>
      <x:c r="W114" t="str">
        <x:v>Dear Decomm team, please have a review the attachment</x:v>
      </x:c>
      <x:c r="X114" t="str">
        <x:v>approved</x:v>
      </x:c>
      <x:c r="Y114" t="str">
        <x:v>sazali.mokhtar@petronas.com</x:v>
      </x:c>
      <x:c r="Z114" t="n">
        <x:v>46064.09935697917</x:v>
      </x:c>
      <x:c r="AA114" t="str">
        <x:v>Reviewed and approved from 40,000 feet above the sea.
All the best!</x:v>
      </x:c>
      <x:c r="AB114" t="str">
        <x:v>approved</x:v>
      </x:c>
      <x:c r="AC114" t="str">
        <x:v>azwan.badari@petronas.com</x:v>
      </x:c>
      <x:c r="AD114" t="n">
        <x:v>46064.13863488426</x:v>
      </x:c>
      <x:c r="AE114" t="str">
        <x:v>Repat - Decommission as listed</x:v>
      </x:c>
      <x:c r="AF114" t="str">
        <x:v>approved</x:v>
      </x:c>
      <x:c r="AG114" t="str">
        <x:v>azwan.badari@petronas.com</x:v>
      </x:c>
      <x:c r="AH114" t="n">
        <x:v>46069.35513513889</x:v>
      </x:c>
      <x:c r="AI114" t="str">
        <x:v>Completed</x:v>
      </x:c>
      <x:c r="AJ114" t="str">
        <x:v>A-000147</x:v>
      </x:c>
      <x:c r="AK114" t="n">
        <x:v>3215</x:v>
      </x:c>
      <x:c r="AL114" t="str">
        <x:v>M</x:v>
      </x:c>
      <x:c r="AM114" t="str">
        <x:v>REQ000007870656</x:v>
      </x:c>
      <x:c r="AN114" t="str">
        <x:v>noretention</x:v>
      </x:c>
      <x:c r="AO114" t="n">
        <x:v>0</x:v>
      </x:c>
      <x:c r="AP114" s="23" t="str">
        <x:f>IF(E114="processing",IF(Z114="","",IF(ISNUMBER(Z114),INT(Z114),DATE(VALUE(LEFT(Z114,4)),VALUE(MID(Z114,6,2)),VALUE(MID(Z114,9,2))))),IF(OR(E114="executing",E114="pending"),IF(AD114="","",IF(ISNUMBER(AD114),INT(AD114),DATE(VALUE(LEFT(AD114,4)),VALUE(MID(AD114,6,2)),VALUE(MID(AD114,9,2))))),""))</x:f>
      </x:c>
      <x:c r="AQ114" s="24" t="str">
        <x:f>IF(AP114="","",INT('Configuration'!$B$4)-AP114)</x:f>
      </x:c>
      <x:c r="AR114" s="25" t="str">
        <x:f>IF(AP114="","Missing Required Date",IF(AQ114&lt;0,"Future Date",IF(AQ114=0,"0 days",IF(AQ114&lt;=2,"1-2 days",IF(AQ114&lt;=7,"3-7 days",IF(AQ114&lt;=14,"8-14 days",IF(AQ114&lt;=30,"15-30 days",IF(AQ114&lt;=60,"31-60 days",IF(AQ114&lt;=70,"61-70 days","71+ days")))))))))</x:f>
        <x:v>Missing Required Date</x:v>
      </x:c>
      <x:c r="AS114" s="25" t="str">
        <x:f>IF(OR(E114="processing",E114="executing",E114="pending"),IF(AP114="","Required aging date missing",IF(AQ114&gt;30,"Escalate &gt;30d",IF(AQ114&gt;14,"Watch &gt;14d","Within 14d"))),"Out of scope")</x:f>
        <x:v>Out of scope</x:v>
      </x:c>
    </x:row>
    <x:row r="115" ht="24" customHeight="1">
      <x:c r="A115" t="str">
        <x:v>7f3f188d-bb52-4b76-8bed-fdedd6cb18c1</x:v>
      </x:c>
      <x:c r="B115" t="str">
        <x:v>CSSP10360167</x:v>
      </x:c>
      <x:c r="C115" t="str">
        <x:v>anisaufa.mohamadafif@petronas.com</x:v>
      </x:c>
      <x:c r="D115" t="str">
        <x:v>decommission-cloud</x:v>
      </x:c>
      <x:c r="E115" t="str">
        <x:v>completed</x:v>
      </x:c>
      <x:c r="F115" t="n">
        <x:v>46063.272692025464</x:v>
      </x:c>
      <x:c r="G115" t="n">
        <x:v>46072.20979756944</x:v>
      </x:c>
      <x:c r="H115" t="n">
        <x:v>46063.272692025464</x:v>
      </x:c>
      <x:c r="I115" t="str">
        <x:v>Enterprise Data Hub - EDH</x:v>
      </x:c>
      <x:c r="J115" t="str">
        <x:v>PETRONAS Enterprise Data Hub</x:v>
      </x:c>
      <x:c r="K115" t="str">
        <x:v>partial</x:v>
      </x:c>
      <x:c r="L115"/>
      <x:c r="M115" t="str">
        <x:v>sahrilnizam.ismail@petronas.com</x:v>
      </x:c>
      <x:c r="N115"/>
      <x:c r="O115"/>
      <x:c r="P115" t="str">
        <x:v>To decommission EDH DQ Servers as the resources have been successfully replicated to Talend Common. EDH Team Leads have also approved to decommission (refer attached email).</x:v>
      </x:c>
      <x:c r="Q115" t="str">
        <x:v>1M</x:v>
      </x:c>
      <x:c r="R115" t="str">
        <x:v>Not in Used</x:v>
      </x:c>
      <x:c r="S115"/>
      <x:c r="T115" t="str">
        <x:v>approved</x:v>
      </x:c>
      <x:c r="U115" t="str">
        <x:v>anisaufa.mohamadafif@petronas.com</x:v>
      </x:c>
      <x:c r="V115" t="n">
        <x:v>46063.349373530094</x:v>
      </x:c>
      <x:c r="W115" t="str">
        <x:v>Submitting for servers tagged to '01116'.</x:v>
      </x:c>
      <x:c r="X115" t="str">
        <x:v>approved</x:v>
      </x:c>
      <x:c r="Y115" t="str">
        <x:v>sahrilnizam.ismail@petronas.com</x:v>
      </x:c>
      <x:c r="Z115" t="n">
        <x:v>46063.36514722222</x:v>
      </x:c>
      <x:c r="AA115" t="str">
        <x:v>Reviewed.</x:v>
      </x:c>
      <x:c r="AB115" t="str">
        <x:v>approved</x:v>
      </x:c>
      <x:c r="AC115" t="str">
        <x:v>azwan.badari@petronas.com</x:v>
      </x:c>
      <x:c r="AD115" t="n">
        <x:v>46064.12999126157</x:v>
      </x:c>
      <x:c r="AE115" t="str">
        <x:v>Decommission VM ptsg-1edhtjs03</x:v>
      </x:c>
      <x:c r="AF115" t="str">
        <x:v>approved</x:v>
      </x:c>
      <x:c r="AG115" t="str">
        <x:v>azlisham.md@petronas.com</x:v>
      </x:c>
      <x:c r="AH115" t="n">
        <x:v>46072.20979758102</x:v>
      </x:c>
      <x:c r="AI115" t="str">
        <x:v>The decommission request has been completed, and the status is now updated accordingly. Kindly verify from your end and confirm once reviewed.
</x:v>
      </x:c>
      <x:c r="AJ115" t="str">
        <x:v>A-000262</x:v>
      </x:c>
      <x:c r="AK115" t="n">
        <x:v>1116</x:v>
      </x:c>
      <x:c r="AL115" t="str">
        <x:v>M</x:v>
      </x:c>
      <x:c r="AM115" t="str">
        <x:v>REQ000007870564</x:v>
      </x:c>
      <x:c r="AN115" t="str">
        <x:v>retention</x:v>
      </x:c>
      <x:c r="AO115" t="n">
        <x:v>30</x:v>
      </x:c>
      <x:c r="AP115" s="23" t="str">
        <x:f>IF(E115="processing",IF(Z115="","",IF(ISNUMBER(Z115),INT(Z115),DATE(VALUE(LEFT(Z115,4)),VALUE(MID(Z115,6,2)),VALUE(MID(Z115,9,2))))),IF(OR(E115="executing",E115="pending"),IF(AD115="","",IF(ISNUMBER(AD115),INT(AD115),DATE(VALUE(LEFT(AD115,4)),VALUE(MID(AD115,6,2)),VALUE(MID(AD115,9,2))))),""))</x:f>
      </x:c>
      <x:c r="AQ115" s="24" t="str">
        <x:f>IF(AP115="","",INT('Configuration'!$B$4)-AP115)</x:f>
      </x:c>
      <x:c r="AR115" s="25" t="str">
        <x:f>IF(AP115="","Missing Required Date",IF(AQ115&lt;0,"Future Date",IF(AQ115=0,"0 days",IF(AQ115&lt;=2,"1-2 days",IF(AQ115&lt;=7,"3-7 days",IF(AQ115&lt;=14,"8-14 days",IF(AQ115&lt;=30,"15-30 days",IF(AQ115&lt;=60,"31-60 days",IF(AQ115&lt;=70,"61-70 days","71+ days")))))))))</x:f>
        <x:v>Missing Required Date</x:v>
      </x:c>
      <x:c r="AS115" s="25" t="str">
        <x:f>IF(OR(E115="processing",E115="executing",E115="pending"),IF(AP115="","Required aging date missing",IF(AQ115&gt;30,"Escalate &gt;30d",IF(AQ115&gt;14,"Watch &gt;14d","Within 14d"))),"Out of scope")</x:f>
        <x:v>Out of scope</x:v>
      </x:c>
    </x:row>
    <x:row r="116" ht="24" customHeight="1">
      <x:c r="A116" t="str">
        <x:v>08c5365a-16b3-41fc-bfe3-7daffa28ac1a</x:v>
      </x:c>
      <x:c r="B116" t="str">
        <x:v>CSSP10566358</x:v>
      </x:c>
      <x:c r="C116" t="str">
        <x:v>krishnamurthy.s@petronas.com</x:v>
      </x:c>
      <x:c r="D116" t="str">
        <x:v>decommission-cloud</x:v>
      </x:c>
      <x:c r="E116" t="str">
        <x:v>pending</x:v>
      </x:c>
      <x:c r="F116" t="n">
        <x:v>46064.06702991898</x:v>
      </x:c>
      <x:c r="G116" t="n">
        <x:v>46064.10876396991</x:v>
      </x:c>
      <x:c r="H116" t="n">
        <x:v>46064.070066342596</x:v>
      </x:c>
      <x:c r="I116" t="str">
        <x:v>Raphael R4 - Development of Analytics on GasLNG Products Forecast</x:v>
      </x:c>
      <x:c r="J116" t="str">
        <x:v>Project Raphael R4 - Analytics on Gas/LNG Products Forecast</x:v>
      </x:c>
      <x:c r="K116" t="str">
        <x:v>partial</x:v>
      </x:c>
      <x:c r="L116"/>
      <x:c r="M116" t="str">
        <x:v>gopabandhu.patr@petronas.com.my</x:v>
      </x:c>
      <x:c r="N116"/>
      <x:c r="O116"/>
      <x:c r="P116" t="str">
        <x:v>Request to decom the attached resources that no longer used in ArBiTra  Project / Modules.
</x:v>
      </x:c>
      <x:c r="Q116" t="str">
        <x:v>2W</x:v>
      </x:c>
      <x:c r="R116" t="str">
        <x:v>Not in Used</x:v>
      </x:c>
      <x:c r="S116"/>
      <x:c r="T116" t="str">
        <x:v>approved</x:v>
      </x:c>
      <x:c r="U116" t="str">
        <x:v>krishnamurthy.s@petronas.com</x:v>
      </x:c>
      <x:c r="V116" t="n">
        <x:v>46064.10876398148</x:v>
      </x:c>
      <x:c r="W116" t="str">
        <x:v>Request to decom the attached partial resources that no longer used in ArBiTra Project / Modules.</x:v>
      </x:c>
      <x:c r="X116"/>
      <x:c r="Y116" t="str">
        <x:v>gopabandhu.patr@petronas.com</x:v>
      </x:c>
      <x:c r="Z116"/>
      <x:c r="AA116"/>
      <x:c r="AB116"/>
      <x:c r="AC116" t="str">
        <x:v>CCoE Business</x:v>
      </x:c>
      <x:c r="AD116"/>
      <x:c r="AE116"/>
      <x:c r="AF116"/>
      <x:c r="AG116" t="str">
        <x:v>CCoE Business</x:v>
      </x:c>
      <x:c r="AH116"/>
      <x:c r="AI116"/>
      <x:c r="AJ116" t="str">
        <x:v>A-000700</x:v>
      </x:c>
      <x:c r="AK116" t="n">
        <x:v>1892</x:v>
      </x:c>
      <x:c r="AL116"/>
      <x:c r="AM116"/>
      <x:c r="AN116" t="str">
        <x:v>retention</x:v>
      </x:c>
      <x:c r="AO116"/>
      <x:c r="AP116" s="23" t="str">
        <x:f>IF(E116="processing",IF(Z116="","",IF(ISNUMBER(Z116),INT(Z116),DATE(VALUE(LEFT(Z116,4)),VALUE(MID(Z116,6,2)),VALUE(MID(Z116,9,2))))),IF(OR(E116="executing",E116="pending"),IF(AD116="","",IF(ISNUMBER(AD116),INT(AD116),DATE(VALUE(LEFT(AD116,4)),VALUE(MID(AD116,6,2)),VALUE(MID(AD116,9,2))))),""))</x:f>
      </x:c>
      <x:c r="AQ116" s="24" t="str">
        <x:f>IF(AP116="","",INT('Configuration'!$B$4)-AP116)</x:f>
      </x:c>
      <x:c r="AR116" s="25" t="str">
        <x:f>IF(AP116="","Missing Required Date",IF(AQ116&lt;0,"Future Date",IF(AQ116=0,"0 days",IF(AQ116&lt;=2,"1-2 days",IF(AQ116&lt;=7,"3-7 days",IF(AQ116&lt;=14,"8-14 days",IF(AQ116&lt;=30,"15-30 days",IF(AQ116&lt;=60,"31-60 days",IF(AQ116&lt;=70,"61-70 days","71+ days")))))))))</x:f>
        <x:v>Missing Required Date</x:v>
      </x:c>
      <x:c r="AS116" s="25" t="str">
        <x:f>IF(OR(E116="processing",E116="executing",E116="pending"),IF(AP116="","Required aging date missing",IF(AQ116&gt;30,"Escalate &gt;30d",IF(AQ116&gt;14,"Watch &gt;14d","Within 14d"))),"Out of scope")</x:f>
        <x:v>Required aging date missing</x:v>
      </x:c>
    </x:row>
    <x:row r="117" ht="24" customHeight="1">
      <x:c r="A117" t="str">
        <x:v>42cc3a15-3492-48d1-a862-b7d6e7d993c9</x:v>
      </x:c>
      <x:c r="B117" t="str">
        <x:v>CSSP10445227</x:v>
      </x:c>
      <x:c r="C117" t="str">
        <x:v>krishnamurthy.s@petronas.com</x:v>
      </x:c>
      <x:c r="D117" t="str">
        <x:v>decommission-cloud</x:v>
      </x:c>
      <x:c r="E117" t="str">
        <x:v>cancelled</x:v>
      </x:c>
      <x:c r="F117" t="n">
        <x:v>46065.26859399305</x:v>
      </x:c>
      <x:c r="G117" t="n">
        <x:v>46066.16237266204</x:v>
      </x:c>
      <x:c r="H117" t="n">
        <x:v>46065.40012412037</x:v>
      </x:c>
      <x:c r="I117" t="str">
        <x:v>Raphael R4 - Development of Analytics on GasLNG Products Forecast</x:v>
      </x:c>
      <x:c r="J117" t="str">
        <x:v>Project Raphael R4 - Analytics on Gas/LNG Products Forecast</x:v>
      </x:c>
      <x:c r="K117" t="str">
        <x:v>partial</x:v>
      </x:c>
      <x:c r="L117"/>
      <x:c r="M117" t="str">
        <x:v>gopabandhu.patr@petronas.com.my</x:v>
      </x:c>
      <x:c r="N117"/>
      <x:c r="O117"/>
      <x:c r="P117" t="str">
        <x:v>Request to decom the attached resources that no longer used in ArBiTra Project / Modules.</x:v>
      </x:c>
      <x:c r="Q117" t="str">
        <x:v>2W</x:v>
      </x:c>
      <x:c r="R117" t="str">
        <x:v>Not in Used</x:v>
      </x:c>
      <x:c r="S117"/>
      <x:c r="T117" t="str">
        <x:v>rejected</x:v>
      </x:c>
      <x:c r="U117" t="str">
        <x:v>krishnamurthy.s@petronas.com</x:v>
      </x:c>
      <x:c r="V117" t="n">
        <x:v>46066.162372673614</x:v>
      </x:c>
      <x:c r="W117"/>
      <x:c r="X117"/>
      <x:c r="Y117" t="str">
        <x:v>gopabandhu.patr@petronas.com</x:v>
      </x:c>
      <x:c r="Z117"/>
      <x:c r="AA117"/>
      <x:c r="AB117"/>
      <x:c r="AC117" t="str">
        <x:v>CCoE Business</x:v>
      </x:c>
      <x:c r="AD117"/>
      <x:c r="AE117"/>
      <x:c r="AF117"/>
      <x:c r="AG117" t="str">
        <x:v>CCoE Business</x:v>
      </x:c>
      <x:c r="AH117"/>
      <x:c r="AI117"/>
      <x:c r="AJ117" t="str">
        <x:v>A-000700</x:v>
      </x:c>
      <x:c r="AK117" t="n">
        <x:v>1892</x:v>
      </x:c>
      <x:c r="AL117"/>
      <x:c r="AM117"/>
      <x:c r="AN117" t="str">
        <x:v>retention</x:v>
      </x:c>
      <x:c r="AO117"/>
      <x:c r="AP117" s="23" t="str">
        <x:f>IF(E117="processing",IF(Z117="","",IF(ISNUMBER(Z117),INT(Z117),DATE(VALUE(LEFT(Z117,4)),VALUE(MID(Z117,6,2)),VALUE(MID(Z117,9,2))))),IF(OR(E117="executing",E117="pending"),IF(AD117="","",IF(ISNUMBER(AD117),INT(AD117),DATE(VALUE(LEFT(AD117,4)),VALUE(MID(AD117,6,2)),VALUE(MID(AD117,9,2))))),""))</x:f>
      </x:c>
      <x:c r="AQ117" s="24" t="str">
        <x:f>IF(AP117="","",INT('Configuration'!$B$4)-AP117)</x:f>
      </x:c>
      <x:c r="AR117" s="25" t="str">
        <x:f>IF(AP117="","Missing Required Date",IF(AQ117&lt;0,"Future Date",IF(AQ117=0,"0 days",IF(AQ117&lt;=2,"1-2 days",IF(AQ117&lt;=7,"3-7 days",IF(AQ117&lt;=14,"8-14 days",IF(AQ117&lt;=30,"15-30 days",IF(AQ117&lt;=60,"31-60 days",IF(AQ117&lt;=70,"61-70 days","71+ days")))))))))</x:f>
        <x:v>Missing Required Date</x:v>
      </x:c>
      <x:c r="AS117" s="25" t="str">
        <x:f>IF(OR(E117="processing",E117="executing",E117="pending"),IF(AP117="","Required aging date missing",IF(AQ117&gt;30,"Escalate &gt;30d",IF(AQ117&gt;14,"Watch &gt;14d","Within 14d"))),"Out of scope")</x:f>
        <x:v>Out of scope</x:v>
      </x:c>
    </x:row>
    <x:row r="118" ht="24" customHeight="1">
      <x:c r="A118" t="str">
        <x:v>41e0c03f-1a30-4945-a168-216e63abeaef</x:v>
      </x:c>
      <x:c r="B118" t="str">
        <x:v>CSSP10401822</x:v>
      </x:c>
      <x:c r="C118" t="str">
        <x:v>nurainnasiha.ibrahi@petronas.com</x:v>
      </x:c>
      <x:c r="D118" t="str">
        <x:v>decommission-cloud</x:v>
      </x:c>
      <x:c r="E118" t="str">
        <x:v>cancelled</x:v>
      </x:c>
      <x:c r="F118" t="n">
        <x:v>46065.32301298611</x:v>
      </x:c>
      <x:c r="G118" t="n">
        <x:v>46113.12259532407</x:v>
      </x:c>
      <x:c r="H118" t="n">
        <x:v>46065.32301298611</x:v>
      </x:c>
      <x:c r="I118" t="str">
        <x:v>Drillbench and Engineering Desktop - EDT</x:v>
      </x:c>
      <x:c r="J118" t="str">
        <x:v>Cloud Migration- Drillbench &amp;EDM (EDT)</x:v>
      </x:c>
      <x:c r="K118" t="str">
        <x:v>full</x:v>
      </x:c>
      <x:c r="L118" t="str">
        <x:v>dsa</x:v>
      </x:c>
      <x:c r="M118" t="str">
        <x:v>nurainnasiha.ibrahi@petronas.com</x:v>
      </x:c>
      <x:c r="N118" t="str">
        <x:v>sdsa</x:v>
      </x:c>
      <x:c r="O118" t="str">
        <x:v>sdd</x:v>
      </x:c>
      <x:c r="P118" t="str">
        <x:v>saas</x:v>
      </x:c>
      <x:c r="Q118" t="str">
        <x:v>12M</x:v>
      </x:c>
      <x:c r="R118" t="str">
        <x:v>Cloud Migration</x:v>
      </x:c>
      <x:c r="S118"/>
      <x:c r="T118" t="str">
        <x:v>rejected</x:v>
      </x:c>
      <x:c r="U118" t="str">
        <x:v>nurainnasiha.ibrahi@petronas.com</x:v>
      </x:c>
      <x:c r="V118" t="n">
        <x:v>46113.12259533565</x:v>
      </x:c>
      <x:c r="W118"/>
      <x:c r="X118"/>
      <x:c r="Y118" t="str">
        <x:v>nurainnasiha.ibrahi@petronas.com</x:v>
      </x:c>
      <x:c r="Z118"/>
      <x:c r="AA118"/>
      <x:c r="AB118"/>
      <x:c r="AC118" t="str">
        <x:v>CCoE Business</x:v>
      </x:c>
      <x:c r="AD118"/>
      <x:c r="AE118"/>
      <x:c r="AF118"/>
      <x:c r="AG118" t="str">
        <x:v>CCoE Operations</x:v>
      </x:c>
      <x:c r="AH118"/>
      <x:c r="AI118"/>
      <x:c r="AJ118" t="str">
        <x:v>A-000270</x:v>
      </x:c>
      <x:c r="AK118" t="str">
        <x:v>02421_30</x:v>
      </x:c>
      <x:c r="AL118"/>
      <x:c r="AM118"/>
      <x:c r="AN118" t="str">
        <x:v>retention</x:v>
      </x:c>
      <x:c r="AO118" t="n">
        <x:v>4</x:v>
      </x:c>
      <x:c r="AP118" s="23" t="str">
        <x:f>IF(E118="processing",IF(Z118="","",IF(ISNUMBER(Z118),INT(Z118),DATE(VALUE(LEFT(Z118,4)),VALUE(MID(Z118,6,2)),VALUE(MID(Z118,9,2))))),IF(OR(E118="executing",E118="pending"),IF(AD118="","",IF(ISNUMBER(AD118),INT(AD118),DATE(VALUE(LEFT(AD118,4)),VALUE(MID(AD118,6,2)),VALUE(MID(AD118,9,2))))),""))</x:f>
      </x:c>
      <x:c r="AQ118" s="24" t="str">
        <x:f>IF(AP118="","",INT('Configuration'!$B$4)-AP118)</x:f>
      </x:c>
      <x:c r="AR118" s="25" t="str">
        <x:f>IF(AP118="","Missing Required Date",IF(AQ118&lt;0,"Future Date",IF(AQ118=0,"0 days",IF(AQ118&lt;=2,"1-2 days",IF(AQ118&lt;=7,"3-7 days",IF(AQ118&lt;=14,"8-14 days",IF(AQ118&lt;=30,"15-30 days",IF(AQ118&lt;=60,"31-60 days",IF(AQ118&lt;=70,"61-70 days","71+ days")))))))))</x:f>
        <x:v>Missing Required Date</x:v>
      </x:c>
      <x:c r="AS118" s="25" t="str">
        <x:f>IF(OR(E118="processing",E118="executing",E118="pending"),IF(AP118="","Required aging date missing",IF(AQ118&gt;30,"Escalate &gt;30d",IF(AQ118&gt;14,"Watch &gt;14d","Within 14d"))),"Out of scope")</x:f>
        <x:v>Out of scope</x:v>
      </x:c>
    </x:row>
    <x:row r="119" ht="24" customHeight="1">
      <x:c r="A119" t="str">
        <x:v>a853efc9-7d4d-4c3f-9cfa-a0ac6fb33d8f</x:v>
      </x:c>
      <x:c r="B119" t="str">
        <x:v>CSSP10873376</x:v>
      </x:c>
      <x:c r="C119" t="str">
        <x:v>krishnamurthy.s@petronas.com</x:v>
      </x:c>
      <x:c r="D119" t="str">
        <x:v>decommission-cloud</x:v>
      </x:c>
      <x:c r="E119" t="str">
        <x:v>completed</x:v>
      </x:c>
      <x:c r="F119" t="n">
        <x:v>46066.16336332176</x:v>
      </x:c>
      <x:c r="G119" t="n">
        <x:v>46084.32780146991</x:v>
      </x:c>
      <x:c r="H119" t="n">
        <x:v>46072.06820608796</x:v>
      </x:c>
      <x:c r="I119" t="str">
        <x:v>Raphael R4 - Development of Analytics on GasLNG Products Forecast</x:v>
      </x:c>
      <x:c r="J119" t="str">
        <x:v>Project Raphael R4 - Analytics on Gas/LNG Products Forecast</x:v>
      </x:c>
      <x:c r="K119" t="str">
        <x:v>partial</x:v>
      </x:c>
      <x:c r="L119"/>
      <x:c r="M119" t="str">
        <x:v>gopabandhu.patr@petronas.com.my</x:v>
      </x:c>
      <x:c r="N119"/>
      <x:c r="O119"/>
      <x:c r="P119" t="str">
        <x:v>Request to decom the attached resources that no longer used in ArBiTra Project / Modules.</x:v>
      </x:c>
      <x:c r="Q119" t="str">
        <x:v>2W</x:v>
      </x:c>
      <x:c r="R119" t="str">
        <x:v>Not in Used</x:v>
      </x:c>
      <x:c r="S119"/>
      <x:c r="T119" t="str">
        <x:v>approved</x:v>
      </x:c>
      <x:c r="U119" t="str">
        <x:v>gopabandhu.patr@petronas.com</x:v>
      </x:c>
      <x:c r="V119" t="n">
        <x:v>46072.068803912036</x:v>
      </x:c>
      <x:c r="W119" t="str">
        <x:v>Please decom the resources as attached excel sheet mentioned</x:v>
      </x:c>
      <x:c r="X119" t="str">
        <x:v>approved</x:v>
      </x:c>
      <x:c r="Y119" t="str">
        <x:v>gopabandhu.patr@petronas.com</x:v>
      </x:c>
      <x:c r="Z119" t="n">
        <x:v>46073.340155798614</x:v>
      </x:c>
      <x:c r="AA119" t="str">
        <x:v>Please decom the resources mentioned in attachment</x:v>
      </x:c>
      <x:c r="AB119" t="str">
        <x:v>approved</x:v>
      </x:c>
      <x:c r="AC119" t="str">
        <x:v>azwan.badari@petronas.com</x:v>
      </x:c>
      <x:c r="AD119" t="n">
        <x:v>46075.9980053125</x:v>
      </x:c>
      <x:c r="AE119" t="str">
        <x:v>Proceed to decommission as per listed in attachment</x:v>
      </x:c>
      <x:c r="AF119" t="str">
        <x:v>approved</x:v>
      </x:c>
      <x:c r="AG119" t="str">
        <x:v>azwan.badari@petronas.com</x:v>
      </x:c>
      <x:c r="AH119" t="n">
        <x:v>46084.32780148148</x:v>
      </x:c>
      <x:c r="AI119" t="str">
        <x:v>Completed</x:v>
      </x:c>
      <x:c r="AJ119" t="str">
        <x:v>A-000700</x:v>
      </x:c>
      <x:c r="AK119" t="n">
        <x:v>1892</x:v>
      </x:c>
      <x:c r="AL119" t="str">
        <x:v>L</x:v>
      </x:c>
      <x:c r="AM119" t="str">
        <x:v>REQ000007885481</x:v>
      </x:c>
      <x:c r="AN119" t="str">
        <x:v>retention</x:v>
      </x:c>
      <x:c r="AO119"/>
      <x:c r="AP119" s="23" t="str">
        <x:f>IF(E119="processing",IF(Z119="","",IF(ISNUMBER(Z119),INT(Z119),DATE(VALUE(LEFT(Z119,4)),VALUE(MID(Z119,6,2)),VALUE(MID(Z119,9,2))))),IF(OR(E119="executing",E119="pending"),IF(AD119="","",IF(ISNUMBER(AD119),INT(AD119),DATE(VALUE(LEFT(AD119,4)),VALUE(MID(AD119,6,2)),VALUE(MID(AD119,9,2))))),""))</x:f>
      </x:c>
      <x:c r="AQ119" s="24" t="str">
        <x:f>IF(AP119="","",INT('Configuration'!$B$4)-AP119)</x:f>
      </x:c>
      <x:c r="AR119" s="25" t="str">
        <x:f>IF(AP119="","Missing Required Date",IF(AQ119&lt;0,"Future Date",IF(AQ119=0,"0 days",IF(AQ119&lt;=2,"1-2 days",IF(AQ119&lt;=7,"3-7 days",IF(AQ119&lt;=14,"8-14 days",IF(AQ119&lt;=30,"15-30 days",IF(AQ119&lt;=60,"31-60 days",IF(AQ119&lt;=70,"61-70 days","71+ days")))))))))</x:f>
        <x:v>Missing Required Date</x:v>
      </x:c>
      <x:c r="AS119" s="25" t="str">
        <x:f>IF(OR(E119="processing",E119="executing",E119="pending"),IF(AP119="","Required aging date missing",IF(AQ119&gt;30,"Escalate &gt;30d",IF(AQ119&gt;14,"Watch &gt;14d","Within 14d"))),"Out of scope")</x:f>
        <x:v>Out of scope</x:v>
      </x:c>
    </x:row>
    <x:row r="120" ht="24" customHeight="1">
      <x:c r="A120" t="str">
        <x:v>150c05a0-82fb-4c54-95ee-10cfc114a4b9</x:v>
      </x:c>
      <x:c r="B120" t="str">
        <x:v>CSSP10248892</x:v>
      </x:c>
      <x:c r="C120" t="str">
        <x:v>ismail.azman@petronas.com</x:v>
      </x:c>
      <x:c r="D120" t="str">
        <x:v>decommission-cloud</x:v>
      </x:c>
      <x:c r="E120" t="str">
        <x:v>completed</x:v>
      </x:c>
      <x:c r="F120" t="n">
        <x:v>46072.023874004626</x:v>
      </x:c>
      <x:c r="G120" t="n">
        <x:v>46093.12991672454</x:v>
      </x:c>
      <x:c r="H120" t="n">
        <x:v>46072.023874004626</x:v>
      </x:c>
      <x:c r="I120" t="str">
        <x:v>Electronic Permit To Work - ePTW KPOC</x:v>
      </x:c>
      <x:c r="J120" t="str">
        <x:v>Implementation of ePTW system and Support &amp; Maintenance for Kebabangan Petroleum Operating Company Sdn. Bhd (KPOC) for Virtus IP Sdn Bhd - ePTW Commercial (Production) (Formelrly known as: ePTW (KPOC))</x:v>
      </x:c>
      <x:c r="K120" t="str">
        <x:v>partial</x:v>
      </x:c>
      <x:c r="L120"/>
      <x:c r="M120" t="str">
        <x:v>sazali.mokhtar@petronas.com</x:v>
      </x:c>
      <x:c r="N120"/>
      <x:c r="O120"/>
      <x:c r="P120" t="str">
        <x:v>To cleanup VirtusIP residual in Azure</x:v>
      </x:c>
      <x:c r="Q120" t="str">
        <x:v>2W</x:v>
      </x:c>
      <x:c r="R120" t="str">
        <x:v>Not in Used</x:v>
      </x:c>
      <x:c r="S120"/>
      <x:c r="T120" t="str">
        <x:v>approved</x:v>
      </x:c>
      <x:c r="U120" t="str">
        <x:v>ismail.azman@petronas.com</x:v>
      </x:c>
      <x:c r="V120" t="n">
        <x:v>46072.025722094906</x:v>
      </x:c>
      <x:c r="W120" t="str">
        <x:v>selected resources in viazsg</x:v>
      </x:c>
      <x:c r="X120" t="str">
        <x:v>approved</x:v>
      </x:c>
      <x:c r="Y120" t="str">
        <x:v>sazali.mokhtar@petronas.com</x:v>
      </x:c>
      <x:c r="Z120" t="n">
        <x:v>46072.05431025463</x:v>
      </x:c>
      <x:c r="AA120" t="str">
        <x:v>VirtusIP resources cleanup</x:v>
      </x:c>
      <x:c r="AB120" t="str">
        <x:v>approved</x:v>
      </x:c>
      <x:c r="AC120" t="str">
        <x:v>ismail.azman@petronas.com</x:v>
      </x:c>
      <x:c r="AD120" t="n">
        <x:v>46072.07371449074</x:v>
      </x:c>
      <x:c r="AE120" t="str">
        <x:v>assigned to ismail</x:v>
      </x:c>
      <x:c r="AF120" t="str">
        <x:v>approved</x:v>
      </x:c>
      <x:c r="AG120" t="str">
        <x:v>ismail.azman@petronas.com</x:v>
      </x:c>
      <x:c r="AH120" t="n">
        <x:v>46093.12991672454</x:v>
      </x:c>
      <x:c r="AI120" t="str">
        <x:v>all completed</x:v>
      </x:c>
      <x:c r="AJ120" t="str">
        <x:v>A-000295</x:v>
      </x:c>
      <x:c r="AK120" t="n">
        <x:v>2315</x:v>
      </x:c>
      <x:c r="AL120" t="str">
        <x:v>M</x:v>
      </x:c>
      <x:c r="AM120" t="str">
        <x:v>REQ000007880365</x:v>
      </x:c>
      <x:c r="AN120" t="str">
        <x:v>noretention</x:v>
      </x:c>
      <x:c r="AO120" t="n">
        <x:v>0</x:v>
      </x:c>
      <x:c r="AP120" s="23" t="str">
        <x:f>IF(E120="processing",IF(Z120="","",IF(ISNUMBER(Z120),INT(Z120),DATE(VALUE(LEFT(Z120,4)),VALUE(MID(Z120,6,2)),VALUE(MID(Z120,9,2))))),IF(OR(E120="executing",E120="pending"),IF(AD120="","",IF(ISNUMBER(AD120),INT(AD120),DATE(VALUE(LEFT(AD120,4)),VALUE(MID(AD120,6,2)),VALUE(MID(AD120,9,2))))),""))</x:f>
      </x:c>
      <x:c r="AQ120" s="24" t="str">
        <x:f>IF(AP120="","",INT('Configuration'!$B$4)-AP120)</x:f>
      </x:c>
      <x:c r="AR120" s="25" t="str">
        <x:f>IF(AP120="","Missing Required Date",IF(AQ120&lt;0,"Future Date",IF(AQ120=0,"0 days",IF(AQ120&lt;=2,"1-2 days",IF(AQ120&lt;=7,"3-7 days",IF(AQ120&lt;=14,"8-14 days",IF(AQ120&lt;=30,"15-30 days",IF(AQ120&lt;=60,"31-60 days",IF(AQ120&lt;=70,"61-70 days","71+ days")))))))))</x:f>
        <x:v>Missing Required Date</x:v>
      </x:c>
      <x:c r="AS120" s="25" t="str">
        <x:f>IF(OR(E120="processing",E120="executing",E120="pending"),IF(AP120="","Required aging date missing",IF(AQ120&gt;30,"Escalate &gt;30d",IF(AQ120&gt;14,"Watch &gt;14d","Within 14d"))),"Out of scope")</x:f>
        <x:v>Out of scope</x:v>
      </x:c>
    </x:row>
    <x:row r="121" ht="24" customHeight="1">
      <x:c r="A121" t="str">
        <x:v>b8f3fb2f-5d9e-4794-a148-753de99b860d</x:v>
      </x:c>
      <x:c r="B121" t="str">
        <x:v>CSSP10609067</x:v>
      </x:c>
      <x:c r="C121" t="str">
        <x:v>ismail.azman@petronas.com</x:v>
      </x:c>
      <x:c r="D121" t="str">
        <x:v>decommission-cloud</x:v>
      </x:c>
      <x:c r="E121" t="str">
        <x:v>cancelled</x:v>
      </x:c>
      <x:c r="F121" t="n">
        <x:v>46072.026405868055</x:v>
      </x:c>
      <x:c r="G121" t="n">
        <x:v>46072.02796009259</x:v>
      </x:c>
      <x:c r="H121" t="n">
        <x:v>46072.026405868055</x:v>
      </x:c>
      <x:c r="I121" t="str">
        <x:v>Cyber Security Microsoft Defender</x:v>
      </x:c>
      <x:c r="J121" t="str">
        <x:v>OSR00165: Procurement and Infrastructure Deployment for Cyber Defense (Pilot Phase) - Subscription for CyberSec of Microsoft Defender ATP (MDATP)</x:v>
      </x:c>
      <x:c r="K121" t="str">
        <x:v>partial</x:v>
      </x:c>
      <x:c r="L121"/>
      <x:c r="M121" t="str">
        <x:v>sazali.mokhtar@petronas.com</x:v>
      </x:c>
      <x:c r="N121"/>
      <x:c r="O121"/>
      <x:c r="P121" t="str">
        <x:v>To cleanup VirtusIP residual in Azure</x:v>
      </x:c>
      <x:c r="Q121" t="str">
        <x:v>2W</x:v>
      </x:c>
      <x:c r="R121" t="str">
        <x:v>Not in Used</x:v>
      </x:c>
      <x:c r="S121"/>
      <x:c r="T121" t="str">
        <x:v>rejected</x:v>
      </x:c>
      <x:c r="U121" t="str">
        <x:v>ismail.azman@petronas.com</x:v>
      </x:c>
      <x:c r="V121" t="n">
        <x:v>46072.02796010417</x:v>
      </x:c>
      <x:c r="W121"/>
      <x:c r="X121"/>
      <x:c r="Y121" t="str">
        <x:v>sazali.mokhtar@petronas.com</x:v>
      </x:c>
      <x:c r="Z121"/>
      <x:c r="AA121"/>
      <x:c r="AB121"/>
      <x:c r="AC121" t="str">
        <x:v>CCoE Business</x:v>
      </x:c>
      <x:c r="AD121"/>
      <x:c r="AE121"/>
      <x:c r="AF121"/>
      <x:c r="AG121" t="str">
        <x:v>CCoE Operations</x:v>
      </x:c>
      <x:c r="AH121"/>
      <x:c r="AI121"/>
      <x:c r="AJ121" t="str">
        <x:v>A-000158</x:v>
      </x:c>
      <x:c r="AK121" t="str">
        <x:v>OSR00165_7</x:v>
      </x:c>
      <x:c r="AL121"/>
      <x:c r="AM121"/>
      <x:c r="AN121" t="str">
        <x:v>noretention</x:v>
      </x:c>
      <x:c r="AO121" t="n">
        <x:v>0</x:v>
      </x:c>
      <x:c r="AP121" s="23" t="str">
        <x:f>IF(E121="processing",IF(Z121="","",IF(ISNUMBER(Z121),INT(Z121),DATE(VALUE(LEFT(Z121,4)),VALUE(MID(Z121,6,2)),VALUE(MID(Z121,9,2))))),IF(OR(E121="executing",E121="pending"),IF(AD121="","",IF(ISNUMBER(AD121),INT(AD121),DATE(VALUE(LEFT(AD121,4)),VALUE(MID(AD121,6,2)),VALUE(MID(AD121,9,2))))),""))</x:f>
      </x:c>
      <x:c r="AQ121" s="24" t="str">
        <x:f>IF(AP121="","",INT('Configuration'!$B$4)-AP121)</x:f>
      </x:c>
      <x:c r="AR121" s="25" t="str">
        <x:f>IF(AP121="","Missing Required Date",IF(AQ121&lt;0,"Future Date",IF(AQ121=0,"0 days",IF(AQ121&lt;=2,"1-2 days",IF(AQ121&lt;=7,"3-7 days",IF(AQ121&lt;=14,"8-14 days",IF(AQ121&lt;=30,"15-30 days",IF(AQ121&lt;=60,"31-60 days",IF(AQ121&lt;=70,"61-70 days","71+ days")))))))))</x:f>
        <x:v>Missing Required Date</x:v>
      </x:c>
      <x:c r="AS121" s="25" t="str">
        <x:f>IF(OR(E121="processing",E121="executing",E121="pending"),IF(AP121="","Required aging date missing",IF(AQ121&gt;30,"Escalate &gt;30d",IF(AQ121&gt;14,"Watch &gt;14d","Within 14d"))),"Out of scope")</x:f>
        <x:v>Out of scope</x:v>
      </x:c>
    </x:row>
    <x:row r="122" ht="24" customHeight="1">
      <x:c r="A122" t="str">
        <x:v>91b18b9e-1723-431e-8736-f5ae05ca633d</x:v>
      </x:c>
      <x:c r="B122" t="str">
        <x:v>CSSP10597742</x:v>
      </x:c>
      <x:c r="C122" t="str">
        <x:v>azani.matjusoh@petronas.com</x:v>
      </x:c>
      <x:c r="D122" t="str">
        <x:v>decommission-cloud</x:v>
      </x:c>
      <x:c r="E122" t="str">
        <x:v>completed</x:v>
      </x:c>
      <x:c r="F122" t="n">
        <x:v>46073.33310186343</x:v>
      </x:c>
      <x:c r="G122" t="n">
        <x:v>46090.08864342592</x:v>
      </x:c>
      <x:c r="H122" t="n">
        <x:v>46073.33310186343</x:v>
      </x:c>
      <x:c r="I122" t="str">
        <x:v>PERFECT</x:v>
      </x:c>
      <x:c r="J122" t="str">
        <x:v>[Elec. Monitoring] Enhancements Support and Maintenance of PERFECT for GTS</x:v>
      </x:c>
      <x:c r="K122" t="str">
        <x:v>partial</x:v>
      </x:c>
      <x:c r="L122"/>
      <x:c r="M122" t="str">
        <x:v>thanaletchumi.s@petronas.com.my</x:v>
      </x:c>
      <x:c r="N122"/>
      <x:c r="O122"/>
      <x:c r="P122" t="str">
        <x:v>Request to decom AWS infrastructure that hosting PERFECT (https://perfect.petronas.com) application. This is due to the app has been migrated to Azure cloud services. 
Please refer to email communication for the details. Do let us know should you have any other further clarification/confirmation regarding the resources. 
</x:v>
      </x:c>
      <x:c r="Q122" t="str">
        <x:v>12M</x:v>
      </x:c>
      <x:c r="R122" t="str">
        <x:v>Not in Used</x:v>
      </x:c>
      <x:c r="S122"/>
      <x:c r="T122" t="str">
        <x:v>approved</x:v>
      </x:c>
      <x:c r="U122" t="str">
        <x:v>azani.matjusoh@petronas.com</x:v>
      </x:c>
      <x:c r="V122" t="n">
        <x:v>46073.33757309028</x:v>
      </x:c>
      <x:c r="W122" t="str">
        <x:v>To proceed with decommissioning AWS infrastructures (VM) as below: 
1. PTAWSG-1ESMRT01, 10.77.45.79 - production
2. PTAWSG-4ESMRT01, 10.75.66.167 - staging</x:v>
      </x:c>
      <x:c r="X122" t="str">
        <x:v>approved</x:v>
      </x:c>
      <x:c r="Y122" t="str">
        <x:v>thanaletchumi.s@petronas.com</x:v>
      </x:c>
      <x:c r="Z122" t="n">
        <x:v>46085.38963907408</x:v>
      </x:c>
      <x:c r="AA122" t="str">
        <x:v>Proceed</x:v>
      </x:c>
      <x:c r="AB122" t="str">
        <x:v>approved</x:v>
      </x:c>
      <x:c r="AC122" t="str">
        <x:v>azwan.badari@petronas.com</x:v>
      </x:c>
      <x:c r="AD122" t="n">
        <x:v>46085.55781247685</x:v>
      </x:c>
      <x:c r="AE122" t="str">
        <x:v>Proceed to decomm vm and related resources</x:v>
      </x:c>
      <x:c r="AF122" t="str">
        <x:v>approved</x:v>
      </x:c>
      <x:c r="AG122" t="str">
        <x:v>azlisham.md@petronas.com</x:v>
      </x:c>
      <x:c r="AH122" t="n">
        <x:v>46090.08864342592</x:v>
      </x:c>
      <x:c r="AI122" t="str">
        <x:v>The decommission request has been completed, and the status is now updated accordingly. Kindly verify from your end and confirm once reviewed.
</x:v>
      </x:c>
      <x:c r="AJ122" t="str">
        <x:v>A-000557</x:v>
      </x:c>
      <x:c r="AK122" t="n">
        <x:v>2536</x:v>
      </x:c>
      <x:c r="AL122" t="str">
        <x:v>M</x:v>
      </x:c>
      <x:c r="AM122" t="str">
        <x:v>REQ000007914988</x:v>
      </x:c>
      <x:c r="AN122" t="str">
        <x:v>retention</x:v>
      </x:c>
      <x:c r="AO122" t="n">
        <x:v>-365</x:v>
      </x:c>
      <x:c r="AP122" s="23" t="str">
        <x:f>IF(E122="processing",IF(Z122="","",IF(ISNUMBER(Z122),INT(Z122),DATE(VALUE(LEFT(Z122,4)),VALUE(MID(Z122,6,2)),VALUE(MID(Z122,9,2))))),IF(OR(E122="executing",E122="pending"),IF(AD122="","",IF(ISNUMBER(AD122),INT(AD122),DATE(VALUE(LEFT(AD122,4)),VALUE(MID(AD122,6,2)),VALUE(MID(AD122,9,2))))),""))</x:f>
      </x:c>
      <x:c r="AQ122" s="24" t="str">
        <x:f>IF(AP122="","",INT('Configuration'!$B$4)-AP122)</x:f>
      </x:c>
      <x:c r="AR122" s="25" t="str">
        <x:f>IF(AP122="","Missing Required Date",IF(AQ122&lt;0,"Future Date",IF(AQ122=0,"0 days",IF(AQ122&lt;=2,"1-2 days",IF(AQ122&lt;=7,"3-7 days",IF(AQ122&lt;=14,"8-14 days",IF(AQ122&lt;=30,"15-30 days",IF(AQ122&lt;=60,"31-60 days",IF(AQ122&lt;=70,"61-70 days","71+ days")))))))))</x:f>
        <x:v>Missing Required Date</x:v>
      </x:c>
      <x:c r="AS122" s="25" t="str">
        <x:f>IF(OR(E122="processing",E122="executing",E122="pending"),IF(AP122="","Required aging date missing",IF(AQ122&gt;30,"Escalate &gt;30d",IF(AQ122&gt;14,"Watch &gt;14d","Within 14d"))),"Out of scope")</x:f>
        <x:v>Out of scope</x:v>
      </x:c>
    </x:row>
    <x:row r="123" ht="24" customHeight="1">
      <x:c r="A123" t="str">
        <x:v>b0fdcf20-8802-47e8-a3f0-c1aa2df7ac20</x:v>
      </x:c>
      <x:c r="B123" t="str">
        <x:v>CSSP10898265</x:v>
      </x:c>
      <x:c r="C123" t="str">
        <x:v>essam.arab@petronas.com</x:v>
      </x:c>
      <x:c r="D123" t="str">
        <x:v>decommission-cloud</x:v>
      </x:c>
      <x:c r="E123" t="str">
        <x:v>rejected</x:v>
      </x:c>
      <x:c r="F123" t="n">
        <x:v>46076.297517453706</x:v>
      </x:c>
      <x:c r="G123" t="n">
        <x:v>46140.13396640046</x:v>
      </x:c>
      <x:c r="H123" t="n">
        <x:v>46076.297517453706</x:v>
      </x:c>
      <x:c r="I123" t="str">
        <x:v>Alpha LNG</x:v>
      </x:c>
      <x:c r="J123" t="str">
        <x:v>Alpha LNG Tech Refactoring and Modernization (TEV)</x:v>
      </x:c>
      <x:c r="K123" t="str">
        <x:v>partial</x:v>
      </x:c>
      <x:c r="L123"/>
      <x:c r="M123" t="str">
        <x:v>sunny.khiani@petronas.com</x:v>
      </x:c>
      <x:c r="N123"/>
      <x:c r="O123"/>
      <x:c r="P123" t="str">
        <x:v>Not in use (migrated to NLZ)</x:v>
      </x:c>
      <x:c r="Q123" t="str">
        <x:v>2W</x:v>
      </x:c>
      <x:c r="R123" t="str">
        <x:v>Not in Used</x:v>
      </x:c>
      <x:c r="S123"/>
      <x:c r="T123" t="str">
        <x:v>approved</x:v>
      </x:c>
      <x:c r="U123" t="str">
        <x:v>essam.arab@petronas.com</x:v>
      </x:c>
      <x:c r="V123" t="n">
        <x:v>46076.2994718287</x:v>
      </x:c>
      <x:c r="W123" t="str">
        <x:v>IAM users in 116698182371 (PTAWSG-PROD-ENVIRONMENT-01)
arn:aws:iam::116698182371:user/PTAW_ALNG_DEV_SERVICES
arn:aws:iam::116698182371:user/PTAW_ALNG_PROD_SERVICES
arn:aws:iam::116698182371:user/PTAW_ALNG_UAT_SERVICES
arn:aws:iam::116698182371:user/PTAWSG-ALNG-RDS-MIGRATE-USER
arn:aws:iam::116698182371:user/PTAW_S3_ALPHA_LNG_USER</x:v>
      </x:c>
      <x:c r="X123" t="str">
        <x:v>approved</x:v>
      </x:c>
      <x:c r="Y123" t="str">
        <x:v>sunny.khiani@petronas.com</x:v>
      </x:c>
      <x:c r="Z123" t="n">
        <x:v>46136.17380266204</x:v>
      </x:c>
      <x:c r="AA123" t="str">
        <x:v>approved </x:v>
      </x:c>
      <x:c r="AB123" t="str">
        <x:v>approved</x:v>
      </x:c>
      <x:c r="AC123" t="str">
        <x:v>sunny.khiani@petronas.com</x:v>
      </x:c>
      <x:c r="AD123" t="n">
        <x:v>46136.175208125</x:v>
      </x:c>
      <x:c r="AE123" t="str">
        <x:v>approved</x:v>
      </x:c>
      <x:c r="AF123" t="str">
        <x:v>rejected</x:v>
      </x:c>
      <x:c r="AG123" t="str">
        <x:v>azwan.badari@petronas.com</x:v>
      </x:c>
      <x:c r="AH123" t="n">
        <x:v>46140.13396640046</x:v>
      </x:c>
      <x:c r="AI123" t="str">
        <x:v>No resources has been found</x:v>
      </x:c>
      <x:c r="AJ123" t="str">
        <x:v>A-000043</x:v>
      </x:c>
      <x:c r="AK123" t="n">
        <x:v>3537</x:v>
      </x:c>
      <x:c r="AL123" t="str">
        <x:v>M</x:v>
      </x:c>
      <x:c r="AM123" t="str">
        <x:v>REQ000008009891</x:v>
      </x:c>
      <x:c r="AN123" t="str">
        <x:v>noretention</x:v>
      </x:c>
      <x:c r="AO123" t="n">
        <x:v>0</x:v>
      </x:c>
      <x:c r="AP123" s="23" t="str">
        <x:f>IF(E123="processing",IF(Z123="","",IF(ISNUMBER(Z123),INT(Z123),DATE(VALUE(LEFT(Z123,4)),VALUE(MID(Z123,6,2)),VALUE(MID(Z123,9,2))))),IF(OR(E123="executing",E123="pending"),IF(AD123="","",IF(ISNUMBER(AD123),INT(AD123),DATE(VALUE(LEFT(AD123,4)),VALUE(MID(AD123,6,2)),VALUE(MID(AD123,9,2))))),""))</x:f>
      </x:c>
      <x:c r="AQ123" s="24" t="str">
        <x:f>IF(AP123="","",INT('Configuration'!$B$4)-AP123)</x:f>
      </x:c>
      <x:c r="AR123" s="25" t="str">
        <x:f>IF(AP123="","Missing Required Date",IF(AQ123&lt;0,"Future Date",IF(AQ123=0,"0 days",IF(AQ123&lt;=2,"1-2 days",IF(AQ123&lt;=7,"3-7 days",IF(AQ123&lt;=14,"8-14 days",IF(AQ123&lt;=30,"15-30 days",IF(AQ123&lt;=60,"31-60 days",IF(AQ123&lt;=70,"61-70 days","71+ days")))))))))</x:f>
        <x:v>Missing Required Date</x:v>
      </x:c>
      <x:c r="AS123" s="25" t="str">
        <x:f>IF(OR(E123="processing",E123="executing",E123="pending"),IF(AP123="","Required aging date missing",IF(AQ123&gt;30,"Escalate &gt;30d",IF(AQ123&gt;14,"Watch &gt;14d","Within 14d"))),"Out of scope")</x:f>
        <x:v>Out of scope</x:v>
      </x:c>
    </x:row>
    <x:row r="124" ht="24" customHeight="1">
      <x:c r="A124" t="str">
        <x:v>ae54af02-6e4d-4f49-8346-c35ceb7e8122</x:v>
      </x:c>
      <x:c r="B124" t="str">
        <x:v>CSSP10682082</x:v>
      </x:c>
      <x:c r="C124" t="str">
        <x:v>izdihar.roslan@petronas.com</x:v>
      </x:c>
      <x:c r="D124" t="str">
        <x:v>decommission-cloud</x:v>
      </x:c>
      <x:c r="E124" t="str">
        <x:v>completed</x:v>
      </x:c>
      <x:c r="F124" t="n">
        <x:v>46077.013224965274</x:v>
      </x:c>
      <x:c r="G124" t="n">
        <x:v>46079.22044795139</x:v>
      </x:c>
      <x:c r="H124" t="n">
        <x:v>46077.013224965274</x:v>
      </x:c>
      <x:c r="I124" t="str">
        <x:v>Lab Information Management System - LIMS MRCSB</x:v>
      </x:c>
      <x:c r="J124" t="str">
        <x:v>OCI MIGRATION - Lab Information Management System (LIMS) for MRCSB</x:v>
      </x:c>
      <x:c r="K124" t="str">
        <x:v>partial</x:v>
      </x:c>
      <x:c r="L124"/>
      <x:c r="M124" t="str">
        <x:v>sazali.mokhtar@petronas.com.my</x:v>
      </x:c>
      <x:c r="N124"/>
      <x:c r="O124"/>
      <x:c r="P124" t="str">
        <x:v>Cloud Repatriation - To decommission old resources in Singapore region due to completed migration in MY region</x:v>
      </x:c>
      <x:c r="Q124" t="str">
        <x:v>2W</x:v>
      </x:c>
      <x:c r="R124" t="str">
        <x:v>Cloud Migration</x:v>
      </x:c>
      <x:c r="S124"/>
      <x:c r="T124" t="str">
        <x:v>approved</x:v>
      </x:c>
      <x:c r="U124" t="str">
        <x:v>izdihar.roslan@petronas.com</x:v>
      </x:c>
      <x:c r="V124" t="n">
        <x:v>46077.01458782407</x:v>
      </x:c>
      <x:c r="W124" t="str">
        <x:v>Cloud Repatriation - To decommission old resources in Singapore region due to completed migration in MY region</x:v>
      </x:c>
      <x:c r="X124" t="str">
        <x:v>approved</x:v>
      </x:c>
      <x:c r="Y124" t="str">
        <x:v>sazali.mokhtar@petronas.com</x:v>
      </x:c>
      <x:c r="Z124" t="n">
        <x:v>46077.045545891204</x:v>
      </x:c>
      <x:c r="AA124" t="str">
        <x:v>Old resources in SG - Applications successfully migrated to MY.</x:v>
      </x:c>
      <x:c r="AB124" t="str">
        <x:v>approved</x:v>
      </x:c>
      <x:c r="AC124" t="str">
        <x:v>azwan.badari@petronas.com</x:v>
      </x:c>
      <x:c r="AD124" t="n">
        <x:v>46077.11887648148</x:v>
      </x:c>
      <x:c r="AE124" t="str">
        <x:v>Proceed</x:v>
      </x:c>
      <x:c r="AF124" t="str">
        <x:v>approved</x:v>
      </x:c>
      <x:c r="AG124" t="str">
        <x:v>azwan.badari@petronas.com</x:v>
      </x:c>
      <x:c r="AH124" t="n">
        <x:v>46079.220447962965</x:v>
      </x:c>
      <x:c r="AI124" t="str">
        <x:v>Completed</x:v>
      </x:c>
      <x:c r="AJ124" t="str">
        <x:v>A-000424</x:v>
      </x:c>
      <x:c r="AK124" t="str">
        <x:v>00915_93</x:v>
      </x:c>
      <x:c r="AL124" t="str">
        <x:v>M</x:v>
      </x:c>
      <x:c r="AM124" t="str">
        <x:v>REQ000007889241</x:v>
      </x:c>
      <x:c r="AN124" t="str">
        <x:v>noretention</x:v>
      </x:c>
      <x:c r="AO124" t="n">
        <x:v>0</x:v>
      </x:c>
      <x:c r="AP124" s="23" t="str">
        <x:f>IF(E124="processing",IF(Z124="","",IF(ISNUMBER(Z124),INT(Z124),DATE(VALUE(LEFT(Z124,4)),VALUE(MID(Z124,6,2)),VALUE(MID(Z124,9,2))))),IF(OR(E124="executing",E124="pending"),IF(AD124="","",IF(ISNUMBER(AD124),INT(AD124),DATE(VALUE(LEFT(AD124,4)),VALUE(MID(AD124,6,2)),VALUE(MID(AD124,9,2))))),""))</x:f>
      </x:c>
      <x:c r="AQ124" s="24" t="str">
        <x:f>IF(AP124="","",INT('Configuration'!$B$4)-AP124)</x:f>
      </x:c>
      <x:c r="AR124" s="25" t="str">
        <x:f>IF(AP124="","Missing Required Date",IF(AQ124&lt;0,"Future Date",IF(AQ124=0,"0 days",IF(AQ124&lt;=2,"1-2 days",IF(AQ124&lt;=7,"3-7 days",IF(AQ124&lt;=14,"8-14 days",IF(AQ124&lt;=30,"15-30 days",IF(AQ124&lt;=60,"31-60 days",IF(AQ124&lt;=70,"61-70 days","71+ days")))))))))</x:f>
        <x:v>Missing Required Date</x:v>
      </x:c>
      <x:c r="AS124" s="25" t="str">
        <x:f>IF(OR(E124="processing",E124="executing",E124="pending"),IF(AP124="","Required aging date missing",IF(AQ124&gt;30,"Escalate &gt;30d",IF(AQ124&gt;14,"Watch &gt;14d","Within 14d"))),"Out of scope")</x:f>
        <x:v>Out of scope</x:v>
      </x:c>
    </x:row>
    <x:row r="125" ht="24" customHeight="1">
      <x:c r="A125" t="str">
        <x:v>f25143e8-a18a-4de4-8dee-a45563e349c8</x:v>
      </x:c>
      <x:c r="B125" t="str">
        <x:v>CSSP10223994</x:v>
      </x:c>
      <x:c r="C125" t="str">
        <x:v>izdihar.roslan@petronas.com</x:v>
      </x:c>
      <x:c r="D125" t="str">
        <x:v>decommission-cloud</x:v>
      </x:c>
      <x:c r="E125" t="str">
        <x:v>completed</x:v>
      </x:c>
      <x:c r="F125" t="n">
        <x:v>46077.01539961805</x:v>
      </x:c>
      <x:c r="G125" t="n">
        <x:v>46079.220871481484</x:v>
      </x:c>
      <x:c r="H125" t="n">
        <x:v>46077.01539961805</x:v>
      </x:c>
      <x:c r="I125" t="str">
        <x:v>Lab Information Management System - LIMS MRCSB</x:v>
      </x:c>
      <x:c r="J125" t="str">
        <x:v>OCI MIGRATION - Integrated Lab Information System (MRCSB)</x:v>
      </x:c>
      <x:c r="K125" t="str">
        <x:v>partial</x:v>
      </x:c>
      <x:c r="L125"/>
      <x:c r="M125" t="str">
        <x:v>sazali.mokhtar@petronas.com.my</x:v>
      </x:c>
      <x:c r="N125"/>
      <x:c r="O125"/>
      <x:c r="P125" t="str">
        <x:v>Cloud Repatriation - To decommission old resources in Singapore region due to completed migration in MY region</x:v>
      </x:c>
      <x:c r="Q125" t="str">
        <x:v>2W</x:v>
      </x:c>
      <x:c r="R125" t="str">
        <x:v>Cloud Migration</x:v>
      </x:c>
      <x:c r="S125"/>
      <x:c r="T125" t="str">
        <x:v>approved</x:v>
      </x:c>
      <x:c r="U125" t="str">
        <x:v>izdihar.roslan@petronas.com</x:v>
      </x:c>
      <x:c r="V125" t="n">
        <x:v>46077.02018734954</x:v>
      </x:c>
      <x:c r="W125" t="str">
        <x:v>Cloud Repatriation - To decommission old resources in Singapore region due to completed migration in MY region</x:v>
      </x:c>
      <x:c r="X125" t="str">
        <x:v>approved</x:v>
      </x:c>
      <x:c r="Y125" t="str">
        <x:v>sazali.mokhtar@petronas.com</x:v>
      </x:c>
      <x:c r="Z125" t="n">
        <x:v>46077.04624270833</x:v>
      </x:c>
      <x:c r="AA125" t="str">
        <x:v>Old resources in SG - Applications successfully migrated to MY.
</x:v>
      </x:c>
      <x:c r="AB125" t="str">
        <x:v>approved</x:v>
      </x:c>
      <x:c r="AC125" t="str">
        <x:v>azwan.badari@petronas.com</x:v>
      </x:c>
      <x:c r="AD125" t="n">
        <x:v>46077.11910866898</x:v>
      </x:c>
      <x:c r="AE125" t="str">
        <x:v>Proceed</x:v>
      </x:c>
      <x:c r="AF125" t="str">
        <x:v>approved</x:v>
      </x:c>
      <x:c r="AG125" t="str">
        <x:v>azwan.badari@petronas.com</x:v>
      </x:c>
      <x:c r="AH125" t="n">
        <x:v>46079.220871481484</x:v>
      </x:c>
      <x:c r="AI125" t="str">
        <x:v>Completed</x:v>
      </x:c>
      <x:c r="AJ125" t="str">
        <x:v>A-000424</x:v>
      </x:c>
      <x:c r="AK125" t="str">
        <x:v>OCI-00017</x:v>
      </x:c>
      <x:c r="AL125" t="str">
        <x:v>M</x:v>
      </x:c>
      <x:c r="AM125" t="str">
        <x:v>REQ000007889242</x:v>
      </x:c>
      <x:c r="AN125" t="str">
        <x:v>noretention</x:v>
      </x:c>
      <x:c r="AO125" t="n">
        <x:v>0</x:v>
      </x:c>
      <x:c r="AP125" s="23" t="str">
        <x:f>IF(E125="processing",IF(Z125="","",IF(ISNUMBER(Z125),INT(Z125),DATE(VALUE(LEFT(Z125,4)),VALUE(MID(Z125,6,2)),VALUE(MID(Z125,9,2))))),IF(OR(E125="executing",E125="pending"),IF(AD125="","",IF(ISNUMBER(AD125),INT(AD125),DATE(VALUE(LEFT(AD125,4)),VALUE(MID(AD125,6,2)),VALUE(MID(AD125,9,2))))),""))</x:f>
      </x:c>
      <x:c r="AQ125" s="24" t="str">
        <x:f>IF(AP125="","",INT('Configuration'!$B$4)-AP125)</x:f>
      </x:c>
      <x:c r="AR125" s="25" t="str">
        <x:f>IF(AP125="","Missing Required Date",IF(AQ125&lt;0,"Future Date",IF(AQ125=0,"0 days",IF(AQ125&lt;=2,"1-2 days",IF(AQ125&lt;=7,"3-7 days",IF(AQ125&lt;=14,"8-14 days",IF(AQ125&lt;=30,"15-30 days",IF(AQ125&lt;=60,"31-60 days",IF(AQ125&lt;=70,"61-70 days","71+ days")))))))))</x:f>
        <x:v>Missing Required Date</x:v>
      </x:c>
      <x:c r="AS125" s="25" t="str">
        <x:f>IF(OR(E125="processing",E125="executing",E125="pending"),IF(AP125="","Required aging date missing",IF(AQ125&gt;30,"Escalate &gt;30d",IF(AQ125&gt;14,"Watch &gt;14d","Within 14d"))),"Out of scope")</x:f>
        <x:v>Out of scope</x:v>
      </x:c>
    </x:row>
    <x:row r="126" ht="24" customHeight="1">
      <x:c r="A126" t="str">
        <x:v>9c1f7e42-00f1-4054-8ce3-dbda16277e49</x:v>
      </x:c>
      <x:c r="B126" t="str">
        <x:v>CSSP10451863</x:v>
      </x:c>
      <x:c r="C126" t="str">
        <x:v>izdihar.roslan@petronas.com</x:v>
      </x:c>
      <x:c r="D126" t="str">
        <x:v>decommission-cloud</x:v>
      </x:c>
      <x:c r="E126" t="str">
        <x:v>completed</x:v>
      </x:c>
      <x:c r="F126" t="n">
        <x:v>46077.032693506946</x:v>
      </x:c>
      <x:c r="G126" t="n">
        <x:v>46080.060581261576</x:v>
      </x:c>
      <x:c r="H126" t="n">
        <x:v>46077.032693506946</x:v>
      </x:c>
      <x:c r="I126" t="str">
        <x:v>Lab Information Management System - LIMS PRSB</x:v>
      </x:c>
      <x:c r="J126" t="str">
        <x:v>OCI MIGRATION - Lab Information Management System (LIMS) for PRSB</x:v>
      </x:c>
      <x:c r="K126" t="str">
        <x:v>partial</x:v>
      </x:c>
      <x:c r="L126"/>
      <x:c r="M126" t="str">
        <x:v>sazali.mokhtar@petronas.com.my</x:v>
      </x:c>
      <x:c r="N126"/>
      <x:c r="O126"/>
      <x:c r="P126" t="str">
        <x:v>Cloud Repatriation - To decommission old resources in Singapore region due to completed migration in MY region</x:v>
      </x:c>
      <x:c r="Q126" t="str">
        <x:v>2W</x:v>
      </x:c>
      <x:c r="R126" t="str">
        <x:v>Cloud Migration</x:v>
      </x:c>
      <x:c r="S126"/>
      <x:c r="T126" t="str">
        <x:v>approved</x:v>
      </x:c>
      <x:c r="U126" t="str">
        <x:v>izdihar.roslan@petronas.com</x:v>
      </x:c>
      <x:c r="V126" t="n">
        <x:v>46077.034350625</x:v>
      </x:c>
      <x:c r="W126" t="str">
        <x:v>Cloud Repatriation - To decommission old resources in Singapore region due to completed migration in MY region</x:v>
      </x:c>
      <x:c r="X126" t="str">
        <x:v>approved</x:v>
      </x:c>
      <x:c r="Y126" t="str">
        <x:v>sazali.mokhtar@petronas.com</x:v>
      </x:c>
      <x:c r="Z126" t="n">
        <x:v>46077.048200509256</x:v>
      </x:c>
      <x:c r="AA126" t="str">
        <x:v>Old resources in SG - Applications successfully migrated to MY.
</x:v>
      </x:c>
      <x:c r="AB126" t="str">
        <x:v>approved</x:v>
      </x:c>
      <x:c r="AC126" t="str">
        <x:v>azwan.badari@petronas.com</x:v>
      </x:c>
      <x:c r="AD126" t="n">
        <x:v>46077.12382194444</x:v>
      </x:c>
      <x:c r="AE126" t="str">
        <x:v>Proceed</x:v>
      </x:c>
      <x:c r="AF126" t="str">
        <x:v>approved</x:v>
      </x:c>
      <x:c r="AG126" t="str">
        <x:v>azwan.badari@petronas.com</x:v>
      </x:c>
      <x:c r="AH126" t="n">
        <x:v>46080.060581273145</x:v>
      </x:c>
      <x:c r="AI126" t="str">
        <x:v>Completed</x:v>
      </x:c>
      <x:c r="AJ126" t="str">
        <x:v>A-000431</x:v>
      </x:c>
      <x:c r="AK126" t="str">
        <x:v>00915_92</x:v>
      </x:c>
      <x:c r="AL126" t="str">
        <x:v>M</x:v>
      </x:c>
      <x:c r="AM126" t="str">
        <x:v>REQ000007889248</x:v>
      </x:c>
      <x:c r="AN126" t="str">
        <x:v>noretention</x:v>
      </x:c>
      <x:c r="AO126" t="n">
        <x:v>0</x:v>
      </x:c>
      <x:c r="AP126" s="23" t="str">
        <x:f>IF(E126="processing",IF(Z126="","",IF(ISNUMBER(Z126),INT(Z126),DATE(VALUE(LEFT(Z126,4)),VALUE(MID(Z126,6,2)),VALUE(MID(Z126,9,2))))),IF(OR(E126="executing",E126="pending"),IF(AD126="","",IF(ISNUMBER(AD126),INT(AD126),DATE(VALUE(LEFT(AD126,4)),VALUE(MID(AD126,6,2)),VALUE(MID(AD126,9,2))))),""))</x:f>
      </x:c>
      <x:c r="AQ126" s="24" t="str">
        <x:f>IF(AP126="","",INT('Configuration'!$B$4)-AP126)</x:f>
      </x:c>
      <x:c r="AR126" s="25" t="str">
        <x:f>IF(AP126="","Missing Required Date",IF(AQ126&lt;0,"Future Date",IF(AQ126=0,"0 days",IF(AQ126&lt;=2,"1-2 days",IF(AQ126&lt;=7,"3-7 days",IF(AQ126&lt;=14,"8-14 days",IF(AQ126&lt;=30,"15-30 days",IF(AQ126&lt;=60,"31-60 days",IF(AQ126&lt;=70,"61-70 days","71+ days")))))))))</x:f>
        <x:v>Missing Required Date</x:v>
      </x:c>
      <x:c r="AS126" s="25" t="str">
        <x:f>IF(OR(E126="processing",E126="executing",E126="pending"),IF(AP126="","Required aging date missing",IF(AQ126&gt;30,"Escalate &gt;30d",IF(AQ126&gt;14,"Watch &gt;14d","Within 14d"))),"Out of scope")</x:f>
        <x:v>Out of scope</x:v>
      </x:c>
    </x:row>
    <x:row r="127" ht="24" customHeight="1">
      <x:c r="A127" t="str">
        <x:v>7be0516f-35a2-4781-9676-c3f3a461fab1</x:v>
      </x:c>
      <x:c r="B127" t="str">
        <x:v>CSSP10452749</x:v>
      </x:c>
      <x:c r="C127" t="str">
        <x:v>izdihar.roslan@petronas.com</x:v>
      </x:c>
      <x:c r="D127" t="str">
        <x:v>decommission-cloud</x:v>
      </x:c>
      <x:c r="E127" t="str">
        <x:v>completed</x:v>
      </x:c>
      <x:c r="F127" t="n">
        <x:v>46077.03655548611</x:v>
      </x:c>
      <x:c r="G127" t="n">
        <x:v>46080.0604246875</x:v>
      </x:c>
      <x:c r="H127" t="n">
        <x:v>46077.03655548611</x:v>
      </x:c>
      <x:c r="I127" t="str">
        <x:v>Lab Information Management System - LIMS PRSB</x:v>
      </x:c>
      <x:c r="J127" t="str">
        <x:v>OCI MIGRATION - Lab Information Management System (LIMS) for PRSB</x:v>
      </x:c>
      <x:c r="K127" t="str">
        <x:v>partial</x:v>
      </x:c>
      <x:c r="L127"/>
      <x:c r="M127" t="str">
        <x:v>sazali.mokhtar@petronas.com.my</x:v>
      </x:c>
      <x:c r="N127"/>
      <x:c r="O127"/>
      <x:c r="P127" t="str">
        <x:v>Cloud Repatriation - To decommission old resources in Singapore region due to completed migration in MY region</x:v>
      </x:c>
      <x:c r="Q127" t="str">
        <x:v>2W</x:v>
      </x:c>
      <x:c r="R127" t="str">
        <x:v>Cloud Migration</x:v>
      </x:c>
      <x:c r="S127"/>
      <x:c r="T127" t="str">
        <x:v>approved</x:v>
      </x:c>
      <x:c r="U127" t="str">
        <x:v>izdihar.roslan@petronas.com</x:v>
      </x:c>
      <x:c r="V127" t="n">
        <x:v>46077.03686375</x:v>
      </x:c>
      <x:c r="W127" t="str">
        <x:v>Cloud Repatriation - To decommission old resources in Singapore region due to completed migration in MY region</x:v>
      </x:c>
      <x:c r="X127" t="str">
        <x:v>approved</x:v>
      </x:c>
      <x:c r="Y127" t="str">
        <x:v>sazali.mokhtar@petronas.com</x:v>
      </x:c>
      <x:c r="Z127" t="n">
        <x:v>46077.04647238426</x:v>
      </x:c>
      <x:c r="AA127" t="str">
        <x:v>Old resources in SG - Applications successfully migrated to MY.
</x:v>
      </x:c>
      <x:c r="AB127" t="str">
        <x:v>approved</x:v>
      </x:c>
      <x:c r="AC127" t="str">
        <x:v>azwan.badari@petronas.com</x:v>
      </x:c>
      <x:c r="AD127" t="n">
        <x:v>46077.123501539354</x:v>
      </x:c>
      <x:c r="AE127" t="str">
        <x:v>Proceed</x:v>
      </x:c>
      <x:c r="AF127" t="str">
        <x:v>approved</x:v>
      </x:c>
      <x:c r="AG127" t="str">
        <x:v>azwan.badari@petronas.com</x:v>
      </x:c>
      <x:c r="AH127" t="n">
        <x:v>46080.06042469908</x:v>
      </x:c>
      <x:c r="AI127" t="str">
        <x:v>Completed</x:v>
      </x:c>
      <x:c r="AJ127" t="str">
        <x:v>A-000431</x:v>
      </x:c>
      <x:c r="AK127" t="str">
        <x:v>OCI-00020</x:v>
      </x:c>
      <x:c r="AL127" t="str">
        <x:v>M</x:v>
      </x:c>
      <x:c r="AM127" t="str">
        <x:v>REQ000007889247</x:v>
      </x:c>
      <x:c r="AN127" t="str">
        <x:v>noretention</x:v>
      </x:c>
      <x:c r="AO127" t="n">
        <x:v>0</x:v>
      </x:c>
      <x:c r="AP127" s="23" t="str">
        <x:f>IF(E127="processing",IF(Z127="","",IF(ISNUMBER(Z127),INT(Z127),DATE(VALUE(LEFT(Z127,4)),VALUE(MID(Z127,6,2)),VALUE(MID(Z127,9,2))))),IF(OR(E127="executing",E127="pending"),IF(AD127="","",IF(ISNUMBER(AD127),INT(AD127),DATE(VALUE(LEFT(AD127,4)),VALUE(MID(AD127,6,2)),VALUE(MID(AD127,9,2))))),""))</x:f>
      </x:c>
      <x:c r="AQ127" s="24" t="str">
        <x:f>IF(AP127="","",INT('Configuration'!$B$4)-AP127)</x:f>
      </x:c>
      <x:c r="AR127" s="25" t="str">
        <x:f>IF(AP127="","Missing Required Date",IF(AQ127&lt;0,"Future Date",IF(AQ127=0,"0 days",IF(AQ127&lt;=2,"1-2 days",IF(AQ127&lt;=7,"3-7 days",IF(AQ127&lt;=14,"8-14 days",IF(AQ127&lt;=30,"15-30 days",IF(AQ127&lt;=60,"31-60 days",IF(AQ127&lt;=70,"61-70 days","71+ days")))))))))</x:f>
        <x:v>Missing Required Date</x:v>
      </x:c>
      <x:c r="AS127" s="25" t="str">
        <x:f>IF(OR(E127="processing",E127="executing",E127="pending"),IF(AP127="","Required aging date missing",IF(AQ127&gt;30,"Escalate &gt;30d",IF(AQ127&gt;14,"Watch &gt;14d","Within 14d"))),"Out of scope")</x:f>
        <x:v>Out of scope</x:v>
      </x:c>
    </x:row>
    <x:row r="128" ht="24" customHeight="1">
      <x:c r="A128" t="str">
        <x:v>bc4071a9-0344-4fe0-bd07-c41612075aef</x:v>
      </x:c>
      <x:c r="B128" t="str">
        <x:v>CSSP10542876</x:v>
      </x:c>
      <x:c r="C128" t="str">
        <x:v>nurainhayati.zahari@petronas.com</x:v>
      </x:c>
      <x:c r="D128" t="str">
        <x:v>decommission-cloud</x:v>
      </x:c>
      <x:c r="E128" t="str">
        <x:v>completed</x:v>
      </x:c>
      <x:c r="F128" t="n">
        <x:v>46077.05710268518</x:v>
      </x:c>
      <x:c r="G128" t="n">
        <x:v>46083.1337212037</x:v>
      </x:c>
      <x:c r="H128" t="n">
        <x:v>46077.05710268518</x:v>
      </x:c>
      <x:c r="I128" t="str">
        <x:v>Regas Management System - RMS</x:v>
      </x:c>
      <x:c r="J128" t="str">
        <x:v>Regas Management System (RMS) 2.0 for RGTSU</x:v>
      </x:c>
      <x:c r="K128" t="str">
        <x:v>partial</x:v>
      </x:c>
      <x:c r="L128" t="str">
        <x:v>-</x:v>
      </x:c>
      <x:c r="M128" t="str">
        <x:v>sazali.mokhtar@petronas.com.my</x:v>
      </x:c>
      <x:c r="N128"/>
      <x:c r="O128"/>
      <x:c r="P128" t="str">
        <x:v>Cloud Repatriation - To decommission old resources in Singapore region due to completed migration in MY region </x:v>
      </x:c>
      <x:c r="Q128" t="str">
        <x:v>2W</x:v>
      </x:c>
      <x:c r="R128" t="str">
        <x:v>Cloud Migration</x:v>
      </x:c>
      <x:c r="S128"/>
      <x:c r="T128" t="str">
        <x:v>approved</x:v>
      </x:c>
      <x:c r="U128" t="str">
        <x:v>nurainhayati.zahari@petronas.com</x:v>
      </x:c>
      <x:c r="V128" t="n">
        <x:v>46077.06145837963</x:v>
      </x:c>
      <x:c r="W128" t="str">
        <x:v>Cloud Repatriation - To decommission old resources in Singapore region due to completed migration in MY region</x:v>
      </x:c>
      <x:c r="X128" t="str">
        <x:v>approved</x:v>
      </x:c>
      <x:c r="Y128" t="str">
        <x:v>sazali.mokhtar@petronas.com</x:v>
      </x:c>
      <x:c r="Z128" t="n">
        <x:v>46077.091268414355</x:v>
      </x:c>
      <x:c r="AA128" t="str">
        <x:v>Old resources in SG - Applications successfully migrated to MY.
</x:v>
      </x:c>
      <x:c r="AB128" t="str">
        <x:v>approved</x:v>
      </x:c>
      <x:c r="AC128" t="str">
        <x:v>azwan.badari@petronas.com</x:v>
      </x:c>
      <x:c r="AD128" t="n">
        <x:v>46077.1331612963</x:v>
      </x:c>
      <x:c r="AE128" t="str">
        <x:v>Proceed</x:v>
      </x:c>
      <x:c r="AF128" t="str">
        <x:v>approved</x:v>
      </x:c>
      <x:c r="AG128" t="str">
        <x:v>azwan.badari@petronas.com</x:v>
      </x:c>
      <x:c r="AH128" t="n">
        <x:v>46083.1337212037</x:v>
      </x:c>
      <x:c r="AI128" t="str">
        <x:v>Completed</x:v>
      </x:c>
      <x:c r="AJ128" t="str">
        <x:v>A-000692</x:v>
      </x:c>
      <x:c r="AK128" t="n">
        <x:v>3991</x:v>
      </x:c>
      <x:c r="AL128" t="str">
        <x:v>M</x:v>
      </x:c>
      <x:c r="AM128" t="str">
        <x:v>REQ000007889252</x:v>
      </x:c>
      <x:c r="AN128" t="str">
        <x:v>noretention</x:v>
      </x:c>
      <x:c r="AO128" t="n">
        <x:v>0</x:v>
      </x:c>
      <x:c r="AP128" s="23" t="str">
        <x:f>IF(E128="processing",IF(Z128="","",IF(ISNUMBER(Z128),INT(Z128),DATE(VALUE(LEFT(Z128,4)),VALUE(MID(Z128,6,2)),VALUE(MID(Z128,9,2))))),IF(OR(E128="executing",E128="pending"),IF(AD128="","",IF(ISNUMBER(AD128),INT(AD128),DATE(VALUE(LEFT(AD128,4)),VALUE(MID(AD128,6,2)),VALUE(MID(AD128,9,2))))),""))</x:f>
      </x:c>
      <x:c r="AQ128" s="24" t="str">
        <x:f>IF(AP128="","",INT('Configuration'!$B$4)-AP128)</x:f>
      </x:c>
      <x:c r="AR128" s="25" t="str">
        <x:f>IF(AP128="","Missing Required Date",IF(AQ128&lt;0,"Future Date",IF(AQ128=0,"0 days",IF(AQ128&lt;=2,"1-2 days",IF(AQ128&lt;=7,"3-7 days",IF(AQ128&lt;=14,"8-14 days",IF(AQ128&lt;=30,"15-30 days",IF(AQ128&lt;=60,"31-60 days",IF(AQ128&lt;=70,"61-70 days","71+ days")))))))))</x:f>
        <x:v>Missing Required Date</x:v>
      </x:c>
      <x:c r="AS128" s="25" t="str">
        <x:f>IF(OR(E128="processing",E128="executing",E128="pending"),IF(AP128="","Required aging date missing",IF(AQ128&gt;30,"Escalate &gt;30d",IF(AQ128&gt;14,"Watch &gt;14d","Within 14d"))),"Out of scope")</x:f>
        <x:v>Out of scope</x:v>
      </x:c>
    </x:row>
    <x:row r="129" ht="24" customHeight="1">
      <x:c r="A129" t="str">
        <x:v>adf27da8-9b51-4185-86b1-94c5ae38b69a</x:v>
      </x:c>
      <x:c r="B129" t="str">
        <x:v>CSSP10301277</x:v>
      </x:c>
      <x:c r="C129" t="str">
        <x:v>haslina.hashim@petronas.com</x:v>
      </x:c>
      <x:c r="D129" t="str">
        <x:v>decommission-cloud</x:v>
      </x:c>
      <x:c r="E129" t="str">
        <x:v>completed</x:v>
      </x:c>
      <x:c r="F129" t="n">
        <x:v>46077.05950728009</x:v>
      </x:c>
      <x:c r="G129" t="n">
        <x:v>46079.13513849537</x:v>
      </x:c>
      <x:c r="H129" t="n">
        <x:v>46077.05950728009</x:v>
      </x:c>
      <x:c r="I129" t="str">
        <x:v>Corrective Action Key to No Accident - iCAKNA</x:v>
      </x:c>
      <x:c r="J129" t="str">
        <x:v>OCI MIGRATION - ICAKNA</x:v>
      </x:c>
      <x:c r="K129" t="str">
        <x:v>partial</x:v>
      </x:c>
      <x:c r="L129"/>
      <x:c r="M129" t="str">
        <x:v>sazali.mokhtar@petronas.com</x:v>
      </x:c>
      <x:c r="N129"/>
      <x:c r="O129"/>
      <x:c r="P129" t="str">
        <x:v>Cloud Repatriation - To decommission old resources in Singapore region due to completed migration in MY region</x:v>
      </x:c>
      <x:c r="Q129" t="str">
        <x:v>2W</x:v>
      </x:c>
      <x:c r="R129" t="str">
        <x:v>Cloud Migration</x:v>
      </x:c>
      <x:c r="S129"/>
      <x:c r="T129" t="str">
        <x:v>approved</x:v>
      </x:c>
      <x:c r="U129" t="str">
        <x:v>haslina.hashim@petronas.com</x:v>
      </x:c>
      <x:c r="V129" t="n">
        <x:v>46077.06008969907</x:v>
      </x:c>
      <x:c r="W129" t="str">
        <x:v>Please proceed as attached</x:v>
      </x:c>
      <x:c r="X129" t="str">
        <x:v>approved</x:v>
      </x:c>
      <x:c r="Y129" t="str">
        <x:v>sazali.mokhtar@petronas.com</x:v>
      </x:c>
      <x:c r="Z129" t="n">
        <x:v>46077.090879421296</x:v>
      </x:c>
      <x:c r="AA129" t="str">
        <x:v>Old resources in SG - Applications successfully migrated to MY.
</x:v>
      </x:c>
      <x:c r="AB129" t="str">
        <x:v>approved</x:v>
      </x:c>
      <x:c r="AC129" t="str">
        <x:v>azwan.badari@petronas.com</x:v>
      </x:c>
      <x:c r="AD129" t="n">
        <x:v>46077.13298048611</x:v>
      </x:c>
      <x:c r="AE129" t="str">
        <x:v>Proceed</x:v>
      </x:c>
      <x:c r="AF129" t="str">
        <x:v>approved</x:v>
      </x:c>
      <x:c r="AG129" t="str">
        <x:v>azwan.badari@petronas.com</x:v>
      </x:c>
      <x:c r="AH129" t="n">
        <x:v>46079.13513849537</x:v>
      </x:c>
      <x:c r="AI129" t="str">
        <x:v>Completed</x:v>
      </x:c>
      <x:c r="AJ129" t="str">
        <x:v>A-000364</x:v>
      </x:c>
      <x:c r="AK129" t="str">
        <x:v>OCI-00005</x:v>
      </x:c>
      <x:c r="AL129" t="str">
        <x:v>M</x:v>
      </x:c>
      <x:c r="AM129" t="str">
        <x:v>REQ000007889819</x:v>
      </x:c>
      <x:c r="AN129" t="str">
        <x:v>noretention</x:v>
      </x:c>
      <x:c r="AO129" t="n">
        <x:v>0</x:v>
      </x:c>
      <x:c r="AP129" s="23" t="str">
        <x:f>IF(E129="processing",IF(Z129="","",IF(ISNUMBER(Z129),INT(Z129),DATE(VALUE(LEFT(Z129,4)),VALUE(MID(Z129,6,2)),VALUE(MID(Z129,9,2))))),IF(OR(E129="executing",E129="pending"),IF(AD129="","",IF(ISNUMBER(AD129),INT(AD129),DATE(VALUE(LEFT(AD129,4)),VALUE(MID(AD129,6,2)),VALUE(MID(AD129,9,2))))),""))</x:f>
      </x:c>
      <x:c r="AQ129" s="24" t="str">
        <x:f>IF(AP129="","",INT('Configuration'!$B$4)-AP129)</x:f>
      </x:c>
      <x:c r="AR129" s="25" t="str">
        <x:f>IF(AP129="","Missing Required Date",IF(AQ129&lt;0,"Future Date",IF(AQ129=0,"0 days",IF(AQ129&lt;=2,"1-2 days",IF(AQ129&lt;=7,"3-7 days",IF(AQ129&lt;=14,"8-14 days",IF(AQ129&lt;=30,"15-30 days",IF(AQ129&lt;=60,"31-60 days",IF(AQ129&lt;=70,"61-70 days","71+ days")))))))))</x:f>
        <x:v>Missing Required Date</x:v>
      </x:c>
      <x:c r="AS129" s="25" t="str">
        <x:f>IF(OR(E129="processing",E129="executing",E129="pending"),IF(AP129="","Required aging date missing",IF(AQ129&gt;30,"Escalate &gt;30d",IF(AQ129&gt;14,"Watch &gt;14d","Within 14d"))),"Out of scope")</x:f>
        <x:v>Out of scope</x:v>
      </x:c>
    </x:row>
    <x:row r="130" ht="24" customHeight="1">
      <x:c r="A130" t="str">
        <x:v>d8f705b2-6e8f-49f6-8dd8-ae6d5e43e2ed</x:v>
      </x:c>
      <x:c r="B130" t="str">
        <x:v>CSSP10953444</x:v>
      </x:c>
      <x:c r="C130" t="str">
        <x:v>azrin.azizan@petronas.com</x:v>
      </x:c>
      <x:c r="D130" t="str">
        <x:v>decommission-cloud</x:v>
      </x:c>
      <x:c r="E130" t="str">
        <x:v>completed</x:v>
      </x:c>
      <x:c r="F130" t="n">
        <x:v>46078.056057905094</x:v>
      </x:c>
      <x:c r="G130" t="n">
        <x:v>46083.37464863426</x:v>
      </x:c>
      <x:c r="H130" t="n">
        <x:v>46078.056057905094</x:v>
      </x:c>
      <x:c r="I130" t="str">
        <x:v>M365 SharePoint - SPO</x:v>
      </x:c>
      <x:c r="J130" t="str">
        <x:v>Cloud Migration Program - Migration SharePoint 2013 to SharePoint 2019</x:v>
      </x:c>
      <x:c r="K130" t="str">
        <x:v>partial</x:v>
      </x:c>
      <x:c r="L130"/>
      <x:c r="M130" t="str">
        <x:v>nshahidahothman@petronas.com.my</x:v>
      </x:c>
      <x:c r="N130" t="str">
        <x:v>NA</x:v>
      </x:c>
      <x:c r="O130"/>
      <x:c r="P130" t="str">
        <x:v>The Application within these resources/servers already decommission in Dec 2025. We want to proceed with the resources decommission for SP2019 farm.</x:v>
      </x:c>
      <x:c r="Q130" t="str">
        <x:v>2W</x:v>
      </x:c>
      <x:c r="R130" t="str">
        <x:v>Cloud Migration</x:v>
      </x:c>
      <x:c r="S130"/>
      <x:c r="T130" t="str">
        <x:v>approved</x:v>
      </x:c>
      <x:c r="U130" t="str">
        <x:v>azrin.azizan@petronas.com</x:v>
      </x:c>
      <x:c r="V130" t="n">
        <x:v>46078.071023668985</x:v>
      </x:c>
      <x:c r="W130" t="str">
        <x:v>All selected resource was confirmed to decommission since there is no application within the server anymore. </x:v>
      </x:c>
      <x:c r="X130" t="str">
        <x:v>approved</x:v>
      </x:c>
      <x:c r="Y130" t="str">
        <x:v>nshahidahothman@petronas.com</x:v>
      </x:c>
      <x:c r="Z130" t="n">
        <x:v>46078.24961385417</x:v>
      </x:c>
      <x:c r="AA130" t="str">
        <x:v>proceed</x:v>
      </x:c>
      <x:c r="AB130" t="str">
        <x:v>approved</x:v>
      </x:c>
      <x:c r="AC130" t="str">
        <x:v>azwan.badari@petronas.com</x:v>
      </x:c>
      <x:c r="AD130" t="n">
        <x:v>46079.046590729165</x:v>
      </x:c>
      <x:c r="AE130" t="str">
        <x:v>Decommission listed resources</x:v>
      </x:c>
      <x:c r="AF130" t="str">
        <x:v>approved</x:v>
      </x:c>
      <x:c r="AG130" t="str">
        <x:v>azlisham.md@petronas.com</x:v>
      </x:c>
      <x:c r="AH130" t="n">
        <x:v>46083.37464863426</x:v>
      </x:c>
      <x:c r="AI130" t="str">
        <x:v>The decommission request has been completed, and the status is now updated accordingly. Kindly verify from your end and confirm once reviewed.
</x:v>
      </x:c>
      <x:c r="AJ130" t="str">
        <x:v>A-000449</x:v>
      </x:c>
      <x:c r="AK130" t="str">
        <x:v>00915_1</x:v>
      </x:c>
      <x:c r="AL130" t="str">
        <x:v>L</x:v>
      </x:c>
      <x:c r="AM130" t="str">
        <x:v>REQ000007894394</x:v>
      </x:c>
      <x:c r="AN130" t="str">
        <x:v>retention</x:v>
      </x:c>
      <x:c r="AO130" t="n">
        <x:v>14</x:v>
      </x:c>
      <x:c r="AP130" s="23" t="str">
        <x:f>IF(E130="processing",IF(Z130="","",IF(ISNUMBER(Z130),INT(Z130),DATE(VALUE(LEFT(Z130,4)),VALUE(MID(Z130,6,2)),VALUE(MID(Z130,9,2))))),IF(OR(E130="executing",E130="pending"),IF(AD130="","",IF(ISNUMBER(AD130),INT(AD130),DATE(VALUE(LEFT(AD130,4)),VALUE(MID(AD130,6,2)),VALUE(MID(AD130,9,2))))),""))</x:f>
      </x:c>
      <x:c r="AQ130" s="24" t="str">
        <x:f>IF(AP130="","",INT('Configuration'!$B$4)-AP130)</x:f>
      </x:c>
      <x:c r="AR130" s="25" t="str">
        <x:f>IF(AP130="","Missing Required Date",IF(AQ130&lt;0,"Future Date",IF(AQ130=0,"0 days",IF(AQ130&lt;=2,"1-2 days",IF(AQ130&lt;=7,"3-7 days",IF(AQ130&lt;=14,"8-14 days",IF(AQ130&lt;=30,"15-30 days",IF(AQ130&lt;=60,"31-60 days",IF(AQ130&lt;=70,"61-70 days","71+ days")))))))))</x:f>
        <x:v>Missing Required Date</x:v>
      </x:c>
      <x:c r="AS130" s="25" t="str">
        <x:f>IF(OR(E130="processing",E130="executing",E130="pending"),IF(AP130="","Required aging date missing",IF(AQ130&gt;30,"Escalate &gt;30d",IF(AQ130&gt;14,"Watch &gt;14d","Within 14d"))),"Out of scope")</x:f>
        <x:v>Out of scope</x:v>
      </x:c>
    </x:row>
    <x:row r="131" ht="24" customHeight="1">
      <x:c r="A131" t="str">
        <x:v>5b80ce02-9b7b-44df-9c5d-6afe46f80060</x:v>
      </x:c>
      <x:c r="B131" t="str">
        <x:v>CSSP10460886</x:v>
      </x:c>
      <x:c r="C131" t="str">
        <x:v>yuslinda.mustapha@petronas.com</x:v>
      </x:c>
      <x:c r="D131" t="str">
        <x:v>decommission-cloud</x:v>
      </x:c>
      <x:c r="E131" t="str">
        <x:v>completed</x:v>
      </x:c>
      <x:c r="F131" t="n">
        <x:v>46078.057535625</x:v>
      </x:c>
      <x:c r="G131" t="n">
        <x:v>46092.39996355324</x:v>
      </x:c>
      <x:c r="H131" t="n">
        <x:v>46078.057535625</x:v>
      </x:c>
      <x:c r="I131" t="str">
        <x:v>Eticketing system</x:v>
      </x:c>
      <x:c r="J131" t="str">
        <x:v>Cloud Migration Program - eticketing system</x:v>
      </x:c>
      <x:c r="K131" t="str">
        <x:v>partial</x:v>
      </x:c>
      <x:c r="L131"/>
      <x:c r="M131" t="str">
        <x:v>faizalakhtar.abdulla@petronas.com.my</x:v>
      </x:c>
      <x:c r="N131"/>
      <x:c r="O131"/>
      <x:c r="P131" t="str">
        <x:v> DPIA Remediation to decomm etsdstrglrs
 </x:v>
      </x:c>
      <x:c r="Q131" t="str">
        <x:v>2W</x:v>
      </x:c>
      <x:c r="R131" t="str">
        <x:v>Not in Used</x:v>
      </x:c>
      <x:c r="S131"/>
      <x:c r="T131" t="str">
        <x:v>approved</x:v>
      </x:c>
      <x:c r="U131" t="str">
        <x:v>yuslinda.mustapha@petronas.com</x:v>
      </x:c>
      <x:c r="V131" t="n">
        <x:v>46078.05850105324</x:v>
      </x:c>
      <x:c r="W131" t="str">
        <x:v>Kindly approve of DPIA remediation to decomm etsdstrglrs</x:v>
      </x:c>
      <x:c r="X131" t="str">
        <x:v>approved</x:v>
      </x:c>
      <x:c r="Y131" t="str">
        <x:v>faizalakhtar.abdulla@petronas.com</x:v>
      </x:c>
      <x:c r="Z131" t="n">
        <x:v>46078.13609140046</x:v>
      </x:c>
      <x:c r="AA131" t="str">
        <x:v>The etsdstrglrs is currently inactive and not used by the vendor; hence, it is recommended for decommissioning.</x:v>
      </x:c>
      <x:c r="AB131" t="str">
        <x:v>approved</x:v>
      </x:c>
      <x:c r="AC131" t="str">
        <x:v>azwan.badari@petronas.com</x:v>
      </x:c>
      <x:c r="AD131" t="n">
        <x:v>46079.041961041665</x:v>
      </x:c>
      <x:c r="AE131" t="str">
        <x:v>Decommission storage account etsdstrglrs</x:v>
      </x:c>
      <x:c r="AF131" t="str">
        <x:v>approved</x:v>
      </x:c>
      <x:c r="AG131" t="str">
        <x:v>abdullah.haziq@petronas.com</x:v>
      </x:c>
      <x:c r="AH131" t="n">
        <x:v>46092.399963564814</x:v>
      </x:c>
      <x:c r="AI131" t="str">
        <x:v>completed</x:v>
      </x:c>
      <x:c r="AJ131" t="str">
        <x:v>A-000310</x:v>
      </x:c>
      <x:c r="AK131" t="str">
        <x:v>02421_78</x:v>
      </x:c>
      <x:c r="AL131" t="str">
        <x:v>S</x:v>
      </x:c>
      <x:c r="AM131" t="str">
        <x:v>REQ000007894758</x:v>
      </x:c>
      <x:c r="AN131" t="str">
        <x:v>noretention</x:v>
      </x:c>
      <x:c r="AO131" t="n">
        <x:v>0</x:v>
      </x:c>
      <x:c r="AP131" s="23" t="str">
        <x:f>IF(E131="processing",IF(Z131="","",IF(ISNUMBER(Z131),INT(Z131),DATE(VALUE(LEFT(Z131,4)),VALUE(MID(Z131,6,2)),VALUE(MID(Z131,9,2))))),IF(OR(E131="executing",E131="pending"),IF(AD131="","",IF(ISNUMBER(AD131),INT(AD131),DATE(VALUE(LEFT(AD131,4)),VALUE(MID(AD131,6,2)),VALUE(MID(AD131,9,2))))),""))</x:f>
      </x:c>
      <x:c r="AQ131" s="24" t="str">
        <x:f>IF(AP131="","",INT('Configuration'!$B$4)-AP131)</x:f>
      </x:c>
      <x:c r="AR131" s="25" t="str">
        <x:f>IF(AP131="","Missing Required Date",IF(AQ131&lt;0,"Future Date",IF(AQ131=0,"0 days",IF(AQ131&lt;=2,"1-2 days",IF(AQ131&lt;=7,"3-7 days",IF(AQ131&lt;=14,"8-14 days",IF(AQ131&lt;=30,"15-30 days",IF(AQ131&lt;=60,"31-60 days",IF(AQ131&lt;=70,"61-70 days","71+ days")))))))))</x:f>
        <x:v>Missing Required Date</x:v>
      </x:c>
      <x:c r="AS131" s="25" t="str">
        <x:f>IF(OR(E131="processing",E131="executing",E131="pending"),IF(AP131="","Required aging date missing",IF(AQ131&gt;30,"Escalate &gt;30d",IF(AQ131&gt;14,"Watch &gt;14d","Within 14d"))),"Out of scope")</x:f>
        <x:v>Out of scope</x:v>
      </x:c>
    </x:row>
    <x:row r="132" ht="24" customHeight="1">
      <x:c r="A132" t="str">
        <x:v>63795a02-cc7c-47b3-b79e-12cf67d7e97d</x:v>
      </x:c>
      <x:c r="B132" t="str">
        <x:v>CSSP10743566</x:v>
      </x:c>
      <x:c r="C132" t="str">
        <x:v>mfaris.abubakar@petronas.com</x:v>
      </x:c>
      <x:c r="D132" t="str">
        <x:v>decommission-cloud</x:v>
      </x:c>
      <x:c r="E132" t="str">
        <x:v>completed</x:v>
      </x:c>
      <x:c r="F132" t="n">
        <x:v>46078.16580927083</x:v>
      </x:c>
      <x:c r="G132" t="n">
        <x:v>46092.40060891204</x:v>
      </x:c>
      <x:c r="H132" t="n">
        <x:v>46078.16580928241</x:v>
      </x:c>
      <x:c r="I132" t="str">
        <x:v>M365 Provisioning Engine - PE</x:v>
      </x:c>
      <x:c r="J132" t="str">
        <x:v>M365 - WS7- Connect Workplace: Self Provisioning (Modern Workplace Provisioning Engine)</x:v>
      </x:c>
      <x:c r="K132" t="str">
        <x:v>partial</x:v>
      </x:c>
      <x:c r="L132"/>
      <x:c r="M132" t="str">
        <x:v>nshahidahothman@petronas.com.my</x:v>
      </x:c>
      <x:c r="N132"/>
      <x:c r="O132"/>
      <x:c r="P132" t="str">
        <x:v>not in used</x:v>
      </x:c>
      <x:c r="Q132" t="str">
        <x:v>2W</x:v>
      </x:c>
      <x:c r="R132" t="str">
        <x:v>Not in Used</x:v>
      </x:c>
      <x:c r="S132"/>
      <x:c r="T132" t="str">
        <x:v>approved</x:v>
      </x:c>
      <x:c r="U132" t="str">
        <x:v>mfaris.abubakar@petronas.com</x:v>
      </x:c>
      <x:c r="V132" t="n">
        <x:v>46078.20165563657</x:v>
      </x:c>
      <x:c r="W132" t="str">
        <x:v>Resource Group not in used:
PTAZSG-DEV-M365-PE-RG
PTAZSG-UAT-M365-PE-RG</x:v>
      </x:c>
      <x:c r="X132" t="str">
        <x:v>approved</x:v>
      </x:c>
      <x:c r="Y132" t="str">
        <x:v>nshahidahothman@petronas.com</x:v>
      </x:c>
      <x:c r="Z132" t="n">
        <x:v>46078.25078765046</x:v>
      </x:c>
      <x:c r="AA132" t="str">
        <x:v>proceed</x:v>
      </x:c>
      <x:c r="AB132" t="str">
        <x:v>approved</x:v>
      </x:c>
      <x:c r="AC132" t="str">
        <x:v>azwan.badari@petronas.com</x:v>
      </x:c>
      <x:c r="AD132" t="n">
        <x:v>46079.047367210645</x:v>
      </x:c>
      <x:c r="AE132" t="str">
        <x:v>Decommission listed resources</x:v>
      </x:c>
      <x:c r="AF132" t="str">
        <x:v>approved</x:v>
      </x:c>
      <x:c r="AG132" t="str">
        <x:v>abdullah.haziq@petronas.com</x:v>
      </x:c>
      <x:c r="AH132" t="n">
        <x:v>46092.40060892361</x:v>
      </x:c>
      <x:c r="AI132" t="str">
        <x:v>Completed deleted. except disk 2 below as the VM is not selected to be delete.
ptsg-4peap01_osdisk_1_7e9c81932348432f88ee3363bcdd5c01 
ptsg-5peap01_osdisk_1_b2a8eb8c92eb4948bcd89c471fa7cff8</x:v>
      </x:c>
      <x:c r="AJ132" t="str">
        <x:v>A-000446</x:v>
      </x:c>
      <x:c r="AK132" t="str">
        <x:v>00916_1</x:v>
      </x:c>
      <x:c r="AL132" t="str">
        <x:v>M</x:v>
      </x:c>
      <x:c r="AM132" t="str">
        <x:v>REQ000007894396</x:v>
      </x:c>
      <x:c r="AN132" t="str">
        <x:v>noretention</x:v>
      </x:c>
      <x:c r="AO132" t="n">
        <x:v>0</x:v>
      </x:c>
      <x:c r="AP132" s="23" t="str">
        <x:f>IF(E132="processing",IF(Z132="","",IF(ISNUMBER(Z132),INT(Z132),DATE(VALUE(LEFT(Z132,4)),VALUE(MID(Z132,6,2)),VALUE(MID(Z132,9,2))))),IF(OR(E132="executing",E132="pending"),IF(AD132="","",IF(ISNUMBER(AD132),INT(AD132),DATE(VALUE(LEFT(AD132,4)),VALUE(MID(AD132,6,2)),VALUE(MID(AD132,9,2))))),""))</x:f>
      </x:c>
      <x:c r="AQ132" s="24" t="str">
        <x:f>IF(AP132="","",INT('Configuration'!$B$4)-AP132)</x:f>
      </x:c>
      <x:c r="AR132" s="25" t="str">
        <x:f>IF(AP132="","Missing Required Date",IF(AQ132&lt;0,"Future Date",IF(AQ132=0,"0 days",IF(AQ132&lt;=2,"1-2 days",IF(AQ132&lt;=7,"3-7 days",IF(AQ132&lt;=14,"8-14 days",IF(AQ132&lt;=30,"15-30 days",IF(AQ132&lt;=60,"31-60 days",IF(AQ132&lt;=70,"61-70 days","71+ days")))))))))</x:f>
        <x:v>Missing Required Date</x:v>
      </x:c>
      <x:c r="AS132" s="25" t="str">
        <x:f>IF(OR(E132="processing",E132="executing",E132="pending"),IF(AP132="","Required aging date missing",IF(AQ132&gt;30,"Escalate &gt;30d",IF(AQ132&gt;14,"Watch &gt;14d","Within 14d"))),"Out of scope")</x:f>
        <x:v>Out of scope</x:v>
      </x:c>
    </x:row>
    <x:row r="133" ht="24" customHeight="1">
      <x:c r="A133" t="str">
        <x:v>d2475fce-5264-4565-9016-0c2c01261da6</x:v>
      </x:c>
      <x:c r="B133" t="str">
        <x:v>CSSP10700193</x:v>
      </x:c>
      <x:c r="C133" t="str">
        <x:v>sitizuraidah.mramli@petronas.com</x:v>
      </x:c>
      <x:c r="D133" t="str">
        <x:v>decommission-cloud</x:v>
      </x:c>
      <x:c r="E133" t="str">
        <x:v>completed</x:v>
      </x:c>
      <x:c r="F133" t="n">
        <x:v>46079.34474086806</x:v>
      </x:c>
      <x:c r="G133" t="n">
        <x:v>46093.271410127316</x:v>
      </x:c>
      <x:c r="H133" t="n">
        <x:v>46080.088985</x:v>
      </x:c>
      <x:c r="I133" t="str">
        <x:v>Enterprise Service Management - ESM</x:v>
      </x:c>
      <x:c r="J133" t="str">
        <x:v>Cloud Migration Program - Enterprise Service Management</x:v>
      </x:c>
      <x:c r="K133" t="str">
        <x:v>full</x:v>
      </x:c>
      <x:c r="L133" t="str">
        <x:v>DCOM202602257c6</x:v>
      </x:c>
      <x:c r="M133" t="str">
        <x:v>norazmanz@petronas.com.my</x:v>
      </x:c>
      <x:c r="N133" t="str">
        <x:v>agent.picssc.petronas.com, system.picssc.petronas.com, picssc.petronas.com, servicebroker.picssc.petronas.com, report.picssc.petronas.com, login.picssc.petronas.com</x:v>
      </x:c>
      <x:c r="O133"/>
      <x:c r="P133" t="str">
        <x:v>No longer in used and no backup is required as the required reports have already been extracted and stored in the PRPC repository. </x:v>
      </x:c>
      <x:c r="Q133" t="str">
        <x:v>2W</x:v>
      </x:c>
      <x:c r="R133" t="str">
        <x:v>Not in Used</x:v>
      </x:c>
      <x:c r="S133"/>
      <x:c r="T133" t="str">
        <x:v>approved</x:v>
      </x:c>
      <x:c r="U133" t="str">
        <x:v>sitizuraidah.mramli@petronas.com</x:v>
      </x:c>
      <x:c r="V133" t="n">
        <x:v>46080.112799016206</x:v>
      </x:c>
      <x:c r="W133" t="str">
        <x:v>All good. Pls proceed to decomm. Thanks</x:v>
      </x:c>
      <x:c r="X133" t="str">
        <x:v>approved</x:v>
      </x:c>
      <x:c r="Y133" t="str">
        <x:v>norazmanz@petronas.com</x:v>
      </x:c>
      <x:c r="Z133" t="n">
        <x:v>46084.26205572917</x:v>
      </x:c>
      <x:c r="AA133" t="str">
        <x:v>Proceed as per plan</x:v>
      </x:c>
      <x:c r="AB133" t="str">
        <x:v>approved</x:v>
      </x:c>
      <x:c r="AC133" t="str">
        <x:v>azwan.badari@petronas.com</x:v>
      </x:c>
      <x:c r="AD133" t="n">
        <x:v>46090.00398421296</x:v>
      </x:c>
      <x:c r="AE133" t="str">
        <x:v>Decommission resources and DNS</x:v>
      </x:c>
      <x:c r="AF133" t="str">
        <x:v>approved</x:v>
      </x:c>
      <x:c r="AG133" t="str">
        <x:v>azwan.badari@petronas.com</x:v>
      </x:c>
      <x:c r="AH133" t="n">
        <x:v>46093.27141013889</x:v>
      </x:c>
      <x:c r="AI133" t="str">
        <x:v>Completed</x:v>
      </x:c>
      <x:c r="AJ133" t="str">
        <x:v>A-000306</x:v>
      </x:c>
      <x:c r="AK133" t="str">
        <x:v>02421_92</x:v>
      </x:c>
      <x:c r="AL133" t="str">
        <x:v>L</x:v>
      </x:c>
      <x:c r="AM133" t="str">
        <x:v>REQ000007919544</x:v>
      </x:c>
      <x:c r="AN133" t="str">
        <x:v>noretention</x:v>
      </x:c>
      <x:c r="AO133" t="n">
        <x:v>0</x:v>
      </x:c>
      <x:c r="AP133" s="23" t="str">
        <x:f>IF(E133="processing",IF(Z133="","",IF(ISNUMBER(Z133),INT(Z133),DATE(VALUE(LEFT(Z133,4)),VALUE(MID(Z133,6,2)),VALUE(MID(Z133,9,2))))),IF(OR(E133="executing",E133="pending"),IF(AD133="","",IF(ISNUMBER(AD133),INT(AD133),DATE(VALUE(LEFT(AD133,4)),VALUE(MID(AD133,6,2)),VALUE(MID(AD133,9,2))))),""))</x:f>
      </x:c>
      <x:c r="AQ133" s="24" t="str">
        <x:f>IF(AP133="","",INT('Configuration'!$B$4)-AP133)</x:f>
      </x:c>
      <x:c r="AR133" s="25" t="str">
        <x:f>IF(AP133="","Missing Required Date",IF(AQ133&lt;0,"Future Date",IF(AQ133=0,"0 days",IF(AQ133&lt;=2,"1-2 days",IF(AQ133&lt;=7,"3-7 days",IF(AQ133&lt;=14,"8-14 days",IF(AQ133&lt;=30,"15-30 days",IF(AQ133&lt;=60,"31-60 days",IF(AQ133&lt;=70,"61-70 days","71+ days")))))))))</x:f>
        <x:v>Missing Required Date</x:v>
      </x:c>
      <x:c r="AS133" s="25" t="str">
        <x:f>IF(OR(E133="processing",E133="executing",E133="pending"),IF(AP133="","Required aging date missing",IF(AQ133&gt;30,"Escalate &gt;30d",IF(AQ133&gt;14,"Watch &gt;14d","Within 14d"))),"Out of scope")</x:f>
        <x:v>Out of scope</x:v>
      </x:c>
    </x:row>
    <x:row r="134" ht="24" customHeight="1">
      <x:c r="A134" t="str">
        <x:v>27dddc97-26cb-464b-aa2e-794ce099e006</x:v>
      </x:c>
      <x:c r="B134" t="str">
        <x:v>CSSP10667841</x:v>
      </x:c>
      <x:c r="C134" t="str">
        <x:v>maxim.nawangwe@petronas.com</x:v>
      </x:c>
      <x:c r="D134" t="str">
        <x:v>decommission-cloud</x:v>
      </x:c>
      <x:c r="E134" t="str">
        <x:v>completed</x:v>
      </x:c>
      <x:c r="F134" t="n">
        <x:v>46080.17327709491</x:v>
      </x:c>
      <x:c r="G134" t="n">
        <x:v>46092.20641709491</x:v>
      </x:c>
      <x:c r="H134" t="n">
        <x:v>46080.17327709491</x:v>
      </x:c>
      <x:c r="I134" t="str">
        <x:v>Danger Dodgers</x:v>
      </x:c>
      <x:c r="J134" t="str">
        <x:v>Pilot Deployment of Danger Dodgers at PCFK</x:v>
      </x:c>
      <x:c r="K134" t="str">
        <x:v>partial</x:v>
      </x:c>
      <x:c r="L134"/>
      <x:c r="M134" t="str">
        <x:v>bryan.dewitt@petronas.com</x:v>
      </x:c>
      <x:c r="N134"/>
      <x:c r="O134"/>
      <x:c r="P134" t="str">
        <x:v>Moving out of the pilot phase to our first release, we intend to decommision the following:
- Danger Dodgers Incognito Instance
- Danger Dodgers S3 Instance
The old cloudfront was repurposed to point to the new S3 instance, we do not need to decommission that.</x:v>
      </x:c>
      <x:c r="Q134" t="str">
        <x:v>2W</x:v>
      </x:c>
      <x:c r="R134" t="str">
        <x:v>Obsolete</x:v>
      </x:c>
      <x:c r="S134"/>
      <x:c r="T134" t="str">
        <x:v>approved</x:v>
      </x:c>
      <x:c r="U134" t="str">
        <x:v>maxim.nawangwe@petronas.com</x:v>
      </x:c>
      <x:c r="V134" t="n">
        <x:v>46080.18902708333</x:v>
      </x:c>
      <x:c r="W134" t="str">
        <x:v>AWS congnito should also be decommed, but it's not in the list above.</x:v>
      </x:c>
      <x:c r="X134" t="str">
        <x:v>approved</x:v>
      </x:c>
      <x:c r="Y134" t="str">
        <x:v>bryan.dewitt@petronas.com</x:v>
      </x:c>
      <x:c r="Z134" t="n">
        <x:v>46080.27551988426</x:v>
      </x:c>
      <x:c r="AA134" t="str">
        <x:v>approved</x:v>
      </x:c>
      <x:c r="AB134" t="str">
        <x:v>approved</x:v>
      </x:c>
      <x:c r="AC134" t="str">
        <x:v>azwan.badari@petronas.com</x:v>
      </x:c>
      <x:c r="AD134" t="n">
        <x:v>46083.161482905096</x:v>
      </x:c>
      <x:c r="AE134" t="str">
        <x:v>Proceed to decomm listed resources and PTAWSG-IAC-PROD-DANGERDODGERS-UserPool (Cognito)</x:v>
      </x:c>
      <x:c r="AF134" t="str">
        <x:v>approved</x:v>
      </x:c>
      <x:c r="AG134" t="str">
        <x:v>azwan.badari@petronas.com</x:v>
      </x:c>
      <x:c r="AH134" t="n">
        <x:v>46092.20641709491</x:v>
      </x:c>
      <x:c r="AI134" t="str">
        <x:v>Completed</x:v>
      </x:c>
      <x:c r="AJ134" t="str">
        <x:v>A-000192</x:v>
      </x:c>
      <x:c r="AK134" t="n">
        <x:v>3624</x:v>
      </x:c>
      <x:c r="AL134" t="str">
        <x:v>M</x:v>
      </x:c>
      <x:c r="AM134" t="str">
        <x:v>REQ000007906650</x:v>
      </x:c>
      <x:c r="AN134" t="str">
        <x:v>noretention</x:v>
      </x:c>
      <x:c r="AO134" t="n">
        <x:v>0</x:v>
      </x:c>
      <x:c r="AP134" s="23" t="str">
        <x:f>IF(E134="processing",IF(Z134="","",IF(ISNUMBER(Z134),INT(Z134),DATE(VALUE(LEFT(Z134,4)),VALUE(MID(Z134,6,2)),VALUE(MID(Z134,9,2))))),IF(OR(E134="executing",E134="pending"),IF(AD134="","",IF(ISNUMBER(AD134),INT(AD134),DATE(VALUE(LEFT(AD134,4)),VALUE(MID(AD134,6,2)),VALUE(MID(AD134,9,2))))),""))</x:f>
      </x:c>
      <x:c r="AQ134" s="24" t="str">
        <x:f>IF(AP134="","",INT('Configuration'!$B$4)-AP134)</x:f>
      </x:c>
      <x:c r="AR134" s="25" t="str">
        <x:f>IF(AP134="","Missing Required Date",IF(AQ134&lt;0,"Future Date",IF(AQ134=0,"0 days",IF(AQ134&lt;=2,"1-2 days",IF(AQ134&lt;=7,"3-7 days",IF(AQ134&lt;=14,"8-14 days",IF(AQ134&lt;=30,"15-30 days",IF(AQ134&lt;=60,"31-60 days",IF(AQ134&lt;=70,"61-70 days","71+ days")))))))))</x:f>
        <x:v>Missing Required Date</x:v>
      </x:c>
      <x:c r="AS134" s="25" t="str">
        <x:f>IF(OR(E134="processing",E134="executing",E134="pending"),IF(AP134="","Required aging date missing",IF(AQ134&gt;30,"Escalate &gt;30d",IF(AQ134&gt;14,"Watch &gt;14d","Within 14d"))),"Out of scope")</x:f>
        <x:v>Out of scope</x:v>
      </x:c>
    </x:row>
    <x:row r="135" ht="24" customHeight="1">
      <x:c r="A135" t="str">
        <x:v>e8690469-1ca2-4af5-927c-1c4c47bbe31c</x:v>
      </x:c>
      <x:c r="B135" t="str">
        <x:v>CSSP10315344</x:v>
      </x:c>
      <x:c r="C135" t="str">
        <x:v>mfazreel.mfaridazme@petronas.com</x:v>
      </x:c>
      <x:c r="D135" t="str">
        <x:v>decommission-cloud</x:v>
      </x:c>
      <x:c r="E135" t="str">
        <x:v>cancelled</x:v>
      </x:c>
      <x:c r="F135" t="n">
        <x:v>46080.27799765046</x:v>
      </x:c>
      <x:c r="G135" t="n">
        <x:v>46080.28176908565</x:v>
      </x:c>
      <x:c r="H135" t="n">
        <x:v>46080.27799765046</x:v>
      </x:c>
      <x:c r="I135" t="str">
        <x:v>Facial Recognition - FR</x:v>
      </x:c>
      <x:c r="J135" t="str">
        <x:v>Implementation of Facial Recognition (FR) for PETRONAS LNG Complex for Group Security, GHSSE</x:v>
      </x:c>
      <x:c r="K135" t="str">
        <x:v>partial</x:v>
      </x:c>
      <x:c r="L135"/>
      <x:c r="M135" t="str">
        <x:v>nursharul.mnor@petronas.com</x:v>
      </x:c>
      <x:c r="N135"/>
      <x:c r="O135"/>
      <x:c r="P135" t="str">
        <x:v>DPIA</x:v>
      </x:c>
      <x:c r="Q135" t="str">
        <x:v>2W</x:v>
      </x:c>
      <x:c r="R135" t="str">
        <x:v>Cloud Migration</x:v>
      </x:c>
      <x:c r="S135"/>
      <x:c r="T135" t="str">
        <x:v>rejected</x:v>
      </x:c>
      <x:c r="U135" t="str">
        <x:v>mfazreel.mfaridazme@petronas.com</x:v>
      </x:c>
      <x:c r="V135" t="n">
        <x:v>46080.28176913194</x:v>
      </x:c>
      <x:c r="W135"/>
      <x:c r="X135"/>
      <x:c r="Y135" t="str">
        <x:v>nursharul.mnor@petronas.com</x:v>
      </x:c>
      <x:c r="Z135"/>
      <x:c r="AA135"/>
      <x:c r="AB135"/>
      <x:c r="AC135" t="str">
        <x:v>CCoE Business</x:v>
      </x:c>
      <x:c r="AD135"/>
      <x:c r="AE135"/>
      <x:c r="AF135"/>
      <x:c r="AG135" t="str">
        <x:v>CCoE Operations</x:v>
      </x:c>
      <x:c r="AH135"/>
      <x:c r="AI135"/>
      <x:c r="AJ135" t="str">
        <x:v>A-000325</x:v>
      </x:c>
      <x:c r="AK135" t="n">
        <x:v>2794</x:v>
      </x:c>
      <x:c r="AL135"/>
      <x:c r="AM135"/>
      <x:c r="AN135" t="str">
        <x:v>noretention</x:v>
      </x:c>
      <x:c r="AO135" t="n">
        <x:v>0</x:v>
      </x:c>
      <x:c r="AP135" s="23" t="str">
        <x:f>IF(E135="processing",IF(Z135="","",IF(ISNUMBER(Z135),INT(Z135),DATE(VALUE(LEFT(Z135,4)),VALUE(MID(Z135,6,2)),VALUE(MID(Z135,9,2))))),IF(OR(E135="executing",E135="pending"),IF(AD135="","",IF(ISNUMBER(AD135),INT(AD135),DATE(VALUE(LEFT(AD135,4)),VALUE(MID(AD135,6,2)),VALUE(MID(AD135,9,2))))),""))</x:f>
      </x:c>
      <x:c r="AQ135" s="24" t="str">
        <x:f>IF(AP135="","",INT('Configuration'!$B$4)-AP135)</x:f>
      </x:c>
      <x:c r="AR135" s="25" t="str">
        <x:f>IF(AP135="","Missing Required Date",IF(AQ135&lt;0,"Future Date",IF(AQ135=0,"0 days",IF(AQ135&lt;=2,"1-2 days",IF(AQ135&lt;=7,"3-7 days",IF(AQ135&lt;=14,"8-14 days",IF(AQ135&lt;=30,"15-30 days",IF(AQ135&lt;=60,"31-60 days",IF(AQ135&lt;=70,"61-70 days","71+ days")))))))))</x:f>
        <x:v>Missing Required Date</x:v>
      </x:c>
      <x:c r="AS135" s="25" t="str">
        <x:f>IF(OR(E135="processing",E135="executing",E135="pending"),IF(AP135="","Required aging date missing",IF(AQ135&gt;30,"Escalate &gt;30d",IF(AQ135&gt;14,"Watch &gt;14d","Within 14d"))),"Out of scope")</x:f>
        <x:v>Out of scope</x:v>
      </x:c>
    </x:row>
    <x:row r="136" ht="24" customHeight="1">
      <x:c r="A136" t="str">
        <x:v>e0ec58c4-f7eb-47a1-94f5-708818f71ef4</x:v>
      </x:c>
      <x:c r="B136" t="str">
        <x:v>CSSP10620367</x:v>
      </x:c>
      <x:c r="C136" t="str">
        <x:v>mfazreel.mfaridazme@petronas.com</x:v>
      </x:c>
      <x:c r="D136" t="str">
        <x:v>decommission-cloud</x:v>
      </x:c>
      <x:c r="E136" t="str">
        <x:v>pending</x:v>
      </x:c>
      <x:c r="F136" t="n">
        <x:v>46080.28805756944</x:v>
      </x:c>
      <x:c r="G136" t="n">
        <x:v>46080.28838196759</x:v>
      </x:c>
      <x:c r="H136" t="n">
        <x:v>46080.28805756944</x:v>
      </x:c>
      <x:c r="I136" t="str">
        <x:v>Facial Recognition - FR</x:v>
      </x:c>
      <x:c r="J136" t="str">
        <x:v>Implementation of Facial Recognition (FR) for PETRONAS LNG Complex for Group Security, GHSSE</x:v>
      </x:c>
      <x:c r="K136" t="str">
        <x:v>full</x:v>
      </x:c>
      <x:c r="L136" t="str">
        <x:v>DCOM20260227572</x:v>
      </x:c>
      <x:c r="M136" t="str">
        <x:v>nursharul.mnor@petronas.com</x:v>
      </x:c>
      <x:c r="N136"/>
      <x:c r="O136"/>
      <x:c r="P136" t="str">
        <x:v>DPIA</x:v>
      </x:c>
      <x:c r="Q136" t="str">
        <x:v>2W</x:v>
      </x:c>
      <x:c r="R136" t="str">
        <x:v>Cloud Migration</x:v>
      </x:c>
      <x:c r="S136"/>
      <x:c r="T136" t="str">
        <x:v>approved</x:v>
      </x:c>
      <x:c r="U136" t="str">
        <x:v>mfazreel.mfaridazme@petronas.com</x:v>
      </x:c>
      <x:c r="V136" t="n">
        <x:v>46080.288381990744</x:v>
      </x:c>
      <x:c r="W136" t="str">
        <x:v>DPIA</x:v>
      </x:c>
      <x:c r="X136"/>
      <x:c r="Y136" t="str">
        <x:v>nursharul.mnor@petronas.com</x:v>
      </x:c>
      <x:c r="Z136"/>
      <x:c r="AA136"/>
      <x:c r="AB136"/>
      <x:c r="AC136" t="str">
        <x:v>CCoE Business</x:v>
      </x:c>
      <x:c r="AD136"/>
      <x:c r="AE136"/>
      <x:c r="AF136"/>
      <x:c r="AG136" t="str">
        <x:v>CCoE Operations</x:v>
      </x:c>
      <x:c r="AH136"/>
      <x:c r="AI136"/>
      <x:c r="AJ136" t="str">
        <x:v>A-000325</x:v>
      </x:c>
      <x:c r="AK136" t="n">
        <x:v>2794</x:v>
      </x:c>
      <x:c r="AL136"/>
      <x:c r="AM136"/>
      <x:c r="AN136" t="str">
        <x:v>noretention</x:v>
      </x:c>
      <x:c r="AO136" t="n">
        <x:v>0</x:v>
      </x:c>
      <x:c r="AP136" s="23" t="str">
        <x:f>IF(E136="processing",IF(Z136="","",IF(ISNUMBER(Z136),INT(Z136),DATE(VALUE(LEFT(Z136,4)),VALUE(MID(Z136,6,2)),VALUE(MID(Z136,9,2))))),IF(OR(E136="executing",E136="pending"),IF(AD136="","",IF(ISNUMBER(AD136),INT(AD136),DATE(VALUE(LEFT(AD136,4)),VALUE(MID(AD136,6,2)),VALUE(MID(AD136,9,2))))),""))</x:f>
      </x:c>
      <x:c r="AQ136" s="24" t="str">
        <x:f>IF(AP136="","",INT('Configuration'!$B$4)-AP136)</x:f>
      </x:c>
      <x:c r="AR136" s="25" t="str">
        <x:f>IF(AP136="","Missing Required Date",IF(AQ136&lt;0,"Future Date",IF(AQ136=0,"0 days",IF(AQ136&lt;=2,"1-2 days",IF(AQ136&lt;=7,"3-7 days",IF(AQ136&lt;=14,"8-14 days",IF(AQ136&lt;=30,"15-30 days",IF(AQ136&lt;=60,"31-60 days",IF(AQ136&lt;=70,"61-70 days","71+ days")))))))))</x:f>
        <x:v>Missing Required Date</x:v>
      </x:c>
      <x:c r="AS136" s="25" t="str">
        <x:f>IF(OR(E136="processing",E136="executing",E136="pending"),IF(AP136="","Required aging date missing",IF(AQ136&gt;30,"Escalate &gt;30d",IF(AQ136&gt;14,"Watch &gt;14d","Within 14d"))),"Out of scope")</x:f>
        <x:v>Required aging date missing</x:v>
      </x:c>
    </x:row>
    <x:row r="137" ht="24" customHeight="1">
      <x:c r="A137" t="str">
        <x:v>284b73f8-a90b-4f1a-8573-b7fc886dee5d</x:v>
      </x:c>
      <x:c r="B137" t="str">
        <x:v>CSSP10126661</x:v>
      </x:c>
      <x:c r="C137" t="str">
        <x:v>haslina.hashim@petronas.com</x:v>
      </x:c>
      <x:c r="D137" t="str">
        <x:v>decommission-cloud</x:v>
      </x:c>
      <x:c r="E137" t="str">
        <x:v>completed</x:v>
      </x:c>
      <x:c r="F137" t="n">
        <x:v>46080.38420162037</x:v>
      </x:c>
      <x:c r="G137" t="n">
        <x:v>46092.08383030093</x:v>
      </x:c>
      <x:c r="H137" t="n">
        <x:v>46080.38420162037</x:v>
      </x:c>
      <x:c r="I137" t="str">
        <x:v>MyINSIGHTS</x:v>
      </x:c>
      <x:c r="J137" t="str">
        <x:v>myINSIGHTS</x:v>
      </x:c>
      <x:c r="K137" t="str">
        <x:v>partial</x:v>
      </x:c>
      <x:c r="L137"/>
      <x:c r="M137" t="str">
        <x:v>sazali.mokhtar@petronas.com</x:v>
      </x:c>
      <x:c r="N137"/>
      <x:c r="O137"/>
      <x:c r="P137" t="str">
        <x:v>Cloud Repatriation - To decommission old resources in Singapore region due to completed migration in MY region</x:v>
      </x:c>
      <x:c r="Q137" t="str">
        <x:v>2W</x:v>
      </x:c>
      <x:c r="R137" t="str">
        <x:v>Cloud Migration</x:v>
      </x:c>
      <x:c r="S137"/>
      <x:c r="T137" t="str">
        <x:v>approved</x:v>
      </x:c>
      <x:c r="U137" t="str">
        <x:v>haslina.hashim@petronas.com</x:v>
      </x:c>
      <x:c r="V137" t="n">
        <x:v>46080.384556412035</x:v>
      </x:c>
      <x:c r="W137" t="str">
        <x:v>Please proceed. Refer to attached list</x:v>
      </x:c>
      <x:c r="X137" t="str">
        <x:v>approved</x:v>
      </x:c>
      <x:c r="Y137" t="str">
        <x:v>sazali.mokhtar@petronas.com</x:v>
      </x:c>
      <x:c r="Z137" t="n">
        <x:v>46085.04854332176</x:v>
      </x:c>
      <x:c r="AA137" t="str">
        <x:v>Old resources in Singapore - Repat completed.</x:v>
      </x:c>
      <x:c r="AB137" t="str">
        <x:v>approved</x:v>
      </x:c>
      <x:c r="AC137" t="str">
        <x:v>azwan.badari@petronas.com</x:v>
      </x:c>
      <x:c r="AD137" t="n">
        <x:v>46090.002409409724</x:v>
      </x:c>
      <x:c r="AE137" t="str">
        <x:v>Decommission listed resources. Refer to attachment for confirmation.</x:v>
      </x:c>
      <x:c r="AF137" t="str">
        <x:v>approved</x:v>
      </x:c>
      <x:c r="AG137" t="str">
        <x:v>azwan.badari@petronas.com</x:v>
      </x:c>
      <x:c r="AH137" t="n">
        <x:v>46092.0838303125</x:v>
      </x:c>
      <x:c r="AI137" t="str">
        <x:v>Completed</x:v>
      </x:c>
      <x:c r="AJ137" t="str">
        <x:v>A-000484</x:v>
      </x:c>
      <x:c r="AK137" t="n">
        <x:v>2787</x:v>
      </x:c>
      <x:c r="AL137" t="str">
        <x:v>M</x:v>
      </x:c>
      <x:c r="AM137" t="str">
        <x:v>REQ000007919360</x:v>
      </x:c>
      <x:c r="AN137" t="str">
        <x:v>noretention</x:v>
      </x:c>
      <x:c r="AO137" t="n">
        <x:v>0</x:v>
      </x:c>
      <x:c r="AP137" s="23" t="str">
        <x:f>IF(E137="processing",IF(Z137="","",IF(ISNUMBER(Z137),INT(Z137),DATE(VALUE(LEFT(Z137,4)),VALUE(MID(Z137,6,2)),VALUE(MID(Z137,9,2))))),IF(OR(E137="executing",E137="pending"),IF(AD137="","",IF(ISNUMBER(AD137),INT(AD137),DATE(VALUE(LEFT(AD137,4)),VALUE(MID(AD137,6,2)),VALUE(MID(AD137,9,2))))),""))</x:f>
      </x:c>
      <x:c r="AQ137" s="24" t="str">
        <x:f>IF(AP137="","",INT('Configuration'!$B$4)-AP137)</x:f>
      </x:c>
      <x:c r="AR137" s="25" t="str">
        <x:f>IF(AP137="","Missing Required Date",IF(AQ137&lt;0,"Future Date",IF(AQ137=0,"0 days",IF(AQ137&lt;=2,"1-2 days",IF(AQ137&lt;=7,"3-7 days",IF(AQ137&lt;=14,"8-14 days",IF(AQ137&lt;=30,"15-30 days",IF(AQ137&lt;=60,"31-60 days",IF(AQ137&lt;=70,"61-70 days","71+ days")))))))))</x:f>
        <x:v>Missing Required Date</x:v>
      </x:c>
      <x:c r="AS137" s="25" t="str">
        <x:f>IF(OR(E137="processing",E137="executing",E137="pending"),IF(AP137="","Required aging date missing",IF(AQ137&gt;30,"Escalate &gt;30d",IF(AQ137&gt;14,"Watch &gt;14d","Within 14d"))),"Out of scope")</x:f>
        <x:v>Out of scope</x:v>
      </x:c>
    </x:row>
    <x:row r="138" ht="24" customHeight="1">
      <x:c r="A138" t="str">
        <x:v>0180d9e4-6521-45d6-b7f1-f8849d558667</x:v>
      </x:c>
      <x:c r="B138" t="str">
        <x:v>CSSP10562704</x:v>
      </x:c>
      <x:c r="C138" t="str">
        <x:v>muhamadhafiz.muham@petronas.com</x:v>
      </x:c>
      <x:c r="D138" t="str">
        <x:v>decommission-cloud</x:v>
      </x:c>
      <x:c r="E138" t="str">
        <x:v>completed</x:v>
      </x:c>
      <x:c r="F138" t="n">
        <x:v>46083.07548494213</x:v>
      </x:c>
      <x:c r="G138" t="n">
        <x:v>46093.30448304398</x:v>
      </x:c>
      <x:c r="H138" t="n">
        <x:v>46083.07548494213</x:v>
      </x:c>
      <x:c r="I138" t="str">
        <x:v>Go Dashboard - GGO</x:v>
      </x:c>
      <x:c r="J138" t="str">
        <x:v>GO Dashboard DevOps 2025</x:v>
      </x:c>
      <x:c r="K138" t="str">
        <x:v>partial</x:v>
      </x:c>
      <x:c r="L138"/>
      <x:c r="M138" t="str">
        <x:v>huajin.tan@petronas.com.my</x:v>
      </x:c>
      <x:c r="N138" t="str">
        <x:v>go.petronas.com</x:v>
      </x:c>
      <x:c r="O138" t="n">
        <x:v>4640</x:v>
      </x:c>
      <x:c r="P138" t="str">
        <x:v>The system is being decommissioned as it is no longer in use and has no current or foreseeable business requirement.</x:v>
      </x:c>
      <x:c r="Q138" t="str">
        <x:v>2W</x:v>
      </x:c>
      <x:c r="R138" t="str">
        <x:v>Not in Used</x:v>
      </x:c>
      <x:c r="S138"/>
      <x:c r="T138" t="str">
        <x:v>approved</x:v>
      </x:c>
      <x:c r="U138" t="str">
        <x:v>muhamadhafiz.muham@petronas.com</x:v>
      </x:c>
      <x:c r="V138" t="n">
        <x:v>46083.08581783565</x:v>
      </x:c>
      <x:c r="W138" t="str">
        <x:v>To decommission database below
1. Non-prod (407331559142)
Host: ptawsg-5ggodb01.c444fcimx0qx.ap-southeast-1.rds.amazonaws.com
2. Prod (947558275301)
Host: ptawsg-1ggodb01-extendedrds.c9qfkmwd4m57.ap-southeast-1.rds.amazonaws.com</x:v>
      </x:c>
      <x:c r="X138" t="str">
        <x:v>approved</x:v>
      </x:c>
      <x:c r="Y138" t="str">
        <x:v>huajin.tan@petronas.com</x:v>
      </x:c>
      <x:c r="Z138" t="n">
        <x:v>46090.34208028935</x:v>
      </x:c>
      <x:c r="AA138" t="str">
        <x:v>Please proceed</x:v>
      </x:c>
      <x:c r="AB138" t="str">
        <x:v>approved</x:v>
      </x:c>
      <x:c r="AC138" t="str">
        <x:v>azwan.badari@petronas.com</x:v>
      </x:c>
      <x:c r="AD138" t="n">
        <x:v>46091.248926099535</x:v>
      </x:c>
      <x:c r="AE138" t="str">
        <x:v>1. Non-prod (407331559142) Host: ptawsg-5ggodb01.c444fcimx0qx.ap-southeast-1.rds.amazonaws.com 
2. Prod (947558275301) Host: ptawsg-1ggodb01-extendedrds.c9qfkmwd4m57.ap-southeast-1.rds.amazonaws.com</x:v>
      </x:c>
      <x:c r="AF138" t="str">
        <x:v>approved</x:v>
      </x:c>
      <x:c r="AG138" t="str">
        <x:v>azwan.badari@petronas.com</x:v>
      </x:c>
      <x:c r="AH138" t="n">
        <x:v>46093.30448305556</x:v>
      </x:c>
      <x:c r="AI138" t="str">
        <x:v>Completed</x:v>
      </x:c>
      <x:c r="AJ138" t="str">
        <x:v>A-000335</x:v>
      </x:c>
      <x:c r="AK138" t="n">
        <x:v>4640</x:v>
      </x:c>
      <x:c r="AL138" t="str">
        <x:v>M</x:v>
      </x:c>
      <x:c r="AM138" t="str">
        <x:v>REQ000007924011</x:v>
      </x:c>
      <x:c r="AN138" t="str">
        <x:v>noretention</x:v>
      </x:c>
      <x:c r="AO138" t="n">
        <x:v>0</x:v>
      </x:c>
      <x:c r="AP138" s="23" t="str">
        <x:f>IF(E138="processing",IF(Z138="","",IF(ISNUMBER(Z138),INT(Z138),DATE(VALUE(LEFT(Z138,4)),VALUE(MID(Z138,6,2)),VALUE(MID(Z138,9,2))))),IF(OR(E138="executing",E138="pending"),IF(AD138="","",IF(ISNUMBER(AD138),INT(AD138),DATE(VALUE(LEFT(AD138,4)),VALUE(MID(AD138,6,2)),VALUE(MID(AD138,9,2))))),""))</x:f>
      </x:c>
      <x:c r="AQ138" s="24" t="str">
        <x:f>IF(AP138="","",INT('Configuration'!$B$4)-AP138)</x:f>
      </x:c>
      <x:c r="AR138" s="25" t="str">
        <x:f>IF(AP138="","Missing Required Date",IF(AQ138&lt;0,"Future Date",IF(AQ138=0,"0 days",IF(AQ138&lt;=2,"1-2 days",IF(AQ138&lt;=7,"3-7 days",IF(AQ138&lt;=14,"8-14 days",IF(AQ138&lt;=30,"15-30 days",IF(AQ138&lt;=60,"31-60 days",IF(AQ138&lt;=70,"61-70 days","71+ days")))))))))</x:f>
        <x:v>Missing Required Date</x:v>
      </x:c>
      <x:c r="AS138" s="25" t="str">
        <x:f>IF(OR(E138="processing",E138="executing",E138="pending"),IF(AP138="","Required aging date missing",IF(AQ138&gt;30,"Escalate &gt;30d",IF(AQ138&gt;14,"Watch &gt;14d","Within 14d"))),"Out of scope")</x:f>
        <x:v>Out of scope</x:v>
      </x:c>
    </x:row>
    <x:row r="139" ht="24" customHeight="1">
      <x:c r="A139" t="str">
        <x:v>a413421a-9288-4d70-a675-5a22b7cbf26f</x:v>
      </x:c>
      <x:c r="B139" t="str">
        <x:v>CSSP10634478</x:v>
      </x:c>
      <x:c r="C139" t="str">
        <x:v>mzurfaiezzuddin.zur@petronas.com</x:v>
      </x:c>
      <x:c r="D139" t="str">
        <x:v>decommission-cloud</x:v>
      </x:c>
      <x:c r="E139" t="str">
        <x:v>completed</x:v>
      </x:c>
      <x:c r="F139" t="n">
        <x:v>46083.3020699537</x:v>
      </x:c>
      <x:c r="G139" t="n">
        <x:v>46092.12302525463</x:v>
      </x:c>
      <x:c r="H139" t="n">
        <x:v>46083.3020699537</x:v>
      </x:c>
      <x:c r="I139" t="str">
        <x:v>Wells DROID</x:v>
      </x:c>
      <x:c r="J139" t="str">
        <x:v>Cloud Migration - Wells Droid 2.0</x:v>
      </x:c>
      <x:c r="K139" t="str">
        <x:v>partial</x:v>
      </x:c>
      <x:c r="L139"/>
      <x:c r="M139" t="str">
        <x:v>sazali.mokhtar@petronas.com</x:v>
      </x:c>
      <x:c r="N139"/>
      <x:c r="O139"/>
      <x:c r="P139" t="str">
        <x:v>Cloud Repatriation - To decommission old resources in Singapore region due to completed migration in MY region</x:v>
      </x:c>
      <x:c r="Q139" t="str">
        <x:v>2W</x:v>
      </x:c>
      <x:c r="R139" t="str">
        <x:v>Cloud Migration</x:v>
      </x:c>
      <x:c r="S139"/>
      <x:c r="T139" t="str">
        <x:v>approved</x:v>
      </x:c>
      <x:c r="U139" t="str">
        <x:v>mzurfaiezzuddin.zur@petronas.com</x:v>
      </x:c>
      <x:c r="V139" t="n">
        <x:v>46083.30318952546</x:v>
      </x:c>
      <x:c r="W139" t="str">
        <x:v>Cloud Repatriation - To decommission old resources in Singapore region due to completed migration in MY region</x:v>
      </x:c>
      <x:c r="X139" t="str">
        <x:v>approved</x:v>
      </x:c>
      <x:c r="Y139" t="str">
        <x:v>sazali.mokhtar@petronas.com</x:v>
      </x:c>
      <x:c r="Z139" t="n">
        <x:v>46085.04959944444</x:v>
      </x:c>
      <x:c r="AA139" t="str">
        <x:v>To decommission old resources in Singapore region due to completed migration in MY region</x:v>
      </x:c>
      <x:c r="AB139" t="str">
        <x:v>approved</x:v>
      </x:c>
      <x:c r="AC139" t="str">
        <x:v>azwan.badari@petronas.com</x:v>
      </x:c>
      <x:c r="AD139" t="n">
        <x:v>46090.00138541667</x:v>
      </x:c>
      <x:c r="AE139" t="str">
        <x:v>Decommission listed resources. Refer to attachment for confirmation.</x:v>
      </x:c>
      <x:c r="AF139" t="str">
        <x:v>approved</x:v>
      </x:c>
      <x:c r="AG139" t="str">
        <x:v>azwan.badari@petronas.com</x:v>
      </x:c>
      <x:c r="AH139" t="n">
        <x:v>46092.123025266206</x:v>
      </x:c>
      <x:c r="AI139" t="str">
        <x:v>Completed</x:v>
      </x:c>
      <x:c r="AJ139" t="str">
        <x:v>A-000859</x:v>
      </x:c>
      <x:c r="AK139" t="str">
        <x:v>00915_133</x:v>
      </x:c>
      <x:c r="AL139" t="str">
        <x:v>M</x:v>
      </x:c>
      <x:c r="AM139" t="str">
        <x:v>REQ000007919359</x:v>
      </x:c>
      <x:c r="AN139" t="str">
        <x:v>noretention</x:v>
      </x:c>
      <x:c r="AO139" t="n">
        <x:v>0</x:v>
      </x:c>
      <x:c r="AP139" s="23" t="str">
        <x:f>IF(E139="processing",IF(Z139="","",IF(ISNUMBER(Z139),INT(Z139),DATE(VALUE(LEFT(Z139,4)),VALUE(MID(Z139,6,2)),VALUE(MID(Z139,9,2))))),IF(OR(E139="executing",E139="pending"),IF(AD139="","",IF(ISNUMBER(AD139),INT(AD139),DATE(VALUE(LEFT(AD139,4)),VALUE(MID(AD139,6,2)),VALUE(MID(AD139,9,2))))),""))</x:f>
      </x:c>
      <x:c r="AQ139" s="24" t="str">
        <x:f>IF(AP139="","",INT('Configuration'!$B$4)-AP139)</x:f>
      </x:c>
      <x:c r="AR139" s="25" t="str">
        <x:f>IF(AP139="","Missing Required Date",IF(AQ139&lt;0,"Future Date",IF(AQ139=0,"0 days",IF(AQ139&lt;=2,"1-2 days",IF(AQ139&lt;=7,"3-7 days",IF(AQ139&lt;=14,"8-14 days",IF(AQ139&lt;=30,"15-30 days",IF(AQ139&lt;=60,"31-60 days",IF(AQ139&lt;=70,"61-70 days","71+ days")))))))))</x:f>
        <x:v>Missing Required Date</x:v>
      </x:c>
      <x:c r="AS139" s="25" t="str">
        <x:f>IF(OR(E139="processing",E139="executing",E139="pending"),IF(AP139="","Required aging date missing",IF(AQ139&gt;30,"Escalate &gt;30d",IF(AQ139&gt;14,"Watch &gt;14d","Within 14d"))),"Out of scope")</x:f>
        <x:v>Out of scope</x:v>
      </x:c>
    </x:row>
    <x:row r="140" ht="24" customHeight="1">
      <x:c r="A140" t="str">
        <x:v>717f1bd9-2693-4342-be18-97cad6badf9f</x:v>
      </x:c>
      <x:c r="B140" t="str">
        <x:v>CSSP10435001</x:v>
      </x:c>
      <x:c r="C140" t="str">
        <x:v>syahadah.salleh@petronas.com</x:v>
      </x:c>
      <x:c r="D140" t="str">
        <x:v>decommission-cloud</x:v>
      </x:c>
      <x:c r="E140" t="str">
        <x:v>cancelled</x:v>
      </x:c>
      <x:c r="F140" t="n">
        <x:v>46083.33635280093</x:v>
      </x:c>
      <x:c r="G140" t="n">
        <x:v>46083.33691375</x:v>
      </x:c>
      <x:c r="H140" t="n">
        <x:v>46083.33635280093</x:v>
      </x:c>
      <x:c r="I140" t="str">
        <x:v>PETRONAS Electrical Safety and Operability Review - P-ELSOR</x:v>
      </x:c>
      <x:c r="J140" t="str">
        <x:v>P-ELSOR 3.0</x:v>
      </x:c>
      <x:c r="K140" t="str">
        <x:v>partial</x:v>
      </x:c>
      <x:c r="L140"/>
      <x:c r="M140" t="str">
        <x:v>nshahidahothman@petronas.com.my</x:v>
      </x:c>
      <x:c r="N140"/>
      <x:c r="O140"/>
      <x:c r="P140" t="str">
        <x:v>test</x:v>
      </x:c>
      <x:c r="Q140" t="str">
        <x:v>3M</x:v>
      </x:c>
      <x:c r="R140" t="str">
        <x:v>Cloud Migration</x:v>
      </x:c>
      <x:c r="S140"/>
      <x:c r="T140" t="str">
        <x:v>rejected</x:v>
      </x:c>
      <x:c r="U140" t="str">
        <x:v>syahadah.salleh@petronas.com</x:v>
      </x:c>
      <x:c r="V140" t="n">
        <x:v>46083.336913784726</x:v>
      </x:c>
      <x:c r="W140"/>
      <x:c r="X140"/>
      <x:c r="Y140" t="str">
        <x:v>nshahidahothman@petronas.com</x:v>
      </x:c>
      <x:c r="Z140"/>
      <x:c r="AA140"/>
      <x:c r="AB140"/>
      <x:c r="AC140" t="str">
        <x:v>CCoE Business</x:v>
      </x:c>
      <x:c r="AD140"/>
      <x:c r="AE140"/>
      <x:c r="AF140"/>
      <x:c r="AG140" t="str">
        <x:v>CCoE Operations</x:v>
      </x:c>
      <x:c r="AH140"/>
      <x:c r="AI140"/>
      <x:c r="AJ140" t="str">
        <x:v>A-000556</x:v>
      </x:c>
      <x:c r="AK140" t="n">
        <x:v>1950</x:v>
      </x:c>
      <x:c r="AL140"/>
      <x:c r="AM140"/>
      <x:c r="AN140" t="str">
        <x:v>noretention</x:v>
      </x:c>
      <x:c r="AO140" t="n">
        <x:v>0</x:v>
      </x:c>
      <x:c r="AP140" s="23" t="str">
        <x:f>IF(E140="processing",IF(Z140="","",IF(ISNUMBER(Z140),INT(Z140),DATE(VALUE(LEFT(Z140,4)),VALUE(MID(Z140,6,2)),VALUE(MID(Z140,9,2))))),IF(OR(E140="executing",E140="pending"),IF(AD140="","",IF(ISNUMBER(AD140),INT(AD140),DATE(VALUE(LEFT(AD140,4)),VALUE(MID(AD140,6,2)),VALUE(MID(AD140,9,2))))),""))</x:f>
      </x:c>
      <x:c r="AQ140" s="24" t="str">
        <x:f>IF(AP140="","",INT('Configuration'!$B$4)-AP140)</x:f>
      </x:c>
      <x:c r="AR140" s="25" t="str">
        <x:f>IF(AP140="","Missing Required Date",IF(AQ140&lt;0,"Future Date",IF(AQ140=0,"0 days",IF(AQ140&lt;=2,"1-2 days",IF(AQ140&lt;=7,"3-7 days",IF(AQ140&lt;=14,"8-14 days",IF(AQ140&lt;=30,"15-30 days",IF(AQ140&lt;=60,"31-60 days",IF(AQ140&lt;=70,"61-70 days","71+ days")))))))))</x:f>
        <x:v>Missing Required Date</x:v>
      </x:c>
      <x:c r="AS140" s="25" t="str">
        <x:f>IF(OR(E140="processing",E140="executing",E140="pending"),IF(AP140="","Required aging date missing",IF(AQ140&gt;30,"Escalate &gt;30d",IF(AQ140&gt;14,"Watch &gt;14d","Within 14d"))),"Out of scope")</x:f>
        <x:v>Out of scope</x:v>
      </x:c>
    </x:row>
    <x:row r="141" ht="24" customHeight="1">
      <x:c r="A141" t="str">
        <x:v>21f7373f-046f-4095-abd1-39eb8fcece47</x:v>
      </x:c>
      <x:c r="B141" t="str">
        <x:v>CSSP10290355</x:v>
      </x:c>
      <x:c r="C141" t="str">
        <x:v>rosdi.kasim@petronas.com</x:v>
      </x:c>
      <x:c r="D141" t="str">
        <x:v>decommission-cloud</x:v>
      </x:c>
      <x:c r="E141" t="str">
        <x:v>cancelled</x:v>
      </x:c>
      <x:c r="F141" t="n">
        <x:v>46085.00597019676</x:v>
      </x:c>
      <x:c r="G141" t="n">
        <x:v>46085.011772337966</x:v>
      </x:c>
      <x:c r="H141" t="n">
        <x:v>46085.00985158565</x:v>
      </x:c>
      <x:c r="I141" t="str">
        <x:v>Electronic Permit To Work Plus - ePTW+</x:v>
      </x:c>
      <x:c r="J141" t="str">
        <x:v>Implementation of Disaster Recovery for ePTW+</x:v>
      </x:c>
      <x:c r="K141" t="str">
        <x:v>partial</x:v>
      </x:c>
      <x:c r="L141"/>
      <x:c r="M141" t="str">
        <x:v>bryan.dewitt@petronas.com</x:v>
      </x:c>
      <x:c r="N141"/>
      <x:c r="O141"/>
      <x:c r="P141" t="str">
        <x:v>Not used.</x:v>
      </x:c>
      <x:c r="Q141" t="str">
        <x:v>2W</x:v>
      </x:c>
      <x:c r="R141" t="str">
        <x:v>Not in Used</x:v>
      </x:c>
      <x:c r="S141"/>
      <x:c r="T141" t="str">
        <x:v>rejected</x:v>
      </x:c>
      <x:c r="U141" t="str">
        <x:v>rosdi.kasim@petronas.com</x:v>
      </x:c>
      <x:c r="V141" t="n">
        <x:v>46085.011772349535</x:v>
      </x:c>
      <x:c r="W141"/>
      <x:c r="X141"/>
      <x:c r="Y141" t="str">
        <x:v>bryan.dewitt@petronas.com</x:v>
      </x:c>
      <x:c r="Z141"/>
      <x:c r="AA141"/>
      <x:c r="AB141"/>
      <x:c r="AC141" t="str">
        <x:v>CCoE Business</x:v>
      </x:c>
      <x:c r="AD141"/>
      <x:c r="AE141"/>
      <x:c r="AF141"/>
      <x:c r="AG141" t="str">
        <x:v>CCoE Business</x:v>
      </x:c>
      <x:c r="AH141"/>
      <x:c r="AI141"/>
      <x:c r="AJ141" t="str">
        <x:v>A-000297</x:v>
      </x:c>
      <x:c r="AK141" t="n">
        <x:v>1823</x:v>
      </x:c>
      <x:c r="AL141"/>
      <x:c r="AM141"/>
      <x:c r="AN141" t="str">
        <x:v>noretention</x:v>
      </x:c>
      <x:c r="AO141" t="n">
        <x:v>0</x:v>
      </x:c>
      <x:c r="AP141" s="23" t="str">
        <x:f>IF(E141="processing",IF(Z141="","",IF(ISNUMBER(Z141),INT(Z141),DATE(VALUE(LEFT(Z141,4)),VALUE(MID(Z141,6,2)),VALUE(MID(Z141,9,2))))),IF(OR(E141="executing",E141="pending"),IF(AD141="","",IF(ISNUMBER(AD141),INT(AD141),DATE(VALUE(LEFT(AD141,4)),VALUE(MID(AD141,6,2)),VALUE(MID(AD141,9,2))))),""))</x:f>
      </x:c>
      <x:c r="AQ141" s="24" t="str">
        <x:f>IF(AP141="","",INT('Configuration'!$B$4)-AP141)</x:f>
      </x:c>
      <x:c r="AR141" s="25" t="str">
        <x:f>IF(AP141="","Missing Required Date",IF(AQ141&lt;0,"Future Date",IF(AQ141=0,"0 days",IF(AQ141&lt;=2,"1-2 days",IF(AQ141&lt;=7,"3-7 days",IF(AQ141&lt;=14,"8-14 days",IF(AQ141&lt;=30,"15-30 days",IF(AQ141&lt;=60,"31-60 days",IF(AQ141&lt;=70,"61-70 days","71+ days")))))))))</x:f>
        <x:v>Missing Required Date</x:v>
      </x:c>
      <x:c r="AS141" s="25" t="str">
        <x:f>IF(OR(E141="processing",E141="executing",E141="pending"),IF(AP141="","Required aging date missing",IF(AQ141&gt;30,"Escalate &gt;30d",IF(AQ141&gt;14,"Watch &gt;14d","Within 14d"))),"Out of scope")</x:f>
        <x:v>Out of scope</x:v>
      </x:c>
    </x:row>
    <x:row r="142" ht="24" customHeight="1">
      <x:c r="A142" t="str">
        <x:v>3e13d1e8-fd25-4022-8c5f-a74f91d0844b</x:v>
      </x:c>
      <x:c r="B142" t="str">
        <x:v>CSSP10480747</x:v>
      </x:c>
      <x:c r="C142" t="str">
        <x:v>rosdi.kasim@petronas.com</x:v>
      </x:c>
      <x:c r="D142" t="str">
        <x:v>decommission-cloud</x:v>
      </x:c>
      <x:c r="E142" t="str">
        <x:v>completed</x:v>
      </x:c>
      <x:c r="F142" t="n">
        <x:v>46085.01319346065</x:v>
      </x:c>
      <x:c r="G142" t="n">
        <x:v>46091.06811756945</x:v>
      </x:c>
      <x:c r="H142" t="n">
        <x:v>46085.01319346065</x:v>
      </x:c>
      <x:c r="I142" t="str">
        <x:v>Electronic Permit To Work - ePTW MLNG</x:v>
      </x:c>
      <x:c r="J142" t="str">
        <x:v>Application Development Of New Modules and Function for ePTW/ePTW TA Web and ePTW+ Mobile Application For Malaysia LNG Sdn Bhd</x:v>
      </x:c>
      <x:c r="K142" t="str">
        <x:v>partial</x:v>
      </x:c>
      <x:c r="L142"/>
      <x:c r="M142" t="str">
        <x:v>bryan.dewitt@petronas.com</x:v>
      </x:c>
      <x:c r="N142"/>
      <x:c r="O142"/>
      <x:c r="P142" t="str">
        <x:v>Not used.</x:v>
      </x:c>
      <x:c r="Q142" t="str">
        <x:v>2W</x:v>
      </x:c>
      <x:c r="R142" t="str">
        <x:v>Not in Used</x:v>
      </x:c>
      <x:c r="S142"/>
      <x:c r="T142" t="str">
        <x:v>approved</x:v>
      </x:c>
      <x:c r="U142" t="str">
        <x:v>rosdi.kasim@petronas.com</x:v>
      </x:c>
      <x:c r="V142" t="n">
        <x:v>46085.02091403935</x:v>
      </x:c>
      <x:c r="W142" t="str">
        <x:v>All these 4 VMs are not being used. The project is dormant and may be decommissioned entirely soon.
PTSG-5ePTWap01 172.25.68.59
PTSG-5ePTWap02 172.25.68.60
PTSG-5ePTWap03
PTSG-5ePTWap04 172.25.68.62</x:v>
      </x:c>
      <x:c r="X142" t="str">
        <x:v>approved</x:v>
      </x:c>
      <x:c r="Y142" t="str">
        <x:v>bryan.dewitt@petronas.com</x:v>
      </x:c>
      <x:c r="Z142" t="n">
        <x:v>46085.2900855787</x:v>
      </x:c>
      <x:c r="AA142" t="str">
        <x:v>approved</x:v>
      </x:c>
      <x:c r="AB142" t="str">
        <x:v>approved</x:v>
      </x:c>
      <x:c r="AC142" t="str">
        <x:v>azwan.badari@petronas.com</x:v>
      </x:c>
      <x:c r="AD142" t="n">
        <x:v>46089.99882836806</x:v>
      </x:c>
      <x:c r="AE142" t="str">
        <x:v>Decommission listed resources</x:v>
      </x:c>
      <x:c r="AF142" t="str">
        <x:v>approved</x:v>
      </x:c>
      <x:c r="AG142" t="str">
        <x:v>azlisham.md@petronas.com</x:v>
      </x:c>
      <x:c r="AH142" t="n">
        <x:v>46091.06811756945</x:v>
      </x:c>
      <x:c r="AI142" t="str">
        <x:v>The decommission request has been completed, and the status is now updated accordingly. Kindly verify from your end and confirm once reviewed.
</x:v>
      </x:c>
      <x:c r="AJ142" t="str">
        <x:v>A-000296</x:v>
      </x:c>
      <x:c r="AK142" t="str">
        <x:v>PSR04526</x:v>
      </x:c>
      <x:c r="AL142" t="str">
        <x:v>M</x:v>
      </x:c>
      <x:c r="AM142" t="str">
        <x:v>REQ000007919354</x:v>
      </x:c>
      <x:c r="AN142" t="str">
        <x:v>noretention</x:v>
      </x:c>
      <x:c r="AO142" t="n">
        <x:v>0</x:v>
      </x:c>
      <x:c r="AP142" s="23" t="str">
        <x:f>IF(E142="processing",IF(Z142="","",IF(ISNUMBER(Z142),INT(Z142),DATE(VALUE(LEFT(Z142,4)),VALUE(MID(Z142,6,2)),VALUE(MID(Z142,9,2))))),IF(OR(E142="executing",E142="pending"),IF(AD142="","",IF(ISNUMBER(AD142),INT(AD142),DATE(VALUE(LEFT(AD142,4)),VALUE(MID(AD142,6,2)),VALUE(MID(AD142,9,2))))),""))</x:f>
      </x:c>
      <x:c r="AQ142" s="24" t="str">
        <x:f>IF(AP142="","",INT('Configuration'!$B$4)-AP142)</x:f>
      </x:c>
      <x:c r="AR142" s="25" t="str">
        <x:f>IF(AP142="","Missing Required Date",IF(AQ142&lt;0,"Future Date",IF(AQ142=0,"0 days",IF(AQ142&lt;=2,"1-2 days",IF(AQ142&lt;=7,"3-7 days",IF(AQ142&lt;=14,"8-14 days",IF(AQ142&lt;=30,"15-30 days",IF(AQ142&lt;=60,"31-60 days",IF(AQ142&lt;=70,"61-70 days","71+ days")))))))))</x:f>
        <x:v>Missing Required Date</x:v>
      </x:c>
      <x:c r="AS142" s="25" t="str">
        <x:f>IF(OR(E142="processing",E142="executing",E142="pending"),IF(AP142="","Required aging date missing",IF(AQ142&gt;30,"Escalate &gt;30d",IF(AQ142&gt;14,"Watch &gt;14d","Within 14d"))),"Out of scope")</x:f>
        <x:v>Out of scope</x:v>
      </x:c>
    </x:row>
    <x:row r="143" ht="24" customHeight="1">
      <x:c r="A143" t="str">
        <x:v>000e790b-1f48-4c25-94ce-4fba6fae8e32</x:v>
      </x:c>
      <x:c r="B143" t="str">
        <x:v>CSSP10240447</x:v>
      </x:c>
      <x:c r="C143" t="str">
        <x:v>rajila.vadakkalthund@petronas.com</x:v>
      </x:c>
      <x:c r="D143" t="str">
        <x:v>decommission-cloud</x:v>
      </x:c>
      <x:c r="E143" t="str">
        <x:v>completed</x:v>
      </x:c>
      <x:c r="F143" t="n">
        <x:v>46085.05178738426</x:v>
      </x:c>
      <x:c r="G143" t="n">
        <x:v>46093.32801385417</x:v>
      </x:c>
      <x:c r="H143" t="n">
        <x:v>46085.05178738426</x:v>
      </x:c>
      <x:c r="I143" t="str">
        <x:v>Drillbench and Engineering Desktop - EDT</x:v>
      </x:c>
      <x:c r="J143" t="str">
        <x:v>Cloud Migration- Drillbench &amp;EDM (EDT)</x:v>
      </x:c>
      <x:c r="K143" t="str">
        <x:v>partial</x:v>
      </x:c>
      <x:c r="L143"/>
      <x:c r="M143" t="str">
        <x:v>afiqah.aziz@petronas.com.my</x:v>
      </x:c>
      <x:c r="N143"/>
      <x:c r="O143"/>
      <x:c r="P143" t="str">
        <x:v>The server is not being used any more</x:v>
      </x:c>
      <x:c r="Q143" t="str">
        <x:v>12M</x:v>
      </x:c>
      <x:c r="R143" t="str">
        <x:v>Not in Used</x:v>
      </x:c>
      <x:c r="S143"/>
      <x:c r="T143" t="str">
        <x:v>approved</x:v>
      </x:c>
      <x:c r="U143" t="str">
        <x:v>rajila.vadakkalthund@petronas.com</x:v>
      </x:c>
      <x:c r="V143" t="n">
        <x:v>46091.0756484375</x:v>
      </x:c>
      <x:c r="W143" t="str">
        <x:v>Decommissioning of server PTSG-1EDTPFS01</x:v>
      </x:c>
      <x:c r="X143" t="str">
        <x:v>approved</x:v>
      </x:c>
      <x:c r="Y143" t="str">
        <x:v>afiqah.aziz@petronas.com</x:v>
      </x:c>
      <x:c r="Z143" t="n">
        <x:v>46091.24303586806</x:v>
      </x:c>
      <x:c r="AA143" t="str">
        <x:v>As no more utilisation, agreed to decomm</x:v>
      </x:c>
      <x:c r="AB143" t="str">
        <x:v>approved</x:v>
      </x:c>
      <x:c r="AC143" t="str">
        <x:v>azwan.badari@petronas.com</x:v>
      </x:c>
      <x:c r="AD143" t="n">
        <x:v>46091.30614388889</x:v>
      </x:c>
      <x:c r="AE143" t="str">
        <x:v>Decommission selected resources</x:v>
      </x:c>
      <x:c r="AF143" t="str">
        <x:v>approved</x:v>
      </x:c>
      <x:c r="AG143" t="str">
        <x:v>azlisham.md@petronas.com</x:v>
      </x:c>
      <x:c r="AH143" t="n">
        <x:v>46093.32801386574</x:v>
      </x:c>
      <x:c r="AI143" t="str">
        <x:v>The decommission request has been completed, and the status is now updated accordingly. Kindly verify from your end and confirm once reviewed.
</x:v>
      </x:c>
      <x:c r="AJ143" t="str">
        <x:v>A-000270</x:v>
      </x:c>
      <x:c r="AK143" t="str">
        <x:v>02421_30</x:v>
      </x:c>
      <x:c r="AL143" t="str">
        <x:v>M</x:v>
      </x:c>
      <x:c r="AM143" t="str">
        <x:v>REQ000007924646</x:v>
      </x:c>
      <x:c r="AN143" t="str">
        <x:v>retention</x:v>
      </x:c>
      <x:c r="AO143" t="n">
        <x:v>365</x:v>
      </x:c>
      <x:c r="AP143" s="23" t="str">
        <x:f>IF(E143="processing",IF(Z143="","",IF(ISNUMBER(Z143),INT(Z143),DATE(VALUE(LEFT(Z143,4)),VALUE(MID(Z143,6,2)),VALUE(MID(Z143,9,2))))),IF(OR(E143="executing",E143="pending"),IF(AD143="","",IF(ISNUMBER(AD143),INT(AD143),DATE(VALUE(LEFT(AD143,4)),VALUE(MID(AD143,6,2)),VALUE(MID(AD143,9,2))))),""))</x:f>
      </x:c>
      <x:c r="AQ143" s="24" t="str">
        <x:f>IF(AP143="","",INT('Configuration'!$B$4)-AP143)</x:f>
      </x:c>
      <x:c r="AR143" s="25" t="str">
        <x:f>IF(AP143="","Missing Required Date",IF(AQ143&lt;0,"Future Date",IF(AQ143=0,"0 days",IF(AQ143&lt;=2,"1-2 days",IF(AQ143&lt;=7,"3-7 days",IF(AQ143&lt;=14,"8-14 days",IF(AQ143&lt;=30,"15-30 days",IF(AQ143&lt;=60,"31-60 days",IF(AQ143&lt;=70,"61-70 days","71+ days")))))))))</x:f>
        <x:v>Missing Required Date</x:v>
      </x:c>
      <x:c r="AS143" s="25" t="str">
        <x:f>IF(OR(E143="processing",E143="executing",E143="pending"),IF(AP143="","Required aging date missing",IF(AQ143&gt;30,"Escalate &gt;30d",IF(AQ143&gt;14,"Watch &gt;14d","Within 14d"))),"Out of scope")</x:f>
        <x:v>Out of scope</x:v>
      </x:c>
    </x:row>
    <x:row r="144" ht="24" customHeight="1">
      <x:c r="A144" t="str">
        <x:v>a1c5df6e-b6f1-4c3c-86c3-8a23673e62ac</x:v>
      </x:c>
      <x:c r="B144" t="str">
        <x:v>CSSP10932890</x:v>
      </x:c>
      <x:c r="C144" t="str">
        <x:v>mkhairulazhar.jamil@petronas.com</x:v>
      </x:c>
      <x:c r="D144" t="str">
        <x:v>decommission-cloud</x:v>
      </x:c>
      <x:c r="E144" t="str">
        <x:v>completed</x:v>
      </x:c>
      <x:c r="F144" t="n">
        <x:v>46085.289279826386</x:v>
      </x:c>
      <x:c r="G144" t="n">
        <x:v>46170.05359957176</x:v>
      </x:c>
      <x:c r="H144" t="n">
        <x:v>46086.080942326385</x:v>
      </x:c>
      <x:c r="I144" t="str">
        <x:v>COMPASS</x:v>
      </x:c>
      <x:c r="J144" t="str">
        <x:v>COMPASS Phase 2</x:v>
      </x:c>
      <x:c r="K144" t="str">
        <x:v>partial</x:v>
      </x:c>
      <x:c r="L144"/>
      <x:c r="M144" t="str">
        <x:v>amirshazlan.mshah@petronas.com.my</x:v>
      </x:c>
      <x:c r="N144" t="str">
        <x:v>compass.petronas.com</x:v>
      </x:c>
      <x:c r="O144"/>
      <x:c r="P144" t="str">
        <x:v>Migrated to new VM. </x:v>
      </x:c>
      <x:c r="Q144" t="str">
        <x:v>2W</x:v>
      </x:c>
      <x:c r="R144" t="str">
        <x:v>Cloud Migration</x:v>
      </x:c>
      <x:c r="S144"/>
      <x:c r="T144" t="str">
        <x:v>approved</x:v>
      </x:c>
      <x:c r="U144" t="str">
        <x:v>mkhairulazhar.jamil@petronas.com</x:v>
      </x:c>
      <x:c r="V144" t="n">
        <x:v>46086.11148439815</x:v>
      </x:c>
      <x:c r="W144" t="str">
        <x:v>The following resources to be decommissioned as confirmed by COMPASS app team.
1. Development Server 
PTSG-4CMPSap02
172.25.52.199 
2. Staging Server 
PTSG-4CMPSap01
172.25.52.250 
3. Production Server 
PTSG-1CMPSap02 
172.25.192.23 
4. COMPASS Module 2 STAG POSTGRESQL DB [SINGLE] 
Host: ptsg-4compasspgsql02.postgres.database.azure.com 
Port: 5432 
DB: decarb-opt 
5. COMPASS Module 2 PROD POSTGRESQL DB [SINGLE] 
Host: ptazsg-1compass-psql01.postgres.database.azure.com 
Port: 5432 
DB: postgres (default DB) (TODO: to create compass-opt db) 
6. COMPASS Module 2 STAG POSTGRESQL DB [FLEXI]  
Host: ptsg-4compasspgsql-flexi.postgres.database.azure.com 
172.25.56.129 
Port: 5432 
DB: decarb-opt 
</x:v>
      </x:c>
      <x:c r="X144" t="str">
        <x:v>approved</x:v>
      </x:c>
      <x:c r="Y144" t="str">
        <x:v>amirshazlan.mshah@petronas.com</x:v>
      </x:c>
      <x:c r="Z144" t="n">
        <x:v>46127.087778402776</x:v>
      </x:c>
      <x:c r="AA144" t="str">
        <x:v>request to set autogrow for db approved</x:v>
      </x:c>
      <x:c r="AB144" t="str">
        <x:v>approved</x:v>
      </x:c>
      <x:c r="AC144" t="str">
        <x:v>azwan.badari@petronas.com</x:v>
      </x:c>
      <x:c r="AD144" t="n">
        <x:v>46156.16041300926</x:v>
      </x:c>
      <x:c r="AE144" t="str">
        <x:v>The following resources to be decommissioned as confirmed by COMPASS app team. 
1. Development Server PTSG-4CMPSap02 172.25.52.199 
2. Staging Server PTSG-4CMPSap01 172.25.52.250 
3. Production Server PTSG-1CMPSap02 172.25.192.23
4. DB: decarb-opt only in Host: ptsg-4compasspgsql02.postgres.database.azure.com
5. DB: postgres (default DB) only in Host: ptazsg-1compass-psql01.postgres.database.azure.com
6. DB: decarb-opt only in Host: ptsg-4compasspgsql-flexi.postgres.database.azure.com 172.25.56.129</x:v>
      </x:c>
      <x:c r="AF144" t="str">
        <x:v>approved</x:v>
      </x:c>
      <x:c r="AG144" t="str">
        <x:v>azlisham.md@petronas.com</x:v>
      </x:c>
      <x:c r="AH144" t="n">
        <x:v>46170.053599583334</x:v>
      </x:c>
      <x:c r="AI144" t="str">
        <x:v>The decommission request has been completed, and the status is now updated accordingly. Kindly verify from your end and confirm once reviewed.
The user has requested to place the decommissioning of ptsg-4compasspgsql-flexi on hold, pending deletion.</x:v>
      </x:c>
      <x:c r="AJ144" t="str">
        <x:v>A-000124</x:v>
      </x:c>
      <x:c r="AK144" t="n">
        <x:v>1709</x:v>
      </x:c>
      <x:c r="AL144" t="str">
        <x:v>M</x:v>
      </x:c>
      <x:c r="AM144" t="str">
        <x:v>REQ000008048018</x:v>
      </x:c>
      <x:c r="AN144" t="str">
        <x:v>disposal</x:v>
      </x:c>
      <x:c r="AO144" t="n">
        <x:v>0</x:v>
      </x:c>
      <x:c r="AP144" s="23" t="str">
        <x:f>IF(E144="processing",IF(Z144="","",IF(ISNUMBER(Z144),INT(Z144),DATE(VALUE(LEFT(Z144,4)),VALUE(MID(Z144,6,2)),VALUE(MID(Z144,9,2))))),IF(OR(E144="executing",E144="pending"),IF(AD144="","",IF(ISNUMBER(AD144),INT(AD144),DATE(VALUE(LEFT(AD144,4)),VALUE(MID(AD144,6,2)),VALUE(MID(AD144,9,2))))),""))</x:f>
      </x:c>
      <x:c r="AQ144" s="24" t="str">
        <x:f>IF(AP144="","",INT('Configuration'!$B$4)-AP144)</x:f>
      </x:c>
      <x:c r="AR144" s="25" t="str">
        <x:f>IF(AP144="","Missing Required Date",IF(AQ144&lt;0,"Future Date",IF(AQ144=0,"0 days",IF(AQ144&lt;=2,"1-2 days",IF(AQ144&lt;=7,"3-7 days",IF(AQ144&lt;=14,"8-14 days",IF(AQ144&lt;=30,"15-30 days",IF(AQ144&lt;=60,"31-60 days",IF(AQ144&lt;=70,"61-70 days","71+ days")))))))))</x:f>
        <x:v>Missing Required Date</x:v>
      </x:c>
      <x:c r="AS144" s="25" t="str">
        <x:f>IF(OR(E144="processing",E144="executing",E144="pending"),IF(AP144="","Required aging date missing",IF(AQ144&gt;30,"Escalate &gt;30d",IF(AQ144&gt;14,"Watch &gt;14d","Within 14d"))),"Out of scope")</x:f>
        <x:v>Out of scope</x:v>
      </x:c>
    </x:row>
    <x:row r="145" ht="24" customHeight="1">
      <x:c r="A145" t="str">
        <x:v>0109eed2-8e73-4f32-9fd6-8475681a48b6</x:v>
      </x:c>
      <x:c r="B145" t="str">
        <x:v>CSSP10278874</x:v>
      </x:c>
      <x:c r="C145" t="str">
        <x:v>diana.ali@petronas.com</x:v>
      </x:c>
      <x:c r="D145" t="str">
        <x:v>decommission-cloud</x:v>
      </x:c>
      <x:c r="E145" t="str">
        <x:v>completed</x:v>
      </x:c>
      <x:c r="F145" t="n">
        <x:v>46086.615896180556</x:v>
      </x:c>
      <x:c r="G145" t="n">
        <x:v>46093.16797584491</x:v>
      </x:c>
      <x:c r="H145" t="n">
        <x:v>46086.615896180556</x:v>
      </x:c>
      <x:c r="I145" t="str">
        <x:v>Enterprise Application Integration - EAI WebMethod</x:v>
      </x:c>
      <x:c r="J145" t="str">
        <x:v>EAI WebMethod Integration Platform Cloud Migration and Upgrade</x:v>
      </x:c>
      <x:c r="K145" t="str">
        <x:v>full</x:v>
      </x:c>
      <x:c r="L145" t="str">
        <x:v>DCOM2026030502b</x:v>
      </x:c>
      <x:c r="M145" t="str">
        <x:v>mahzan.musa@petronas.com</x:v>
      </x:c>
      <x:c r="N145" t="str">
        <x:v>myeaiint.petronas.com, myeaiext.petronas.com</x:v>
      </x:c>
      <x:c r="O145"/>
      <x:c r="P145" t="str">
        <x:v>The WebMethods integration has been migrated to MuleSoft.</x:v>
      </x:c>
      <x:c r="Q145" t="str">
        <x:v>3M</x:v>
      </x:c>
      <x:c r="R145" t="str">
        <x:v>Upgrade</x:v>
      </x:c>
      <x:c r="S145"/>
      <x:c r="T145" t="str">
        <x:v>approved</x:v>
      </x:c>
      <x:c r="U145" t="str">
        <x:v>diana.ali@petronas.com</x:v>
      </x:c>
      <x:c r="V145" t="n">
        <x:v>46086.617367465275</x:v>
      </x:c>
      <x:c r="W145" t="str">
        <x:v>Full decomission of EAI . EAI WebMethods integration has been fully migrated to MuleSoft.</x:v>
      </x:c>
      <x:c r="X145" t="str">
        <x:v>approved</x:v>
      </x:c>
      <x:c r="Y145" t="str">
        <x:v>mahzan.musa@petronas.com</x:v>
      </x:c>
      <x:c r="Z145" t="n">
        <x:v>46090.264049502315</x:v>
      </x:c>
      <x:c r="AA145" t="str">
        <x:v>approved as platform has been migrated to MuleSoft</x:v>
      </x:c>
      <x:c r="AB145" t="str">
        <x:v>approved</x:v>
      </x:c>
      <x:c r="AC145" t="str">
        <x:v>azwan.badari@petronas.com</x:v>
      </x:c>
      <x:c r="AD145" t="n">
        <x:v>46091.24806758102</x:v>
      </x:c>
      <x:c r="AE145" t="str">
        <x:v>Proceed</x:v>
      </x:c>
      <x:c r="AF145" t="str">
        <x:v>approved</x:v>
      </x:c>
      <x:c r="AG145" t="str">
        <x:v>azlisham.md@petronas.com</x:v>
      </x:c>
      <x:c r="AH145" t="n">
        <x:v>46093.16797585648</x:v>
      </x:c>
      <x:c r="AI145" t="str">
        <x:v>The decommission request has been completed, and the status is now updated accordingly. Kindly verify from your end and confirm once reviewed.
</x:v>
      </x:c>
      <x:c r="AJ145" t="str">
        <x:v>A-000253</x:v>
      </x:c>
      <x:c r="AK145" t="n">
        <x:v>1726</x:v>
      </x:c>
      <x:c r="AL145" t="str">
        <x:v>L</x:v>
      </x:c>
      <x:c r="AM145" t="str">
        <x:v>REQ000007924010</x:v>
      </x:c>
      <x:c r="AN145" t="str">
        <x:v>retention</x:v>
      </x:c>
      <x:c r="AO145" t="n">
        <x:v>90</x:v>
      </x:c>
      <x:c r="AP145" s="23" t="str">
        <x:f>IF(E145="processing",IF(Z145="","",IF(ISNUMBER(Z145),INT(Z145),DATE(VALUE(LEFT(Z145,4)),VALUE(MID(Z145,6,2)),VALUE(MID(Z145,9,2))))),IF(OR(E145="executing",E145="pending"),IF(AD145="","",IF(ISNUMBER(AD145),INT(AD145),DATE(VALUE(LEFT(AD145,4)),VALUE(MID(AD145,6,2)),VALUE(MID(AD145,9,2))))),""))</x:f>
      </x:c>
      <x:c r="AQ145" s="24" t="str">
        <x:f>IF(AP145="","",INT('Configuration'!$B$4)-AP145)</x:f>
      </x:c>
      <x:c r="AR145" s="25" t="str">
        <x:f>IF(AP145="","Missing Required Date",IF(AQ145&lt;0,"Future Date",IF(AQ145=0,"0 days",IF(AQ145&lt;=2,"1-2 days",IF(AQ145&lt;=7,"3-7 days",IF(AQ145&lt;=14,"8-14 days",IF(AQ145&lt;=30,"15-30 days",IF(AQ145&lt;=60,"31-60 days",IF(AQ145&lt;=70,"61-70 days","71+ days")))))))))</x:f>
        <x:v>Missing Required Date</x:v>
      </x:c>
      <x:c r="AS145" s="25" t="str">
        <x:f>IF(OR(E145="processing",E145="executing",E145="pending"),IF(AP145="","Required aging date missing",IF(AQ145&gt;30,"Escalate &gt;30d",IF(AQ145&gt;14,"Watch &gt;14d","Within 14d"))),"Out of scope")</x:f>
        <x:v>Out of scope</x:v>
      </x:c>
    </x:row>
    <x:row r="146" ht="24" customHeight="1">
      <x:c r="A146" t="str">
        <x:v>64416d70-6e34-43be-8b8a-77e22bdc39ee</x:v>
      </x:c>
      <x:c r="B146" t="str">
        <x:v>CSSP10656783</x:v>
      </x:c>
      <x:c r="C146" t="str">
        <x:v>mzurfaiezzuddin.zur@petronas.com</x:v>
      </x:c>
      <x:c r="D146" t="str">
        <x:v>decommission-cloud</x:v>
      </x:c>
      <x:c r="E146" t="str">
        <x:v>completed</x:v>
      </x:c>
      <x:c r="F146" t="n">
        <x:v>46090.095560092595</x:v>
      </x:c>
      <x:c r="G146" t="n">
        <x:v>46111.290794305554</x:v>
      </x:c>
      <x:c r="H146" t="n">
        <x:v>46090.095560092595</x:v>
      </x:c>
      <x:c r="I146" t="str">
        <x:v>Orion MLNG</x:v>
      </x:c>
      <x:c r="J146" t="str">
        <x:v>Full-Fledge Deployment of ORION Engine and Front-End Development</x:v>
      </x:c>
      <x:c r="K146" t="str">
        <x:v>partial</x:v>
      </x:c>
      <x:c r="L146"/>
      <x:c r="M146" t="str">
        <x:v>sazali.mokhtar@petronas.com</x:v>
      </x:c>
      <x:c r="N146"/>
      <x:c r="O146"/>
      <x:c r="P146" t="str">
        <x:v>Cloud Repatriation - To decommission old resources in Singapore region due to completed migration in MY region</x:v>
      </x:c>
      <x:c r="Q146" t="str">
        <x:v>2W</x:v>
      </x:c>
      <x:c r="R146" t="str">
        <x:v>Cloud Migration</x:v>
      </x:c>
      <x:c r="S146"/>
      <x:c r="T146" t="str">
        <x:v>approved</x:v>
      </x:c>
      <x:c r="U146" t="str">
        <x:v>mzurfaiezzuddin.zur@petronas.com</x:v>
      </x:c>
      <x:c r="V146" t="n">
        <x:v>46090.09713716435</x:v>
      </x:c>
      <x:c r="W146" t="str">
        <x:v>Cloud Repatriation - To decommission old resources in Singapore region due to completed migration in MY region</x:v>
      </x:c>
      <x:c r="X146" t="str">
        <x:v>approved</x:v>
      </x:c>
      <x:c r="Y146" t="str">
        <x:v>sazali.mokhtar@petronas.com</x:v>
      </x:c>
      <x:c r="Z146" t="n">
        <x:v>46099.221968020836</x:v>
      </x:c>
      <x:c r="AA146" t="str">
        <x:v>Cloud Repatriation - To decommission old resources in Singapore region due to completed migration in MY region</x:v>
      </x:c>
      <x:c r="AB146" t="str">
        <x:v>approved</x:v>
      </x:c>
      <x:c r="AC146" t="str">
        <x:v>azwan.badari@petronas.com</x:v>
      </x:c>
      <x:c r="AD146" t="n">
        <x:v>46107.14695997685</x:v>
      </x:c>
      <x:c r="AE146" t="str">
        <x:v>Repat - Decommission selected resources</x:v>
      </x:c>
      <x:c r="AF146" t="str">
        <x:v>approved</x:v>
      </x:c>
      <x:c r="AG146" t="str">
        <x:v>azwan.badari@petronas.com</x:v>
      </x:c>
      <x:c r="AH146" t="n">
        <x:v>46111.29079431713</x:v>
      </x:c>
      <x:c r="AI146" t="str">
        <x:v>Completed</x:v>
      </x:c>
      <x:c r="AJ146" t="str">
        <x:v>A-000530</x:v>
      </x:c>
      <x:c r="AK146" t="n">
        <x:v>3579</x:v>
      </x:c>
      <x:c r="AL146" t="str">
        <x:v>M</x:v>
      </x:c>
      <x:c r="AM146" t="str">
        <x:v>REQ000007948447</x:v>
      </x:c>
      <x:c r="AN146" t="str">
        <x:v>noretention</x:v>
      </x:c>
      <x:c r="AO146" t="n">
        <x:v>0</x:v>
      </x:c>
      <x:c r="AP146" s="23" t="str">
        <x:f>IF(E146="processing",IF(Z146="","",IF(ISNUMBER(Z146),INT(Z146),DATE(VALUE(LEFT(Z146,4)),VALUE(MID(Z146,6,2)),VALUE(MID(Z146,9,2))))),IF(OR(E146="executing",E146="pending"),IF(AD146="","",IF(ISNUMBER(AD146),INT(AD146),DATE(VALUE(LEFT(AD146,4)),VALUE(MID(AD146,6,2)),VALUE(MID(AD146,9,2))))),""))</x:f>
      </x:c>
      <x:c r="AQ146" s="24" t="str">
        <x:f>IF(AP146="","",INT('Configuration'!$B$4)-AP146)</x:f>
      </x:c>
      <x:c r="AR146" s="25" t="str">
        <x:f>IF(AP146="","Missing Required Date",IF(AQ146&lt;0,"Future Date",IF(AQ146=0,"0 days",IF(AQ146&lt;=2,"1-2 days",IF(AQ146&lt;=7,"3-7 days",IF(AQ146&lt;=14,"8-14 days",IF(AQ146&lt;=30,"15-30 days",IF(AQ146&lt;=60,"31-60 days",IF(AQ146&lt;=70,"61-70 days","71+ days")))))))))</x:f>
        <x:v>Missing Required Date</x:v>
      </x:c>
      <x:c r="AS146" s="25" t="str">
        <x:f>IF(OR(E146="processing",E146="executing",E146="pending"),IF(AP146="","Required aging date missing",IF(AQ146&gt;30,"Escalate &gt;30d",IF(AQ146&gt;14,"Watch &gt;14d","Within 14d"))),"Out of scope")</x:f>
        <x:v>Out of scope</x:v>
      </x:c>
    </x:row>
    <x:row r="147" ht="24" customHeight="1">
      <x:c r="A147" t="str">
        <x:v>d73e9b44-6b7a-44f8-9d40-d7e492fd4c8d</x:v>
      </x:c>
      <x:c r="B147" t="str">
        <x:v>CSSP10768875</x:v>
      </x:c>
      <x:c r="C147" t="str">
        <x:v>zulhasyidi.hassan@petronas.com</x:v>
      </x:c>
      <x:c r="D147" t="str">
        <x:v>decommission-cloud</x:v>
      </x:c>
      <x:c r="E147" t="str">
        <x:v>completed</x:v>
      </x:c>
      <x:c r="F147" t="n">
        <x:v>46090.31270055556</x:v>
      </x:c>
      <x:c r="G147" t="n">
        <x:v>46094.34097380787</x:v>
      </x:c>
      <x:c r="H147" t="n">
        <x:v>46090.31270055556</x:v>
      </x:c>
      <x:c r="I147" t="str">
        <x:v>SmartSignal</x:v>
      </x:c>
      <x:c r="J147" t="str">
        <x:v>CTP Old to New LZ - GE Smart Signal for GTS</x:v>
      </x:c>
      <x:c r="K147" t="str">
        <x:v>full</x:v>
      </x:c>
      <x:c r="L147" t="str">
        <x:v>DCOM2026030982f</x:v>
      </x:c>
      <x:c r="M147" t="str">
        <x:v>mohammadsani.johari@petronas.com.my</x:v>
      </x:c>
      <x:c r="N147" t="str">
        <x:v>mmpdsmartsignal.petronas.com</x:v>
      </x:c>
      <x:c r="O147"/>
      <x:c r="P147" t="str">
        <x:v>no longer in use.</x:v>
      </x:c>
      <x:c r="Q147" t="str">
        <x:v>1M</x:v>
      </x:c>
      <x:c r="R147" t="str">
        <x:v>Not in Used</x:v>
      </x:c>
      <x:c r="S147"/>
      <x:c r="T147" t="str">
        <x:v>approved</x:v>
      </x:c>
      <x:c r="U147" t="str">
        <x:v>zulhasyidi.hassan@petronas.com</x:v>
      </x:c>
      <x:c r="V147" t="n">
        <x:v>46090.33072543982</x:v>
      </x:c>
      <x:c r="W147" t="str">
        <x:v>Decomm related to smart signal only, exclude data platform resources which was wrongly tagged.</x:v>
      </x:c>
      <x:c r="X147" t="str">
        <x:v>approved</x:v>
      </x:c>
      <x:c r="Y147" t="str">
        <x:v>mohammadsani.johari@petronas.com</x:v>
      </x:c>
      <x:c r="Z147" t="n">
        <x:v>46093.05255792824</x:v>
      </x:c>
      <x:c r="AA147" t="str">
        <x:v>Approved.</x:v>
      </x:c>
      <x:c r="AB147" t="str">
        <x:v>approved</x:v>
      </x:c>
      <x:c r="AC147" t="str">
        <x:v>azwan.badari@petronas.com</x:v>
      </x:c>
      <x:c r="AD147" t="n">
        <x:v>46093.28865918981</x:v>
      </x:c>
      <x:c r="AE147" t="str">
        <x:v>Decommission PTAWSG-4SSAP01, PTAWSG-4SSDB01, PTAWSG-4SSWB01 in PTAW-IAC-NonPROD-PEnT-Environment-01</x:v>
      </x:c>
      <x:c r="AF147" t="str">
        <x:v>approved</x:v>
      </x:c>
      <x:c r="AG147" t="str">
        <x:v>azwan.badari@petronas.com</x:v>
      </x:c>
      <x:c r="AH147" t="n">
        <x:v>46094.34097380787</x:v>
      </x:c>
      <x:c r="AI147" t="str">
        <x:v>Completed</x:v>
      </x:c>
      <x:c r="AJ147" t="str">
        <x:v>A-000781</x:v>
      </x:c>
      <x:c r="AK147" t="str">
        <x:v>02421_99</x:v>
      </x:c>
      <x:c r="AL147" t="str">
        <x:v>M</x:v>
      </x:c>
      <x:c r="AM147" t="str">
        <x:v>REQ000007930758</x:v>
      </x:c>
      <x:c r="AN147" t="str">
        <x:v>disposal</x:v>
      </x:c>
      <x:c r="AO147" t="n">
        <x:v>0</x:v>
      </x:c>
      <x:c r="AP147" s="23" t="str">
        <x:f>IF(E147="processing",IF(Z147="","",IF(ISNUMBER(Z147),INT(Z147),DATE(VALUE(LEFT(Z147,4)),VALUE(MID(Z147,6,2)),VALUE(MID(Z147,9,2))))),IF(OR(E147="executing",E147="pending"),IF(AD147="","",IF(ISNUMBER(AD147),INT(AD147),DATE(VALUE(LEFT(AD147,4)),VALUE(MID(AD147,6,2)),VALUE(MID(AD147,9,2))))),""))</x:f>
      </x:c>
      <x:c r="AQ147" s="24" t="str">
        <x:f>IF(AP147="","",INT('Configuration'!$B$4)-AP147)</x:f>
      </x:c>
      <x:c r="AR147" s="25" t="str">
        <x:f>IF(AP147="","Missing Required Date",IF(AQ147&lt;0,"Future Date",IF(AQ147=0,"0 days",IF(AQ147&lt;=2,"1-2 days",IF(AQ147&lt;=7,"3-7 days",IF(AQ147&lt;=14,"8-14 days",IF(AQ147&lt;=30,"15-30 days",IF(AQ147&lt;=60,"31-60 days",IF(AQ147&lt;=70,"61-70 days","71+ days")))))))))</x:f>
        <x:v>Missing Required Date</x:v>
      </x:c>
      <x:c r="AS147" s="25" t="str">
        <x:f>IF(OR(E147="processing",E147="executing",E147="pending"),IF(AP147="","Required aging date missing",IF(AQ147&gt;30,"Escalate &gt;30d",IF(AQ147&gt;14,"Watch &gt;14d","Within 14d"))),"Out of scope")</x:f>
        <x:v>Out of scope</x:v>
      </x:c>
    </x:row>
    <x:row r="148" ht="24" customHeight="1">
      <x:c r="A148" t="str">
        <x:v>5c0f8534-0f8b-416a-b9b1-4638b5157553</x:v>
      </x:c>
      <x:c r="B148" t="str">
        <x:v>CSSP10412234</x:v>
      </x:c>
      <x:c r="C148" t="str">
        <x:v>cus.ng@petronas.com</x:v>
      </x:c>
      <x:c r="D148" t="str">
        <x:v>decommission-cloud</x:v>
      </x:c>
      <x:c r="E148" t="str">
        <x:v>cancelled</x:v>
      </x:c>
      <x:c r="F148" t="n">
        <x:v>46091.41399354167</x:v>
      </x:c>
      <x:c r="G148" t="n">
        <x:v>46091.4155815162</x:v>
      </x:c>
      <x:c r="H148" t="n">
        <x:v>46091.41399354167</x:v>
      </x:c>
      <x:c r="I148" t="str">
        <x:v>Static Equipment Analytic Library - SEAL</x:v>
      </x:c>
      <x:c r="J148" t="str">
        <x:v>Static Equipment Analytic Library (SEAL) as Upstream Static Equipment Advanced Analytical Tools for Upstream COE</x:v>
      </x:c>
      <x:c r="K148" t="str">
        <x:v>partial</x:v>
      </x:c>
      <x:c r="L148"/>
      <x:c r="M148" t="str">
        <x:v>ghimyee.tang@petronas.com.my</x:v>
      </x:c>
      <x:c r="N148" t="str">
        <x:v>sealmrsstaging.petronas.com:443</x:v>
      </x:c>
      <x:c r="O148"/>
      <x:c r="P148" t="str">
        <x:v>To fully remove or disable the asset (including Azure App Service and DNS records) for URL – sealmrsstaging.petronas.com:443
This is an old ununsed SEALMRS Staging URL that is no longer needed.
Vulnerability Management reported a Severe SSL/TLS configuration finding for the following URL via BitSight. They have advised to decommission it. 
Issues: TLS 1.0 enabled, TLS 1.1 enabled, SSL certificate name mismatch (Status: BAD, impacting BitSight rating)</x:v>
      </x:c>
      <x:c r="Q148" t="str">
        <x:v>1M</x:v>
      </x:c>
      <x:c r="R148" t="str">
        <x:v>Not in Used</x:v>
      </x:c>
      <x:c r="S148"/>
      <x:c r="T148" t="str">
        <x:v>rejected</x:v>
      </x:c>
      <x:c r="U148" t="str">
        <x:v>cus.ng@petronas.com</x:v>
      </x:c>
      <x:c r="V148" t="n">
        <x:v>46091.41558152778</x:v>
      </x:c>
      <x:c r="W148"/>
      <x:c r="X148"/>
      <x:c r="Y148" t="str">
        <x:v>ghimyee.tang@petronas.com</x:v>
      </x:c>
      <x:c r="Z148"/>
      <x:c r="AA148"/>
      <x:c r="AB148"/>
      <x:c r="AC148" t="str">
        <x:v>CCoE Business</x:v>
      </x:c>
      <x:c r="AD148"/>
      <x:c r="AE148"/>
      <x:c r="AF148"/>
      <x:c r="AG148" t="str">
        <x:v>CCoE Operations</x:v>
      </x:c>
      <x:c r="AH148"/>
      <x:c r="AI148"/>
      <x:c r="AJ148" t="str">
        <x:v>A-000755</x:v>
      </x:c>
      <x:c r="AK148" t="n">
        <x:v>2173</x:v>
      </x:c>
      <x:c r="AL148"/>
      <x:c r="AM148"/>
      <x:c r="AN148" t="str">
        <x:v>disposal</x:v>
      </x:c>
      <x:c r="AO148" t="n">
        <x:v>0</x:v>
      </x:c>
      <x:c r="AP148" s="23" t="str">
        <x:f>IF(E148="processing",IF(Z148="","",IF(ISNUMBER(Z148),INT(Z148),DATE(VALUE(LEFT(Z148,4)),VALUE(MID(Z148,6,2)),VALUE(MID(Z148,9,2))))),IF(OR(E148="executing",E148="pending"),IF(AD148="","",IF(ISNUMBER(AD148),INT(AD148),DATE(VALUE(LEFT(AD148,4)),VALUE(MID(AD148,6,2)),VALUE(MID(AD148,9,2))))),""))</x:f>
      </x:c>
      <x:c r="AQ148" s="24" t="str">
        <x:f>IF(AP148="","",INT('Configuration'!$B$4)-AP148)</x:f>
      </x:c>
      <x:c r="AR148" s="25" t="str">
        <x:f>IF(AP148="","Missing Required Date",IF(AQ148&lt;0,"Future Date",IF(AQ148=0,"0 days",IF(AQ148&lt;=2,"1-2 days",IF(AQ148&lt;=7,"3-7 days",IF(AQ148&lt;=14,"8-14 days",IF(AQ148&lt;=30,"15-30 days",IF(AQ148&lt;=60,"31-60 days",IF(AQ148&lt;=70,"61-70 days","71+ days")))))))))</x:f>
        <x:v>Missing Required Date</x:v>
      </x:c>
      <x:c r="AS148" s="25" t="str">
        <x:f>IF(OR(E148="processing",E148="executing",E148="pending"),IF(AP148="","Required aging date missing",IF(AQ148&gt;30,"Escalate &gt;30d",IF(AQ148&gt;14,"Watch &gt;14d","Within 14d"))),"Out of scope")</x:f>
        <x:v>Out of scope</x:v>
      </x:c>
    </x:row>
    <x:row r="149" ht="24" customHeight="1">
      <x:c r="A149" t="str">
        <x:v>b3f3a5cb-c8ec-4cf0-8ea1-9857501fffbf</x:v>
      </x:c>
      <x:c r="B149" t="str">
        <x:v>CSSP10850861</x:v>
      </x:c>
      <x:c r="C149" t="str">
        <x:v>aliuddin.abdrauf@petronas.com</x:v>
      </x:c>
      <x:c r="D149" t="str">
        <x:v>decommission-cloud</x:v>
      </x:c>
      <x:c r="E149" t="str">
        <x:v>cancelled</x:v>
      </x:c>
      <x:c r="F149" t="n">
        <x:v>46092.34172646991</x:v>
      </x:c>
      <x:c r="G149" t="n">
        <x:v>46092.36049976852</x:v>
      </x:c>
      <x:c r="H149" t="n">
        <x:v>46092.34172648148</x:v>
      </x:c>
      <x:c r="I149" t="str">
        <x:v>Wells DROID</x:v>
      </x:c>
      <x:c r="J149" t="str">
        <x:v>Cloud Migration - Wells Droid 2.0</x:v>
      </x:c>
      <x:c r="K149" t="str">
        <x:v>partial</x:v>
      </x:c>
      <x:c r="L149"/>
      <x:c r="M149" t="str">
        <x:v>eanand.ehambaram@petronas.com</x:v>
      </x:c>
      <x:c r="N149" t="str">
        <x:v>droidtesting.petronas.com</x:v>
      </x:c>
      <x:c r="O149"/>
      <x:c r="P149" t="str">
        <x:v>this url does not bind to any resources</x:v>
      </x:c>
      <x:c r="Q149" t="str">
        <x:v>2W</x:v>
      </x:c>
      <x:c r="R149" t="str">
        <x:v>Not in Used</x:v>
      </x:c>
      <x:c r="S149"/>
      <x:c r="T149" t="str">
        <x:v>rejected</x:v>
      </x:c>
      <x:c r="U149" t="str">
        <x:v>aliuddin.abdrauf@petronas.com</x:v>
      </x:c>
      <x:c r="V149" t="n">
        <x:v>46092.36049976852</x:v>
      </x:c>
      <x:c r="W149"/>
      <x:c r="X149"/>
      <x:c r="Y149" t="str">
        <x:v>eanand.ehambaram@petronas.com</x:v>
      </x:c>
      <x:c r="Z149"/>
      <x:c r="AA149"/>
      <x:c r="AB149"/>
      <x:c r="AC149" t="str">
        <x:v>CCoE Business</x:v>
      </x:c>
      <x:c r="AD149"/>
      <x:c r="AE149"/>
      <x:c r="AF149"/>
      <x:c r="AG149" t="str">
        <x:v>CCoE Operations</x:v>
      </x:c>
      <x:c r="AH149"/>
      <x:c r="AI149"/>
      <x:c r="AJ149" t="str">
        <x:v>A-000859</x:v>
      </x:c>
      <x:c r="AK149" t="str">
        <x:v>00915_133</x:v>
      </x:c>
      <x:c r="AL149"/>
      <x:c r="AM149"/>
      <x:c r="AN149" t="str">
        <x:v>noretention</x:v>
      </x:c>
      <x:c r="AO149" t="n">
        <x:v>0</x:v>
      </x:c>
      <x:c r="AP149" s="23" t="str">
        <x:f>IF(E149="processing",IF(Z149="","",IF(ISNUMBER(Z149),INT(Z149),DATE(VALUE(LEFT(Z149,4)),VALUE(MID(Z149,6,2)),VALUE(MID(Z149,9,2))))),IF(OR(E149="executing",E149="pending"),IF(AD149="","",IF(ISNUMBER(AD149),INT(AD149),DATE(VALUE(LEFT(AD149,4)),VALUE(MID(AD149,6,2)),VALUE(MID(AD149,9,2))))),""))</x:f>
      </x:c>
      <x:c r="AQ149" s="24" t="str">
        <x:f>IF(AP149="","",INT('Configuration'!$B$4)-AP149)</x:f>
      </x:c>
      <x:c r="AR149" s="25" t="str">
        <x:f>IF(AP149="","Missing Required Date",IF(AQ149&lt;0,"Future Date",IF(AQ149=0,"0 days",IF(AQ149&lt;=2,"1-2 days",IF(AQ149&lt;=7,"3-7 days",IF(AQ149&lt;=14,"8-14 days",IF(AQ149&lt;=30,"15-30 days",IF(AQ149&lt;=60,"31-60 days",IF(AQ149&lt;=70,"61-70 days","71+ days")))))))))</x:f>
        <x:v>Missing Required Date</x:v>
      </x:c>
      <x:c r="AS149" s="25" t="str">
        <x:f>IF(OR(E149="processing",E149="executing",E149="pending"),IF(AP149="","Required aging date missing",IF(AQ149&gt;30,"Escalate &gt;30d",IF(AQ149&gt;14,"Watch &gt;14d","Within 14d"))),"Out of scope")</x:f>
        <x:v>Out of scope</x:v>
      </x:c>
    </x:row>
    <x:row r="150" ht="24" customHeight="1">
      <x:c r="A150" t="str">
        <x:v>947dde13-4595-4559-962a-0ac936a6aa63</x:v>
      </x:c>
      <x:c r="B150" t="str">
        <x:v>CSSP10128136</x:v>
      </x:c>
      <x:c r="C150" t="str">
        <x:v>amirasufiya.mradz@petronas.com</x:v>
      </x:c>
      <x:c r="D150" t="str">
        <x:v>decommission-cloud</x:v>
      </x:c>
      <x:c r="E150" t="str">
        <x:v>completed</x:v>
      </x:c>
      <x:c r="F150" t="n">
        <x:v>46097.22667715278</x:v>
      </x:c>
      <x:c r="G150" t="n">
        <x:v>46114.378272256945</x:v>
      </x:c>
      <x:c r="H150" t="n">
        <x:v>46099.35736538195</x:v>
      </x:c>
      <x:c r="I150" t="str">
        <x:v>Operations Planning-RGT2 - OPP</x:v>
      </x:c>
      <x:c r="J150" t="str">
        <x:v>OCI MIGRATION - OPP RGT2 PRPC</x:v>
      </x:c>
      <x:c r="K150" t="str">
        <x:v>full</x:v>
      </x:c>
      <x:c r="L150" t="str">
        <x:v>DCOM20260318865</x:v>
      </x:c>
      <x:c r="M150" t="str">
        <x:v>siowfui.chen@petronas.com.my</x:v>
      </x:c>
      <x:c r="N150" t="str">
        <x:v>rgtpopp.petronas.com</x:v>
      </x:c>
      <x:c r="O150"/>
      <x:c r="P150" t="str">
        <x:v>as per approved memo to decommission Operations Planning-RGT2 (OPP)</x:v>
      </x:c>
      <x:c r="Q150" t="str">
        <x:v>12M</x:v>
      </x:c>
      <x:c r="R150" t="str">
        <x:v>Obsolete</x:v>
      </x:c>
      <x:c r="S150"/>
      <x:c r="T150" t="str">
        <x:v>approved</x:v>
      </x:c>
      <x:c r="U150" t="str">
        <x:v>amirasufiya.mradz@petronas.com</x:v>
      </x:c>
      <x:c r="V150" t="n">
        <x:v>46099.36993204861</x:v>
      </x:c>
      <x:c r="W150" t="str">
        <x:v>2 Database Storage in AWS: ptawsg-1plngdb01; ptawsg-5plngdb01</x:v>
      </x:c>
      <x:c r="X150" t="str">
        <x:v>approved</x:v>
      </x:c>
      <x:c r="Y150" t="str">
        <x:v>siowfui.chen@petronas.com</x:v>
      </x:c>
      <x:c r="Z150" t="n">
        <x:v>46112.138374166665</x:v>
      </x:c>
      <x:c r="AA150" t="str">
        <x:v>Reviewed</x:v>
      </x:c>
      <x:c r="AB150" t="str">
        <x:v>approved</x:v>
      </x:c>
      <x:c r="AC150" t="str">
        <x:v>azwan.badari@petronas.com</x:v>
      </x:c>
      <x:c r="AD150" t="n">
        <x:v>46112.279189189816</x:v>
      </x:c>
      <x:c r="AE150" t="str">
        <x:v>Proceed to decommission selected OCI in PTAW-IAC-NonPROD-DownStream-Environment-01 &amp; PTAW-IAC-PROD-DownStream-Environment-01</x:v>
      </x:c>
      <x:c r="AF150" t="str">
        <x:v>approved</x:v>
      </x:c>
      <x:c r="AG150" t="str">
        <x:v>azlisham.md@petronas.com</x:v>
      </x:c>
      <x:c r="AH150" t="n">
        <x:v>46114.37827228009</x:v>
      </x:c>
      <x:c r="AI150" t="str">
        <x:v>The decommission request has been completed, and the status is now updated accordingly. Kindly verify from your end and confirm once reviewed.
</x:v>
      </x:c>
      <x:c r="AJ150" t="str">
        <x:v>A-000527</x:v>
      </x:c>
      <x:c r="AK150" t="str">
        <x:v>OCI-00033</x:v>
      </x:c>
      <x:c r="AL150" t="str">
        <x:v>M</x:v>
      </x:c>
      <x:c r="AM150" t="str">
        <x:v>REQ000007957430</x:v>
      </x:c>
      <x:c r="AN150" t="str">
        <x:v>retention</x:v>
      </x:c>
      <x:c r="AO150" t="n">
        <x:v>365</x:v>
      </x:c>
      <x:c r="AP150" s="23" t="str">
        <x:f>IF(E150="processing",IF(Z150="","",IF(ISNUMBER(Z150),INT(Z150),DATE(VALUE(LEFT(Z150,4)),VALUE(MID(Z150,6,2)),VALUE(MID(Z150,9,2))))),IF(OR(E150="executing",E150="pending"),IF(AD150="","",IF(ISNUMBER(AD150),INT(AD150),DATE(VALUE(LEFT(AD150,4)),VALUE(MID(AD150,6,2)),VALUE(MID(AD150,9,2))))),""))</x:f>
      </x:c>
      <x:c r="AQ150" s="24" t="str">
        <x:f>IF(AP150="","",INT('Configuration'!$B$4)-AP150)</x:f>
      </x:c>
      <x:c r="AR150" s="25" t="str">
        <x:f>IF(AP150="","Missing Required Date",IF(AQ150&lt;0,"Future Date",IF(AQ150=0,"0 days",IF(AQ150&lt;=2,"1-2 days",IF(AQ150&lt;=7,"3-7 days",IF(AQ150&lt;=14,"8-14 days",IF(AQ150&lt;=30,"15-30 days",IF(AQ150&lt;=60,"31-60 days",IF(AQ150&lt;=70,"61-70 days","71+ days")))))))))</x:f>
        <x:v>Missing Required Date</x:v>
      </x:c>
      <x:c r="AS150" s="25" t="str">
        <x:f>IF(OR(E150="processing",E150="executing",E150="pending"),IF(AP150="","Required aging date missing",IF(AQ150&gt;30,"Escalate &gt;30d",IF(AQ150&gt;14,"Watch &gt;14d","Within 14d"))),"Out of scope")</x:f>
        <x:v>Out of scope</x:v>
      </x:c>
    </x:row>
    <x:row r="151" ht="24" customHeight="1">
      <x:c r="A151" t="str">
        <x:v>b20df41a-cbc6-40b9-b34e-db14f38d89ec</x:v>
      </x:c>
      <x:c r="B151" t="str">
        <x:v>CSSP10778403</x:v>
      </x:c>
      <x:c r="C151" t="str">
        <x:v>haslina.hashim@petronas.com</x:v>
      </x:c>
      <x:c r="D151" t="str">
        <x:v>decommission-cloud</x:v>
      </x:c>
      <x:c r="E151" t="str">
        <x:v>completed</x:v>
      </x:c>
      <x:c r="F151" t="n">
        <x:v>46097.32502586806</x:v>
      </x:c>
      <x:c r="G151" t="n">
        <x:v>46111.1324958912</x:v>
      </x:c>
      <x:c r="H151" t="n">
        <x:v>46097.32502586806</x:v>
      </x:c>
      <x:c r="I151" t="str">
        <x:v>ArBiTra PTLCL</x:v>
      </x:c>
      <x:c r="J151" t="str">
        <x:v>Professional Service, Software License and Infra for ArBiTra to PTLCL 2022-2023</x:v>
      </x:c>
      <x:c r="K151" t="str">
        <x:v>partial</x:v>
      </x:c>
      <x:c r="L151"/>
      <x:c r="M151" t="str">
        <x:v>sazali.mokhtar@petronas.com</x:v>
      </x:c>
      <x:c r="N151"/>
      <x:c r="O151"/>
      <x:c r="P151" t="str">
        <x:v>Cloud Repatriation - To decommission old resources in Singapore region due to completed migration in MY region. Please refer below attachment. Only the highlighted resources can be decom.</x:v>
      </x:c>
      <x:c r="Q151" t="str">
        <x:v>2W</x:v>
      </x:c>
      <x:c r="R151" t="str">
        <x:v>Cloud Migration</x:v>
      </x:c>
      <x:c r="S151"/>
      <x:c r="T151" t="str">
        <x:v>approved</x:v>
      </x:c>
      <x:c r="U151" t="str">
        <x:v>haslina.hashim@petronas.com</x:v>
      </x:c>
      <x:c r="V151" t="n">
        <x:v>46097.32554542824</x:v>
      </x:c>
      <x:c r="W151" t="str">
        <x:v>Please proceed with the highlighted resources only as per focal agreed </x:v>
      </x:c>
      <x:c r="X151" t="str">
        <x:v>approved</x:v>
      </x:c>
      <x:c r="Y151" t="str">
        <x:v>sazali.mokhtar@petronas.com</x:v>
      </x:c>
      <x:c r="Z151" t="n">
        <x:v>46099.22131472222</x:v>
      </x:c>
      <x:c r="AA151" t="str">
        <x:v>Cloud Repatriation - To decommission old resources in Singapore region due to completed migration in MY region. Please refer below attachment. Only the highlighted resources can be decom.</x:v>
      </x:c>
      <x:c r="AB151" t="str">
        <x:v>approved</x:v>
      </x:c>
      <x:c r="AC151" t="str">
        <x:v>azwan.badari@petronas.com</x:v>
      </x:c>
      <x:c r="AD151" t="n">
        <x:v>46107.14421763889</x:v>
      </x:c>
      <x:c r="AE151" t="str">
        <x:v>Repat - Decommission selected resources.
ptawsg-iac-nonprod-downstream-arbitra-pvtsto-dev-bucket
ptawsg-iac-prod-downstream-arbitra-pvtsto-bucket</x:v>
      </x:c>
      <x:c r="AF151" t="str">
        <x:v>approved</x:v>
      </x:c>
      <x:c r="AG151" t="str">
        <x:v>azwan.badari@petronas.com</x:v>
      </x:c>
      <x:c r="AH151" t="n">
        <x:v>46111.13249590278</x:v>
      </x:c>
      <x:c r="AI151" t="str">
        <x:v>Completed</x:v>
      </x:c>
      <x:c r="AJ151" t="str">
        <x:v>A-000064</x:v>
      </x:c>
      <x:c r="AK151" t="n">
        <x:v>2804</x:v>
      </x:c>
      <x:c r="AL151" t="str">
        <x:v>S</x:v>
      </x:c>
      <x:c r="AM151" t="str">
        <x:v>REQ000007948823</x:v>
      </x:c>
      <x:c r="AN151" t="str">
        <x:v>noretention</x:v>
      </x:c>
      <x:c r="AO151" t="n">
        <x:v>0</x:v>
      </x:c>
      <x:c r="AP151" s="23" t="str">
        <x:f>IF(E151="processing",IF(Z151="","",IF(ISNUMBER(Z151),INT(Z151),DATE(VALUE(LEFT(Z151,4)),VALUE(MID(Z151,6,2)),VALUE(MID(Z151,9,2))))),IF(OR(E151="executing",E151="pending"),IF(AD151="","",IF(ISNUMBER(AD151),INT(AD151),DATE(VALUE(LEFT(AD151,4)),VALUE(MID(AD151,6,2)),VALUE(MID(AD151,9,2))))),""))</x:f>
      </x:c>
      <x:c r="AQ151" s="24" t="str">
        <x:f>IF(AP151="","",INT('Configuration'!$B$4)-AP151)</x:f>
      </x:c>
      <x:c r="AR151" s="25" t="str">
        <x:f>IF(AP151="","Missing Required Date",IF(AQ151&lt;0,"Future Date",IF(AQ151=0,"0 days",IF(AQ151&lt;=2,"1-2 days",IF(AQ151&lt;=7,"3-7 days",IF(AQ151&lt;=14,"8-14 days",IF(AQ151&lt;=30,"15-30 days",IF(AQ151&lt;=60,"31-60 days",IF(AQ151&lt;=70,"61-70 days","71+ days")))))))))</x:f>
        <x:v>Missing Required Date</x:v>
      </x:c>
      <x:c r="AS151" s="25" t="str">
        <x:f>IF(OR(E151="processing",E151="executing",E151="pending"),IF(AP151="","Required aging date missing",IF(AQ151&gt;30,"Escalate &gt;30d",IF(AQ151&gt;14,"Watch &gt;14d","Within 14d"))),"Out of scope")</x:f>
        <x:v>Out of scope</x:v>
      </x:c>
    </x:row>
    <x:row r="152" ht="24" customHeight="1">
      <x:c r="A152" t="str">
        <x:v>10cb509f-6ff3-46be-9540-2606af854f62</x:v>
      </x:c>
      <x:c r="B152" t="str">
        <x:v>CSSP10179535</x:v>
      </x:c>
      <x:c r="C152" t="str">
        <x:v>mfadhlulwafi.mahadi@petronas.com</x:v>
      </x:c>
      <x:c r="D152" t="str">
        <x:v>decommission-cloud</x:v>
      </x:c>
      <x:c r="E152" t="str">
        <x:v>completed</x:v>
      </x:c>
      <x:c r="F152" t="n">
        <x:v>46098.104137256945</x:v>
      </x:c>
      <x:c r="G152" t="n">
        <x:v>46136.780996180554</x:v>
      </x:c>
      <x:c r="H152" t="n">
        <x:v>46098.12904787037</x:v>
      </x:c>
      <x:c r="I152" t="str">
        <x:v>Upstream HSE - UHSE Online</x:v>
      </x:c>
      <x:c r="J152" t="str">
        <x:v>Cloud Migration Program - UHSE Online Apps</x:v>
      </x:c>
      <x:c r="K152" t="str">
        <x:v>full</x:v>
      </x:c>
      <x:c r="L152" t="str">
        <x:v>DCOM20260317bc3</x:v>
      </x:c>
      <x:c r="M152" t="str">
        <x:v>rafedah.mdtap@petronas.com.my</x:v>
      </x:c>
      <x:c r="N152" t="str">
        <x:v>uhseonline.petronas.com, uhselaunchpad.petronas.com</x:v>
      </x:c>
      <x:c r="O152"/>
      <x:c r="P152" t="str">
        <x:v>Applications is part of INDY 500 and has been agreed to be decommissioned. Please refer to attachment.
CI Name:
•	Upstream HSE Launchpad 2.0
•	Upstream HSE Online 2.0
•	Upstream HSE Online PCINO
</x:v>
      </x:c>
      <x:c r="Q152" t="str">
        <x:v>3M</x:v>
      </x:c>
      <x:c r="R152" t="str">
        <x:v>Not in Used</x:v>
      </x:c>
      <x:c r="S152"/>
      <x:c r="T152" t="str">
        <x:v>approved</x:v>
      </x:c>
      <x:c r="U152" t="str">
        <x:v>mfadhlulwafi.mahadi@petronas.com</x:v>
      </x:c>
      <x:c r="V152" t="n">
        <x:v>46098.14605758102</x:v>
      </x:c>
      <x:c r="W152" t="str">
        <x:v>Resource has been reviewed. The list is correct and aligned with the resources in Azure Portal</x:v>
      </x:c>
      <x:c r="X152" t="str">
        <x:v>approved</x:v>
      </x:c>
      <x:c r="Y152" t="str">
        <x:v>rafedah.mdtap@petronas.com</x:v>
      </x:c>
      <x:c r="Z152" t="n">
        <x:v>46114.09911289352</x:v>
      </x:c>
      <x:c r="AA152" t="str">
        <x:v>Approved as planned</x:v>
      </x:c>
      <x:c r="AB152" t="str">
        <x:v>approved</x:v>
      </x:c>
      <x:c r="AC152" t="str">
        <x:v>azwan.badari@petronas.com</x:v>
      </x:c>
      <x:c r="AD152" t="n">
        <x:v>46118.08481277778</x:v>
      </x:c>
      <x:c r="AE152" t="str">
        <x:v>Decommission all resources under code 00915_8.
For PROD managed database in PTAZSG-IAC-PROD-SQLMI-CORPORATE-RG with code 00915_8, do backup and share the backup file with requester for their self-keeping.
Remove DNS uhseonline.petronas.com &amp; uhselaunchpad.petronas.com.</x:v>
      </x:c>
      <x:c r="AF152" t="str">
        <x:v>approved</x:v>
      </x:c>
      <x:c r="AG152" t="str">
        <x:v>azlisham.md@petronas.com</x:v>
      </x:c>
      <x:c r="AH152" t="n">
        <x:v>46136.78099619213</x:v>
      </x:c>
      <x:c r="AI152" t="str">
        <x:v>The decommission request has been completed, and the status is now updated accordingly. Kindly verify from your end and confirm once reviewed.
</x:v>
      </x:c>
      <x:c r="AJ152" t="str">
        <x:v>A-000821</x:v>
      </x:c>
      <x:c r="AK152" t="str">
        <x:v>00915_8</x:v>
      </x:c>
      <x:c r="AL152" t="str">
        <x:v>M</x:v>
      </x:c>
      <x:c r="AM152" t="str">
        <x:v>REQ000007970011</x:v>
      </x:c>
      <x:c r="AN152" t="str">
        <x:v>retention</x:v>
      </x:c>
      <x:c r="AO152"/>
      <x:c r="AP152" s="23" t="str">
        <x:f>IF(E152="processing",IF(Z152="","",IF(ISNUMBER(Z152),INT(Z152),DATE(VALUE(LEFT(Z152,4)),VALUE(MID(Z152,6,2)),VALUE(MID(Z152,9,2))))),IF(OR(E152="executing",E152="pending"),IF(AD152="","",IF(ISNUMBER(AD152),INT(AD152),DATE(VALUE(LEFT(AD152,4)),VALUE(MID(AD152,6,2)),VALUE(MID(AD152,9,2))))),""))</x:f>
      </x:c>
      <x:c r="AQ152" s="24" t="str">
        <x:f>IF(AP152="","",INT('Configuration'!$B$4)-AP152)</x:f>
      </x:c>
      <x:c r="AR152" s="25" t="str">
        <x:f>IF(AP152="","Missing Required Date",IF(AQ152&lt;0,"Future Date",IF(AQ152=0,"0 days",IF(AQ152&lt;=2,"1-2 days",IF(AQ152&lt;=7,"3-7 days",IF(AQ152&lt;=14,"8-14 days",IF(AQ152&lt;=30,"15-30 days",IF(AQ152&lt;=60,"31-60 days",IF(AQ152&lt;=70,"61-70 days","71+ days")))))))))</x:f>
        <x:v>Missing Required Date</x:v>
      </x:c>
      <x:c r="AS152" s="25" t="str">
        <x:f>IF(OR(E152="processing",E152="executing",E152="pending"),IF(AP152="","Required aging date missing",IF(AQ152&gt;30,"Escalate &gt;30d",IF(AQ152&gt;14,"Watch &gt;14d","Within 14d"))),"Out of scope")</x:f>
        <x:v>Out of scope</x:v>
      </x:c>
    </x:row>
    <x:row r="153" ht="24" customHeight="1">
      <x:c r="A153" t="str">
        <x:v>fcc48c21-b379-4022-9a1b-822a5e281d5e</x:v>
      </x:c>
      <x:c r="B153" t="str">
        <x:v>CSSP10552164</x:v>
      </x:c>
      <x:c r="C153" t="str">
        <x:v>jeswinkaur@petronas.com</x:v>
      </x:c>
      <x:c r="D153" t="str">
        <x:v>decommission-cloud</x:v>
      </x:c>
      <x:c r="E153" t="str">
        <x:v>completed</x:v>
      </x:c>
      <x:c r="F153" t="n">
        <x:v>46099.3277591088</x:v>
      </x:c>
      <x:c r="G153" t="n">
        <x:v>46108.002864155096</x:v>
      </x:c>
      <x:c r="H153" t="n">
        <x:v>46099.3277591088</x:v>
      </x:c>
      <x:c r="I153" t="str">
        <x:v>UAUC HSSE</x:v>
      </x:c>
      <x:c r="J153" t="str">
        <x:v>Implementation of PETRONAS HSSE UAUC Module for GHSSE</x:v>
      </x:c>
      <x:c r="K153" t="str">
        <x:v>partial</x:v>
      </x:c>
      <x:c r="L153"/>
      <x:c r="M153" t="str">
        <x:v>isman.isni@petronas.com.my</x:v>
      </x:c>
      <x:c r="N153"/>
      <x:c r="O153"/>
      <x:c r="P153" t="str">
        <x:v>The server running Windows 2016 in Azure due for EOSL and confirmation from Bryan that the server is not in used anymore,
</x:v>
      </x:c>
      <x:c r="Q153" t="str">
        <x:v>6M</x:v>
      </x:c>
      <x:c r="R153" t="str">
        <x:v>Obsolete</x:v>
      </x:c>
      <x:c r="S153"/>
      <x:c r="T153" t="str">
        <x:v>approved</x:v>
      </x:c>
      <x:c r="U153" t="str">
        <x:v>jeswinkaur@petronas.com</x:v>
      </x:c>
      <x:c r="V153" t="n">
        <x:v>46099.32969667824</x:v>
      </x:c>
      <x:c r="W153" t="str">
        <x:v>Agreed to decomm</x:v>
      </x:c>
      <x:c r="X153" t="str">
        <x:v>approved</x:v>
      </x:c>
      <x:c r="Y153" t="str">
        <x:v>isman.isni@petronas.com</x:v>
      </x:c>
      <x:c r="Z153" t="n">
        <x:v>46099.40502824074</x:v>
      </x:c>
      <x:c r="AA153" t="str">
        <x:v>As per confirmed by the SA that this is not required anymore</x:v>
      </x:c>
      <x:c r="AB153" t="str">
        <x:v>approved</x:v>
      </x:c>
      <x:c r="AC153" t="str">
        <x:v>azwan.badari@petronas.com</x:v>
      </x:c>
      <x:c r="AD153" t="n">
        <x:v>46107.141470752314</x:v>
      </x:c>
      <x:c r="AE153" t="str">
        <x:v>Decommission server ptsg-4uaucwb01 (172.25.50.14) only</x:v>
      </x:c>
      <x:c r="AF153" t="str">
        <x:v>approved</x:v>
      </x:c>
      <x:c r="AG153" t="str">
        <x:v>azlisham.md@petronas.com</x:v>
      </x:c>
      <x:c r="AH153" t="n">
        <x:v>46108.002864166665</x:v>
      </x:c>
      <x:c r="AI153" t="str">
        <x:v>The decommission request has been completed, and the status is now updated accordingly. Kindly verify from your end and confirm once reviewed.
</x:v>
      </x:c>
      <x:c r="AJ153" t="str">
        <x:v>A-000817</x:v>
      </x:c>
      <x:c r="AK153" t="str">
        <x:v>PSR05623</x:v>
      </x:c>
      <x:c r="AL153" t="str">
        <x:v>S</x:v>
      </x:c>
      <x:c r="AM153" t="str">
        <x:v>REQ000007948822</x:v>
      </x:c>
      <x:c r="AN153" t="str">
        <x:v>disposal</x:v>
      </x:c>
      <x:c r="AO153" t="n">
        <x:v>0</x:v>
      </x:c>
      <x:c r="AP153" s="23" t="str">
        <x:f>IF(E153="processing",IF(Z153="","",IF(ISNUMBER(Z153),INT(Z153),DATE(VALUE(LEFT(Z153,4)),VALUE(MID(Z153,6,2)),VALUE(MID(Z153,9,2))))),IF(OR(E153="executing",E153="pending"),IF(AD153="","",IF(ISNUMBER(AD153),INT(AD153),DATE(VALUE(LEFT(AD153,4)),VALUE(MID(AD153,6,2)),VALUE(MID(AD153,9,2))))),""))</x:f>
      </x:c>
      <x:c r="AQ153" s="24" t="str">
        <x:f>IF(AP153="","",INT('Configuration'!$B$4)-AP153)</x:f>
      </x:c>
      <x:c r="AR153" s="25" t="str">
        <x:f>IF(AP153="","Missing Required Date",IF(AQ153&lt;0,"Future Date",IF(AQ153=0,"0 days",IF(AQ153&lt;=2,"1-2 days",IF(AQ153&lt;=7,"3-7 days",IF(AQ153&lt;=14,"8-14 days",IF(AQ153&lt;=30,"15-30 days",IF(AQ153&lt;=60,"31-60 days",IF(AQ153&lt;=70,"61-70 days","71+ days")))))))))</x:f>
        <x:v>Missing Required Date</x:v>
      </x:c>
      <x:c r="AS153" s="25" t="str">
        <x:f>IF(OR(E153="processing",E153="executing",E153="pending"),IF(AP153="","Required aging date missing",IF(AQ153&gt;30,"Escalate &gt;30d",IF(AQ153&gt;14,"Watch &gt;14d","Within 14d"))),"Out of scope")</x:f>
        <x:v>Out of scope</x:v>
      </x:c>
    </x:row>
    <x:row r="154" ht="24" customHeight="1">
      <x:c r="A154" t="str">
        <x:v>4b317099-ccce-4b7c-8eb9-6b5bdf86dc44</x:v>
      </x:c>
      <x:c r="B154" t="str">
        <x:v>CSSP10825013</x:v>
      </x:c>
      <x:c r="C154" t="str">
        <x:v>norhayati.saad@petronas.com</x:v>
      </x:c>
      <x:c r="D154" t="str">
        <x:v>decommission-cloud</x:v>
      </x:c>
      <x:c r="E154" t="str">
        <x:v>completed</x:v>
      </x:c>
      <x:c r="F154" t="n">
        <x:v>46107.05720952546</x:v>
      </x:c>
      <x:c r="G154" t="n">
        <x:v>46112.111678472225</x:v>
      </x:c>
      <x:c r="H154" t="n">
        <x:v>46107.05720952546</x:v>
      </x:c>
      <x:c r="I154" t="str">
        <x:v>Quality Plus</x:v>
      </x:c>
      <x:c r="J154" t="str">
        <x:v>Development of Quality+ for GPD</x:v>
      </x:c>
      <x:c r="K154" t="str">
        <x:v>partial</x:v>
      </x:c>
      <x:c r="L154"/>
      <x:c r="M154" t="str">
        <x:v>sazali.mokhtar@petronas.com</x:v>
      </x:c>
      <x:c r="N154"/>
      <x:c r="O154"/>
      <x:c r="P154" t="str">
        <x:v>Cloud Repatriation - To decommission old resources in Singapore region due to completed migration in MY region</x:v>
      </x:c>
      <x:c r="Q154" t="str">
        <x:v>2W</x:v>
      </x:c>
      <x:c r="R154" t="str">
        <x:v>Cloud Migration</x:v>
      </x:c>
      <x:c r="S154"/>
      <x:c r="T154" t="str">
        <x:v>approved</x:v>
      </x:c>
      <x:c r="U154" t="str">
        <x:v>norhayati.saad@petronas.com</x:v>
      </x:c>
      <x:c r="V154" t="n">
        <x:v>46107.05935974537</x:v>
      </x:c>
      <x:c r="W154" t="str">
        <x:v>only 3 items are selected. S3 and secret manager only. SG Production are using the nonprod resources, confirmed by app support.</x:v>
      </x:c>
      <x:c r="X154" t="str">
        <x:v>approved</x:v>
      </x:c>
      <x:c r="Y154" t="str">
        <x:v>sazali.mokhtar@petronas.com</x:v>
      </x:c>
      <x:c r="Z154" t="n">
        <x:v>46111.069004826386</x:v>
      </x:c>
      <x:c r="AA154" t="str">
        <x:v>Cloud Repatriation - To decommission old resources in Singapore region due to completed migration in MY region</x:v>
      </x:c>
      <x:c r="AB154" t="str">
        <x:v>approved</x:v>
      </x:c>
      <x:c r="AC154" t="str">
        <x:v>azwan.badari@petronas.com</x:v>
      </x:c>
      <x:c r="AD154" t="n">
        <x:v>46111.0847437037</x:v>
      </x:c>
      <x:c r="AE154" t="str">
        <x:v>Proceed as listed resources</x:v>
      </x:c>
      <x:c r="AF154" t="str">
        <x:v>approved</x:v>
      </x:c>
      <x:c r="AG154" t="str">
        <x:v>azwan.badari@petronas.com</x:v>
      </x:c>
      <x:c r="AH154" t="n">
        <x:v>46112.111678483794</x:v>
      </x:c>
      <x:c r="AI154" t="str">
        <x:v>Completed</x:v>
      </x:c>
      <x:c r="AJ154" t="str">
        <x:v>A-000680</x:v>
      </x:c>
      <x:c r="AK154" t="n">
        <x:v>3159</x:v>
      </x:c>
      <x:c r="AL154" t="str">
        <x:v>M</x:v>
      </x:c>
      <x:c r="AM154" t="str">
        <x:v>REQ000007952704</x:v>
      </x:c>
      <x:c r="AN154" t="str">
        <x:v>noretention</x:v>
      </x:c>
      <x:c r="AO154" t="n">
        <x:v>0</x:v>
      </x:c>
      <x:c r="AP154" s="23" t="str">
        <x:f>IF(E154="processing",IF(Z154="","",IF(ISNUMBER(Z154),INT(Z154),DATE(VALUE(LEFT(Z154,4)),VALUE(MID(Z154,6,2)),VALUE(MID(Z154,9,2))))),IF(OR(E154="executing",E154="pending"),IF(AD154="","",IF(ISNUMBER(AD154),INT(AD154),DATE(VALUE(LEFT(AD154,4)),VALUE(MID(AD154,6,2)),VALUE(MID(AD154,9,2))))),""))</x:f>
      </x:c>
      <x:c r="AQ154" s="24" t="str">
        <x:f>IF(AP154="","",INT('Configuration'!$B$4)-AP154)</x:f>
      </x:c>
      <x:c r="AR154" s="25" t="str">
        <x:f>IF(AP154="","Missing Required Date",IF(AQ154&lt;0,"Future Date",IF(AQ154=0,"0 days",IF(AQ154&lt;=2,"1-2 days",IF(AQ154&lt;=7,"3-7 days",IF(AQ154&lt;=14,"8-14 days",IF(AQ154&lt;=30,"15-30 days",IF(AQ154&lt;=60,"31-60 days",IF(AQ154&lt;=70,"61-70 days","71+ days")))))))))</x:f>
        <x:v>Missing Required Date</x:v>
      </x:c>
      <x:c r="AS154" s="25" t="str">
        <x:f>IF(OR(E154="processing",E154="executing",E154="pending"),IF(AP154="","Required aging date missing",IF(AQ154&gt;30,"Escalate &gt;30d",IF(AQ154&gt;14,"Watch &gt;14d","Within 14d"))),"Out of scope")</x:f>
        <x:v>Out of scope</x:v>
      </x:c>
    </x:row>
    <x:row r="155" ht="24" customHeight="1">
      <x:c r="A155" t="str">
        <x:v>3657bc8b-90d9-4f97-b456-cd5e335caf29</x:v>
      </x:c>
      <x:c r="B155" t="str">
        <x:v>CSSP10195466</x:v>
      </x:c>
      <x:c r="C155" t="str">
        <x:v>fairuz.aziz@petronas.com</x:v>
      </x:c>
      <x:c r="D155" t="str">
        <x:v>decommission-cloud</x:v>
      </x:c>
      <x:c r="E155" t="str">
        <x:v>completed</x:v>
      </x:c>
      <x:c r="F155" t="n">
        <x:v>46107.08323460648</x:v>
      </x:c>
      <x:c r="G155" t="n">
        <x:v>46112.34570052083</x:v>
      </x:c>
      <x:c r="H155" t="n">
        <x:v>46107.08323460648</x:v>
      </x:c>
      <x:c r="I155" t="str">
        <x:v>.NET Shared Infra</x:v>
      </x:c>
      <x:c r="J155" t="str">
        <x:v>Cloud Migration Program - .NET Shared Infra (SWE Dot Net)</x:v>
      </x:c>
      <x:c r="K155" t="str">
        <x:v>partial</x:v>
      </x:c>
      <x:c r="L155"/>
      <x:c r="M155" t="str">
        <x:v>ahmadkamal.aziz@petronas.com.my</x:v>
      </x:c>
      <x:c r="N155"/>
      <x:c r="O155"/>
      <x:c r="P155" t="str">
        <x:v>These servers are currently powered off, as no applications are running on them.
Below is the list of servers:
PTAWSG-1NETwb01, 10.77.32.157
PTAWSG-1NETwb02, 10.77.104.216
PTAWSG-4NETwb01, 10.75.67.79</x:v>
      </x:c>
      <x:c r="Q155" t="str">
        <x:v>2W</x:v>
      </x:c>
      <x:c r="R155" t="str">
        <x:v>Consolidation</x:v>
      </x:c>
      <x:c r="S155"/>
      <x:c r="T155" t="str">
        <x:v>approved</x:v>
      </x:c>
      <x:c r="U155" t="str">
        <x:v>fairuz.aziz@petronas.com</x:v>
      </x:c>
      <x:c r="V155" t="n">
        <x:v>46107.09273049769</x:v>
      </x:c>
      <x:c r="W155" t="str">
        <x:v>These servers are not listed under related resources. Please find the VM details as below:
PTAWSG-1NETwb01, 10.77.32.157 
PTAWSG-1NETwb02, 10.77.104.216 
PTAWSG-4NETwb01, 10.75.67.79
Please reach out to me if you require further information.</x:v>
      </x:c>
      <x:c r="X155" t="str">
        <x:v>approved</x:v>
      </x:c>
      <x:c r="Y155" t="str">
        <x:v>ahmadkamal.aziz@petronas.com</x:v>
      </x:c>
      <x:c r="Z155" t="n">
        <x:v>46111.31946938657</x:v>
      </x:c>
      <x:c r="AA155" t="str">
        <x:v>Please proceed</x:v>
      </x:c>
      <x:c r="AB155" t="str">
        <x:v>approved</x:v>
      </x:c>
      <x:c r="AC155" t="str">
        <x:v>azwan.badari@petronas.com</x:v>
      </x:c>
      <x:c r="AD155" t="n">
        <x:v>46111.380117581015</x:v>
      </x:c>
      <x:c r="AE155" t="str">
        <x:v>Proceed to decommission mentioned EC2.
PTAWSG-1NETwb01, 10.77.32.157 PTAWSG-1NETwb02, 10.77.104.216 in PTAWSG-PROD-ENVIRONMENT-01.
PTAWSG-4NETwb01, 10.75.67.79 in PTAWSG-STG-ENVIRONMENT-01</x:v>
      </x:c>
      <x:c r="AF155" t="str">
        <x:v>approved</x:v>
      </x:c>
      <x:c r="AG155" t="str">
        <x:v>azlisham.md@petronas.com</x:v>
      </x:c>
      <x:c r="AH155" t="n">
        <x:v>46112.34570052083</x:v>
      </x:c>
      <x:c r="AI155" t="str">
        <x:v>The decommission request has been completed, and the status is now updated accordingly. Kindly verify from your end and confirm once reviewed.
</x:v>
      </x:c>
      <x:c r="AJ155" t="str">
        <x:v>P-000004</x:v>
      </x:c>
      <x:c r="AK155" t="str">
        <x:v>00915_57</x:v>
      </x:c>
      <x:c r="AL155" t="str">
        <x:v>M</x:v>
      </x:c>
      <x:c r="AM155" t="str">
        <x:v>REQ000007955262</x:v>
      </x:c>
      <x:c r="AN155" t="str">
        <x:v>noretention</x:v>
      </x:c>
      <x:c r="AO155" t="n">
        <x:v>0</x:v>
      </x:c>
      <x:c r="AP155" s="23" t="str">
        <x:f>IF(E155="processing",IF(Z155="","",IF(ISNUMBER(Z155),INT(Z155),DATE(VALUE(LEFT(Z155,4)),VALUE(MID(Z155,6,2)),VALUE(MID(Z155,9,2))))),IF(OR(E155="executing",E155="pending"),IF(AD155="","",IF(ISNUMBER(AD155),INT(AD155),DATE(VALUE(LEFT(AD155,4)),VALUE(MID(AD155,6,2)),VALUE(MID(AD155,9,2))))),""))</x:f>
      </x:c>
      <x:c r="AQ155" s="24" t="str">
        <x:f>IF(AP155="","",INT('Configuration'!$B$4)-AP155)</x:f>
      </x:c>
      <x:c r="AR155" s="25" t="str">
        <x:f>IF(AP155="","Missing Required Date",IF(AQ155&lt;0,"Future Date",IF(AQ155=0,"0 days",IF(AQ155&lt;=2,"1-2 days",IF(AQ155&lt;=7,"3-7 days",IF(AQ155&lt;=14,"8-14 days",IF(AQ155&lt;=30,"15-30 days",IF(AQ155&lt;=60,"31-60 days",IF(AQ155&lt;=70,"61-70 days","71+ days")))))))))</x:f>
        <x:v>Missing Required Date</x:v>
      </x:c>
      <x:c r="AS155" s="25" t="str">
        <x:f>IF(OR(E155="processing",E155="executing",E155="pending"),IF(AP155="","Required aging date missing",IF(AQ155&gt;30,"Escalate &gt;30d",IF(AQ155&gt;14,"Watch &gt;14d","Within 14d"))),"Out of scope")</x:f>
        <x:v>Out of scope</x:v>
      </x:c>
    </x:row>
    <x:row r="156" ht="24" customHeight="1">
      <x:c r="A156" t="str">
        <x:v>a80120d7-f839-4588-9cfd-278a99b04ec7</x:v>
      </x:c>
      <x:c r="B156" t="str">
        <x:v>CSSP10850015</x:v>
      </x:c>
      <x:c r="C156" t="str">
        <x:v>norasikin.ahmad@petronas.com</x:v>
      </x:c>
      <x:c r="D156" t="str">
        <x:v>decommission-cloud</x:v>
      </x:c>
      <x:c r="E156" t="str">
        <x:v>completed</x:v>
      </x:c>
      <x:c r="F156" t="n">
        <x:v>46108.11135622685</x:v>
      </x:c>
      <x:c r="G156" t="n">
        <x:v>46112.090667743054</x:v>
      </x:c>
      <x:c r="H156" t="n">
        <x:v>46108.11135622685</x:v>
      </x:c>
      <x:c r="I156" t="str">
        <x:v>MMPD ICON</x:v>
      </x:c>
      <x:c r="J156" t="str">
        <x:v>ICON</x:v>
      </x:c>
      <x:c r="K156" t="str">
        <x:v>partial</x:v>
      </x:c>
      <x:c r="L156"/>
      <x:c r="M156" t="str">
        <x:v>sazali.mokhtar@petronas.com.my</x:v>
      </x:c>
      <x:c r="N156"/>
      <x:c r="O156"/>
      <x:c r="P156" t="str">
        <x:v>Cloud Repatriation Project to Malaysia region and decommisioning recources in Singapore region.</x:v>
      </x:c>
      <x:c r="Q156" t="str">
        <x:v>2W</x:v>
      </x:c>
      <x:c r="R156" t="str">
        <x:v>Cloud Migration</x:v>
      </x:c>
      <x:c r="S156"/>
      <x:c r="T156" t="str">
        <x:v>approved</x:v>
      </x:c>
      <x:c r="U156" t="str">
        <x:v>norasikin.ahmad@petronas.com</x:v>
      </x:c>
      <x:c r="V156" t="n">
        <x:v>46108.11483608796</x:v>
      </x:c>
      <x:c r="W156" t="str">
        <x:v>To decomm resources in Singapore</x:v>
      </x:c>
      <x:c r="X156" t="str">
        <x:v>approved</x:v>
      </x:c>
      <x:c r="Y156" t="str">
        <x:v>sazali.mokhtar@petronas.com</x:v>
      </x:c>
      <x:c r="Z156" t="n">
        <x:v>46111.06872525463</x:v>
      </x:c>
      <x:c r="AA156" t="str">
        <x:v>Cloud Repatriation Project to Malaysia region and decommisioning recources in Singapore region.</x:v>
      </x:c>
      <x:c r="AB156" t="str">
        <x:v>approved</x:v>
      </x:c>
      <x:c r="AC156" t="str">
        <x:v>azwan.badari@petronas.com</x:v>
      </x:c>
      <x:c r="AD156" t="n">
        <x:v>46111.08410644676</x:v>
      </x:c>
      <x:c r="AE156" t="str">
        <x:v>Proceed to decomm as listed</x:v>
      </x:c>
      <x:c r="AF156" t="str">
        <x:v>approved</x:v>
      </x:c>
      <x:c r="AG156" t="str">
        <x:v>azwan.badari@petronas.com</x:v>
      </x:c>
      <x:c r="AH156" t="n">
        <x:v>46112.090667743054</x:v>
      </x:c>
      <x:c r="AI156" t="str">
        <x:v>Completed</x:v>
      </x:c>
      <x:c r="AJ156" t="str">
        <x:v>A-000367</x:v>
      </x:c>
      <x:c r="AK156" t="n">
        <x:v>2983</x:v>
      </x:c>
      <x:c r="AL156" t="str">
        <x:v>M</x:v>
      </x:c>
      <x:c r="AM156" t="str">
        <x:v>REQ000007952703</x:v>
      </x:c>
      <x:c r="AN156" t="str">
        <x:v>noretention</x:v>
      </x:c>
      <x:c r="AO156" t="n">
        <x:v>0</x:v>
      </x:c>
      <x:c r="AP156" s="23" t="str">
        <x:f>IF(E156="processing",IF(Z156="","",IF(ISNUMBER(Z156),INT(Z156),DATE(VALUE(LEFT(Z156,4)),VALUE(MID(Z156,6,2)),VALUE(MID(Z156,9,2))))),IF(OR(E156="executing",E156="pending"),IF(AD156="","",IF(ISNUMBER(AD156),INT(AD156),DATE(VALUE(LEFT(AD156,4)),VALUE(MID(AD156,6,2)),VALUE(MID(AD156,9,2))))),""))</x:f>
      </x:c>
      <x:c r="AQ156" s="24" t="str">
        <x:f>IF(AP156="","",INT('Configuration'!$B$4)-AP156)</x:f>
      </x:c>
      <x:c r="AR156" s="25" t="str">
        <x:f>IF(AP156="","Missing Required Date",IF(AQ156&lt;0,"Future Date",IF(AQ156=0,"0 days",IF(AQ156&lt;=2,"1-2 days",IF(AQ156&lt;=7,"3-7 days",IF(AQ156&lt;=14,"8-14 days",IF(AQ156&lt;=30,"15-30 days",IF(AQ156&lt;=60,"31-60 days",IF(AQ156&lt;=70,"61-70 days","71+ days")))))))))</x:f>
        <x:v>Missing Required Date</x:v>
      </x:c>
      <x:c r="AS156" s="25" t="str">
        <x:f>IF(OR(E156="processing",E156="executing",E156="pending"),IF(AP156="","Required aging date missing",IF(AQ156&gt;30,"Escalate &gt;30d",IF(AQ156&gt;14,"Watch &gt;14d","Within 14d"))),"Out of scope")</x:f>
        <x:v>Out of scope</x:v>
      </x:c>
    </x:row>
    <x:row r="157" ht="24" customHeight="1">
      <x:c r="A157" t="str">
        <x:v>fdd7fdc0-db05-44f0-8c62-ebbf1dacd129</x:v>
      </x:c>
      <x:c r="B157" t="str">
        <x:v>CSSP10212993</x:v>
      </x:c>
      <x:c r="C157" t="str">
        <x:v>cus.ng@petronas.com</x:v>
      </x:c>
      <x:c r="D157" t="str">
        <x:v>decommission-cloud</x:v>
      </x:c>
      <x:c r="E157" t="str">
        <x:v>cancelled</x:v>
      </x:c>
      <x:c r="F157" t="n">
        <x:v>46108.17340528935</x:v>
      </x:c>
      <x:c r="G157" t="n">
        <x:v>46119.31295025463</x:v>
      </x:c>
      <x:c r="H157" t="n">
        <x:v>46108.17340528935</x:v>
      </x:c>
      <x:c r="I157" t="str">
        <x:v>Static Equipment Analytic Library - SEAL</x:v>
      </x:c>
      <x:c r="J157" t="str">
        <x:v>Static Equipment Analytic Library (SEAL) as Upstream Static Equipment Advanced Analytical Tools for Upstream COE</x:v>
      </x:c>
      <x:c r="K157" t="str">
        <x:v>partial</x:v>
      </x:c>
      <x:c r="L157"/>
      <x:c r="M157" t="str">
        <x:v>ghimyee.tang@petronas.com.my</x:v>
      </x:c>
      <x:c r="N157" t="str">
        <x:v>sealmrsstaging.petronas.com:443</x:v>
      </x:c>
      <x:c r="O157"/>
      <x:c r="P157" t="str">
        <x:v>To decommision URL and resources related to sealmrsstaging.petronas.com:443 only. This is an old URL that is currently un-used and need to be decommissioned due to vulnerabilities issues raised by CD Vulnerability Management. 
Currently, we have a new active staging URL (https://sealstaging.petronas.com/) - this is the one currently in-use.</x:v>
      </x:c>
      <x:c r="Q157" t="str">
        <x:v>1M</x:v>
      </x:c>
      <x:c r="R157" t="str">
        <x:v>Not in Used</x:v>
      </x:c>
      <x:c r="S157"/>
      <x:c r="T157" t="str">
        <x:v>rejected</x:v>
      </x:c>
      <x:c r="U157" t="str">
        <x:v>cus.ng@petronas.com</x:v>
      </x:c>
      <x:c r="V157" t="n">
        <x:v>46119.312950266205</x:v>
      </x:c>
      <x:c r="W157"/>
      <x:c r="X157"/>
      <x:c r="Y157" t="str">
        <x:v>ghimyee.tang@petronas.com</x:v>
      </x:c>
      <x:c r="Z157"/>
      <x:c r="AA157"/>
      <x:c r="AB157"/>
      <x:c r="AC157" t="str">
        <x:v>CCoE Business</x:v>
      </x:c>
      <x:c r="AD157"/>
      <x:c r="AE157"/>
      <x:c r="AF157"/>
      <x:c r="AG157" t="str">
        <x:v>CCoE Operations</x:v>
      </x:c>
      <x:c r="AH157"/>
      <x:c r="AI157"/>
      <x:c r="AJ157" t="str">
        <x:v>A-000755</x:v>
      </x:c>
      <x:c r="AK157" t="n">
        <x:v>2173</x:v>
      </x:c>
      <x:c r="AL157"/>
      <x:c r="AM157"/>
      <x:c r="AN157" t="str">
        <x:v>disposal</x:v>
      </x:c>
      <x:c r="AO157" t="n">
        <x:v>0</x:v>
      </x:c>
      <x:c r="AP157" s="23" t="str">
        <x:f>IF(E157="processing",IF(Z157="","",IF(ISNUMBER(Z157),INT(Z157),DATE(VALUE(LEFT(Z157,4)),VALUE(MID(Z157,6,2)),VALUE(MID(Z157,9,2))))),IF(OR(E157="executing",E157="pending"),IF(AD157="","",IF(ISNUMBER(AD157),INT(AD157),DATE(VALUE(LEFT(AD157,4)),VALUE(MID(AD157,6,2)),VALUE(MID(AD157,9,2))))),""))</x:f>
      </x:c>
      <x:c r="AQ157" s="24" t="str">
        <x:f>IF(AP157="","",INT('Configuration'!$B$4)-AP157)</x:f>
      </x:c>
      <x:c r="AR157" s="25" t="str">
        <x:f>IF(AP157="","Missing Required Date",IF(AQ157&lt;0,"Future Date",IF(AQ157=0,"0 days",IF(AQ157&lt;=2,"1-2 days",IF(AQ157&lt;=7,"3-7 days",IF(AQ157&lt;=14,"8-14 days",IF(AQ157&lt;=30,"15-30 days",IF(AQ157&lt;=60,"31-60 days",IF(AQ157&lt;=70,"61-70 days","71+ days")))))))))</x:f>
        <x:v>Missing Required Date</x:v>
      </x:c>
      <x:c r="AS157" s="25" t="str">
        <x:f>IF(OR(E157="processing",E157="executing",E157="pending"),IF(AP157="","Required aging date missing",IF(AQ157&gt;30,"Escalate &gt;30d",IF(AQ157&gt;14,"Watch &gt;14d","Within 14d"))),"Out of scope")</x:f>
        <x:v>Out of scope</x:v>
      </x:c>
    </x:row>
    <x:row r="158" ht="24" customHeight="1">
      <x:c r="A158" t="str">
        <x:v>14f2fed5-bb6c-491d-b9d3-707953294e1d</x:v>
      </x:c>
      <x:c r="B158" t="str">
        <x:v>CSSP10545760</x:v>
      </x:c>
      <x:c r="C158" t="str">
        <x:v>azeerahanim.akash@petronas.com</x:v>
      </x:c>
      <x:c r="D158" t="str">
        <x:v>decommission-cloud</x:v>
      </x:c>
      <x:c r="E158" t="str">
        <x:v>completed</x:v>
      </x:c>
      <x:c r="F158" t="n">
        <x:v>46112.10200351852</x:v>
      </x:c>
      <x:c r="G158" t="n">
        <x:v>46133.1277541088</x:v>
      </x:c>
      <x:c r="H158" t="n">
        <x:v>46112.11524057871</x:v>
      </x:c>
      <x:c r="I158" t="str">
        <x:v>P360 DQ Database</x:v>
      </x:c>
      <x:c r="J158" t="str">
        <x:v>Enhancement Data Quality Management of PETRONAS360 for DCO</x:v>
      </x:c>
      <x:c r="K158" t="str">
        <x:v>full</x:v>
      </x:c>
      <x:c r="L158" t="str">
        <x:v>DCOM20260331941</x:v>
      </x:c>
      <x:c r="M158" t="str">
        <x:v>adi.razali@petronas.com.my</x:v>
      </x:c>
      <x:c r="N158" t="str">
        <x:v>dataplus.petronas.com</x:v>
      </x:c>
      <x:c r="O158"/>
      <x:c r="P158" t="str">
        <x:v>To decommission ALL resources related to DataPlus (remove entire Resource Groups: PTAZSG-PROD-EDH-SSP-RG)</x:v>
      </x:c>
      <x:c r="Q158" t="str">
        <x:v>1M</x:v>
      </x:c>
      <x:c r="R158" t="str">
        <x:v>Not in Used</x:v>
      </x:c>
      <x:c r="S158"/>
      <x:c r="T158" t="str">
        <x:v>approved</x:v>
      </x:c>
      <x:c r="U158" t="str">
        <x:v>azeerahanim.akash@petronas.com</x:v>
      </x:c>
      <x:c r="V158" t="n">
        <x:v>46112.116337025465</x:v>
      </x:c>
      <x:c r="W158" t="str">
        <x:v>To request for full decommissioning of Dataplus resources along with its group in PTAZSG-PROD-EDH-SSP-RG.</x:v>
      </x:c>
      <x:c r="X158" t="str">
        <x:v>approved</x:v>
      </x:c>
      <x:c r="Y158" t="str">
        <x:v>adi.razali@petronas.com</x:v>
      </x:c>
      <x:c r="Z158" t="n">
        <x:v>46127.100981076386</x:v>
      </x:c>
      <x:c r="AA158" t="str">
        <x:v>Proceed</x:v>
      </x:c>
      <x:c r="AB158" t="str">
        <x:v>approved</x:v>
      </x:c>
      <x:c r="AC158" t="str">
        <x:v>azwan.badari@petronas.com</x:v>
      </x:c>
      <x:c r="AD158" t="n">
        <x:v>46127.318465069446</x:v>
      </x:c>
      <x:c r="AE158" t="str">
        <x:v>Decommission all resources in PTAZSG-PROD-EDH-SSP-RG</x:v>
      </x:c>
      <x:c r="AF158" t="str">
        <x:v>approved</x:v>
      </x:c>
      <x:c r="AG158" t="str">
        <x:v>azwan.badari@petronas.com</x:v>
      </x:c>
      <x:c r="AH158" t="n">
        <x:v>46133.1277541088</x:v>
      </x:c>
      <x:c r="AI158" t="str">
        <x:v>Completed</x:v>
      </x:c>
      <x:c r="AJ158" t="str">
        <x:v>A-001314</x:v>
      </x:c>
      <x:c r="AK158" t="n">
        <x:v>3901</x:v>
      </x:c>
      <x:c r="AL158" t="str">
        <x:v>M</x:v>
      </x:c>
      <x:c r="AM158" t="str">
        <x:v>REQ000007991752</x:v>
      </x:c>
      <x:c r="AN158" t="str">
        <x:v>noretention</x:v>
      </x:c>
      <x:c r="AO158" t="n">
        <x:v>0</x:v>
      </x:c>
      <x:c r="AP158" s="23" t="str">
        <x:f>IF(E158="processing",IF(Z158="","",IF(ISNUMBER(Z158),INT(Z158),DATE(VALUE(LEFT(Z158,4)),VALUE(MID(Z158,6,2)),VALUE(MID(Z158,9,2))))),IF(OR(E158="executing",E158="pending"),IF(AD158="","",IF(ISNUMBER(AD158),INT(AD158),DATE(VALUE(LEFT(AD158,4)),VALUE(MID(AD158,6,2)),VALUE(MID(AD158,9,2))))),""))</x:f>
      </x:c>
      <x:c r="AQ158" s="24" t="str">
        <x:f>IF(AP158="","",INT('Configuration'!$B$4)-AP158)</x:f>
      </x:c>
      <x:c r="AR158" s="25" t="str">
        <x:f>IF(AP158="","Missing Required Date",IF(AQ158&lt;0,"Future Date",IF(AQ158=0,"0 days",IF(AQ158&lt;=2,"1-2 days",IF(AQ158&lt;=7,"3-7 days",IF(AQ158&lt;=14,"8-14 days",IF(AQ158&lt;=30,"15-30 days",IF(AQ158&lt;=60,"31-60 days",IF(AQ158&lt;=70,"61-70 days","71+ days")))))))))</x:f>
        <x:v>Missing Required Date</x:v>
      </x:c>
      <x:c r="AS158" s="25" t="str">
        <x:f>IF(OR(E158="processing",E158="executing",E158="pending"),IF(AP158="","Required aging date missing",IF(AQ158&gt;30,"Escalate &gt;30d",IF(AQ158&gt;14,"Watch &gt;14d","Within 14d"))),"Out of scope")</x:f>
        <x:v>Out of scope</x:v>
      </x:c>
    </x:row>
    <x:row r="159" ht="24" customHeight="1">
      <x:c r="A159" t="str">
        <x:v>6d9182e6-9890-472f-9a1a-04e783bc316e</x:v>
      </x:c>
      <x:c r="B159" t="str">
        <x:v>CSSP10733147</x:v>
      </x:c>
      <x:c r="C159" t="str">
        <x:v>cus.ng@petronas.com</x:v>
      </x:c>
      <x:c r="D159" t="str">
        <x:v>decommission-cloud</x:v>
      </x:c>
      <x:c r="E159" t="str">
        <x:v>cancelled</x:v>
      </x:c>
      <x:c r="F159" t="n">
        <x:v>46112.404651689816</x:v>
      </x:c>
      <x:c r="G159" t="n">
        <x:v>46119.31324778935</x:v>
      </x:c>
      <x:c r="H159" t="n">
        <x:v>46112.404651689816</x:v>
      </x:c>
      <x:c r="I159" t="str">
        <x:v>HSSEMARS</x:v>
      </x:c>
      <x:c r="J159" t="str">
        <x:v>MARS 6.0 Enhancement Plan</x:v>
      </x:c>
      <x:c r="K159" t="str">
        <x:v>partial</x:v>
      </x:c>
      <x:c r="L159"/>
      <x:c r="M159" t="str">
        <x:v>ghimyee.tang@petronas.com.my</x:v>
      </x:c>
      <x:c r="N159" t="str">
        <x:v>sealmrsstaging.petronas.com:443</x:v>
      </x:c>
      <x:c r="O159"/>
      <x:c r="P159" t="str">
        <x:v>sealmrsstaging.petronas.com:443 is an old unused URL - CD Vulnerability Team has raised a severe SSL findings and advices to decomm this URL and related resources.</x:v>
      </x:c>
      <x:c r="Q159" t="str">
        <x:v>1M</x:v>
      </x:c>
      <x:c r="R159" t="str">
        <x:v>Not in Used</x:v>
      </x:c>
      <x:c r="S159"/>
      <x:c r="T159" t="str">
        <x:v>rejected</x:v>
      </x:c>
      <x:c r="U159" t="str">
        <x:v>cus.ng@petronas.com</x:v>
      </x:c>
      <x:c r="V159" t="n">
        <x:v>46119.31324780093</x:v>
      </x:c>
      <x:c r="W159"/>
      <x:c r="X159"/>
      <x:c r="Y159" t="str">
        <x:v>ghimyee.tang@petronas.com</x:v>
      </x:c>
      <x:c r="Z159"/>
      <x:c r="AA159"/>
      <x:c r="AB159"/>
      <x:c r="AC159" t="str">
        <x:v>CCoE Business</x:v>
      </x:c>
      <x:c r="AD159"/>
      <x:c r="AE159"/>
      <x:c r="AF159"/>
      <x:c r="AG159" t="str">
        <x:v>CCoE Operations</x:v>
      </x:c>
      <x:c r="AH159"/>
      <x:c r="AI159"/>
      <x:c r="AJ159" t="str">
        <x:v>A-001222</x:v>
      </x:c>
      <x:c r="AK159" t="n">
        <x:v>4141</x:v>
      </x:c>
      <x:c r="AL159"/>
      <x:c r="AM159"/>
      <x:c r="AN159" t="str">
        <x:v>disposal</x:v>
      </x:c>
      <x:c r="AO159" t="n">
        <x:v>0</x:v>
      </x:c>
      <x:c r="AP159" s="23" t="str">
        <x:f>IF(E159="processing",IF(Z159="","",IF(ISNUMBER(Z159),INT(Z159),DATE(VALUE(LEFT(Z159,4)),VALUE(MID(Z159,6,2)),VALUE(MID(Z159,9,2))))),IF(OR(E159="executing",E159="pending"),IF(AD159="","",IF(ISNUMBER(AD159),INT(AD159),DATE(VALUE(LEFT(AD159,4)),VALUE(MID(AD159,6,2)),VALUE(MID(AD159,9,2))))),""))</x:f>
      </x:c>
      <x:c r="AQ159" s="24" t="str">
        <x:f>IF(AP159="","",INT('Configuration'!$B$4)-AP159)</x:f>
      </x:c>
      <x:c r="AR159" s="25" t="str">
        <x:f>IF(AP159="","Missing Required Date",IF(AQ159&lt;0,"Future Date",IF(AQ159=0,"0 days",IF(AQ159&lt;=2,"1-2 days",IF(AQ159&lt;=7,"3-7 days",IF(AQ159&lt;=14,"8-14 days",IF(AQ159&lt;=30,"15-30 days",IF(AQ159&lt;=60,"31-60 days",IF(AQ159&lt;=70,"61-70 days","71+ days")))))))))</x:f>
        <x:v>Missing Required Date</x:v>
      </x:c>
      <x:c r="AS159" s="25" t="str">
        <x:f>IF(OR(E159="processing",E159="executing",E159="pending"),IF(AP159="","Required aging date missing",IF(AQ159&gt;30,"Escalate &gt;30d",IF(AQ159&gt;14,"Watch &gt;14d","Within 14d"))),"Out of scope")</x:f>
        <x:v>Out of scope</x:v>
      </x:c>
    </x:row>
    <x:row r="160" ht="24" customHeight="1">
      <x:c r="A160" t="str">
        <x:v>d14bafd5-20df-43d4-bfdc-4f7112db271c</x:v>
      </x:c>
      <x:c r="B160" t="str">
        <x:v>CSSP10531664</x:v>
      </x:c>
      <x:c r="C160" t="str">
        <x:v>mzurfaiezzuddin.zur@petronas.com</x:v>
      </x:c>
      <x:c r="D160" t="str">
        <x:v>decommission-cloud</x:v>
      </x:c>
      <x:c r="E160" t="str">
        <x:v>completed</x:v>
      </x:c>
      <x:c r="F160" t="n">
        <x:v>46113.11938070602</x:v>
      </x:c>
      <x:c r="G160" t="n">
        <x:v>46125.16558631945</x:v>
      </x:c>
      <x:c r="H160" t="n">
        <x:v>46113.11938070602</x:v>
      </x:c>
      <x:c r="I160" t="str">
        <x:v>Lab Information Management System - LIMS PCGB</x:v>
      </x:c>
      <x:c r="J160" t="str">
        <x:v>Cloud Migration - Integrated Laboratory Information Management System (iLIMS) for PCGB Dev</x:v>
      </x:c>
      <x:c r="K160" t="str">
        <x:v>partial</x:v>
      </x:c>
      <x:c r="L160"/>
      <x:c r="M160" t="str">
        <x:v>sazali.mokhtar@petronas.com</x:v>
      </x:c>
      <x:c r="N160"/>
      <x:c r="O160"/>
      <x:c r="P160" t="str">
        <x:v>Cloud Repatriation - To decommission old resources in SG region due to completed migration in MY region</x:v>
      </x:c>
      <x:c r="Q160" t="str">
        <x:v>2W</x:v>
      </x:c>
      <x:c r="R160" t="str">
        <x:v>Cloud Migration</x:v>
      </x:c>
      <x:c r="S160"/>
      <x:c r="T160" t="str">
        <x:v>approved</x:v>
      </x:c>
      <x:c r="U160" t="str">
        <x:v>mzurfaiezzuddin.zur@petronas.com</x:v>
      </x:c>
      <x:c r="V160" t="n">
        <x:v>46113.12090783565</x:v>
      </x:c>
      <x:c r="W160" t="str">
        <x:v>Cloud Repatriation - To decommission old resources in SG region due to completed migration in MY region</x:v>
      </x:c>
      <x:c r="X160" t="str">
        <x:v>approved</x:v>
      </x:c>
      <x:c r="Y160" t="str">
        <x:v>sazali.mokhtar@petronas.com</x:v>
      </x:c>
      <x:c r="Z160" t="n">
        <x:v>46114.16392613426</x:v>
      </x:c>
      <x:c r="AA160" t="str">
        <x:v>Cloud Repatriation - To decommission old resources in SG region due to completed migration in MY region</x:v>
      </x:c>
      <x:c r="AB160" t="str">
        <x:v>approved</x:v>
      </x:c>
      <x:c r="AC160" t="str">
        <x:v>azwan.badari@petronas.com</x:v>
      </x:c>
      <x:c r="AD160" t="n">
        <x:v>46118.121135381945</x:v>
      </x:c>
      <x:c r="AE160" t="str">
        <x:v>Decommission as listed</x:v>
      </x:c>
      <x:c r="AF160" t="str">
        <x:v>approved</x:v>
      </x:c>
      <x:c r="AG160" t="str">
        <x:v>azwan.badari@petronas.com</x:v>
      </x:c>
      <x:c r="AH160" t="n">
        <x:v>46125.165586331015</x:v>
      </x:c>
      <x:c r="AI160" t="str">
        <x:v>Completed</x:v>
      </x:c>
      <x:c r="AJ160" t="str">
        <x:v>A-000380</x:v>
      </x:c>
      <x:c r="AK160" t="str">
        <x:v>00915_211</x:v>
      </x:c>
      <x:c r="AL160" t="str">
        <x:v>M</x:v>
      </x:c>
      <x:c r="AM160" t="str">
        <x:v>REQ000007970951</x:v>
      </x:c>
      <x:c r="AN160" t="str">
        <x:v>noretention</x:v>
      </x:c>
      <x:c r="AO160" t="n">
        <x:v>0</x:v>
      </x:c>
      <x:c r="AP160" s="23" t="str">
        <x:f>IF(E160="processing",IF(Z160="","",IF(ISNUMBER(Z160),INT(Z160),DATE(VALUE(LEFT(Z160,4)),VALUE(MID(Z160,6,2)),VALUE(MID(Z160,9,2))))),IF(OR(E160="executing",E160="pending"),IF(AD160="","",IF(ISNUMBER(AD160),INT(AD160),DATE(VALUE(LEFT(AD160,4)),VALUE(MID(AD160,6,2)),VALUE(MID(AD160,9,2))))),""))</x:f>
      </x:c>
      <x:c r="AQ160" s="24" t="str">
        <x:f>IF(AP160="","",INT('Configuration'!$B$4)-AP160)</x:f>
      </x:c>
      <x:c r="AR160" s="25" t="str">
        <x:f>IF(AP160="","Missing Required Date",IF(AQ160&lt;0,"Future Date",IF(AQ160=0,"0 days",IF(AQ160&lt;=2,"1-2 days",IF(AQ160&lt;=7,"3-7 days",IF(AQ160&lt;=14,"8-14 days",IF(AQ160&lt;=30,"15-30 days",IF(AQ160&lt;=60,"31-60 days",IF(AQ160&lt;=70,"61-70 days","71+ days")))))))))</x:f>
        <x:v>Missing Required Date</x:v>
      </x:c>
      <x:c r="AS160" s="25" t="str">
        <x:f>IF(OR(E160="processing",E160="executing",E160="pending"),IF(AP160="","Required aging date missing",IF(AQ160&gt;30,"Escalate &gt;30d",IF(AQ160&gt;14,"Watch &gt;14d","Within 14d"))),"Out of scope")</x:f>
        <x:v>Out of scope</x:v>
      </x:c>
    </x:row>
    <x:row r="161" ht="24" customHeight="1">
      <x:c r="A161" t="str">
        <x:v>f5ac3597-ff4e-49a7-b4e5-daacd8e4e8ec</x:v>
      </x:c>
      <x:c r="B161" t="str">
        <x:v>CSSP10451318</x:v>
      </x:c>
      <x:c r="C161" t="str">
        <x:v>mzurfaiezzuddin.zur@petronas.com</x:v>
      </x:c>
      <x:c r="D161" t="str">
        <x:v>decommission-cloud</x:v>
      </x:c>
      <x:c r="E161" t="str">
        <x:v>cancelled</x:v>
      </x:c>
      <x:c r="F161" t="n">
        <x:v>46113.12278239583</x:v>
      </x:c>
      <x:c r="G161" t="n">
        <x:v>46113.122962939815</x:v>
      </x:c>
      <x:c r="H161" t="n">
        <x:v>46113.12278239583</x:v>
      </x:c>
      <x:c r="I161" t="str">
        <x:v>Lab Information Management System - LIMS PCGB</x:v>
      </x:c>
      <x:c r="J161" t="str">
        <x:v>Provisioning of Virtual Machine for LIMS with ELN for STAR+ Project for PCGB</x:v>
      </x:c>
      <x:c r="K161" t="str">
        <x:v>partial</x:v>
      </x:c>
      <x:c r="L161"/>
      <x:c r="M161" t="str">
        <x:v>sazali.mokhtar@petronas.com</x:v>
      </x:c>
      <x:c r="N161"/>
      <x:c r="O161"/>
      <x:c r="P161" t="str">
        <x:v>Cloud Repatriation - To decommission old resources in SG region due to completed migration in MY region</x:v>
      </x:c>
      <x:c r="Q161" t="str">
        <x:v>2W</x:v>
      </x:c>
      <x:c r="R161" t="str">
        <x:v>Cloud Migration</x:v>
      </x:c>
      <x:c r="S161"/>
      <x:c r="T161" t="str">
        <x:v>rejected</x:v>
      </x:c>
      <x:c r="U161" t="str">
        <x:v>mzurfaiezzuddin.zur@petronas.com</x:v>
      </x:c>
      <x:c r="V161" t="n">
        <x:v>46113.122962939815</x:v>
      </x:c>
      <x:c r="W161"/>
      <x:c r="X161"/>
      <x:c r="Y161" t="str">
        <x:v>sazali.mokhtar@petronas.com</x:v>
      </x:c>
      <x:c r="Z161"/>
      <x:c r="AA161"/>
      <x:c r="AB161"/>
      <x:c r="AC161" t="str">
        <x:v>CCoE Business</x:v>
      </x:c>
      <x:c r="AD161"/>
      <x:c r="AE161"/>
      <x:c r="AF161"/>
      <x:c r="AG161" t="str">
        <x:v>CCoE Operations</x:v>
      </x:c>
      <x:c r="AH161"/>
      <x:c r="AI161"/>
      <x:c r="AJ161" t="str">
        <x:v>A-000380</x:v>
      </x:c>
      <x:c r="AK161" t="str">
        <x:v>SR00080</x:v>
      </x:c>
      <x:c r="AL161"/>
      <x:c r="AM161"/>
      <x:c r="AN161" t="str">
        <x:v>noretention</x:v>
      </x:c>
      <x:c r="AO161" t="n">
        <x:v>0</x:v>
      </x:c>
      <x:c r="AP161" s="23" t="str">
        <x:f>IF(E161="processing",IF(Z161="","",IF(ISNUMBER(Z161),INT(Z161),DATE(VALUE(LEFT(Z161,4)),VALUE(MID(Z161,6,2)),VALUE(MID(Z161,9,2))))),IF(OR(E161="executing",E161="pending"),IF(AD161="","",IF(ISNUMBER(AD161),INT(AD161),DATE(VALUE(LEFT(AD161,4)),VALUE(MID(AD161,6,2)),VALUE(MID(AD161,9,2))))),""))</x:f>
      </x:c>
      <x:c r="AQ161" s="24" t="str">
        <x:f>IF(AP161="","",INT('Configuration'!$B$4)-AP161)</x:f>
      </x:c>
      <x:c r="AR161" s="25" t="str">
        <x:f>IF(AP161="","Missing Required Date",IF(AQ161&lt;0,"Future Date",IF(AQ161=0,"0 days",IF(AQ161&lt;=2,"1-2 days",IF(AQ161&lt;=7,"3-7 days",IF(AQ161&lt;=14,"8-14 days",IF(AQ161&lt;=30,"15-30 days",IF(AQ161&lt;=60,"31-60 days",IF(AQ161&lt;=70,"61-70 days","71+ days")))))))))</x:f>
        <x:v>Missing Required Date</x:v>
      </x:c>
      <x:c r="AS161" s="25" t="str">
        <x:f>IF(OR(E161="processing",E161="executing",E161="pending"),IF(AP161="","Required aging date missing",IF(AQ161&gt;30,"Escalate &gt;30d",IF(AQ161&gt;14,"Watch &gt;14d","Within 14d"))),"Out of scope")</x:f>
        <x:v>Out of scope</x:v>
      </x:c>
    </x:row>
    <x:row r="162" ht="24" customHeight="1">
      <x:c r="A162" t="str">
        <x:v>83a75e8a-b7e0-4af5-a68b-c3afd66801a0</x:v>
      </x:c>
      <x:c r="B162" t="str">
        <x:v>CSSP10463624</x:v>
      </x:c>
      <x:c r="C162" t="str">
        <x:v>mzurfaiezzuddin.zur@petronas.com</x:v>
      </x:c>
      <x:c r="D162" t="str">
        <x:v>decommission-cloud</x:v>
      </x:c>
      <x:c r="E162" t="str">
        <x:v>completed</x:v>
      </x:c>
      <x:c r="F162" t="n">
        <x:v>46113.12338174768</x:v>
      </x:c>
      <x:c r="G162" t="n">
        <x:v>46124.45970811343</x:v>
      </x:c>
      <x:c r="H162" t="n">
        <x:v>46113.12338174768</x:v>
      </x:c>
      <x:c r="I162" t="str">
        <x:v>Lab Information Management System - LIMS PCGB</x:v>
      </x:c>
      <x:c r="J162" t="str">
        <x:v>OCI MIGRATION - Integrated Laboratory Information Management System (iLIMS) for PCGB Dev</x:v>
      </x:c>
      <x:c r="K162" t="str">
        <x:v>partial</x:v>
      </x:c>
      <x:c r="L162"/>
      <x:c r="M162" t="str">
        <x:v>sazali.mokhtar@petronas.com</x:v>
      </x:c>
      <x:c r="N162"/>
      <x:c r="O162"/>
      <x:c r="P162" t="str">
        <x:v>Cloud Repatriation - To decommission old resources in SG region due to completed migration in MY region</x:v>
      </x:c>
      <x:c r="Q162" t="str">
        <x:v>2W</x:v>
      </x:c>
      <x:c r="R162" t="str">
        <x:v>Cloud Migration</x:v>
      </x:c>
      <x:c r="S162"/>
      <x:c r="T162" t="str">
        <x:v>approved</x:v>
      </x:c>
      <x:c r="U162" t="str">
        <x:v>mzurfaiezzuddin.zur@petronas.com</x:v>
      </x:c>
      <x:c r="V162" t="n">
        <x:v>46113.123660335645</x:v>
      </x:c>
      <x:c r="W162" t="str">
        <x:v>Cloud Repatriation - To decommission old resources in SG region due to completed migration in MY region</x:v>
      </x:c>
      <x:c r="X162" t="str">
        <x:v>approved</x:v>
      </x:c>
      <x:c r="Y162" t="str">
        <x:v>sazali.mokhtar@petronas.com</x:v>
      </x:c>
      <x:c r="Z162" t="n">
        <x:v>46114.15195530093</x:v>
      </x:c>
      <x:c r="AA162" t="str">
        <x:v>Cloud Repatriation - To decommission old resources in SG region due to completed migration in MY region</x:v>
      </x:c>
      <x:c r="AB162" t="str">
        <x:v>approved</x:v>
      </x:c>
      <x:c r="AC162" t="str">
        <x:v>azwan.badari@petronas.com</x:v>
      </x:c>
      <x:c r="AD162" t="n">
        <x:v>46118.11829150463</x:v>
      </x:c>
      <x:c r="AE162" t="str">
        <x:v>Decommission as listed</x:v>
      </x:c>
      <x:c r="AF162" t="str">
        <x:v>approved</x:v>
      </x:c>
      <x:c r="AG162" t="str">
        <x:v>azwan.badari@petronas.com</x:v>
      </x:c>
      <x:c r="AH162" t="n">
        <x:v>46124.459708125</x:v>
      </x:c>
      <x:c r="AI162" t="str">
        <x:v>Completed</x:v>
      </x:c>
      <x:c r="AJ162" t="str">
        <x:v>A-000380</x:v>
      </x:c>
      <x:c r="AK162" t="str">
        <x:v>00915_211</x:v>
      </x:c>
      <x:c r="AL162" t="str">
        <x:v>M</x:v>
      </x:c>
      <x:c r="AM162" t="str">
        <x:v>REQ000007970313</x:v>
      </x:c>
      <x:c r="AN162" t="str">
        <x:v>noretention</x:v>
      </x:c>
      <x:c r="AO162" t="n">
        <x:v>0</x:v>
      </x:c>
      <x:c r="AP162" s="23" t="str">
        <x:f>IF(E162="processing",IF(Z162="","",IF(ISNUMBER(Z162),INT(Z162),DATE(VALUE(LEFT(Z162,4)),VALUE(MID(Z162,6,2)),VALUE(MID(Z162,9,2))))),IF(OR(E162="executing",E162="pending"),IF(AD162="","",IF(ISNUMBER(AD162),INT(AD162),DATE(VALUE(LEFT(AD162,4)),VALUE(MID(AD162,6,2)),VALUE(MID(AD162,9,2))))),""))</x:f>
      </x:c>
      <x:c r="AQ162" s="24" t="str">
        <x:f>IF(AP162="","",INT('Configuration'!$B$4)-AP162)</x:f>
      </x:c>
      <x:c r="AR162" s="25" t="str">
        <x:f>IF(AP162="","Missing Required Date",IF(AQ162&lt;0,"Future Date",IF(AQ162=0,"0 days",IF(AQ162&lt;=2,"1-2 days",IF(AQ162&lt;=7,"3-7 days",IF(AQ162&lt;=14,"8-14 days",IF(AQ162&lt;=30,"15-30 days",IF(AQ162&lt;=60,"31-60 days",IF(AQ162&lt;=70,"61-70 days","71+ days")))))))))</x:f>
        <x:v>Missing Required Date</x:v>
      </x:c>
      <x:c r="AS162" s="25" t="str">
        <x:f>IF(OR(E162="processing",E162="executing",E162="pending"),IF(AP162="","Required aging date missing",IF(AQ162&gt;30,"Escalate &gt;30d",IF(AQ162&gt;14,"Watch &gt;14d","Within 14d"))),"Out of scope")</x:f>
        <x:v>Out of scope</x:v>
      </x:c>
    </x:row>
    <x:row r="163" ht="24" customHeight="1">
      <x:c r="A163" t="str">
        <x:v>a511ff93-60c4-470c-bc32-1f28d467076e</x:v>
      </x:c>
      <x:c r="B163" t="str">
        <x:v>CSSP10772569</x:v>
      </x:c>
      <x:c r="C163" t="str">
        <x:v>mzurfaiezzuddin.zur@petronas.com</x:v>
      </x:c>
      <x:c r="D163" t="str">
        <x:v>decommission-cloud</x:v>
      </x:c>
      <x:c r="E163" t="str">
        <x:v>completed</x:v>
      </x:c>
      <x:c r="F163" t="n">
        <x:v>46113.12485665509</x:v>
      </x:c>
      <x:c r="G163" t="n">
        <x:v>46120.16560127315</x:v>
      </x:c>
      <x:c r="H163" t="n">
        <x:v>46113.12485665509</x:v>
      </x:c>
      <x:c r="I163" t="str">
        <x:v>Lab Information Management System - LIMS PCGB</x:v>
      </x:c>
      <x:c r="J163" t="str">
        <x:v>OCI MIGRATION - Integrated Lab Information System (PCG)</x:v>
      </x:c>
      <x:c r="K163" t="str">
        <x:v>partial</x:v>
      </x:c>
      <x:c r="L163"/>
      <x:c r="M163" t="str">
        <x:v>sazali.mokhtar@petronas.com</x:v>
      </x:c>
      <x:c r="N163"/>
      <x:c r="O163"/>
      <x:c r="P163" t="str">
        <x:v>Cloud Repatriation - To decommission old resources in SG region due to completed migration in MY region</x:v>
      </x:c>
      <x:c r="Q163" t="str">
        <x:v>2W</x:v>
      </x:c>
      <x:c r="R163" t="str">
        <x:v>Cloud Migration</x:v>
      </x:c>
      <x:c r="S163"/>
      <x:c r="T163" t="str">
        <x:v>approved</x:v>
      </x:c>
      <x:c r="U163" t="str">
        <x:v>mzurfaiezzuddin.zur@petronas.com</x:v>
      </x:c>
      <x:c r="V163" t="n">
        <x:v>46113.12512199074</x:v>
      </x:c>
      <x:c r="W163" t="str">
        <x:v>Cloud Repatriation - To decommission old resources in SG region due to completed migration in MY region</x:v>
      </x:c>
      <x:c r="X163" t="str">
        <x:v>approved</x:v>
      </x:c>
      <x:c r="Y163" t="str">
        <x:v>sazali.mokhtar@petronas.com</x:v>
      </x:c>
      <x:c r="Z163" t="n">
        <x:v>46114.15154200231</x:v>
      </x:c>
      <x:c r="AA163" t="str">
        <x:v>Cloud Repatriation - To decommission old resources in SG region due to completed migration in MY region</x:v>
      </x:c>
      <x:c r="AB163" t="str">
        <x:v>approved</x:v>
      </x:c>
      <x:c r="AC163" t="str">
        <x:v>azwan.badari@petronas.com</x:v>
      </x:c>
      <x:c r="AD163" t="n">
        <x:v>46118.114197083334</x:v>
      </x:c>
      <x:c r="AE163" t="str">
        <x:v>Decommission listed resources</x:v>
      </x:c>
      <x:c r="AF163" t="str">
        <x:v>approved</x:v>
      </x:c>
      <x:c r="AG163" t="str">
        <x:v>azwan.badari@petronas.com</x:v>
      </x:c>
      <x:c r="AH163" t="n">
        <x:v>46120.16560128472</x:v>
      </x:c>
      <x:c r="AI163" t="str">
        <x:v>Completed</x:v>
      </x:c>
      <x:c r="AJ163" t="str">
        <x:v>A-000380</x:v>
      </x:c>
      <x:c r="AK163" t="str">
        <x:v>OCI-00016</x:v>
      </x:c>
      <x:c r="AL163" t="str">
        <x:v>M</x:v>
      </x:c>
      <x:c r="AM163" t="str">
        <x:v>REQ000007970945</x:v>
      </x:c>
      <x:c r="AN163" t="str">
        <x:v>noretention</x:v>
      </x:c>
      <x:c r="AO163" t="n">
        <x:v>0</x:v>
      </x:c>
      <x:c r="AP163" s="23" t="str">
        <x:f>IF(E163="processing",IF(Z163="","",IF(ISNUMBER(Z163),INT(Z163),DATE(VALUE(LEFT(Z163,4)),VALUE(MID(Z163,6,2)),VALUE(MID(Z163,9,2))))),IF(OR(E163="executing",E163="pending"),IF(AD163="","",IF(ISNUMBER(AD163),INT(AD163),DATE(VALUE(LEFT(AD163,4)),VALUE(MID(AD163,6,2)),VALUE(MID(AD163,9,2))))),""))</x:f>
      </x:c>
      <x:c r="AQ163" s="24" t="str">
        <x:f>IF(AP163="","",INT('Configuration'!$B$4)-AP163)</x:f>
      </x:c>
      <x:c r="AR163" s="25" t="str">
        <x:f>IF(AP163="","Missing Required Date",IF(AQ163&lt;0,"Future Date",IF(AQ163=0,"0 days",IF(AQ163&lt;=2,"1-2 days",IF(AQ163&lt;=7,"3-7 days",IF(AQ163&lt;=14,"8-14 days",IF(AQ163&lt;=30,"15-30 days",IF(AQ163&lt;=60,"31-60 days",IF(AQ163&lt;=70,"61-70 days","71+ days")))))))))</x:f>
        <x:v>Missing Required Date</x:v>
      </x:c>
      <x:c r="AS163" s="25" t="str">
        <x:f>IF(OR(E163="processing",E163="executing",E163="pending"),IF(AP163="","Required aging date missing",IF(AQ163&gt;30,"Escalate &gt;30d",IF(AQ163&gt;14,"Watch &gt;14d","Within 14d"))),"Out of scope")</x:f>
        <x:v>Out of scope</x:v>
      </x:c>
    </x:row>
    <x:row r="164" ht="24" customHeight="1">
      <x:c r="A164" t="str">
        <x:v>ef0f40a1-a7d0-4522-801f-28a0a17bfda3</x:v>
      </x:c>
      <x:c r="B164" t="str">
        <x:v>CSSP10423338</x:v>
      </x:c>
      <x:c r="C164" t="str">
        <x:v>norasikin.ahmad@petronas.com</x:v>
      </x:c>
      <x:c r="D164" t="str">
        <x:v>decommission-cloud</x:v>
      </x:c>
      <x:c r="E164" t="str">
        <x:v>completed</x:v>
      </x:c>
      <x:c r="F164" t="n">
        <x:v>46113.13437923611</x:v>
      </x:c>
      <x:c r="G164" t="n">
        <x:v>46122.44377572917</x:v>
      </x:c>
      <x:c r="H164" t="n">
        <x:v>46113.13437923611</x:v>
      </x:c>
      <x:c r="I164" t="str">
        <x:v>PETRONAS Drone Command Centre - P-DCC</x:v>
      </x:c>
      <x:c r="J164" t="str">
        <x:v>Drone Centre Cloud Storage for Drone Operations Across OPUs – Contract &amp; Collaboration Works</x:v>
      </x:c>
      <x:c r="K164" t="str">
        <x:v>partial</x:v>
      </x:c>
      <x:c r="L164"/>
      <x:c r="M164" t="str">
        <x:v>sazali.mokhtar@petronas.com.my</x:v>
      </x:c>
      <x:c r="N164"/>
      <x:c r="O164"/>
      <x:c r="P164" t="str">
        <x:v>Cloud Repatriation Project to Malaysia region and decommisioning recources in Singapore region.</x:v>
      </x:c>
      <x:c r="Q164" t="str">
        <x:v>2W</x:v>
      </x:c>
      <x:c r="R164" t="str">
        <x:v>Cloud Migration</x:v>
      </x:c>
      <x:c r="S164"/>
      <x:c r="T164" t="str">
        <x:v>approved</x:v>
      </x:c>
      <x:c r="U164" t="str">
        <x:v>norasikin.ahmad@petronas.com</x:v>
      </x:c>
      <x:c r="V164" t="n">
        <x:v>46113.135130821756</x:v>
      </x:c>
      <x:c r="W164" t="str">
        <x:v>Cloud Repatriation Project to Malaysia region and decommisioning recources in Singapore region.</x:v>
      </x:c>
      <x:c r="X164" t="str">
        <x:v>approved</x:v>
      </x:c>
      <x:c r="Y164" t="str">
        <x:v>sazali.mokhtar@petronas.com</x:v>
      </x:c>
      <x:c r="Z164" t="n">
        <x:v>46113.14233042824</x:v>
      </x:c>
      <x:c r="AA164" t="str">
        <x:v>Cloud Repatriation Project to Malaysia region and decommisioning recources in Singapore region.</x:v>
      </x:c>
      <x:c r="AB164" t="str">
        <x:v>approved</x:v>
      </x:c>
      <x:c r="AC164" t="str">
        <x:v>azwan.badari@petronas.com</x:v>
      </x:c>
      <x:c r="AD164" t="n">
        <x:v>46113.16370435185</x:v>
      </x:c>
      <x:c r="AE164" t="str">
        <x:v>Decommission resources as per attached</x:v>
      </x:c>
      <x:c r="AF164" t="str">
        <x:v>approved</x:v>
      </x:c>
      <x:c r="AG164" t="str">
        <x:v>azwan.badari@petronas.com</x:v>
      </x:c>
      <x:c r="AH164" t="n">
        <x:v>46122.44377574074</x:v>
      </x:c>
      <x:c r="AI164" t="str">
        <x:v>Completed</x:v>
      </x:c>
      <x:c r="AJ164" t="str">
        <x:v>A-000237</x:v>
      </x:c>
      <x:c r="AK164" t="n">
        <x:v>4264</x:v>
      </x:c>
      <x:c r="AL164" t="str">
        <x:v>S</x:v>
      </x:c>
      <x:c r="AM164" t="str">
        <x:v>REQ000007960488</x:v>
      </x:c>
      <x:c r="AN164" t="str">
        <x:v>noretention</x:v>
      </x:c>
      <x:c r="AO164" t="n">
        <x:v>0</x:v>
      </x:c>
      <x:c r="AP164" s="23" t="str">
        <x:f>IF(E164="processing",IF(Z164="","",IF(ISNUMBER(Z164),INT(Z164),DATE(VALUE(LEFT(Z164,4)),VALUE(MID(Z164,6,2)),VALUE(MID(Z164,9,2))))),IF(OR(E164="executing",E164="pending"),IF(AD164="","",IF(ISNUMBER(AD164),INT(AD164),DATE(VALUE(LEFT(AD164,4)),VALUE(MID(AD164,6,2)),VALUE(MID(AD164,9,2))))),""))</x:f>
      </x:c>
      <x:c r="AQ164" s="24" t="str">
        <x:f>IF(AP164="","",INT('Configuration'!$B$4)-AP164)</x:f>
      </x:c>
      <x:c r="AR164" s="25" t="str">
        <x:f>IF(AP164="","Missing Required Date",IF(AQ164&lt;0,"Future Date",IF(AQ164=0,"0 days",IF(AQ164&lt;=2,"1-2 days",IF(AQ164&lt;=7,"3-7 days",IF(AQ164&lt;=14,"8-14 days",IF(AQ164&lt;=30,"15-30 days",IF(AQ164&lt;=60,"31-60 days",IF(AQ164&lt;=70,"61-70 days","71+ days")))))))))</x:f>
        <x:v>Missing Required Date</x:v>
      </x:c>
      <x:c r="AS164" s="25" t="str">
        <x:f>IF(OR(E164="processing",E164="executing",E164="pending"),IF(AP164="","Required aging date missing",IF(AQ164&gt;30,"Escalate &gt;30d",IF(AQ164&gt;14,"Watch &gt;14d","Within 14d"))),"Out of scope")</x:f>
        <x:v>Out of scope</x:v>
      </x:c>
    </x:row>
    <x:row r="165" ht="24" customHeight="1">
      <x:c r="A165" t="str">
        <x:v>e4e009c7-7206-417d-97c8-945baddc9887</x:v>
      </x:c>
      <x:c r="B165" t="str">
        <x:v>CSSP10895487</x:v>
      </x:c>
      <x:c r="C165" t="str">
        <x:v>norfarhanael.shukor@petronas.com</x:v>
      </x:c>
      <x:c r="D165" t="str">
        <x:v>decommission-cloud</x:v>
      </x:c>
      <x:c r="E165" t="str">
        <x:v>completed</x:v>
      </x:c>
      <x:c r="F165" t="n">
        <x:v>46115.30886550926</x:v>
      </x:c>
      <x:c r="G165" t="n">
        <x:v>46125.21172386574</x:v>
      </x:c>
      <x:c r="H165" t="n">
        <x:v>46115.30886550926</x:v>
      </x:c>
      <x:c r="I165" t="str">
        <x:v>Product Stewardship - PDST</x:v>
      </x:c>
      <x:c r="J165" t="str">
        <x:v>Product Stewardship - PDST created for PRIVATECLOUD project record</x:v>
      </x:c>
      <x:c r="K165" t="str">
        <x:v>full</x:v>
      </x:c>
      <x:c r="L165" t="str">
        <x:v>DCOM20260403c44</x:v>
      </x:c>
      <x:c r="M165" t="str">
        <x:v>norazmanz@petronas.com.my</x:v>
      </x:c>
      <x:c r="N165" t="str">
        <x:v>ps.petronas.com, ps.staging.petronas.com</x:v>
      </x:c>
      <x:c r="O165"/>
      <x:c r="P165" t="str">
        <x:v>The application is not longer in used due to completion of ICT Carve out for PRefChem activity.</x:v>
      </x:c>
      <x:c r="Q165" t="str">
        <x:v>12M</x:v>
      </x:c>
      <x:c r="R165" t="str">
        <x:v>Not in Used</x:v>
      </x:c>
      <x:c r="S165"/>
      <x:c r="T165" t="str">
        <x:v>approved</x:v>
      </x:c>
      <x:c r="U165" t="str">
        <x:v>norfarhanael.shukor@petronas.com</x:v>
      </x:c>
      <x:c r="V165" t="n">
        <x:v>46115.30977400463</x:v>
      </x:c>
      <x:c r="W165" t="str">
        <x:v>Full Decommission of Product Stewardship application for all servers &amp; DNS.</x:v>
      </x:c>
      <x:c r="X165" t="str">
        <x:v>approved</x:v>
      </x:c>
      <x:c r="Y165" t="str">
        <x:v>norazmanz@petronas.com</x:v>
      </x:c>
      <x:c r="Z165" t="n">
        <x:v>46116.486716666666</x:v>
      </x:c>
      <x:c r="AA165" t="str">
        <x:v>Proceed as per plan</x:v>
      </x:c>
      <x:c r="AB165" t="str">
        <x:v>approved</x:v>
      </x:c>
      <x:c r="AC165" t="str">
        <x:v>azwan.badari@petronas.com</x:v>
      </x:c>
      <x:c r="AD165" t="n">
        <x:v>46119.37596488426</x:v>
      </x:c>
      <x:c r="AE165" t="str">
        <x:v>Decommission onpremise VM.
VPICPPDSTAP01	    10.54.225.168
VPICPPDSTAP02	10.54.225.169
VPICPPDSTAP03	10.54.225.170
VPICPPDSTDB01	10.54.226.50
VPICSPDSTAP01	    10.54.239.21
VPICSPDSTAP02	10.54.239.22
VPICSPDSTAP03	10.54.239.23
VPICSPDSTDB01	10.54.239.24</x:v>
      </x:c>
      <x:c r="AF165" t="str">
        <x:v>approved</x:v>
      </x:c>
      <x:c r="AG165" t="str">
        <x:v>azlisham.md@petronas.com</x:v>
      </x:c>
      <x:c r="AH165" t="n">
        <x:v>46125.21172387731</x:v>
      </x:c>
      <x:c r="AI165" t="str">
        <x:v>The decommission request has been completed, and the status is now updated accordingly. Kindly verify from your end and confirm once reviewed.
</x:v>
      </x:c>
      <x:c r="AJ165" t="str">
        <x:v>A-000551</x:v>
      </x:c>
      <x:c r="AK165" t="n">
        <x:v>10132</x:v>
      </x:c>
      <x:c r="AL165" t="str">
        <x:v>M</x:v>
      </x:c>
      <x:c r="AM165" t="str">
        <x:v>REQ000007975334</x:v>
      </x:c>
      <x:c r="AN165" t="str">
        <x:v>retention</x:v>
      </x:c>
      <x:c r="AO165" t="n">
        <x:v>365</x:v>
      </x:c>
      <x:c r="AP165" s="23" t="str">
        <x:f>IF(E165="processing",IF(Z165="","",IF(ISNUMBER(Z165),INT(Z165),DATE(VALUE(LEFT(Z165,4)),VALUE(MID(Z165,6,2)),VALUE(MID(Z165,9,2))))),IF(OR(E165="executing",E165="pending"),IF(AD165="","",IF(ISNUMBER(AD165),INT(AD165),DATE(VALUE(LEFT(AD165,4)),VALUE(MID(AD165,6,2)),VALUE(MID(AD165,9,2))))),""))</x:f>
      </x:c>
      <x:c r="AQ165" s="24" t="str">
        <x:f>IF(AP165="","",INT('Configuration'!$B$4)-AP165)</x:f>
      </x:c>
      <x:c r="AR165" s="25" t="str">
        <x:f>IF(AP165="","Missing Required Date",IF(AQ165&lt;0,"Future Date",IF(AQ165=0,"0 days",IF(AQ165&lt;=2,"1-2 days",IF(AQ165&lt;=7,"3-7 days",IF(AQ165&lt;=14,"8-14 days",IF(AQ165&lt;=30,"15-30 days",IF(AQ165&lt;=60,"31-60 days",IF(AQ165&lt;=70,"61-70 days","71+ days")))))))))</x:f>
        <x:v>Missing Required Date</x:v>
      </x:c>
      <x:c r="AS165" s="25" t="str">
        <x:f>IF(OR(E165="processing",E165="executing",E165="pending"),IF(AP165="","Required aging date missing",IF(AQ165&gt;30,"Escalate &gt;30d",IF(AQ165&gt;14,"Watch &gt;14d","Within 14d"))),"Out of scope")</x:f>
        <x:v>Out of scope</x:v>
      </x:c>
    </x:row>
    <x:row r="166" ht="24" customHeight="1">
      <x:c r="A166" t="str">
        <x:v>ced601a0-8712-49c0-901c-f622e399085f</x:v>
      </x:c>
      <x:c r="B166" t="str">
        <x:v>CSSP10309494</x:v>
      </x:c>
      <x:c r="C166" t="str">
        <x:v>darren.leevuiphin@petronas.com</x:v>
      </x:c>
      <x:c r="D166" t="str">
        <x:v>decommission-cloud</x:v>
      </x:c>
      <x:c r="E166" t="str">
        <x:v>completed</x:v>
      </x:c>
      <x:c r="F166" t="n">
        <x:v>46118.04706525463</x:v>
      </x:c>
      <x:c r="G166" t="n">
        <x:v>46122.09333408565</x:v>
      </x:c>
      <x:c r="H166" t="n">
        <x:v>46118.04706525463</x:v>
      </x:c>
      <x:c r="I166" t="str">
        <x:v>Offline Data Management - ODM ABF</x:v>
      </x:c>
      <x:c r="J166" t="str">
        <x:v>Cloud Migration Program - Offline Data Management (ODM) ABF</x:v>
      </x:c>
      <x:c r="K166" t="str">
        <x:v>full</x:v>
      </x:c>
      <x:c r="L166" t="str">
        <x:v>N/A</x:v>
      </x:c>
      <x:c r="M166" t="str">
        <x:v>omar.norazmi@petronas.com.my</x:v>
      </x:c>
      <x:c r="N166"/>
      <x:c r="O166"/>
      <x:c r="P166" t="str">
        <x:v>EBC has moved from ODM to APM. Contract with ODM Vendor has also ended. </x:v>
      </x:c>
      <x:c r="Q166" t="str">
        <x:v>12M</x:v>
      </x:c>
      <x:c r="R166" t="str">
        <x:v>Upgrade</x:v>
      </x:c>
      <x:c r="S166"/>
      <x:c r="T166" t="str">
        <x:v>approved</x:v>
      </x:c>
      <x:c r="U166" t="str">
        <x:v>darren.leevuiphin@petronas.com</x:v>
      </x:c>
      <x:c r="V166" t="n">
        <x:v>46118.05089490741</x:v>
      </x:c>
      <x:c r="W166" t="str">
        <x:v>Decom ODM as EBC has moved to APM</x:v>
      </x:c>
      <x:c r="X166" t="str">
        <x:v>approved</x:v>
      </x:c>
      <x:c r="Y166" t="str">
        <x:v>omar.norazmi@petronas.com</x:v>
      </x:c>
      <x:c r="Z166" t="n">
        <x:v>46118.31326065972</x:v>
      </x:c>
      <x:c r="AA166" t="str">
        <x:v>agreed to decomm application.</x:v>
      </x:c>
      <x:c r="AB166" t="str">
        <x:v>approved</x:v>
      </x:c>
      <x:c r="AC166" t="str">
        <x:v>azwan.badari@petronas.com</x:v>
      </x:c>
      <x:c r="AD166" t="n">
        <x:v>46119.26788097222</x:v>
      </x:c>
      <x:c r="AE166" t="str">
        <x:v>Decommission all resources under 00915_24 including dbODMSNew-ABF managed database in PTAZSG-IAC-PROD-SQLMI-GNE-RG</x:v>
      </x:c>
      <x:c r="AF166" t="str">
        <x:v>approved</x:v>
      </x:c>
      <x:c r="AG166" t="str">
        <x:v>azlisham.md@petronas.com</x:v>
      </x:c>
      <x:c r="AH166" t="n">
        <x:v>46122.093334108795</x:v>
      </x:c>
      <x:c r="AI166" t="str">
        <x:v>The decommission request has been completed, and the status is now updated accordingly. Kindly verify from your end and confirm once reviewed.
</x:v>
      </x:c>
      <x:c r="AJ166" t="str">
        <x:v>A-000512</x:v>
      </x:c>
      <x:c r="AK166" t="str">
        <x:v>00915_24</x:v>
      </x:c>
      <x:c r="AL166" t="str">
        <x:v>M</x:v>
      </x:c>
      <x:c r="AM166" t="str">
        <x:v>REQ000007974279</x:v>
      </x:c>
      <x:c r="AN166" t="str">
        <x:v>retention</x:v>
      </x:c>
      <x:c r="AO166" t="n">
        <x:v>365</x:v>
      </x:c>
      <x:c r="AP166" s="23" t="str">
        <x:f>IF(E166="processing",IF(Z166="","",IF(ISNUMBER(Z166),INT(Z166),DATE(VALUE(LEFT(Z166,4)),VALUE(MID(Z166,6,2)),VALUE(MID(Z166,9,2))))),IF(OR(E166="executing",E166="pending"),IF(AD166="","",IF(ISNUMBER(AD166),INT(AD166),DATE(VALUE(LEFT(AD166,4)),VALUE(MID(AD166,6,2)),VALUE(MID(AD166,9,2))))),""))</x:f>
      </x:c>
      <x:c r="AQ166" s="24" t="str">
        <x:f>IF(AP166="","",INT('Configuration'!$B$4)-AP166)</x:f>
      </x:c>
      <x:c r="AR166" s="25" t="str">
        <x:f>IF(AP166="","Missing Required Date",IF(AQ166&lt;0,"Future Date",IF(AQ166=0,"0 days",IF(AQ166&lt;=2,"1-2 days",IF(AQ166&lt;=7,"3-7 days",IF(AQ166&lt;=14,"8-14 days",IF(AQ166&lt;=30,"15-30 days",IF(AQ166&lt;=60,"31-60 days",IF(AQ166&lt;=70,"61-70 days","71+ days")))))))))</x:f>
        <x:v>Missing Required Date</x:v>
      </x:c>
      <x:c r="AS166" s="25" t="str">
        <x:f>IF(OR(E166="processing",E166="executing",E166="pending"),IF(AP166="","Required aging date missing",IF(AQ166&gt;30,"Escalate &gt;30d",IF(AQ166&gt;14,"Watch &gt;14d","Within 14d"))),"Out of scope")</x:f>
        <x:v>Out of scope</x:v>
      </x:c>
    </x:row>
    <x:row r="167" ht="24" customHeight="1">
      <x:c r="A167" t="str">
        <x:v>4b63c679-a423-4c37-8e2a-c971543863f6</x:v>
      </x:c>
      <x:c r="B167" t="str">
        <x:v>CSSP10971886</x:v>
      </x:c>
      <x:c r="C167" t="str">
        <x:v>mzurfaiezzuddin.zur@petronas.com</x:v>
      </x:c>
      <x:c r="D167" t="str">
        <x:v>decommission-cloud</x:v>
      </x:c>
      <x:c r="E167" t="str">
        <x:v>cancelled</x:v>
      </x:c>
      <x:c r="F167" t="n">
        <x:v>46118.084872025465</x:v>
      </x:c>
      <x:c r="G167" t="n">
        <x:v>46118.08506960648</x:v>
      </x:c>
      <x:c r="H167" t="n">
        <x:v>46118.084872025465</x:v>
      </x:c>
      <x:c r="I167" t="str">
        <x:v>Project Management Workbench Plus - PMW+</x:v>
      </x:c>
      <x:c r="J167" t="str">
        <x:v>PMW Plus</x:v>
      </x:c>
      <x:c r="K167" t="str">
        <x:v>partial</x:v>
      </x:c>
      <x:c r="L167"/>
      <x:c r="M167" t="str">
        <x:v>sazali.mokhtar@petronas.com</x:v>
      </x:c>
      <x:c r="N167"/>
      <x:c r="O167"/>
      <x:c r="P167" t="str">
        <x:v>Cloud Repatriation Project to Malaysia region and decommisioning recources in Singapore region.</x:v>
      </x:c>
      <x:c r="Q167" t="str">
        <x:v>2W</x:v>
      </x:c>
      <x:c r="R167" t="str">
        <x:v>Cloud Migration</x:v>
      </x:c>
      <x:c r="S167"/>
      <x:c r="T167" t="str">
        <x:v>rejected</x:v>
      </x:c>
      <x:c r="U167" t="str">
        <x:v>mzurfaiezzuddin.zur@petronas.com</x:v>
      </x:c>
      <x:c r="V167" t="n">
        <x:v>46118.08506961806</x:v>
      </x:c>
      <x:c r="W167"/>
      <x:c r="X167"/>
      <x:c r="Y167" t="str">
        <x:v>sazali.mokhtar@petronas.com</x:v>
      </x:c>
      <x:c r="Z167"/>
      <x:c r="AA167"/>
      <x:c r="AB167"/>
      <x:c r="AC167" t="str">
        <x:v>CCoE Business</x:v>
      </x:c>
      <x:c r="AD167"/>
      <x:c r="AE167"/>
      <x:c r="AF167"/>
      <x:c r="AG167" t="str">
        <x:v>CCoE Operations</x:v>
      </x:c>
      <x:c r="AH167"/>
      <x:c r="AI167"/>
      <x:c r="AJ167" t="str">
        <x:v>A-000635</x:v>
      </x:c>
      <x:c r="AK167" t="n">
        <x:v>3563</x:v>
      </x:c>
      <x:c r="AL167"/>
      <x:c r="AM167"/>
      <x:c r="AN167" t="str">
        <x:v>noretention</x:v>
      </x:c>
      <x:c r="AO167" t="n">
        <x:v>0</x:v>
      </x:c>
      <x:c r="AP167" s="23" t="str">
        <x:f>IF(E167="processing",IF(Z167="","",IF(ISNUMBER(Z167),INT(Z167),DATE(VALUE(LEFT(Z167,4)),VALUE(MID(Z167,6,2)),VALUE(MID(Z167,9,2))))),IF(OR(E167="executing",E167="pending"),IF(AD167="","",IF(ISNUMBER(AD167),INT(AD167),DATE(VALUE(LEFT(AD167,4)),VALUE(MID(AD167,6,2)),VALUE(MID(AD167,9,2))))),""))</x:f>
      </x:c>
      <x:c r="AQ167" s="24" t="str">
        <x:f>IF(AP167="","",INT('Configuration'!$B$4)-AP167)</x:f>
      </x:c>
      <x:c r="AR167" s="25" t="str">
        <x:f>IF(AP167="","Missing Required Date",IF(AQ167&lt;0,"Future Date",IF(AQ167=0,"0 days",IF(AQ167&lt;=2,"1-2 days",IF(AQ167&lt;=7,"3-7 days",IF(AQ167&lt;=14,"8-14 days",IF(AQ167&lt;=30,"15-30 days",IF(AQ167&lt;=60,"31-60 days",IF(AQ167&lt;=70,"61-70 days","71+ days")))))))))</x:f>
        <x:v>Missing Required Date</x:v>
      </x:c>
      <x:c r="AS167" s="25" t="str">
        <x:f>IF(OR(E167="processing",E167="executing",E167="pending"),IF(AP167="","Required aging date missing",IF(AQ167&gt;30,"Escalate &gt;30d",IF(AQ167&gt;14,"Watch &gt;14d","Within 14d"))),"Out of scope")</x:f>
        <x:v>Out of scope</x:v>
      </x:c>
    </x:row>
    <x:row r="168" ht="24" customHeight="1">
      <x:c r="A168" t="str">
        <x:v>e25a200b-3586-4f3e-821b-072cefa4a9b0</x:v>
      </x:c>
      <x:c r="B168" t="str">
        <x:v>CSSP10112184</x:v>
      </x:c>
      <x:c r="C168" t="str">
        <x:v>mzurfaiezzuddin.zur@petronas.com</x:v>
      </x:c>
      <x:c r="D168" t="str">
        <x:v>decommission-cloud</x:v>
      </x:c>
      <x:c r="E168" t="str">
        <x:v>completed</x:v>
      </x:c>
      <x:c r="F168" t="n">
        <x:v>46118.0862278125</x:v>
      </x:c>
      <x:c r="G168" t="n">
        <x:v>46199.31525619213</x:v>
      </x:c>
      <x:c r="H168" t="n">
        <x:v>46118.0862278125</x:v>
      </x:c>
      <x:c r="I168" t="str">
        <x:v>Project Management Workbench Plus - PMW+</x:v>
      </x:c>
      <x:c r="J168" t="str">
        <x:v>PMW Plus</x:v>
      </x:c>
      <x:c r="K168" t="str">
        <x:v>partial</x:v>
      </x:c>
      <x:c r="L168"/>
      <x:c r="M168" t="str">
        <x:v>sazali.mokhtar@petronas.com</x:v>
      </x:c>
      <x:c r="N168"/>
      <x:c r="O168"/>
      <x:c r="P168" t="str">
        <x:v>Cloud Repatriation Project to Malaysia region and decommisioning recources in Singapore region.</x:v>
      </x:c>
      <x:c r="Q168" t="str">
        <x:v>2W</x:v>
      </x:c>
      <x:c r="R168" t="str">
        <x:v>Cloud Migration</x:v>
      </x:c>
      <x:c r="S168"/>
      <x:c r="T168" t="str">
        <x:v>approved</x:v>
      </x:c>
      <x:c r="U168" t="str">
        <x:v>mzurfaiezzuddin.zur@petronas.com</x:v>
      </x:c>
      <x:c r="V168" t="n">
        <x:v>46118.087092407404</x:v>
      </x:c>
      <x:c r="W168" t="str">
        <x:v>Cloud Repatriation Project to Malaysia region and decommisioning recources in Singapore region.</x:v>
      </x:c>
      <x:c r="X168" t="str">
        <x:v>approved</x:v>
      </x:c>
      <x:c r="Y168" t="str">
        <x:v>sazali.mokhtar@petronas.com</x:v>
      </x:c>
      <x:c r="Z168" t="n">
        <x:v>46184.07373416667</x:v>
      </x:c>
      <x:c r="AA168" t="str">
        <x:v>Cloud Repatriation Project to Malaysia region and decommisioning recources in Singapore region.</x:v>
      </x:c>
      <x:c r="AB168" t="str">
        <x:v>approved</x:v>
      </x:c>
      <x:c r="AC168" t="str">
        <x:v>azwan.badari@petronas.com</x:v>
      </x:c>
      <x:c r="AD168" t="n">
        <x:v>46184.096266215274</x:v>
      </x:c>
      <x:c r="AE168" t="str">
        <x:v>To decommission 03563 - PMW Plus resources in SG</x:v>
      </x:c>
      <x:c r="AF168" t="str">
        <x:v>approved</x:v>
      </x:c>
      <x:c r="AG168" t="str">
        <x:v>azwan.badari@petronas.com</x:v>
      </x:c>
      <x:c r="AH168" t="n">
        <x:v>46199.31525620371</x:v>
      </x:c>
      <x:c r="AI168" t="str">
        <x:v>Completed</x:v>
      </x:c>
      <x:c r="AJ168" t="str">
        <x:v>A-000635</x:v>
      </x:c>
      <x:c r="AK168" t="n">
        <x:v>3563</x:v>
      </x:c>
      <x:c r="AL168" t="str">
        <x:v>M</x:v>
      </x:c>
      <x:c r="AM168" t="str">
        <x:v>REQ000008094193</x:v>
      </x:c>
      <x:c r="AN168" t="str">
        <x:v>noretention</x:v>
      </x:c>
      <x:c r="AO168" t="n">
        <x:v>0</x:v>
      </x:c>
      <x:c r="AP168" s="23" t="str">
        <x:f>IF(E168="processing",IF(Z168="","",IF(ISNUMBER(Z168),INT(Z168),DATE(VALUE(LEFT(Z168,4)),VALUE(MID(Z168,6,2)),VALUE(MID(Z168,9,2))))),IF(OR(E168="executing",E168="pending"),IF(AD168="","",IF(ISNUMBER(AD168),INT(AD168),DATE(VALUE(LEFT(AD168,4)),VALUE(MID(AD168,6,2)),VALUE(MID(AD168,9,2))))),""))</x:f>
      </x:c>
      <x:c r="AQ168" s="24" t="str">
        <x:f>IF(AP168="","",INT('Configuration'!$B$4)-AP168)</x:f>
      </x:c>
      <x:c r="AR168" s="25" t="str">
        <x:f>IF(AP168="","Missing Required Date",IF(AQ168&lt;0,"Future Date",IF(AQ168=0,"0 days",IF(AQ168&lt;=2,"1-2 days",IF(AQ168&lt;=7,"3-7 days",IF(AQ168&lt;=14,"8-14 days",IF(AQ168&lt;=30,"15-30 days",IF(AQ168&lt;=60,"31-60 days",IF(AQ168&lt;=70,"61-70 days","71+ days")))))))))</x:f>
        <x:v>Missing Required Date</x:v>
      </x:c>
      <x:c r="AS168" s="25" t="str">
        <x:f>IF(OR(E168="processing",E168="executing",E168="pending"),IF(AP168="","Required aging date missing",IF(AQ168&gt;30,"Escalate &gt;30d",IF(AQ168&gt;14,"Watch &gt;14d","Within 14d"))),"Out of scope")</x:f>
        <x:v>Out of scope</x:v>
      </x:c>
    </x:row>
    <x:row r="169" ht="24" customHeight="1">
      <x:c r="A169" t="str">
        <x:v>c43d4db7-baf9-421f-b6ea-895f86cff998</x:v>
      </x:c>
      <x:c r="B169" t="str">
        <x:v>CSSP10436840</x:v>
      </x:c>
      <x:c r="C169" t="str">
        <x:v>cus.ng@petronas.com</x:v>
      </x:c>
      <x:c r="D169" t="str">
        <x:v>decommission-cloud</x:v>
      </x:c>
      <x:c r="E169" t="str">
        <x:v>completed</x:v>
      </x:c>
      <x:c r="F169" t="n">
        <x:v>46119.31901806713</x:v>
      </x:c>
      <x:c r="G169" t="n">
        <x:v>46124.433784340275</x:v>
      </x:c>
      <x:c r="H169" t="n">
        <x:v>46119.31901806713</x:v>
      </x:c>
      <x:c r="I169" t="str">
        <x:v>Static Equipment Analytic Library - SEAL</x:v>
      </x:c>
      <x:c r="J169" t="str">
        <x:v>Static Equipment Analytic Library (SEAL) as Upstream Static Equipment Advanced Analytical Tools for Upstream COE</x:v>
      </x:c>
      <x:c r="K169" t="str">
        <x:v>partial</x:v>
      </x:c>
      <x:c r="L169"/>
      <x:c r="M169" t="str">
        <x:v>ghimyee.tang@petronas.com.my</x:v>
      </x:c>
      <x:c r="N169" t="str">
        <x:v>sealmrsstaging.petronas.com:443</x:v>
      </x:c>
      <x:c r="O169"/>
      <x:c r="P169" t="str">
        <x:v>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x:v>
      </x:c>
      <x:c r="Q169" t="str">
        <x:v>2W</x:v>
      </x:c>
      <x:c r="R169" t="str">
        <x:v>Cyber Security Issue</x:v>
      </x:c>
      <x:c r="S169"/>
      <x:c r="T169" t="str">
        <x:v>approved</x:v>
      </x:c>
      <x:c r="U169" t="str">
        <x:v>cus.ng@petronas.com</x:v>
      </x:c>
      <x:c r="V169" t="n">
        <x:v>46119.31977065972</x:v>
      </x:c>
      <x:c r="W169" t="str">
        <x:v>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x:v>
      </x:c>
      <x:c r="X169" t="str">
        <x:v>approved</x:v>
      </x:c>
      <x:c r="Y169" t="str">
        <x:v>ghimyee.tang@petronas.com</x:v>
      </x:c>
      <x:c r="Z169" t="n">
        <x:v>46120.26929030092</x:v>
      </x:c>
      <x:c r="AA169" t="str">
        <x:v>Approve to decommission the unused old URL due to severe SSL vulnerability findings from CD Vulnerability.</x:v>
      </x:c>
      <x:c r="AB169" t="str">
        <x:v>approved</x:v>
      </x:c>
      <x:c r="AC169" t="str">
        <x:v>azwan.badari@petronas.com</x:v>
      </x:c>
      <x:c r="AD169" t="n">
        <x:v>46121.260527094906</x:v>
      </x:c>
      <x:c r="AE169" t="str">
        <x:v>Decommission DNS sealmrsstaging.petronas.com</x:v>
      </x:c>
      <x:c r="AF169" t="str">
        <x:v>approved</x:v>
      </x:c>
      <x:c r="AG169" t="str">
        <x:v>azwan.badari@petronas.com</x:v>
      </x:c>
      <x:c r="AH169" t="n">
        <x:v>46124.433784340275</x:v>
      </x:c>
      <x:c r="AI169" t="str">
        <x:v>Completed</x:v>
      </x:c>
      <x:c r="AJ169" t="str">
        <x:v>A-000755</x:v>
      </x:c>
      <x:c r="AK169" t="n">
        <x:v>2173</x:v>
      </x:c>
      <x:c r="AL169" t="str">
        <x:v>M</x:v>
      </x:c>
      <x:c r="AM169" t="str">
        <x:v>REQ000007979550</x:v>
      </x:c>
      <x:c r="AN169" t="str">
        <x:v>retention</x:v>
      </x:c>
      <x:c r="AO169" t="n">
        <x:v>14</x:v>
      </x:c>
      <x:c r="AP169" s="23" t="str">
        <x:f>IF(E169="processing",IF(Z169="","",IF(ISNUMBER(Z169),INT(Z169),DATE(VALUE(LEFT(Z169,4)),VALUE(MID(Z169,6,2)),VALUE(MID(Z169,9,2))))),IF(OR(E169="executing",E169="pending"),IF(AD169="","",IF(ISNUMBER(AD169),INT(AD169),DATE(VALUE(LEFT(AD169,4)),VALUE(MID(AD169,6,2)),VALUE(MID(AD169,9,2))))),""))</x:f>
      </x:c>
      <x:c r="AQ169" s="24" t="str">
        <x:f>IF(AP169="","",INT('Configuration'!$B$4)-AP169)</x:f>
      </x:c>
      <x:c r="AR169" s="25" t="str">
        <x:f>IF(AP169="","Missing Required Date",IF(AQ169&lt;0,"Future Date",IF(AQ169=0,"0 days",IF(AQ169&lt;=2,"1-2 days",IF(AQ169&lt;=7,"3-7 days",IF(AQ169&lt;=14,"8-14 days",IF(AQ169&lt;=30,"15-30 days",IF(AQ169&lt;=60,"31-60 days",IF(AQ169&lt;=70,"61-70 days","71+ days")))))))))</x:f>
        <x:v>Missing Required Date</x:v>
      </x:c>
      <x:c r="AS169" s="25" t="str">
        <x:f>IF(OR(E169="processing",E169="executing",E169="pending"),IF(AP169="","Required aging date missing",IF(AQ169&gt;30,"Escalate &gt;30d",IF(AQ169&gt;14,"Watch &gt;14d","Within 14d"))),"Out of scope")</x:f>
        <x:v>Out of scope</x:v>
      </x:c>
    </x:row>
    <x:row r="170" ht="24" customHeight="1">
      <x:c r="A170" t="str">
        <x:v>3ede6421-8a4f-43ae-b12d-60c561181223</x:v>
      </x:c>
      <x:c r="B170" t="str">
        <x:v>CSSP10433701</x:v>
      </x:c>
      <x:c r="C170" t="str">
        <x:v>selwyn.limtzeyong@petronas.com</x:v>
      </x:c>
      <x:c r="D170" t="str">
        <x:v>decommission-cloud</x:v>
      </x:c>
      <x:c r="E170" t="str">
        <x:v>completed</x:v>
      </x:c>
      <x:c r="F170" t="n">
        <x:v>46119.36506984954</x:v>
      </x:c>
      <x:c r="G170" t="n">
        <x:v>46134.313210775465</x:v>
      </x:c>
      <x:c r="H170" t="n">
        <x:v>46120.27579190972</x:v>
      </x:c>
      <x:c r="I170" t="str">
        <x:v>NextGEN</x:v>
      </x:c>
      <x:c r="J170" t="str">
        <x:v>Deployment of NextGEN Geoscience &amp; Geology Data Discovery Platform for Upstream Exploration</x:v>
      </x:c>
      <x:c r="K170" t="str">
        <x:v>full</x:v>
      </x:c>
      <x:c r="L170" t="str">
        <x:v>DCOM20260408fe6</x:v>
      </x:c>
      <x:c r="M170" t="str">
        <x:v>hoongkum.chan@petronas.com</x:v>
      </x:c>
      <x:c r="N170" t="str">
        <x:v>seek.petronas.com, seek-stg.petronas.com</x:v>
      </x:c>
      <x:c r="O170"/>
      <x:c r="P170" t="str">
        <x:v>ePBE(SEEK) and NextGen(EDIS) both share the same Resource Group and cloud infra. Upstream Exploration has decided to decom both applications due to reasons below:-
1) NextGen(EDIS) is no longer in used due to Neo4j component being decommissioned previously. Neo4j contract has expired.
2) ePBE(SEEK) will be succeeded by TriCipta's version of SEEK AI which is still in development.
Please refer to attached email confirmation from Business.</x:v>
      </x:c>
      <x:c r="Q170" t="str">
        <x:v>6M</x:v>
      </x:c>
      <x:c r="R170" t="str">
        <x:v>Not in Used</x:v>
      </x:c>
      <x:c r="S170"/>
      <x:c r="T170" t="str">
        <x:v>approved</x:v>
      </x:c>
      <x:c r="U170" t="str">
        <x:v>selwyn.limtzeyong@petronas.com</x:v>
      </x:c>
      <x:c r="V170" t="n">
        <x:v>46120.35056042824</x:v>
      </x:c>
      <x:c r="W170" t="str">
        <x:v>To fully decom the applications residing in the Resource Groups below. Both application NextGen (EDIS) and ePBE (SEEK) leverage on the same cloud infra in the same Resource Group. Both applications need to be decom. Please refer to attached email approval from Business.
DEV:
1) PTAZSG-IAC-DEV-NXGEO-RG
2) PTAZSG-DEV-NXGEO-RG
UAT:
1) PTAZSG-IAC-UAT-NXGEO-JAI-RG
2) PTAZSG-UAT-NXGEO-RG
PROD:
1) PTAZSG-IAC-PROD-NXGEO-JAI-RG
2) PTAZSG-PROD-NXGEO-RG</x:v>
      </x:c>
      <x:c r="X170" t="str">
        <x:v>approved</x:v>
      </x:c>
      <x:c r="Y170" t="str">
        <x:v>hoongkum.chan@petronas.com</x:v>
      </x:c>
      <x:c r="Z170" t="n">
        <x:v>46120.37595983796</x:v>
      </x:c>
      <x:c r="AA170" t="str">
        <x:v>Business has informed and agreed to initiate the decomm. </x:v>
      </x:c>
      <x:c r="AB170" t="str">
        <x:v>approved</x:v>
      </x:c>
      <x:c r="AC170" t="str">
        <x:v>azwan.badari@petronas.com</x:v>
      </x:c>
      <x:c r="AD170" t="n">
        <x:v>46121.255672893516</x:v>
      </x:c>
      <x:c r="AE170" t="str">
        <x:v>Decommission all resources for NXGEO 03674.
DEV:
1) PTAZSG-IAC-DEV-NXGEO-RG
2) PTAZSG-DEV-NXGEO-RG
UAT:
1) PTAZSG-IAC-UAT-NXGEO-JAI-RG
2) PTAZSG-UAT-NXGEO-RG
PROD:
1) PTAZSG-IAC-PROD-NXGEO-JAI-RG
2) PTAZSG-PROD-NXGEO-RG</x:v>
      </x:c>
      <x:c r="AF170" t="str">
        <x:v>approved</x:v>
      </x:c>
      <x:c r="AG170" t="str">
        <x:v>azlisham.md@petronas.com</x:v>
      </x:c>
      <x:c r="AH170" t="n">
        <x:v>46134.313210775465</x:v>
      </x:c>
      <x:c r="AI170" t="str">
        <x:v>The decommission request has been completed, and the status is now updated accordingly. Kindly verify from your end and confirm once reviewed.
</x:v>
      </x:c>
      <x:c r="AJ170" t="str">
        <x:v>A-000503</x:v>
      </x:c>
      <x:c r="AK170" t="n">
        <x:v>3674</x:v>
      </x:c>
      <x:c r="AL170" t="str">
        <x:v>L</x:v>
      </x:c>
      <x:c r="AM170" t="str">
        <x:v>REQ000007978914</x:v>
      </x:c>
      <x:c r="AN170" t="str">
        <x:v>retention</x:v>
      </x:c>
      <x:c r="AO170" t="n">
        <x:v>180</x:v>
      </x:c>
      <x:c r="AP170" s="23" t="str">
        <x:f>IF(E170="processing",IF(Z170="","",IF(ISNUMBER(Z170),INT(Z170),DATE(VALUE(LEFT(Z170,4)),VALUE(MID(Z170,6,2)),VALUE(MID(Z170,9,2))))),IF(OR(E170="executing",E170="pending"),IF(AD170="","",IF(ISNUMBER(AD170),INT(AD170),DATE(VALUE(LEFT(AD170,4)),VALUE(MID(AD170,6,2)),VALUE(MID(AD170,9,2))))),""))</x:f>
      </x:c>
      <x:c r="AQ170" s="24" t="str">
        <x:f>IF(AP170="","",INT('Configuration'!$B$4)-AP170)</x:f>
      </x:c>
      <x:c r="AR170" s="25" t="str">
        <x:f>IF(AP170="","Missing Required Date",IF(AQ170&lt;0,"Future Date",IF(AQ170=0,"0 days",IF(AQ170&lt;=2,"1-2 days",IF(AQ170&lt;=7,"3-7 days",IF(AQ170&lt;=14,"8-14 days",IF(AQ170&lt;=30,"15-30 days",IF(AQ170&lt;=60,"31-60 days",IF(AQ170&lt;=70,"61-70 days","71+ days")))))))))</x:f>
        <x:v>Missing Required Date</x:v>
      </x:c>
      <x:c r="AS170" s="25" t="str">
        <x:f>IF(OR(E170="processing",E170="executing",E170="pending"),IF(AP170="","Required aging date missing",IF(AQ170&gt;30,"Escalate &gt;30d",IF(AQ170&gt;14,"Watch &gt;14d","Within 14d"))),"Out of scope")</x:f>
        <x:v>Out of scope</x:v>
      </x:c>
    </x:row>
    <x:row r="171" ht="24" customHeight="1">
      <x:c r="A171" t="str">
        <x:v>cc80b4f4-d46a-45a2-819b-fd967d2344b7</x:v>
      </x:c>
      <x:c r="B171" t="str">
        <x:v>CSSP10575380</x:v>
      </x:c>
      <x:c r="C171" t="str">
        <x:v>hadrie.hariffadila@petronas.com</x:v>
      </x:c>
      <x:c r="D171" t="str">
        <x:v>decommission-cloud</x:v>
      </x:c>
      <x:c r="E171" t="str">
        <x:v>completed</x:v>
      </x:c>
      <x:c r="F171" t="n">
        <x:v>46120.12451217593</x:v>
      </x:c>
      <x:c r="G171" t="n">
        <x:v>46121.17389239583</x:v>
      </x:c>
      <x:c r="H171" t="n">
        <x:v>46120.12451217593</x:v>
      </x:c>
      <x:c r="I171" t="str">
        <x:v>Model Catalogue - MC</x:v>
      </x:c>
      <x:c r="J171" t="str">
        <x:v>Implementation of Upstream Model Integration Solution for Upstream Technology, Digital Innovation</x:v>
      </x:c>
      <x:c r="K171" t="str">
        <x:v>partial</x:v>
      </x:c>
      <x:c r="L171"/>
      <x:c r="M171" t="str">
        <x:v>norzahilah.matdau@petronas.com.my</x:v>
      </x:c>
      <x:c r="N171"/>
      <x:c r="O171"/>
      <x:c r="P171" t="str">
        <x:v>No longer in use. </x:v>
      </x:c>
      <x:c r="Q171" t="str">
        <x:v>2W</x:v>
      </x:c>
      <x:c r="R171" t="str">
        <x:v>Not in Used</x:v>
      </x:c>
      <x:c r="S171"/>
      <x:c r="T171" t="str">
        <x:v>approved</x:v>
      </x:c>
      <x:c r="U171" t="str">
        <x:v>hadrie.hariffadila@petronas.com</x:v>
      </x:c>
      <x:c r="V171" t="n">
        <x:v>46120.1273041088</x:v>
      </x:c>
      <x:c r="W171" t="str">
        <x:v>To decommission ptsg1utdistr02 since it was replaced with ptsg1utdistr03</x:v>
      </x:c>
      <x:c r="X171" t="str">
        <x:v>approved</x:v>
      </x:c>
      <x:c r="Y171" t="str">
        <x:v>norzahilah.matdau@petronas.com</x:v>
      </x:c>
      <x:c r="Z171" t="n">
        <x:v>46120.27249319445</x:v>
      </x:c>
      <x:c r="AA171" t="str">
        <x:v>to decom as this server is no longer in use for the MC integration work.</x:v>
      </x:c>
      <x:c r="AB171" t="str">
        <x:v>approved</x:v>
      </x:c>
      <x:c r="AC171" t="str">
        <x:v>azwan.badari@petronas.com</x:v>
      </x:c>
      <x:c r="AD171" t="n">
        <x:v>46121.077047673614</x:v>
      </x:c>
      <x:c r="AE171" t="str">
        <x:v>Decommission storage ptsg1utdistr02 only</x:v>
      </x:c>
      <x:c r="AF171" t="str">
        <x:v>approved</x:v>
      </x:c>
      <x:c r="AG171" t="str">
        <x:v>azlisham.md@petronas.com</x:v>
      </x:c>
      <x:c r="AH171" t="n">
        <x:v>46121.17389240741</x:v>
      </x:c>
      <x:c r="AI171" t="str">
        <x:v>The decommission request has been completed, and the status is now updated accordingly. Kindly verify from your end and confirm once reviewed.
</x:v>
      </x:c>
      <x:c r="AJ171" t="str">
        <x:v>A-000456</x:v>
      </x:c>
      <x:c r="AK171" t="n">
        <x:v>3746</x:v>
      </x:c>
      <x:c r="AL171" t="str">
        <x:v>S</x:v>
      </x:c>
      <x:c r="AM171" t="str">
        <x:v>REQ000007978856</x:v>
      </x:c>
      <x:c r="AN171" t="str">
        <x:v>noretention</x:v>
      </x:c>
      <x:c r="AO171" t="n">
        <x:v>0</x:v>
      </x:c>
      <x:c r="AP171" s="23" t="str">
        <x:f>IF(E171="processing",IF(Z171="","",IF(ISNUMBER(Z171),INT(Z171),DATE(VALUE(LEFT(Z171,4)),VALUE(MID(Z171,6,2)),VALUE(MID(Z171,9,2))))),IF(OR(E171="executing",E171="pending"),IF(AD171="","",IF(ISNUMBER(AD171),INT(AD171),DATE(VALUE(LEFT(AD171,4)),VALUE(MID(AD171,6,2)),VALUE(MID(AD171,9,2))))),""))</x:f>
      </x:c>
      <x:c r="AQ171" s="24" t="str">
        <x:f>IF(AP171="","",INT('Configuration'!$B$4)-AP171)</x:f>
      </x:c>
      <x:c r="AR171" s="25" t="str">
        <x:f>IF(AP171="","Missing Required Date",IF(AQ171&lt;0,"Future Date",IF(AQ171=0,"0 days",IF(AQ171&lt;=2,"1-2 days",IF(AQ171&lt;=7,"3-7 days",IF(AQ171&lt;=14,"8-14 days",IF(AQ171&lt;=30,"15-30 days",IF(AQ171&lt;=60,"31-60 days",IF(AQ171&lt;=70,"61-70 days","71+ days")))))))))</x:f>
        <x:v>Missing Required Date</x:v>
      </x:c>
      <x:c r="AS171" s="25" t="str">
        <x:f>IF(OR(E171="processing",E171="executing",E171="pending"),IF(AP171="","Required aging date missing",IF(AQ171&gt;30,"Escalate &gt;30d",IF(AQ171&gt;14,"Watch &gt;14d","Within 14d"))),"Out of scope")</x:f>
        <x:v>Out of scope</x:v>
      </x:c>
    </x:row>
    <x:row r="172" ht="24" customHeight="1">
      <x:c r="A172" t="str">
        <x:v>ce1f2e1c-7f1d-4f47-baef-74f9bcee1af8</x:v>
      </x:c>
      <x:c r="B172" t="str">
        <x:v>CSSP10958726</x:v>
      </x:c>
      <x:c r="C172" t="str">
        <x:v>nuralia.anuar@petronas.com</x:v>
      </x:c>
      <x:c r="D172" t="str">
        <x:v>decommission-cloud</x:v>
      </x:c>
      <x:c r="E172" t="str">
        <x:v>completed</x:v>
      </x:c>
      <x:c r="F172" t="n">
        <x:v>46122.316942060184</x:v>
      </x:c>
      <x:c r="G172" t="n">
        <x:v>46132.00035971065</x:v>
      </x:c>
      <x:c r="H172" t="n">
        <x:v>46122.316942060184</x:v>
      </x:c>
      <x:c r="I172" t="str">
        <x:v>Data Science Advanced Analytics</x:v>
      </x:c>
      <x:c r="J172" t="str">
        <x:v>Provisioning Dedicated Advanced Analytics subscription (Terraform-enabled Azure Cloud Infrastructure) for Data Science Department</x:v>
      </x:c>
      <x:c r="K172" t="str">
        <x:v>partial</x:v>
      </x:c>
      <x:c r="L172"/>
      <x:c r="M172" t="str">
        <x:v>ng.kokkwan@petronas.com.my</x:v>
      </x:c>
      <x:c r="N172"/>
      <x:c r="O172"/>
      <x:c r="P172" t="str">
        <x:v>We were previously using an outdated Ubuntu OS (18.04). We have since migrated to an updated OS on a new VM, and the old VM is no longer required.</x:v>
      </x:c>
      <x:c r="Q172" t="str">
        <x:v>1M</x:v>
      </x:c>
      <x:c r="R172" t="str">
        <x:v>Not in Used</x:v>
      </x:c>
      <x:c r="S172"/>
      <x:c r="T172" t="str">
        <x:v>approved</x:v>
      </x:c>
      <x:c r="U172" t="str">
        <x:v>nuralia.anuar@petronas.com</x:v>
      </x:c>
      <x:c r="V172" t="n">
        <x:v>46122.32457314815</x:v>
      </x:c>
      <x:c r="W172" t="str">
        <x:v>Decommissioning PTSG-1GUROBIap01 and all disks attached to it. The new VM replacing this is PTSG-1GUROBIap02. The application connected to the new VM has been running smoothly for a month and it is safe to decommission the old VM
 </x:v>
      </x:c>
      <x:c r="X172" t="str">
        <x:v>approved</x:v>
      </x:c>
      <x:c r="Y172" t="str">
        <x:v>ng.kokkwan@petronas.com</x:v>
      </x:c>
      <x:c r="Z172" t="n">
        <x:v>46126.3830671875</x:v>
      </x:c>
      <x:c r="AA172" t="str">
        <x:v>To decomm unused VM due to migration completed</x:v>
      </x:c>
      <x:c r="AB172" t="str">
        <x:v>approved</x:v>
      </x:c>
      <x:c r="AC172" t="str">
        <x:v>azwan.badari@petronas.com</x:v>
      </x:c>
      <x:c r="AD172" t="n">
        <x:v>46127.08788049768</x:v>
      </x:c>
      <x:c r="AE172" t="str">
        <x:v>Decommission PTSG-1GUROBIap01 (172.25.164.5) in PTAZSG-IAC-DAA-PROD-GUROBI-RG</x:v>
      </x:c>
      <x:c r="AF172" t="str">
        <x:v>approved</x:v>
      </x:c>
      <x:c r="AG172" t="str">
        <x:v>azwan.badari@petronas.com</x:v>
      </x:c>
      <x:c r="AH172" t="n">
        <x:v>46132.00035971065</x:v>
      </x:c>
      <x:c r="AI172" t="str">
        <x:v>Completed</x:v>
      </x:c>
      <x:c r="AJ172" t="str">
        <x:v>A-000239</x:v>
      </x:c>
      <x:c r="AK172" t="n">
        <x:v>2902</x:v>
      </x:c>
      <x:c r="AL172" t="str">
        <x:v>S</x:v>
      </x:c>
      <x:c r="AM172" t="str">
        <x:v>REQ000007989983</x:v>
      </x:c>
      <x:c r="AN172" t="str">
        <x:v>retention</x:v>
      </x:c>
      <x:c r="AO172" t="n">
        <x:v>14</x:v>
      </x:c>
      <x:c r="AP172" s="23" t="str">
        <x:f>IF(E172="processing",IF(Z172="","",IF(ISNUMBER(Z172),INT(Z172),DATE(VALUE(LEFT(Z172,4)),VALUE(MID(Z172,6,2)),VALUE(MID(Z172,9,2))))),IF(OR(E172="executing",E172="pending"),IF(AD172="","",IF(ISNUMBER(AD172),INT(AD172),DATE(VALUE(LEFT(AD172,4)),VALUE(MID(AD172,6,2)),VALUE(MID(AD172,9,2))))),""))</x:f>
      </x:c>
      <x:c r="AQ172" s="24" t="str">
        <x:f>IF(AP172="","",INT('Configuration'!$B$4)-AP172)</x:f>
      </x:c>
      <x:c r="AR172" s="25" t="str">
        <x:f>IF(AP172="","Missing Required Date",IF(AQ172&lt;0,"Future Date",IF(AQ172=0,"0 days",IF(AQ172&lt;=2,"1-2 days",IF(AQ172&lt;=7,"3-7 days",IF(AQ172&lt;=14,"8-14 days",IF(AQ172&lt;=30,"15-30 days",IF(AQ172&lt;=60,"31-60 days",IF(AQ172&lt;=70,"61-70 days","71+ days")))))))))</x:f>
        <x:v>Missing Required Date</x:v>
      </x:c>
      <x:c r="AS172" s="25" t="str">
        <x:f>IF(OR(E172="processing",E172="executing",E172="pending"),IF(AP172="","Required aging date missing",IF(AQ172&gt;30,"Escalate &gt;30d",IF(AQ172&gt;14,"Watch &gt;14d","Within 14d"))),"Out of scope")</x:f>
        <x:v>Out of scope</x:v>
      </x:c>
    </x:row>
    <x:row r="173" ht="24" customHeight="1">
      <x:c r="A173" t="str">
        <x:v>571e976b-f777-456a-8434-dc76bcb18ee5</x:v>
      </x:c>
      <x:c r="B173" t="str">
        <x:v>CSSP10746801</x:v>
      </x:c>
      <x:c r="C173" t="str">
        <x:v>azeerahanim.akash@petronas.com</x:v>
      </x:c>
      <x:c r="D173" t="str">
        <x:v>decommission-cloud</x:v>
      </x:c>
      <x:c r="E173" t="str">
        <x:v>cancelled</x:v>
      </x:c>
      <x:c r="F173" t="n">
        <x:v>46122.33547861111</x:v>
      </x:c>
      <x:c r="G173" t="n">
        <x:v>46122.339215127315</x:v>
      </x:c>
      <x:c r="H173" t="n">
        <x:v>46122.33547861111</x:v>
      </x:c>
      <x:c r="I173" t="str">
        <x:v>Enterprise Data Hub - EDH</x:v>
      </x:c>
      <x:c r="J173" t="str">
        <x:v>PETRONAS Enterprise Data Hub</x:v>
      </x:c>
      <x:c r="K173" t="str">
        <x:v>partial</x:v>
      </x:c>
      <x:c r="L173"/>
      <x:c r="M173" t="str">
        <x:v>sahril</x:v>
      </x:c>
      <x:c r="N173"/>
      <x:c r="O173"/>
      <x:c r="P173" t="str">
        <x:v>To decommission virtual machine PTSG-5TLDDQTJS01 due to not in used</x:v>
      </x:c>
      <x:c r="Q173" t="str">
        <x:v>3M</x:v>
      </x:c>
      <x:c r="R173" t="str">
        <x:v>Not in Used</x:v>
      </x:c>
      <x:c r="S173"/>
      <x:c r="T173" t="str">
        <x:v>rejected</x:v>
      </x:c>
      <x:c r="U173" t="str">
        <x:v>azeerahanim.akash@petronas.com</x:v>
      </x:c>
      <x:c r="V173" t="n">
        <x:v>46122.33921513889</x:v>
      </x:c>
      <x:c r="W173"/>
      <x:c r="X173"/>
      <x:c r="Y173" t="str">
        <x:v>sahril</x:v>
      </x:c>
      <x:c r="Z173"/>
      <x:c r="AA173"/>
      <x:c r="AB173"/>
      <x:c r="AC173" t="str">
        <x:v>CCoE Business</x:v>
      </x:c>
      <x:c r="AD173"/>
      <x:c r="AE173"/>
      <x:c r="AF173"/>
      <x:c r="AG173" t="str">
        <x:v>CCoE Operations</x:v>
      </x:c>
      <x:c r="AH173"/>
      <x:c r="AI173"/>
      <x:c r="AJ173" t="str">
        <x:v>A-000262</x:v>
      </x:c>
      <x:c r="AK173" t="n">
        <x:v>1116</x:v>
      </x:c>
      <x:c r="AL173"/>
      <x:c r="AM173"/>
      <x:c r="AN173" t="str">
        <x:v>noretention</x:v>
      </x:c>
      <x:c r="AO173" t="n">
        <x:v>0</x:v>
      </x:c>
      <x:c r="AP173" s="23" t="str">
        <x:f>IF(E173="processing",IF(Z173="","",IF(ISNUMBER(Z173),INT(Z173),DATE(VALUE(LEFT(Z173,4)),VALUE(MID(Z173,6,2)),VALUE(MID(Z173,9,2))))),IF(OR(E173="executing",E173="pending"),IF(AD173="","",IF(ISNUMBER(AD173),INT(AD173),DATE(VALUE(LEFT(AD173,4)),VALUE(MID(AD173,6,2)),VALUE(MID(AD173,9,2))))),""))</x:f>
      </x:c>
      <x:c r="AQ173" s="24" t="str">
        <x:f>IF(AP173="","",INT('Configuration'!$B$4)-AP173)</x:f>
      </x:c>
      <x:c r="AR173" s="25" t="str">
        <x:f>IF(AP173="","Missing Required Date",IF(AQ173&lt;0,"Future Date",IF(AQ173=0,"0 days",IF(AQ173&lt;=2,"1-2 days",IF(AQ173&lt;=7,"3-7 days",IF(AQ173&lt;=14,"8-14 days",IF(AQ173&lt;=30,"15-30 days",IF(AQ173&lt;=60,"31-60 days",IF(AQ173&lt;=70,"61-70 days","71+ days")))))))))</x:f>
        <x:v>Missing Required Date</x:v>
      </x:c>
      <x:c r="AS173" s="25" t="str">
        <x:f>IF(OR(E173="processing",E173="executing",E173="pending"),IF(AP173="","Required aging date missing",IF(AQ173&gt;30,"Escalate &gt;30d",IF(AQ173&gt;14,"Watch &gt;14d","Within 14d"))),"Out of scope")</x:f>
        <x:v>Out of scope</x:v>
      </x:c>
    </x:row>
    <x:row r="174" ht="24" customHeight="1">
      <x:c r="A174" t="str">
        <x:v>68908e56-1e6a-4d0c-8d31-3a88953755a2</x:v>
      </x:c>
      <x:c r="B174" t="str">
        <x:v>CSSP10657684</x:v>
      </x:c>
      <x:c r="C174" t="str">
        <x:v>azeerahanim.akash@petronas.com</x:v>
      </x:c>
      <x:c r="D174" t="str">
        <x:v>decommission-cloud</x:v>
      </x:c>
      <x:c r="E174" t="str">
        <x:v>completed</x:v>
      </x:c>
      <x:c r="F174" t="n">
        <x:v>46125.289070810184</x:v>
      </x:c>
      <x:c r="G174" t="n">
        <x:v>46128.38945298611</x:v>
      </x:c>
      <x:c r="H174" t="n">
        <x:v>46125.289070810184</x:v>
      </x:c>
      <x:c r="I174" t="str">
        <x:v>Enterprise Data Hub - EDH Common Talend</x:v>
      </x:c>
      <x:c r="J174" t="str">
        <x:v>Enterprise Data Hub - Common Talend Infrastructure</x:v>
      </x:c>
      <x:c r="K174" t="str">
        <x:v>partial</x:v>
      </x:c>
      <x:c r="L174"/>
      <x:c r="M174" t="str">
        <x:v>sahrilnizam.ismail@petronas.com</x:v>
      </x:c>
      <x:c r="N174"/>
      <x:c r="O174"/>
      <x:c r="P174" t="str">
        <x:v>To decommission unused virtual machine in Talend Common - PTSG-5TLDDQTJS01. IP Address - 172.25.68.115</x:v>
      </x:c>
      <x:c r="Q174" t="str">
        <x:v>1M</x:v>
      </x:c>
      <x:c r="R174" t="str">
        <x:v>Not in Used</x:v>
      </x:c>
      <x:c r="S174"/>
      <x:c r="T174" t="str">
        <x:v>approved</x:v>
      </x:c>
      <x:c r="U174" t="str">
        <x:v>azeerahanim.akash@petronas.com</x:v>
      </x:c>
      <x:c r="V174" t="n">
        <x:v>46125.29007927083</x:v>
      </x:c>
      <x:c r="W174" t="str">
        <x:v>Hostname - PTSG-5TLDDQTJS01
IP Address - 172.25.68.115</x:v>
      </x:c>
      <x:c r="X174" t="str">
        <x:v>approved</x:v>
      </x:c>
      <x:c r="Y174" t="str">
        <x:v>sahrilnizam.ismail@petronas.com</x:v>
      </x:c>
      <x:c r="Z174" t="n">
        <x:v>46125.2919318287</x:v>
      </x:c>
      <x:c r="AA174" t="str">
        <x:v>Reviewed</x:v>
      </x:c>
      <x:c r="AB174" t="str">
        <x:v>approved</x:v>
      </x:c>
      <x:c r="AC174" t="str">
        <x:v>azwan.badari@petronas.com</x:v>
      </x:c>
      <x:c r="AD174" t="n">
        <x:v>46126.073887638886</x:v>
      </x:c>
      <x:c r="AE174" t="str">
        <x:v>To decommission VM PTSG-5TLDDQTJS01. IP Address - 172.25.68.115</x:v>
      </x:c>
      <x:c r="AF174" t="str">
        <x:v>approved</x:v>
      </x:c>
      <x:c r="AG174" t="str">
        <x:v>azlisham.md@petronas.com</x:v>
      </x:c>
      <x:c r="AH174" t="n">
        <x:v>46128.38945298611</x:v>
      </x:c>
      <x:c r="AI174" t="str">
        <x:v>The decommission request has been completed, and the status is now updated accordingly. Kindly verify from your end and confirm once reviewed.
</x:v>
      </x:c>
      <x:c r="AJ174" t="str">
        <x:v>A-000266</x:v>
      </x:c>
      <x:c r="AK174" t="str">
        <x:v>PC-00007</x:v>
      </x:c>
      <x:c r="AL174" t="str">
        <x:v>S</x:v>
      </x:c>
      <x:c r="AM174" t="str">
        <x:v>REQ000007987625</x:v>
      </x:c>
      <x:c r="AN174" t="str">
        <x:v>noretention</x:v>
      </x:c>
      <x:c r="AO174" t="n">
        <x:v>0</x:v>
      </x:c>
      <x:c r="AP174" s="23" t="str">
        <x:f>IF(E174="processing",IF(Z174="","",IF(ISNUMBER(Z174),INT(Z174),DATE(VALUE(LEFT(Z174,4)),VALUE(MID(Z174,6,2)),VALUE(MID(Z174,9,2))))),IF(OR(E174="executing",E174="pending"),IF(AD174="","",IF(ISNUMBER(AD174),INT(AD174),DATE(VALUE(LEFT(AD174,4)),VALUE(MID(AD174,6,2)),VALUE(MID(AD174,9,2))))),""))</x:f>
      </x:c>
      <x:c r="AQ174" s="24" t="str">
        <x:f>IF(AP174="","",INT('Configuration'!$B$4)-AP174)</x:f>
      </x:c>
      <x:c r="AR174" s="25" t="str">
        <x:f>IF(AP174="","Missing Required Date",IF(AQ174&lt;0,"Future Date",IF(AQ174=0,"0 days",IF(AQ174&lt;=2,"1-2 days",IF(AQ174&lt;=7,"3-7 days",IF(AQ174&lt;=14,"8-14 days",IF(AQ174&lt;=30,"15-30 days",IF(AQ174&lt;=60,"31-60 days",IF(AQ174&lt;=70,"61-70 days","71+ days")))))))))</x:f>
        <x:v>Missing Required Date</x:v>
      </x:c>
      <x:c r="AS174" s="25" t="str">
        <x:f>IF(OR(E174="processing",E174="executing",E174="pending"),IF(AP174="","Required aging date missing",IF(AQ174&gt;30,"Escalate &gt;30d",IF(AQ174&gt;14,"Watch &gt;14d","Within 14d"))),"Out of scope")</x:f>
        <x:v>Out of scope</x:v>
      </x:c>
    </x:row>
    <x:row r="175" ht="24" customHeight="1">
      <x:c r="A175" t="str">
        <x:v>99b92242-175d-42f8-9255-64956b534f0e</x:v>
      </x:c>
      <x:c r="B175" t="str">
        <x:v>CSSP10182189</x:v>
      </x:c>
      <x:c r="C175" t="str">
        <x:v>nurainnasiha.ibrahi@petronas.com</x:v>
      </x:c>
      <x:c r="D175" t="str">
        <x:v>decommission-cloud</x:v>
      </x:c>
      <x:c r="E175" t="str">
        <x:v>cancelled</x:v>
      </x:c>
      <x:c r="F175" t="n">
        <x:v>46127.07766633102</x:v>
      </x:c>
      <x:c r="G175" t="n">
        <x:v>46220.056889340274</x:v>
      </x:c>
      <x:c r="H175" t="n">
        <x:v>46127.07766633102</x:v>
      </x:c>
      <x:c r="I175" t="str">
        <x:v>Palisade</x:v>
      </x:c>
      <x:c r="J175" t="str">
        <x:v>PDU SecOps of Business Excellence (BE) and Development (Dev.) Chapter's for Upstream Digital &amp; Technology</x:v>
      </x:c>
      <x:c r="K175" t="str">
        <x:v>partial</x:v>
      </x:c>
      <x:c r="L175"/>
      <x:c r="M175" t="str">
        <x:v>nurainnasiha.ibrahi@petronas.com</x:v>
      </x:c>
      <x:c r="N175"/>
      <x:c r="O175"/>
      <x:c r="P175" t="str">
        <x:v>test</x:v>
      </x:c>
      <x:c r="Q175" t="str">
        <x:v>12M</x:v>
      </x:c>
      <x:c r="R175" t="str">
        <x:v>Not in Used</x:v>
      </x:c>
      <x:c r="S175"/>
      <x:c r="T175" t="str">
        <x:v>rejected</x:v>
      </x:c>
      <x:c r="U175" t="str">
        <x:v>nurainnasiha.ibrahi@petronas.com</x:v>
      </x:c>
      <x:c r="V175" t="n">
        <x:v>46220.05688935185</x:v>
      </x:c>
      <x:c r="W175"/>
      <x:c r="X175"/>
      <x:c r="Y175" t="str">
        <x:v>nurainnasiha.ibrahi@petronas.com</x:v>
      </x:c>
      <x:c r="Z175"/>
      <x:c r="AA175"/>
      <x:c r="AB175"/>
      <x:c r="AC175" t="str">
        <x:v>CCoE Business</x:v>
      </x:c>
      <x:c r="AD175"/>
      <x:c r="AE175"/>
      <x:c r="AF175"/>
      <x:c r="AG175" t="str">
        <x:v>CCoE Operations</x:v>
      </x:c>
      <x:c r="AH175"/>
      <x:c r="AI175"/>
      <x:c r="AJ175" t="str">
        <x:v>A-001224</x:v>
      </x:c>
      <x:c r="AK175" t="str">
        <x:v>03265_4</x:v>
      </x:c>
      <x:c r="AL175"/>
      <x:c r="AM175"/>
      <x:c r="AN175" t="str">
        <x:v>retention</x:v>
      </x:c>
      <x:c r="AO175" t="n">
        <x:v>120</x:v>
      </x:c>
      <x:c r="AP175" s="23" t="str">
        <x:f>IF(E175="processing",IF(Z175="","",IF(ISNUMBER(Z175),INT(Z175),DATE(VALUE(LEFT(Z175,4)),VALUE(MID(Z175,6,2)),VALUE(MID(Z175,9,2))))),IF(OR(E175="executing",E175="pending"),IF(AD175="","",IF(ISNUMBER(AD175),INT(AD175),DATE(VALUE(LEFT(AD175,4)),VALUE(MID(AD175,6,2)),VALUE(MID(AD175,9,2))))),""))</x:f>
      </x:c>
      <x:c r="AQ175" s="24" t="str">
        <x:f>IF(AP175="","",INT('Configuration'!$B$4)-AP175)</x:f>
      </x:c>
      <x:c r="AR175" s="25" t="str">
        <x:f>IF(AP175="","Missing Required Date",IF(AQ175&lt;0,"Future Date",IF(AQ175=0,"0 days",IF(AQ175&lt;=2,"1-2 days",IF(AQ175&lt;=7,"3-7 days",IF(AQ175&lt;=14,"8-14 days",IF(AQ175&lt;=30,"15-30 days",IF(AQ175&lt;=60,"31-60 days",IF(AQ175&lt;=70,"61-70 days","71+ days")))))))))</x:f>
        <x:v>Missing Required Date</x:v>
      </x:c>
      <x:c r="AS175" s="25" t="str">
        <x:f>IF(OR(E175="processing",E175="executing",E175="pending"),IF(AP175="","Required aging date missing",IF(AQ175&gt;30,"Escalate &gt;30d",IF(AQ175&gt;14,"Watch &gt;14d","Within 14d"))),"Out of scope")</x:f>
        <x:v>Out of scope</x:v>
      </x:c>
    </x:row>
    <x:row r="176" ht="24" customHeight="1">
      <x:c r="A176" t="str">
        <x:v>4703c302-ea21-49ba-96ea-29eba18353ee</x:v>
      </x:c>
      <x:c r="B176" t="str">
        <x:v>CSSP10162067</x:v>
      </x:c>
      <x:c r="C176" t="str">
        <x:v>rajila.vadakkalthund@petronas.com</x:v>
      </x:c>
      <x:c r="D176" t="str">
        <x:v>decommission-cloud</x:v>
      </x:c>
      <x:c r="E176" t="str">
        <x:v>pending</x:v>
      </x:c>
      <x:c r="F176" t="n">
        <x:v>46129.05779442129</x:v>
      </x:c>
      <x:c r="G176" t="n">
        <x:v>46129.05779442129</x:v>
      </x:c>
      <x:c r="H176" t="n">
        <x:v>46129.05779442129</x:v>
      </x:c>
      <x:c r="I176" t="str">
        <x:v>Palisade</x:v>
      </x:c>
      <x:c r="J176" t="str">
        <x:v>PDU SecOps of Business Excellence (BE) and Development (Dev.) Chapter's for Upstream Digital &amp; Technology</x:v>
      </x:c>
      <x:c r="K176" t="str">
        <x:v>partial</x:v>
      </x:c>
      <x:c r="L176"/>
      <x:c r="M176" t="str">
        <x:v>nurhasuna_khalid@petronas.com.my</x:v>
      </x:c>
      <x:c r="N176"/>
      <x:c r="O176"/>
      <x:c r="P176" t="str">
        <x:v>The server is not being used any more</x:v>
      </x:c>
      <x:c r="Q176" t="str">
        <x:v>12M</x:v>
      </x:c>
      <x:c r="R176" t="str">
        <x:v>Not in Used</x:v>
      </x:c>
      <x:c r="S176"/>
      <x:c r="T176" t="str">
        <x:v>pending</x:v>
      </x:c>
      <x:c r="U176" t="str">
        <x:v>rajila.vadakkalthund@petronas.com</x:v>
      </x:c>
      <x:c r="V176"/>
      <x:c r="W176"/>
      <x:c r="X176"/>
      <x:c r="Y176" t="str">
        <x:v>nurhasuna_khalid@petronas.com</x:v>
      </x:c>
      <x:c r="Z176"/>
      <x:c r="AA176"/>
      <x:c r="AB176"/>
      <x:c r="AC176" t="str">
        <x:v>CCoE Business</x:v>
      </x:c>
      <x:c r="AD176"/>
      <x:c r="AE176"/>
      <x:c r="AF176"/>
      <x:c r="AG176" t="str">
        <x:v>CCoE Operations</x:v>
      </x:c>
      <x:c r="AH176"/>
      <x:c r="AI176"/>
      <x:c r="AJ176" t="str">
        <x:v>A-001224</x:v>
      </x:c>
      <x:c r="AK176" t="str">
        <x:v>03265_4</x:v>
      </x:c>
      <x:c r="AL176"/>
      <x:c r="AM176"/>
      <x:c r="AN176" t="str">
        <x:v>retention</x:v>
      </x:c>
      <x:c r="AO176" t="n">
        <x:v>365</x:v>
      </x:c>
      <x:c r="AP176" s="23" t="str">
        <x:f>IF(E176="processing",IF(Z176="","",IF(ISNUMBER(Z176),INT(Z176),DATE(VALUE(LEFT(Z176,4)),VALUE(MID(Z176,6,2)),VALUE(MID(Z176,9,2))))),IF(OR(E176="executing",E176="pending"),IF(AD176="","",IF(ISNUMBER(AD176),INT(AD176),DATE(VALUE(LEFT(AD176,4)),VALUE(MID(AD176,6,2)),VALUE(MID(AD176,9,2))))),""))</x:f>
      </x:c>
      <x:c r="AQ176" s="24" t="str">
        <x:f>IF(AP176="","",INT('Configuration'!$B$4)-AP176)</x:f>
      </x:c>
      <x:c r="AR176" s="25" t="str">
        <x:f>IF(AP176="","Missing Required Date",IF(AQ176&lt;0,"Future Date",IF(AQ176=0,"0 days",IF(AQ176&lt;=2,"1-2 days",IF(AQ176&lt;=7,"3-7 days",IF(AQ176&lt;=14,"8-14 days",IF(AQ176&lt;=30,"15-30 days",IF(AQ176&lt;=60,"31-60 days",IF(AQ176&lt;=70,"61-70 days","71+ days")))))))))</x:f>
        <x:v>Missing Required Date</x:v>
      </x:c>
      <x:c r="AS176" s="25" t="str">
        <x:f>IF(OR(E176="processing",E176="executing",E176="pending"),IF(AP176="","Required aging date missing",IF(AQ176&gt;30,"Escalate &gt;30d",IF(AQ176&gt;14,"Watch &gt;14d","Within 14d"))),"Out of scope")</x:f>
        <x:v>Required aging date missing</x:v>
      </x:c>
    </x:row>
    <x:row r="177" ht="24" customHeight="1">
      <x:c r="A177" t="str">
        <x:v>006c8385-cb7a-440c-9acc-72d7365c2078</x:v>
      </x:c>
      <x:c r="B177" t="str">
        <x:v>CSSP10861911</x:v>
      </x:c>
      <x:c r="C177" t="str">
        <x:v>azad.johari@petronas.com</x:v>
      </x:c>
      <x:c r="D177" t="str">
        <x:v>decommission-cloud</x:v>
      </x:c>
      <x:c r="E177" t="str">
        <x:v>rejected</x:v>
      </x:c>
      <x:c r="F177" t="n">
        <x:v>46129.06113125</x:v>
      </x:c>
      <x:c r="G177" t="n">
        <x:v>46140.246479918984</x:v>
      </x:c>
      <x:c r="H177" t="n">
        <x:v>46129.06113125</x:v>
      </x:c>
      <x:c r="I177" t="str">
        <x:v>Talent Engine</x:v>
      </x:c>
      <x:c r="J177" t="str">
        <x:v>Cloud Migration - Talent Engine 2.0</x:v>
      </x:c>
      <x:c r="K177" t="str">
        <x:v>full</x:v>
      </x:c>
      <x:c r="L177" t="str">
        <x:v>TBA</x:v>
      </x:c>
      <x:c r="M177" t="str">
        <x:v>amirshazlan.mshah@petronas.com</x:v>
      </x:c>
      <x:c r="N177" t="str">
        <x:v>te2.petronas.com</x:v>
      </x:c>
      <x:c r="O177" t="str">
        <x:v>n/a</x:v>
      </x:c>
      <x:c r="P177" t="str">
        <x:v>Business agreed to retire the app.</x:v>
      </x:c>
      <x:c r="Q177" t="str">
        <x:v>2W</x:v>
      </x:c>
      <x:c r="R177" t="str">
        <x:v>Obsolete</x:v>
      </x:c>
      <x:c r="S177"/>
      <x:c r="T177" t="str">
        <x:v>approved</x:v>
      </x:c>
      <x:c r="U177" t="str">
        <x:v>amirshazlan.mshah@petronas.com</x:v>
      </x:c>
      <x:c r="V177" t="n">
        <x:v>46135.96394258102</x:v>
      </x:c>
      <x:c r="W177" t="str">
        <x:v>approved for decommission</x:v>
      </x:c>
      <x:c r="X177" t="str">
        <x:v>rejected</x:v>
      </x:c>
      <x:c r="Y177" t="str">
        <x:v>amirshazlan.mshah@petronas.com</x:v>
      </x:c>
      <x:c r="Z177" t="n">
        <x:v>46140.246479918984</x:v>
      </x:c>
      <x:c r="AA177" t="str">
        <x:v>resubnmission pending</x:v>
      </x:c>
      <x:c r="AB177"/>
      <x:c r="AC177" t="str">
        <x:v>CCoE Business</x:v>
      </x:c>
      <x:c r="AD177"/>
      <x:c r="AE177"/>
      <x:c r="AF177"/>
      <x:c r="AG177" t="str">
        <x:v>CCoE Operations</x:v>
      </x:c>
      <x:c r="AH177"/>
      <x:c r="AI177"/>
      <x:c r="AJ177" t="str">
        <x:v>A-000800</x:v>
      </x:c>
      <x:c r="AK177" t="str">
        <x:v>00915_90</x:v>
      </x:c>
      <x:c r="AL177"/>
      <x:c r="AM177"/>
      <x:c r="AN177" t="str">
        <x:v>retention</x:v>
      </x:c>
      <x:c r="AO177" t="n">
        <x:v>90</x:v>
      </x:c>
      <x:c r="AP177" s="23" t="str">
        <x:f>IF(E177="processing",IF(Z177="","",IF(ISNUMBER(Z177),INT(Z177),DATE(VALUE(LEFT(Z177,4)),VALUE(MID(Z177,6,2)),VALUE(MID(Z177,9,2))))),IF(OR(E177="executing",E177="pending"),IF(AD177="","",IF(ISNUMBER(AD177),INT(AD177),DATE(VALUE(LEFT(AD177,4)),VALUE(MID(AD177,6,2)),VALUE(MID(AD177,9,2))))),""))</x:f>
      </x:c>
      <x:c r="AQ177" s="24" t="str">
        <x:f>IF(AP177="","",INT('Configuration'!$B$4)-AP177)</x:f>
      </x:c>
      <x:c r="AR177" s="25" t="str">
        <x:f>IF(AP177="","Missing Required Date",IF(AQ177&lt;0,"Future Date",IF(AQ177=0,"0 days",IF(AQ177&lt;=2,"1-2 days",IF(AQ177&lt;=7,"3-7 days",IF(AQ177&lt;=14,"8-14 days",IF(AQ177&lt;=30,"15-30 days",IF(AQ177&lt;=60,"31-60 days",IF(AQ177&lt;=70,"61-70 days","71+ days")))))))))</x:f>
        <x:v>Missing Required Date</x:v>
      </x:c>
      <x:c r="AS177" s="25" t="str">
        <x:f>IF(OR(E177="processing",E177="executing",E177="pending"),IF(AP177="","Required aging date missing",IF(AQ177&gt;30,"Escalate &gt;30d",IF(AQ177&gt;14,"Watch &gt;14d","Within 14d"))),"Out of scope")</x:f>
        <x:v>Out of scope</x:v>
      </x:c>
    </x:row>
    <x:row r="178" ht="24" customHeight="1">
      <x:c r="A178" t="str">
        <x:v>aec48937-4d99-43fe-a2ea-a8a903ee9c37</x:v>
      </x:c>
      <x:c r="B178" t="str">
        <x:v>CSSP10780664</x:v>
      </x:c>
      <x:c r="C178" t="str">
        <x:v>shahrizar.mbasir@petronas.com</x:v>
      </x:c>
      <x:c r="D178" t="str">
        <x:v>decommission-cloud</x:v>
      </x:c>
      <x:c r="E178" t="str">
        <x:v>cancelled</x:v>
      </x:c>
      <x:c r="F178" t="n">
        <x:v>46132.11869681713</x:v>
      </x:c>
      <x:c r="G178" t="n">
        <x:v>46134.34008523148</x:v>
      </x:c>
      <x:c r="H178" t="n">
        <x:v>46134.33834483796</x:v>
      </x:c>
      <x:c r="I178" t="str">
        <x:v>TO.PRODIGI - Centralised Database and Analytics</x:v>
      </x:c>
      <x:c r="J178" t="str">
        <x:v>DevOps services of Centralized Database &amp; Analytics for Turkmenistan Operation</x:v>
      </x:c>
      <x:c r="K178" t="str">
        <x:v>partial</x:v>
      </x:c>
      <x:c r="L178"/>
      <x:c r="M178" t="str">
        <x:v>ghimyee.tang@petronas.com.my</x:v>
      </x:c>
      <x:c r="N178" t="str">
        <x:v>to-prodigi-dev.petronas.com</x:v>
      </x:c>
      <x:c r="O178"/>
      <x:c r="P178"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78" t="str">
        <x:v>2W</x:v>
      </x:c>
      <x:c r="R178" t="str">
        <x:v>Not in Used</x:v>
      </x:c>
      <x:c r="S178"/>
      <x:c r="T178" t="str">
        <x:v>rejected</x:v>
      </x:c>
      <x:c r="U178" t="str">
        <x:v>shahrizar.mbasir@petronas.com</x:v>
      </x:c>
      <x:c r="V178" t="n">
        <x:v>46134.34008524306</x:v>
      </x:c>
      <x:c r="W178"/>
      <x:c r="X178"/>
      <x:c r="Y178" t="str">
        <x:v>ghimyee.tang@petronas.com</x:v>
      </x:c>
      <x:c r="Z178"/>
      <x:c r="AA178"/>
      <x:c r="AB178"/>
      <x:c r="AC178" t="str">
        <x:v>CCoE Business</x:v>
      </x:c>
      <x:c r="AD178"/>
      <x:c r="AE178"/>
      <x:c r="AF178"/>
      <x:c r="AG178" t="str">
        <x:v>CCoE Business</x:v>
      </x:c>
      <x:c r="AH178"/>
      <x:c r="AI178"/>
      <x:c r="AJ178" t="str">
        <x:v>A-000812</x:v>
      </x:c>
      <x:c r="AK178" t="n">
        <x:v>2573</x:v>
      </x:c>
      <x:c r="AL178"/>
      <x:c r="AM178"/>
      <x:c r="AN178" t="str">
        <x:v>noretention</x:v>
      </x:c>
      <x:c r="AO178" t="n">
        <x:v>0</x:v>
      </x:c>
      <x:c r="AP178" s="23" t="str">
        <x:f>IF(E178="processing",IF(Z178="","",IF(ISNUMBER(Z178),INT(Z178),DATE(VALUE(LEFT(Z178,4)),VALUE(MID(Z178,6,2)),VALUE(MID(Z178,9,2))))),IF(OR(E178="executing",E178="pending"),IF(AD178="","",IF(ISNUMBER(AD178),INT(AD178),DATE(VALUE(LEFT(AD178,4)),VALUE(MID(AD178,6,2)),VALUE(MID(AD178,9,2))))),""))</x:f>
      </x:c>
      <x:c r="AQ178" s="24" t="str">
        <x:f>IF(AP178="","",INT('Configuration'!$B$4)-AP178)</x:f>
      </x:c>
      <x:c r="AR178" s="25" t="str">
        <x:f>IF(AP178="","Missing Required Date",IF(AQ178&lt;0,"Future Date",IF(AQ178=0,"0 days",IF(AQ178&lt;=2,"1-2 days",IF(AQ178&lt;=7,"3-7 days",IF(AQ178&lt;=14,"8-14 days",IF(AQ178&lt;=30,"15-30 days",IF(AQ178&lt;=60,"31-60 days",IF(AQ178&lt;=70,"61-70 days","71+ days")))))))))</x:f>
        <x:v>Missing Required Date</x:v>
      </x:c>
      <x:c r="AS178" s="25" t="str">
        <x:f>IF(OR(E178="processing",E178="executing",E178="pending"),IF(AP178="","Required aging date missing",IF(AQ178&gt;30,"Escalate &gt;30d",IF(AQ178&gt;14,"Watch &gt;14d","Within 14d"))),"Out of scope")</x:f>
        <x:v>Out of scope</x:v>
      </x:c>
    </x:row>
    <x:row r="179" ht="24" customHeight="1">
      <x:c r="A179" t="str">
        <x:v>47f9d558-bcb8-4915-9008-2c6452a478ec</x:v>
      </x:c>
      <x:c r="B179" t="str">
        <x:v>CSSP10741939</x:v>
      </x:c>
      <x:c r="C179" t="str">
        <x:v>wanmiqbal.wanmhdnoor@petronas.com</x:v>
      </x:c>
      <x:c r="D179" t="str">
        <x:v>decommission-cloud</x:v>
      </x:c>
      <x:c r="E179" t="str">
        <x:v>completed</x:v>
      </x:c>
      <x:c r="F179" t="n">
        <x:v>46132.139100960645</x:v>
      </x:c>
      <x:c r="G179" t="n">
        <x:v>46136.0835984838</x:v>
      </x:c>
      <x:c r="H179" t="n">
        <x:v>46132.139100960645</x:v>
      </x:c>
      <x:c r="I179" t="str">
        <x:v>Decision Ready Data - DRD NervCentre</x:v>
      </x:c>
      <x:c r="J179" t="str">
        <x:v>Implementation of Decision Ready Data (DRD) for NervCentre</x:v>
      </x:c>
      <x:c r="K179" t="str">
        <x:v>full</x:v>
      </x:c>
      <x:c r="L179" t="str">
        <x:v>DCOM2026042005a</x:v>
      </x:c>
      <x:c r="M179" t="str">
        <x:v>mohammadsani.johari@petronas.com</x:v>
      </x:c>
      <x:c r="N179" t="str">
        <x:v>https://nc.nadi.petronas.com.my, https://dev-nc.nadi.petronas.com.my</x:v>
      </x:c>
      <x:c r="O179"/>
      <x:c r="P179" t="str">
        <x:v>The application dashboard is no longer actively used and there are no known operational dependencies at this point.</x:v>
      </x:c>
      <x:c r="Q179" t="str">
        <x:v>3M</x:v>
      </x:c>
      <x:c r="R179" t="str">
        <x:v>Not in Used</x:v>
      </x:c>
      <x:c r="S179"/>
      <x:c r="T179" t="str">
        <x:v>approved</x:v>
      </x:c>
      <x:c r="U179" t="str">
        <x:v>wanmiqbal.wanmhdnoor@petronas.com</x:v>
      </x:c>
      <x:c r="V179" t="n">
        <x:v>46132.140034502314</x:v>
      </x:c>
      <x:c r="W179" t="str">
        <x:v>Full decommissioning</x:v>
      </x:c>
      <x:c r="X179" t="str">
        <x:v>approved</x:v>
      </x:c>
      <x:c r="Y179" t="str">
        <x:v>mohammadsani.johari@petronas.com</x:v>
      </x:c>
      <x:c r="Z179" t="n">
        <x:v>46132.14775940972</x:v>
      </x:c>
      <x:c r="AA179" t="str">
        <x:v>Proceed as per User request.</x:v>
      </x:c>
      <x:c r="AB179" t="str">
        <x:v>approved</x:v>
      </x:c>
      <x:c r="AC179" t="str">
        <x:v>azwan.badari@petronas.com</x:v>
      </x:c>
      <x:c r="AD179" t="n">
        <x:v>46132.3179116088</x:v>
      </x:c>
      <x:c r="AE179" t="str">
        <x:v>Full decommission resources for 03067 in AWS</x:v>
      </x:c>
      <x:c r="AF179" t="str">
        <x:v>approved</x:v>
      </x:c>
      <x:c r="AG179" t="str">
        <x:v>azwan.badari@petronas.com</x:v>
      </x:c>
      <x:c r="AH179" t="n">
        <x:v>46136.083598495374</x:v>
      </x:c>
      <x:c r="AI179" t="str">
        <x:v>Completed</x:v>
      </x:c>
      <x:c r="AJ179" t="str">
        <x:v>A-000233</x:v>
      </x:c>
      <x:c r="AK179" t="n">
        <x:v>3067</x:v>
      </x:c>
      <x:c r="AL179" t="str">
        <x:v>L</x:v>
      </x:c>
      <x:c r="AM179" t="str">
        <x:v>REQ000008000240</x:v>
      </x:c>
      <x:c r="AN179" t="str">
        <x:v>disposal</x:v>
      </x:c>
      <x:c r="AO179" t="n">
        <x:v>0</x:v>
      </x:c>
      <x:c r="AP179" s="23" t="str">
        <x:f>IF(E179="processing",IF(Z179="","",IF(ISNUMBER(Z179),INT(Z179),DATE(VALUE(LEFT(Z179,4)),VALUE(MID(Z179,6,2)),VALUE(MID(Z179,9,2))))),IF(OR(E179="executing",E179="pending"),IF(AD179="","",IF(ISNUMBER(AD179),INT(AD179),DATE(VALUE(LEFT(AD179,4)),VALUE(MID(AD179,6,2)),VALUE(MID(AD179,9,2))))),""))</x:f>
      </x:c>
      <x:c r="AQ179" s="24" t="str">
        <x:f>IF(AP179="","",INT('Configuration'!$B$4)-AP179)</x:f>
      </x:c>
      <x:c r="AR179" s="25" t="str">
        <x:f>IF(AP179="","Missing Required Date",IF(AQ179&lt;0,"Future Date",IF(AQ179=0,"0 days",IF(AQ179&lt;=2,"1-2 days",IF(AQ179&lt;=7,"3-7 days",IF(AQ179&lt;=14,"8-14 days",IF(AQ179&lt;=30,"15-30 days",IF(AQ179&lt;=60,"31-60 days",IF(AQ179&lt;=70,"61-70 days","71+ days")))))))))</x:f>
        <x:v>Missing Required Date</x:v>
      </x:c>
      <x:c r="AS179" s="25" t="str">
        <x:f>IF(OR(E179="processing",E179="executing",E179="pending"),IF(AP179="","Required aging date missing",IF(AQ179&gt;30,"Escalate &gt;30d",IF(AQ179&gt;14,"Watch &gt;14d","Within 14d"))),"Out of scope")</x:f>
        <x:v>Out of scope</x:v>
      </x:c>
    </x:row>
    <x:row r="180" ht="24" customHeight="1">
      <x:c r="A180" t="str">
        <x:v>b00688dd-9809-42bb-803d-719017359e8f</x:v>
      </x:c>
      <x:c r="B180" t="str">
        <x:v>CSSP10524135</x:v>
      </x:c>
      <x:c r="C180" t="str">
        <x:v>shahrizar.mbasir@petronas.com</x:v>
      </x:c>
      <x:c r="D180" t="str">
        <x:v>decommission-cloud</x:v>
      </x:c>
      <x:c r="E180" t="str">
        <x:v>cancelled</x:v>
      </x:c>
      <x:c r="F180" t="n">
        <x:v>46133.103149664355</x:v>
      </x:c>
      <x:c r="G180" t="n">
        <x:v>46133.103778136574</x:v>
      </x:c>
      <x:c r="H180" t="n">
        <x:v>46133.103149664355</x:v>
      </x:c>
      <x:c r="I180" t="str">
        <x:v>TO.PRODIGI - Centralised Database and Analytics</x:v>
      </x:c>
      <x:c r="J180" t="str">
        <x:v>DevOps services of Centralized Database &amp; Analytics for Turkmenistan Operation</x:v>
      </x:c>
      <x:c r="K180" t="str">
        <x:v>partial</x:v>
      </x:c>
      <x:c r="L180"/>
      <x:c r="M180" t="str">
        <x:v>ghimyee.tang@petronas.com</x:v>
      </x:c>
      <x:c r="N180"/>
      <x:c r="O180"/>
      <x:c r="P180"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0" t="str">
        <x:v>2W</x:v>
      </x:c>
      <x:c r="R180" t="str">
        <x:v>Not in Used</x:v>
      </x:c>
      <x:c r="S180"/>
      <x:c r="T180" t="str">
        <x:v>rejected</x:v>
      </x:c>
      <x:c r="U180" t="str">
        <x:v>shahrizar.mbasir@petronas.com</x:v>
      </x:c>
      <x:c r="V180" t="n">
        <x:v>46133.10377814815</x:v>
      </x:c>
      <x:c r="W180"/>
      <x:c r="X180"/>
      <x:c r="Y180" t="str">
        <x:v>ghimyee.tang@petronas.com</x:v>
      </x:c>
      <x:c r="Z180"/>
      <x:c r="AA180"/>
      <x:c r="AB180"/>
      <x:c r="AC180" t="str">
        <x:v>CCoE Business</x:v>
      </x:c>
      <x:c r="AD180"/>
      <x:c r="AE180"/>
      <x:c r="AF180"/>
      <x:c r="AG180" t="str">
        <x:v>CCoE Operations</x:v>
      </x:c>
      <x:c r="AH180"/>
      <x:c r="AI180"/>
      <x:c r="AJ180" t="str">
        <x:v>A-000812</x:v>
      </x:c>
      <x:c r="AK180" t="n">
        <x:v>2573</x:v>
      </x:c>
      <x:c r="AL180"/>
      <x:c r="AM180"/>
      <x:c r="AN180" t="str">
        <x:v>noretention</x:v>
      </x:c>
      <x:c r="AO180" t="n">
        <x:v>0</x:v>
      </x:c>
      <x:c r="AP180" s="23" t="str">
        <x:f>IF(E180="processing",IF(Z180="","",IF(ISNUMBER(Z180),INT(Z180),DATE(VALUE(LEFT(Z180,4)),VALUE(MID(Z180,6,2)),VALUE(MID(Z180,9,2))))),IF(OR(E180="executing",E180="pending"),IF(AD180="","",IF(ISNUMBER(AD180),INT(AD180),DATE(VALUE(LEFT(AD180,4)),VALUE(MID(AD180,6,2)),VALUE(MID(AD180,9,2))))),""))</x:f>
      </x:c>
      <x:c r="AQ180" s="24" t="str">
        <x:f>IF(AP180="","",INT('Configuration'!$B$4)-AP180)</x:f>
      </x:c>
      <x:c r="AR180" s="25" t="str">
        <x:f>IF(AP180="","Missing Required Date",IF(AQ180&lt;0,"Future Date",IF(AQ180=0,"0 days",IF(AQ180&lt;=2,"1-2 days",IF(AQ180&lt;=7,"3-7 days",IF(AQ180&lt;=14,"8-14 days",IF(AQ180&lt;=30,"15-30 days",IF(AQ180&lt;=60,"31-60 days",IF(AQ180&lt;=70,"61-70 days","71+ days")))))))))</x:f>
        <x:v>Missing Required Date</x:v>
      </x:c>
      <x:c r="AS180" s="25" t="str">
        <x:f>IF(OR(E180="processing",E180="executing",E180="pending"),IF(AP180="","Required aging date missing",IF(AQ180&gt;30,"Escalate &gt;30d",IF(AQ180&gt;14,"Watch &gt;14d","Within 14d"))),"Out of scope")</x:f>
        <x:v>Out of scope</x:v>
      </x:c>
    </x:row>
    <x:row r="181" ht="24" customHeight="1">
      <x:c r="A181" t="str">
        <x:v>67574a18-953c-45b5-972c-6df7e0b0635e</x:v>
      </x:c>
      <x:c r="B181" t="str">
        <x:v>CSSP10880692</x:v>
      </x:c>
      <x:c r="C181" t="str">
        <x:v>shahrizar.mbasir@petronas.com</x:v>
      </x:c>
      <x:c r="D181" t="str">
        <x:v>decommission-cloud</x:v>
      </x:c>
      <x:c r="E181" t="str">
        <x:v>rejected</x:v>
      </x:c>
      <x:c r="F181" t="n">
        <x:v>46134.33761825231</x:v>
      </x:c>
      <x:c r="G181" t="n">
        <x:v>46134.36321886574</x:v>
      </x:c>
      <x:c r="H181" t="n">
        <x:v>46134.33761825231</x:v>
      </x:c>
      <x:c r="I181" t="str">
        <x:v>TO.PRODIGI - Centralised Database and Analytics</x:v>
      </x:c>
      <x:c r="J181" t="str">
        <x:v>DevOps services of Centralized Database &amp; Analytics for Turkmenistan Operation</x:v>
      </x:c>
      <x:c r="K181" t="str">
        <x:v>full</x:v>
      </x:c>
      <x:c r="L181" t="str">
        <x:v>DCOM20260422e59</x:v>
      </x:c>
      <x:c r="M181" t="str">
        <x:v>ghimyee.tang@petronas.com.my</x:v>
      </x:c>
      <x:c r="N181"/>
      <x:c r="O181"/>
      <x:c r="P181"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1" t="str">
        <x:v>2W</x:v>
      </x:c>
      <x:c r="R181" t="str">
        <x:v>Not in Used</x:v>
      </x:c>
      <x:c r="S181"/>
      <x:c r="T181" t="str">
        <x:v>approved</x:v>
      </x:c>
      <x:c r="U181" t="str">
        <x:v>shahrizar.mbasir@petronas.com</x:v>
      </x:c>
      <x:c r="V181" t="n">
        <x:v>46134.339617777776</x:v>
      </x:c>
      <x:c r="W181" t="str">
        <x:v>I have reviewed that all related resources name is for development environment that is no longer use</x:v>
      </x:c>
      <x:c r="X181" t="str">
        <x:v>rejected</x:v>
      </x:c>
      <x:c r="Y181" t="str">
        <x:v>ghimyee.tang@petronas.com</x:v>
      </x:c>
      <x:c r="Z181" t="n">
        <x:v>46134.36321887731</x:v>
      </x:c>
      <x:c r="AA181" t="str">
        <x:v>Rejecting per offline conversation</x:v>
      </x:c>
      <x:c r="AB181"/>
      <x:c r="AC181" t="str">
        <x:v>CCoE Business</x:v>
      </x:c>
      <x:c r="AD181"/>
      <x:c r="AE181"/>
      <x:c r="AF181"/>
      <x:c r="AG181" t="str">
        <x:v>CCoE Operations</x:v>
      </x:c>
      <x:c r="AH181"/>
      <x:c r="AI181"/>
      <x:c r="AJ181" t="str">
        <x:v>A-000812</x:v>
      </x:c>
      <x:c r="AK181" t="n">
        <x:v>2573</x:v>
      </x:c>
      <x:c r="AL181"/>
      <x:c r="AM181"/>
      <x:c r="AN181" t="str">
        <x:v>noretention</x:v>
      </x:c>
      <x:c r="AO181" t="n">
        <x:v>0</x:v>
      </x:c>
      <x:c r="AP181" s="23" t="str">
        <x:f>IF(E181="processing",IF(Z181="","",IF(ISNUMBER(Z181),INT(Z181),DATE(VALUE(LEFT(Z181,4)),VALUE(MID(Z181,6,2)),VALUE(MID(Z181,9,2))))),IF(OR(E181="executing",E181="pending"),IF(AD181="","",IF(ISNUMBER(AD181),INT(AD181),DATE(VALUE(LEFT(AD181,4)),VALUE(MID(AD181,6,2)),VALUE(MID(AD181,9,2))))),""))</x:f>
      </x:c>
      <x:c r="AQ181" s="24" t="str">
        <x:f>IF(AP181="","",INT('Configuration'!$B$4)-AP181)</x:f>
      </x:c>
      <x:c r="AR181" s="25" t="str">
        <x:f>IF(AP181="","Missing Required Date",IF(AQ181&lt;0,"Future Date",IF(AQ181=0,"0 days",IF(AQ181&lt;=2,"1-2 days",IF(AQ181&lt;=7,"3-7 days",IF(AQ181&lt;=14,"8-14 days",IF(AQ181&lt;=30,"15-30 days",IF(AQ181&lt;=60,"31-60 days",IF(AQ181&lt;=70,"61-70 days","71+ days")))))))))</x:f>
        <x:v>Missing Required Date</x:v>
      </x:c>
      <x:c r="AS181" s="25" t="str">
        <x:f>IF(OR(E181="processing",E181="executing",E181="pending"),IF(AP181="","Required aging date missing",IF(AQ181&gt;30,"Escalate &gt;30d",IF(AQ181&gt;14,"Watch &gt;14d","Within 14d"))),"Out of scope")</x:f>
        <x:v>Out of scope</x:v>
      </x:c>
    </x:row>
    <x:row r="182" ht="24" customHeight="1">
      <x:c r="A182" t="str">
        <x:v>b4420729-4c8a-4050-aaa2-32ec201e91d2</x:v>
      </x:c>
      <x:c r="B182" t="str">
        <x:v>CSSP10621142</x:v>
      </x:c>
      <x:c r="C182" t="str">
        <x:v>shahrizar.mbasir@petronas.com</x:v>
      </x:c>
      <x:c r="D182" t="str">
        <x:v>decommission-cloud</x:v>
      </x:c>
      <x:c r="E182" t="str">
        <x:v>completed</x:v>
      </x:c>
      <x:c r="F182" t="n">
        <x:v>46134.37320844908</x:v>
      </x:c>
      <x:c r="G182" t="n">
        <x:v>46139.091910358795</x:v>
      </x:c>
      <x:c r="H182" t="n">
        <x:v>46134.37354515046</x:v>
      </x:c>
      <x:c r="I182" t="str">
        <x:v>TO.PRODIGI - Centralised Database and Analytics</x:v>
      </x:c>
      <x:c r="J182" t="str">
        <x:v>DevOps services of Centralized Database &amp; Analytics for Turkmenistan Operation</x:v>
      </x:c>
      <x:c r="K182" t="str">
        <x:v>partial</x:v>
      </x:c>
      <x:c r="L182"/>
      <x:c r="M182" t="str">
        <x:v>ghimyee.tang@petronas.com.my</x:v>
      </x:c>
      <x:c r="N182"/>
      <x:c r="O182"/>
      <x:c r="P182"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2" t="str">
        <x:v>1M</x:v>
      </x:c>
      <x:c r="R182" t="str">
        <x:v>Not in Used</x:v>
      </x:c>
      <x:c r="S182"/>
      <x:c r="T182" t="str">
        <x:v>approved</x:v>
      </x:c>
      <x:c r="U182" t="str">
        <x:v>shahrizar.mbasir@petronas.com</x:v>
      </x:c>
      <x:c r="V182" t="n">
        <x:v>46134.37441521991</x:v>
      </x:c>
      <x:c r="W182" t="str">
        <x:v>I have review that all the resource name is not use anymore in development environment</x:v>
      </x:c>
      <x:c r="X182" t="str">
        <x:v>approved</x:v>
      </x:c>
      <x:c r="Y182" t="str">
        <x:v>ghimyee.tang@petronas.com</x:v>
      </x:c>
      <x:c r="Z182" t="n">
        <x:v>46135.12415924769</x:v>
      </x:c>
      <x:c r="AA182" t="str">
        <x:v>As confirmed by project delivery team, TO.PRODIGI is no longer using the mentioned Azure Cloud environment</x:v>
      </x:c>
      <x:c r="AB182" t="str">
        <x:v>approved</x:v>
      </x:c>
      <x:c r="AC182" t="str">
        <x:v>azwan.badari@petronas.com</x:v>
      </x:c>
      <x:c r="AD182" t="n">
        <x:v>46135.14605546296</x:v>
      </x:c>
      <x:c r="AE182" t="str">
        <x:v>Proceed to decomm all resources in ptazsg-iac-dev-toprodigi-rg</x:v>
      </x:c>
      <x:c r="AF182" t="str">
        <x:v>approved</x:v>
      </x:c>
      <x:c r="AG182" t="str">
        <x:v>azwan.badari@petronas.com</x:v>
      </x:c>
      <x:c r="AH182" t="n">
        <x:v>46139.09191037037</x:v>
      </x:c>
      <x:c r="AI182" t="str">
        <x:v>Completed</x:v>
      </x:c>
      <x:c r="AJ182" t="str">
        <x:v>A-000812</x:v>
      </x:c>
      <x:c r="AK182" t="n">
        <x:v>2573</x:v>
      </x:c>
      <x:c r="AL182" t="str">
        <x:v>M</x:v>
      </x:c>
      <x:c r="AM182" t="str">
        <x:v>REQ000008007380</x:v>
      </x:c>
      <x:c r="AN182" t="str">
        <x:v>noretention</x:v>
      </x:c>
      <x:c r="AO182" t="n">
        <x:v>0</x:v>
      </x:c>
      <x:c r="AP182" s="23" t="str">
        <x:f>IF(E182="processing",IF(Z182="","",IF(ISNUMBER(Z182),INT(Z182),DATE(VALUE(LEFT(Z182,4)),VALUE(MID(Z182,6,2)),VALUE(MID(Z182,9,2))))),IF(OR(E182="executing",E182="pending"),IF(AD182="","",IF(ISNUMBER(AD182),INT(AD182),DATE(VALUE(LEFT(AD182,4)),VALUE(MID(AD182,6,2)),VALUE(MID(AD182,9,2))))),""))</x:f>
      </x:c>
      <x:c r="AQ182" s="24" t="str">
        <x:f>IF(AP182="","",INT('Configuration'!$B$4)-AP182)</x:f>
      </x:c>
      <x:c r="AR182" s="25" t="str">
        <x:f>IF(AP182="","Missing Required Date",IF(AQ182&lt;0,"Future Date",IF(AQ182=0,"0 days",IF(AQ182&lt;=2,"1-2 days",IF(AQ182&lt;=7,"3-7 days",IF(AQ182&lt;=14,"8-14 days",IF(AQ182&lt;=30,"15-30 days",IF(AQ182&lt;=60,"31-60 days",IF(AQ182&lt;=70,"61-70 days","71+ days")))))))))</x:f>
        <x:v>Missing Required Date</x:v>
      </x:c>
      <x:c r="AS182" s="25" t="str">
        <x:f>IF(OR(E182="processing",E182="executing",E182="pending"),IF(AP182="","Required aging date missing",IF(AQ182&gt;30,"Escalate &gt;30d",IF(AQ182&gt;14,"Watch &gt;14d","Within 14d"))),"Out of scope")</x:f>
        <x:v>Out of scope</x:v>
      </x:c>
    </x:row>
    <x:row r="183" ht="24" customHeight="1">
      <x:c r="A183" t="str">
        <x:v>7c314f07-316d-4bf8-beb0-ef8090c0dbd7</x:v>
      </x:c>
      <x:c r="B183" t="str">
        <x:v>CSSP10567623</x:v>
      </x:c>
      <x:c r="C183" t="str">
        <x:v>bryan.dewitt@petronas.com</x:v>
      </x:c>
      <x:c r="D183" t="str">
        <x:v>decommission-cloud</x:v>
      </x:c>
      <x:c r="E183" t="str">
        <x:v>completed</x:v>
      </x:c>
      <x:c r="F183" t="n">
        <x:v>46134.389299386574</x:v>
      </x:c>
      <x:c r="G183" t="n">
        <x:v>46142.33770739583</x:v>
      </x:c>
      <x:c r="H183" t="n">
        <x:v>46134.389299386574</x:v>
      </x:c>
      <x:c r="I183" t="str">
        <x:v>PETRONAS Continuous Emission System - PCEMS</x:v>
      </x:c>
      <x:c r="J183" t="str">
        <x:v>Cloud Migration - Implementation of Continuous Emission Monitoring System (CEMS) DIS for PC Methanol Sdn Bhd</x:v>
      </x:c>
      <x:c r="K183" t="str">
        <x:v>partial</x:v>
      </x:c>
      <x:c r="L183"/>
      <x:c r="M183" t="str">
        <x:v>chris.wong@petronas.com.my</x:v>
      </x:c>
      <x:c r="N183" t="str">
        <x:v>pcems.petronas.com</x:v>
      </x:c>
      <x:c r="O183"/>
      <x:c r="P183" t="str">
        <x:v>decomission url only , application is located in shared vm will be stopped</x:v>
      </x:c>
      <x:c r="Q183" t="str">
        <x:v>1M</x:v>
      </x:c>
      <x:c r="R183" t="str">
        <x:v>Obsolete</x:v>
      </x:c>
      <x:c r="S183"/>
      <x:c r="T183" t="str">
        <x:v>approved</x:v>
      </x:c>
      <x:c r="U183" t="str">
        <x:v>bryan.dewitt@petronas.com</x:v>
      </x:c>
      <x:c r="V183" t="n">
        <x:v>46134.389911087965</x:v>
      </x:c>
      <x:c r="W183" t="str">
        <x:v>resources in shared environment, proceed with url decommission</x:v>
      </x:c>
      <x:c r="X183" t="str">
        <x:v>approved</x:v>
      </x:c>
      <x:c r="Y183" t="str">
        <x:v>chris.wong@petronas.com</x:v>
      </x:c>
      <x:c r="Z183" t="n">
        <x:v>46136.37770547454</x:v>
      </x:c>
      <x:c r="AA183" t="str">
        <x:v>Decomm for URL only.</x:v>
      </x:c>
      <x:c r="AB183" t="str">
        <x:v>approved</x:v>
      </x:c>
      <x:c r="AC183" t="str">
        <x:v>azwan.badari@petronas.com</x:v>
      </x:c>
      <x:c r="AD183" t="n">
        <x:v>46139.10646674768</x:v>
      </x:c>
      <x:c r="AE183" t="str">
        <x:v>Decommission URL pcems.petronas.com only.</x:v>
      </x:c>
      <x:c r="AF183" t="str">
        <x:v>approved</x:v>
      </x:c>
      <x:c r="AG183" t="str">
        <x:v>azwan.badari@petronas.com</x:v>
      </x:c>
      <x:c r="AH183" t="n">
        <x:v>46142.33770739583</x:v>
      </x:c>
      <x:c r="AI183" t="str">
        <x:v>Completed</x:v>
      </x:c>
      <x:c r="AJ183" t="str">
        <x:v>A-000548</x:v>
      </x:c>
      <x:c r="AK183" t="str">
        <x:v>00915_171</x:v>
      </x:c>
      <x:c r="AL183" t="str">
        <x:v>S</x:v>
      </x:c>
      <x:c r="AM183" t="str">
        <x:v>REQ000008012892</x:v>
      </x:c>
      <x:c r="AN183" t="str">
        <x:v>noretention</x:v>
      </x:c>
      <x:c r="AO183" t="n">
        <x:v>0</x:v>
      </x:c>
      <x:c r="AP183" s="23" t="str">
        <x:f>IF(E183="processing",IF(Z183="","",IF(ISNUMBER(Z183),INT(Z183),DATE(VALUE(LEFT(Z183,4)),VALUE(MID(Z183,6,2)),VALUE(MID(Z183,9,2))))),IF(OR(E183="executing",E183="pending"),IF(AD183="","",IF(ISNUMBER(AD183),INT(AD183),DATE(VALUE(LEFT(AD183,4)),VALUE(MID(AD183,6,2)),VALUE(MID(AD183,9,2))))),""))</x:f>
      </x:c>
      <x:c r="AQ183" s="24" t="str">
        <x:f>IF(AP183="","",INT('Configuration'!$B$4)-AP183)</x:f>
      </x:c>
      <x:c r="AR183" s="25" t="str">
        <x:f>IF(AP183="","Missing Required Date",IF(AQ183&lt;0,"Future Date",IF(AQ183=0,"0 days",IF(AQ183&lt;=2,"1-2 days",IF(AQ183&lt;=7,"3-7 days",IF(AQ183&lt;=14,"8-14 days",IF(AQ183&lt;=30,"15-30 days",IF(AQ183&lt;=60,"31-60 days",IF(AQ183&lt;=70,"61-70 days","71+ days")))))))))</x:f>
        <x:v>Missing Required Date</x:v>
      </x:c>
      <x:c r="AS183" s="25" t="str">
        <x:f>IF(OR(E183="processing",E183="executing",E183="pending"),IF(AP183="","Required aging date missing",IF(AQ183&gt;30,"Escalate &gt;30d",IF(AQ183&gt;14,"Watch &gt;14d","Within 14d"))),"Out of scope")</x:f>
        <x:v>Out of scope</x:v>
      </x:c>
    </x:row>
    <x:row r="184" ht="24" customHeight="1">
      <x:c r="A184" t="str">
        <x:v>68388bcc-94f5-4bc2-9c7e-9ce5e0012a72</x:v>
      </x:c>
      <x:c r="B184" t="str">
        <x:v>CSSP10305446</x:v>
      </x:c>
      <x:c r="C184" t="str">
        <x:v>rajila.vadakkalthund@petronas.com</x:v>
      </x:c>
      <x:c r="D184" t="str">
        <x:v>decommission-cloud</x:v>
      </x:c>
      <x:c r="E184" t="str">
        <x:v>completed</x:v>
      </x:c>
      <x:c r="F184" t="n">
        <x:v>46139.22066888889</x:v>
      </x:c>
      <x:c r="G184" t="n">
        <x:v>46148.11320392361</x:v>
      </x:c>
      <x:c r="H184" t="n">
        <x:v>46139.22066888889</x:v>
      </x:c>
      <x:c r="I184" t="str">
        <x:v>Palisade</x:v>
      </x:c>
      <x:c r="J184" t="str">
        <x:v>PDU SecOps of Business Excellence (BE) and Development (Dev.) Chapter's for Upstream Digital &amp; Technology</x:v>
      </x:c>
      <x:c r="K184" t="str">
        <x:v>partial</x:v>
      </x:c>
      <x:c r="L184"/>
      <x:c r="M184" t="str">
        <x:v>nurhasuna_khalid@petronas.com.my</x:v>
      </x:c>
      <x:c r="N184"/>
      <x:c r="O184"/>
      <x:c r="P184" t="str">
        <x:v>The server is not being used any more</x:v>
      </x:c>
      <x:c r="Q184" t="str">
        <x:v>12M</x:v>
      </x:c>
      <x:c r="R184" t="str">
        <x:v>Not in Used</x:v>
      </x:c>
      <x:c r="S184"/>
      <x:c r="T184" t="str">
        <x:v>approved</x:v>
      </x:c>
      <x:c r="U184" t="str">
        <x:v>rajila.vadakkalthund@petronas.com</x:v>
      </x:c>
      <x:c r="V184" t="n">
        <x:v>46139.22336229167</x:v>
      </x:c>
      <x:c r="W184" t="str">
        <x:v>PTSG-1PALSDwb02 server is no longer in use</x:v>
      </x:c>
      <x:c r="X184" t="str">
        <x:v>approved</x:v>
      </x:c>
      <x:c r="Y184" t="str">
        <x:v>nurhasuna_khalid@petronas.com</x:v>
      </x:c>
      <x:c r="Z184" t="n">
        <x:v>46146.25803520833</x:v>
      </x:c>
      <x:c r="AA184" t="str">
        <x:v>Please proceed</x:v>
      </x:c>
      <x:c r="AB184" t="str">
        <x:v>approved</x:v>
      </x:c>
      <x:c r="AC184" t="str">
        <x:v>azwan.badari@petronas.com</x:v>
      </x:c>
      <x:c r="AD184" t="n">
        <x:v>46147.094662916665</x:v>
      </x:c>
      <x:c r="AE184" t="str">
        <x:v>Decommission PTSG-1PALSDwb02 (172.25.200.77) only</x:v>
      </x:c>
      <x:c r="AF184" t="str">
        <x:v>approved</x:v>
      </x:c>
      <x:c r="AG184" t="str">
        <x:v>azwan.badari@petronas.com</x:v>
      </x:c>
      <x:c r="AH184" t="n">
        <x:v>46148.11320393519</x:v>
      </x:c>
      <x:c r="AI184" t="str">
        <x:v>Completed</x:v>
      </x:c>
      <x:c r="AJ184" t="str">
        <x:v>A-001224</x:v>
      </x:c>
      <x:c r="AK184" t="str">
        <x:v>03265_4</x:v>
      </x:c>
      <x:c r="AL184" t="str">
        <x:v>S</x:v>
      </x:c>
      <x:c r="AM184" t="str">
        <x:v>REQ000008028631</x:v>
      </x:c>
      <x:c r="AN184" t="str">
        <x:v>retention</x:v>
      </x:c>
      <x:c r="AO184" t="n">
        <x:v>365</x:v>
      </x:c>
      <x:c r="AP184" s="23" t="str">
        <x:f>IF(E184="processing",IF(Z184="","",IF(ISNUMBER(Z184),INT(Z184),DATE(VALUE(LEFT(Z184,4)),VALUE(MID(Z184,6,2)),VALUE(MID(Z184,9,2))))),IF(OR(E184="executing",E184="pending"),IF(AD184="","",IF(ISNUMBER(AD184),INT(AD184),DATE(VALUE(LEFT(AD184,4)),VALUE(MID(AD184,6,2)),VALUE(MID(AD184,9,2))))),""))</x:f>
      </x:c>
      <x:c r="AQ184" s="24" t="str">
        <x:f>IF(AP184="","",INT('Configuration'!$B$4)-AP184)</x:f>
      </x:c>
      <x:c r="AR184" s="25" t="str">
        <x:f>IF(AP184="","Missing Required Date",IF(AQ184&lt;0,"Future Date",IF(AQ184=0,"0 days",IF(AQ184&lt;=2,"1-2 days",IF(AQ184&lt;=7,"3-7 days",IF(AQ184&lt;=14,"8-14 days",IF(AQ184&lt;=30,"15-30 days",IF(AQ184&lt;=60,"31-60 days",IF(AQ184&lt;=70,"61-70 days","71+ days")))))))))</x:f>
        <x:v>Missing Required Date</x:v>
      </x:c>
      <x:c r="AS184" s="25" t="str">
        <x:f>IF(OR(E184="processing",E184="executing",E184="pending"),IF(AP184="","Required aging date missing",IF(AQ184&gt;30,"Escalate &gt;30d",IF(AQ184&gt;14,"Watch &gt;14d","Within 14d"))),"Out of scope")</x:f>
        <x:v>Out of scope</x:v>
      </x:c>
    </x:row>
    <x:row r="185" ht="24" customHeight="1">
      <x:c r="A185" t="str">
        <x:v>a5eeef8d-028c-4b2d-86e1-1c3e2df327ae</x:v>
      </x:c>
      <x:c r="B185" t="str">
        <x:v>CSSP10599920</x:v>
      </x:c>
      <x:c r="C185" t="str">
        <x:v>sriram.vengadaramanu@petronas.com</x:v>
      </x:c>
      <x:c r="D185" t="str">
        <x:v>decommission-cloud</x:v>
      </x:c>
      <x:c r="E185" t="str">
        <x:v>cancelled</x:v>
      </x:c>
      <x:c r="F185" t="n">
        <x:v>46139.24312200231</x:v>
      </x:c>
      <x:c r="G185" t="n">
        <x:v>46139.24354594907</x:v>
      </x:c>
      <x:c r="H185" t="n">
        <x:v>46139.24312200231</x:v>
      </x:c>
      <x:c r="I185" t="str">
        <x:v>Real Time Analytics for Motor - REALM</x:v>
      </x:c>
      <x:c r="J185" t="str">
        <x:v>Development of Real Time Analytics for Motor (REALM) for GTS</x:v>
      </x:c>
      <x:c r="K185" t="str">
        <x:v>partial</x:v>
      </x:c>
      <x:c r="L185"/>
      <x:c r="M185" t="str">
        <x:v>gggg</x:v>
      </x:c>
      <x:c r="N185"/>
      <x:c r="O185"/>
      <x:c r="P185" t="str">
        <x:v>Business has confirmed that the resource is no longer in use</x:v>
      </x:c>
      <x:c r="Q185" t="str">
        <x:v>1M</x:v>
      </x:c>
      <x:c r="R185" t="str">
        <x:v>Not in Used</x:v>
      </x:c>
      <x:c r="S185"/>
      <x:c r="T185" t="str">
        <x:v>rejected</x:v>
      </x:c>
      <x:c r="U185" t="str">
        <x:v>sriram.vengadaramanu@petronas.com</x:v>
      </x:c>
      <x:c r="V185" t="n">
        <x:v>46139.24354596065</x:v>
      </x:c>
      <x:c r="W185"/>
      <x:c r="X185"/>
      <x:c r="Y185" t="str">
        <x:v>gggg</x:v>
      </x:c>
      <x:c r="Z185"/>
      <x:c r="AA185"/>
      <x:c r="AB185"/>
      <x:c r="AC185" t="str">
        <x:v>CCoE Business</x:v>
      </x:c>
      <x:c r="AD185"/>
      <x:c r="AE185"/>
      <x:c r="AF185"/>
      <x:c r="AG185" t="str">
        <x:v>CCoE Operations</x:v>
      </x:c>
      <x:c r="AH185"/>
      <x:c r="AI185"/>
      <x:c r="AJ185" t="str">
        <x:v>A-000685</x:v>
      </x:c>
      <x:c r="AK185" t="n">
        <x:v>3277</x:v>
      </x:c>
      <x:c r="AL185"/>
      <x:c r="AM185"/>
      <x:c r="AN185" t="str">
        <x:v>disposal</x:v>
      </x:c>
      <x:c r="AO185" t="n">
        <x:v>0</x:v>
      </x:c>
      <x:c r="AP185" s="23" t="str">
        <x:f>IF(E185="processing",IF(Z185="","",IF(ISNUMBER(Z185),INT(Z185),DATE(VALUE(LEFT(Z185,4)),VALUE(MID(Z185,6,2)),VALUE(MID(Z185,9,2))))),IF(OR(E185="executing",E185="pending"),IF(AD185="","",IF(ISNUMBER(AD185),INT(AD185),DATE(VALUE(LEFT(AD185,4)),VALUE(MID(AD185,6,2)),VALUE(MID(AD185,9,2))))),""))</x:f>
      </x:c>
      <x:c r="AQ185" s="24" t="str">
        <x:f>IF(AP185="","",INT('Configuration'!$B$4)-AP185)</x:f>
      </x:c>
      <x:c r="AR185" s="25" t="str">
        <x:f>IF(AP185="","Missing Required Date",IF(AQ185&lt;0,"Future Date",IF(AQ185=0,"0 days",IF(AQ185&lt;=2,"1-2 days",IF(AQ185&lt;=7,"3-7 days",IF(AQ185&lt;=14,"8-14 days",IF(AQ185&lt;=30,"15-30 days",IF(AQ185&lt;=60,"31-60 days",IF(AQ185&lt;=70,"61-70 days","71+ days")))))))))</x:f>
        <x:v>Missing Required Date</x:v>
      </x:c>
      <x:c r="AS185" s="25" t="str">
        <x:f>IF(OR(E185="processing",E185="executing",E185="pending"),IF(AP185="","Required aging date missing",IF(AQ185&gt;30,"Escalate &gt;30d",IF(AQ185&gt;14,"Watch &gt;14d","Within 14d"))),"Out of scope")</x:f>
        <x:v>Out of scope</x:v>
      </x:c>
    </x:row>
    <x:row r="186" ht="24" customHeight="1">
      <x:c r="A186" t="str">
        <x:v>3db74546-5a79-4a6a-9204-e434fadf9b75</x:v>
      </x:c>
      <x:c r="B186" t="str">
        <x:v>CSSP10614931</x:v>
      </x:c>
      <x:c r="C186" t="str">
        <x:v>sriram.vengadaramanu@petronas.com</x:v>
      </x:c>
      <x:c r="D186" t="str">
        <x:v>decommission-cloud</x:v>
      </x:c>
      <x:c r="E186" t="str">
        <x:v>completed</x:v>
      </x:c>
      <x:c r="F186" t="n">
        <x:v>46139.24849592592</x:v>
      </x:c>
      <x:c r="G186" t="n">
        <x:v>46142.312653877314</x:v>
      </x:c>
      <x:c r="H186" t="n">
        <x:v>46139.24849592592</x:v>
      </x:c>
      <x:c r="I186" t="str">
        <x:v>Real Time Analytics for Motor - REALM</x:v>
      </x:c>
      <x:c r="J186" t="str">
        <x:v>Development of Real Time Analytics for Motor (REALM) for GTS</x:v>
      </x:c>
      <x:c r="K186" t="str">
        <x:v>partial</x:v>
      </x:c>
      <x:c r="L186"/>
      <x:c r="M186" t="str">
        <x:v>mohammadsani.johari@petronas.com.my</x:v>
      </x:c>
      <x:c r="N186"/>
      <x:c r="O186"/>
      <x:c r="P186" t="str">
        <x:v>Business has confirmed that resource is no longer in use.</x:v>
      </x:c>
      <x:c r="Q186" t="str">
        <x:v>3M</x:v>
      </x:c>
      <x:c r="R186" t="str">
        <x:v>Not in Used</x:v>
      </x:c>
      <x:c r="S186"/>
      <x:c r="T186" t="str">
        <x:v>approved</x:v>
      </x:c>
      <x:c r="U186" t="str">
        <x:v>sriram.vengadaramanu@petronas.com</x:v>
      </x:c>
      <x:c r="V186" t="n">
        <x:v>46139.249662766204</x:v>
      </x:c>
      <x:c r="W186" t="str">
        <x:v>REALM has 6 resource components that host the REALM OutSystems dashboard that is no longer in use and ready for decommission </x:v>
      </x:c>
      <x:c r="X186" t="str">
        <x:v>approved</x:v>
      </x:c>
      <x:c r="Y186" t="str">
        <x:v>mohammadsani.johari@petronas.com</x:v>
      </x:c>
      <x:c r="Z186" t="n">
        <x:v>46139.30213503472</x:v>
      </x:c>
      <x:c r="AA186" t="str">
        <x:v>Approved as per Business decision..</x:v>
      </x:c>
      <x:c r="AB186" t="str">
        <x:v>approved</x:v>
      </x:c>
      <x:c r="AC186" t="str">
        <x:v>azwan.badari@petronas.com</x:v>
      </x:c>
      <x:c r="AD186" t="n">
        <x:v>46140.15102913194</x:v>
      </x:c>
      <x:c r="AE186" t="str">
        <x:v>Decommission ptawsg-5realdb1 (10.84.101.30) in PTAW-IAC-NonPROD-PEnT-Environment-01</x:v>
      </x:c>
      <x:c r="AF186" t="str">
        <x:v>approved</x:v>
      </x:c>
      <x:c r="AG186" t="str">
        <x:v>azwan.badari@petronas.com</x:v>
      </x:c>
      <x:c r="AH186" t="n">
        <x:v>46142.312653877314</x:v>
      </x:c>
      <x:c r="AI186" t="str">
        <x:v>Completed</x:v>
      </x:c>
      <x:c r="AJ186" t="str">
        <x:v>A-000685</x:v>
      </x:c>
      <x:c r="AK186" t="n">
        <x:v>3277</x:v>
      </x:c>
      <x:c r="AL186" t="str">
        <x:v>S</x:v>
      </x:c>
      <x:c r="AM186" t="str">
        <x:v>REQ000008015778</x:v>
      </x:c>
      <x:c r="AN186" t="str">
        <x:v>disposal</x:v>
      </x:c>
      <x:c r="AO186" t="n">
        <x:v>0</x:v>
      </x:c>
      <x:c r="AP186" s="23" t="str">
        <x:f>IF(E186="processing",IF(Z186="","",IF(ISNUMBER(Z186),INT(Z186),DATE(VALUE(LEFT(Z186,4)),VALUE(MID(Z186,6,2)),VALUE(MID(Z186,9,2))))),IF(OR(E186="executing",E186="pending"),IF(AD186="","",IF(ISNUMBER(AD186),INT(AD186),DATE(VALUE(LEFT(AD186,4)),VALUE(MID(AD186,6,2)),VALUE(MID(AD186,9,2))))),""))</x:f>
      </x:c>
      <x:c r="AQ186" s="24" t="str">
        <x:f>IF(AP186="","",INT('Configuration'!$B$4)-AP186)</x:f>
      </x:c>
      <x:c r="AR186" s="25" t="str">
        <x:f>IF(AP186="","Missing Required Date",IF(AQ186&lt;0,"Future Date",IF(AQ186=0,"0 days",IF(AQ186&lt;=2,"1-2 days",IF(AQ186&lt;=7,"3-7 days",IF(AQ186&lt;=14,"8-14 days",IF(AQ186&lt;=30,"15-30 days",IF(AQ186&lt;=60,"31-60 days",IF(AQ186&lt;=70,"61-70 days","71+ days")))))))))</x:f>
        <x:v>Missing Required Date</x:v>
      </x:c>
      <x:c r="AS186" s="25" t="str">
        <x:f>IF(OR(E186="processing",E186="executing",E186="pending"),IF(AP186="","Required aging date missing",IF(AQ186&gt;30,"Escalate &gt;30d",IF(AQ186&gt;14,"Watch &gt;14d","Within 14d"))),"Out of scope")</x:f>
        <x:v>Out of scope</x:v>
      </x:c>
    </x:row>
    <x:row r="187" ht="24" customHeight="1">
      <x:c r="A187" t="str">
        <x:v>9e935b8b-09b3-4142-b43c-35fd5013c367</x:v>
      </x:c>
      <x:c r="B187" t="str">
        <x:v>CSSP10378006</x:v>
      </x:c>
      <x:c r="C187" t="str">
        <x:v>azad.johari@petronas.com</x:v>
      </x:c>
      <x:c r="D187" t="str">
        <x:v>decommission-cloud</x:v>
      </x:c>
      <x:c r="E187" t="str">
        <x:v>completed</x:v>
      </x:c>
      <x:c r="F187" t="n">
        <x:v>46140.05925644676</x:v>
      </x:c>
      <x:c r="G187" t="n">
        <x:v>46142.33874247685</x:v>
      </x:c>
      <x:c r="H187" t="n">
        <x:v>46140.24325951389</x:v>
      </x:c>
      <x:c r="I187" t="str">
        <x:v>Talent Engine</x:v>
      </x:c>
      <x:c r="J187" t="str">
        <x:v>Cloud Migration - Talent Engine 2.0</x:v>
      </x:c>
      <x:c r="K187" t="str">
        <x:v>full</x:v>
      </x:c>
      <x:c r="L187" t="str">
        <x:v>DCOM20260428a57</x:v>
      </x:c>
      <x:c r="M187" t="str">
        <x:v>amirshazlan.mshah@petronas.com</x:v>
      </x:c>
      <x:c r="N187" t="str">
        <x:v>te2.petronas.com</x:v>
      </x:c>
      <x:c r="O187"/>
      <x:c r="P187" t="str">
        <x:v>App is not in used.</x:v>
      </x:c>
      <x:c r="Q187" t="str">
        <x:v>2W</x:v>
      </x:c>
      <x:c r="R187" t="str">
        <x:v>Obsolete</x:v>
      </x:c>
      <x:c r="S187"/>
      <x:c r="T187" t="str">
        <x:v>approved</x:v>
      </x:c>
      <x:c r="U187" t="str">
        <x:v>azad.johari@petronas.com</x:v>
      </x:c>
      <x:c r="V187" t="n">
        <x:v>46140.24517704861</x:v>
      </x:c>
      <x:c r="W187" t="str">
        <x:v>All resources are selected based on naming convention.</x:v>
      </x:c>
      <x:c r="X187" t="str">
        <x:v>approved</x:v>
      </x:c>
      <x:c r="Y187" t="str">
        <x:v>amirshazlan.mshah@petronas.com</x:v>
      </x:c>
      <x:c r="Z187" t="n">
        <x:v>46140.24697943287</x:v>
      </x:c>
      <x:c r="AA187" t="str">
        <x:v>approved for next steps</x:v>
      </x:c>
      <x:c r="AB187" t="str">
        <x:v>approved</x:v>
      </x:c>
      <x:c r="AC187" t="str">
        <x:v>azwan.badari@petronas.com</x:v>
      </x:c>
      <x:c r="AD187" t="n">
        <x:v>46140.2810146412</x:v>
      </x:c>
      <x:c r="AE187" t="str">
        <x:v>Decommission all resources for 00915_90.
te2.petronas.com
te2-s.petronas.com
</x:v>
      </x:c>
      <x:c r="AF187" t="str">
        <x:v>approved</x:v>
      </x:c>
      <x:c r="AG187" t="str">
        <x:v>azwan.badari@petronas.com</x:v>
      </x:c>
      <x:c r="AH187" t="n">
        <x:v>46142.33874248843</x:v>
      </x:c>
      <x:c r="AI187" t="str">
        <x:v>Completed</x:v>
      </x:c>
      <x:c r="AJ187" t="str">
        <x:v>A-000800</x:v>
      </x:c>
      <x:c r="AK187" t="str">
        <x:v>00915_90</x:v>
      </x:c>
      <x:c r="AL187" t="str">
        <x:v>L</x:v>
      </x:c>
      <x:c r="AM187" t="str">
        <x:v>REQ000008016386</x:v>
      </x:c>
      <x:c r="AN187" t="str">
        <x:v>retention</x:v>
      </x:c>
      <x:c r="AO187" t="n">
        <x:v>14</x:v>
      </x:c>
      <x:c r="AP187" s="23" t="str">
        <x:f>IF(E187="processing",IF(Z187="","",IF(ISNUMBER(Z187),INT(Z187),DATE(VALUE(LEFT(Z187,4)),VALUE(MID(Z187,6,2)),VALUE(MID(Z187,9,2))))),IF(OR(E187="executing",E187="pending"),IF(AD187="","",IF(ISNUMBER(AD187),INT(AD187),DATE(VALUE(LEFT(AD187,4)),VALUE(MID(AD187,6,2)),VALUE(MID(AD187,9,2))))),""))</x:f>
      </x:c>
      <x:c r="AQ187" s="24" t="str">
        <x:f>IF(AP187="","",INT('Configuration'!$B$4)-AP187)</x:f>
      </x:c>
      <x:c r="AR187" s="25" t="str">
        <x:f>IF(AP187="","Missing Required Date",IF(AQ187&lt;0,"Future Date",IF(AQ187=0,"0 days",IF(AQ187&lt;=2,"1-2 days",IF(AQ187&lt;=7,"3-7 days",IF(AQ187&lt;=14,"8-14 days",IF(AQ187&lt;=30,"15-30 days",IF(AQ187&lt;=60,"31-60 days",IF(AQ187&lt;=70,"61-70 days","71+ days")))))))))</x:f>
        <x:v>Missing Required Date</x:v>
      </x:c>
      <x:c r="AS187" s="25" t="str">
        <x:f>IF(OR(E187="processing",E187="executing",E187="pending"),IF(AP187="","Required aging date missing",IF(AQ187&gt;30,"Escalate &gt;30d",IF(AQ187&gt;14,"Watch &gt;14d","Within 14d"))),"Out of scope")</x:f>
        <x:v>Out of scope</x:v>
      </x:c>
    </x:row>
    <x:row r="188" ht="24" customHeight="1">
      <x:c r="A188" t="str">
        <x:v>6682110a-6b2c-4dac-bf24-23719c1b8422</x:v>
      </x:c>
      <x:c r="B188" t="str">
        <x:v>CSSP10763156</x:v>
      </x:c>
      <x:c r="C188" t="str">
        <x:v>mzurfaiezzuddin.zur@petronas.com</x:v>
      </x:c>
      <x:c r="D188" t="str">
        <x:v>decommission-cloud</x:v>
      </x:c>
      <x:c r="E188" t="str">
        <x:v>completed</x:v>
      </x:c>
      <x:c r="F188" t="n">
        <x:v>46140.06829726852</x:v>
      </x:c>
      <x:c r="G188" t="n">
        <x:v>46199.30449136574</x:v>
      </x:c>
      <x:c r="H188" t="n">
        <x:v>46140.06829726852</x:v>
      </x:c>
      <x:c r="I188" t="str">
        <x:v>OE Tracking System PGB</x:v>
      </x:c>
      <x:c r="J188" t="str">
        <x:v>CTP Old to New LZ - PGB OE</x:v>
      </x:c>
      <x:c r="K188" t="str">
        <x:v>partial</x:v>
      </x:c>
      <x:c r="L188"/>
      <x:c r="M188" t="str">
        <x:v>sazali.mokhtar@petronas.com</x:v>
      </x:c>
      <x:c r="N188"/>
      <x:c r="O188"/>
      <x:c r="P188" t="str">
        <x:v>Cloud Repatriation - To decommission old resources in Singapore region due to completed migration in MY region</x:v>
      </x:c>
      <x:c r="Q188" t="str">
        <x:v>2W</x:v>
      </x:c>
      <x:c r="R188" t="str">
        <x:v>Cloud Migration</x:v>
      </x:c>
      <x:c r="S188"/>
      <x:c r="T188" t="str">
        <x:v>approved</x:v>
      </x:c>
      <x:c r="U188" t="str">
        <x:v>mzurfaiezzuddin.zur@petronas.com</x:v>
      </x:c>
      <x:c r="V188" t="n">
        <x:v>46140.06910476852</x:v>
      </x:c>
      <x:c r="W188" t="str">
        <x:v>Cloud Repatriation - To decommission old resources in Singapore region due to completed migration in MY region</x:v>
      </x:c>
      <x:c r="X188" t="str">
        <x:v>approved</x:v>
      </x:c>
      <x:c r="Y188" t="str">
        <x:v>sazali.mokhtar@petronas.com</x:v>
      </x:c>
      <x:c r="Z188" t="n">
        <x:v>46184.07279053241</x:v>
      </x:c>
      <x:c r="AA188" t="str">
        <x:v>Cloud Repatriation - To decommission old resources in Singapore region due to completed migration in MY region</x:v>
      </x:c>
      <x:c r="AB188" t="str">
        <x:v>approved</x:v>
      </x:c>
      <x:c r="AC188" t="str">
        <x:v>azwan.badari@petronas.com</x:v>
      </x:c>
      <x:c r="AD188" t="n">
        <x:v>46184.1054933912</x:v>
      </x:c>
      <x:c r="AE188" t="str">
        <x:v>Decommission PGB OE (02421_76) in SG</x:v>
      </x:c>
      <x:c r="AF188" t="str">
        <x:v>approved</x:v>
      </x:c>
      <x:c r="AG188" t="str">
        <x:v>azwan.badari@petronas.com</x:v>
      </x:c>
      <x:c r="AH188" t="n">
        <x:v>46199.30449137731</x:v>
      </x:c>
      <x:c r="AI188" t="str">
        <x:v>Completed</x:v>
      </x:c>
      <x:c r="AJ188" t="str">
        <x:v>A-000522</x:v>
      </x:c>
      <x:c r="AK188" t="str">
        <x:v>02421_76</x:v>
      </x:c>
      <x:c r="AL188" t="str">
        <x:v>M</x:v>
      </x:c>
      <x:c r="AM188" t="str">
        <x:v>REQ000008094202</x:v>
      </x:c>
      <x:c r="AN188" t="str">
        <x:v>noretention</x:v>
      </x:c>
      <x:c r="AO188" t="n">
        <x:v>0</x:v>
      </x:c>
      <x:c r="AP188" s="23" t="str">
        <x:f>IF(E188="processing",IF(Z188="","",IF(ISNUMBER(Z188),INT(Z188),DATE(VALUE(LEFT(Z188,4)),VALUE(MID(Z188,6,2)),VALUE(MID(Z188,9,2))))),IF(OR(E188="executing",E188="pending"),IF(AD188="","",IF(ISNUMBER(AD188),INT(AD188),DATE(VALUE(LEFT(AD188,4)),VALUE(MID(AD188,6,2)),VALUE(MID(AD188,9,2))))),""))</x:f>
      </x:c>
      <x:c r="AQ188" s="24" t="str">
        <x:f>IF(AP188="","",INT('Configuration'!$B$4)-AP188)</x:f>
      </x:c>
      <x:c r="AR188" s="25" t="str">
        <x:f>IF(AP188="","Missing Required Date",IF(AQ188&lt;0,"Future Date",IF(AQ188=0,"0 days",IF(AQ188&lt;=2,"1-2 days",IF(AQ188&lt;=7,"3-7 days",IF(AQ188&lt;=14,"8-14 days",IF(AQ188&lt;=30,"15-30 days",IF(AQ188&lt;=60,"31-60 days",IF(AQ188&lt;=70,"61-70 days","71+ days")))))))))</x:f>
        <x:v>Missing Required Date</x:v>
      </x:c>
      <x:c r="AS188" s="25" t="str">
        <x:f>IF(OR(E188="processing",E188="executing",E188="pending"),IF(AP188="","Required aging date missing",IF(AQ188&gt;30,"Escalate &gt;30d",IF(AQ188&gt;14,"Watch &gt;14d","Within 14d"))),"Out of scope")</x:f>
        <x:v>Out of scope</x:v>
      </x:c>
    </x:row>
    <x:row r="189" ht="24" customHeight="1">
      <x:c r="A189" t="str">
        <x:v>30539520-1427-42da-b0d9-5671843e8790</x:v>
      </x:c>
      <x:c r="B189" t="str">
        <x:v>CSSP10348826</x:v>
      </x:c>
      <x:c r="C189" t="str">
        <x:v>mizzudin.manuar@petronas.com</x:v>
      </x:c>
      <x:c r="D189" t="str">
        <x:v>decommission-cloud</x:v>
      </x:c>
      <x:c r="E189" t="str">
        <x:v>cancelled</x:v>
      </x:c>
      <x:c r="F189" t="n">
        <x:v>46147.27477614583</x:v>
      </x:c>
      <x:c r="G189" t="n">
        <x:v>46147.275956122685</x:v>
      </x:c>
      <x:c r="H189" t="n">
        <x:v>46147.27477614583</x:v>
      </x:c>
      <x:c r="I189" t="str">
        <x:v>Predictive Rotating Equipment Analytics - PROTEAN</x:v>
      </x:c>
      <x:c r="J189" t="str">
        <x:v>Development of Predictive Analytics for PETRONAS Rotating Equipment Analytics (PROTEAN) for Upstream Center of Excellence</x:v>
      </x:c>
      <x:c r="K189" t="str">
        <x:v>partial</x:v>
      </x:c>
      <x:c r="L189"/>
      <x:c r="M189" t="str">
        <x:v>mohammadsani.johari@petronas.com</x:v>
      </x:c>
      <x:c r="N189"/>
      <x:c r="O189"/>
      <x:c r="P189" t="str">
        <x:v>Not in use</x:v>
      </x:c>
      <x:c r="Q189" t="str">
        <x:v>2W</x:v>
      </x:c>
      <x:c r="R189" t="str">
        <x:v>Not in Used</x:v>
      </x:c>
      <x:c r="S189"/>
      <x:c r="T189" t="str">
        <x:v>rejected</x:v>
      </x:c>
      <x:c r="U189" t="str">
        <x:v>mizzudin.manuar@petronas.com</x:v>
      </x:c>
      <x:c r="V189" t="n">
        <x:v>46147.27595613426</x:v>
      </x:c>
      <x:c r="W189"/>
      <x:c r="X189"/>
      <x:c r="Y189" t="str">
        <x:v>mohammadsani.johari@petronas.com</x:v>
      </x:c>
      <x:c r="Z189"/>
      <x:c r="AA189"/>
      <x:c r="AB189"/>
      <x:c r="AC189" t="str">
        <x:v>CCoE Business</x:v>
      </x:c>
      <x:c r="AD189"/>
      <x:c r="AE189"/>
      <x:c r="AF189"/>
      <x:c r="AG189" t="str">
        <x:v>CCoE Operations</x:v>
      </x:c>
      <x:c r="AH189"/>
      <x:c r="AI189"/>
      <x:c r="AJ189" t="str">
        <x:v>A-000664</x:v>
      </x:c>
      <x:c r="AK189" t="n">
        <x:v>1443</x:v>
      </x:c>
      <x:c r="AL189"/>
      <x:c r="AM189"/>
      <x:c r="AN189" t="str">
        <x:v>retention</x:v>
      </x:c>
      <x:c r="AO189" t="n">
        <x:v>1</x:v>
      </x:c>
      <x:c r="AP189" s="23" t="str">
        <x:f>IF(E189="processing",IF(Z189="","",IF(ISNUMBER(Z189),INT(Z189),DATE(VALUE(LEFT(Z189,4)),VALUE(MID(Z189,6,2)),VALUE(MID(Z189,9,2))))),IF(OR(E189="executing",E189="pending"),IF(AD189="","",IF(ISNUMBER(AD189),INT(AD189),DATE(VALUE(LEFT(AD189,4)),VALUE(MID(AD189,6,2)),VALUE(MID(AD189,9,2))))),""))</x:f>
      </x:c>
      <x:c r="AQ189" s="24" t="str">
        <x:f>IF(AP189="","",INT('Configuration'!$B$4)-AP189)</x:f>
      </x:c>
      <x:c r="AR189" s="25" t="str">
        <x:f>IF(AP189="","Missing Required Date",IF(AQ189&lt;0,"Future Date",IF(AQ189=0,"0 days",IF(AQ189&lt;=2,"1-2 days",IF(AQ189&lt;=7,"3-7 days",IF(AQ189&lt;=14,"8-14 days",IF(AQ189&lt;=30,"15-30 days",IF(AQ189&lt;=60,"31-60 days",IF(AQ189&lt;=70,"61-70 days","71+ days")))))))))</x:f>
        <x:v>Missing Required Date</x:v>
      </x:c>
      <x:c r="AS189" s="25" t="str">
        <x:f>IF(OR(E189="processing",E189="executing",E189="pending"),IF(AP189="","Required aging date missing",IF(AQ189&gt;30,"Escalate &gt;30d",IF(AQ189&gt;14,"Watch &gt;14d","Within 14d"))),"Out of scope")</x:f>
        <x:v>Out of scope</x:v>
      </x:c>
    </x:row>
    <x:row r="190" ht="24" customHeight="1">
      <x:c r="A190" t="str">
        <x:v>d5d33c3c-75ee-45e4-b57e-f2914806c146</x:v>
      </x:c>
      <x:c r="B190" t="str">
        <x:v>CSSP10793668</x:v>
      </x:c>
      <x:c r="C190" t="str">
        <x:v>mizzudin.manuar@petronas.com</x:v>
      </x:c>
      <x:c r="D190" t="str">
        <x:v>decommission-cloud</x:v>
      </x:c>
      <x:c r="E190" t="str">
        <x:v>cancelled</x:v>
      </x:c>
      <x:c r="F190" t="n">
        <x:v>46147.27752340278</x:v>
      </x:c>
      <x:c r="G190" t="n">
        <x:v>46147.278167777775</x:v>
      </x:c>
      <x:c r="H190" t="n">
        <x:v>46147.27752340278</x:v>
      </x:c>
      <x:c r="I190" t="str">
        <x:v>Predictive Rotating Equipment Analytics - PROTEAN</x:v>
      </x:c>
      <x:c r="J190" t="str">
        <x:v>Enhancement of Predictive Analytics for PETRONAS Rotating Equipment Analytics (PROTEAN) for Upstream Center of Excellence</x:v>
      </x:c>
      <x:c r="K190" t="str">
        <x:v>partial</x:v>
      </x:c>
      <x:c r="L190"/>
      <x:c r="M190" t="str">
        <x:v>mohammadsani.johari@petronas.com</x:v>
      </x:c>
      <x:c r="N190"/>
      <x:c r="O190"/>
      <x:c r="P190" t="str">
        <x:v>not in use</x:v>
      </x:c>
      <x:c r="Q190" t="str">
        <x:v>2W</x:v>
      </x:c>
      <x:c r="R190" t="str">
        <x:v>Not in Used</x:v>
      </x:c>
      <x:c r="S190"/>
      <x:c r="T190" t="str">
        <x:v>rejected</x:v>
      </x:c>
      <x:c r="U190" t="str">
        <x:v>mizzudin.manuar@petronas.com</x:v>
      </x:c>
      <x:c r="V190" t="n">
        <x:v>46147.27816780093</x:v>
      </x:c>
      <x:c r="W190"/>
      <x:c r="X190"/>
      <x:c r="Y190" t="str">
        <x:v>mohammadsani.johari@petronas.com</x:v>
      </x:c>
      <x:c r="Z190"/>
      <x:c r="AA190"/>
      <x:c r="AB190"/>
      <x:c r="AC190" t="str">
        <x:v>CCoE Business</x:v>
      </x:c>
      <x:c r="AD190"/>
      <x:c r="AE190"/>
      <x:c r="AF190"/>
      <x:c r="AG190" t="str">
        <x:v>CCoE Operations</x:v>
      </x:c>
      <x:c r="AH190"/>
      <x:c r="AI190"/>
      <x:c r="AJ190" t="str">
        <x:v>A-000664</x:v>
      </x:c>
      <x:c r="AK190" t="n">
        <x:v>2066</x:v>
      </x:c>
      <x:c r="AL190"/>
      <x:c r="AM190"/>
      <x:c r="AN190" t="str">
        <x:v>retention</x:v>
      </x:c>
      <x:c r="AO190" t="n">
        <x:v>1</x:v>
      </x:c>
      <x:c r="AP190" s="23" t="str">
        <x:f>IF(E190="processing",IF(Z190="","",IF(ISNUMBER(Z190),INT(Z190),DATE(VALUE(LEFT(Z190,4)),VALUE(MID(Z190,6,2)),VALUE(MID(Z190,9,2))))),IF(OR(E190="executing",E190="pending"),IF(AD190="","",IF(ISNUMBER(AD190),INT(AD190),DATE(VALUE(LEFT(AD190,4)),VALUE(MID(AD190,6,2)),VALUE(MID(AD190,9,2))))),""))</x:f>
      </x:c>
      <x:c r="AQ190" s="24" t="str">
        <x:f>IF(AP190="","",INT('Configuration'!$B$4)-AP190)</x:f>
      </x:c>
      <x:c r="AR190" s="25" t="str">
        <x:f>IF(AP190="","Missing Required Date",IF(AQ190&lt;0,"Future Date",IF(AQ190=0,"0 days",IF(AQ190&lt;=2,"1-2 days",IF(AQ190&lt;=7,"3-7 days",IF(AQ190&lt;=14,"8-14 days",IF(AQ190&lt;=30,"15-30 days",IF(AQ190&lt;=60,"31-60 days",IF(AQ190&lt;=70,"61-70 days","71+ days")))))))))</x:f>
        <x:v>Missing Required Date</x:v>
      </x:c>
      <x:c r="AS190" s="25" t="str">
        <x:f>IF(OR(E190="processing",E190="executing",E190="pending"),IF(AP190="","Required aging date missing",IF(AQ190&gt;30,"Escalate &gt;30d",IF(AQ190&gt;14,"Watch &gt;14d","Within 14d"))),"Out of scope")</x:f>
        <x:v>Out of scope</x:v>
      </x:c>
    </x:row>
    <x:row r="191" ht="24" customHeight="1">
      <x:c r="A191" t="str">
        <x:v>d5a2ca21-eb2d-46ad-b73c-7177841433b9</x:v>
      </x:c>
      <x:c r="B191" t="str">
        <x:v>CSSP10368977</x:v>
      </x:c>
      <x:c r="C191" t="str">
        <x:v>mizzudin.manuar@petronas.com</x:v>
      </x:c>
      <x:c r="D191" t="str">
        <x:v>decommission-cloud</x:v>
      </x:c>
      <x:c r="E191" t="str">
        <x:v>cancelled</x:v>
      </x:c>
      <x:c r="F191" t="n">
        <x:v>46147.284422523146</x:v>
      </x:c>
      <x:c r="G191" t="n">
        <x:v>46147.28607765046</x:v>
      </x:c>
      <x:c r="H191" t="n">
        <x:v>46147.284422523146</x:v>
      </x:c>
      <x:c r="I191" t="str">
        <x:v>Predictive Rotating Equipment Analytics - PROTEAN</x:v>
      </x:c>
      <x:c r="J191" t="str">
        <x:v>Cloud Migration Program - PROTEAN (PETRONAS Rotating Equipment Analytics)</x:v>
      </x:c>
      <x:c r="K191" t="str">
        <x:v>partial</x:v>
      </x:c>
      <x:c r="L191"/>
      <x:c r="M191" t="str">
        <x:v>mohammadsani.johari@petronas.com</x:v>
      </x:c>
      <x:c r="N191"/>
      <x:c r="O191"/>
      <x:c r="P191" t="str">
        <x:v>not in use</x:v>
      </x:c>
      <x:c r="Q191" t="str">
        <x:v>2W</x:v>
      </x:c>
      <x:c r="R191" t="str">
        <x:v>Not in Used</x:v>
      </x:c>
      <x:c r="S191"/>
      <x:c r="T191" t="str">
        <x:v>rejected</x:v>
      </x:c>
      <x:c r="U191" t="str">
        <x:v>mizzudin.manuar@petronas.com</x:v>
      </x:c>
      <x:c r="V191" t="n">
        <x:v>46147.28607768519</x:v>
      </x:c>
      <x:c r="W191"/>
      <x:c r="X191"/>
      <x:c r="Y191" t="str">
        <x:v>mohammadsani.johari@petronas.com</x:v>
      </x:c>
      <x:c r="Z191"/>
      <x:c r="AA191"/>
      <x:c r="AB191"/>
      <x:c r="AC191" t="str">
        <x:v>CCoE Business</x:v>
      </x:c>
      <x:c r="AD191"/>
      <x:c r="AE191"/>
      <x:c r="AF191"/>
      <x:c r="AG191" t="str">
        <x:v>CCoE Operations</x:v>
      </x:c>
      <x:c r="AH191"/>
      <x:c r="AI191"/>
      <x:c r="AJ191" t="str">
        <x:v>A-000664</x:v>
      </x:c>
      <x:c r="AK191" t="str">
        <x:v>00915_241</x:v>
      </x:c>
      <x:c r="AL191"/>
      <x:c r="AM191"/>
      <x:c r="AN191" t="str">
        <x:v>retention</x:v>
      </x:c>
      <x:c r="AO191" t="n">
        <x:v>1</x:v>
      </x:c>
      <x:c r="AP191" s="23" t="str">
        <x:f>IF(E191="processing",IF(Z191="","",IF(ISNUMBER(Z191),INT(Z191),DATE(VALUE(LEFT(Z191,4)),VALUE(MID(Z191,6,2)),VALUE(MID(Z191,9,2))))),IF(OR(E191="executing",E191="pending"),IF(AD191="","",IF(ISNUMBER(AD191),INT(AD191),DATE(VALUE(LEFT(AD191,4)),VALUE(MID(AD191,6,2)),VALUE(MID(AD191,9,2))))),""))</x:f>
      </x:c>
      <x:c r="AQ191" s="24" t="str">
        <x:f>IF(AP191="","",INT('Configuration'!$B$4)-AP191)</x:f>
      </x:c>
      <x:c r="AR191" s="25" t="str">
        <x:f>IF(AP191="","Missing Required Date",IF(AQ191&lt;0,"Future Date",IF(AQ191=0,"0 days",IF(AQ191&lt;=2,"1-2 days",IF(AQ191&lt;=7,"3-7 days",IF(AQ191&lt;=14,"8-14 days",IF(AQ191&lt;=30,"15-30 days",IF(AQ191&lt;=60,"31-60 days",IF(AQ191&lt;=70,"61-70 days","71+ days")))))))))</x:f>
        <x:v>Missing Required Date</x:v>
      </x:c>
      <x:c r="AS191" s="25" t="str">
        <x:f>IF(OR(E191="processing",E191="executing",E191="pending"),IF(AP191="","Required aging date missing",IF(AQ191&gt;30,"Escalate &gt;30d",IF(AQ191&gt;14,"Watch &gt;14d","Within 14d"))),"Out of scope")</x:f>
        <x:v>Out of scope</x:v>
      </x:c>
    </x:row>
    <x:row r="192" ht="24" customHeight="1">
      <x:c r="A192" t="str">
        <x:v>69ac51a5-7a83-47e9-a9ed-af205e4b9264</x:v>
      </x:c>
      <x:c r="B192" t="str">
        <x:v>CSSP10893834</x:v>
      </x:c>
      <x:c r="C192" t="str">
        <x:v>mizzudin.manuar@petronas.com</x:v>
      </x:c>
      <x:c r="D192" t="str">
        <x:v>decommission-cloud</x:v>
      </x:c>
      <x:c r="E192" t="str">
        <x:v>cancelled</x:v>
      </x:c>
      <x:c r="F192" t="n">
        <x:v>46147.28675936343</x:v>
      </x:c>
      <x:c r="G192" t="n">
        <x:v>46147.28765233796</x:v>
      </x:c>
      <x:c r="H192" t="n">
        <x:v>46147.28675936343</x:v>
      </x:c>
      <x:c r="I192" t="str">
        <x:v>Predictive Rotating Equipment Analytics - PROTEAN</x:v>
      </x:c>
      <x:c r="J192" t="str">
        <x:v>Implementation of PETRONAS Rotating Equipment Analytics (PROTEAN) at MLNG</x:v>
      </x:c>
      <x:c r="K192" t="str">
        <x:v>partial</x:v>
      </x:c>
      <x:c r="L192"/>
      <x:c r="M192" t="str">
        <x:v>mohammadsani.johari@petronas.com</x:v>
      </x:c>
      <x:c r="N192"/>
      <x:c r="O192"/>
      <x:c r="P192" t="str">
        <x:v>not in use</x:v>
      </x:c>
      <x:c r="Q192" t="str">
        <x:v>2W</x:v>
      </x:c>
      <x:c r="R192" t="str">
        <x:v>Not in Used</x:v>
      </x:c>
      <x:c r="S192"/>
      <x:c r="T192" t="str">
        <x:v>rejected</x:v>
      </x:c>
      <x:c r="U192" t="str">
        <x:v>mizzudin.manuar@petronas.com</x:v>
      </x:c>
      <x:c r="V192" t="n">
        <x:v>46147.287652349536</x:v>
      </x:c>
      <x:c r="W192"/>
      <x:c r="X192"/>
      <x:c r="Y192" t="str">
        <x:v>mohammadsani.johari@petronas.com</x:v>
      </x:c>
      <x:c r="Z192"/>
      <x:c r="AA192"/>
      <x:c r="AB192"/>
      <x:c r="AC192" t="str">
        <x:v>CCoE Business</x:v>
      </x:c>
      <x:c r="AD192"/>
      <x:c r="AE192"/>
      <x:c r="AF192"/>
      <x:c r="AG192" t="str">
        <x:v>CCoE Operations</x:v>
      </x:c>
      <x:c r="AH192"/>
      <x:c r="AI192"/>
      <x:c r="AJ192" t="str">
        <x:v>A-000664</x:v>
      </x:c>
      <x:c r="AK192" t="n">
        <x:v>3494</x:v>
      </x:c>
      <x:c r="AL192"/>
      <x:c r="AM192"/>
      <x:c r="AN192" t="str">
        <x:v>retention</x:v>
      </x:c>
      <x:c r="AO192" t="n">
        <x:v>1</x:v>
      </x:c>
      <x:c r="AP192" s="23" t="str">
        <x:f>IF(E192="processing",IF(Z192="","",IF(ISNUMBER(Z192),INT(Z192),DATE(VALUE(LEFT(Z192,4)),VALUE(MID(Z192,6,2)),VALUE(MID(Z192,9,2))))),IF(OR(E192="executing",E192="pending"),IF(AD192="","",IF(ISNUMBER(AD192),INT(AD192),DATE(VALUE(LEFT(AD192,4)),VALUE(MID(AD192,6,2)),VALUE(MID(AD192,9,2))))),""))</x:f>
      </x:c>
      <x:c r="AQ192" s="24" t="str">
        <x:f>IF(AP192="","",INT('Configuration'!$B$4)-AP192)</x:f>
      </x:c>
      <x:c r="AR192" s="25" t="str">
        <x:f>IF(AP192="","Missing Required Date",IF(AQ192&lt;0,"Future Date",IF(AQ192=0,"0 days",IF(AQ192&lt;=2,"1-2 days",IF(AQ192&lt;=7,"3-7 days",IF(AQ192&lt;=14,"8-14 days",IF(AQ192&lt;=30,"15-30 days",IF(AQ192&lt;=60,"31-60 days",IF(AQ192&lt;=70,"61-70 days","71+ days")))))))))</x:f>
        <x:v>Missing Required Date</x:v>
      </x:c>
      <x:c r="AS192" s="25" t="str">
        <x:f>IF(OR(E192="processing",E192="executing",E192="pending"),IF(AP192="","Required aging date missing",IF(AQ192&gt;30,"Escalate &gt;30d",IF(AQ192&gt;14,"Watch &gt;14d","Within 14d"))),"Out of scope")</x:f>
        <x:v>Out of scope</x:v>
      </x:c>
    </x:row>
    <x:row r="193" ht="24" customHeight="1">
      <x:c r="A193" t="str">
        <x:v>1f18c89d-bf71-4ca3-a743-4b12664d51ad</x:v>
      </x:c>
      <x:c r="B193" t="str">
        <x:v>CSSP10815603</x:v>
      </x:c>
      <x:c r="C193" t="str">
        <x:v>norhayati.saad@petronas.com</x:v>
      </x:c>
      <x:c r="D193" t="str">
        <x:v>decommission-cloud</x:v>
      </x:c>
      <x:c r="E193" t="str">
        <x:v>cancelled</x:v>
      </x:c>
      <x:c r="F193" t="n">
        <x:v>46148.09781258102</x:v>
      </x:c>
      <x:c r="G193" t="n">
        <x:v>46148.194012604166</x:v>
      </x:c>
      <x:c r="H193" t="n">
        <x:v>46148.09781258102</x:v>
      </x:c>
      <x:c r="I193" t="str">
        <x:v>Integrated Computing and Security - ICS MRCSB</x:v>
      </x:c>
      <x:c r="J193" t="str">
        <x:v>OCI MIGRATION - ICSPROD: ACS Time Attendance System, HeadCount System, HSE Training Management System (HTMS), MANTRACKS, Meeting Room Booking System, Occupational Health Management System (OHMS)</x:v>
      </x:c>
      <x:c r="K193" t="str">
        <x:v>partial</x:v>
      </x:c>
      <x:c r="L193"/>
      <x:c r="M193" t="str">
        <x:v>sazali.mokhtar@petronas.com</x:v>
      </x:c>
      <x:c r="N193"/>
      <x:c r="O193"/>
      <x:c r="P193" t="str">
        <x:v>Cloud Repatriation - To decommission old resources in Singapore region due to completed migration in MY region</x:v>
      </x:c>
      <x:c r="Q193" t="str">
        <x:v>2W</x:v>
      </x:c>
      <x:c r="R193" t="str">
        <x:v>Cloud Migration</x:v>
      </x:c>
      <x:c r="S193"/>
      <x:c r="T193" t="str">
        <x:v>rejected</x:v>
      </x:c>
      <x:c r="U193" t="str">
        <x:v>norhayati.saad@petronas.com</x:v>
      </x:c>
      <x:c r="V193" t="n">
        <x:v>46148.19401261574</x:v>
      </x:c>
      <x:c r="W193"/>
      <x:c r="X193"/>
      <x:c r="Y193" t="str">
        <x:v>sazali.mokhtar@petronas.com</x:v>
      </x:c>
      <x:c r="Z193"/>
      <x:c r="AA193"/>
      <x:c r="AB193"/>
      <x:c r="AC193" t="str">
        <x:v>CCoE Business</x:v>
      </x:c>
      <x:c r="AD193"/>
      <x:c r="AE193"/>
      <x:c r="AF193"/>
      <x:c r="AG193" t="str">
        <x:v>CCoE Operations</x:v>
      </x:c>
      <x:c r="AH193"/>
      <x:c r="AI193"/>
      <x:c r="AJ193" t="str">
        <x:v>A-000368</x:v>
      </x:c>
      <x:c r="AK193" t="str">
        <x:v>AWSOCI_001</x:v>
      </x:c>
      <x:c r="AL193"/>
      <x:c r="AM193"/>
      <x:c r="AN193" t="str">
        <x:v>noretention</x:v>
      </x:c>
      <x:c r="AO193" t="n">
        <x:v>0</x:v>
      </x:c>
      <x:c r="AP193" s="23" t="str">
        <x:f>IF(E193="processing",IF(Z193="","",IF(ISNUMBER(Z193),INT(Z193),DATE(VALUE(LEFT(Z193,4)),VALUE(MID(Z193,6,2)),VALUE(MID(Z193,9,2))))),IF(OR(E193="executing",E193="pending"),IF(AD193="","",IF(ISNUMBER(AD193),INT(AD193),DATE(VALUE(LEFT(AD193,4)),VALUE(MID(AD193,6,2)),VALUE(MID(AD193,9,2))))),""))</x:f>
      </x:c>
      <x:c r="AQ193" s="24" t="str">
        <x:f>IF(AP193="","",INT('Configuration'!$B$4)-AP193)</x:f>
      </x:c>
      <x:c r="AR193" s="25" t="str">
        <x:f>IF(AP193="","Missing Required Date",IF(AQ193&lt;0,"Future Date",IF(AQ193=0,"0 days",IF(AQ193&lt;=2,"1-2 days",IF(AQ193&lt;=7,"3-7 days",IF(AQ193&lt;=14,"8-14 days",IF(AQ193&lt;=30,"15-30 days",IF(AQ193&lt;=60,"31-60 days",IF(AQ193&lt;=70,"61-70 days","71+ days")))))))))</x:f>
        <x:v>Missing Required Date</x:v>
      </x:c>
      <x:c r="AS193" s="25" t="str">
        <x:f>IF(OR(E193="processing",E193="executing",E193="pending"),IF(AP193="","Required aging date missing",IF(AQ193&gt;30,"Escalate &gt;30d",IF(AQ193&gt;14,"Watch &gt;14d","Within 14d"))),"Out of scope")</x:f>
        <x:v>Out of scope</x:v>
      </x:c>
    </x:row>
    <x:row r="194" ht="24" customHeight="1">
      <x:c r="A194" t="str">
        <x:v>c39c0832-4a3f-4963-b09a-28839a07de0e</x:v>
      </x:c>
      <x:c r="B194" t="str">
        <x:v>CSSP10209084</x:v>
      </x:c>
      <x:c r="C194" t="str">
        <x:v>azril.samad@petronas.com</x:v>
      </x:c>
      <x:c r="D194" t="str">
        <x:v>decommission-cloud</x:v>
      </x:c>
      <x:c r="E194" t="str">
        <x:v>completed</x:v>
      </x:c>
      <x:c r="F194" t="n">
        <x:v>46148.16625650463</x:v>
      </x:c>
      <x:c r="G194" t="n">
        <x:v>46161.33211163194</x:v>
      </x:c>
      <x:c r="H194" t="n">
        <x:v>46148.16625650463</x:v>
      </x:c>
      <x:c r="I194" t="str">
        <x:v>Video Analytics - VA</x:v>
      </x:c>
      <x:c r="J194" t="str">
        <x:v>Video Analytics Pilot Implementation for PeTT Tower 1</x:v>
      </x:c>
      <x:c r="K194" t="str">
        <x:v>full</x:v>
      </x:c>
      <x:c r="L194" t="str">
        <x:v>DCOM20260506dbf</x:v>
      </x:c>
      <x:c r="M194" t="str">
        <x:v>mfauzi.atan@petronas.com.my</x:v>
      </x:c>
      <x:c r="N194"/>
      <x:c r="O194"/>
      <x:c r="P194" t="str">
        <x:v>VA not in used anymore to monitor and analyze personal that enter VIP floor</x:v>
      </x:c>
      <x:c r="Q194" t="str">
        <x:v>12M</x:v>
      </x:c>
      <x:c r="R194" t="str">
        <x:v>Not in Used</x:v>
      </x:c>
      <x:c r="S194"/>
      <x:c r="T194" t="str">
        <x:v>approved</x:v>
      </x:c>
      <x:c r="U194" t="str">
        <x:v>azril.samad@petronas.com</x:v>
      </x:c>
      <x:c r="V194" t="n">
        <x:v>46148.24025549769</x:v>
      </x:c>
      <x:c r="W194" t="str">
        <x:v>Server need to be decommissioning is a physical server, server info as attached</x:v>
      </x:c>
      <x:c r="X194" t="str">
        <x:v>approved</x:v>
      </x:c>
      <x:c r="Y194" t="str">
        <x:v>mfauzi.atan@petronas.com</x:v>
      </x:c>
      <x:c r="Z194" t="n">
        <x:v>46155.33521841435</x:v>
      </x:c>
      <x:c r="AA194" t="str">
        <x:v>Approval has been granted as agreed in the REAL Programme Sub‑PWC meeting. You may proceed with the decommissioning.</x:v>
      </x:c>
      <x:c r="AB194" t="str">
        <x:v>approved</x:v>
      </x:c>
      <x:c r="AC194" t="str">
        <x:v>azwan.badari@petronas.com</x:v>
      </x:c>
      <x:c r="AD194" t="n">
        <x:v>46156.09948118056</x:v>
      </x:c>
      <x:c r="AE194" t="str">
        <x:v>Proceed to decomm the mentioned physical server</x:v>
      </x:c>
      <x:c r="AF194" t="str">
        <x:v>approved</x:v>
      </x:c>
      <x:c r="AG194" t="str">
        <x:v>azlisham.md@petronas.com</x:v>
      </x:c>
      <x:c r="AH194" t="n">
        <x:v>46161.33211163194</x:v>
      </x:c>
      <x:c r="AI194" t="str">
        <x:v>The decommission request has been completed, and the status is now updated accordingly. Kindly verify from your end and confirm once reviewed.
</x:v>
      </x:c>
      <x:c r="AJ194" t="str">
        <x:v>A-000829</x:v>
      </x:c>
      <x:c r="AK194" t="n">
        <x:v>3002</x:v>
      </x:c>
      <x:c r="AL194" t="str">
        <x:v>L</x:v>
      </x:c>
      <x:c r="AM194" t="str">
        <x:v>REQ000008047186</x:v>
      </x:c>
      <x:c r="AN194" t="str">
        <x:v>retention</x:v>
      </x:c>
      <x:c r="AO194" t="n">
        <x:v>365</x:v>
      </x:c>
      <x:c r="AP194" s="23" t="str">
        <x:f>IF(E194="processing",IF(Z194="","",IF(ISNUMBER(Z194),INT(Z194),DATE(VALUE(LEFT(Z194,4)),VALUE(MID(Z194,6,2)),VALUE(MID(Z194,9,2))))),IF(OR(E194="executing",E194="pending"),IF(AD194="","",IF(ISNUMBER(AD194),INT(AD194),DATE(VALUE(LEFT(AD194,4)),VALUE(MID(AD194,6,2)),VALUE(MID(AD194,9,2))))),""))</x:f>
      </x:c>
      <x:c r="AQ194" s="24" t="str">
        <x:f>IF(AP194="","",INT('Configuration'!$B$4)-AP194)</x:f>
      </x:c>
      <x:c r="AR194" s="25" t="str">
        <x:f>IF(AP194="","Missing Required Date",IF(AQ194&lt;0,"Future Date",IF(AQ194=0,"0 days",IF(AQ194&lt;=2,"1-2 days",IF(AQ194&lt;=7,"3-7 days",IF(AQ194&lt;=14,"8-14 days",IF(AQ194&lt;=30,"15-30 days",IF(AQ194&lt;=60,"31-60 days",IF(AQ194&lt;=70,"61-70 days","71+ days")))))))))</x:f>
        <x:v>Missing Required Date</x:v>
      </x:c>
      <x:c r="AS194" s="25" t="str">
        <x:f>IF(OR(E194="processing",E194="executing",E194="pending"),IF(AP194="","Required aging date missing",IF(AQ194&gt;30,"Escalate &gt;30d",IF(AQ194&gt;14,"Watch &gt;14d","Within 14d"))),"Out of scope")</x:f>
        <x:v>Out of scope</x:v>
      </x:c>
    </x:row>
    <x:row r="195" ht="24" customHeight="1">
      <x:c r="A195" t="str">
        <x:v>13faefb1-4529-4555-a487-7171e4af722c</x:v>
      </x:c>
      <x:c r="B195" t="str">
        <x:v>CSSP10207194</x:v>
      </x:c>
      <x:c r="C195" t="str">
        <x:v>norhayati.saad@petronas.com</x:v>
      </x:c>
      <x:c r="D195" t="str">
        <x:v>decommission-cloud</x:v>
      </x:c>
      <x:c r="E195" t="str">
        <x:v>cancelled</x:v>
      </x:c>
      <x:c r="F195" t="n">
        <x:v>46148.19542685185</x:v>
      </x:c>
      <x:c r="G195" t="n">
        <x:v>46156.0700465162</x:v>
      </x:c>
      <x:c r="H195" t="n">
        <x:v>46148.19542685185</x:v>
      </x:c>
      <x:c r="I195" t="str">
        <x:v>Integrated Computing and Security - ICS MRCSB</x:v>
      </x:c>
      <x:c r="J195" t="str">
        <x:v>OCI MIGRATION - ACS Time Attendance System, HeadCount System, HSE Training Management System (HTMS), MANTRACKS, Meeting Room Booking System, Occupational Health Management System (OHMS)</x:v>
      </x:c>
      <x:c r="K195" t="str">
        <x:v>partial</x:v>
      </x:c>
      <x:c r="L195"/>
      <x:c r="M195" t="str">
        <x:v>sazali.mokhtar@petronas.com</x:v>
      </x:c>
      <x:c r="N195"/>
      <x:c r="O195"/>
      <x:c r="P195" t="str">
        <x:v>Cloud Repatriation - To decommission old resources in Singapore region due to completed migration in MY region</x:v>
      </x:c>
      <x:c r="Q195" t="str">
        <x:v>2W</x:v>
      </x:c>
      <x:c r="R195" t="str">
        <x:v>Cloud Migration</x:v>
      </x:c>
      <x:c r="S195"/>
      <x:c r="T195" t="str">
        <x:v>rejected</x:v>
      </x:c>
      <x:c r="U195" t="str">
        <x:v>norhayati.saad@petronas.com</x:v>
      </x:c>
      <x:c r="V195" t="n">
        <x:v>46156.07004652778</x:v>
      </x:c>
      <x:c r="W195"/>
      <x:c r="X195"/>
      <x:c r="Y195" t="str">
        <x:v>sazali.mokhtar@petronas.com</x:v>
      </x:c>
      <x:c r="Z195"/>
      <x:c r="AA195"/>
      <x:c r="AB195"/>
      <x:c r="AC195" t="str">
        <x:v>CCoE Business</x:v>
      </x:c>
      <x:c r="AD195"/>
      <x:c r="AE195"/>
      <x:c r="AF195"/>
      <x:c r="AG195" t="str">
        <x:v>CCoE Operations</x:v>
      </x:c>
      <x:c r="AH195"/>
      <x:c r="AI195"/>
      <x:c r="AJ195" t="str">
        <x:v>A-000368</x:v>
      </x:c>
      <x:c r="AK195" t="str">
        <x:v>OCI-00029</x:v>
      </x:c>
      <x:c r="AL195"/>
      <x:c r="AM195"/>
      <x:c r="AN195" t="str">
        <x:v>noretention</x:v>
      </x:c>
      <x:c r="AO195" t="n">
        <x:v>0</x:v>
      </x:c>
      <x:c r="AP195" s="23" t="str">
        <x:f>IF(E195="processing",IF(Z195="","",IF(ISNUMBER(Z195),INT(Z195),DATE(VALUE(LEFT(Z195,4)),VALUE(MID(Z195,6,2)),VALUE(MID(Z195,9,2))))),IF(OR(E195="executing",E195="pending"),IF(AD195="","",IF(ISNUMBER(AD195),INT(AD195),DATE(VALUE(LEFT(AD195,4)),VALUE(MID(AD195,6,2)),VALUE(MID(AD195,9,2))))),""))</x:f>
      </x:c>
      <x:c r="AQ195" s="24" t="str">
        <x:f>IF(AP195="","",INT('Configuration'!$B$4)-AP195)</x:f>
      </x:c>
      <x:c r="AR195" s="25" t="str">
        <x:f>IF(AP195="","Missing Required Date",IF(AQ195&lt;0,"Future Date",IF(AQ195=0,"0 days",IF(AQ195&lt;=2,"1-2 days",IF(AQ195&lt;=7,"3-7 days",IF(AQ195&lt;=14,"8-14 days",IF(AQ195&lt;=30,"15-30 days",IF(AQ195&lt;=60,"31-60 days",IF(AQ195&lt;=70,"61-70 days","71+ days")))))))))</x:f>
        <x:v>Missing Required Date</x:v>
      </x:c>
      <x:c r="AS195" s="25" t="str">
        <x:f>IF(OR(E195="processing",E195="executing",E195="pending"),IF(AP195="","Required aging date missing",IF(AQ195&gt;30,"Escalate &gt;30d",IF(AQ195&gt;14,"Watch &gt;14d","Within 14d"))),"Out of scope")</x:f>
        <x:v>Out of scope</x:v>
      </x:c>
    </x:row>
    <x:row r="196" ht="24" customHeight="1">
      <x:c r="A196" t="str">
        <x:v>1d1a1ce9-935e-4b7d-96c8-c70b28b529e2</x:v>
      </x:c>
      <x:c r="B196" t="str">
        <x:v>CSSP10420125</x:v>
      </x:c>
      <x:c r="C196" t="str">
        <x:v>mzurfaiezzuddin.zur@petronas.com</x:v>
      </x:c>
      <x:c r="D196" t="str">
        <x:v>decommission-cloud</x:v>
      </x:c>
      <x:c r="E196" t="str">
        <x:v>executing</x:v>
      </x:c>
      <x:c r="F196" t="n">
        <x:v>46154.10718013889</x:v>
      </x:c>
      <x:c r="G196" t="n">
        <x:v>46237.27009903935</x:v>
      </x:c>
      <x:c r="H196" t="n">
        <x:v>46154.10718013889</x:v>
      </x:c>
      <x:c r="I196" t="str">
        <x:v>PIVOT Predict RT</x:v>
      </x:c>
      <x:c r="J196" t="str">
        <x:v>OSR00154: Support and Maintenance for PIVOT Program for Group Digital – CAPEX – PIVOT Predict RT</x:v>
      </x:c>
      <x:c r="K196" t="str">
        <x:v>partial</x:v>
      </x:c>
      <x:c r="L196"/>
      <x:c r="M196" t="str">
        <x:v>sazali.mokhtar@petronas.com</x:v>
      </x:c>
      <x:c r="N196"/>
      <x:c r="O196"/>
      <x:c r="P196" t="str">
        <x:v>Cloud Repatriation - To decommission old resources in Singapore region due to completed migration in MY region</x:v>
      </x:c>
      <x:c r="Q196" t="str">
        <x:v>2W</x:v>
      </x:c>
      <x:c r="R196" t="str">
        <x:v>Cloud Migration</x:v>
      </x:c>
      <x:c r="S196"/>
      <x:c r="T196" t="str">
        <x:v>approved</x:v>
      </x:c>
      <x:c r="U196" t="str">
        <x:v>mzurfaiezzuddin.zur@petronas.com</x:v>
      </x:c>
      <x:c r="V196" t="n">
        <x:v>46154.108389155095</x:v>
      </x:c>
      <x:c r="W196" t="str">
        <x:v>Cloud Repatriation - To decommission old resources in Singapore region due to completed migration in MY region</x:v>
      </x:c>
      <x:c r="X196" t="str">
        <x:v>approved</x:v>
      </x:c>
      <x:c r="Y196" t="str">
        <x:v>sazali.mokhtar@petronas.com</x:v>
      </x:c>
      <x:c r="Z196" t="n">
        <x:v>46184.073266527776</x:v>
      </x:c>
      <x:c r="AA196" t="str">
        <x:v>Cloud Repatriation - To decommission old resources in Singapore region due to completed migration in MY region</x:v>
      </x:c>
      <x:c r="AB196" t="str">
        <x:v>approved</x:v>
      </x:c>
      <x:c r="AC196" t="str">
        <x:v>abhishek.bhowate@petronas.com</x:v>
      </x:c>
      <x:c r="AD196" t="n">
        <x:v>46237.270099050926</x:v>
      </x:c>
      <x:c r="AE196" t="str">
        <x:v>approved</x:v>
      </x:c>
      <x:c r="AF196"/>
      <x:c r="AG196" t="str">
        <x:v>swaminadh.chirakala@petronas.com</x:v>
      </x:c>
      <x:c r="AH196"/>
      <x:c r="AI196"/>
      <x:c r="AJ196" t="str">
        <x:v>A-000611</x:v>
      </x:c>
      <x:c r="AK196" t="str">
        <x:v>OSR00154_2</x:v>
      </x:c>
      <x:c r="AL196" t="str">
        <x:v>M</x:v>
      </x:c>
      <x:c r="AM196" t="str">
        <x:v>REQ000008214221</x:v>
      </x:c>
      <x:c r="AN196" t="str">
        <x:v>noretention</x:v>
      </x:c>
      <x:c r="AO196" t="n">
        <x:v>0</x:v>
      </x:c>
      <x:c r="AP196" s="23" t="n">
        <x:f>IF(E196="processing",IF(Z196="","",IF(ISNUMBER(Z196),INT(Z196),DATE(VALUE(LEFT(Z196,4)),VALUE(MID(Z196,6,2)),VALUE(MID(Z196,9,2))))),IF(OR(E196="executing",E196="pending"),IF(AD196="","",IF(ISNUMBER(AD196),INT(AD196),DATE(VALUE(LEFT(AD196,4)),VALUE(MID(AD196,6,2)),VALUE(MID(AD196,9,2))))),""))</x:f>
        <x:v>46237</x:v>
      </x:c>
      <x:c r="AQ196" s="24" t="n">
        <x:f>IF(AP196="","",INT('Configuration'!$B$4)-AP196)</x:f>
        <x:v>14</x:v>
      </x:c>
      <x:c r="AR196" s="25" t="str">
        <x:f>IF(AP196="","Missing Required Date",IF(AQ196&lt;0,"Future Date",IF(AQ196=0,"0 days",IF(AQ196&lt;=2,"1-2 days",IF(AQ196&lt;=7,"3-7 days",IF(AQ196&lt;=14,"8-14 days",IF(AQ196&lt;=30,"15-30 days",IF(AQ196&lt;=60,"31-60 days",IF(AQ196&lt;=70,"61-70 days","71+ days")))))))))</x:f>
        <x:v>8-14 days</x:v>
      </x:c>
      <x:c r="AS196" s="25" t="str">
        <x:f>IF(OR(E196="processing",E196="executing",E196="pending"),IF(AP196="","Required aging date missing",IF(AQ196&gt;30,"Escalate &gt;30d",IF(AQ196&gt;14,"Watch &gt;14d","Within 14d"))),"Out of scope")</x:f>
        <x:v>Within 14d</x:v>
      </x:c>
    </x:row>
    <x:row r="197" ht="24" customHeight="1">
      <x:c r="A197" t="str">
        <x:v>28ed5a8c-6d01-429e-a54b-77975b46c7aa</x:v>
      </x:c>
      <x:c r="B197" t="str">
        <x:v>CSSP10179613</x:v>
      </x:c>
      <x:c r="C197" t="str">
        <x:v>mzurfaiezzuddin.zur@petronas.com</x:v>
      </x:c>
      <x:c r="D197" t="str">
        <x:v>decommission-cloud</x:v>
      </x:c>
      <x:c r="E197" t="str">
        <x:v>completed</x:v>
      </x:c>
      <x:c r="F197" t="n">
        <x:v>46154.130463217596</x:v>
      </x:c>
      <x:c r="G197" t="n">
        <x:v>46209.08926409722</x:v>
      </x:c>
      <x:c r="H197" t="n">
        <x:v>46154.130463217596</x:v>
      </x:c>
      <x:c r="I197" t="str">
        <x:v>Integrated Computing and Security - ICS MRCSB</x:v>
      </x:c>
      <x:c r="J197" t="str">
        <x:v>OCI MIGRATION - ICSPROD: ACS Time Attendance System, HeadCount System, HSE Training Management System (HTMS), MANTRACKS, Meeting Room Booking System, Occupational Health Management System (OHMS)</x:v>
      </x:c>
      <x:c r="K197" t="str">
        <x:v>partial</x:v>
      </x:c>
      <x:c r="L197"/>
      <x:c r="M197" t="str">
        <x:v>sazali.mokhtar@petronas.com</x:v>
      </x:c>
      <x:c r="N197"/>
      <x:c r="O197"/>
      <x:c r="P197" t="str">
        <x:v>Cloud Repatriation - To decommission old resources in Singapore region due to completed migration in MY region</x:v>
      </x:c>
      <x:c r="Q197" t="str">
        <x:v>2W</x:v>
      </x:c>
      <x:c r="R197" t="str">
        <x:v>Cloud Migration</x:v>
      </x:c>
      <x:c r="S197"/>
      <x:c r="T197" t="str">
        <x:v>approved</x:v>
      </x:c>
      <x:c r="U197" t="str">
        <x:v>mzurfaiezzuddin.zur@petronas.com</x:v>
      </x:c>
      <x:c r="V197" t="n">
        <x:v>46154.13086045139</x:v>
      </x:c>
      <x:c r="W197" t="str">
        <x:v>Cloud Repatriation - To decommission old resources in Singapore region due to completed migration in MY region</x:v>
      </x:c>
      <x:c r="X197" t="str">
        <x:v>approved</x:v>
      </x:c>
      <x:c r="Y197" t="str">
        <x:v>sazali.mokhtar@petronas.com</x:v>
      </x:c>
      <x:c r="Z197" t="n">
        <x:v>46184.071406724535</x:v>
      </x:c>
      <x:c r="AA197" t="str">
        <x:v>Cloud Repatriation - To decommission old resources in Singapore region due to completed migration in MY region</x:v>
      </x:c>
      <x:c r="AB197" t="str">
        <x:v>approved</x:v>
      </x:c>
      <x:c r="AC197" t="str">
        <x:v>azwan.badari@petronas.com</x:v>
      </x:c>
      <x:c r="AD197" t="n">
        <x:v>46197.397345185185</x:v>
      </x:c>
      <x:c r="AE197" t="str">
        <x:v>Refer to attached list</x:v>
      </x:c>
      <x:c r="AF197" t="str">
        <x:v>approved</x:v>
      </x:c>
      <x:c r="AG197" t="str">
        <x:v>azlisham.md@petronas.com</x:v>
      </x:c>
      <x:c r="AH197" t="n">
        <x:v>46209.0892641088</x:v>
      </x:c>
      <x:c r="AI197" t="str">
        <x:v>The decommission request has been completed, and the status is now updated accordingly. Kindly verify from your end and confirm once reviewed.
</x:v>
      </x:c>
      <x:c r="AJ197" t="str">
        <x:v>A-000368</x:v>
      </x:c>
      <x:c r="AK197" t="str">
        <x:v>AWSOCI_001</x:v>
      </x:c>
      <x:c r="AL197" t="str">
        <x:v>M</x:v>
      </x:c>
      <x:c r="AM197" t="str">
        <x:v>REQ000008119650</x:v>
      </x:c>
      <x:c r="AN197" t="str">
        <x:v>noretention</x:v>
      </x:c>
      <x:c r="AO197" t="n">
        <x:v>0</x:v>
      </x:c>
      <x:c r="AP197" s="23" t="str">
        <x:f>IF(E197="processing",IF(Z197="","",IF(ISNUMBER(Z197),INT(Z197),DATE(VALUE(LEFT(Z197,4)),VALUE(MID(Z197,6,2)),VALUE(MID(Z197,9,2))))),IF(OR(E197="executing",E197="pending"),IF(AD197="","",IF(ISNUMBER(AD197),INT(AD197),DATE(VALUE(LEFT(AD197,4)),VALUE(MID(AD197,6,2)),VALUE(MID(AD197,9,2))))),""))</x:f>
      </x:c>
      <x:c r="AQ197" s="24" t="str">
        <x:f>IF(AP197="","",INT('Configuration'!$B$4)-AP197)</x:f>
      </x:c>
      <x:c r="AR197" s="25" t="str">
        <x:f>IF(AP197="","Missing Required Date",IF(AQ197&lt;0,"Future Date",IF(AQ197=0,"0 days",IF(AQ197&lt;=2,"1-2 days",IF(AQ197&lt;=7,"3-7 days",IF(AQ197&lt;=14,"8-14 days",IF(AQ197&lt;=30,"15-30 days",IF(AQ197&lt;=60,"31-60 days",IF(AQ197&lt;=70,"61-70 days","71+ days")))))))))</x:f>
        <x:v>Missing Required Date</x:v>
      </x:c>
      <x:c r="AS197" s="25" t="str">
        <x:f>IF(OR(E197="processing",E197="executing",E197="pending"),IF(AP197="","Required aging date missing",IF(AQ197&gt;30,"Escalate &gt;30d",IF(AQ197&gt;14,"Watch &gt;14d","Within 14d"))),"Out of scope")</x:f>
        <x:v>Out of scope</x:v>
      </x:c>
    </x:row>
    <x:row r="198" ht="24" customHeight="1">
      <x:c r="A198" t="str">
        <x:v>457e2146-e81a-4745-a837-4ff03e8ef757</x:v>
      </x:c>
      <x:c r="B198" t="str">
        <x:v>CSSP10587615</x:v>
      </x:c>
      <x:c r="C198" t="str">
        <x:v>mzurfaiezzuddin.zur@petronas.com</x:v>
      </x:c>
      <x:c r="D198" t="str">
        <x:v>decommission-cloud</x:v>
      </x:c>
      <x:c r="E198" t="str">
        <x:v>completed</x:v>
      </x:c>
      <x:c r="F198" t="n">
        <x:v>46154.131949490744</x:v>
      </x:c>
      <x:c r="G198" t="n">
        <x:v>46204.35559331018</x:v>
      </x:c>
      <x:c r="H198" t="n">
        <x:v>46154.131949490744</x:v>
      </x:c>
      <x:c r="I198" t="str">
        <x:v>Integrated Computing and Security - ICS MRCSB</x:v>
      </x:c>
      <x:c r="J198" t="str">
        <x:v>OCI MIGRATION - ACS Time Attendance System, HeadCount System, HSE Training Management System (HTMS), MANTRACKS, Meeting Room Booking System, Occupational Health Management System (OHMS)</x:v>
      </x:c>
      <x:c r="K198" t="str">
        <x:v>partial</x:v>
      </x:c>
      <x:c r="L198"/>
      <x:c r="M198" t="str">
        <x:v>sazali.mokhtar@petronas.com</x:v>
      </x:c>
      <x:c r="N198"/>
      <x:c r="O198"/>
      <x:c r="P198" t="str">
        <x:v>Cloud Repatriation - To decommission old resources in Singapore region due to completed migration in MY region</x:v>
      </x:c>
      <x:c r="Q198" t="str">
        <x:v>2W</x:v>
      </x:c>
      <x:c r="R198" t="str">
        <x:v>Cloud Migration</x:v>
      </x:c>
      <x:c r="S198"/>
      <x:c r="T198" t="str">
        <x:v>approved</x:v>
      </x:c>
      <x:c r="U198" t="str">
        <x:v>mzurfaiezzuddin.zur@petronas.com</x:v>
      </x:c>
      <x:c r="V198" t="n">
        <x:v>46154.13225189815</x:v>
      </x:c>
      <x:c r="W198" t="str">
        <x:v>Cloud Repatriation - To decommission old resources in Singapore region due to completed migration in MY region</x:v>
      </x:c>
      <x:c r="X198" t="str">
        <x:v>approved</x:v>
      </x:c>
      <x:c r="Y198" t="str">
        <x:v>sazali.mokhtar@petronas.com</x:v>
      </x:c>
      <x:c r="Z198" t="n">
        <x:v>46184.0706468287</x:v>
      </x:c>
      <x:c r="AA198" t="str">
        <x:v>Cloud Repatriation - To decommission old resources in Singapore region due to completed migration in MY region</x:v>
      </x:c>
      <x:c r="AB198" t="str">
        <x:v>approved</x:v>
      </x:c>
      <x:c r="AC198" t="str">
        <x:v>azwan.badari@petronas.com</x:v>
      </x:c>
      <x:c r="AD198" t="n">
        <x:v>46197.39798722222</x:v>
      </x:c>
      <x:c r="AE198" t="str">
        <x:v>Refer to attachment and selected resources</x:v>
      </x:c>
      <x:c r="AF198" t="str">
        <x:v>approved</x:v>
      </x:c>
      <x:c r="AG198" t="str">
        <x:v>azlisham.md@petronas.com</x:v>
      </x:c>
      <x:c r="AH198" t="n">
        <x:v>46204.35559332176</x:v>
      </x:c>
      <x:c r="AI198" t="str">
        <x:v>The decommission request has been completed, and the status is now updated accordingly. Kindly verify from your end and confirm once reviewed.
</x:v>
      </x:c>
      <x:c r="AJ198" t="str">
        <x:v>A-000368</x:v>
      </x:c>
      <x:c r="AK198" t="str">
        <x:v>OCI-00029</x:v>
      </x:c>
      <x:c r="AL198" t="str">
        <x:v>M</x:v>
      </x:c>
      <x:c r="AM198" t="str">
        <x:v>REQ000008119756</x:v>
      </x:c>
      <x:c r="AN198" t="str">
        <x:v>noretention</x:v>
      </x:c>
      <x:c r="AO198" t="n">
        <x:v>0</x:v>
      </x:c>
      <x:c r="AP198" s="23" t="str">
        <x:f>IF(E198="processing",IF(Z198="","",IF(ISNUMBER(Z198),INT(Z198),DATE(VALUE(LEFT(Z198,4)),VALUE(MID(Z198,6,2)),VALUE(MID(Z198,9,2))))),IF(OR(E198="executing",E198="pending"),IF(AD198="","",IF(ISNUMBER(AD198),INT(AD198),DATE(VALUE(LEFT(AD198,4)),VALUE(MID(AD198,6,2)),VALUE(MID(AD198,9,2))))),""))</x:f>
      </x:c>
      <x:c r="AQ198" s="24" t="str">
        <x:f>IF(AP198="","",INT('Configuration'!$B$4)-AP198)</x:f>
      </x:c>
      <x:c r="AR198" s="25" t="str">
        <x:f>IF(AP198="","Missing Required Date",IF(AQ198&lt;0,"Future Date",IF(AQ198=0,"0 days",IF(AQ198&lt;=2,"1-2 days",IF(AQ198&lt;=7,"3-7 days",IF(AQ198&lt;=14,"8-14 days",IF(AQ198&lt;=30,"15-30 days",IF(AQ198&lt;=60,"31-60 days",IF(AQ198&lt;=70,"61-70 days","71+ days")))))))))</x:f>
        <x:v>Missing Required Date</x:v>
      </x:c>
      <x:c r="AS198" s="25" t="str">
        <x:f>IF(OR(E198="processing",E198="executing",E198="pending"),IF(AP198="","Required aging date missing",IF(AQ198&gt;30,"Escalate &gt;30d",IF(AQ198&gt;14,"Watch &gt;14d","Within 14d"))),"Out of scope")</x:f>
        <x:v>Out of scope</x:v>
      </x:c>
    </x:row>
    <x:row r="199" ht="24" customHeight="1">
      <x:c r="A199" t="str">
        <x:v>485a878f-5174-4515-8b68-b126c8064645</x:v>
      </x:c>
      <x:c r="B199" t="str">
        <x:v>CSSP10257750</x:v>
      </x:c>
      <x:c r="C199" t="str">
        <x:v>mzurfaiezzuddin.zur@petronas.com</x:v>
      </x:c>
      <x:c r="D199" t="str">
        <x:v>decommission-cloud</x:v>
      </x:c>
      <x:c r="E199" t="str">
        <x:v>completed</x:v>
      </x:c>
      <x:c r="F199" t="n">
        <x:v>46154.33913465278</x:v>
      </x:c>
      <x:c r="G199" t="n">
        <x:v>46203.37496537037</x:v>
      </x:c>
      <x:c r="H199" t="n">
        <x:v>46154.33913465278</x:v>
      </x:c>
      <x:c r="I199" t="str">
        <x:v>Offshore/Onshore Safety Integrated System - OSIS</x:v>
      </x:c>
      <x:c r="J199" t="str">
        <x:v>Development of Offshore/Onshore Safety Integrated System (OSIS) for Upstream HSE</x:v>
      </x:c>
      <x:c r="K199" t="str">
        <x:v>partial</x:v>
      </x:c>
      <x:c r="L199"/>
      <x:c r="M199" t="str">
        <x:v>sazali.mokhtar@petronas.com</x:v>
      </x:c>
      <x:c r="N199"/>
      <x:c r="O199"/>
      <x:c r="P199" t="str">
        <x:v>Cloud Repatriation - To decommission old resources in Singapore region due to completed migration in MY region</x:v>
      </x:c>
      <x:c r="Q199" t="str">
        <x:v>2W</x:v>
      </x:c>
      <x:c r="R199" t="str">
        <x:v>Cloud Migration</x:v>
      </x:c>
      <x:c r="S199"/>
      <x:c r="T199" t="str">
        <x:v>approved</x:v>
      </x:c>
      <x:c r="U199" t="str">
        <x:v>mzurfaiezzuddin.zur@petronas.com</x:v>
      </x:c>
      <x:c r="V199" t="n">
        <x:v>46154.34029733796</x:v>
      </x:c>
      <x:c r="W199" t="str">
        <x:v>Cloud Repatriation - To decommission old resources in Singapore region due to completed migration in MY region</x:v>
      </x:c>
      <x:c r="X199" t="str">
        <x:v>approved</x:v>
      </x:c>
      <x:c r="Y199" t="str">
        <x:v>sazali.mokhtar@petronas.com</x:v>
      </x:c>
      <x:c r="Z199" t="n">
        <x:v>46184.069686006944</x:v>
      </x:c>
      <x:c r="AA199" t="str">
        <x:v>Cloud Repatriation - To decommission old resources in Singapore region due to completed migration in MY region</x:v>
      </x:c>
      <x:c r="AB199" t="str">
        <x:v>approved</x:v>
      </x:c>
      <x:c r="AC199" t="str">
        <x:v>azwan.badari@petronas.com</x:v>
      </x:c>
      <x:c r="AD199" t="n">
        <x:v>46195.069912175924</x:v>
      </x:c>
      <x:c r="AE199" t="str">
        <x:v>Cloud repat. Decommission resources in SG</x:v>
      </x:c>
      <x:c r="AF199" t="str">
        <x:v>approved</x:v>
      </x:c>
      <x:c r="AG199" t="str">
        <x:v>azlisham.md@petronas.com</x:v>
      </x:c>
      <x:c r="AH199" t="n">
        <x:v>46203.37496538195</x:v>
      </x:c>
      <x:c r="AI199" t="str">
        <x:v>The decommission request has been completed, and the status is now updated accordingly. Kindly verify from your end and confirm once reviewed.
</x:v>
      </x:c>
      <x:c r="AJ199" t="str">
        <x:v>A-000533</x:v>
      </x:c>
      <x:c r="AK199" t="str">
        <x:v>PSR05669</x:v>
      </x:c>
      <x:c r="AL199" t="str">
        <x:v>M</x:v>
      </x:c>
      <x:c r="AM199" t="str">
        <x:v>REQ000008111459</x:v>
      </x:c>
      <x:c r="AN199" t="str">
        <x:v>noretention</x:v>
      </x:c>
      <x:c r="AO199" t="n">
        <x:v>0</x:v>
      </x:c>
      <x:c r="AP199" s="23" t="str">
        <x:f>IF(E199="processing",IF(Z199="","",IF(ISNUMBER(Z199),INT(Z199),DATE(VALUE(LEFT(Z199,4)),VALUE(MID(Z199,6,2)),VALUE(MID(Z199,9,2))))),IF(OR(E199="executing",E199="pending"),IF(AD199="","",IF(ISNUMBER(AD199),INT(AD199),DATE(VALUE(LEFT(AD199,4)),VALUE(MID(AD199,6,2)),VALUE(MID(AD199,9,2))))),""))</x:f>
      </x:c>
      <x:c r="AQ199" s="24" t="str">
        <x:f>IF(AP199="","",INT('Configuration'!$B$4)-AP199)</x:f>
      </x:c>
      <x:c r="AR199" s="25" t="str">
        <x:f>IF(AP199="","Missing Required Date",IF(AQ199&lt;0,"Future Date",IF(AQ199=0,"0 days",IF(AQ199&lt;=2,"1-2 days",IF(AQ199&lt;=7,"3-7 days",IF(AQ199&lt;=14,"8-14 days",IF(AQ199&lt;=30,"15-30 days",IF(AQ199&lt;=60,"31-60 days",IF(AQ199&lt;=70,"61-70 days","71+ days")))))))))</x:f>
        <x:v>Missing Required Date</x:v>
      </x:c>
      <x:c r="AS199" s="25" t="str">
        <x:f>IF(OR(E199="processing",E199="executing",E199="pending"),IF(AP199="","Required aging date missing",IF(AQ199&gt;30,"Escalate &gt;30d",IF(AQ199&gt;14,"Watch &gt;14d","Within 14d"))),"Out of scope")</x:f>
        <x:v>Out of scope</x:v>
      </x:c>
    </x:row>
    <x:row r="200" ht="24" customHeight="1">
      <x:c r="A200" t="str">
        <x:v>5534cd2f-21a3-4124-96eb-a1d92b545afc</x:v>
      </x:c>
      <x:c r="B200" t="str">
        <x:v>CSSP10599205</x:v>
      </x:c>
      <x:c r="C200" t="str">
        <x:v>hidayah.khalid@petronas.com</x:v>
      </x:c>
      <x:c r="D200" t="str">
        <x:v>decommission-cloud</x:v>
      </x:c>
      <x:c r="E200" t="str">
        <x:v>cancelled</x:v>
      </x:c>
      <x:c r="F200" t="n">
        <x:v>46154.37760428241</x:v>
      </x:c>
      <x:c r="G200" t="n">
        <x:v>46154.48169390046</x:v>
      </x:c>
      <x:c r="H200" t="n">
        <x:v>46154.37760428241</x:v>
      </x:c>
      <x:c r="I200" t="str">
        <x:v>Group Legal Workbench and System Integration - Project IDEAL</x:v>
      </x:c>
      <x:c r="J200" t="str">
        <x:v>Enhancement of Group Legal Workbench and System Integration (Project IDEAL) for Group Legal</x:v>
      </x:c>
      <x:c r="K200" t="str">
        <x:v>partial</x:v>
      </x:c>
      <x:c r="L200"/>
      <x:c r="M200" t="str">
        <x:v>nshahidah.othman@petronas.com</x:v>
      </x:c>
      <x:c r="N200"/>
      <x:c r="O200"/>
      <x:c r="P200" t="str">
        <x:v>lwb</x:v>
      </x:c>
      <x:c r="Q200" t="str">
        <x:v>1M</x:v>
      </x:c>
      <x:c r="R200" t="str">
        <x:v>Not in Used</x:v>
      </x:c>
      <x:c r="S200"/>
      <x:c r="T200" t="str">
        <x:v>rejected</x:v>
      </x:c>
      <x:c r="U200" t="str">
        <x:v>hidayah.khalid@petronas.com</x:v>
      </x:c>
      <x:c r="V200" t="n">
        <x:v>46154.48169390046</x:v>
      </x:c>
      <x:c r="W200"/>
      <x:c r="X200"/>
      <x:c r="Y200" t="str">
        <x:v>nshahidah.othman@petronas.com</x:v>
      </x:c>
      <x:c r="Z200"/>
      <x:c r="AA200"/>
      <x:c r="AB200"/>
      <x:c r="AC200" t="str">
        <x:v>CCoE Business</x:v>
      </x:c>
      <x:c r="AD200"/>
      <x:c r="AE200"/>
      <x:c r="AF200"/>
      <x:c r="AG200" t="str">
        <x:v>CCoE Operations</x:v>
      </x:c>
      <x:c r="AH200"/>
      <x:c r="AI200"/>
      <x:c r="AJ200" t="str">
        <x:v>A-000438</x:v>
      </x:c>
      <x:c r="AK200" t="n">
        <x:v>1561</x:v>
      </x:c>
      <x:c r="AL200"/>
      <x:c r="AM200"/>
      <x:c r="AN200" t="str">
        <x:v>noretention</x:v>
      </x:c>
      <x:c r="AO200" t="n">
        <x:v>0</x:v>
      </x:c>
      <x:c r="AP200" s="23" t="str">
        <x:f>IF(E200="processing",IF(Z200="","",IF(ISNUMBER(Z200),INT(Z200),DATE(VALUE(LEFT(Z200,4)),VALUE(MID(Z200,6,2)),VALUE(MID(Z200,9,2))))),IF(OR(E200="executing",E200="pending"),IF(AD200="","",IF(ISNUMBER(AD200),INT(AD200),DATE(VALUE(LEFT(AD200,4)),VALUE(MID(AD200,6,2)),VALUE(MID(AD200,9,2))))),""))</x:f>
      </x:c>
      <x:c r="AQ200" s="24" t="str">
        <x:f>IF(AP200="","",INT('Configuration'!$B$4)-AP200)</x:f>
      </x:c>
      <x:c r="AR200" s="25" t="str">
        <x:f>IF(AP200="","Missing Required Date",IF(AQ200&lt;0,"Future Date",IF(AQ200=0,"0 days",IF(AQ200&lt;=2,"1-2 days",IF(AQ200&lt;=7,"3-7 days",IF(AQ200&lt;=14,"8-14 days",IF(AQ200&lt;=30,"15-30 days",IF(AQ200&lt;=60,"31-60 days",IF(AQ200&lt;=70,"61-70 days","71+ days")))))))))</x:f>
        <x:v>Missing Required Date</x:v>
      </x:c>
      <x:c r="AS200" s="25" t="str">
        <x:f>IF(OR(E200="processing",E200="executing",E200="pending"),IF(AP200="","Required aging date missing",IF(AQ200&gt;30,"Escalate &gt;30d",IF(AQ200&gt;14,"Watch &gt;14d","Within 14d"))),"Out of scope")</x:f>
        <x:v>Out of scope</x:v>
      </x:c>
    </x:row>
    <x:row r="201" ht="24" customHeight="1">
      <x:c r="A201" t="str">
        <x:v>f8ee2757-53c3-49df-a9c3-76a49aacee25</x:v>
      </x:c>
      <x:c r="B201" t="str">
        <x:v>CSSP10486009</x:v>
      </x:c>
      <x:c r="C201" t="str">
        <x:v>mizzudin.manuar@petronas.com</x:v>
      </x:c>
      <x:c r="D201" t="str">
        <x:v>decommission-cloud</x:v>
      </x:c>
      <x:c r="E201" t="str">
        <x:v>completed</x:v>
      </x:c>
      <x:c r="F201" t="n">
        <x:v>46155.09378915509</x:v>
      </x:c>
      <x:c r="G201" t="n">
        <x:v>46188.34168075232</x:v>
      </x:c>
      <x:c r="H201" t="n">
        <x:v>46155.09576359954</x:v>
      </x:c>
      <x:c r="I201" t="str">
        <x:v>Predictive Rotating Equipment Analytics - PROTEAN</x:v>
      </x:c>
      <x:c r="J201" t="str">
        <x:v>Implementation of PETRONAS Rotating Equipment Analytics (PROTEAN) at MLNG</x:v>
      </x:c>
      <x:c r="K201" t="str">
        <x:v>full</x:v>
      </x:c>
      <x:c r="L201" t="str">
        <x:v>DCOM202605132ca</x:v>
      </x:c>
      <x:c r="M201" t="str">
        <x:v>mohammadsani.johari@petronas.com</x:v>
      </x:c>
      <x:c r="N201"/>
      <x:c r="O201"/>
      <x:c r="P201" t="str">
        <x:v>Not in use</x:v>
      </x:c>
      <x:c r="Q201" t="str">
        <x:v>1M</x:v>
      </x:c>
      <x:c r="R201" t="str">
        <x:v>Not in Used</x:v>
      </x:c>
      <x:c r="S201"/>
      <x:c r="T201" t="str">
        <x:v>approved</x:v>
      </x:c>
      <x:c r="U201" t="str">
        <x:v>mizzudin.manuar@petronas.com</x:v>
      </x:c>
      <x:c r="V201" t="n">
        <x:v>46155.10563762731</x:v>
      </x:c>
      <x:c r="W201" t="str">
        <x:v>PROTEANxAPA cloud servers used during POC last time and no longer in use</x:v>
      </x:c>
      <x:c r="X201" t="str">
        <x:v>approved</x:v>
      </x:c>
      <x:c r="Y201" t="str">
        <x:v>mohammadsani.johari@petronas.com</x:v>
      </x:c>
      <x:c r="Z201" t="n">
        <x:v>46167.3978334375</x:v>
      </x:c>
      <x:c r="AA201" t="str">
        <x:v>Proceed. Server not in use anymore.</x:v>
      </x:c>
      <x:c r="AB201" t="str">
        <x:v>approved</x:v>
      </x:c>
      <x:c r="AC201" t="str">
        <x:v>azwan.badari@petronas.com</x:v>
      </x:c>
      <x:c r="AD201" t="n">
        <x:v>46176.07670851852</x:v>
      </x:c>
      <x:c r="AE201" t="str">
        <x:v>Decommission all resources with project code 03494</x:v>
      </x:c>
      <x:c r="AF201" t="str">
        <x:v>approved</x:v>
      </x:c>
      <x:c r="AG201" t="str">
        <x:v>azlisham.md@petronas.com</x:v>
      </x:c>
      <x:c r="AH201" t="n">
        <x:v>46188.341680763886</x:v>
      </x:c>
      <x:c r="AI201" t="str">
        <x:v>The decommission request has been completed, and the status is now updated accordingly. Kindly verify from your end and confirm once reviewed.
</x:v>
      </x:c>
      <x:c r="AJ201" t="str">
        <x:v>A-000664</x:v>
      </x:c>
      <x:c r="AK201" t="n">
        <x:v>3494</x:v>
      </x:c>
      <x:c r="AL201" t="str">
        <x:v>M</x:v>
      </x:c>
      <x:c r="AM201" t="str">
        <x:v>REQ000008077075</x:v>
      </x:c>
      <x:c r="AN201" t="str">
        <x:v>retention</x:v>
      </x:c>
      <x:c r="AO201"/>
      <x:c r="AP201" s="23" t="str">
        <x:f>IF(E201="processing",IF(Z201="","",IF(ISNUMBER(Z201),INT(Z201),DATE(VALUE(LEFT(Z201,4)),VALUE(MID(Z201,6,2)),VALUE(MID(Z201,9,2))))),IF(OR(E201="executing",E201="pending"),IF(AD201="","",IF(ISNUMBER(AD201),INT(AD201),DATE(VALUE(LEFT(AD201,4)),VALUE(MID(AD201,6,2)),VALUE(MID(AD201,9,2))))),""))</x:f>
      </x:c>
      <x:c r="AQ201" s="24" t="str">
        <x:f>IF(AP201="","",INT('Configuration'!$B$4)-AP201)</x:f>
      </x:c>
      <x:c r="AR201" s="25" t="str">
        <x:f>IF(AP201="","Missing Required Date",IF(AQ201&lt;0,"Future Date",IF(AQ201=0,"0 days",IF(AQ201&lt;=2,"1-2 days",IF(AQ201&lt;=7,"3-7 days",IF(AQ201&lt;=14,"8-14 days",IF(AQ201&lt;=30,"15-30 days",IF(AQ201&lt;=60,"31-60 days",IF(AQ201&lt;=70,"61-70 days","71+ days")))))))))</x:f>
        <x:v>Missing Required Date</x:v>
      </x:c>
      <x:c r="AS201" s="25" t="str">
        <x:f>IF(OR(E201="processing",E201="executing",E201="pending"),IF(AP201="","Required aging date missing",IF(AQ201&gt;30,"Escalate &gt;30d",IF(AQ201&gt;14,"Watch &gt;14d","Within 14d"))),"Out of scope")</x:f>
        <x:v>Out of scope</x:v>
      </x:c>
    </x:row>
    <x:row r="202" ht="24" customHeight="1">
      <x:c r="A202" t="str">
        <x:v>266c5d6c-c9d9-4149-9bd1-419b0d1ee9d7</x:v>
      </x:c>
      <x:c r="B202" t="str">
        <x:v>CSSP10167128</x:v>
      </x:c>
      <x:c r="C202" t="str">
        <x:v>kanishalakshmi.bakt@petronas.com</x:v>
      </x:c>
      <x:c r="D202" t="str">
        <x:v>decommission-cloud</x:v>
      </x:c>
      <x:c r="E202" t="str">
        <x:v>completed</x:v>
      </x:c>
      <x:c r="F202" t="n">
        <x:v>46155.14079942129</x:v>
      </x:c>
      <x:c r="G202" t="n">
        <x:v>46184.14050101852</x:v>
      </x:c>
      <x:c r="H202" t="n">
        <x:v>46161.17262619213</x:v>
      </x:c>
      <x:c r="I202" t="str">
        <x:v>SiteCore</x:v>
      </x:c>
      <x:c r="J202" t="str">
        <x:v>Sitecore License Purchase via CSP Marketplace (Marketplace)</x:v>
      </x:c>
      <x:c r="K202" t="str">
        <x:v>full</x:v>
      </x:c>
      <x:c r="L202" t="str">
        <x:v>DCOM2026051997f</x:v>
      </x:c>
      <x:c r="M202" t="str">
        <x:v>mfaizal.sidek@petronas.com.my</x:v>
      </x:c>
      <x:c r="N202" t="str">
        <x:v>N/A</x:v>
      </x:c>
      <x:c r="O202"/>
      <x:c r="P202" t="str">
        <x:v>The Sitecore license will expire soon by the end of this month on 31st May 2026. Currently, one application, myPIC, is running on this platform.
URL: https://mypic.com.my/
</x:v>
      </x:c>
      <x:c r="Q202" t="str">
        <x:v>12M</x:v>
      </x:c>
      <x:c r="R202" t="str">
        <x:v>End of Lease</x:v>
      </x:c>
      <x:c r="S202"/>
      <x:c r="T202" t="str">
        <x:v>approved</x:v>
      </x:c>
      <x:c r="U202" t="str">
        <x:v>kanishalakshmi.bakt@petronas.com</x:v>
      </x:c>
      <x:c r="V202" t="n">
        <x:v>46161.175308784725</x:v>
      </x:c>
      <x:c r="W202" t="str">
        <x:v>Reviewed and verified the provided information. Certain fields are marked as N/A or unavailable as the Sitecore license procurement was handled via CSP Marketplace and not through the standard Procurement/AppCentre process.</x:v>
      </x:c>
      <x:c r="X202" t="str">
        <x:v>approved</x:v>
      </x:c>
      <x:c r="Y202" t="str">
        <x:v>mfaizal.sidek@petronas.com</x:v>
      </x:c>
      <x:c r="Z202" t="n">
        <x:v>46177.26034443287</x:v>
      </x:c>
      <x:c r="AA202" t="str">
        <x:v>Proceed with the decommission</x:v>
      </x:c>
      <x:c r="AB202" t="str">
        <x:v>approved</x:v>
      </x:c>
      <x:c r="AC202" t="str">
        <x:v>azwan.badari@petronas.com</x:v>
      </x:c>
      <x:c r="AD202" t="n">
        <x:v>46182.25930104167</x:v>
      </x:c>
      <x:c r="AE202" t="str">
        <x:v>Decommission PTAZSG-PROD-SiteCore-RG</x:v>
      </x:c>
      <x:c r="AF202" t="str">
        <x:v>approved</x:v>
      </x:c>
      <x:c r="AG202" t="str">
        <x:v>azlisham.md@petronas.com</x:v>
      </x:c>
      <x:c r="AH202" t="n">
        <x:v>46184.140501030095</x:v>
      </x:c>
      <x:c r="AI202" t="str">
        <x:v>PTAZSG-PROD-SiteCore-XM-Cloud: The subscription couldn't be canceled because the 72-hour refund window has passed and there are pending payments within the current billing term.</x:v>
      </x:c>
      <x:c r="AJ202" t="str">
        <x:v>M-000033</x:v>
      </x:c>
      <x:c r="AK202" t="str">
        <x:v>PC-00059_MP</x:v>
      </x:c>
      <x:c r="AL202" t="str">
        <x:v>S</x:v>
      </x:c>
      <x:c r="AM202" t="str">
        <x:v>REQ000008089952</x:v>
      </x:c>
      <x:c r="AN202" t="str">
        <x:v>noretention</x:v>
      </x:c>
      <x:c r="AO202" t="n">
        <x:v>0</x:v>
      </x:c>
      <x:c r="AP202" s="23" t="str">
        <x:f>IF(E202="processing",IF(Z202="","",IF(ISNUMBER(Z202),INT(Z202),DATE(VALUE(LEFT(Z202,4)),VALUE(MID(Z202,6,2)),VALUE(MID(Z202,9,2))))),IF(OR(E202="executing",E202="pending"),IF(AD202="","",IF(ISNUMBER(AD202),INT(AD202),DATE(VALUE(LEFT(AD202,4)),VALUE(MID(AD202,6,2)),VALUE(MID(AD202,9,2))))),""))</x:f>
      </x:c>
      <x:c r="AQ202" s="24" t="str">
        <x:f>IF(AP202="","",INT('Configuration'!$B$4)-AP202)</x:f>
      </x:c>
      <x:c r="AR202" s="25" t="str">
        <x:f>IF(AP202="","Missing Required Date",IF(AQ202&lt;0,"Future Date",IF(AQ202=0,"0 days",IF(AQ202&lt;=2,"1-2 days",IF(AQ202&lt;=7,"3-7 days",IF(AQ202&lt;=14,"8-14 days",IF(AQ202&lt;=30,"15-30 days",IF(AQ202&lt;=60,"31-60 days",IF(AQ202&lt;=70,"61-70 days","71+ days")))))))))</x:f>
        <x:v>Missing Required Date</x:v>
      </x:c>
      <x:c r="AS202" s="25" t="str">
        <x:f>IF(OR(E202="processing",E202="executing",E202="pending"),IF(AP202="","Required aging date missing",IF(AQ202&gt;30,"Escalate &gt;30d",IF(AQ202&gt;14,"Watch &gt;14d","Within 14d"))),"Out of scope")</x:f>
        <x:v>Out of scope</x:v>
      </x:c>
    </x:row>
    <x:row r="203" ht="24" customHeight="1">
      <x:c r="A203" t="str">
        <x:v>ec70558a-8662-4220-9494-0694ed293dfd</x:v>
      </x:c>
      <x:c r="B203" t="str">
        <x:v>CSSP10937474</x:v>
      </x:c>
      <x:c r="C203" t="str">
        <x:v>luqmanhakim.ismai@petronas.com</x:v>
      </x:c>
      <x:c r="D203" t="str">
        <x:v>decommission-cloud</x:v>
      </x:c>
      <x:c r="E203" t="str">
        <x:v>cancelled</x:v>
      </x:c>
      <x:c r="F203" t="n">
        <x:v>46155.16148582176</x:v>
      </x:c>
      <x:c r="G203" t="n">
        <x:v>46160.30709854166</x:v>
      </x:c>
      <x:c r="H203" t="n">
        <x:v>46156.04813577546</x:v>
      </x:c>
      <x:c r="I203" t="str">
        <x:v>SAP 36 SRM Enterprise Buyer Professional</x:v>
      </x:c>
      <x:c r="J203" t="str">
        <x:v>DR Simulation for SAP Group Application - P36</x:v>
      </x:c>
      <x:c r="K203" t="str">
        <x:v>partial</x:v>
      </x:c>
      <x:c r="L203"/>
      <x:c r="M203" t="str">
        <x:v>rizuanatan@petronas.com</x:v>
      </x:c>
      <x:c r="N203" t="str">
        <x:v>ptsg-1ebpap06DR (172.25.152.22), ptsg-1ebpdb06DR (172.25.152.19), ptsg-1ebpsc06dr (172.25.152.8)</x:v>
      </x:c>
      <x:c r="O203"/>
      <x:c r="P203" t="str">
        <x:v>These DR servers are no longer in use and should be cleaned up to optimize costs.</x:v>
      </x:c>
      <x:c r="Q203" t="str">
        <x:v>2W</x:v>
      </x:c>
      <x:c r="R203" t="str">
        <x:v>Not in Used</x:v>
      </x:c>
      <x:c r="S203"/>
      <x:c r="T203" t="str">
        <x:v>rejected</x:v>
      </x:c>
      <x:c r="U203" t="str">
        <x:v>luqmanhakim.ismai@petronas.com</x:v>
      </x:c>
      <x:c r="V203" t="n">
        <x:v>46160.30709854166</x:v>
      </x:c>
      <x:c r="W203"/>
      <x:c r="X203"/>
      <x:c r="Y203" t="str">
        <x:v>rizuanatan@petronas.com</x:v>
      </x:c>
      <x:c r="Z203"/>
      <x:c r="AA203"/>
      <x:c r="AB203"/>
      <x:c r="AC203" t="str">
        <x:v>CCoE Business</x:v>
      </x:c>
      <x:c r="AD203"/>
      <x:c r="AE203"/>
      <x:c r="AF203"/>
      <x:c r="AG203" t="str">
        <x:v>CCoE Business</x:v>
      </x:c>
      <x:c r="AH203"/>
      <x:c r="AI203"/>
      <x:c r="AJ203" t="str">
        <x:v>A-000719</x:v>
      </x:c>
      <x:c r="AK203" t="str">
        <x:v>PC-00032_3</x:v>
      </x:c>
      <x:c r="AL203"/>
      <x:c r="AM203"/>
      <x:c r="AN203" t="str">
        <x:v>disposal</x:v>
      </x:c>
      <x:c r="AO203" t="n">
        <x:v>0</x:v>
      </x:c>
      <x:c r="AP203" s="23" t="str">
        <x:f>IF(E203="processing",IF(Z203="","",IF(ISNUMBER(Z203),INT(Z203),DATE(VALUE(LEFT(Z203,4)),VALUE(MID(Z203,6,2)),VALUE(MID(Z203,9,2))))),IF(OR(E203="executing",E203="pending"),IF(AD203="","",IF(ISNUMBER(AD203),INT(AD203),DATE(VALUE(LEFT(AD203,4)),VALUE(MID(AD203,6,2)),VALUE(MID(AD203,9,2))))),""))</x:f>
      </x:c>
      <x:c r="AQ203" s="24" t="str">
        <x:f>IF(AP203="","",INT('Configuration'!$B$4)-AP203)</x:f>
      </x:c>
      <x:c r="AR203" s="25" t="str">
        <x:f>IF(AP203="","Missing Required Date",IF(AQ203&lt;0,"Future Date",IF(AQ203=0,"0 days",IF(AQ203&lt;=2,"1-2 days",IF(AQ203&lt;=7,"3-7 days",IF(AQ203&lt;=14,"8-14 days",IF(AQ203&lt;=30,"15-30 days",IF(AQ203&lt;=60,"31-60 days",IF(AQ203&lt;=70,"61-70 days","71+ days")))))))))</x:f>
        <x:v>Missing Required Date</x:v>
      </x:c>
      <x:c r="AS203" s="25" t="str">
        <x:f>IF(OR(E203="processing",E203="executing",E203="pending"),IF(AP203="","Required aging date missing",IF(AQ203&gt;30,"Escalate &gt;30d",IF(AQ203&gt;14,"Watch &gt;14d","Within 14d"))),"Out of scope")</x:f>
        <x:v>Out of scope</x:v>
      </x:c>
    </x:row>
    <x:row r="204" ht="24" customHeight="1">
      <x:c r="A204" t="str">
        <x:v>bd0443fb-ed78-4525-87fc-2eba75822ed5</x:v>
      </x:c>
      <x:c r="B204" t="str">
        <x:v>CSSP10532596</x:v>
      </x:c>
      <x:c r="C204" t="str">
        <x:v>luqmanhakim.ismai@petronas.com</x:v>
      </x:c>
      <x:c r="D204" t="str">
        <x:v>decommission-cloud</x:v>
      </x:c>
      <x:c r="E204" t="str">
        <x:v>cancelled</x:v>
      </x:c>
      <x:c r="F204" t="n">
        <x:v>46155.164576284726</x:v>
      </x:c>
      <x:c r="G204" t="n">
        <x:v>46155.16662340278</x:v>
      </x:c>
      <x:c r="H204" t="n">
        <x:v>46155.164576284726</x:v>
      </x:c>
      <x:c r="I204" t="str">
        <x:v>SAP 36 SRM Enterprise Buyer Professional</x:v>
      </x:c>
      <x:c r="J204" t="str">
        <x:v>DR Simulation for SAP Group Application - P36</x:v>
      </x:c>
      <x:c r="K204" t="str">
        <x:v>partial</x:v>
      </x:c>
      <x:c r="L204"/>
      <x:c r="M204" t="str">
        <x:v>rizuanatan@petronas.com</x:v>
      </x:c>
      <x:c r="N204" t="str">
        <x:v>ptsg-1ebpap06DR (172.25.152.22) ptsg-1ebpdb06DR (172.25.152.19) ptsg-1ebpsc06dr (172.25.152.8)</x:v>
      </x:c>
      <x:c r="O204"/>
      <x:c r="P204" t="str">
        <x:v>Server is no longer use. This is for cost optimization. </x:v>
      </x:c>
      <x:c r="Q204" t="str">
        <x:v>2W</x:v>
      </x:c>
      <x:c r="R204" t="str">
        <x:v>Not in Used</x:v>
      </x:c>
      <x:c r="S204"/>
      <x:c r="T204" t="str">
        <x:v>rejected</x:v>
      </x:c>
      <x:c r="U204" t="str">
        <x:v>luqmanhakim.ismai@petronas.com</x:v>
      </x:c>
      <x:c r="V204" t="n">
        <x:v>46155.16662341435</x:v>
      </x:c>
      <x:c r="W204"/>
      <x:c r="X204"/>
      <x:c r="Y204" t="str">
        <x:v>rizuanatan@petronas.com</x:v>
      </x:c>
      <x:c r="Z204"/>
      <x:c r="AA204"/>
      <x:c r="AB204"/>
      <x:c r="AC204" t="str">
        <x:v>CCoE Business</x:v>
      </x:c>
      <x:c r="AD204"/>
      <x:c r="AE204"/>
      <x:c r="AF204"/>
      <x:c r="AG204" t="str">
        <x:v>CCoE Operations</x:v>
      </x:c>
      <x:c r="AH204"/>
      <x:c r="AI204"/>
      <x:c r="AJ204" t="str">
        <x:v>A-000719</x:v>
      </x:c>
      <x:c r="AK204" t="str">
        <x:v>PC-00032_3</x:v>
      </x:c>
      <x:c r="AL204"/>
      <x:c r="AM204"/>
      <x:c r="AN204" t="str">
        <x:v>noretention</x:v>
      </x:c>
      <x:c r="AO204" t="n">
        <x:v>0</x:v>
      </x:c>
      <x:c r="AP204" s="23" t="str">
        <x:f>IF(E204="processing",IF(Z204="","",IF(ISNUMBER(Z204),INT(Z204),DATE(VALUE(LEFT(Z204,4)),VALUE(MID(Z204,6,2)),VALUE(MID(Z204,9,2))))),IF(OR(E204="executing",E204="pending"),IF(AD204="","",IF(ISNUMBER(AD204),INT(AD204),DATE(VALUE(LEFT(AD204,4)),VALUE(MID(AD204,6,2)),VALUE(MID(AD204,9,2))))),""))</x:f>
      </x:c>
      <x:c r="AQ204" s="24" t="str">
        <x:f>IF(AP204="","",INT('Configuration'!$B$4)-AP204)</x:f>
      </x:c>
      <x:c r="AR204" s="25" t="str">
        <x:f>IF(AP204="","Missing Required Date",IF(AQ204&lt;0,"Future Date",IF(AQ204=0,"0 days",IF(AQ204&lt;=2,"1-2 days",IF(AQ204&lt;=7,"3-7 days",IF(AQ204&lt;=14,"8-14 days",IF(AQ204&lt;=30,"15-30 days",IF(AQ204&lt;=60,"31-60 days",IF(AQ204&lt;=70,"61-70 days","71+ days")))))))))</x:f>
        <x:v>Missing Required Date</x:v>
      </x:c>
      <x:c r="AS204" s="25" t="str">
        <x:f>IF(OR(E204="processing",E204="executing",E204="pending"),IF(AP204="","Required aging date missing",IF(AQ204&gt;30,"Escalate &gt;30d",IF(AQ204&gt;14,"Watch &gt;14d","Within 14d"))),"Out of scope")</x:f>
        <x:v>Out of scope</x:v>
      </x:c>
    </x:row>
    <x:row r="205" ht="24" customHeight="1">
      <x:c r="A205" t="str">
        <x:v>fc078412-7345-4052-a86b-ae14393c37d2</x:v>
      </x:c>
      <x:c r="B205" t="str">
        <x:v>CSSP10900134</x:v>
      </x:c>
      <x:c r="C205" t="str">
        <x:v>hasnulauzani.hassan@petronas.com</x:v>
      </x:c>
      <x:c r="D205" t="str">
        <x:v>decommission-cloud</x:v>
      </x:c>
      <x:c r="E205" t="str">
        <x:v>completed</x:v>
      </x:c>
      <x:c r="F205" t="n">
        <x:v>46155.32837347222</x:v>
      </x:c>
      <x:c r="G205" t="n">
        <x:v>46163.31495980324</x:v>
      </x:c>
      <x:c r="H205" t="n">
        <x:v>46155.32837347222</x:v>
      </x:c>
      <x:c r="I205" t="str">
        <x:v>Tender Response Management System - TeRMS</x:v>
      </x:c>
      <x:c r="J205" t="str">
        <x:v>Cloud Migration Program - TeRMS: Tender Response Management System 2.0</x:v>
      </x:c>
      <x:c r="K205" t="str">
        <x:v>full</x:v>
      </x:c>
      <x:c r="L205" t="str">
        <x:v>S000004981</x:v>
      </x:c>
      <x:c r="M205" t="str">
        <x:v>hasnulauzani.hassan@petronas.com</x:v>
      </x:c>
      <x:c r="N205"/>
      <x:c r="O205"/>
      <x:c r="P205" t="str">
        <x:v>This application is already decom in quite sometimes. Need to have total decom</x:v>
      </x:c>
      <x:c r="Q205" t="str">
        <x:v>2W</x:v>
      </x:c>
      <x:c r="R205" t="str">
        <x:v>Not in Used</x:v>
      </x:c>
      <x:c r="S205"/>
      <x:c r="T205" t="str">
        <x:v>approved</x:v>
      </x:c>
      <x:c r="U205" t="str">
        <x:v>hasnulauzani.hassan@petronas.com</x:v>
      </x:c>
      <x:c r="V205" t="n">
        <x:v>46155.32892475694</x:v>
      </x:c>
      <x:c r="W205" t="str">
        <x:v>All good to go</x:v>
      </x:c>
      <x:c r="X205" t="str">
        <x:v>approved</x:v>
      </x:c>
      <x:c r="Y205" t="str">
        <x:v>hasnulauzani.hassan@petronas.com</x:v>
      </x:c>
      <x:c r="Z205" t="n">
        <x:v>46155.32968954861</x:v>
      </x:c>
      <x:c r="AA205" t="str">
        <x:v>Good to go</x:v>
      </x:c>
      <x:c r="AB205" t="str">
        <x:v>approved</x:v>
      </x:c>
      <x:c r="AC205" t="str">
        <x:v>azwan.badari@petronas.com</x:v>
      </x:c>
      <x:c r="AD205" t="n">
        <x:v>46160.01285922454</x:v>
      </x:c>
      <x:c r="AE205" t="str">
        <x:v>Decommission all Terms RG,
PTAZSG-PROD-TeRMS-RG
PTAZSG-UAT-TeRMS-RG
PTAZSG-DEV-TeRMS-RG</x:v>
      </x:c>
      <x:c r="AF205" t="str">
        <x:v>approved</x:v>
      </x:c>
      <x:c r="AG205" t="str">
        <x:v>azwan.badari@petronas.com</x:v>
      </x:c>
      <x:c r="AH205" t="n">
        <x:v>46163.31495980324</x:v>
      </x:c>
      <x:c r="AI205" t="str">
        <x:v>Completed</x:v>
      </x:c>
      <x:c r="AJ205" t="str">
        <x:v>A-000807</x:v>
      </x:c>
      <x:c r="AK205" t="str">
        <x:v>00915_58</x:v>
      </x:c>
      <x:c r="AL205" t="str">
        <x:v>M</x:v>
      </x:c>
      <x:c r="AM205" t="str">
        <x:v>REQ000008052597</x:v>
      </x:c>
      <x:c r="AN205" t="str">
        <x:v>noretention</x:v>
      </x:c>
      <x:c r="AO205" t="n">
        <x:v>0</x:v>
      </x:c>
      <x:c r="AP205" s="23" t="str">
        <x:f>IF(E205="processing",IF(Z205="","",IF(ISNUMBER(Z205),INT(Z205),DATE(VALUE(LEFT(Z205,4)),VALUE(MID(Z205,6,2)),VALUE(MID(Z205,9,2))))),IF(OR(E205="executing",E205="pending"),IF(AD205="","",IF(ISNUMBER(AD205),INT(AD205),DATE(VALUE(LEFT(AD205,4)),VALUE(MID(AD205,6,2)),VALUE(MID(AD205,9,2))))),""))</x:f>
      </x:c>
      <x:c r="AQ205" s="24" t="str">
        <x:f>IF(AP205="","",INT('Configuration'!$B$4)-AP205)</x:f>
      </x:c>
      <x:c r="AR205" s="25" t="str">
        <x:f>IF(AP205="","Missing Required Date",IF(AQ205&lt;0,"Future Date",IF(AQ205=0,"0 days",IF(AQ205&lt;=2,"1-2 days",IF(AQ205&lt;=7,"3-7 days",IF(AQ205&lt;=14,"8-14 days",IF(AQ205&lt;=30,"15-30 days",IF(AQ205&lt;=60,"31-60 days",IF(AQ205&lt;=70,"61-70 days","71+ days")))))))))</x:f>
        <x:v>Missing Required Date</x:v>
      </x:c>
      <x:c r="AS205" s="25" t="str">
        <x:f>IF(OR(E205="processing",E205="executing",E205="pending"),IF(AP205="","Required aging date missing",IF(AQ205&gt;30,"Escalate &gt;30d",IF(AQ205&gt;14,"Watch &gt;14d","Within 14d"))),"Out of scope")</x:f>
        <x:v>Out of scope</x:v>
      </x:c>
    </x:row>
    <x:row r="206" ht="24" customHeight="1">
      <x:c r="A206" t="str">
        <x:v>e7eb9d5f-95e3-4e28-b1a6-aa56c63bf39e</x:v>
      </x:c>
      <x:c r="B206" t="str">
        <x:v>CSSP10402366</x:v>
      </x:c>
      <x:c r="C206" t="str">
        <x:v>mhaikal.mzamri@petronas.com</x:v>
      </x:c>
      <x:c r="D206" t="str">
        <x:v>decommission-cloud</x:v>
      </x:c>
      <x:c r="E206" t="str">
        <x:v>completed</x:v>
      </x:c>
      <x:c r="F206" t="n">
        <x:v>46155.349497951385</x:v>
      </x:c>
      <x:c r="G206" t="n">
        <x:v>46177.27076488426</x:v>
      </x:c>
      <x:c r="H206" t="n">
        <x:v>46155.349497951385</x:v>
      </x:c>
      <x:c r="I206" t="str">
        <x:v>SAP 30 ECC6</x:v>
      </x:c>
      <x:c r="J206" t="str">
        <x:v>S/4HANA Technical Conversion and Migration of SAP Systems P30 and P50</x:v>
      </x:c>
      <x:c r="K206" t="str">
        <x:v>full</x:v>
      </x:c>
      <x:c r="L206" t="str">
        <x:v>DCOM20260513626</x:v>
      </x:c>
      <x:c r="M206" t="str">
        <x:v>safura.ibadullah@petronas.com.my</x:v>
      </x:c>
      <x:c r="N206"/>
      <x:c r="O206"/>
      <x:c r="P206" t="str">
        <x:v>System already been migrated to SAP RISE environment</x:v>
      </x:c>
      <x:c r="Q206" t="str">
        <x:v>1M</x:v>
      </x:c>
      <x:c r="R206" t="str">
        <x:v>Cloud Migration</x:v>
      </x:c>
      <x:c r="S206"/>
      <x:c r="T206" t="str">
        <x:v>approved</x:v>
      </x:c>
      <x:c r="U206" t="str">
        <x:v>mhaikal.mzamri@petronas.com</x:v>
      </x:c>
      <x:c r="V206" t="n">
        <x:v>46155.35521357639</x:v>
      </x:c>
      <x:c r="W206" t="str">
        <x:v>System already been migrated to SAP RISE environment</x:v>
      </x:c>
      <x:c r="X206" t="str">
        <x:v>approved</x:v>
      </x:c>
      <x:c r="Y206" t="str">
        <x:v>safura.ibadullah@petronas.com</x:v>
      </x:c>
      <x:c r="Z206" t="n">
        <x:v>46156.15846741898</x:v>
      </x:c>
      <x:c r="AA206" t="str">
        <x:v>S/4HANA Technical Conversion and Migration of SAP Systems P30 and P50 completed in RISE.</x:v>
      </x:c>
      <x:c r="AB206" t="str">
        <x:v>approved</x:v>
      </x:c>
      <x:c r="AC206" t="str">
        <x:v>azwan.badari@petronas.com</x:v>
      </x:c>
      <x:c r="AD206" t="n">
        <x:v>46160.054701099536</x:v>
      </x:c>
      <x:c r="AE206" t="str">
        <x:v>Decommission selected resources</x:v>
      </x:c>
      <x:c r="AF206" t="str">
        <x:v>approved</x:v>
      </x:c>
      <x:c r="AG206" t="str">
        <x:v>azlisham.md@petronas.com</x:v>
      </x:c>
      <x:c r="AH206" t="n">
        <x:v>46177.27076490741</x:v>
      </x:c>
      <x:c r="AI206" t="str">
        <x:v>The decommission request has been completed, and the status is now updated accordingly. Kindly verify from your end and confirm once reviewed.
</x:v>
      </x:c>
      <x:c r="AJ206" t="str">
        <x:v>A-000714</x:v>
      </x:c>
      <x:c r="AK206" t="str">
        <x:v>OSR00410</x:v>
      </x:c>
      <x:c r="AL206" t="str">
        <x:v>M</x:v>
      </x:c>
      <x:c r="AM206" t="str">
        <x:v>REQ000008053120</x:v>
      </x:c>
      <x:c r="AN206" t="str">
        <x:v>retention</x:v>
      </x:c>
      <x:c r="AO206" t="n">
        <x:v>30</x:v>
      </x:c>
      <x:c r="AP206" s="23" t="str">
        <x:f>IF(E206="processing",IF(Z206="","",IF(ISNUMBER(Z206),INT(Z206),DATE(VALUE(LEFT(Z206,4)),VALUE(MID(Z206,6,2)),VALUE(MID(Z206,9,2))))),IF(OR(E206="executing",E206="pending"),IF(AD206="","",IF(ISNUMBER(AD206),INT(AD206),DATE(VALUE(LEFT(AD206,4)),VALUE(MID(AD206,6,2)),VALUE(MID(AD206,9,2))))),""))</x:f>
      </x:c>
      <x:c r="AQ206" s="24" t="str">
        <x:f>IF(AP206="","",INT('Configuration'!$B$4)-AP206)</x:f>
      </x:c>
      <x:c r="AR206" s="25" t="str">
        <x:f>IF(AP206="","Missing Required Date",IF(AQ206&lt;0,"Future Date",IF(AQ206=0,"0 days",IF(AQ206&lt;=2,"1-2 days",IF(AQ206&lt;=7,"3-7 days",IF(AQ206&lt;=14,"8-14 days",IF(AQ206&lt;=30,"15-30 days",IF(AQ206&lt;=60,"31-60 days",IF(AQ206&lt;=70,"61-70 days","71+ days")))))))))</x:f>
        <x:v>Missing Required Date</x:v>
      </x:c>
      <x:c r="AS206" s="25" t="str">
        <x:f>IF(OR(E206="processing",E206="executing",E206="pending"),IF(AP206="","Required aging date missing",IF(AQ206&gt;30,"Escalate &gt;30d",IF(AQ206&gt;14,"Watch &gt;14d","Within 14d"))),"Out of scope")</x:f>
        <x:v>Out of scope</x:v>
      </x:c>
    </x:row>
    <x:row r="207" ht="24" customHeight="1">
      <x:c r="A207" t="str">
        <x:v>8ec3717a-84dd-4e4f-aafa-71b2887586ca</x:v>
      </x:c>
      <x:c r="B207" t="str">
        <x:v>CSSP10577934</x:v>
      </x:c>
      <x:c r="C207" t="str">
        <x:v>mhaikal.mzamri@petronas.com</x:v>
      </x:c>
      <x:c r="D207" t="str">
        <x:v>decommission-cloud</x:v>
      </x:c>
      <x:c r="E207" t="str">
        <x:v>completed</x:v>
      </x:c>
      <x:c r="F207" t="n">
        <x:v>46155.35832675926</x:v>
      </x:c>
      <x:c r="G207" t="n">
        <x:v>46177.52006091435</x:v>
      </x:c>
      <x:c r="H207" t="n">
        <x:v>46155.35832675926</x:v>
      </x:c>
      <x:c r="I207" t="str">
        <x:v>SAP 50 ECC6</x:v>
      </x:c>
      <x:c r="J207" t="str">
        <x:v>S/4HANA Technical Conversion and Migration of SAP Systems P30 and P50</x:v>
      </x:c>
      <x:c r="K207" t="str">
        <x:v>full</x:v>
      </x:c>
      <x:c r="L207" t="str">
        <x:v>DCOM202605132c2</x:v>
      </x:c>
      <x:c r="M207" t="str">
        <x:v>safura.ibadullah@petronas.com.my</x:v>
      </x:c>
      <x:c r="N207"/>
      <x:c r="O207"/>
      <x:c r="P207" t="str">
        <x:v>System already been migrated to SAP RISE environment</x:v>
      </x:c>
      <x:c r="Q207" t="str">
        <x:v>1M</x:v>
      </x:c>
      <x:c r="R207" t="str">
        <x:v>Cloud Migration</x:v>
      </x:c>
      <x:c r="S207"/>
      <x:c r="T207" t="str">
        <x:v>approved</x:v>
      </x:c>
      <x:c r="U207" t="str">
        <x:v>mhaikal.mzamri@petronas.com</x:v>
      </x:c>
      <x:c r="V207" t="n">
        <x:v>46155.35856788194</x:v>
      </x:c>
      <x:c r="W207" t="str">
        <x:v>System already been migrated to SAP RISE environment</x:v>
      </x:c>
      <x:c r="X207" t="str">
        <x:v>approved</x:v>
      </x:c>
      <x:c r="Y207" t="str">
        <x:v>safura.ibadullah@petronas.com</x:v>
      </x:c>
      <x:c r="Z207" t="n">
        <x:v>46156.159054421296</x:v>
      </x:c>
      <x:c r="AA207" t="str">
        <x:v>S/4HANA Technical Conversion and Migration of SAP Systems P30 and P50 completed in SAP RISE.</x:v>
      </x:c>
      <x:c r="AB207" t="str">
        <x:v>approved</x:v>
      </x:c>
      <x:c r="AC207" t="str">
        <x:v>azwan.badari@petronas.com</x:v>
      </x:c>
      <x:c r="AD207" t="n">
        <x:v>46160.054421574074</x:v>
      </x:c>
      <x:c r="AE207" t="str">
        <x:v>Decommission selected resources</x:v>
      </x:c>
      <x:c r="AF207" t="str">
        <x:v>approved</x:v>
      </x:c>
      <x:c r="AG207" t="str">
        <x:v>azlisham.md@petronas.com</x:v>
      </x:c>
      <x:c r="AH207" t="n">
        <x:v>46177.52006092593</x:v>
      </x:c>
      <x:c r="AI207" t="str">
        <x:v>The decommission request has been completed, and the status is now updated accordingly. Kindly verify from your end and confirm once reviewed.
</x:v>
      </x:c>
      <x:c r="AJ207" t="str">
        <x:v>A-000726</x:v>
      </x:c>
      <x:c r="AK207" t="str">
        <x:v>OSR00410_1</x:v>
      </x:c>
      <x:c r="AL207" t="str">
        <x:v>M</x:v>
      </x:c>
      <x:c r="AM207" t="str">
        <x:v>REQ000008053217</x:v>
      </x:c>
      <x:c r="AN207" t="str">
        <x:v>retention</x:v>
      </x:c>
      <x:c r="AO207" t="n">
        <x:v>30</x:v>
      </x:c>
      <x:c r="AP207" s="23" t="str">
        <x:f>IF(E207="processing",IF(Z207="","",IF(ISNUMBER(Z207),INT(Z207),DATE(VALUE(LEFT(Z207,4)),VALUE(MID(Z207,6,2)),VALUE(MID(Z207,9,2))))),IF(OR(E207="executing",E207="pending"),IF(AD207="","",IF(ISNUMBER(AD207),INT(AD207),DATE(VALUE(LEFT(AD207,4)),VALUE(MID(AD207,6,2)),VALUE(MID(AD207,9,2))))),""))</x:f>
      </x:c>
      <x:c r="AQ207" s="24" t="str">
        <x:f>IF(AP207="","",INT('Configuration'!$B$4)-AP207)</x:f>
      </x:c>
      <x:c r="AR207" s="25" t="str">
        <x:f>IF(AP207="","Missing Required Date",IF(AQ207&lt;0,"Future Date",IF(AQ207=0,"0 days",IF(AQ207&lt;=2,"1-2 days",IF(AQ207&lt;=7,"3-7 days",IF(AQ207&lt;=14,"8-14 days",IF(AQ207&lt;=30,"15-30 days",IF(AQ207&lt;=60,"31-60 days",IF(AQ207&lt;=70,"61-70 days","71+ days")))))))))</x:f>
        <x:v>Missing Required Date</x:v>
      </x:c>
      <x:c r="AS207" s="25" t="str">
        <x:f>IF(OR(E207="processing",E207="executing",E207="pending"),IF(AP207="","Required aging date missing",IF(AQ207&gt;30,"Escalate &gt;30d",IF(AQ207&gt;14,"Watch &gt;14d","Within 14d"))),"Out of scope")</x:f>
        <x:v>Out of scope</x:v>
      </x:c>
    </x:row>
    <x:row r="208" ht="24" customHeight="1">
      <x:c r="A208" t="str">
        <x:v>1000a2e7-295b-44f7-83c0-c2e67e4b671e</x:v>
      </x:c>
      <x:c r="B208" t="str">
        <x:v>CSSP10217006</x:v>
      </x:c>
      <x:c r="C208" t="str">
        <x:v>mhaikal.mzamri@petronas.com</x:v>
      </x:c>
      <x:c r="D208" t="str">
        <x:v>decommission-cloud</x:v>
      </x:c>
      <x:c r="E208" t="str">
        <x:v>completed</x:v>
      </x:c>
      <x:c r="F208" t="n">
        <x:v>46155.36263675926</x:v>
      </x:c>
      <x:c r="G208" t="n">
        <x:v>46177.2726503125</x:v>
      </x:c>
      <x:c r="H208" t="n">
        <x:v>46155.36263675926</x:v>
      </x:c>
      <x:c r="I208" t="str">
        <x:v>SAP 58 FIORI</x:v>
      </x:c>
      <x:c r="J208" t="str">
        <x:v>Cloud Migration Program - SAP FIORI Development (SAPID 58 (P58, D58, T58))</x:v>
      </x:c>
      <x:c r="K208" t="str">
        <x:v>full</x:v>
      </x:c>
      <x:c r="L208" t="str">
        <x:v>DCOM2026051313c</x:v>
      </x:c>
      <x:c r="M208" t="str">
        <x:v>safura.ibadullah@petronas.com.my</x:v>
      </x:c>
      <x:c r="N208"/>
      <x:c r="O208"/>
      <x:c r="P208" t="str">
        <x:v>system is no longer in use</x:v>
      </x:c>
      <x:c r="Q208" t="str">
        <x:v>2W</x:v>
      </x:c>
      <x:c r="R208" t="str">
        <x:v>Cloud Migration</x:v>
      </x:c>
      <x:c r="S208"/>
      <x:c r="T208" t="str">
        <x:v>approved</x:v>
      </x:c>
      <x:c r="U208" t="str">
        <x:v>mhaikal.mzamri@petronas.com</x:v>
      </x:c>
      <x:c r="V208" t="n">
        <x:v>46155.363068101855</x:v>
      </x:c>
      <x:c r="W208" t="str">
        <x:v>System no longer in use</x:v>
      </x:c>
      <x:c r="X208" t="str">
        <x:v>approved</x:v>
      </x:c>
      <x:c r="Y208" t="str">
        <x:v>safura.ibadullah@petronas.com</x:v>
      </x:c>
      <x:c r="Z208" t="n">
        <x:v>46156.15668601852</x:v>
      </x:c>
      <x:c r="AA208" t="str">
        <x:v>Fiori migration to S/4HANA P30 and P50</x:v>
      </x:c>
      <x:c r="AB208" t="str">
        <x:v>approved</x:v>
      </x:c>
      <x:c r="AC208" t="str">
        <x:v>azwan.badari@petronas.com</x:v>
      </x:c>
      <x:c r="AD208" t="n">
        <x:v>46160.025985810185</x:v>
      </x:c>
      <x:c r="AE208" t="str">
        <x:v>Decommission all resources in RG
PTAZSG-PROD-SAP-FIORI-P58-RG
PTAZSG-UAT-SAP-FIORI-T58-RG
PTAZSG-DEV-SAP-FIORI-D58-RG</x:v>
      </x:c>
      <x:c r="AF208" t="str">
        <x:v>approved</x:v>
      </x:c>
      <x:c r="AG208" t="str">
        <x:v>azlisham.md@petronas.com</x:v>
      </x:c>
      <x:c r="AH208" t="n">
        <x:v>46177.27265032408</x:v>
      </x:c>
      <x:c r="AI208" t="str">
        <x:v>The decommission request has been completed, and the status is now updated accordingly. Kindly verify from your end and confirm once reviewed.
</x:v>
      </x:c>
      <x:c r="AJ208" t="str">
        <x:v>A-000729</x:v>
      </x:c>
      <x:c r="AK208" t="str">
        <x:v>00915_37</x:v>
      </x:c>
      <x:c r="AL208" t="str">
        <x:v>M</x:v>
      </x:c>
      <x:c r="AM208" t="str">
        <x:v>REQ000008052600</x:v>
      </x:c>
      <x:c r="AN208" t="str">
        <x:v>retention</x:v>
      </x:c>
      <x:c r="AO208" t="n">
        <x:v>30</x:v>
      </x:c>
      <x:c r="AP208" s="23" t="str">
        <x:f>IF(E208="processing",IF(Z208="","",IF(ISNUMBER(Z208),INT(Z208),DATE(VALUE(LEFT(Z208,4)),VALUE(MID(Z208,6,2)),VALUE(MID(Z208,9,2))))),IF(OR(E208="executing",E208="pending"),IF(AD208="","",IF(ISNUMBER(AD208),INT(AD208),DATE(VALUE(LEFT(AD208,4)),VALUE(MID(AD208,6,2)),VALUE(MID(AD208,9,2))))),""))</x:f>
      </x:c>
      <x:c r="AQ208" s="24" t="str">
        <x:f>IF(AP208="","",INT('Configuration'!$B$4)-AP208)</x:f>
      </x:c>
      <x:c r="AR208" s="25" t="str">
        <x:f>IF(AP208="","Missing Required Date",IF(AQ208&lt;0,"Future Date",IF(AQ208=0,"0 days",IF(AQ208&lt;=2,"1-2 days",IF(AQ208&lt;=7,"3-7 days",IF(AQ208&lt;=14,"8-14 days",IF(AQ208&lt;=30,"15-30 days",IF(AQ208&lt;=60,"31-60 days",IF(AQ208&lt;=70,"61-70 days","71+ days")))))))))</x:f>
        <x:v>Missing Required Date</x:v>
      </x:c>
      <x:c r="AS208" s="25" t="str">
        <x:f>IF(OR(E208="processing",E208="executing",E208="pending"),IF(AP208="","Required aging date missing",IF(AQ208&gt;30,"Escalate &gt;30d",IF(AQ208&gt;14,"Watch &gt;14d","Within 14d"))),"Out of scope")</x:f>
        <x:v>Out of scope</x:v>
      </x:c>
    </x:row>
    <x:row r="209" ht="24" customHeight="1">
      <x:c r="A209" t="str">
        <x:v>b120eb33-939d-4490-a910-d455d4670457</x:v>
      </x:c>
      <x:c r="B209" t="str">
        <x:v>CSSP10754449</x:v>
      </x:c>
      <x:c r="C209" t="str">
        <x:v>nursyazana.z@petronas.com</x:v>
      </x:c>
      <x:c r="D209" t="str">
        <x:v>decommission-cloud</x:v>
      </x:c>
      <x:c r="E209" t="str">
        <x:v>completed</x:v>
      </x:c>
      <x:c r="F209" t="n">
        <x:v>46156.050457129626</x:v>
      </x:c>
      <x:c r="G209" t="n">
        <x:v>46176.29035008102</x:v>
      </x:c>
      <x:c r="H209" t="n">
        <x:v>46156.050457129626</x:v>
      </x:c>
      <x:c r="I209" t="str">
        <x:v>Upstream High-Performance Computing - HPC Technology Refresh</x:v>
      </x:c>
      <x:c r="J209" t="str">
        <x:v>Implementation of Upstream High-Performance Computing (HPC) Technology Refresh for Upstream</x:v>
      </x:c>
      <x:c r="K209" t="str">
        <x:v>full</x:v>
      </x:c>
      <x:c r="L209" t="str">
        <x:v>DCOM20260514e51</x:v>
      </x:c>
      <x:c r="M209" t="str">
        <x:v>mhafiz.samsudin@petronas.com</x:v>
      </x:c>
      <x:c r="N209"/>
      <x:c r="O209" t="n">
        <x:v>3406</x:v>
      </x:c>
      <x:c r="P209" t="str">
        <x:v>Decommission will be done by Cegal team and by batches due to some of the lustre still doing data copy. This request is purposely for record only</x:v>
      </x:c>
      <x:c r="Q209" t="str">
        <x:v>12M</x:v>
      </x:c>
      <x:c r="R209" t="str">
        <x:v>Not in Used</x:v>
      </x:c>
      <x:c r="S209"/>
      <x:c r="T209" t="str">
        <x:v>approved</x:v>
      </x:c>
      <x:c r="U209" t="str">
        <x:v>nursyazana.z@petronas.com</x:v>
      </x:c>
      <x:c r="V209" t="n">
        <x:v>46156.05191288194</x:v>
      </x:c>
      <x:c r="W209" t="str">
        <x:v>Appreciate COC team do not delete anything first. Decommissioning will be done by cegal and by batches due to some of the data currently in the midst of copy.</x:v>
      </x:c>
      <x:c r="X209" t="str">
        <x:v>approved</x:v>
      </x:c>
      <x:c r="Y209" t="str">
        <x:v>mhafiz.samsudin@petronas.com</x:v>
      </x:c>
      <x:c r="Z209" t="n">
        <x:v>46171.03524203704</x:v>
      </x:c>
      <x:c r="AA209" t="str">
        <x:v>Reviewed and Approved. Kindly expedite to avoid further redundant cost to Upstream.</x:v>
      </x:c>
      <x:c r="AB209" t="str">
        <x:v>approved</x:v>
      </x:c>
      <x:c r="AC209" t="str">
        <x:v>azwan.badari@petronas.com</x:v>
      </x:c>
      <x:c r="AD209" t="n">
        <x:v>46176.28479642361</x:v>
      </x:c>
      <x:c r="AE209" t="str">
        <x:v>For decommission records only</x:v>
      </x:c>
      <x:c r="AF209" t="str">
        <x:v>approved</x:v>
      </x:c>
      <x:c r="AG209" t="str">
        <x:v>azlisham.md@petronas.com</x:v>
      </x:c>
      <x:c r="AH209" t="n">
        <x:v>46176.29035009259</x:v>
      </x:c>
      <x:c r="AI209" t="str">
        <x:v>just for record</x:v>
      </x:c>
      <x:c r="AJ209" t="str">
        <x:v>A-000357</x:v>
      </x:c>
      <x:c r="AK209" t="n">
        <x:v>3406</x:v>
      </x:c>
      <x:c r="AL209" t="str">
        <x:v>L</x:v>
      </x:c>
      <x:c r="AM209" t="str">
        <x:v>REQ000008077903</x:v>
      </x:c>
      <x:c r="AN209" t="str">
        <x:v>retention</x:v>
      </x:c>
      <x:c r="AO209" t="n">
        <x:v>90</x:v>
      </x:c>
      <x:c r="AP209" s="23" t="str">
        <x:f>IF(E209="processing",IF(Z209="","",IF(ISNUMBER(Z209),INT(Z209),DATE(VALUE(LEFT(Z209,4)),VALUE(MID(Z209,6,2)),VALUE(MID(Z209,9,2))))),IF(OR(E209="executing",E209="pending"),IF(AD209="","",IF(ISNUMBER(AD209),INT(AD209),DATE(VALUE(LEFT(AD209,4)),VALUE(MID(AD209,6,2)),VALUE(MID(AD209,9,2))))),""))</x:f>
      </x:c>
      <x:c r="AQ209" s="24" t="str">
        <x:f>IF(AP209="","",INT('Configuration'!$B$4)-AP209)</x:f>
      </x:c>
      <x:c r="AR209" s="25" t="str">
        <x:f>IF(AP209="","Missing Required Date",IF(AQ209&lt;0,"Future Date",IF(AQ209=0,"0 days",IF(AQ209&lt;=2,"1-2 days",IF(AQ209&lt;=7,"3-7 days",IF(AQ209&lt;=14,"8-14 days",IF(AQ209&lt;=30,"15-30 days",IF(AQ209&lt;=60,"31-60 days",IF(AQ209&lt;=70,"61-70 days","71+ days")))))))))</x:f>
        <x:v>Missing Required Date</x:v>
      </x:c>
      <x:c r="AS209" s="25" t="str">
        <x:f>IF(OR(E209="processing",E209="executing",E209="pending"),IF(AP209="","Required aging date missing",IF(AQ209&gt;30,"Escalate &gt;30d",IF(AQ209&gt;14,"Watch &gt;14d","Within 14d"))),"Out of scope")</x:f>
        <x:v>Out of scope</x:v>
      </x:c>
    </x:row>
    <x:row r="210" ht="24" customHeight="1">
      <x:c r="A210" t="str">
        <x:v>f9fb3fd1-64f4-4b66-8b40-30927f8cb67b</x:v>
      </x:c>
      <x:c r="B210" t="str">
        <x:v>CSSP10309904</x:v>
      </x:c>
      <x:c r="C210" t="str">
        <x:v>mohamadfaisal.maasah@petronas.com</x:v>
      </x:c>
      <x:c r="D210" t="str">
        <x:v>decommission-cloud</x:v>
      </x:c>
      <x:c r="E210" t="str">
        <x:v>cancelled</x:v>
      </x:c>
      <x:c r="F210" t="n">
        <x:v>46156.058368958336</x:v>
      </x:c>
      <x:c r="G210" t="n">
        <x:v>46156.065795173614</x:v>
      </x:c>
      <x:c r="H210" t="n">
        <x:v>46156.058368958336</x:v>
      </x:c>
      <x:c r="I210" t="str">
        <x:v>Digital Fields</x:v>
      </x:c>
      <x:c r="J210" t="str">
        <x:v>Subscription of Cloud Services for Proxy Well Model (PWM) and Sand Advisor (SAr) for Scaling Digital Field for Center of Excellence</x:v>
      </x:c>
      <x:c r="K210" t="str">
        <x:v>partial</x:v>
      </x:c>
      <x:c r="L210"/>
      <x:c r="M210" t="str">
        <x:v>halim.matnoh@petronas.com</x:v>
      </x:c>
      <x:c r="N210" t="str">
        <x:v>not applicable</x:v>
      </x:c>
      <x:c r="O210" t="n">
        <x:v>1152</x:v>
      </x:c>
      <x:c r="P210" t="str">
        <x:v>per business agreement on decommissioning resource related to application</x:v>
      </x:c>
      <x:c r="Q210" t="str">
        <x:v>2W</x:v>
      </x:c>
      <x:c r="R210" t="str">
        <x:v>Not in Used</x:v>
      </x:c>
      <x:c r="S210"/>
      <x:c r="T210" t="str">
        <x:v>rejected</x:v>
      </x:c>
      <x:c r="U210" t="str">
        <x:v>mohamadfaisal.maasah@petronas.com</x:v>
      </x:c>
      <x:c r="V210" t="n">
        <x:v>46156.06579518518</x:v>
      </x:c>
      <x:c r="W210"/>
      <x:c r="X210"/>
      <x:c r="Y210" t="str">
        <x:v>halim.matnoh@petronas.com</x:v>
      </x:c>
      <x:c r="Z210"/>
      <x:c r="AA210"/>
      <x:c r="AB210"/>
      <x:c r="AC210" t="str">
        <x:v>CCoE Business</x:v>
      </x:c>
      <x:c r="AD210"/>
      <x:c r="AE210"/>
      <x:c r="AF210"/>
      <x:c r="AG210" t="str">
        <x:v>CCoE Operations</x:v>
      </x:c>
      <x:c r="AH210"/>
      <x:c r="AI210"/>
      <x:c r="AJ210" t="str">
        <x:v>A-000206</x:v>
      </x:c>
      <x:c r="AK210" t="n">
        <x:v>1152</x:v>
      </x:c>
      <x:c r="AL210"/>
      <x:c r="AM210"/>
      <x:c r="AN210" t="str">
        <x:v>noretention</x:v>
      </x:c>
      <x:c r="AO210" t="n">
        <x:v>0</x:v>
      </x:c>
      <x:c r="AP210" s="23" t="str">
        <x:f>IF(E210="processing",IF(Z210="","",IF(ISNUMBER(Z210),INT(Z210),DATE(VALUE(LEFT(Z210,4)),VALUE(MID(Z210,6,2)),VALUE(MID(Z210,9,2))))),IF(OR(E210="executing",E210="pending"),IF(AD210="","",IF(ISNUMBER(AD210),INT(AD210),DATE(VALUE(LEFT(AD210,4)),VALUE(MID(AD210,6,2)),VALUE(MID(AD210,9,2))))),""))</x:f>
      </x:c>
      <x:c r="AQ210" s="24" t="str">
        <x:f>IF(AP210="","",INT('Configuration'!$B$4)-AP210)</x:f>
      </x:c>
      <x:c r="AR210" s="25" t="str">
        <x:f>IF(AP210="","Missing Required Date",IF(AQ210&lt;0,"Future Date",IF(AQ210=0,"0 days",IF(AQ210&lt;=2,"1-2 days",IF(AQ210&lt;=7,"3-7 days",IF(AQ210&lt;=14,"8-14 days",IF(AQ210&lt;=30,"15-30 days",IF(AQ210&lt;=60,"31-60 days",IF(AQ210&lt;=70,"61-70 days","71+ days")))))))))</x:f>
        <x:v>Missing Required Date</x:v>
      </x:c>
      <x:c r="AS210" s="25" t="str">
        <x:f>IF(OR(E210="processing",E210="executing",E210="pending"),IF(AP210="","Required aging date missing",IF(AQ210&gt;30,"Escalate &gt;30d",IF(AQ210&gt;14,"Watch &gt;14d","Within 14d"))),"Out of scope")</x:f>
        <x:v>Out of scope</x:v>
      </x:c>
    </x:row>
    <x:row r="211" ht="24" customHeight="1">
      <x:c r="A211" t="str">
        <x:v>756f5134-f188-4a26-8875-475adfa99b6b</x:v>
      </x:c>
      <x:c r="B211" t="str">
        <x:v>CSSP10287067</x:v>
      </x:c>
      <x:c r="C211" t="str">
        <x:v>mohamadfaisal.maasah@petronas.com</x:v>
      </x:c>
      <x:c r="D211" t="str">
        <x:v>decommission-cloud</x:v>
      </x:c>
      <x:c r="E211" t="str">
        <x:v>completed</x:v>
      </x:c>
      <x:c r="F211" t="n">
        <x:v>46156.06747673611</x:v>
      </x:c>
      <x:c r="G211" t="n">
        <x:v>46213.00206690972</x:v>
      </x:c>
      <x:c r="H211" t="n">
        <x:v>46156.06747673611</x:v>
      </x:c>
      <x:c r="I211" t="str">
        <x:v>Digital Fields</x:v>
      </x:c>
      <x:c r="J211" t="str">
        <x:v>Subscription of Cloud Services for Proxy Well Model (PWM) and Sand Advisor (SAr) for Scaling Digital Field for Center of Excellence</x:v>
      </x:c>
      <x:c r="K211" t="str">
        <x:v>full</x:v>
      </x:c>
      <x:c r="L211" t="str">
        <x:v>DCOM20260514fd1</x:v>
      </x:c>
      <x:c r="M211" t="str">
        <x:v>halim.matnoh@petronas.com</x:v>
      </x:c>
      <x:c r="N211" t="str">
        <x:v>not applicable</x:v>
      </x:c>
      <x:c r="O211" t="n">
        <x:v>1152</x:v>
      </x:c>
      <x:c r="P211" t="str">
        <x:v>per business agreement to decomm the unused resources for VFM</x:v>
      </x:c>
      <x:c r="Q211" t="str">
        <x:v>2W</x:v>
      </x:c>
      <x:c r="R211" t="str">
        <x:v>Not in Used</x:v>
      </x:c>
      <x:c r="S211"/>
      <x:c r="T211" t="str">
        <x:v>approved</x:v>
      </x:c>
      <x:c r="U211" t="str">
        <x:v>mohamadfaisal.maasah@petronas.com</x:v>
      </x:c>
      <x:c r="V211" t="n">
        <x:v>46156.080706458335</x:v>
      </x:c>
      <x:c r="W211" t="str">
        <x:v>business focal agreeed to decomm with backup being done.
backup has been completed and can proceed for decommissioning</x:v>
      </x:c>
      <x:c r="X211" t="str">
        <x:v>approved</x:v>
      </x:c>
      <x:c r="Y211" t="str">
        <x:v>halim.matnoh@petronas.com</x:v>
      </x:c>
      <x:c r="Z211" t="n">
        <x:v>46195.15977017361</x:v>
      </x:c>
      <x:c r="AA211" t="str">
        <x:v>proceed</x:v>
      </x:c>
      <x:c r="AB211" t="str">
        <x:v>approved</x:v>
      </x:c>
      <x:c r="AC211" t="str">
        <x:v>amarja.kawade@petronas.com</x:v>
      </x:c>
      <x:c r="AD211" t="n">
        <x:v>46205.1628003588</x:v>
      </x:c>
      <x:c r="AE211" t="str">
        <x:v>To decommission all resources in PTAZSG-IAC-DAA-PROD-VFM-WPAA-RG and remove DNS records for vfm.petronas.com</x:v>
      </x:c>
      <x:c r="AF211" t="str">
        <x:v>approved</x:v>
      </x:c>
      <x:c r="AG211" t="str">
        <x:v>azwan.badari@petronas.com</x:v>
      </x:c>
      <x:c r="AH211" t="n">
        <x:v>46213.00206690972</x:v>
      </x:c>
      <x:c r="AI211" t="str">
        <x:v>Completed by Amarja. Together with request CSSP10246852</x:v>
      </x:c>
      <x:c r="AJ211" t="str">
        <x:v>A-000206</x:v>
      </x:c>
      <x:c r="AK211" t="n">
        <x:v>1152</x:v>
      </x:c>
      <x:c r="AL211" t="str">
        <x:v>M</x:v>
      </x:c>
      <x:c r="AM211" t="str">
        <x:v>REQ000008138577</x:v>
      </x:c>
      <x:c r="AN211" t="str">
        <x:v>noretention</x:v>
      </x:c>
      <x:c r="AO211" t="n">
        <x:v>0</x:v>
      </x:c>
      <x:c r="AP211" s="23" t="str">
        <x:f>IF(E211="processing",IF(Z211="","",IF(ISNUMBER(Z211),INT(Z211),DATE(VALUE(LEFT(Z211,4)),VALUE(MID(Z211,6,2)),VALUE(MID(Z211,9,2))))),IF(OR(E211="executing",E211="pending"),IF(AD211="","",IF(ISNUMBER(AD211),INT(AD211),DATE(VALUE(LEFT(AD211,4)),VALUE(MID(AD211,6,2)),VALUE(MID(AD211,9,2))))),""))</x:f>
      </x:c>
      <x:c r="AQ211" s="24" t="str">
        <x:f>IF(AP211="","",INT('Configuration'!$B$4)-AP211)</x:f>
      </x:c>
      <x:c r="AR211" s="25" t="str">
        <x:f>IF(AP211="","Missing Required Date",IF(AQ211&lt;0,"Future Date",IF(AQ211=0,"0 days",IF(AQ211&lt;=2,"1-2 days",IF(AQ211&lt;=7,"3-7 days",IF(AQ211&lt;=14,"8-14 days",IF(AQ211&lt;=30,"15-30 days",IF(AQ211&lt;=60,"31-60 days",IF(AQ211&lt;=70,"61-70 days","71+ days")))))))))</x:f>
        <x:v>Missing Required Date</x:v>
      </x:c>
      <x:c r="AS211" s="25" t="str">
        <x:f>IF(OR(E211="processing",E211="executing",E211="pending"),IF(AP211="","Required aging date missing",IF(AQ211&gt;30,"Escalate &gt;30d",IF(AQ211&gt;14,"Watch &gt;14d","Within 14d"))),"Out of scope")</x:f>
        <x:v>Out of scope</x:v>
      </x:c>
    </x:row>
    <x:row r="212" ht="24" customHeight="1">
      <x:c r="A212" t="str">
        <x:v>415056df-5773-498c-967e-4fca6872c6e0</x:v>
      </x:c>
      <x:c r="B212" t="str">
        <x:v>CSSP10122979</x:v>
      </x:c>
      <x:c r="C212" t="str">
        <x:v>norhayati.saad@petronas.com</x:v>
      </x:c>
      <x:c r="D212" t="str">
        <x:v>decommission-cloud</x:v>
      </x:c>
      <x:c r="E212" t="str">
        <x:v>completed</x:v>
      </x:c>
      <x:c r="F212" t="n">
        <x:v>46156.071725636575</x:v>
      </x:c>
      <x:c r="G212" t="n">
        <x:v>46209.10968123843</x:v>
      </x:c>
      <x:c r="H212" t="n">
        <x:v>46156.071725636575</x:v>
      </x:c>
      <x:c r="I212" t="str">
        <x:v>Integrated Computing and Security - ICS MRCSB</x:v>
      </x:c>
      <x:c r="J212" t="str">
        <x:v>OCI MIGRATION - ACS Time Attendance System, HeadCount System, HSE Training Management System (HTMS), MANTRACKS, Meeting Room Booking System, Occupational Health Management System (OHMS)</x:v>
      </x:c>
      <x:c r="K212" t="str">
        <x:v>partial</x:v>
      </x:c>
      <x:c r="L212"/>
      <x:c r="M212" t="str">
        <x:v>sazali.mokhtar@petronas.com</x:v>
      </x:c>
      <x:c r="N212"/>
      <x:c r="O212"/>
      <x:c r="P212" t="str">
        <x:v>Cloud Repatriation - To decommission old resources in Singapore region due to completed migration in MY region</x:v>
      </x:c>
      <x:c r="Q212" t="str">
        <x:v>2W</x:v>
      </x:c>
      <x:c r="R212" t="str">
        <x:v>Cloud Migration</x:v>
      </x:c>
      <x:c r="S212"/>
      <x:c r="T212" t="str">
        <x:v>approved</x:v>
      </x:c>
      <x:c r="U212" t="str">
        <x:v>norhayati.saad@petronas.com</x:v>
      </x:c>
      <x:c r="V212" t="n">
        <x:v>46156.072648726855</x:v>
      </x:c>
      <x:c r="W212" t="str">
        <x:v>Cloud Repatriation - To decommission old resources in Singapore region due to completed migration in MY region</x:v>
      </x:c>
      <x:c r="X212" t="str">
        <x:v>approved</x:v>
      </x:c>
      <x:c r="Y212" t="str">
        <x:v>sazali.mokhtar@petronas.com</x:v>
      </x:c>
      <x:c r="Z212" t="n">
        <x:v>46184.069080775465</x:v>
      </x:c>
      <x:c r="AA212" t="str">
        <x:v>Cloud Repatriation - To decommission old resources in Singapore region due to completed migration in MY region</x:v>
      </x:c>
      <x:c r="AB212" t="str">
        <x:v>approved</x:v>
      </x:c>
      <x:c r="AC212" t="str">
        <x:v>azwan.badari@petronas.com</x:v>
      </x:c>
      <x:c r="AD212" t="n">
        <x:v>46197.399577268516</x:v>
      </x:c>
      <x:c r="AE212" t="str">
        <x:v>Refer to attachment</x:v>
      </x:c>
      <x:c r="AF212" t="str">
        <x:v>approved</x:v>
      </x:c>
      <x:c r="AG212" t="str">
        <x:v>azlisham.md@petronas.com</x:v>
      </x:c>
      <x:c r="AH212" t="n">
        <x:v>46209.10968123843</x:v>
      </x:c>
      <x:c r="AI212" t="str">
        <x:v>The decommission request has been completed, and the status is now updated accordingly. Kindly verify from your end and confirm once reviewed.
</x:v>
      </x:c>
      <x:c r="AJ212" t="str">
        <x:v>A-000368</x:v>
      </x:c>
      <x:c r="AK212" t="str">
        <x:v>OCI-00029</x:v>
      </x:c>
      <x:c r="AL212" t="str">
        <x:v>M</x:v>
      </x:c>
      <x:c r="AM212" t="str">
        <x:v>REQ000008119651</x:v>
      </x:c>
      <x:c r="AN212" t="str">
        <x:v>noretention</x:v>
      </x:c>
      <x:c r="AO212" t="n">
        <x:v>0</x:v>
      </x:c>
      <x:c r="AP212" s="23" t="str">
        <x:f>IF(E212="processing",IF(Z212="","",IF(ISNUMBER(Z212),INT(Z212),DATE(VALUE(LEFT(Z212,4)),VALUE(MID(Z212,6,2)),VALUE(MID(Z212,9,2))))),IF(OR(E212="executing",E212="pending"),IF(AD212="","",IF(ISNUMBER(AD212),INT(AD212),DATE(VALUE(LEFT(AD212,4)),VALUE(MID(AD212,6,2)),VALUE(MID(AD212,9,2))))),""))</x:f>
      </x:c>
      <x:c r="AQ212" s="24" t="str">
        <x:f>IF(AP212="","",INT('Configuration'!$B$4)-AP212)</x:f>
      </x:c>
      <x:c r="AR212" s="25" t="str">
        <x:f>IF(AP212="","Missing Required Date",IF(AQ212&lt;0,"Future Date",IF(AQ212=0,"0 days",IF(AQ212&lt;=2,"1-2 days",IF(AQ212&lt;=7,"3-7 days",IF(AQ212&lt;=14,"8-14 days",IF(AQ212&lt;=30,"15-30 days",IF(AQ212&lt;=60,"31-60 days",IF(AQ212&lt;=70,"61-70 days","71+ days")))))))))</x:f>
        <x:v>Missing Required Date</x:v>
      </x:c>
      <x:c r="AS212" s="25" t="str">
        <x:f>IF(OR(E212="processing",E212="executing",E212="pending"),IF(AP212="","Required aging date missing",IF(AQ212&gt;30,"Escalate &gt;30d",IF(AQ212&gt;14,"Watch &gt;14d","Within 14d"))),"Out of scope")</x:f>
        <x:v>Out of scope</x:v>
      </x:c>
    </x:row>
    <x:row r="213" ht="24" customHeight="1">
      <x:c r="A213" t="str">
        <x:v>fabc8b2c-9e98-4931-8a32-a902fa44e59d</x:v>
      </x:c>
      <x:c r="B213" t="str">
        <x:v>CSSP10207809</x:v>
      </x:c>
      <x:c r="C213" t="str">
        <x:v>norhayati.saad@petronas.com</x:v>
      </x:c>
      <x:c r="D213" t="str">
        <x:v>decommission-cloud</x:v>
      </x:c>
      <x:c r="E213" t="str">
        <x:v>completed</x:v>
      </x:c>
      <x:c r="F213" t="n">
        <x:v>46156.07348802083</x:v>
      </x:c>
      <x:c r="G213" t="n">
        <x:v>46204.29616693287</x:v>
      </x:c>
      <x:c r="H213" t="n">
        <x:v>46156.07348802083</x:v>
      </x:c>
      <x:c r="I213" t="str">
        <x:v>Integrated Computing and Security - ICS MRCSB</x:v>
      </x:c>
      <x:c r="J213" t="str">
        <x:v>OCI MIGRATION - ICSPROD: ACS Time Attendance System, HeadCount System, HSE Training Management System (HTMS), MANTRACKS, Meeting Room Booking System, Occupational Health Management System (OHMS)</x:v>
      </x:c>
      <x:c r="K213" t="str">
        <x:v>partial</x:v>
      </x:c>
      <x:c r="L213"/>
      <x:c r="M213" t="str">
        <x:v>sazali.mokhtar@petronas.com</x:v>
      </x:c>
      <x:c r="N213"/>
      <x:c r="O213"/>
      <x:c r="P213" t="str">
        <x:v>Cloud Repatriation - To decommission old resources in Singapore region due to completed migration in MY region</x:v>
      </x:c>
      <x:c r="Q213" t="str">
        <x:v>2W</x:v>
      </x:c>
      <x:c r="R213" t="str">
        <x:v>Cloud Migration</x:v>
      </x:c>
      <x:c r="S213"/>
      <x:c r="T213" t="str">
        <x:v>approved</x:v>
      </x:c>
      <x:c r="U213" t="str">
        <x:v>norhayati.saad@petronas.com</x:v>
      </x:c>
      <x:c r="V213" t="n">
        <x:v>46156.07583739583</x:v>
      </x:c>
      <x:c r="W213" t="str">
        <x:v>please decomm ptawsg-5icspdb01, PTAWSG-5ICSap01, PTAWSG-1ICSap01 and ptawsg-1icsprodb01. This cssp also related with CSSP10122979</x:v>
      </x:c>
      <x:c r="X213" t="str">
        <x:v>approved</x:v>
      </x:c>
      <x:c r="Y213" t="str">
        <x:v>sazali.mokhtar@petronas.com</x:v>
      </x:c>
      <x:c r="Z213" t="n">
        <x:v>46184.0683547338</x:v>
      </x:c>
      <x:c r="AA213" t="str">
        <x:v>Cloud Repatriation - To decommission old resources in Singapore region due to completed migration in MY region</x:v>
      </x:c>
      <x:c r="AB213" t="str">
        <x:v>approved</x:v>
      </x:c>
      <x:c r="AC213" t="str">
        <x:v>azwan.badari@petronas.com</x:v>
      </x:c>
      <x:c r="AD213" t="n">
        <x:v>46197.39973489584</x:v>
      </x:c>
      <x:c r="AE213" t="str">
        <x:v>Refer to attachment</x:v>
      </x:c>
      <x:c r="AF213" t="str">
        <x:v>approved</x:v>
      </x:c>
      <x:c r="AG213" t="str">
        <x:v>azlisham.md@petronas.com</x:v>
      </x:c>
      <x:c r="AH213" t="n">
        <x:v>46204.29616694444</x:v>
      </x:c>
      <x:c r="AI213" t="str">
        <x:v>The decommission request has been completed, and the status is now updated accordingly. Kindly verify from your end and confirm once reviewed.
</x:v>
      </x:c>
      <x:c r="AJ213" t="str">
        <x:v>A-000368</x:v>
      </x:c>
      <x:c r="AK213" t="str">
        <x:v>AWSOCI_001</x:v>
      </x:c>
      <x:c r="AL213" t="str">
        <x:v>M</x:v>
      </x:c>
      <x:c r="AM213" t="str">
        <x:v>REQ000008119652</x:v>
      </x:c>
      <x:c r="AN213" t="str">
        <x:v>noretention</x:v>
      </x:c>
      <x:c r="AO213" t="n">
        <x:v>0</x:v>
      </x:c>
      <x:c r="AP213" s="23" t="str">
        <x:f>IF(E213="processing",IF(Z213="","",IF(ISNUMBER(Z213),INT(Z213),DATE(VALUE(LEFT(Z213,4)),VALUE(MID(Z213,6,2)),VALUE(MID(Z213,9,2))))),IF(OR(E213="executing",E213="pending"),IF(AD213="","",IF(ISNUMBER(AD213),INT(AD213),DATE(VALUE(LEFT(AD213,4)),VALUE(MID(AD213,6,2)),VALUE(MID(AD213,9,2))))),""))</x:f>
      </x:c>
      <x:c r="AQ213" s="24" t="str">
        <x:f>IF(AP213="","",INT('Configuration'!$B$4)-AP213)</x:f>
      </x:c>
      <x:c r="AR213" s="25" t="str">
        <x:f>IF(AP213="","Missing Required Date",IF(AQ213&lt;0,"Future Date",IF(AQ213=0,"0 days",IF(AQ213&lt;=2,"1-2 days",IF(AQ213&lt;=7,"3-7 days",IF(AQ213&lt;=14,"8-14 days",IF(AQ213&lt;=30,"15-30 days",IF(AQ213&lt;=60,"31-60 days",IF(AQ213&lt;=70,"61-70 days","71+ days")))))))))</x:f>
        <x:v>Missing Required Date</x:v>
      </x:c>
      <x:c r="AS213" s="25" t="str">
        <x:f>IF(OR(E213="processing",E213="executing",E213="pending"),IF(AP213="","Required aging date missing",IF(AQ213&gt;30,"Escalate &gt;30d",IF(AQ213&gt;14,"Watch &gt;14d","Within 14d"))),"Out of scope")</x:f>
        <x:v>Out of scope</x:v>
      </x:c>
    </x:row>
    <x:row r="214" ht="24" customHeight="1">
      <x:c r="A214" t="str">
        <x:v>21ebe187-b5a8-468d-aa99-63c14ab854c4</x:v>
      </x:c>
      <x:c r="B214" t="str">
        <x:v>CSSP10246852</x:v>
      </x:c>
      <x:c r="C214" t="str">
        <x:v>mohamadfaisal.maasah@petronas.com</x:v>
      </x:c>
      <x:c r="D214" t="str">
        <x:v>decommission-cloud</x:v>
      </x:c>
      <x:c r="E214" t="str">
        <x:v>completed</x:v>
      </x:c>
      <x:c r="F214" t="n">
        <x:v>46156.091822372684</x:v>
      </x:c>
      <x:c r="G214" t="n">
        <x:v>46213.001630983796</x:v>
      </x:c>
      <x:c r="H214" t="n">
        <x:v>46156.091822372684</x:v>
      </x:c>
      <x:c r="I214" t="str">
        <x:v>Digital Fields</x:v>
      </x:c>
      <x:c r="J214" t="str">
        <x:v>Subscription of Cloud Services for Proxy Well Model (PWM) and Sand Advisor (SAr) for Scaling Digital Field for Center of Excellence</x:v>
      </x:c>
      <x:c r="K214" t="str">
        <x:v>full</x:v>
      </x:c>
      <x:c r="L214" t="str">
        <x:v>DCOM20260514fd1</x:v>
      </x:c>
      <x:c r="M214" t="str">
        <x:v>halim.matnoh@petronas.com</x:v>
      </x:c>
      <x:c r="N214" t="str">
        <x:v>not applicable</x:v>
      </x:c>
      <x:c r="O214" t="str">
        <x:v>01152_1</x:v>
      </x:c>
      <x:c r="P214" t="str">
        <x:v>to decomm 01152_1 as part of decommissioning for VFM WPAA solution</x:v>
      </x:c>
      <x:c r="Q214" t="str">
        <x:v>2W</x:v>
      </x:c>
      <x:c r="R214" t="str">
        <x:v>Not in Used</x:v>
      </x:c>
      <x:c r="S214"/>
      <x:c r="T214" t="str">
        <x:v>approved</x:v>
      </x:c>
      <x:c r="U214" t="str">
        <x:v>mohamadfaisal.maasah@petronas.com</x:v>
      </x:c>
      <x:c r="V214" t="n">
        <x:v>46188.357732083336</x:v>
      </x:c>
      <x:c r="W214" t="str">
        <x:v>to decomm 01152_1 as part of decommissioning for VFM WPAA solution</x:v>
      </x:c>
      <x:c r="X214" t="str">
        <x:v>approved</x:v>
      </x:c>
      <x:c r="Y214" t="str">
        <x:v>halim.matnoh@petronas.com</x:v>
      </x:c>
      <x:c r="Z214" t="n">
        <x:v>46195.16067460648</x:v>
      </x:c>
      <x:c r="AA214" t="str">
        <x:v>proceed</x:v>
      </x:c>
      <x:c r="AB214" t="str">
        <x:v>approved</x:v>
      </x:c>
      <x:c r="AC214" t="str">
        <x:v>amarja.kawade@petronas.com</x:v>
      </x:c>
      <x:c r="AD214" t="n">
        <x:v>46205.15854921296</x:v>
      </x:c>
      <x:c r="AE214" t="str">
        <x:v>to decommission all resources in PTAZSG-IAC-DAA-PROD-SCP-RG and remove DNS records for scp.petronas.com &amp; vps.petronas.com</x:v>
      </x:c>
      <x:c r="AF214" t="str">
        <x:v>approved</x:v>
      </x:c>
      <x:c r="AG214" t="str">
        <x:v>azwan.badari@petronas.com</x:v>
      </x:c>
      <x:c r="AH214" t="n">
        <x:v>46213.001630983796</x:v>
      </x:c>
      <x:c r="AI214" t="str">
        <x:v>Completed</x:v>
      </x:c>
      <x:c r="AJ214" t="str">
        <x:v>A-000206</x:v>
      </x:c>
      <x:c r="AK214" t="n">
        <x:v>1152</x:v>
      </x:c>
      <x:c r="AL214" t="str">
        <x:v>M</x:v>
      </x:c>
      <x:c r="AM214" t="str">
        <x:v>REQ000008138569</x:v>
      </x:c>
      <x:c r="AN214" t="str">
        <x:v>noretention</x:v>
      </x:c>
      <x:c r="AO214" t="n">
        <x:v>0</x:v>
      </x:c>
      <x:c r="AP214" s="23" t="str">
        <x:f>IF(E214="processing",IF(Z214="","",IF(ISNUMBER(Z214),INT(Z214),DATE(VALUE(LEFT(Z214,4)),VALUE(MID(Z214,6,2)),VALUE(MID(Z214,9,2))))),IF(OR(E214="executing",E214="pending"),IF(AD214="","",IF(ISNUMBER(AD214),INT(AD214),DATE(VALUE(LEFT(AD214,4)),VALUE(MID(AD214,6,2)),VALUE(MID(AD214,9,2))))),""))</x:f>
      </x:c>
      <x:c r="AQ214" s="24" t="str">
        <x:f>IF(AP214="","",INT('Configuration'!$B$4)-AP214)</x:f>
      </x:c>
      <x:c r="AR214" s="25" t="str">
        <x:f>IF(AP214="","Missing Required Date",IF(AQ214&lt;0,"Future Date",IF(AQ214=0,"0 days",IF(AQ214&lt;=2,"1-2 days",IF(AQ214&lt;=7,"3-7 days",IF(AQ214&lt;=14,"8-14 days",IF(AQ214&lt;=30,"15-30 days",IF(AQ214&lt;=60,"31-60 days",IF(AQ214&lt;=70,"61-70 days","71+ days")))))))))</x:f>
        <x:v>Missing Required Date</x:v>
      </x:c>
      <x:c r="AS214" s="25" t="str">
        <x:f>IF(OR(E214="processing",E214="executing",E214="pending"),IF(AP214="","Required aging date missing",IF(AQ214&gt;30,"Escalate &gt;30d",IF(AQ214&gt;14,"Watch &gt;14d","Within 14d"))),"Out of scope")</x:f>
        <x:v>Out of scope</x:v>
      </x:c>
    </x:row>
    <x:row r="215" ht="24" customHeight="1">
      <x:c r="A215" t="str">
        <x:v>302bc997-0693-40ef-8a39-f041b82f4eb2</x:v>
      </x:c>
      <x:c r="B215" t="str">
        <x:v>CSSP10725106</x:v>
      </x:c>
      <x:c r="C215" t="str">
        <x:v>taiyen.fa@petronas.com</x:v>
      </x:c>
      <x:c r="D215" t="str">
        <x:v>decommission-cloud</x:v>
      </x:c>
      <x:c r="E215" t="str">
        <x:v>completed</x:v>
      </x:c>
      <x:c r="F215" t="n">
        <x:v>46156.271295011575</x:v>
      </x:c>
      <x:c r="G215" t="n">
        <x:v>46177.25674892361</x:v>
      </x:c>
      <x:c r="H215" t="n">
        <x:v>46161.39208549768</x:v>
      </x:c>
      <x:c r="I215" t="str">
        <x:v>Alpha Gas</x:v>
      </x:c>
      <x:c r="J215" t="str">
        <x:v>Alpha Gas Run and Maintain 2025</x:v>
      </x:c>
      <x:c r="K215" t="str">
        <x:v>full</x:v>
      </x:c>
      <x:c r="L215" t="str">
        <x:v>DCOM2026051933d</x:v>
      </x:c>
      <x:c r="M215" t="str">
        <x:v>hazulfadli_hasan@petronas.com.my</x:v>
      </x:c>
      <x:c r="N215"/>
      <x:c r="O215"/>
      <x:c r="P215" t="str">
        <x:v>The product discontinuation is due to limited realised value, low user adoption and an unfavourable cost-benefit outlook for PEGT.</x:v>
      </x:c>
      <x:c r="Q215" t="str">
        <x:v>2W</x:v>
      </x:c>
      <x:c r="R215" t="str">
        <x:v>Not in Used</x:v>
      </x:c>
      <x:c r="S215"/>
      <x:c r="T215" t="str">
        <x:v>approved</x:v>
      </x:c>
      <x:c r="U215" t="str">
        <x:v>taiyen.fa@petronas.com</x:v>
      </x:c>
      <x:c r="V215" t="n">
        <x:v>46164.167837291665</x:v>
      </x:c>
      <x:c r="W215" t="str">
        <x:v>Additional AWS resources to decomission:
RDS Snapshots
arn:aws:rds:ap-southeast-1:730737176335:snapshot:final-ptawsg-4alphagasdb01-f0ac1a4e
arn:aws:rds:ap-southeast-1:730737176335:snapshot:final-ptawsg-5alphagasdb01-f27f7141
arn:aws:rds:ap-southeast-1:402513966462:snapshot:final-ptawsg-1alphagasdb01-457cf018
S3 Buckets
ptawsg-iac-nonprod-pdnt-alphagas-dev-bucket
ptawsg-iac-nonprod-pdnt-alphagas-stg-bucket
ptawsg-iac-prod-pdnt-alphagas-bucket
AWS Backup Vault
arn:aws:backup:ap-southeast-1:730737176335:backup-vault:PTAWSG-IAC-NonPROD-DEV-PDnT-ALPHAGAS-VAULT-S3
arn:aws:backup:ap-southeast-1:730737176335:backup-vault:PTAWSG-IAC-NonPROD-STG-PDnT-ALPHAGAS-VAULT-S3
arn:aws:backup:ap-southeast-1:402513966462:backup-vault:PTAWSG-IAC-PROD-PDnT-ALPHAGAS-VAULT-S3</x:v>
      </x:c>
      <x:c r="X215" t="str">
        <x:v>approved</x:v>
      </x:c>
      <x:c r="Y215" t="str">
        <x:v>hazulfadli_hasan@petronas.com</x:v>
      </x:c>
      <x:c r="Z215" t="n">
        <x:v>46164.29054394676</x:v>
      </x:c>
      <x:c r="AA215" t="str">
        <x:v>Reviewed and align with PEGT management decision </x:v>
      </x:c>
      <x:c r="AB215" t="str">
        <x:v>approved</x:v>
      </x:c>
      <x:c r="AC215" t="str">
        <x:v>azwan.badari@petronas.com</x:v>
      </x:c>
      <x:c r="AD215" t="n">
        <x:v>46167.07193493056</x:v>
      </x:c>
      <x:c r="AE215" t="str">
        <x:v>Decommission all resources for AlphaGas (04555) and DNS.
alphagas.petronas.com
dev.alphagas.petronas.com
stg.alphagas.petronas.com</x:v>
      </x:c>
      <x:c r="AF215" t="str">
        <x:v>approved</x:v>
      </x:c>
      <x:c r="AG215" t="str">
        <x:v>azwan.badari@petronas.com</x:v>
      </x:c>
      <x:c r="AH215" t="n">
        <x:v>46177.256748935186</x:v>
      </x:c>
      <x:c r="AI215" t="str">
        <x:v>Completed</x:v>
      </x:c>
      <x:c r="AJ215" t="str">
        <x:v>A-000042</x:v>
      </x:c>
      <x:c r="AK215" t="n">
        <x:v>4555</x:v>
      </x:c>
      <x:c r="AL215" t="str">
        <x:v>L</x:v>
      </x:c>
      <x:c r="AM215" t="str">
        <x:v>REQ000008066611</x:v>
      </x:c>
      <x:c r="AN215" t="str">
        <x:v>disposal</x:v>
      </x:c>
      <x:c r="AO215" t="n">
        <x:v>0</x:v>
      </x:c>
      <x:c r="AP215" s="23" t="str">
        <x:f>IF(E215="processing",IF(Z215="","",IF(ISNUMBER(Z215),INT(Z215),DATE(VALUE(LEFT(Z215,4)),VALUE(MID(Z215,6,2)),VALUE(MID(Z215,9,2))))),IF(OR(E215="executing",E215="pending"),IF(AD215="","",IF(ISNUMBER(AD215),INT(AD215),DATE(VALUE(LEFT(AD215,4)),VALUE(MID(AD215,6,2)),VALUE(MID(AD215,9,2))))),""))</x:f>
      </x:c>
      <x:c r="AQ215" s="24" t="str">
        <x:f>IF(AP215="","",INT('Configuration'!$B$4)-AP215)</x:f>
      </x:c>
      <x:c r="AR215" s="25" t="str">
        <x:f>IF(AP215="","Missing Required Date",IF(AQ215&lt;0,"Future Date",IF(AQ215=0,"0 days",IF(AQ215&lt;=2,"1-2 days",IF(AQ215&lt;=7,"3-7 days",IF(AQ215&lt;=14,"8-14 days",IF(AQ215&lt;=30,"15-30 days",IF(AQ215&lt;=60,"31-60 days",IF(AQ215&lt;=70,"61-70 days","71+ days")))))))))</x:f>
        <x:v>Missing Required Date</x:v>
      </x:c>
      <x:c r="AS215" s="25" t="str">
        <x:f>IF(OR(E215="processing",E215="executing",E215="pending"),IF(AP215="","Required aging date missing",IF(AQ215&gt;30,"Escalate &gt;30d",IF(AQ215&gt;14,"Watch &gt;14d","Within 14d"))),"Out of scope")</x:f>
        <x:v>Out of scope</x:v>
      </x:c>
    </x:row>
    <x:row r="216" ht="24" customHeight="1">
      <x:c r="A216" t="str">
        <x:v>cad1143c-1c95-448c-b393-be3699fc7ff4</x:v>
      </x:c>
      <x:c r="B216" t="str">
        <x:v>CSSP10128428</x:v>
      </x:c>
      <x:c r="C216" t="str">
        <x:v>izdihar.roslan@petronas.com</x:v>
      </x:c>
      <x:c r="D216" t="str">
        <x:v>decommission-cloud</x:v>
      </x:c>
      <x:c r="E216" t="str">
        <x:v>completed</x:v>
      </x:c>
      <x:c r="F216" t="n">
        <x:v>46156.3205771412</x:v>
      </x:c>
      <x:c r="G216" t="n">
        <x:v>46217.297702766205</x:v>
      </x:c>
      <x:c r="H216" t="n">
        <x:v>46156.3205771412</x:v>
      </x:c>
      <x:c r="I216" t="str">
        <x:v>Lab Information Management System - LIMS PGB</x:v>
      </x:c>
      <x:c r="J216" t="str">
        <x:v>OCI MIGRATION - LIMS PGB</x:v>
      </x:c>
      <x:c r="K216" t="str">
        <x:v>partial</x:v>
      </x:c>
      <x:c r="L216"/>
      <x:c r="M216" t="str">
        <x:v>sazali.mokhtar@petronas.com</x:v>
      </x:c>
      <x:c r="N216"/>
      <x:c r="O216"/>
      <x:c r="P216" t="str">
        <x:v>Cloud Repatriation - To decommission old resources in Singapore region due to completed migration in MY region</x:v>
      </x:c>
      <x:c r="Q216" t="str">
        <x:v>2W</x:v>
      </x:c>
      <x:c r="R216" t="str">
        <x:v>Cloud Migration</x:v>
      </x:c>
      <x:c r="S216"/>
      <x:c r="T216" t="str">
        <x:v>approved</x:v>
      </x:c>
      <x:c r="U216" t="str">
        <x:v>izdihar.roslan@petronas.com</x:v>
      </x:c>
      <x:c r="V216" t="n">
        <x:v>46156.32162744213</x:v>
      </x:c>
      <x:c r="W216" t="str">
        <x:v>Cloud Repatriation - To decommission old resources in Singapore region due to completed migration in MY region</x:v>
      </x:c>
      <x:c r="X216" t="str">
        <x:v>approved</x:v>
      </x:c>
      <x:c r="Y216" t="str">
        <x:v>sazali.mokhtar@petronas.com</x:v>
      </x:c>
      <x:c r="Z216" t="n">
        <x:v>46184.06733737268</x:v>
      </x:c>
      <x:c r="AA216" t="str">
        <x:v>Cloud Repatriation - To decommission old resources in Singapore region due to completed migration in MY region</x:v>
      </x:c>
      <x:c r="AB216" t="str">
        <x:v>approved</x:v>
      </x:c>
      <x:c r="AC216" t="str">
        <x:v>azwan.badari@petronas.com</x:v>
      </x:c>
      <x:c r="AD216" t="n">
        <x:v>46188.13995243055</x:v>
      </x:c>
      <x:c r="AE216" t="str">
        <x:v>Decommission resources in SG</x:v>
      </x:c>
      <x:c r="AF216" t="str">
        <x:v>approved</x:v>
      </x:c>
      <x:c r="AG216" t="str">
        <x:v>azlisham.md@petronas.com</x:v>
      </x:c>
      <x:c r="AH216" t="n">
        <x:v>46217.297702777774</x:v>
      </x:c>
      <x:c r="AI216" t="str">
        <x:v>The decommission request has been completed, and the status is now updated accordingly. Kindly verify from your end and confirm once reviewed.
</x:v>
      </x:c>
      <x:c r="AJ216" t="str">
        <x:v>A-000428</x:v>
      </x:c>
      <x:c r="AK216" t="str">
        <x:v>00915_224</x:v>
      </x:c>
      <x:c r="AL216" t="str">
        <x:v>M</x:v>
      </x:c>
      <x:c r="AM216" t="str">
        <x:v>REQ000008100447</x:v>
      </x:c>
      <x:c r="AN216" t="str">
        <x:v>disposal</x:v>
      </x:c>
      <x:c r="AO216" t="n">
        <x:v>0</x:v>
      </x:c>
      <x:c r="AP216" s="23" t="str">
        <x:f>IF(E216="processing",IF(Z216="","",IF(ISNUMBER(Z216),INT(Z216),DATE(VALUE(LEFT(Z216,4)),VALUE(MID(Z216,6,2)),VALUE(MID(Z216,9,2))))),IF(OR(E216="executing",E216="pending"),IF(AD216="","",IF(ISNUMBER(AD216),INT(AD216),DATE(VALUE(LEFT(AD216,4)),VALUE(MID(AD216,6,2)),VALUE(MID(AD216,9,2))))),""))</x:f>
      </x:c>
      <x:c r="AQ216" s="24" t="str">
        <x:f>IF(AP216="","",INT('Configuration'!$B$4)-AP216)</x:f>
      </x:c>
      <x:c r="AR216" s="25" t="str">
        <x:f>IF(AP216="","Missing Required Date",IF(AQ216&lt;0,"Future Date",IF(AQ216=0,"0 days",IF(AQ216&lt;=2,"1-2 days",IF(AQ216&lt;=7,"3-7 days",IF(AQ216&lt;=14,"8-14 days",IF(AQ216&lt;=30,"15-30 days",IF(AQ216&lt;=60,"31-60 days",IF(AQ216&lt;=70,"61-70 days","71+ days")))))))))</x:f>
        <x:v>Missing Required Date</x:v>
      </x:c>
      <x:c r="AS216" s="25" t="str">
        <x:f>IF(OR(E216="processing",E216="executing",E216="pending"),IF(AP216="","Required aging date missing",IF(AQ216&gt;30,"Escalate &gt;30d",IF(AQ216&gt;14,"Watch &gt;14d","Within 14d"))),"Out of scope")</x:f>
        <x:v>Out of scope</x:v>
      </x:c>
    </x:row>
    <x:row r="217" ht="24" customHeight="1">
      <x:c r="A217" t="str">
        <x:v>05ee937d-9af7-4e68-a0fc-abf2b24526a4</x:v>
      </x:c>
      <x:c r="B217" t="str">
        <x:v>CSSP10777099</x:v>
      </x:c>
      <x:c r="C217" t="str">
        <x:v>izdihar.roslan@petronas.com</x:v>
      </x:c>
      <x:c r="D217" t="str">
        <x:v>decommission-cloud</x:v>
      </x:c>
      <x:c r="E217" t="str">
        <x:v>completed</x:v>
      </x:c>
      <x:c r="F217" t="n">
        <x:v>46156.322693263886</x:v>
      </x:c>
      <x:c r="G217" t="n">
        <x:v>46198.24800104167</x:v>
      </x:c>
      <x:c r="H217" t="n">
        <x:v>46156.322693263886</x:v>
      </x:c>
      <x:c r="I217" t="str">
        <x:v>Lab Information Management System - LIMS PGB</x:v>
      </x:c>
      <x:c r="J217" t="str">
        <x:v>OCI MIGRATION - Integrated Lab Information System (PGB)</x:v>
      </x:c>
      <x:c r="K217" t="str">
        <x:v>partial</x:v>
      </x:c>
      <x:c r="L217"/>
      <x:c r="M217" t="str">
        <x:v>sazali.mokhtar@petronas.com</x:v>
      </x:c>
      <x:c r="N217"/>
      <x:c r="O217"/>
      <x:c r="P217" t="str">
        <x:v>Cloud Repatriation - To decommission old resources in Singapore region due to completed migration in MY region</x:v>
      </x:c>
      <x:c r="Q217" t="str">
        <x:v>2W</x:v>
      </x:c>
      <x:c r="R217" t="str">
        <x:v>Cloud Migration</x:v>
      </x:c>
      <x:c r="S217"/>
      <x:c r="T217" t="str">
        <x:v>approved</x:v>
      </x:c>
      <x:c r="U217" t="str">
        <x:v>izdihar.roslan@petronas.com</x:v>
      </x:c>
      <x:c r="V217" t="n">
        <x:v>46156.322948009256</x:v>
      </x:c>
      <x:c r="W217" t="str">
        <x:v>Cloud Repatriation - To decommission old resources in Singapore region due to completed migration in MY region</x:v>
      </x:c>
      <x:c r="X217" t="str">
        <x:v>approved</x:v>
      </x:c>
      <x:c r="Y217" t="str">
        <x:v>sazali.mokhtar@petronas.com</x:v>
      </x:c>
      <x:c r="Z217" t="n">
        <x:v>46184.066488125</x:v>
      </x:c>
      <x:c r="AA217" t="str">
        <x:v>Cloud Repatriation - To decommission old resources in Singapore region due to completed migration in MY region</x:v>
      </x:c>
      <x:c r="AB217" t="str">
        <x:v>approved</x:v>
      </x:c>
      <x:c r="AC217" t="str">
        <x:v>azwan.badari@petronas.com</x:v>
      </x:c>
      <x:c r="AD217" t="n">
        <x:v>46188.13920064815</x:v>
      </x:c>
      <x:c r="AE217" t="str">
        <x:v>Decommission resources in SG</x:v>
      </x:c>
      <x:c r="AF217" t="str">
        <x:v>approved</x:v>
      </x:c>
      <x:c r="AG217" t="str">
        <x:v>azlisham.md@petronas.com</x:v>
      </x:c>
      <x:c r="AH217" t="n">
        <x:v>46198.24800105324</x:v>
      </x:c>
      <x:c r="AI217" t="str">
        <x:v>The decommission request has been completed, and the status is now updated accordingly. Kindly verify from your end and confirm once reviewed.
</x:v>
      </x:c>
      <x:c r="AJ217" t="str">
        <x:v>A-000428</x:v>
      </x:c>
      <x:c r="AK217" t="str">
        <x:v>OCI-00026</x:v>
      </x:c>
      <x:c r="AL217" t="str">
        <x:v>M</x:v>
      </x:c>
      <x:c r="AM217" t="str">
        <x:v>REQ000008099890</x:v>
      </x:c>
      <x:c r="AN217" t="str">
        <x:v>disposal</x:v>
      </x:c>
      <x:c r="AO217" t="n">
        <x:v>0</x:v>
      </x:c>
      <x:c r="AP217" s="23" t="str">
        <x:f>IF(E217="processing",IF(Z217="","",IF(ISNUMBER(Z217),INT(Z217),DATE(VALUE(LEFT(Z217,4)),VALUE(MID(Z217,6,2)),VALUE(MID(Z217,9,2))))),IF(OR(E217="executing",E217="pending"),IF(AD217="","",IF(ISNUMBER(AD217),INT(AD217),DATE(VALUE(LEFT(AD217,4)),VALUE(MID(AD217,6,2)),VALUE(MID(AD217,9,2))))),""))</x:f>
      </x:c>
      <x:c r="AQ217" s="24" t="str">
        <x:f>IF(AP217="","",INT('Configuration'!$B$4)-AP217)</x:f>
      </x:c>
      <x:c r="AR217" s="25" t="str">
        <x:f>IF(AP217="","Missing Required Date",IF(AQ217&lt;0,"Future Date",IF(AQ217=0,"0 days",IF(AQ217&lt;=2,"1-2 days",IF(AQ217&lt;=7,"3-7 days",IF(AQ217&lt;=14,"8-14 days",IF(AQ217&lt;=30,"15-30 days",IF(AQ217&lt;=60,"31-60 days",IF(AQ217&lt;=70,"61-70 days","71+ days")))))))))</x:f>
        <x:v>Missing Required Date</x:v>
      </x:c>
      <x:c r="AS217" s="25" t="str">
        <x:f>IF(OR(E217="processing",E217="executing",E217="pending"),IF(AP217="","Required aging date missing",IF(AQ217&gt;30,"Escalate &gt;30d",IF(AQ217&gt;14,"Watch &gt;14d","Within 14d"))),"Out of scope")</x:f>
        <x:v>Out of scope</x:v>
      </x:c>
    </x:row>
    <x:row r="218" ht="24" customHeight="1">
      <x:c r="A218" t="str">
        <x:v>8a2c351c-bd7d-44f7-b6c4-d64ff5cd2a02</x:v>
      </x:c>
      <x:c r="B218" t="str">
        <x:v>CSSP10355804</x:v>
      </x:c>
      <x:c r="C218" t="str">
        <x:v>luqmanhakim.ismai@petronas.com</x:v>
      </x:c>
      <x:c r="D218" t="str">
        <x:v>decommission-cloud</x:v>
      </x:c>
      <x:c r="E218" t="str">
        <x:v>cancelled</x:v>
      </x:c>
      <x:c r="F218" t="n">
        <x:v>46157.02472997685</x:v>
      </x:c>
      <x:c r="G218" t="n">
        <x:v>46160.30774204861</x:v>
      </x:c>
      <x:c r="H218" t="n">
        <x:v>46157.02472997685</x:v>
      </x:c>
      <x:c r="I218" t="str">
        <x:v>SAP 36 SRM Enterprise Buyer Professional</x:v>
      </x:c>
      <x:c r="J218" t="str">
        <x:v>Cloud Migration Program - Portal for SRM Enterprise Buyer Professional (SAP36)</x:v>
      </x:c>
      <x:c r="K218" t="str">
        <x:v>partial</x:v>
      </x:c>
      <x:c r="L218"/>
      <x:c r="M218" t="str">
        <x:v>rizuanatan@petronas.com</x:v>
      </x:c>
      <x:c r="N218"/>
      <x:c r="O218"/>
      <x:c r="P218" t="str">
        <x:v>Test</x:v>
      </x:c>
      <x:c r="Q218" t="str">
        <x:v>2W</x:v>
      </x:c>
      <x:c r="R218" t="str">
        <x:v>Not in Used</x:v>
      </x:c>
      <x:c r="S218"/>
      <x:c r="T218" t="str">
        <x:v>rejected</x:v>
      </x:c>
      <x:c r="U218" t="str">
        <x:v>luqmanhakim.ismai@petronas.com</x:v>
      </x:c>
      <x:c r="V218" t="n">
        <x:v>46160.30774204861</x:v>
      </x:c>
      <x:c r="W218"/>
      <x:c r="X218"/>
      <x:c r="Y218" t="str">
        <x:v>rizuanatan@petronas.com</x:v>
      </x:c>
      <x:c r="Z218"/>
      <x:c r="AA218"/>
      <x:c r="AB218"/>
      <x:c r="AC218" t="str">
        <x:v>CCoE Business</x:v>
      </x:c>
      <x:c r="AD218"/>
      <x:c r="AE218"/>
      <x:c r="AF218"/>
      <x:c r="AG218" t="str">
        <x:v>CCoE Operations</x:v>
      </x:c>
      <x:c r="AH218"/>
      <x:c r="AI218"/>
      <x:c r="AJ218" t="str">
        <x:v>A-000719</x:v>
      </x:c>
      <x:c r="AK218" t="str">
        <x:v>00915_131</x:v>
      </x:c>
      <x:c r="AL218"/>
      <x:c r="AM218"/>
      <x:c r="AN218" t="str">
        <x:v>noretention</x:v>
      </x:c>
      <x:c r="AO218" t="n">
        <x:v>0</x:v>
      </x:c>
      <x:c r="AP218" s="23" t="str">
        <x:f>IF(E218="processing",IF(Z218="","",IF(ISNUMBER(Z218),INT(Z218),DATE(VALUE(LEFT(Z218,4)),VALUE(MID(Z218,6,2)),VALUE(MID(Z218,9,2))))),IF(OR(E218="executing",E218="pending"),IF(AD218="","",IF(ISNUMBER(AD218),INT(AD218),DATE(VALUE(LEFT(AD218,4)),VALUE(MID(AD218,6,2)),VALUE(MID(AD218,9,2))))),""))</x:f>
      </x:c>
      <x:c r="AQ218" s="24" t="str">
        <x:f>IF(AP218="","",INT('Configuration'!$B$4)-AP218)</x:f>
      </x:c>
      <x:c r="AR218" s="25" t="str">
        <x:f>IF(AP218="","Missing Required Date",IF(AQ218&lt;0,"Future Date",IF(AQ218=0,"0 days",IF(AQ218&lt;=2,"1-2 days",IF(AQ218&lt;=7,"3-7 days",IF(AQ218&lt;=14,"8-14 days",IF(AQ218&lt;=30,"15-30 days",IF(AQ218&lt;=60,"31-60 days",IF(AQ218&lt;=70,"61-70 days","71+ days")))))))))</x:f>
        <x:v>Missing Required Date</x:v>
      </x:c>
      <x:c r="AS218" s="25" t="str">
        <x:f>IF(OR(E218="processing",E218="executing",E218="pending"),IF(AP218="","Required aging date missing",IF(AQ218&gt;30,"Escalate &gt;30d",IF(AQ218&gt;14,"Watch &gt;14d","Within 14d"))),"Out of scope")</x:f>
        <x:v>Out of scope</x:v>
      </x:c>
    </x:row>
    <x:row r="219" ht="24" customHeight="1">
      <x:c r="A219" t="str">
        <x:v>ad3d6371-3967-402c-a27c-2ee69a0652ca</x:v>
      </x:c>
      <x:c r="B219" t="str">
        <x:v>CSSP10562864</x:v>
      </x:c>
      <x:c r="C219" t="str">
        <x:v>haslina.hashim@petronas.com</x:v>
      </x:c>
      <x:c r="D219" t="str">
        <x:v>decommission-cloud</x:v>
      </x:c>
      <x:c r="E219" t="str">
        <x:v>completed</x:v>
      </x:c>
      <x:c r="F219" t="n">
        <x:v>46160.10242762732</x:v>
      </x:c>
      <x:c r="G219" t="n">
        <x:v>46197.33616951389</x:v>
      </x:c>
      <x:c r="H219" t="n">
        <x:v>46160.10242762732</x:v>
      </x:c>
      <x:c r="I219" t="str">
        <x:v>Zidane LVC</x:v>
      </x:c>
      <x:c r="J219" t="str">
        <x:v>Provision of Professional Service, Software License and Infra for Umbrella ArBiTra for PLL 2022-2023</x:v>
      </x:c>
      <x:c r="K219" t="str">
        <x:v>partial</x:v>
      </x:c>
      <x:c r="L219"/>
      <x:c r="M219" t="str">
        <x:v>sazali.mokhtar@petronas.com</x:v>
      </x:c>
      <x:c r="N219"/>
      <x:c r="O219"/>
      <x:c r="P219" t="str">
        <x:v>Cloud Repatriation - To decommission old resources in Singapore region due to completed migration in MY region. Please refer below attachment. Only the highlighted resources can be decom.</x:v>
      </x:c>
      <x:c r="Q219" t="str">
        <x:v>2W</x:v>
      </x:c>
      <x:c r="R219" t="str">
        <x:v>Cloud Migration</x:v>
      </x:c>
      <x:c r="S219"/>
      <x:c r="T219" t="str">
        <x:v>approved</x:v>
      </x:c>
      <x:c r="U219" t="str">
        <x:v>haslina.hashim@petronas.com</x:v>
      </x:c>
      <x:c r="V219" t="n">
        <x:v>46160.102847407405</x:v>
      </x:c>
      <x:c r="W219" t="str">
        <x:v>Please proceed with the attached lists</x:v>
      </x:c>
      <x:c r="X219" t="str">
        <x:v>approved</x:v>
      </x:c>
      <x:c r="Y219" t="str">
        <x:v>sazali.mokhtar@petronas.com</x:v>
      </x:c>
      <x:c r="Z219" t="n">
        <x:v>46167.346322094905</x:v>
      </x:c>
      <x:c r="AA219" t="str">
        <x:v>Cloud Repatriation - To decommission old resources in Singapore region due to completed migration in MY region. </x:v>
      </x:c>
      <x:c r="AB219" t="str">
        <x:v>approved</x:v>
      </x:c>
      <x:c r="AC219" t="str">
        <x:v>azwan.badari@petronas.com</x:v>
      </x:c>
      <x:c r="AD219" t="n">
        <x:v>46176.28335730324</x:v>
      </x:c>
      <x:c r="AE219" t="str">
        <x:v>Decommission 02835 resources in SG</x:v>
      </x:c>
      <x:c r="AF219" t="str">
        <x:v>approved</x:v>
      </x:c>
      <x:c r="AG219" t="str">
        <x:v>azwan.badari@petronas.com</x:v>
      </x:c>
      <x:c r="AH219" t="n">
        <x:v>46197.33616951389</x:v>
      </x:c>
      <x:c r="AI219" t="str">
        <x:v>Completed</x:v>
      </x:c>
      <x:c r="AJ219" t="str">
        <x:v>A-000063</x:v>
      </x:c>
      <x:c r="AK219" t="n">
        <x:v>2835</x:v>
      </x:c>
      <x:c r="AL219" t="str">
        <x:v>M</x:v>
      </x:c>
      <x:c r="AM219" t="str">
        <x:v>REQ000008078369</x:v>
      </x:c>
      <x:c r="AN219" t="str">
        <x:v>noretention</x:v>
      </x:c>
      <x:c r="AO219" t="n">
        <x:v>0</x:v>
      </x:c>
      <x:c r="AP219" s="23" t="str">
        <x:f>IF(E219="processing",IF(Z219="","",IF(ISNUMBER(Z219),INT(Z219),DATE(VALUE(LEFT(Z219,4)),VALUE(MID(Z219,6,2)),VALUE(MID(Z219,9,2))))),IF(OR(E219="executing",E219="pending"),IF(AD219="","",IF(ISNUMBER(AD219),INT(AD219),DATE(VALUE(LEFT(AD219,4)),VALUE(MID(AD219,6,2)),VALUE(MID(AD219,9,2))))),""))</x:f>
      </x:c>
      <x:c r="AQ219" s="24" t="str">
        <x:f>IF(AP219="","",INT('Configuration'!$B$4)-AP219)</x:f>
      </x:c>
      <x:c r="AR219" s="25" t="str">
        <x:f>IF(AP219="","Missing Required Date",IF(AQ219&lt;0,"Future Date",IF(AQ219=0,"0 days",IF(AQ219&lt;=2,"1-2 days",IF(AQ219&lt;=7,"3-7 days",IF(AQ219&lt;=14,"8-14 days",IF(AQ219&lt;=30,"15-30 days",IF(AQ219&lt;=60,"31-60 days",IF(AQ219&lt;=70,"61-70 days","71+ days")))))))))</x:f>
        <x:v>Missing Required Date</x:v>
      </x:c>
      <x:c r="AS219" s="25" t="str">
        <x:f>IF(OR(E219="processing",E219="executing",E219="pending"),IF(AP219="","Required aging date missing",IF(AQ219&gt;30,"Escalate &gt;30d",IF(AQ219&gt;14,"Watch &gt;14d","Within 14d"))),"Out of scope")</x:f>
        <x:v>Out of scope</x:v>
      </x:c>
    </x:row>
    <x:row r="220" ht="24" customHeight="1">
      <x:c r="A220" t="str">
        <x:v>27921864-7aa8-4168-946a-4d611d246d01</x:v>
      </x:c>
      <x:c r="B220" t="str">
        <x:v>CSSP10322010</x:v>
      </x:c>
      <x:c r="C220" t="str">
        <x:v>luqmanhakim.ismai@petronas.com</x:v>
      </x:c>
      <x:c r="D220" t="str">
        <x:v>decommission-cloud</x:v>
      </x:c>
      <x:c r="E220" t="str">
        <x:v>completed</x:v>
      </x:c>
      <x:c r="F220" t="n">
        <x:v>46160.11730074074</x:v>
      </x:c>
      <x:c r="G220" t="n">
        <x:v>46164.30622398148</x:v>
      </x:c>
      <x:c r="H220" t="n">
        <x:v>46160.11730074074</x:v>
      </x:c>
      <x:c r="I220" t="str">
        <x:v>SAP 36 SRM Enterprise Buyer Professional</x:v>
      </x:c>
      <x:c r="J220" t="str">
        <x:v>Cloud Migration Program - Portal for SRM Enterprise Buyer Professional (SAP36)</x:v>
      </x:c>
      <x:c r="K220" t="str">
        <x:v>partial</x:v>
      </x:c>
      <x:c r="L220"/>
      <x:c r="M220" t="str">
        <x:v>rizuanatan@petronas.com</x:v>
      </x:c>
      <x:c r="N220"/>
      <x:c r="O220"/>
      <x:c r="P220" t="str">
        <x:v>These DR servers [ptsg-1ebpap06DR (172.25.152.22), ptsg-1ebpdb06DR (172.25.152.19), ptsg-1ebpsc06dr (172.25.152.8)] are no longer in use and should be cleaned up to optimize costs.
</x:v>
      </x:c>
      <x:c r="Q220" t="str">
        <x:v>2W</x:v>
      </x:c>
      <x:c r="R220" t="str">
        <x:v>Not in Used</x:v>
      </x:c>
      <x:c r="S220"/>
      <x:c r="T220" t="str">
        <x:v>approved</x:v>
      </x:c>
      <x:c r="U220" t="str">
        <x:v>luqmanhakim.ismai@petronas.com</x:v>
      </x:c>
      <x:c r="V220" t="n">
        <x:v>46160.306201099535</x:v>
      </x:c>
      <x:c r="W220" t="str">
        <x:v>These resources were used for DR simulations. However, they are no longer in use and should be cleaned up to optimize costs.</x:v>
      </x:c>
      <x:c r="X220" t="str">
        <x:v>approved</x:v>
      </x:c>
      <x:c r="Y220" t="str">
        <x:v>rizuanatan@petronas.com</x:v>
      </x:c>
      <x:c r="Z220" t="n">
        <x:v>46162.40449284722</x:v>
      </x:c>
      <x:c r="AA220" t="str">
        <x:v>Please proceed</x:v>
      </x:c>
      <x:c r="AB220" t="str">
        <x:v>approved</x:v>
      </x:c>
      <x:c r="AC220" t="str">
        <x:v>azwan.badari@petronas.com</x:v>
      </x:c>
      <x:c r="AD220" t="n">
        <x:v>46162.977706956015</x:v>
      </x:c>
      <x:c r="AE220" t="str">
        <x:v>Decommission 
ptsg-1ebpap06DR (172.25.152.22), 
ptsg-1ebpdb06DR (172.25.152.19), 
ptsg-1ebpsc06dr (172.25.152.8)</x:v>
      </x:c>
      <x:c r="AF220" t="str">
        <x:v>approved</x:v>
      </x:c>
      <x:c r="AG220" t="str">
        <x:v>azwan.badari@petronas.com</x:v>
      </x:c>
      <x:c r="AH220" t="n">
        <x:v>46164.30622399306</x:v>
      </x:c>
      <x:c r="AI220" t="str">
        <x:v>Completed</x:v>
      </x:c>
      <x:c r="AJ220" t="str">
        <x:v>A-000719</x:v>
      </x:c>
      <x:c r="AK220" t="str">
        <x:v>00915_131</x:v>
      </x:c>
      <x:c r="AL220" t="str">
        <x:v>S</x:v>
      </x:c>
      <x:c r="AM220" t="str">
        <x:v>REQ000008060807</x:v>
      </x:c>
      <x:c r="AN220" t="str">
        <x:v>noretention</x:v>
      </x:c>
      <x:c r="AO220" t="n">
        <x:v>0</x:v>
      </x:c>
      <x:c r="AP220" s="23" t="str">
        <x:f>IF(E220="processing",IF(Z220="","",IF(ISNUMBER(Z220),INT(Z220),DATE(VALUE(LEFT(Z220,4)),VALUE(MID(Z220,6,2)),VALUE(MID(Z220,9,2))))),IF(OR(E220="executing",E220="pending"),IF(AD220="","",IF(ISNUMBER(AD220),INT(AD220),DATE(VALUE(LEFT(AD220,4)),VALUE(MID(AD220,6,2)),VALUE(MID(AD220,9,2))))),""))</x:f>
      </x:c>
      <x:c r="AQ220" s="24" t="str">
        <x:f>IF(AP220="","",INT('Configuration'!$B$4)-AP220)</x:f>
      </x:c>
      <x:c r="AR220" s="25" t="str">
        <x:f>IF(AP220="","Missing Required Date",IF(AQ220&lt;0,"Future Date",IF(AQ220=0,"0 days",IF(AQ220&lt;=2,"1-2 days",IF(AQ220&lt;=7,"3-7 days",IF(AQ220&lt;=14,"8-14 days",IF(AQ220&lt;=30,"15-30 days",IF(AQ220&lt;=60,"31-60 days",IF(AQ220&lt;=70,"61-70 days","71+ days")))))))))</x:f>
        <x:v>Missing Required Date</x:v>
      </x:c>
      <x:c r="AS220" s="25" t="str">
        <x:f>IF(OR(E220="processing",E220="executing",E220="pending"),IF(AP220="","Required aging date missing",IF(AQ220&gt;30,"Escalate &gt;30d",IF(AQ220&gt;14,"Watch &gt;14d","Within 14d"))),"Out of scope")</x:f>
        <x:v>Out of scope</x:v>
      </x:c>
    </x:row>
    <x:row r="221" ht="24" customHeight="1">
      <x:c r="A221" t="str">
        <x:v>656e40ce-8f02-4e32-8bb3-f5f9c5e4d40e</x:v>
      </x:c>
      <x:c r="B221" t="str">
        <x:v>CSSP10776636</x:v>
      </x:c>
      <x:c r="C221" t="str">
        <x:v>haslina.hashim@petronas.com</x:v>
      </x:c>
      <x:c r="D221" t="str">
        <x:v>decommission-cloud</x:v>
      </x:c>
      <x:c r="E221" t="str">
        <x:v>cancelled</x:v>
      </x:c>
      <x:c r="F221" t="n">
        <x:v>46161.08342449074</x:v>
      </x:c>
      <x:c r="G221" t="n">
        <x:v>46161.083687199076</x:v>
      </x:c>
      <x:c r="H221" t="n">
        <x:v>46161.08342449074</x:v>
      </x:c>
      <x:c r="I221" t="str">
        <x:v>Zidane OVC</x:v>
      </x:c>
      <x:c r="J221" t="str">
        <x:v>Professional Service, Software License and Infra for ArBiTra to PTLCL 2022-2023</x:v>
      </x:c>
      <x:c r="K221" t="str">
        <x:v>partial</x:v>
      </x:c>
      <x:c r="L221"/>
      <x:c r="M221" t="str">
        <x:v>sazali.mokhtar@petronas.com</x:v>
      </x:c>
      <x:c r="N221"/>
      <x:c r="O221"/>
      <x:c r="P221" t="str">
        <x:v>Cloud Repatriation - To decommission old resources in Singapore region due to completed migration in MY region. Please refer below attachment. Only the highlighted resources can be decom. For OVC consists variety Project code.</x:v>
      </x:c>
      <x:c r="Q221" t="str">
        <x:v>2W</x:v>
      </x:c>
      <x:c r="R221" t="str">
        <x:v>Cloud Migration</x:v>
      </x:c>
      <x:c r="S221"/>
      <x:c r="T221" t="str">
        <x:v>rejected</x:v>
      </x:c>
      <x:c r="U221" t="str">
        <x:v>haslina.hashim@petronas.com</x:v>
      </x:c>
      <x:c r="V221" t="n">
        <x:v>46161.083687210645</x:v>
      </x:c>
      <x:c r="W221"/>
      <x:c r="X221"/>
      <x:c r="Y221" t="str">
        <x:v>sazali.mokhtar@petronas.com</x:v>
      </x:c>
      <x:c r="Z221"/>
      <x:c r="AA221"/>
      <x:c r="AB221"/>
      <x:c r="AC221" t="str">
        <x:v>CCoE Business</x:v>
      </x:c>
      <x:c r="AD221"/>
      <x:c r="AE221"/>
      <x:c r="AF221"/>
      <x:c r="AG221" t="str">
        <x:v>CCoE Operations</x:v>
      </x:c>
      <x:c r="AH221"/>
      <x:c r="AI221"/>
      <x:c r="AJ221" t="str">
        <x:v>A-000064</x:v>
      </x:c>
      <x:c r="AK221" t="n">
        <x:v>2804</x:v>
      </x:c>
      <x:c r="AL221"/>
      <x:c r="AM221"/>
      <x:c r="AN221" t="str">
        <x:v>noretention</x:v>
      </x:c>
      <x:c r="AO221" t="n">
        <x:v>0</x:v>
      </x:c>
      <x:c r="AP221" s="23" t="str">
        <x:f>IF(E221="processing",IF(Z221="","",IF(ISNUMBER(Z221),INT(Z221),DATE(VALUE(LEFT(Z221,4)),VALUE(MID(Z221,6,2)),VALUE(MID(Z221,9,2))))),IF(OR(E221="executing",E221="pending"),IF(AD221="","",IF(ISNUMBER(AD221),INT(AD221),DATE(VALUE(LEFT(AD221,4)),VALUE(MID(AD221,6,2)),VALUE(MID(AD221,9,2))))),""))</x:f>
      </x:c>
      <x:c r="AQ221" s="24" t="str">
        <x:f>IF(AP221="","",INT('Configuration'!$B$4)-AP221)</x:f>
      </x:c>
      <x:c r="AR221" s="25" t="str">
        <x:f>IF(AP221="","Missing Required Date",IF(AQ221&lt;0,"Future Date",IF(AQ221=0,"0 days",IF(AQ221&lt;=2,"1-2 days",IF(AQ221&lt;=7,"3-7 days",IF(AQ221&lt;=14,"8-14 days",IF(AQ221&lt;=30,"15-30 days",IF(AQ221&lt;=60,"31-60 days",IF(AQ221&lt;=70,"61-70 days","71+ days")))))))))</x:f>
        <x:v>Missing Required Date</x:v>
      </x:c>
      <x:c r="AS221" s="25" t="str">
        <x:f>IF(OR(E221="processing",E221="executing",E221="pending"),IF(AP221="","Required aging date missing",IF(AQ221&gt;30,"Escalate &gt;30d",IF(AQ221&gt;14,"Watch &gt;14d","Within 14d"))),"Out of scope")</x:f>
        <x:v>Out of scope</x:v>
      </x:c>
    </x:row>
    <x:row r="222" ht="24" customHeight="1">
      <x:c r="A222" t="str">
        <x:v>da7d2785-40aa-4885-a4a7-d2c1600ec001</x:v>
      </x:c>
      <x:c r="B222" t="str">
        <x:v>CSSP10586110</x:v>
      </x:c>
      <x:c r="C222" t="str">
        <x:v>haslina.hashim@petronas.com</x:v>
      </x:c>
      <x:c r="D222" t="str">
        <x:v>decommission-cloud</x:v>
      </x:c>
      <x:c r="E222" t="str">
        <x:v>completed</x:v>
      </x:c>
      <x:c r="F222" t="n">
        <x:v>46161.085132280095</x:v>
      </x:c>
      <x:c r="G222" t="n">
        <x:v>46197.35044652778</x:v>
      </x:c>
      <x:c r="H222" t="n">
        <x:v>46161.085132280095</x:v>
      </x:c>
      <x:c r="I222" t="str">
        <x:v>Zidane OVC</x:v>
      </x:c>
      <x:c r="J222" t="str">
        <x:v>Professional Service, Software License and Infra for ArBiTra to PTLCL 2022-2023</x:v>
      </x:c>
      <x:c r="K222" t="str">
        <x:v>partial</x:v>
      </x:c>
      <x:c r="L222"/>
      <x:c r="M222" t="str">
        <x:v>sazali.mokhtar@petronas.com</x:v>
      </x:c>
      <x:c r="N222"/>
      <x:c r="O222"/>
      <x:c r="P222" t="str">
        <x:v>Cloud Repatriation - To decommission old resources in Singapore region due to completed migration in MY region. Please refer below attachment. Only the highlighted resources can be decom. This OVC consists multiple project code.</x:v>
      </x:c>
      <x:c r="Q222" t="str">
        <x:v>2W</x:v>
      </x:c>
      <x:c r="R222" t="str">
        <x:v>Cloud Migration</x:v>
      </x:c>
      <x:c r="S222"/>
      <x:c r="T222" t="str">
        <x:v>approved</x:v>
      </x:c>
      <x:c r="U222" t="str">
        <x:v>haslina.hashim@petronas.com</x:v>
      </x:c>
      <x:c r="V222" t="n">
        <x:v>46161.08887917824</x:v>
      </x:c>
      <x:c r="W222" t="str">
        <x:v>Please proceed</x:v>
      </x:c>
      <x:c r="X222" t="str">
        <x:v>approved</x:v>
      </x:c>
      <x:c r="Y222" t="str">
        <x:v>sazali.mokhtar@petronas.com</x:v>
      </x:c>
      <x:c r="Z222" t="n">
        <x:v>46184.065662256944</x:v>
      </x:c>
      <x:c r="AA222" t="str">
        <x:v>Cloud Repatriation - To decommission old resources in Singapore region due to completed migration in MY region. Please refer below attachment. Only the highlighted resources can be decom. This OVC consists multiple project code.</x:v>
      </x:c>
      <x:c r="AB222" t="str">
        <x:v>approved</x:v>
      </x:c>
      <x:c r="AC222" t="str">
        <x:v>azwan.badari@petronas.com</x:v>
      </x:c>
      <x:c r="AD222" t="n">
        <x:v>46184.25714657408</x:v>
      </x:c>
      <x:c r="AE222" t="str">
        <x:v>Decommission Zidane OVC (02804) resources in SG</x:v>
      </x:c>
      <x:c r="AF222" t="str">
        <x:v>approved</x:v>
      </x:c>
      <x:c r="AG222" t="str">
        <x:v>azwan.badari@petronas.com</x:v>
      </x:c>
      <x:c r="AH222" t="n">
        <x:v>46197.35044653935</x:v>
      </x:c>
      <x:c r="AI222" t="str">
        <x:v>Completed</x:v>
      </x:c>
      <x:c r="AJ222" t="str">
        <x:v>A-000064</x:v>
      </x:c>
      <x:c r="AK222" t="n">
        <x:v>2804</x:v>
      </x:c>
      <x:c r="AL222" t="str">
        <x:v>M</x:v>
      </x:c>
      <x:c r="AM222" t="str">
        <x:v>REQ000008094916</x:v>
      </x:c>
      <x:c r="AN222" t="str">
        <x:v>noretention</x:v>
      </x:c>
      <x:c r="AO222" t="n">
        <x:v>0</x:v>
      </x:c>
      <x:c r="AP222" s="23" t="str">
        <x:f>IF(E222="processing",IF(Z222="","",IF(ISNUMBER(Z222),INT(Z222),DATE(VALUE(LEFT(Z222,4)),VALUE(MID(Z222,6,2)),VALUE(MID(Z222,9,2))))),IF(OR(E222="executing",E222="pending"),IF(AD222="","",IF(ISNUMBER(AD222),INT(AD222),DATE(VALUE(LEFT(AD222,4)),VALUE(MID(AD222,6,2)),VALUE(MID(AD222,9,2))))),""))</x:f>
      </x:c>
      <x:c r="AQ222" s="24" t="str">
        <x:f>IF(AP222="","",INT('Configuration'!$B$4)-AP222)</x:f>
      </x:c>
      <x:c r="AR222" s="25" t="str">
        <x:f>IF(AP222="","Missing Required Date",IF(AQ222&lt;0,"Future Date",IF(AQ222=0,"0 days",IF(AQ222&lt;=2,"1-2 days",IF(AQ222&lt;=7,"3-7 days",IF(AQ222&lt;=14,"8-14 days",IF(AQ222&lt;=30,"15-30 days",IF(AQ222&lt;=60,"31-60 days",IF(AQ222&lt;=70,"61-70 days","71+ days")))))))))</x:f>
        <x:v>Missing Required Date</x:v>
      </x:c>
      <x:c r="AS222" s="25" t="str">
        <x:f>IF(OR(E222="processing",E222="executing",E222="pending"),IF(AP222="","Required aging date missing",IF(AQ222&gt;30,"Escalate &gt;30d",IF(AQ222&gt;14,"Watch &gt;14d","Within 14d"))),"Out of scope")</x:f>
        <x:v>Out of scope</x:v>
      </x:c>
    </x:row>
    <x:row r="223" ht="24" customHeight="1">
      <x:c r="A223" t="str">
        <x:v>f37409d8-c053-4ffd-931c-fa207b5bb522</x:v>
      </x:c>
      <x:c r="B223" t="str">
        <x:v>CSSP10474006</x:v>
      </x:c>
      <x:c r="C223" t="str">
        <x:v>mohammadarshad.hali@petronas.com</x:v>
      </x:c>
      <x:c r="D223" t="str">
        <x:v>decommission-cloud</x:v>
      </x:c>
      <x:c r="E223" t="str">
        <x:v>pending</x:v>
      </x:c>
      <x:c r="F223" t="n">
        <x:v>46161.118041215275</x:v>
      </x:c>
      <x:c r="G223" t="n">
        <x:v>46161.16822730324</x:v>
      </x:c>
      <x:c r="H223" t="n">
        <x:v>46161.12681598379</x:v>
      </x:c>
      <x:c r="I223" t="str">
        <x:v>Refinery of the Future - ROTF PRPC</x:v>
      </x:c>
      <x:c r="J223" t="str">
        <x:v>CTP - Refinery of the future (ROTF) - Feedstock</x:v>
      </x:c>
      <x:c r="K223" t="str">
        <x:v>full</x:v>
      </x:c>
      <x:c r="L223" t="str">
        <x:v>DCOM20260519a6d</x:v>
      </x:c>
      <x:c r="M223" t="str">
        <x:v>syariman.azlantan@petronas.com.my</x:v>
      </x:c>
      <x:c r="N223" t="str">
        <x:v>https://protf.petronas.com/</x:v>
      </x:c>
      <x:c r="O223"/>
      <x:c r="P223" t="str">
        <x:v>PRefChem Carve Out for ROTF has been completed, and application is no longer use by PRPC/PRefChem</x:v>
      </x:c>
      <x:c r="Q223" t="str">
        <x:v>12M</x:v>
      </x:c>
      <x:c r="R223" t="str">
        <x:v>Not in Used</x:v>
      </x:c>
      <x:c r="S223"/>
      <x:c r="T223" t="str">
        <x:v>approved</x:v>
      </x:c>
      <x:c r="U223" t="str">
        <x:v>mohammadarshad.hali@petronas.com</x:v>
      </x:c>
      <x:c r="V223" t="n">
        <x:v>46161.16822732639</x:v>
      </x:c>
      <x:c r="W223" t="str">
        <x:v>Approved by PIC Growth &amp; Sustainability Committee (PGSC), and acknowledge by PRefChem.</x:v>
      </x:c>
      <x:c r="X223"/>
      <x:c r="Y223" t="str">
        <x:v>syariman.azlantan@petronas.com</x:v>
      </x:c>
      <x:c r="Z223"/>
      <x:c r="AA223"/>
      <x:c r="AB223"/>
      <x:c r="AC223" t="str">
        <x:v>CCoE Business</x:v>
      </x:c>
      <x:c r="AD223"/>
      <x:c r="AE223"/>
      <x:c r="AF223"/>
      <x:c r="AG223" t="str">
        <x:v>CCoE Business</x:v>
      </x:c>
      <x:c r="AH223"/>
      <x:c r="AI223"/>
      <x:c r="AJ223" t="str">
        <x:v>A-000695</x:v>
      </x:c>
      <x:c r="AK223" t="str">
        <x:v>02421_65</x:v>
      </x:c>
      <x:c r="AL223"/>
      <x:c r="AM223"/>
      <x:c r="AN223" t="str">
        <x:v>disposal</x:v>
      </x:c>
      <x:c r="AO223" t="n">
        <x:v>0</x:v>
      </x:c>
      <x:c r="AP223" s="23" t="str">
        <x:f>IF(E223="processing",IF(Z223="","",IF(ISNUMBER(Z223),INT(Z223),DATE(VALUE(LEFT(Z223,4)),VALUE(MID(Z223,6,2)),VALUE(MID(Z223,9,2))))),IF(OR(E223="executing",E223="pending"),IF(AD223="","",IF(ISNUMBER(AD223),INT(AD223),DATE(VALUE(LEFT(AD223,4)),VALUE(MID(AD223,6,2)),VALUE(MID(AD223,9,2))))),""))</x:f>
      </x:c>
      <x:c r="AQ223" s="24" t="str">
        <x:f>IF(AP223="","",INT('Configuration'!$B$4)-AP223)</x:f>
      </x:c>
      <x:c r="AR223" s="25" t="str">
        <x:f>IF(AP223="","Missing Required Date",IF(AQ223&lt;0,"Future Date",IF(AQ223=0,"0 days",IF(AQ223&lt;=2,"1-2 days",IF(AQ223&lt;=7,"3-7 days",IF(AQ223&lt;=14,"8-14 days",IF(AQ223&lt;=30,"15-30 days",IF(AQ223&lt;=60,"31-60 days",IF(AQ223&lt;=70,"61-70 days","71+ days")))))))))</x:f>
        <x:v>Missing Required Date</x:v>
      </x:c>
      <x:c r="AS223" s="25" t="str">
        <x:f>IF(OR(E223="processing",E223="executing",E223="pending"),IF(AP223="","Required aging date missing",IF(AQ223&gt;30,"Escalate &gt;30d",IF(AQ223&gt;14,"Watch &gt;14d","Within 14d"))),"Out of scope")</x:f>
        <x:v>Required aging date missing</x:v>
      </x:c>
    </x:row>
    <x:row r="224" ht="24" customHeight="1">
      <x:c r="A224" t="str">
        <x:v>e521e0b7-42b0-4af5-860a-9310b5731816</x:v>
      </x:c>
      <x:c r="B224" t="str">
        <x:v>CSSP10791971</x:v>
      </x:c>
      <x:c r="C224" t="str">
        <x:v>shahrizar.mbasir@petronas.com</x:v>
      </x:c>
      <x:c r="D224" t="str">
        <x:v>decommission-cloud</x:v>
      </x:c>
      <x:c r="E224" t="str">
        <x:v>pending</x:v>
      </x:c>
      <x:c r="F224" t="n">
        <x:v>46161.34000105324</x:v>
      </x:c>
      <x:c r="G224" t="n">
        <x:v>46161.34000105324</x:v>
      </x:c>
      <x:c r="H224" t="n">
        <x:v>46161.34000105324</x:v>
      </x:c>
      <x:c r="I224" t="str">
        <x:v>TO.PRODIGI - Centralised Database and Analytics</x:v>
      </x:c>
      <x:c r="J224" t="str">
        <x:v>DevOps services of Centralized Database &amp; Analytics for Turkmenistan Operation</x:v>
      </x:c>
      <x:c r="K224" t="str">
        <x:v>partial</x:v>
      </x:c>
      <x:c r="L224"/>
      <x:c r="M224" t="str">
        <x:v>ghimyee.tang@petronas.com.my</x:v>
      </x:c>
      <x:c r="N224"/>
      <x:c r="O224"/>
      <x:c r="P224" t="str">
        <x:v>test</x:v>
      </x:c>
      <x:c r="Q224" t="str">
        <x:v>6M</x:v>
      </x:c>
      <x:c r="R224" t="str">
        <x:v>End of Lease</x:v>
      </x:c>
      <x:c r="S224"/>
      <x:c r="T224" t="str">
        <x:v>pending</x:v>
      </x:c>
      <x:c r="U224" t="str">
        <x:v>shahrizar.mbasir@petronas.com</x:v>
      </x:c>
      <x:c r="V224"/>
      <x:c r="W224"/>
      <x:c r="X224"/>
      <x:c r="Y224" t="str">
        <x:v>ghimyee.tang@petronas.com</x:v>
      </x:c>
      <x:c r="Z224"/>
      <x:c r="AA224"/>
      <x:c r="AB224"/>
      <x:c r="AC224" t="str">
        <x:v>CCoE Business</x:v>
      </x:c>
      <x:c r="AD224"/>
      <x:c r="AE224"/>
      <x:c r="AF224"/>
      <x:c r="AG224" t="str">
        <x:v>CCoE Operations</x:v>
      </x:c>
      <x:c r="AH224"/>
      <x:c r="AI224"/>
      <x:c r="AJ224" t="str">
        <x:v>A-000812</x:v>
      </x:c>
      <x:c r="AK224" t="n">
        <x:v>2573</x:v>
      </x:c>
      <x:c r="AL224"/>
      <x:c r="AM224"/>
      <x:c r="AN224" t="str">
        <x:v>retention</x:v>
      </x:c>
      <x:c r="AO224" t="n">
        <x:v>10</x:v>
      </x:c>
      <x:c r="AP224" s="23" t="str">
        <x:f>IF(E224="processing",IF(Z224="","",IF(ISNUMBER(Z224),INT(Z224),DATE(VALUE(LEFT(Z224,4)),VALUE(MID(Z224,6,2)),VALUE(MID(Z224,9,2))))),IF(OR(E224="executing",E224="pending"),IF(AD224="","",IF(ISNUMBER(AD224),INT(AD224),DATE(VALUE(LEFT(AD224,4)),VALUE(MID(AD224,6,2)),VALUE(MID(AD224,9,2))))),""))</x:f>
      </x:c>
      <x:c r="AQ224" s="24" t="str">
        <x:f>IF(AP224="","",INT('Configuration'!$B$4)-AP224)</x:f>
      </x:c>
      <x:c r="AR224" s="25" t="str">
        <x:f>IF(AP224="","Missing Required Date",IF(AQ224&lt;0,"Future Date",IF(AQ224=0,"0 days",IF(AQ224&lt;=2,"1-2 days",IF(AQ224&lt;=7,"3-7 days",IF(AQ224&lt;=14,"8-14 days",IF(AQ224&lt;=30,"15-30 days",IF(AQ224&lt;=60,"31-60 days",IF(AQ224&lt;=70,"61-70 days","71+ days")))))))))</x:f>
        <x:v>Missing Required Date</x:v>
      </x:c>
      <x:c r="AS224" s="25" t="str">
        <x:f>IF(OR(E224="processing",E224="executing",E224="pending"),IF(AP224="","Required aging date missing",IF(AQ224&gt;30,"Escalate &gt;30d",IF(AQ224&gt;14,"Watch &gt;14d","Within 14d"))),"Out of scope")</x:f>
        <x:v>Required aging date missing</x:v>
      </x:c>
    </x:row>
    <x:row r="225" ht="24" customHeight="1">
      <x:c r="A225" t="str">
        <x:v>4af683f3-8293-4b43-8847-e0fcb68608a7</x:v>
      </x:c>
      <x:c r="B225" t="str">
        <x:v>CSSP10954799</x:v>
      </x:c>
      <x:c r="C225" t="str">
        <x:v>cus.ng@petronas.com</x:v>
      </x:c>
      <x:c r="D225" t="str">
        <x:v>decommission-cloud</x:v>
      </x:c>
      <x:c r="E225" t="str">
        <x:v>cancelled</x:v>
      </x:c>
      <x:c r="F225" t="n">
        <x:v>46162.090370011574</x:v>
      </x:c>
      <x:c r="G225" t="n">
        <x:v>46162.09939315972</x:v>
      </x:c>
      <x:c r="H225" t="n">
        <x:v>46162.090370011574</x:v>
      </x:c>
      <x:c r="I225" t="str">
        <x:v>Structural Integrity Compliance System - SICS</x:v>
      </x:c>
      <x:c r="J225" t="str">
        <x:v>Cloud Migration Program - Structure Information Control System (SICS) - U-IMAGe Operationalization - Structural Integrity Compliance System (SICS) for Floating Structure Integrity Management (FSIM)</x:v>
      </x:c>
      <x:c r="K225" t="str">
        <x:v>partial</x:v>
      </x:c>
      <x:c r="L225"/>
      <x:c r="M225" t="str">
        <x:v>cus.ng@petronas.com</x:v>
      </x:c>
      <x:c r="N225"/>
      <x:c r="O225"/>
      <x:c r="P225" t="str">
        <x:v>test</x:v>
      </x:c>
      <x:c r="Q225" t="str">
        <x:v>2W</x:v>
      </x:c>
      <x:c r="R225" t="str">
        <x:v>Not in Used</x:v>
      </x:c>
      <x:c r="S225"/>
      <x:c r="T225" t="str">
        <x:v>rejected</x:v>
      </x:c>
      <x:c r="U225" t="str">
        <x:v>cus.ng@petronas.com</x:v>
      </x:c>
      <x:c r="V225" t="n">
        <x:v>46162.099393171295</x:v>
      </x:c>
      <x:c r="W225"/>
      <x:c r="X225"/>
      <x:c r="Y225" t="str">
        <x:v>cus.ng@petronas.com</x:v>
      </x:c>
      <x:c r="Z225"/>
      <x:c r="AA225"/>
      <x:c r="AB225"/>
      <x:c r="AC225" t="str">
        <x:v>CCoE Business</x:v>
      </x:c>
      <x:c r="AD225"/>
      <x:c r="AE225"/>
      <x:c r="AF225"/>
      <x:c r="AG225" t="str">
        <x:v>CCoE Operations</x:v>
      </x:c>
      <x:c r="AH225"/>
      <x:c r="AI225"/>
      <x:c r="AJ225" t="str">
        <x:v>A-000762</x:v>
      </x:c>
      <x:c r="AK225" t="str">
        <x:v>00915_5</x:v>
      </x:c>
      <x:c r="AL225"/>
      <x:c r="AM225"/>
      <x:c r="AN225" t="str">
        <x:v>retention</x:v>
      </x:c>
      <x:c r="AO225" t="n">
        <x:v>30</x:v>
      </x:c>
      <x:c r="AP225" s="23" t="str">
        <x:f>IF(E225="processing",IF(Z225="","",IF(ISNUMBER(Z225),INT(Z225),DATE(VALUE(LEFT(Z225,4)),VALUE(MID(Z225,6,2)),VALUE(MID(Z225,9,2))))),IF(OR(E225="executing",E225="pending"),IF(AD225="","",IF(ISNUMBER(AD225),INT(AD225),DATE(VALUE(LEFT(AD225,4)),VALUE(MID(AD225,6,2)),VALUE(MID(AD225,9,2))))),""))</x:f>
      </x:c>
      <x:c r="AQ225" s="24" t="str">
        <x:f>IF(AP225="","",INT('Configuration'!$B$4)-AP225)</x:f>
      </x:c>
      <x:c r="AR225" s="25" t="str">
        <x:f>IF(AP225="","Missing Required Date",IF(AQ225&lt;0,"Future Date",IF(AQ225=0,"0 days",IF(AQ225&lt;=2,"1-2 days",IF(AQ225&lt;=7,"3-7 days",IF(AQ225&lt;=14,"8-14 days",IF(AQ225&lt;=30,"15-30 days",IF(AQ225&lt;=60,"31-60 days",IF(AQ225&lt;=70,"61-70 days","71+ days")))))))))</x:f>
        <x:v>Missing Required Date</x:v>
      </x:c>
      <x:c r="AS225" s="25" t="str">
        <x:f>IF(OR(E225="processing",E225="executing",E225="pending"),IF(AP225="","Required aging date missing",IF(AQ225&gt;30,"Escalate &gt;30d",IF(AQ225&gt;14,"Watch &gt;14d","Within 14d"))),"Out of scope")</x:f>
        <x:v>Out of scope</x:v>
      </x:c>
    </x:row>
    <x:row r="226" ht="24" customHeight="1">
      <x:c r="A226" t="str">
        <x:v>228d385c-9e03-4866-909c-b83ad90066ca</x:v>
      </x:c>
      <x:c r="B226" t="str">
        <x:v>CSSP10771542</x:v>
      </x:c>
      <x:c r="C226" t="str">
        <x:v>luqmanhakim.ismai@petronas.com</x:v>
      </x:c>
      <x:c r="D226" t="str">
        <x:v>decommission-cloud</x:v>
      </x:c>
      <x:c r="E226" t="str">
        <x:v>cancelled</x:v>
      </x:c>
      <x:c r="F226" t="n">
        <x:v>46162.297458981484</x:v>
      </x:c>
      <x:c r="G226" t="n">
        <x:v>46162.30741765046</x:v>
      </x:c>
      <x:c r="H226" t="n">
        <x:v>46162.297458981484</x:v>
      </x:c>
      <x:c r="I226" t="str">
        <x:v>Master Data Management - MDM Tool SAP</x:v>
      </x:c>
      <x:c r="J226" t="str">
        <x:v>Setup and Installation of Master Data Management (MDM) Tool for PETRONAS (SAP)</x:v>
      </x:c>
      <x:c r="K226" t="str">
        <x:v>partial</x:v>
      </x:c>
      <x:c r="L226"/>
      <x:c r="M226" t="str">
        <x:v>rizuanatan@petronas.com</x:v>
      </x:c>
      <x:c r="N226"/>
      <x:c r="O226"/>
      <x:c r="P226" t="str">
        <x:v>The server PTSG-1MDMDB01 is no longer in use and can be decommissioned to optimize and save resources.</x:v>
      </x:c>
      <x:c r="Q226" t="str">
        <x:v>2W</x:v>
      </x:c>
      <x:c r="R226" t="str">
        <x:v>Not in Used</x:v>
      </x:c>
      <x:c r="S226"/>
      <x:c r="T226" t="str">
        <x:v>rejected</x:v>
      </x:c>
      <x:c r="U226" t="str">
        <x:v>luqmanhakim.ismai@petronas.com</x:v>
      </x:c>
      <x:c r="V226" t="n">
        <x:v>46162.307417662036</x:v>
      </x:c>
      <x:c r="W226"/>
      <x:c r="X226"/>
      <x:c r="Y226" t="str">
        <x:v>rizuanatan@petronas.com</x:v>
      </x:c>
      <x:c r="Z226"/>
      <x:c r="AA226"/>
      <x:c r="AB226"/>
      <x:c r="AC226" t="str">
        <x:v>CCoE Business</x:v>
      </x:c>
      <x:c r="AD226"/>
      <x:c r="AE226"/>
      <x:c r="AF226"/>
      <x:c r="AG226" t="str">
        <x:v>CCoE Operations</x:v>
      </x:c>
      <x:c r="AH226"/>
      <x:c r="AI226"/>
      <x:c r="AJ226" t="str">
        <x:v>A-000457</x:v>
      </x:c>
      <x:c r="AK226" t="str">
        <x:v>PSR05041</x:v>
      </x:c>
      <x:c r="AL226"/>
      <x:c r="AM226"/>
      <x:c r="AN226" t="str">
        <x:v>noretention</x:v>
      </x:c>
      <x:c r="AO226" t="n">
        <x:v>0</x:v>
      </x:c>
      <x:c r="AP226" s="23" t="str">
        <x:f>IF(E226="processing",IF(Z226="","",IF(ISNUMBER(Z226),INT(Z226),DATE(VALUE(LEFT(Z226,4)),VALUE(MID(Z226,6,2)),VALUE(MID(Z226,9,2))))),IF(OR(E226="executing",E226="pending"),IF(AD226="","",IF(ISNUMBER(AD226),INT(AD226),DATE(VALUE(LEFT(AD226,4)),VALUE(MID(AD226,6,2)),VALUE(MID(AD226,9,2))))),""))</x:f>
      </x:c>
      <x:c r="AQ226" s="24" t="str">
        <x:f>IF(AP226="","",INT('Configuration'!$B$4)-AP226)</x:f>
      </x:c>
      <x:c r="AR226" s="25" t="str">
        <x:f>IF(AP226="","Missing Required Date",IF(AQ226&lt;0,"Future Date",IF(AQ226=0,"0 days",IF(AQ226&lt;=2,"1-2 days",IF(AQ226&lt;=7,"3-7 days",IF(AQ226&lt;=14,"8-14 days",IF(AQ226&lt;=30,"15-30 days",IF(AQ226&lt;=60,"31-60 days",IF(AQ226&lt;=70,"61-70 days","71+ days")))))))))</x:f>
        <x:v>Missing Required Date</x:v>
      </x:c>
      <x:c r="AS226" s="25" t="str">
        <x:f>IF(OR(E226="processing",E226="executing",E226="pending"),IF(AP226="","Required aging date missing",IF(AQ226&gt;30,"Escalate &gt;30d",IF(AQ226&gt;14,"Watch &gt;14d","Within 14d"))),"Out of scope")</x:f>
        <x:v>Out of scope</x:v>
      </x:c>
    </x:row>
    <x:row r="227" ht="24" customHeight="1">
      <x:c r="A227" t="str">
        <x:v>5b9a9bf2-0125-4ad4-9763-c13616ae75b5</x:v>
      </x:c>
      <x:c r="B227" t="str">
        <x:v>CSSP10820059</x:v>
      </x:c>
      <x:c r="C227" t="str">
        <x:v>luqmanhakim.ismai@petronas.com</x:v>
      </x:c>
      <x:c r="D227" t="str">
        <x:v>decommission-cloud</x:v>
      </x:c>
      <x:c r="E227" t="str">
        <x:v>rejected</x:v>
      </x:c>
      <x:c r="F227" t="n">
        <x:v>46162.30263023148</x:v>
      </x:c>
      <x:c r="G227" t="n">
        <x:v>46162.40694013889</x:v>
      </x:c>
      <x:c r="H227" t="n">
        <x:v>46162.30263023148</x:v>
      </x:c>
      <x:c r="I227" t="str">
        <x:v>SAP 39 SRM SPS</x:v>
      </x:c>
      <x:c r="J227" t="str">
        <x:v>Cloud Migration Program - SAP39</x:v>
      </x:c>
      <x:c r="K227" t="str">
        <x:v>partial</x:v>
      </x:c>
      <x:c r="L227"/>
      <x:c r="M227" t="str">
        <x:v>rizuanatan@petronas.com</x:v>
      </x:c>
      <x:c r="N227"/>
      <x:c r="O227"/>
      <x:c r="P227" t="str">
        <x:v>The server PTSG-1MDMDB01 is no longer in use and can be decommissioned to optimize and save resources.</x:v>
      </x:c>
      <x:c r="Q227" t="str">
        <x:v>2W</x:v>
      </x:c>
      <x:c r="R227" t="str">
        <x:v>Not in Used</x:v>
      </x:c>
      <x:c r="S227"/>
      <x:c r="T227" t="str">
        <x:v>approved</x:v>
      </x:c>
      <x:c r="U227" t="str">
        <x:v>luqmanhakim.ismai@petronas.com</x:v>
      </x:c>
      <x:c r="V227" t="n">
        <x:v>46162.30389836805</x:v>
      </x:c>
      <x:c r="W227" t="str">
        <x:v>The server PTSG-1MDMDB01 is no longer in use and can be decommissioned to optimize and save resources.</x:v>
      </x:c>
      <x:c r="X227" t="str">
        <x:v>rejected</x:v>
      </x:c>
      <x:c r="Y227" t="str">
        <x:v>rizuanatan@petronas.com</x:v>
      </x:c>
      <x:c r="Z227" t="n">
        <x:v>46162.40694015046</x:v>
      </x:c>
      <x:c r="AA227"/>
      <x:c r="AB227"/>
      <x:c r="AC227" t="str">
        <x:v>CCoE Business</x:v>
      </x:c>
      <x:c r="AD227"/>
      <x:c r="AE227"/>
      <x:c r="AF227"/>
      <x:c r="AG227" t="str">
        <x:v>CCoE Operations</x:v>
      </x:c>
      <x:c r="AH227"/>
      <x:c r="AI227"/>
      <x:c r="AJ227" t="str">
        <x:v>A-000722</x:v>
      </x:c>
      <x:c r="AK227" t="str">
        <x:v>02421_102</x:v>
      </x:c>
      <x:c r="AL227"/>
      <x:c r="AM227"/>
      <x:c r="AN227" t="str">
        <x:v>noretention</x:v>
      </x:c>
      <x:c r="AO227" t="n">
        <x:v>0</x:v>
      </x:c>
      <x:c r="AP227" s="23" t="str">
        <x:f>IF(E227="processing",IF(Z227="","",IF(ISNUMBER(Z227),INT(Z227),DATE(VALUE(LEFT(Z227,4)),VALUE(MID(Z227,6,2)),VALUE(MID(Z227,9,2))))),IF(OR(E227="executing",E227="pending"),IF(AD227="","",IF(ISNUMBER(AD227),INT(AD227),DATE(VALUE(LEFT(AD227,4)),VALUE(MID(AD227,6,2)),VALUE(MID(AD227,9,2))))),""))</x:f>
      </x:c>
      <x:c r="AQ227" s="24" t="str">
        <x:f>IF(AP227="","",INT('Configuration'!$B$4)-AP227)</x:f>
      </x:c>
      <x:c r="AR227" s="25" t="str">
        <x:f>IF(AP227="","Missing Required Date",IF(AQ227&lt;0,"Future Date",IF(AQ227=0,"0 days",IF(AQ227&lt;=2,"1-2 days",IF(AQ227&lt;=7,"3-7 days",IF(AQ227&lt;=14,"8-14 days",IF(AQ227&lt;=30,"15-30 days",IF(AQ227&lt;=60,"31-60 days",IF(AQ227&lt;=70,"61-70 days","71+ days")))))))))</x:f>
        <x:v>Missing Required Date</x:v>
      </x:c>
      <x:c r="AS227" s="25" t="str">
        <x:f>IF(OR(E227="processing",E227="executing",E227="pending"),IF(AP227="","Required aging date missing",IF(AQ227&gt;30,"Escalate &gt;30d",IF(AQ227&gt;14,"Watch &gt;14d","Within 14d"))),"Out of scope")</x:f>
        <x:v>Out of scope</x:v>
      </x:c>
    </x:row>
    <x:row r="228" ht="24" customHeight="1">
      <x:c r="A228" t="str">
        <x:v>caa6d113-b915-487a-a062-11846b5787b5</x:v>
      </x:c>
      <x:c r="B228" t="str">
        <x:v>CSSP10539408</x:v>
      </x:c>
      <x:c r="C228" t="str">
        <x:v>luqmanhakim.ismai@petronas.com</x:v>
      </x:c>
      <x:c r="D228" t="str">
        <x:v>decommission-cloud</x:v>
      </x:c>
      <x:c r="E228" t="str">
        <x:v>completed</x:v>
      </x:c>
      <x:c r="F228" t="n">
        <x:v>46162.310851064816</x:v>
      </x:c>
      <x:c r="G228" t="n">
        <x:v>46164.29881332176</x:v>
      </x:c>
      <x:c r="H228" t="n">
        <x:v>46162.310851064816</x:v>
      </x:c>
      <x:c r="I228" t="str">
        <x:v>SAP Printer Server</x:v>
      </x:c>
      <x:c r="J228" t="str">
        <x:v>Cloud Migration Program - SAP Printer server for other SAP's systems</x:v>
      </x:c>
      <x:c r="K228" t="str">
        <x:v>partial</x:v>
      </x:c>
      <x:c r="L228"/>
      <x:c r="M228" t="str">
        <x:v>rizuanatan@petronas.com</x:v>
      </x:c>
      <x:c r="N228"/>
      <x:c r="O228"/>
      <x:c r="P228" t="str">
        <x:v>The server PTSG-1SAPPR02 is no longer in use and can be decommissioned to optimize and save resources.</x:v>
      </x:c>
      <x:c r="Q228" t="str">
        <x:v>2W</x:v>
      </x:c>
      <x:c r="R228" t="str">
        <x:v>Not in Used</x:v>
      </x:c>
      <x:c r="S228"/>
      <x:c r="T228" t="str">
        <x:v>approved</x:v>
      </x:c>
      <x:c r="U228" t="str">
        <x:v>luqmanhakim.ismai@petronas.com</x:v>
      </x:c>
      <x:c r="V228" t="n">
        <x:v>46162.32324440972</x:v>
      </x:c>
      <x:c r="W228" t="str">
        <x:v>The server PTSG-1SAPPR02 is no longer in use and can be decommissioned to optimize and save resources.</x:v>
      </x:c>
      <x:c r="X228" t="str">
        <x:v>approved</x:v>
      </x:c>
      <x:c r="Y228" t="str">
        <x:v>rizuanatan@petronas.com</x:v>
      </x:c>
      <x:c r="Z228" t="n">
        <x:v>46162.4003050463</x:v>
      </x:c>
      <x:c r="AA228" t="str">
        <x:v>Please proceed</x:v>
      </x:c>
      <x:c r="AB228" t="str">
        <x:v>approved</x:v>
      </x:c>
      <x:c r="AC228" t="str">
        <x:v>azwan.badari@petronas.com</x:v>
      </x:c>
      <x:c r="AD228" t="n">
        <x:v>46162.980426539354</x:v>
      </x:c>
      <x:c r="AE228" t="str">
        <x:v>Decommission PTSG-1SAPPR02 - 172.25.33.230</x:v>
      </x:c>
      <x:c r="AF228" t="str">
        <x:v>approved</x:v>
      </x:c>
      <x:c r="AG228" t="str">
        <x:v>azwan.badari@petronas.com</x:v>
      </x:c>
      <x:c r="AH228" t="n">
        <x:v>46164.29881332176</x:v>
      </x:c>
      <x:c r="AI228" t="str">
        <x:v>Completed</x:v>
      </x:c>
      <x:c r="AJ228" t="str">
        <x:v>A-000745</x:v>
      </x:c>
      <x:c r="AK228" t="str">
        <x:v>00915_52</x:v>
      </x:c>
      <x:c r="AL228" t="str">
        <x:v>S</x:v>
      </x:c>
      <x:c r="AM228" t="str">
        <x:v>REQ000008060809</x:v>
      </x:c>
      <x:c r="AN228" t="str">
        <x:v>noretention</x:v>
      </x:c>
      <x:c r="AO228" t="n">
        <x:v>0</x:v>
      </x:c>
      <x:c r="AP228" s="23" t="str">
        <x:f>IF(E228="processing",IF(Z228="","",IF(ISNUMBER(Z228),INT(Z228),DATE(VALUE(LEFT(Z228,4)),VALUE(MID(Z228,6,2)),VALUE(MID(Z228,9,2))))),IF(OR(E228="executing",E228="pending"),IF(AD228="","",IF(ISNUMBER(AD228),INT(AD228),DATE(VALUE(LEFT(AD228,4)),VALUE(MID(AD228,6,2)),VALUE(MID(AD228,9,2))))),""))</x:f>
      </x:c>
      <x:c r="AQ228" s="24" t="str">
        <x:f>IF(AP228="","",INT('Configuration'!$B$4)-AP228)</x:f>
      </x:c>
      <x:c r="AR228" s="25" t="str">
        <x:f>IF(AP228="","Missing Required Date",IF(AQ228&lt;0,"Future Date",IF(AQ228=0,"0 days",IF(AQ228&lt;=2,"1-2 days",IF(AQ228&lt;=7,"3-7 days",IF(AQ228&lt;=14,"8-14 days",IF(AQ228&lt;=30,"15-30 days",IF(AQ228&lt;=60,"31-60 days",IF(AQ228&lt;=70,"61-70 days","71+ days")))))))))</x:f>
        <x:v>Missing Required Date</x:v>
      </x:c>
      <x:c r="AS228" s="25" t="str">
        <x:f>IF(OR(E228="processing",E228="executing",E228="pending"),IF(AP228="","Required aging date missing",IF(AQ228&gt;30,"Escalate &gt;30d",IF(AQ228&gt;14,"Watch &gt;14d","Within 14d"))),"Out of scope")</x:f>
        <x:v>Out of scope</x:v>
      </x:c>
    </x:row>
    <x:row r="229" ht="24" customHeight="1">
      <x:c r="A229" t="str">
        <x:v>b5216083-454f-4895-bbdb-a4e52d8440b3</x:v>
      </x:c>
      <x:c r="B229" t="str">
        <x:v>CSSP10917429</x:v>
      </x:c>
      <x:c r="C229" t="str">
        <x:v>luqmanhakim.ismai@petronas.com</x:v>
      </x:c>
      <x:c r="D229" t="str">
        <x:v>decommission-cloud</x:v>
      </x:c>
      <x:c r="E229" t="str">
        <x:v>rejected</x:v>
      </x:c>
      <x:c r="F229" t="n">
        <x:v>46162.31625837963</x:v>
      </x:c>
      <x:c r="G229" t="n">
        <x:v>46162.40610799768</x:v>
      </x:c>
      <x:c r="H229" t="n">
        <x:v>46162.31625837963</x:v>
      </x:c>
      <x:c r="I229" t="str">
        <x:v>SAP 39 SRM SPS</x:v>
      </x:c>
      <x:c r="J229" t="str">
        <x:v>Cloud Migration Program - SAP39</x:v>
      </x:c>
      <x:c r="K229" t="str">
        <x:v>partial</x:v>
      </x:c>
      <x:c r="L229"/>
      <x:c r="M229" t="str">
        <x:v>rizuanatan@petronas.com</x:v>
      </x:c>
      <x:c r="N229"/>
      <x:c r="O229"/>
      <x:c r="P229" t="str">
        <x:v>The server PTSG-1MDMDB01 is no longer in use and can be decommissioned to optimize and save resources.
</x:v>
      </x:c>
      <x:c r="Q229" t="str">
        <x:v>2W</x:v>
      </x:c>
      <x:c r="R229" t="str">
        <x:v>Not in Used</x:v>
      </x:c>
      <x:c r="S229"/>
      <x:c r="T229" t="str">
        <x:v>approved</x:v>
      </x:c>
      <x:c r="U229" t="str">
        <x:v>luqmanhakim.ismai@petronas.com</x:v>
      </x:c>
      <x:c r="V229" t="n">
        <x:v>46162.31699289352</x:v>
      </x:c>
      <x:c r="W229" t="str">
        <x:v>The server PTSG-1MDMDB01 is no longer in use and can be decommissioned to optimize and save resources.
</x:v>
      </x:c>
      <x:c r="X229" t="str">
        <x:v>rejected</x:v>
      </x:c>
      <x:c r="Y229" t="str">
        <x:v>rizuanatan@petronas.com</x:v>
      </x:c>
      <x:c r="Z229" t="n">
        <x:v>46162.40610800926</x:v>
      </x:c>
      <x:c r="AA229"/>
      <x:c r="AB229"/>
      <x:c r="AC229" t="str">
        <x:v>CCoE Business</x:v>
      </x:c>
      <x:c r="AD229"/>
      <x:c r="AE229"/>
      <x:c r="AF229"/>
      <x:c r="AG229" t="str">
        <x:v>CCoE Operations</x:v>
      </x:c>
      <x:c r="AH229"/>
      <x:c r="AI229"/>
      <x:c r="AJ229" t="str">
        <x:v>A-000722</x:v>
      </x:c>
      <x:c r="AK229" t="str">
        <x:v>02421_102</x:v>
      </x:c>
      <x:c r="AL229"/>
      <x:c r="AM229"/>
      <x:c r="AN229" t="str">
        <x:v>disposal</x:v>
      </x:c>
      <x:c r="AO229" t="n">
        <x:v>0</x:v>
      </x:c>
      <x:c r="AP229" s="23" t="str">
        <x:f>IF(E229="processing",IF(Z229="","",IF(ISNUMBER(Z229),INT(Z229),DATE(VALUE(LEFT(Z229,4)),VALUE(MID(Z229,6,2)),VALUE(MID(Z229,9,2))))),IF(OR(E229="executing",E229="pending"),IF(AD229="","",IF(ISNUMBER(AD229),INT(AD229),DATE(VALUE(LEFT(AD229,4)),VALUE(MID(AD229,6,2)),VALUE(MID(AD229,9,2))))),""))</x:f>
      </x:c>
      <x:c r="AQ229" s="24" t="str">
        <x:f>IF(AP229="","",INT('Configuration'!$B$4)-AP229)</x:f>
      </x:c>
      <x:c r="AR229" s="25" t="str">
        <x:f>IF(AP229="","Missing Required Date",IF(AQ229&lt;0,"Future Date",IF(AQ229=0,"0 days",IF(AQ229&lt;=2,"1-2 days",IF(AQ229&lt;=7,"3-7 days",IF(AQ229&lt;=14,"8-14 days",IF(AQ229&lt;=30,"15-30 days",IF(AQ229&lt;=60,"31-60 days",IF(AQ229&lt;=70,"61-70 days","71+ days")))))))))</x:f>
        <x:v>Missing Required Date</x:v>
      </x:c>
      <x:c r="AS229" s="25" t="str">
        <x:f>IF(OR(E229="processing",E229="executing",E229="pending"),IF(AP229="","Required aging date missing",IF(AQ229&gt;30,"Escalate &gt;30d",IF(AQ229&gt;14,"Watch &gt;14d","Within 14d"))),"Out of scope")</x:f>
        <x:v>Out of scope</x:v>
      </x:c>
    </x:row>
    <x:row r="230" ht="24" customHeight="1">
      <x:c r="A230" t="str">
        <x:v>42d7dd99-6ab1-45a8-a6ca-a72840e30686</x:v>
      </x:c>
      <x:c r="B230" t="str">
        <x:v>CSSP10386386</x:v>
      </x:c>
      <x:c r="C230" t="str">
        <x:v>luqmanhakim.ismai@petronas.com</x:v>
      </x:c>
      <x:c r="D230" t="str">
        <x:v>decommission-cloud</x:v>
      </x:c>
      <x:c r="E230" t="str">
        <x:v>completed</x:v>
      </x:c>
      <x:c r="F230" t="n">
        <x:v>46162.31808924769</x:v>
      </x:c>
      <x:c r="G230" t="n">
        <x:v>46164.29288931713</x:v>
      </x:c>
      <x:c r="H230" t="n">
        <x:v>46162.31808924769</x:v>
      </x:c>
      <x:c r="I230" t="str">
        <x:v>SAP 39 SRM SPS</x:v>
      </x:c>
      <x:c r="J230" t="str">
        <x:v>Cloud Migration Program - SAP39</x:v>
      </x:c>
      <x:c r="K230" t="str">
        <x:v>partial</x:v>
      </x:c>
      <x:c r="L230"/>
      <x:c r="M230" t="str">
        <x:v>rizuanatan@petronas.com</x:v>
      </x:c>
      <x:c r="N230"/>
      <x:c r="O230"/>
      <x:c r="P230" t="str">
        <x:v>The server PTSG-1MDMDB01 is no longer in use and can be decommissioned to optimize and save resources.</x:v>
      </x:c>
      <x:c r="Q230" t="str">
        <x:v>2W</x:v>
      </x:c>
      <x:c r="R230" t="str">
        <x:v>Not in Used</x:v>
      </x:c>
      <x:c r="S230"/>
      <x:c r="T230" t="str">
        <x:v>approved</x:v>
      </x:c>
      <x:c r="U230" t="str">
        <x:v>luqmanhakim.ismai@petronas.com</x:v>
      </x:c>
      <x:c r="V230" t="n">
        <x:v>46162.31891944444</x:v>
      </x:c>
      <x:c r="W230" t="str">
        <x:v>PTSG-1MDMDB01</x:v>
      </x:c>
      <x:c r="X230" t="str">
        <x:v>approved</x:v>
      </x:c>
      <x:c r="Y230" t="str">
        <x:v>rizuanatan@petronas.com</x:v>
      </x:c>
      <x:c r="Z230" t="n">
        <x:v>46162.40546902778</x:v>
      </x:c>
      <x:c r="AA230" t="str">
        <x:v>Please proceed</x:v>
      </x:c>
      <x:c r="AB230" t="str">
        <x:v>approved</x:v>
      </x:c>
      <x:c r="AC230" t="str">
        <x:v>azwan.badari@petronas.com</x:v>
      </x:c>
      <x:c r="AD230" t="n">
        <x:v>46162.97534671296</x:v>
      </x:c>
      <x:c r="AE230" t="str">
        <x:v>Decommission PTSG-1MDMDB0 (172.25.40.220)</x:v>
      </x:c>
      <x:c r="AF230" t="str">
        <x:v>approved</x:v>
      </x:c>
      <x:c r="AG230" t="str">
        <x:v>azwan.badari@petronas.com</x:v>
      </x:c>
      <x:c r="AH230" t="n">
        <x:v>46164.2928893287</x:v>
      </x:c>
      <x:c r="AI230" t="str">
        <x:v>Completed</x:v>
      </x:c>
      <x:c r="AJ230" t="str">
        <x:v>A-000722</x:v>
      </x:c>
      <x:c r="AK230" t="str">
        <x:v>02421_102</x:v>
      </x:c>
      <x:c r="AL230" t="str">
        <x:v>S</x:v>
      </x:c>
      <x:c r="AM230" t="str">
        <x:v>REQ000008060806</x:v>
      </x:c>
      <x:c r="AN230" t="str">
        <x:v>noretention</x:v>
      </x:c>
      <x:c r="AO230" t="n">
        <x:v>0</x:v>
      </x:c>
      <x:c r="AP230" s="23" t="str">
        <x:f>IF(E230="processing",IF(Z230="","",IF(ISNUMBER(Z230),INT(Z230),DATE(VALUE(LEFT(Z230,4)),VALUE(MID(Z230,6,2)),VALUE(MID(Z230,9,2))))),IF(OR(E230="executing",E230="pending"),IF(AD230="","",IF(ISNUMBER(AD230),INT(AD230),DATE(VALUE(LEFT(AD230,4)),VALUE(MID(AD230,6,2)),VALUE(MID(AD230,9,2))))),""))</x:f>
      </x:c>
      <x:c r="AQ230" s="24" t="str">
        <x:f>IF(AP230="","",INT('Configuration'!$B$4)-AP230)</x:f>
      </x:c>
      <x:c r="AR230" s="25" t="str">
        <x:f>IF(AP230="","Missing Required Date",IF(AQ230&lt;0,"Future Date",IF(AQ230=0,"0 days",IF(AQ230&lt;=2,"1-2 days",IF(AQ230&lt;=7,"3-7 days",IF(AQ230&lt;=14,"8-14 days",IF(AQ230&lt;=30,"15-30 days",IF(AQ230&lt;=60,"31-60 days",IF(AQ230&lt;=70,"61-70 days","71+ days")))))))))</x:f>
        <x:v>Missing Required Date</x:v>
      </x:c>
      <x:c r="AS230" s="25" t="str">
        <x:f>IF(OR(E230="processing",E230="executing",E230="pending"),IF(AP230="","Required aging date missing",IF(AQ230&gt;30,"Escalate &gt;30d",IF(AQ230&gt;14,"Watch &gt;14d","Within 14d"))),"Out of scope")</x:f>
        <x:v>Out of scope</x:v>
      </x:c>
    </x:row>
    <x:row r="231" ht="24" customHeight="1">
      <x:c r="A231" t="str">
        <x:v>73e9a880-4869-4846-ae11-56c98bb4152e</x:v>
      </x:c>
      <x:c r="B231" t="str">
        <x:v>CSSP10282490</x:v>
      </x:c>
      <x:c r="C231" t="str">
        <x:v>essam.arab@petronas.com</x:v>
      </x:c>
      <x:c r="D231" t="str">
        <x:v>decommission-cloud</x:v>
      </x:c>
      <x:c r="E231" t="str">
        <x:v>cancelled</x:v>
      </x:c>
      <x:c r="F231" t="n">
        <x:v>46164.153390451385</x:v>
      </x:c>
      <x:c r="G231" t="n">
        <x:v>46164.171510277774</x:v>
      </x:c>
      <x:c r="H231" t="n">
        <x:v>46164.153390451385</x:v>
      </x:c>
      <x:c r="I231" t="str">
        <x:v>Alpha Gas</x:v>
      </x:c>
      <x:c r="J231" t="str">
        <x:v>Alpha Gas Run and Maintain 2025</x:v>
      </x:c>
      <x:c r="K231" t="str">
        <x:v>full</x:v>
      </x:c>
      <x:c r="L231" t="str">
        <x:v>DCOM2026051933d</x:v>
      </x:c>
      <x:c r="M231" t="str">
        <x:v>sunny.khiani@petronas.com</x:v>
      </x:c>
      <x:c r="N231"/>
      <x:c r="O231"/>
      <x:c r="P231" t="str">
        <x:v>Not used</x:v>
      </x:c>
      <x:c r="Q231" t="str">
        <x:v>3M</x:v>
      </x:c>
      <x:c r="R231" t="str">
        <x:v>Not in Used</x:v>
      </x:c>
      <x:c r="S231"/>
      <x:c r="T231" t="str">
        <x:v>rejected</x:v>
      </x:c>
      <x:c r="U231" t="str">
        <x:v>essam.arab@petronas.com</x:v>
      </x:c>
      <x:c r="V231" t="n">
        <x:v>46164.17151028935</x:v>
      </x:c>
      <x:c r="W231"/>
      <x:c r="X231"/>
      <x:c r="Y231" t="str">
        <x:v>sunny.khiani@petronas.com</x:v>
      </x:c>
      <x:c r="Z231"/>
      <x:c r="AA231"/>
      <x:c r="AB231"/>
      <x:c r="AC231" t="str">
        <x:v>CCoE Business</x:v>
      </x:c>
      <x:c r="AD231"/>
      <x:c r="AE231"/>
      <x:c r="AF231"/>
      <x:c r="AG231" t="str">
        <x:v>CCoE Operations</x:v>
      </x:c>
      <x:c r="AH231"/>
      <x:c r="AI231"/>
      <x:c r="AJ231" t="str">
        <x:v>A-000042</x:v>
      </x:c>
      <x:c r="AK231" t="n">
        <x:v>4555</x:v>
      </x:c>
      <x:c r="AL231"/>
      <x:c r="AM231"/>
      <x:c r="AN231" t="str">
        <x:v>retention</x:v>
      </x:c>
      <x:c r="AO231" t="n">
        <x:v>90</x:v>
      </x:c>
      <x:c r="AP231" s="23" t="str">
        <x:f>IF(E231="processing",IF(Z231="","",IF(ISNUMBER(Z231),INT(Z231),DATE(VALUE(LEFT(Z231,4)),VALUE(MID(Z231,6,2)),VALUE(MID(Z231,9,2))))),IF(OR(E231="executing",E231="pending"),IF(AD231="","",IF(ISNUMBER(AD231),INT(AD231),DATE(VALUE(LEFT(AD231,4)),VALUE(MID(AD231,6,2)),VALUE(MID(AD231,9,2))))),""))</x:f>
      </x:c>
      <x:c r="AQ231" s="24" t="str">
        <x:f>IF(AP231="","",INT('Configuration'!$B$4)-AP231)</x:f>
      </x:c>
      <x:c r="AR231" s="25" t="str">
        <x:f>IF(AP231="","Missing Required Date",IF(AQ231&lt;0,"Future Date",IF(AQ231=0,"0 days",IF(AQ231&lt;=2,"1-2 days",IF(AQ231&lt;=7,"3-7 days",IF(AQ231&lt;=14,"8-14 days",IF(AQ231&lt;=30,"15-30 days",IF(AQ231&lt;=60,"31-60 days",IF(AQ231&lt;=70,"61-70 days","71+ days")))))))))</x:f>
        <x:v>Missing Required Date</x:v>
      </x:c>
      <x:c r="AS231" s="25" t="str">
        <x:f>IF(OR(E231="processing",E231="executing",E231="pending"),IF(AP231="","Required aging date missing",IF(AQ231&gt;30,"Escalate &gt;30d",IF(AQ231&gt;14,"Watch &gt;14d","Within 14d"))),"Out of scope")</x:f>
        <x:v>Out of scope</x:v>
      </x:c>
    </x:row>
    <x:row r="232" ht="24" customHeight="1">
      <x:c r="A232" t="str">
        <x:v>7cd96ef1-497b-4547-bc5d-c6fc387d81e1</x:v>
      </x:c>
      <x:c r="B232" t="str">
        <x:v>CSSP10684299</x:v>
      </x:c>
      <x:c r="C232" t="str">
        <x:v>mashraf.habil@petronas.com</x:v>
      </x:c>
      <x:c r="D232" t="str">
        <x:v>decommission-cloud</x:v>
      </x:c>
      <x:c r="E232" t="str">
        <x:v>processing</x:v>
      </x:c>
      <x:c r="F232" t="n">
        <x:v>46164.34816179398</x:v>
      </x:c>
      <x:c r="G232" t="n">
        <x:v>46239.26696684028</x:v>
      </x:c>
      <x:c r="H232" t="n">
        <x:v>46181.289080069444</x:v>
      </x:c>
      <x:c r="I232" t="str">
        <x:v>Refinery of the Future - ROTF PRPC</x:v>
      </x:c>
      <x:c r="J232" t="str">
        <x:v>CTP - Refinery of the future (ROTF) - Feedstock</x:v>
      </x:c>
      <x:c r="K232" t="str">
        <x:v>full</x:v>
      </x:c>
      <x:c r="L232" t="str">
        <x:v>DCOM20260608525</x:v>
      </x:c>
      <x:c r="M232" t="str">
        <x:v>mfaizal.suriyat@petronas.com</x:v>
      </x:c>
      <x:c r="N232" t="str">
        <x:v>protf.petronas.com, protf.stg.petronas.com</x:v>
      </x:c>
      <x:c r="O232"/>
      <x:c r="P232" t="str">
        <x:v>Not in use</x:v>
      </x:c>
      <x:c r="Q232" t="str">
        <x:v>2W</x:v>
      </x:c>
      <x:c r="R232" t="str">
        <x:v>Not in Used</x:v>
      </x:c>
      <x:c r="S232"/>
      <x:c r="T232" t="str">
        <x:v>approved</x:v>
      </x:c>
      <x:c r="U232" t="str">
        <x:v>mashraf.habil@petronas.com</x:v>
      </x:c>
      <x:c r="V232" t="n">
        <x:v>46223.16982930555</x:v>
      </x:c>
      <x:c r="W232" t="str">
        <x:v>All resource listed can be decom</x:v>
      </x:c>
      <x:c r="X232" t="str">
        <x:v>approved</x:v>
      </x:c>
      <x:c r="Y232" t="str">
        <x:v>mfaizal.suriyat@petronas.com</x:v>
      </x:c>
      <x:c r="Z232" t="n">
        <x:v>46239.26696684028</x:v>
      </x:c>
      <x:c r="AA232" t="str">
        <x:v>Proceed to decom</x:v>
      </x:c>
      <x:c r="AB232"/>
      <x:c r="AC232" t="str">
        <x:v>IMS - CLOUD CSSP REVIEWER</x:v>
      </x:c>
      <x:c r="AD232"/>
      <x:c r="AE232"/>
      <x:c r="AF232"/>
      <x:c r="AG232" t="str">
        <x:v>IMS - CLOUD CSSP EXECUTOR</x:v>
      </x:c>
      <x:c r="AH232"/>
      <x:c r="AI232"/>
      <x:c r="AJ232" t="str">
        <x:v>A-000695</x:v>
      </x:c>
      <x:c r="AK232" t="str">
        <x:v>02421_65</x:v>
      </x:c>
      <x:c r="AL232"/>
      <x:c r="AM232"/>
      <x:c r="AN232" t="str">
        <x:v>disposal</x:v>
      </x:c>
      <x:c r="AO232" t="n">
        <x:v>0</x:v>
      </x:c>
      <x:c r="AP232" s="23" t="n">
        <x:f>IF(E232="processing",IF(Z232="","",IF(ISNUMBER(Z232),INT(Z232),DATE(VALUE(LEFT(Z232,4)),VALUE(MID(Z232,6,2)),VALUE(MID(Z232,9,2))))),IF(OR(E232="executing",E232="pending"),IF(AD232="","",IF(ISNUMBER(AD232),INT(AD232),DATE(VALUE(LEFT(AD232,4)),VALUE(MID(AD232,6,2)),VALUE(MID(AD232,9,2))))),""))</x:f>
        <x:v>46239</x:v>
      </x:c>
      <x:c r="AQ232" s="24" t="n">
        <x:f>IF(AP232="","",INT('Configuration'!$B$4)-AP232)</x:f>
        <x:v>12</x:v>
      </x:c>
      <x:c r="AR232" s="25" t="str">
        <x:f>IF(AP232="","Missing Required Date",IF(AQ232&lt;0,"Future Date",IF(AQ232=0,"0 days",IF(AQ232&lt;=2,"1-2 days",IF(AQ232&lt;=7,"3-7 days",IF(AQ232&lt;=14,"8-14 days",IF(AQ232&lt;=30,"15-30 days",IF(AQ232&lt;=60,"31-60 days",IF(AQ232&lt;=70,"61-70 days","71+ days")))))))))</x:f>
        <x:v>8-14 days</x:v>
      </x:c>
      <x:c r="AS232" s="25" t="str">
        <x:f>IF(OR(E232="processing",E232="executing",E232="pending"),IF(AP232="","Required aging date missing",IF(AQ232&gt;30,"Escalate &gt;30d",IF(AQ232&gt;14,"Watch &gt;14d","Within 14d"))),"Out of scope")</x:f>
        <x:v>Within 14d</x:v>
      </x:c>
    </x:row>
    <x:row r="233" ht="24" customHeight="1">
      <x:c r="A233" t="str">
        <x:v>10764f57-29b3-459a-9ff4-63cdea3aa9f5</x:v>
      </x:c>
      <x:c r="B233" t="str">
        <x:v>CSSP10340483</x:v>
      </x:c>
      <x:c r="C233" t="str">
        <x:v>ramachandran.sankara@petronas.com</x:v>
      </x:c>
      <x:c r="D233" t="str">
        <x:v>decommission-cloud</x:v>
      </x:c>
      <x:c r="E233" t="str">
        <x:v>processing</x:v>
      </x:c>
      <x:c r="F233" t="n">
        <x:v>46167.0322028588</x:v>
      </x:c>
      <x:c r="G233" t="n">
        <x:v>46210.283727002316</x:v>
      </x:c>
      <x:c r="H233" t="n">
        <x:v>46167.03220287037</x:v>
      </x:c>
      <x:c r="I233" t="str">
        <x:v>Instrument Reliability Digital Suite - IRIS</x:v>
      </x:c>
      <x:c r="J233" t="str">
        <x:v>[ALS] Implementation of Instrument Reliability Digital Suite (IRIS) for GTS</x:v>
      </x:c>
      <x:c r="K233" t="str">
        <x:v>partial</x:v>
      </x:c>
      <x:c r="L233"/>
      <x:c r="M233" t="str">
        <x:v>sarkunan.tigarajan@petronas.com</x:v>
      </x:c>
      <x:c r="N233"/>
      <x:c r="O233"/>
      <x:c r="P233" t="str">
        <x:v>Hello Team,
Please decomm below mentioned Azure Cloud resource only
Staging Environment (PTAZSG-UAT-ALS-RG)
ptsg4alsfunc01  - Azure functions
ptsg4alsstrg01 - Azure Storage
The Azure functions has not been used as the API hosted in them been migrated to OS APIs
The application is active. So please decommission only mentioned resources alone.
Thanks
</x:v>
      </x:c>
      <x:c r="Q233" t="str">
        <x:v>2W</x:v>
      </x:c>
      <x:c r="R233" t="str">
        <x:v>Not in Used</x:v>
      </x:c>
      <x:c r="S233"/>
      <x:c r="T233" t="str">
        <x:v>approved</x:v>
      </x:c>
      <x:c r="U233" t="str">
        <x:v>ramachandran.sankara@petronas.com</x:v>
      </x:c>
      <x:c r="V233" t="n">
        <x:v>46167.03310622685</x:v>
      </x:c>
      <x:c r="W233" t="str">
        <x:v>Only 2 resources in UAT
Azure functions and storage
ptsg4alsstrg01
ptsg4alsfunc01</x:v>
      </x:c>
      <x:c r="X233" t="str">
        <x:v>approved</x:v>
      </x:c>
      <x:c r="Y233" t="str">
        <x:v>sarkunan.tigarajan@petronas.com</x:v>
      </x:c>
      <x:c r="Z233" t="n">
        <x:v>46210.18658487269</x:v>
      </x:c>
      <x:c r="AA233" t="str">
        <x:v>Reviewed &amp; Approved</x:v>
      </x:c>
      <x:c r="AB233"/>
      <x:c r="AC233" t="str">
        <x:v>IMS - CLOUD CSSP REVIEWER</x:v>
      </x:c>
      <x:c r="AD233"/>
      <x:c r="AE233"/>
      <x:c r="AF233"/>
      <x:c r="AG233" t="str">
        <x:v>CCoE Operations</x:v>
      </x:c>
      <x:c r="AH233"/>
      <x:c r="AI233"/>
      <x:c r="AJ233" t="str">
        <x:v>A-000403</x:v>
      </x:c>
      <x:c r="AK233" t="n">
        <x:v>2532</x:v>
      </x:c>
      <x:c r="AL233" t="str">
        <x:v>S</x:v>
      </x:c>
      <x:c r="AM233"/>
      <x:c r="AN233" t="str">
        <x:v>disposal</x:v>
      </x:c>
      <x:c r="AO233" t="n">
        <x:v>0</x:v>
      </x:c>
      <x:c r="AP233" s="23" t="n">
        <x:f>IF(E233="processing",IF(Z233="","",IF(ISNUMBER(Z233),INT(Z233),DATE(VALUE(LEFT(Z233,4)),VALUE(MID(Z233,6,2)),VALUE(MID(Z233,9,2))))),IF(OR(E233="executing",E233="pending"),IF(AD233="","",IF(ISNUMBER(AD233),INT(AD233),DATE(VALUE(LEFT(AD233,4)),VALUE(MID(AD233,6,2)),VALUE(MID(AD233,9,2))))),""))</x:f>
        <x:v>46210</x:v>
      </x:c>
      <x:c r="AQ233" s="24" t="n">
        <x:f>IF(AP233="","",INT('Configuration'!$B$4)-AP233)</x:f>
        <x:v>41</x:v>
      </x:c>
      <x:c r="AR233" s="25" t="str">
        <x:f>IF(AP233="","Missing Required Date",IF(AQ233&lt;0,"Future Date",IF(AQ233=0,"0 days",IF(AQ233&lt;=2,"1-2 days",IF(AQ233&lt;=7,"3-7 days",IF(AQ233&lt;=14,"8-14 days",IF(AQ233&lt;=30,"15-30 days",IF(AQ233&lt;=60,"31-60 days",IF(AQ233&lt;=70,"61-70 days","71+ days")))))))))</x:f>
        <x:v>31-60 days</x:v>
      </x:c>
      <x:c r="AS233" s="25" t="str">
        <x:f>IF(OR(E233="processing",E233="executing",E233="pending"),IF(AP233="","Required aging date missing",IF(AQ233&gt;30,"Escalate &gt;30d",IF(AQ233&gt;14,"Watch &gt;14d","Within 14d"))),"Out of scope")</x:f>
        <x:v>Escalate &gt;30d</x:v>
      </x:c>
    </x:row>
    <x:row r="234" ht="24" customHeight="1">
      <x:c r="A234" t="str">
        <x:v>621be009-9eac-4914-b75b-7e6199940cc4</x:v>
      </x:c>
      <x:c r="B234" t="str">
        <x:v>CSSP10682186</x:v>
      </x:c>
      <x:c r="C234" t="str">
        <x:v>erenah.hanasi@petronas.com</x:v>
      </x:c>
      <x:c r="D234" t="str">
        <x:v>decommission-cloud</x:v>
      </x:c>
      <x:c r="E234" t="str">
        <x:v>cancelled</x:v>
      </x:c>
      <x:c r="F234" t="n">
        <x:v>46168.152981921296</x:v>
      </x:c>
      <x:c r="G234" t="n">
        <x:v>46168.15509315972</x:v>
      </x:c>
      <x:c r="H234" t="n">
        <x:v>46168.152981921296</x:v>
      </x:c>
      <x:c r="I234" t="str">
        <x:v>Turnaround Management Solution - PITSTOPS</x:v>
      </x:c>
      <x:c r="J234" t="str">
        <x:v>Modernization of Turnaround Management Solution for GTS - PITSTOPS</x:v>
      </x:c>
      <x:c r="K234" t="str">
        <x:v>partial</x:v>
      </x:c>
      <x:c r="L234"/>
      <x:c r="M234" t="str">
        <x:v>erenah.hanasi@petronas.com</x:v>
      </x:c>
      <x:c r="N234"/>
      <x:c r="O234" t="str">
        <x:v>sss</x:v>
      </x:c>
      <x:c r="P234" t="str">
        <x:v>ssss</x:v>
      </x:c>
      <x:c r="Q234" t="str">
        <x:v>2W</x:v>
      </x:c>
      <x:c r="R234" t="str">
        <x:v>Not in Used</x:v>
      </x:c>
      <x:c r="S234"/>
      <x:c r="T234" t="str">
        <x:v>rejected</x:v>
      </x:c>
      <x:c r="U234" t="str">
        <x:v>erenah.hanasi@petronas.com</x:v>
      </x:c>
      <x:c r="V234" t="n">
        <x:v>46168.15509315972</x:v>
      </x:c>
      <x:c r="W234"/>
      <x:c r="X234"/>
      <x:c r="Y234" t="str">
        <x:v>erenah.hanasi@petronas.com</x:v>
      </x:c>
      <x:c r="Z234"/>
      <x:c r="AA234"/>
      <x:c r="AB234"/>
      <x:c r="AC234" t="str">
        <x:v>CCoE Business</x:v>
      </x:c>
      <x:c r="AD234"/>
      <x:c r="AE234"/>
      <x:c r="AF234"/>
      <x:c r="AG234" t="str">
        <x:v>CCoE Operations</x:v>
      </x:c>
      <x:c r="AH234"/>
      <x:c r="AI234"/>
      <x:c r="AJ234" t="str">
        <x:v>A-000603</x:v>
      </x:c>
      <x:c r="AK234" t="n">
        <x:v>1359</x:v>
      </x:c>
      <x:c r="AL234"/>
      <x:c r="AM234"/>
      <x:c r="AN234" t="str">
        <x:v>disposal</x:v>
      </x:c>
      <x:c r="AO234" t="n">
        <x:v>0</x:v>
      </x:c>
      <x:c r="AP234" s="23" t="str">
        <x:f>IF(E234="processing",IF(Z234="","",IF(ISNUMBER(Z234),INT(Z234),DATE(VALUE(LEFT(Z234,4)),VALUE(MID(Z234,6,2)),VALUE(MID(Z234,9,2))))),IF(OR(E234="executing",E234="pending"),IF(AD234="","",IF(ISNUMBER(AD234),INT(AD234),DATE(VALUE(LEFT(AD234,4)),VALUE(MID(AD234,6,2)),VALUE(MID(AD234,9,2))))),""))</x:f>
      </x:c>
      <x:c r="AQ234" s="24" t="str">
        <x:f>IF(AP234="","",INT('Configuration'!$B$4)-AP234)</x:f>
      </x:c>
      <x:c r="AR234" s="25" t="str">
        <x:f>IF(AP234="","Missing Required Date",IF(AQ234&lt;0,"Future Date",IF(AQ234=0,"0 days",IF(AQ234&lt;=2,"1-2 days",IF(AQ234&lt;=7,"3-7 days",IF(AQ234&lt;=14,"8-14 days",IF(AQ234&lt;=30,"15-30 days",IF(AQ234&lt;=60,"31-60 days",IF(AQ234&lt;=70,"61-70 days","71+ days")))))))))</x:f>
        <x:v>Missing Required Date</x:v>
      </x:c>
      <x:c r="AS234" s="25" t="str">
        <x:f>IF(OR(E234="processing",E234="executing",E234="pending"),IF(AP234="","Required aging date missing",IF(AQ234&gt;30,"Escalate &gt;30d",IF(AQ234&gt;14,"Watch &gt;14d","Within 14d"))),"Out of scope")</x:f>
        <x:v>Out of scope</x:v>
      </x:c>
    </x:row>
    <x:row r="235" ht="24" customHeight="1">
      <x:c r="A235" t="str">
        <x:v>8871d087-ff27-4c09-8a25-4f69bc682da1</x:v>
      </x:c>
      <x:c r="B235" t="str">
        <x:v>CSSP10237001</x:v>
      </x:c>
      <x:c r="C235" t="str">
        <x:v>mzurfaiezzuddin.zur@petronas.com</x:v>
      </x:c>
      <x:c r="D235" t="str">
        <x:v>decommission-cloud</x:v>
      </x:c>
      <x:c r="E235" t="str">
        <x:v>processing</x:v>
      </x:c>
      <x:c r="F235" t="n">
        <x:v>46177.38046849537</x:v>
      </x:c>
      <x:c r="G235" t="n">
        <x:v>46209.30684199074</x:v>
      </x:c>
      <x:c r="H235" t="n">
        <x:v>46177.38046849537</x:v>
      </x:c>
      <x:c r="I235" t="str">
        <x:v>Energy Component as a Service - ECaaS</x:v>
      </x:c>
      <x:c r="J235" t="str">
        <x:v>PETRONAS Global Production System (PGPS) Energy Component as a Service (ECaaS)</x:v>
      </x:c>
      <x:c r="K235" t="str">
        <x:v>partial</x:v>
      </x:c>
      <x:c r="L235"/>
      <x:c r="M235" t="str">
        <x:v>sazali.mokhtar@petronas.com</x:v>
      </x:c>
      <x:c r="N235"/>
      <x:c r="O235"/>
      <x:c r="P235" t="str">
        <x:v>Cloud Repatriation - To decommission old resources in Singapore region due to completed migration in MY region</x:v>
      </x:c>
      <x:c r="Q235" t="str">
        <x:v>2W</x:v>
      </x:c>
      <x:c r="R235" t="str">
        <x:v>Cloud Migration</x:v>
      </x:c>
      <x:c r="S235"/>
      <x:c r="T235" t="str">
        <x:v>approved</x:v>
      </x:c>
      <x:c r="U235" t="str">
        <x:v>mzurfaiezzuddin.zur@petronas.com</x:v>
      </x:c>
      <x:c r="V235" t="n">
        <x:v>46177.38096030093</x:v>
      </x:c>
      <x:c r="W235" t="str">
        <x:v>Cloud Repatriation - To decommission old resources in Singapore region due to completed migration in MY region</x:v>
      </x:c>
      <x:c r="X235" t="str">
        <x:v>approved</x:v>
      </x:c>
      <x:c r="Y235" t="str">
        <x:v>sazali.mokhtar@petronas.com</x:v>
      </x:c>
      <x:c r="Z235" t="n">
        <x:v>46184.064344363425</x:v>
      </x:c>
      <x:c r="AA235" t="str">
        <x:v>Cloud Repatriation - To decommission old resources in Singapore region due to completed migration in MY region</x:v>
      </x:c>
      <x:c r="AB235"/>
      <x:c r="AC235" t="str">
        <x:v>IMS - CLOUD CSSP REVIEWER</x:v>
      </x:c>
      <x:c r="AD235"/>
      <x:c r="AE235"/>
      <x:c r="AF235"/>
      <x:c r="AG235" t="str">
        <x:v>CCoE Operations</x:v>
      </x:c>
      <x:c r="AH235"/>
      <x:c r="AI235"/>
      <x:c r="AJ235" t="str">
        <x:v>A-000254</x:v>
      </x:c>
      <x:c r="AK235" t="str">
        <x:v>PC-00066</x:v>
      </x:c>
      <x:c r="AL235" t="str">
        <x:v>M</x:v>
      </x:c>
      <x:c r="AM235"/>
      <x:c r="AN235" t="str">
        <x:v>noretention</x:v>
      </x:c>
      <x:c r="AO235" t="n">
        <x:v>0</x:v>
      </x:c>
      <x:c r="AP235" s="23" t="n">
        <x:f>IF(E235="processing",IF(Z235="","",IF(ISNUMBER(Z235),INT(Z235),DATE(VALUE(LEFT(Z235,4)),VALUE(MID(Z235,6,2)),VALUE(MID(Z235,9,2))))),IF(OR(E235="executing",E235="pending"),IF(AD235="","",IF(ISNUMBER(AD235),INT(AD235),DATE(VALUE(LEFT(AD235,4)),VALUE(MID(AD235,6,2)),VALUE(MID(AD235,9,2))))),""))</x:f>
        <x:v>46184</x:v>
      </x:c>
      <x:c r="AQ235" s="24" t="n">
        <x:f>IF(AP235="","",INT('Configuration'!$B$4)-AP235)</x:f>
        <x:v>67</x:v>
      </x:c>
      <x:c r="AR235" s="25" t="str">
        <x:f>IF(AP235="","Missing Required Date",IF(AQ235&lt;0,"Future Date",IF(AQ235=0,"0 days",IF(AQ235&lt;=2,"1-2 days",IF(AQ235&lt;=7,"3-7 days",IF(AQ235&lt;=14,"8-14 days",IF(AQ235&lt;=30,"15-30 days",IF(AQ235&lt;=60,"31-60 days",IF(AQ235&lt;=70,"61-70 days","71+ days")))))))))</x:f>
        <x:v>61-70 days</x:v>
      </x:c>
      <x:c r="AS235" s="25" t="str">
        <x:f>IF(OR(E235="processing",E235="executing",E235="pending"),IF(AP235="","Required aging date missing",IF(AQ235&gt;30,"Escalate &gt;30d",IF(AQ235&gt;14,"Watch &gt;14d","Within 14d"))),"Out of scope")</x:f>
        <x:v>Escalate &gt;30d</x:v>
      </x:c>
    </x:row>
    <x:row r="236" ht="24" customHeight="1">
      <x:c r="A236" t="str">
        <x:v>64ed4481-bce0-4eaa-8a9b-b63d01e4fa1c</x:v>
      </x:c>
      <x:c r="B236" t="str">
        <x:v>CSSP10653599</x:v>
      </x:c>
      <x:c r="C236" t="str">
        <x:v>cus.ng@petronas.com</x:v>
      </x:c>
      <x:c r="D236" t="str">
        <x:v>decommission-cloud</x:v>
      </x:c>
      <x:c r="E236" t="str">
        <x:v>pending</x:v>
      </x:c>
      <x:c r="F236" t="n">
        <x:v>46178.265447199075</x:v>
      </x:c>
      <x:c r="G236" t="n">
        <x:v>46178.265447199075</x:v>
      </x:c>
      <x:c r="H236" t="n">
        <x:v>46178.265447199075</x:v>
      </x:c>
      <x:c r="I236" t="str">
        <x:v>MyTimex</x:v>
      </x:c>
      <x:c r="J236" t="str">
        <x:v>Development of Enterprise myTimex for Standard Group-wide Application</x:v>
      </x:c>
      <x:c r="K236" t="str">
        <x:v>partial</x:v>
      </x:c>
      <x:c r="L236"/>
      <x:c r="M236" t="str">
        <x:v>test</x:v>
      </x:c>
      <x:c r="N236"/>
      <x:c r="O236"/>
      <x:c r="P236" t="str">
        <x:v>test</x:v>
      </x:c>
      <x:c r="Q236" t="str">
        <x:v>2W</x:v>
      </x:c>
      <x:c r="R236" t="str">
        <x:v>Upgrade</x:v>
      </x:c>
      <x:c r="S236"/>
      <x:c r="T236" t="str">
        <x:v>pending</x:v>
      </x:c>
      <x:c r="U236" t="str">
        <x:v>cus.ng@petronas.com</x:v>
      </x:c>
      <x:c r="V236"/>
      <x:c r="W236"/>
      <x:c r="X236"/>
      <x:c r="Y236" t="str">
        <x:v>test</x:v>
      </x:c>
      <x:c r="Z236"/>
      <x:c r="AA236"/>
      <x:c r="AB236"/>
      <x:c r="AC236" t="str">
        <x:v>CCoE Business</x:v>
      </x:c>
      <x:c r="AD236"/>
      <x:c r="AE236"/>
      <x:c r="AF236"/>
      <x:c r="AG236" t="str">
        <x:v>CCoE Operations</x:v>
      </x:c>
      <x:c r="AH236"/>
      <x:c r="AI236"/>
      <x:c r="AJ236" t="str">
        <x:v>A-000496</x:v>
      </x:c>
      <x:c r="AK236" t="str">
        <x:v>PSR04772</x:v>
      </x:c>
      <x:c r="AL236"/>
      <x:c r="AM236"/>
      <x:c r="AN236" t="str">
        <x:v>noretention</x:v>
      </x:c>
      <x:c r="AO236" t="n">
        <x:v>0</x:v>
      </x:c>
      <x:c r="AP236" s="23" t="str">
        <x:f>IF(E236="processing",IF(Z236="","",IF(ISNUMBER(Z236),INT(Z236),DATE(VALUE(LEFT(Z236,4)),VALUE(MID(Z236,6,2)),VALUE(MID(Z236,9,2))))),IF(OR(E236="executing",E236="pending"),IF(AD236="","",IF(ISNUMBER(AD236),INT(AD236),DATE(VALUE(LEFT(AD236,4)),VALUE(MID(AD236,6,2)),VALUE(MID(AD236,9,2))))),""))</x:f>
      </x:c>
      <x:c r="AQ236" s="24" t="str">
        <x:f>IF(AP236="","",INT('Configuration'!$B$4)-AP236)</x:f>
      </x:c>
      <x:c r="AR236" s="25" t="str">
        <x:f>IF(AP236="","Missing Required Date",IF(AQ236&lt;0,"Future Date",IF(AQ236=0,"0 days",IF(AQ236&lt;=2,"1-2 days",IF(AQ236&lt;=7,"3-7 days",IF(AQ236&lt;=14,"8-14 days",IF(AQ236&lt;=30,"15-30 days",IF(AQ236&lt;=60,"31-60 days",IF(AQ236&lt;=70,"61-70 days","71+ days")))))))))</x:f>
        <x:v>Missing Required Date</x:v>
      </x:c>
      <x:c r="AS236" s="25" t="str">
        <x:f>IF(OR(E236="processing",E236="executing",E236="pending"),IF(AP236="","Required aging date missing",IF(AQ236&gt;30,"Escalate &gt;30d",IF(AQ236&gt;14,"Watch &gt;14d","Within 14d"))),"Out of scope")</x:f>
        <x:v>Required aging date missing</x:v>
      </x:c>
    </x:row>
    <x:row r="237" ht="24" customHeight="1">
      <x:c r="A237" t="str">
        <x:v>59ce8d48-9246-4b35-9c98-83038a676bf3</x:v>
      </x:c>
      <x:c r="B237" t="str">
        <x:v>CSSP10657704</x:v>
      </x:c>
      <x:c r="C237" t="str">
        <x:v>norhayati.saad@petronas.com</x:v>
      </x:c>
      <x:c r="D237" t="str">
        <x:v>decommission-cloud</x:v>
      </x:c>
      <x:c r="E237" t="str">
        <x:v>completed</x:v>
      </x:c>
      <x:c r="F237" t="n">
        <x:v>46181.97354247685</x:v>
      </x:c>
      <x:c r="G237" t="n">
        <x:v>46196.359642268515</x:v>
      </x:c>
      <x:c r="H237" t="n">
        <x:v>46181.97354247685</x:v>
      </x:c>
      <x:c r="I237" t="str">
        <x:v>Policy Advisory Committee to the Prime Minister - PMAC</x:v>
      </x:c>
      <x:c r="J237" t="str">
        <x:v>Policy Advisory Committee to the Prime Minister (PMAC)</x:v>
      </x:c>
      <x:c r="K237" t="str">
        <x:v>partial</x:v>
      </x:c>
      <x:c r="L237"/>
      <x:c r="M237" t="str">
        <x:v>sazali.mokhtar@petronas.com</x:v>
      </x:c>
      <x:c r="N237"/>
      <x:c r="O237"/>
      <x:c r="P237" t="str">
        <x:v>Cloud Repatriation - To decommission old resources in Singapore region due to completed migration in MY region</x:v>
      </x:c>
      <x:c r="Q237" t="str">
        <x:v>2W</x:v>
      </x:c>
      <x:c r="R237" t="str">
        <x:v>Cloud Migration</x:v>
      </x:c>
      <x:c r="S237"/>
      <x:c r="T237" t="str">
        <x:v>approved</x:v>
      </x:c>
      <x:c r="U237" t="str">
        <x:v>norhayati.saad@petronas.com</x:v>
      </x:c>
      <x:c r="V237" t="n">
        <x:v>46181.97554550926</x:v>
      </x:c>
      <x:c r="W237" t="str">
        <x:v>please decom entire RG PTAZSG-IAC-UAT-PMAC-RG, PTAZSG-IAC-PROD-PMAC-RG</x:v>
      </x:c>
      <x:c r="X237" t="str">
        <x:v>approved</x:v>
      </x:c>
      <x:c r="Y237" t="str">
        <x:v>sazali.mokhtar@petronas.com</x:v>
      </x:c>
      <x:c r="Z237" t="n">
        <x:v>46184.063530150466</x:v>
      </x:c>
      <x:c r="AA237" t="str">
        <x:v>Cloud Repatriation - To decommission old resources in Singapore region due to completed migration in MY region</x:v>
      </x:c>
      <x:c r="AB237" t="str">
        <x:v>approved</x:v>
      </x:c>
      <x:c r="AC237" t="str">
        <x:v>azwan.badari@petronas.com</x:v>
      </x:c>
      <x:c r="AD237" t="n">
        <x:v>46188.141476006946</x:v>
      </x:c>
      <x:c r="AE237" t="str">
        <x:v>Decommission resources in SG (Repat)</x:v>
      </x:c>
      <x:c r="AF237" t="str">
        <x:v>approved</x:v>
      </x:c>
      <x:c r="AG237" t="str">
        <x:v>azlisham.md@petronas.com</x:v>
      </x:c>
      <x:c r="AH237" t="n">
        <x:v>46196.359642268515</x:v>
      </x:c>
      <x:c r="AI237" t="str">
        <x:v>The decommission request has been completed, and the status is now updated accordingly. Kindly verify from your end and confirm once reviewed.
</x:v>
      </x:c>
      <x:c r="AJ237" t="str">
        <x:v>A-000630</x:v>
      </x:c>
      <x:c r="AK237" t="n">
        <x:v>4229</x:v>
      </x:c>
      <x:c r="AL237" t="str">
        <x:v>M</x:v>
      </x:c>
      <x:c r="AM237" t="str">
        <x:v>REQ000008100449</x:v>
      </x:c>
      <x:c r="AN237" t="str">
        <x:v>noretention</x:v>
      </x:c>
      <x:c r="AO237" t="n">
        <x:v>0</x:v>
      </x:c>
      <x:c r="AP237" s="23" t="str">
        <x:f>IF(E237="processing",IF(Z237="","",IF(ISNUMBER(Z237),INT(Z237),DATE(VALUE(LEFT(Z237,4)),VALUE(MID(Z237,6,2)),VALUE(MID(Z237,9,2))))),IF(OR(E237="executing",E237="pending"),IF(AD237="","",IF(ISNUMBER(AD237),INT(AD237),DATE(VALUE(LEFT(AD237,4)),VALUE(MID(AD237,6,2)),VALUE(MID(AD237,9,2))))),""))</x:f>
      </x:c>
      <x:c r="AQ237" s="24" t="str">
        <x:f>IF(AP237="","",INT('Configuration'!$B$4)-AP237)</x:f>
      </x:c>
      <x:c r="AR237" s="25" t="str">
        <x:f>IF(AP237="","Missing Required Date",IF(AQ237&lt;0,"Future Date",IF(AQ237=0,"0 days",IF(AQ237&lt;=2,"1-2 days",IF(AQ237&lt;=7,"3-7 days",IF(AQ237&lt;=14,"8-14 days",IF(AQ237&lt;=30,"15-30 days",IF(AQ237&lt;=60,"31-60 days",IF(AQ237&lt;=70,"61-70 days","71+ days")))))))))</x:f>
        <x:v>Missing Required Date</x:v>
      </x:c>
      <x:c r="AS237" s="25" t="str">
        <x:f>IF(OR(E237="processing",E237="executing",E237="pending"),IF(AP237="","Required aging date missing",IF(AQ237&gt;30,"Escalate &gt;30d",IF(AQ237&gt;14,"Watch &gt;14d","Within 14d"))),"Out of scope")</x:f>
        <x:v>Out of scope</x:v>
      </x:c>
    </x:row>
    <x:row r="238" ht="24" customHeight="1">
      <x:c r="A238" t="str">
        <x:v>a4387962-83a2-4e0d-b981-8958beb397fb</x:v>
      </x:c>
      <x:c r="B238" t="str">
        <x:v>CSSP10555599</x:v>
      </x:c>
      <x:c r="C238" t="str">
        <x:v>fatin.ghazali@petronas.com</x:v>
      </x:c>
      <x:c r="D238" t="str">
        <x:v>decommission-cloud</x:v>
      </x:c>
      <x:c r="E238" t="str">
        <x:v>completed</x:v>
      </x:c>
      <x:c r="F238" t="n">
        <x:v>46183.28925431713</x:v>
      </x:c>
      <x:c r="G238" t="n">
        <x:v>46195.098200381944</x:v>
      </x:c>
      <x:c r="H238" t="n">
        <x:v>46183.306086805555</x:v>
      </x:c>
      <x:c r="I238" t="str">
        <x:v>Business Intelligence Reporting and Analytic - BIRA</x:v>
      </x:c>
      <x:c r="J238" t="str">
        <x:v>Cloud Migration- BIRA (Business Intelligence Reporting &amp; Analytic)</x:v>
      </x:c>
      <x:c r="K238" t="str">
        <x:v>partial</x:v>
      </x:c>
      <x:c r="L238"/>
      <x:c r="M238" t="str">
        <x:v>kuek.chiayin@petronas.com</x:v>
      </x:c>
      <x:c r="N238"/>
      <x:c r="O238"/>
      <x:c r="P238" t="str">
        <x:v>To decommission ArbitraAppMart in PTSG-4BIRADB01 only. Decomm the database only. Do not delete the server.</x:v>
      </x:c>
      <x:c r="Q238" t="str">
        <x:v>3M</x:v>
      </x:c>
      <x:c r="R238" t="str">
        <x:v>Not in Used</x:v>
      </x:c>
      <x:c r="S238"/>
      <x:c r="T238" t="str">
        <x:v>approved</x:v>
      </x:c>
      <x:c r="U238" t="str">
        <x:v>fatin.ghazali@petronas.com</x:v>
      </x:c>
      <x:c r="V238" t="n">
        <x:v>46183.307676412034</x:v>
      </x:c>
      <x:c r="W238" t="str">
        <x:v>N/A</x:v>
      </x:c>
      <x:c r="X238" t="str">
        <x:v>approved</x:v>
      </x:c>
      <x:c r="Y238" t="str">
        <x:v>kuek.chiayin@petronas.com</x:v>
      </x:c>
      <x:c r="Z238" t="n">
        <x:v>46184.14992599537</x:v>
      </x:c>
      <x:c r="AA238" t="str">
        <x:v>Approved for decom as clean-up on unused resources. </x:v>
      </x:c>
      <x:c r="AB238" t="str">
        <x:v>approved</x:v>
      </x:c>
      <x:c r="AC238" t="str">
        <x:v>azwan.badari@petronas.com</x:v>
      </x:c>
      <x:c r="AD238" t="n">
        <x:v>46195.06599420139</x:v>
      </x:c>
      <x:c r="AE238" t="str">
        <x:v>Decommission database name ArbitraAppMart in PTSG-4BIRADB01 only</x:v>
      </x:c>
      <x:c r="AF238" t="str">
        <x:v>approved</x:v>
      </x:c>
      <x:c r="AG238" t="str">
        <x:v>badri.shaharudin@petronas.com</x:v>
      </x:c>
      <x:c r="AH238" t="n">
        <x:v>46195.09820039352</x:v>
      </x:c>
      <x:c r="AI238" t="str">
        <x:v>Completed</x:v>
      </x:c>
      <x:c r="AJ238" t="str">
        <x:v>A-000092</x:v>
      </x:c>
      <x:c r="AK238" t="str">
        <x:v>02421_15</x:v>
      </x:c>
      <x:c r="AL238" t="str">
        <x:v>S</x:v>
      </x:c>
      <x:c r="AM238" t="str">
        <x:v>REQ000008111308</x:v>
      </x:c>
      <x:c r="AN238" t="str">
        <x:v>retention</x:v>
      </x:c>
      <x:c r="AO238"/>
      <x:c r="AP238" s="23" t="str">
        <x:f>IF(E238="processing",IF(Z238="","",IF(ISNUMBER(Z238),INT(Z238),DATE(VALUE(LEFT(Z238,4)),VALUE(MID(Z238,6,2)),VALUE(MID(Z238,9,2))))),IF(OR(E238="executing",E238="pending"),IF(AD238="","",IF(ISNUMBER(AD238),INT(AD238),DATE(VALUE(LEFT(AD238,4)),VALUE(MID(AD238,6,2)),VALUE(MID(AD238,9,2))))),""))</x:f>
      </x:c>
      <x:c r="AQ238" s="24" t="str">
        <x:f>IF(AP238="","",INT('Configuration'!$B$4)-AP238)</x:f>
      </x:c>
      <x:c r="AR238" s="25" t="str">
        <x:f>IF(AP238="","Missing Required Date",IF(AQ238&lt;0,"Future Date",IF(AQ238=0,"0 days",IF(AQ238&lt;=2,"1-2 days",IF(AQ238&lt;=7,"3-7 days",IF(AQ238&lt;=14,"8-14 days",IF(AQ238&lt;=30,"15-30 days",IF(AQ238&lt;=60,"31-60 days",IF(AQ238&lt;=70,"61-70 days","71+ days")))))))))</x:f>
        <x:v>Missing Required Date</x:v>
      </x:c>
      <x:c r="AS238" s="25" t="str">
        <x:f>IF(OR(E238="processing",E238="executing",E238="pending"),IF(AP238="","Required aging date missing",IF(AQ238&gt;30,"Escalate &gt;30d",IF(AQ238&gt;14,"Watch &gt;14d","Within 14d"))),"Out of scope")</x:f>
        <x:v>Out of scope</x:v>
      </x:c>
    </x:row>
    <x:row r="239" ht="24" customHeight="1">
      <x:c r="A239" t="str">
        <x:v>c2c70e60-4100-431a-8cc2-5e6028e5e342</x:v>
      </x:c>
      <x:c r="B239" t="str">
        <x:v>CSSP10475107</x:v>
      </x:c>
      <x:c r="C239" t="str">
        <x:v>hazdirizal.abdullha@petronas.com</x:v>
      </x:c>
      <x:c r="D239" t="str">
        <x:v>decommission-cloud</x:v>
      </x:c>
      <x:c r="E239" t="str">
        <x:v>cancelled</x:v>
      </x:c>
      <x:c r="F239" t="n">
        <x:v>46185.32166055556</x:v>
      </x:c>
      <x:c r="G239" t="n">
        <x:v>46185.336061354166</x:v>
      </x:c>
      <x:c r="H239" t="n">
        <x:v>46185.32992131945</x:v>
      </x:c>
      <x:c r="I239" t="str">
        <x:v>M365 Exchange 2016 for Centralised Automation Management Console</x:v>
      </x:c>
      <x:c r="J239" t="str">
        <x:v>M365-Server Relocation: Exchange Hybrid Servers</x:v>
      </x:c>
      <x:c r="K239" t="str">
        <x:v>partial</x:v>
      </x:c>
      <x:c r="L239"/>
      <x:c r="M239" t="str">
        <x:v>nshahidahothman@petronas.com.my</x:v>
      </x:c>
      <x:c r="N239"/>
      <x:c r="O239"/>
      <x:c r="P239" t="str">
        <x:v>current Exchange server 2016 has already reached end of life support and not in used. the total number of servers of Exchange 2016 to be decom is 4 servers:
Exchange 2016 Hybrid Servers:
PTSG-3EXCHVM1 - 172.25.8.167
PTSG-3EXCHVM2 - 172.25.8.177
Exchange 2016 Edge Servers:
PTSG-1SMTPed01 - 172.25.34.85
PTSG-1SMTPed02 - 172.25.34.86</x:v>
      </x:c>
      <x:c r="Q239" t="str">
        <x:v>1M</x:v>
      </x:c>
      <x:c r="R239" t="str">
        <x:v>Not in Used</x:v>
      </x:c>
      <x:c r="S239"/>
      <x:c r="T239" t="str">
        <x:v>rejected</x:v>
      </x:c>
      <x:c r="U239" t="str">
        <x:v>hazdirizal.abdullha@petronas.com</x:v>
      </x:c>
      <x:c r="V239" t="n">
        <x:v>46185.33606136574</x:v>
      </x:c>
      <x:c r="W239"/>
      <x:c r="X239"/>
      <x:c r="Y239" t="str">
        <x:v>nshahidahothman@petronas.com</x:v>
      </x:c>
      <x:c r="Z239"/>
      <x:c r="AA239"/>
      <x:c r="AB239"/>
      <x:c r="AC239" t="str">
        <x:v>CCoE Business</x:v>
      </x:c>
      <x:c r="AD239"/>
      <x:c r="AE239"/>
      <x:c r="AF239"/>
      <x:c r="AG239" t="str">
        <x:v>CCoE Business</x:v>
      </x:c>
      <x:c r="AH239"/>
      <x:c r="AI239"/>
      <x:c r="AJ239" t="str">
        <x:v>A-000443</x:v>
      </x:c>
      <x:c r="AK239" t="str">
        <x:v>01931_2</x:v>
      </x:c>
      <x:c r="AL239"/>
      <x:c r="AM239"/>
      <x:c r="AN239" t="str">
        <x:v>noretention</x:v>
      </x:c>
      <x:c r="AO239" t="n">
        <x:v>0</x:v>
      </x:c>
      <x:c r="AP239" s="23" t="str">
        <x:f>IF(E239="processing",IF(Z239="","",IF(ISNUMBER(Z239),INT(Z239),DATE(VALUE(LEFT(Z239,4)),VALUE(MID(Z239,6,2)),VALUE(MID(Z239,9,2))))),IF(OR(E239="executing",E239="pending"),IF(AD239="","",IF(ISNUMBER(AD239),INT(AD239),DATE(VALUE(LEFT(AD239,4)),VALUE(MID(AD239,6,2)),VALUE(MID(AD239,9,2))))),""))</x:f>
      </x:c>
      <x:c r="AQ239" s="24" t="str">
        <x:f>IF(AP239="","",INT('Configuration'!$B$4)-AP239)</x:f>
      </x:c>
      <x:c r="AR239" s="25" t="str">
        <x:f>IF(AP239="","Missing Required Date",IF(AQ239&lt;0,"Future Date",IF(AQ239=0,"0 days",IF(AQ239&lt;=2,"1-2 days",IF(AQ239&lt;=7,"3-7 days",IF(AQ239&lt;=14,"8-14 days",IF(AQ239&lt;=30,"15-30 days",IF(AQ239&lt;=60,"31-60 days",IF(AQ239&lt;=70,"61-70 days","71+ days")))))))))</x:f>
        <x:v>Missing Required Date</x:v>
      </x:c>
      <x:c r="AS239" s="25" t="str">
        <x:f>IF(OR(E239="processing",E239="executing",E239="pending"),IF(AP239="","Required aging date missing",IF(AQ239&gt;30,"Escalate &gt;30d",IF(AQ239&gt;14,"Watch &gt;14d","Within 14d"))),"Out of scope")</x:f>
        <x:v>Out of scope</x:v>
      </x:c>
    </x:row>
    <x:row r="240" ht="24" customHeight="1">
      <x:c r="A240" t="str">
        <x:v>81979cb2-adc9-48f1-a887-9af937c30e81</x:v>
      </x:c>
      <x:c r="B240" t="str">
        <x:v>CSSP10496253</x:v>
      </x:c>
      <x:c r="C240" t="str">
        <x:v>hazdirizal.abdullha@petronas.com</x:v>
      </x:c>
      <x:c r="D240" t="str">
        <x:v>decommission-cloud</x:v>
      </x:c>
      <x:c r="E240" t="str">
        <x:v>completed</x:v>
      </x:c>
      <x:c r="F240" t="n">
        <x:v>46185.340565833336</x:v>
      </x:c>
      <x:c r="G240" t="n">
        <x:v>46223.28076894676</x:v>
      </x:c>
      <x:c r="H240" t="n">
        <x:v>46185.340565833336</x:v>
      </x:c>
      <x:c r="I240" t="str">
        <x:v>M365 Exchange 2016 for Centralised Automation Management Console</x:v>
      </x:c>
      <x:c r="J240" t="str">
        <x:v>M365-Server Relocation: Exchange Hybrid Servers</x:v>
      </x:c>
      <x:c r="K240" t="str">
        <x:v>partial</x:v>
      </x:c>
      <x:c r="L240"/>
      <x:c r="M240" t="str">
        <x:v>faylynn.chua@petronas.com.my</x:v>
      </x:c>
      <x:c r="N240"/>
      <x:c r="O240" t="str">
        <x:v>704D905161</x:v>
      </x:c>
      <x:c r="P240" t="str">
        <x:v>current Exchange server 2016 has already reached end of life support and not in used. the total number of servers of Exchange 2016 to be decom is 4 servers: 
Exchange 2016 Edge Servers: 
PTSG-1SMTPed01 - 172.25.34.85 PTSG-1SMTPed02 - 172.25.34.86
Exchange 2016 Hybrid Servers: 
PTSG-3EXCHVM1 - 172.25.8.167 PTSG-3EXCHVM2 - 172.25.8.177 </x:v>
      </x:c>
      <x:c r="Q240" t="str">
        <x:v>1M</x:v>
      </x:c>
      <x:c r="R240" t="str">
        <x:v>Not in Used</x:v>
      </x:c>
      <x:c r="S240"/>
      <x:c r="T240" t="str">
        <x:v>approved</x:v>
      </x:c>
      <x:c r="U240" t="str">
        <x:v>hazdirizal.abdullha@petronas.com</x:v>
      </x:c>
      <x:c r="V240" t="n">
        <x:v>46185.35363556713</x:v>
      </x:c>
      <x:c r="W240" t="str">
        <x:v>currently we can select these Exchange 2016 servers from the resource group:
PTSG-3EXCHVM1 - 172.25.8.167 
PTSG-3EXCHVM2 - 172.25.8.177 
however, we are not able to select the following servers from the resources:
PTSG-1SMTPed01 - 172.25.34.85 
PTSG-1SMTPed02 - 172.25.34.86
we submit first as advise by Faiz Mazlan
</x:v>
      </x:c>
      <x:c r="X240" t="str">
        <x:v>approved</x:v>
      </x:c>
      <x:c r="Y240" t="str">
        <x:v>faylynn.chua@petronas.com</x:v>
      </x:c>
      <x:c r="Z240" t="n">
        <x:v>46195.20515611111</x:v>
      </x:c>
      <x:c r="AA240" t="str">
        <x:v>CSSP Admin, approving for PTSG-3EXCHVM1 - 172.25.8.167 PTSG-3EXCHVM2 - 172.25.8.177. Please take note that PTSG-1SMTPed01 - 172.25.34.85 PTSG-1SMTPed02 - 172.25.34.86 resources are not available for selection to retire. </x:v>
      </x:c>
      <x:c r="AB240" t="str">
        <x:v>approved</x:v>
      </x:c>
      <x:c r="AC240" t="str">
        <x:v>azwan.badari@petronas.com</x:v>
      </x:c>
      <x:c r="AD240" t="n">
        <x:v>46197.41270833334</x:v>
      </x:c>
      <x:c r="AE240" t="str">
        <x:v>Decommission listed servers, ptsg-3exchvm1 &amp; ptsg-3exchvm2</x:v>
      </x:c>
      <x:c r="AF240" t="str">
        <x:v>approved</x:v>
      </x:c>
      <x:c r="AG240" t="str">
        <x:v>abdullah.haziq@petronas.com</x:v>
      </x:c>
      <x:c r="AH240" t="n">
        <x:v>46223.280768958335</x:v>
      </x:c>
      <x:c r="AI240" t="str">
        <x:v>Decommision complete PTSG-3EXCHVM1 - 172.25.8.167 PTSG-3EXCHVM2 - 172.25.8.177</x:v>
      </x:c>
      <x:c r="AJ240" t="str">
        <x:v>A-000443</x:v>
      </x:c>
      <x:c r="AK240" t="str">
        <x:v>01931_2</x:v>
      </x:c>
      <x:c r="AL240" t="str">
        <x:v>M</x:v>
      </x:c>
      <x:c r="AM240" t="str">
        <x:v>REQ000008119769</x:v>
      </x:c>
      <x:c r="AN240" t="str">
        <x:v>noretention</x:v>
      </x:c>
      <x:c r="AO240" t="n">
        <x:v>0</x:v>
      </x:c>
      <x:c r="AP240" s="23" t="str">
        <x:f>IF(E240="processing",IF(Z240="","",IF(ISNUMBER(Z240),INT(Z240),DATE(VALUE(LEFT(Z240,4)),VALUE(MID(Z240,6,2)),VALUE(MID(Z240,9,2))))),IF(OR(E240="executing",E240="pending"),IF(AD240="","",IF(ISNUMBER(AD240),INT(AD240),DATE(VALUE(LEFT(AD240,4)),VALUE(MID(AD240,6,2)),VALUE(MID(AD240,9,2))))),""))</x:f>
      </x:c>
      <x:c r="AQ240" s="24" t="str">
        <x:f>IF(AP240="","",INT('Configuration'!$B$4)-AP240)</x:f>
      </x:c>
      <x:c r="AR240" s="25" t="str">
        <x:f>IF(AP240="","Missing Required Date",IF(AQ240&lt;0,"Future Date",IF(AQ240=0,"0 days",IF(AQ240&lt;=2,"1-2 days",IF(AQ240&lt;=7,"3-7 days",IF(AQ240&lt;=14,"8-14 days",IF(AQ240&lt;=30,"15-30 days",IF(AQ240&lt;=60,"31-60 days",IF(AQ240&lt;=70,"61-70 days","71+ days")))))))))</x:f>
        <x:v>Missing Required Date</x:v>
      </x:c>
      <x:c r="AS240" s="25" t="str">
        <x:f>IF(OR(E240="processing",E240="executing",E240="pending"),IF(AP240="","Required aging date missing",IF(AQ240&gt;30,"Escalate &gt;30d",IF(AQ240&gt;14,"Watch &gt;14d","Within 14d"))),"Out of scope")</x:f>
        <x:v>Out of scope</x:v>
      </x:c>
    </x:row>
    <x:row r="241" ht="24" customHeight="1">
      <x:c r="A241" t="str">
        <x:v>ac067e61-eb21-4e12-aacd-93e9c3ba1cd0</x:v>
      </x:c>
      <x:c r="B241" t="str">
        <x:v>CSSP10732316</x:v>
      </x:c>
      <x:c r="C241" t="str">
        <x:v>keanseng.lim@petronas.com</x:v>
      </x:c>
      <x:c r="D241" t="str">
        <x:v>decommission-cloud</x:v>
      </x:c>
      <x:c r="E241" t="str">
        <x:v>completed</x:v>
      </x:c>
      <x:c r="F241" t="n">
        <x:v>46188.351509988424</x:v>
      </x:c>
      <x:c r="G241" t="n">
        <x:v>46198.145549305555</x:v>
      </x:c>
      <x:c r="H241" t="n">
        <x:v>46188.353479537036</x:v>
      </x:c>
      <x:c r="I241" t="str">
        <x:v>MyExperts</x:v>
      </x:c>
      <x:c r="J241" t="str">
        <x:v>MyExperts Infrastructure Refresh for GPD</x:v>
      </x:c>
      <x:c r="K241" t="str">
        <x:v>partial</x:v>
      </x:c>
      <x:c r="L241"/>
      <x:c r="M241" t="str">
        <x:v>sarkunan.tigarajan@petronas.com</x:v>
      </x:c>
      <x:c r="N241"/>
      <x:c r="O241"/>
      <x:c r="P241" t="str">
        <x:v>The VM is no longer required.</x:v>
      </x:c>
      <x:c r="Q241" t="str">
        <x:v>3M</x:v>
      </x:c>
      <x:c r="R241" t="str">
        <x:v>Not in Used</x:v>
      </x:c>
      <x:c r="S241"/>
      <x:c r="T241" t="str">
        <x:v>approved</x:v>
      </x:c>
      <x:c r="U241" t="str">
        <x:v>keanseng.lim@petronas.com</x:v>
      </x:c>
      <x:c r="V241" t="n">
        <x:v>46188.35479820602</x:v>
      </x:c>
      <x:c r="W241" t="str">
        <x:v>The VM is no longer required.
All related resources, Storage Disk, and Network to be removed.</x:v>
      </x:c>
      <x:c r="X241" t="str">
        <x:v>approved</x:v>
      </x:c>
      <x:c r="Y241" t="str">
        <x:v>sarkunan.tigarajan@petronas.com</x:v>
      </x:c>
      <x:c r="Z241" t="n">
        <x:v>46195.33717263889</x:v>
      </x:c>
      <x:c r="AA241" t="str">
        <x:v>Reveiwed andApproved.</x:v>
      </x:c>
      <x:c r="AB241" t="str">
        <x:v>approved</x:v>
      </x:c>
      <x:c r="AC241" t="str">
        <x:v>azwan.badari@petronas.com</x:v>
      </x:c>
      <x:c r="AD241" t="n">
        <x:v>46197.103300648145</x:v>
      </x:c>
      <x:c r="AE241" t="str">
        <x:v>Proceed to decommission selected resource, VM ptsg-1myxpwb01</x:v>
      </x:c>
      <x:c r="AF241" t="str">
        <x:v>approved</x:v>
      </x:c>
      <x:c r="AG241" t="str">
        <x:v>azwan.badari@petronas.com</x:v>
      </x:c>
      <x:c r="AH241" t="n">
        <x:v>46198.145549305555</x:v>
      </x:c>
      <x:c r="AI241" t="str">
        <x:v>Completed</x:v>
      </x:c>
      <x:c r="AJ241" t="str">
        <x:v>A-000478</x:v>
      </x:c>
      <x:c r="AK241" t="n">
        <x:v>514</x:v>
      </x:c>
      <x:c r="AL241" t="str">
        <x:v>S</x:v>
      </x:c>
      <x:c r="AM241" t="str">
        <x:v>REQ000008118039</x:v>
      </x:c>
      <x:c r="AN241" t="str">
        <x:v>noretention</x:v>
      </x:c>
      <x:c r="AO241" t="n">
        <x:v>0</x:v>
      </x:c>
      <x:c r="AP241" s="23" t="str">
        <x:f>IF(E241="processing",IF(Z241="","",IF(ISNUMBER(Z241),INT(Z241),DATE(VALUE(LEFT(Z241,4)),VALUE(MID(Z241,6,2)),VALUE(MID(Z241,9,2))))),IF(OR(E241="executing",E241="pending"),IF(AD241="","",IF(ISNUMBER(AD241),INT(AD241),DATE(VALUE(LEFT(AD241,4)),VALUE(MID(AD241,6,2)),VALUE(MID(AD241,9,2))))),""))</x:f>
      </x:c>
      <x:c r="AQ241" s="24" t="str">
        <x:f>IF(AP241="","",INT('Configuration'!$B$4)-AP241)</x:f>
      </x:c>
      <x:c r="AR241" s="25" t="str">
        <x:f>IF(AP241="","Missing Required Date",IF(AQ241&lt;0,"Future Date",IF(AQ241=0,"0 days",IF(AQ241&lt;=2,"1-2 days",IF(AQ241&lt;=7,"3-7 days",IF(AQ241&lt;=14,"8-14 days",IF(AQ241&lt;=30,"15-30 days",IF(AQ241&lt;=60,"31-60 days",IF(AQ241&lt;=70,"61-70 days","71+ days")))))))))</x:f>
        <x:v>Missing Required Date</x:v>
      </x:c>
      <x:c r="AS241" s="25" t="str">
        <x:f>IF(OR(E241="processing",E241="executing",E241="pending"),IF(AP241="","Required aging date missing",IF(AQ241&gt;30,"Escalate &gt;30d",IF(AQ241&gt;14,"Watch &gt;14d","Within 14d"))),"Out of scope")</x:f>
        <x:v>Out of scope</x:v>
      </x:c>
    </x:row>
    <x:row r="242" ht="24" customHeight="1">
      <x:c r="A242" t="str">
        <x:v>3dc48720-fbcb-4631-85ac-1527beb87a7e</x:v>
      </x:c>
      <x:c r="B242" t="str">
        <x:v>CSSP10505484</x:v>
      </x:c>
      <x:c r="C242" t="str">
        <x:v>omarmuzhafar.omarzo@petronas.com</x:v>
      </x:c>
      <x:c r="D242" t="str">
        <x:v>decommission-cloud</x:v>
      </x:c>
      <x:c r="E242" t="str">
        <x:v>completed</x:v>
      </x:c>
      <x:c r="F242" t="n">
        <x:v>46188.39988153935</x:v>
      </x:c>
      <x:c r="G242" t="n">
        <x:v>46196.308348796294</x:v>
      </x:c>
      <x:c r="H242" t="n">
        <x:v>46189.0600041088</x:v>
      </x:c>
      <x:c r="I242" t="str">
        <x:v>Upstream Mobile Application</x:v>
      </x:c>
      <x:c r="J242" t="str">
        <x:v>Provision of Hosting Services for UP Mobile for Upstream Digital, PCSB</x:v>
      </x:c>
      <x:c r="K242" t="str">
        <x:v>partial</x:v>
      </x:c>
      <x:c r="L242"/>
      <x:c r="M242" t="str">
        <x:v>wadiah.rusli@petronas.com</x:v>
      </x:c>
      <x:c r="N242"/>
      <x:c r="O242"/>
      <x:c r="P242" t="str">
        <x:v>myPET is no longer in used since Dec 2025 and poses CS findings. Hence, to decomm the below services:
PROD:
https://qrscan.up.petronas.com
ptazsg-1coeeventwb01.azurewebsites.net
Non-PROD: 
ptazsg-5coeeventwb01.azurewebsites.net
Refer attached email.</x:v>
      </x:c>
      <x:c r="Q242" t="str">
        <x:v>6M</x:v>
      </x:c>
      <x:c r="R242" t="str">
        <x:v>Not in Used</x:v>
      </x:c>
      <x:c r="S242"/>
      <x:c r="T242" t="str">
        <x:v>approved</x:v>
      </x:c>
      <x:c r="U242" t="str">
        <x:v>omarmuzhafar.omarzo@petronas.com</x:v>
      </x:c>
      <x:c r="V242" t="n">
        <x:v>46189.06127521991</x:v>
      </x:c>
      <x:c r="W242" t="str">
        <x:v>To decom myPET services under UP application. Other modules under UP should not be decomm. Refer below: 
1. https://qrscan.up.petronas.com 
2. ptazsg-1coeeventwb01.azurewebsites.net
3. ptazsg-5coeeventwb01.azurewebsites.net</x:v>
      </x:c>
      <x:c r="X242" t="str">
        <x:v>approved</x:v>
      </x:c>
      <x:c r="Y242" t="str">
        <x:v>wadiah.rusli@petronas.com</x:v>
      </x:c>
      <x:c r="Z242" t="n">
        <x:v>46189.10124523148</x:v>
      </x:c>
      <x:c r="AA242" t="str">
        <x:v>Approved </x:v>
      </x:c>
      <x:c r="AB242" t="str">
        <x:v>approved</x:v>
      </x:c>
      <x:c r="AC242" t="str">
        <x:v>azwan.badari@petronas.com</x:v>
      </x:c>
      <x:c r="AD242" t="n">
        <x:v>46192.11355689815</x:v>
      </x:c>
      <x:c r="AE242" t="str">
        <x:v>Decommission App Service, ptazsg-1coeeventwb01 &amp; ptazsg-5coeeventwb01.
Remove DNS record https://qrscan.up.petronas.com </x:v>
      </x:c>
      <x:c r="AF242" t="str">
        <x:v>approved</x:v>
      </x:c>
      <x:c r="AG242" t="str">
        <x:v>abdullah.haziq@petronas.com</x:v>
      </x:c>
      <x:c r="AH242" t="n">
        <x:v>46196.308348796294</x:v>
      </x:c>
      <x:c r="AI242" t="str">
        <x:v>App services deleted.</x:v>
      </x:c>
      <x:c r="AJ242" t="str">
        <x:v>A-000823</x:v>
      </x:c>
      <x:c r="AK242" t="str">
        <x:v>PSR05960</x:v>
      </x:c>
      <x:c r="AL242" t="str">
        <x:v>S</x:v>
      </x:c>
      <x:c r="AM242" t="str">
        <x:v>REQ000008109030</x:v>
      </x:c>
      <x:c r="AN242" t="str">
        <x:v>retention</x:v>
      </x:c>
      <x:c r="AO242"/>
      <x:c r="AP242" s="23" t="str">
        <x:f>IF(E242="processing",IF(Z242="","",IF(ISNUMBER(Z242),INT(Z242),DATE(VALUE(LEFT(Z242,4)),VALUE(MID(Z242,6,2)),VALUE(MID(Z242,9,2))))),IF(OR(E242="executing",E242="pending"),IF(AD242="","",IF(ISNUMBER(AD242),INT(AD242),DATE(VALUE(LEFT(AD242,4)),VALUE(MID(AD242,6,2)),VALUE(MID(AD242,9,2))))),""))</x:f>
      </x:c>
      <x:c r="AQ242" s="24" t="str">
        <x:f>IF(AP242="","",INT('Configuration'!$B$4)-AP242)</x:f>
      </x:c>
      <x:c r="AR242" s="25" t="str">
        <x:f>IF(AP242="","Missing Required Date",IF(AQ242&lt;0,"Future Date",IF(AQ242=0,"0 days",IF(AQ242&lt;=2,"1-2 days",IF(AQ242&lt;=7,"3-7 days",IF(AQ242&lt;=14,"8-14 days",IF(AQ242&lt;=30,"15-30 days",IF(AQ242&lt;=60,"31-60 days",IF(AQ242&lt;=70,"61-70 days","71+ days")))))))))</x:f>
        <x:v>Missing Required Date</x:v>
      </x:c>
      <x:c r="AS242" s="25" t="str">
        <x:f>IF(OR(E242="processing",E242="executing",E242="pending"),IF(AP242="","Required aging date missing",IF(AQ242&gt;30,"Escalate &gt;30d",IF(AQ242&gt;14,"Watch &gt;14d","Within 14d"))),"Out of scope")</x:f>
        <x:v>Out of scope</x:v>
      </x:c>
    </x:row>
    <x:row r="243" ht="24" customHeight="1">
      <x:c r="A243" t="str">
        <x:v>25d7431e-d868-4b1a-a92e-1ea44badde02</x:v>
      </x:c>
      <x:c r="B243" t="str">
        <x:v>CSSP10319295</x:v>
      </x:c>
      <x:c r="C243" t="str">
        <x:v>mhaikal.mzamri@petronas.com</x:v>
      </x:c>
      <x:c r="D243" t="str">
        <x:v>decommission-cloud</x:v>
      </x:c>
      <x:c r="E243" t="str">
        <x:v>cancelled</x:v>
      </x:c>
      <x:c r="F243" t="n">
        <x:v>46189.078725520834</x:v>
      </x:c>
      <x:c r="G243" t="n">
        <x:v>46189.079718009256</x:v>
      </x:c>
      <x:c r="H243" t="n">
        <x:v>46189.078725520834</x:v>
      </x:c>
      <x:c r="I243" t="str">
        <x:v>Cyber Security Palo Alto Firewall</x:v>
      </x:c>
      <x:c r="J243" t="str">
        <x:v>Palo Alto Migration and Implementation in Azure</x:v>
      </x:c>
      <x:c r="K243" t="str">
        <x:v>full</x:v>
      </x:c>
      <x:c r="L243" t="str">
        <x:v>DCOM20260616612</x:v>
      </x:c>
      <x:c r="M243" t="str">
        <x:v>safura.ibadullah@petronas.com.my</x:v>
      </x:c>
      <x:c r="N243"/>
      <x:c r="O243"/>
      <x:c r="P243" t="str">
        <x:v>No longer in use as system has moved to SAP RISE</x:v>
      </x:c>
      <x:c r="Q243" t="str">
        <x:v>2W</x:v>
      </x:c>
      <x:c r="R243" t="str">
        <x:v>Not in Used</x:v>
      </x:c>
      <x:c r="S243"/>
      <x:c r="T243" t="str">
        <x:v>rejected</x:v>
      </x:c>
      <x:c r="U243" t="str">
        <x:v>mhaikal.mzamri@petronas.com</x:v>
      </x:c>
      <x:c r="V243" t="n">
        <x:v>46189.07971803241</x:v>
      </x:c>
      <x:c r="W243"/>
      <x:c r="X243"/>
      <x:c r="Y243" t="str">
        <x:v>safura.ibadullah@petronas.com</x:v>
      </x:c>
      <x:c r="Z243"/>
      <x:c r="AA243"/>
      <x:c r="AB243"/>
      <x:c r="AC243" t="str">
        <x:v>CCoE Business</x:v>
      </x:c>
      <x:c r="AD243"/>
      <x:c r="AE243"/>
      <x:c r="AF243"/>
      <x:c r="AG243" t="str">
        <x:v>CCoE Operations</x:v>
      </x:c>
      <x:c r="AH243"/>
      <x:c r="AI243"/>
      <x:c r="AJ243" t="str">
        <x:v>A-000172</x:v>
      </x:c>
      <x:c r="AK243" t="str">
        <x:v>AZ-00002</x:v>
      </x:c>
      <x:c r="AL243"/>
      <x:c r="AM243"/>
      <x:c r="AN243" t="str">
        <x:v>noretention</x:v>
      </x:c>
      <x:c r="AO243" t="n">
        <x:v>0</x:v>
      </x:c>
      <x:c r="AP243" s="23" t="str">
        <x:f>IF(E243="processing",IF(Z243="","",IF(ISNUMBER(Z243),INT(Z243),DATE(VALUE(LEFT(Z243,4)),VALUE(MID(Z243,6,2)),VALUE(MID(Z243,9,2))))),IF(OR(E243="executing",E243="pending"),IF(AD243="","",IF(ISNUMBER(AD243),INT(AD243),DATE(VALUE(LEFT(AD243,4)),VALUE(MID(AD243,6,2)),VALUE(MID(AD243,9,2))))),""))</x:f>
      </x:c>
      <x:c r="AQ243" s="24" t="str">
        <x:f>IF(AP243="","",INT('Configuration'!$B$4)-AP243)</x:f>
      </x:c>
      <x:c r="AR243" s="25" t="str">
        <x:f>IF(AP243="","Missing Required Date",IF(AQ243&lt;0,"Future Date",IF(AQ243=0,"0 days",IF(AQ243&lt;=2,"1-2 days",IF(AQ243&lt;=7,"3-7 days",IF(AQ243&lt;=14,"8-14 days",IF(AQ243&lt;=30,"15-30 days",IF(AQ243&lt;=60,"31-60 days",IF(AQ243&lt;=70,"61-70 days","71+ days")))))))))</x:f>
        <x:v>Missing Required Date</x:v>
      </x:c>
      <x:c r="AS243" s="25" t="str">
        <x:f>IF(OR(E243="processing",E243="executing",E243="pending"),IF(AP243="","Required aging date missing",IF(AQ243&gt;30,"Escalate &gt;30d",IF(AQ243&gt;14,"Watch &gt;14d","Within 14d"))),"Out of scope")</x:f>
        <x:v>Out of scope</x:v>
      </x:c>
    </x:row>
    <x:row r="244" ht="24" customHeight="1">
      <x:c r="A244" t="str">
        <x:v>66859202-b919-464c-9caa-a81845ec5122</x:v>
      </x:c>
      <x:c r="B244" t="str">
        <x:v>CSSP10413624</x:v>
      </x:c>
      <x:c r="C244" t="str">
        <x:v>mhaikal.mzamri@petronas.com</x:v>
      </x:c>
      <x:c r="D244" t="str">
        <x:v>decommission-cloud</x:v>
      </x:c>
      <x:c r="E244" t="str">
        <x:v>cancelled</x:v>
      </x:c>
      <x:c r="F244" t="n">
        <x:v>46189.10068099537</x:v>
      </x:c>
      <x:c r="G244" t="n">
        <x:v>46210.06658693287</x:v>
      </x:c>
      <x:c r="H244" t="n">
        <x:v>46209.997675335646</x:v>
      </x:c>
      <x:c r="I244" t="str">
        <x:v>Cyber Security Palo Alto Firewall</x:v>
      </x:c>
      <x:c r="J244" t="str">
        <x:v>Cloud Migration AWS Infrastructure for Palo Alto (New Landing Zone)</x:v>
      </x:c>
      <x:c r="K244" t="str">
        <x:v>full</x:v>
      </x:c>
      <x:c r="L244" t="str">
        <x:v>DCOM20260616612</x:v>
      </x:c>
      <x:c r="M244" t="str">
        <x:v>safura.ibadullah@petronas.com.my</x:v>
      </x:c>
      <x:c r="N244"/>
      <x:c r="O244"/>
      <x:c r="P244" t="str">
        <x:v>System move to SAP RISE</x:v>
      </x:c>
      <x:c r="Q244" t="str">
        <x:v>2W</x:v>
      </x:c>
      <x:c r="R244" t="str">
        <x:v>Not in Used</x:v>
      </x:c>
      <x:c r="S244"/>
      <x:c r="T244" t="str">
        <x:v>rejected</x:v>
      </x:c>
      <x:c r="U244" t="str">
        <x:v>mhaikal.mzamri@petronas.com</x:v>
      </x:c>
      <x:c r="V244" t="n">
        <x:v>46210.06658699074</x:v>
      </x:c>
      <x:c r="W244"/>
      <x:c r="X244"/>
      <x:c r="Y244" t="str">
        <x:v>safura.ibadullah@petronas.com</x:v>
      </x:c>
      <x:c r="Z244"/>
      <x:c r="AA244"/>
      <x:c r="AB244"/>
      <x:c r="AC244" t="str">
        <x:v>CCoE Business</x:v>
      </x:c>
      <x:c r="AD244"/>
      <x:c r="AE244"/>
      <x:c r="AF244"/>
      <x:c r="AG244" t="str">
        <x:v>CCoE Business</x:v>
      </x:c>
      <x:c r="AH244"/>
      <x:c r="AI244"/>
      <x:c r="AJ244" t="str">
        <x:v>A-000172</x:v>
      </x:c>
      <x:c r="AK244" t="str">
        <x:v>00915_121</x:v>
      </x:c>
      <x:c r="AL244"/>
      <x:c r="AM244"/>
      <x:c r="AN244" t="str">
        <x:v>noretention</x:v>
      </x:c>
      <x:c r="AO244" t="n">
        <x:v>0</x:v>
      </x:c>
      <x:c r="AP244" s="23" t="str">
        <x:f>IF(E244="processing",IF(Z244="","",IF(ISNUMBER(Z244),INT(Z244),DATE(VALUE(LEFT(Z244,4)),VALUE(MID(Z244,6,2)),VALUE(MID(Z244,9,2))))),IF(OR(E244="executing",E244="pending"),IF(AD244="","",IF(ISNUMBER(AD244),INT(AD244),DATE(VALUE(LEFT(AD244,4)),VALUE(MID(AD244,6,2)),VALUE(MID(AD244,9,2))))),""))</x:f>
      </x:c>
      <x:c r="AQ244" s="24" t="str">
        <x:f>IF(AP244="","",INT('Configuration'!$B$4)-AP244)</x:f>
      </x:c>
      <x:c r="AR244" s="25" t="str">
        <x:f>IF(AP244="","Missing Required Date",IF(AQ244&lt;0,"Future Date",IF(AQ244=0,"0 days",IF(AQ244&lt;=2,"1-2 days",IF(AQ244&lt;=7,"3-7 days",IF(AQ244&lt;=14,"8-14 days",IF(AQ244&lt;=30,"15-30 days",IF(AQ244&lt;=60,"31-60 days",IF(AQ244&lt;=70,"61-70 days","71+ days")))))))))</x:f>
        <x:v>Missing Required Date</x:v>
      </x:c>
      <x:c r="AS244" s="25" t="str">
        <x:f>IF(OR(E244="processing",E244="executing",E244="pending"),IF(AP244="","Required aging date missing",IF(AQ244&gt;30,"Escalate &gt;30d",IF(AQ244&gt;14,"Watch &gt;14d","Within 14d"))),"Out of scope")</x:f>
        <x:v>Out of scope</x:v>
      </x:c>
    </x:row>
    <x:row r="245" ht="24" customHeight="1">
      <x:c r="A245" t="str">
        <x:v>a79a7fa7-d26c-4167-8072-7a40599cb08a</x:v>
      </x:c>
      <x:c r="B245" t="str">
        <x:v>CSSP10750255</x:v>
      </x:c>
      <x:c r="C245" t="str">
        <x:v>sengchin.leong@petronas.com</x:v>
      </x:c>
      <x:c r="D245" t="str">
        <x:v>decommission-cloud</x:v>
      </x:c>
      <x:c r="E245" t="str">
        <x:v>pending</x:v>
      </x:c>
      <x:c r="F245" t="n">
        <x:v>46192.09063247685</x:v>
      </x:c>
      <x:c r="G245" t="n">
        <x:v>46192.21194</x:v>
      </x:c>
      <x:c r="H245" t="n">
        <x:v>46192.09063247685</x:v>
      </x:c>
      <x:c r="I245" t="str">
        <x:v>Cyber Security Zscaler Private Access</x:v>
      </x:c>
      <x:c r="J245" t="str">
        <x:v>Zscaler Private Access</x:v>
      </x:c>
      <x:c r="K245" t="str">
        <x:v>partial</x:v>
      </x:c>
      <x:c r="L245"/>
      <x:c r="M245" t="str">
        <x:v>mshafri.hatta@petronas.com</x:v>
      </x:c>
      <x:c r="N245"/>
      <x:c r="O245"/>
      <x:c r="P245" t="str">
        <x:v>NOTE: This is not PARTIAL Decommission. (only to disable part of component)
The request is just to remove the part of component (Zscaler Decoy) for cost optimization.
Component to remove:
1. Disable for Endpoint Deception Policies and Deception Entitlement
2. AD Decoy
Please find the attached:
1. RFC Workplan
2. Script for decommission (refer to sample: ICT_RFC00161318 )
previous RFC/Ticket:
ICT_RFC00187001
ICT_RFC00188777
ICT_RFC00189334
ICT_RFC00215249
ICT_RFC00215074
ICT_RFC00161318 / ICT_TAS00187969
</x:v>
      </x:c>
      <x:c r="Q245" t="str">
        <x:v>1M</x:v>
      </x:c>
      <x:c r="R245" t="str">
        <x:v>End of Lease</x:v>
      </x:c>
      <x:c r="S245"/>
      <x:c r="T245" t="str">
        <x:v>approved</x:v>
      </x:c>
      <x:c r="U245" t="str">
        <x:v>sengchin.leong@petronas.com</x:v>
      </x:c>
      <x:c r="V245" t="n">
        <x:v>46192.21194001158</x:v>
      </x:c>
      <x:c r="W245" t="str">
        <x:v>Would like to request for 2 RFC creation:- 
1. The ZScaler Deception Portal is hosted by Zscaler (Policy required to remove - which relevant to Decoy ID)
2. For AD -  clean-up script required to run (clean-up for dependency/decoy ID) - refer to ICT_RFC00161318 </x:v>
      </x:c>
      <x:c r="X245"/>
      <x:c r="Y245" t="str">
        <x:v>mshafri.hatta@petronas.com</x:v>
      </x:c>
      <x:c r="Z245"/>
      <x:c r="AA245"/>
      <x:c r="AB245"/>
      <x:c r="AC245" t="str">
        <x:v>CCoE Business</x:v>
      </x:c>
      <x:c r="AD245"/>
      <x:c r="AE245"/>
      <x:c r="AF245"/>
      <x:c r="AG245" t="str">
        <x:v>CCoE Operations</x:v>
      </x:c>
      <x:c r="AH245"/>
      <x:c r="AI245"/>
      <x:c r="AJ245" t="str">
        <x:v>A-000185</x:v>
      </x:c>
      <x:c r="AK245" t="n">
        <x:v>2341</x:v>
      </x:c>
      <x:c r="AL245"/>
      <x:c r="AM245"/>
      <x:c r="AN245" t="str">
        <x:v>retention</x:v>
      </x:c>
      <x:c r="AO245" t="n">
        <x:v>30</x:v>
      </x:c>
      <x:c r="AP245" s="23" t="str">
        <x:f>IF(E245="processing",IF(Z245="","",IF(ISNUMBER(Z245),INT(Z245),DATE(VALUE(LEFT(Z245,4)),VALUE(MID(Z245,6,2)),VALUE(MID(Z245,9,2))))),IF(OR(E245="executing",E245="pending"),IF(AD245="","",IF(ISNUMBER(AD245),INT(AD245),DATE(VALUE(LEFT(AD245,4)),VALUE(MID(AD245,6,2)),VALUE(MID(AD245,9,2))))),""))</x:f>
      </x:c>
      <x:c r="AQ245" s="24" t="str">
        <x:f>IF(AP245="","",INT('Configuration'!$B$4)-AP245)</x:f>
      </x:c>
      <x:c r="AR245" s="25" t="str">
        <x:f>IF(AP245="","Missing Required Date",IF(AQ245&lt;0,"Future Date",IF(AQ245=0,"0 days",IF(AQ245&lt;=2,"1-2 days",IF(AQ245&lt;=7,"3-7 days",IF(AQ245&lt;=14,"8-14 days",IF(AQ245&lt;=30,"15-30 days",IF(AQ245&lt;=60,"31-60 days",IF(AQ245&lt;=70,"61-70 days","71+ days")))))))))</x:f>
        <x:v>Missing Required Date</x:v>
      </x:c>
      <x:c r="AS245" s="25" t="str">
        <x:f>IF(OR(E245="processing",E245="executing",E245="pending"),IF(AP245="","Required aging date missing",IF(AQ245&gt;30,"Escalate &gt;30d",IF(AQ245&gt;14,"Watch &gt;14d","Within 14d"))),"Out of scope")</x:f>
        <x:v>Required aging date missing</x:v>
      </x:c>
    </x:row>
    <x:row r="246" ht="24" customHeight="1">
      <x:c r="A246" t="str">
        <x:v>e827b067-4d0b-4147-9823-863ec42556f7</x:v>
      </x:c>
      <x:c r="B246" t="str">
        <x:v>CSSP10516713</x:v>
      </x:c>
      <x:c r="C246" t="str">
        <x:v>nurainnasiha.ibrahi@petronas.com</x:v>
      </x:c>
      <x:c r="D246" t="str">
        <x:v>decommission-cloud</x:v>
      </x:c>
      <x:c r="E246" t="str">
        <x:v>executing</x:v>
      </x:c>
      <x:c r="F246" t="n">
        <x:v>46195.02742844907</x:v>
      </x:c>
      <x:c r="G246" t="n">
        <x:v>46224.110601238426</x:v>
      </x:c>
      <x:c r="H246" t="n">
        <x:v>46197.13096351852</x:v>
      </x:c>
      <x:c r="I246" t="str">
        <x:v>Data Culture Gamification - DCG</x:v>
      </x:c>
      <x:c r="J246" t="str">
        <x:v>Development of Data Culture Gamification for Upstream</x:v>
      </x:c>
      <x:c r="K246" t="str">
        <x:v>full</x:v>
      </x:c>
      <x:c r="L246" t="str">
        <x:v>DCOM20260624b8f</x:v>
      </x:c>
      <x:c r="M246" t="str">
        <x:v>eanand.ehambaram@petronas.com.my</x:v>
      </x:c>
      <x:c r="N246" t="str">
        <x:v>udg.petronas.com</x:v>
      </x:c>
      <x:c r="O246"/>
      <x:c r="P246" t="str">
        <x:v>As per requested by Business Owner as it is not in use anymore.</x:v>
      </x:c>
      <x:c r="Q246" t="str">
        <x:v>12M</x:v>
      </x:c>
      <x:c r="R246" t="str">
        <x:v>Obsolete</x:v>
      </x:c>
      <x:c r="S246"/>
      <x:c r="T246" t="str">
        <x:v>approved</x:v>
      </x:c>
      <x:c r="U246" t="str">
        <x:v>nurainnasiha.ibrahi@petronas.com</x:v>
      </x:c>
      <x:c r="V246" t="n">
        <x:v>46197.131969456015</x:v>
      </x:c>
      <x:c r="W246" t="str">
        <x:v>Please perform full decommission with backup for all these resources.</x:v>
      </x:c>
      <x:c r="X246" t="str">
        <x:v>approved</x:v>
      </x:c>
      <x:c r="Y246" t="str">
        <x:v>eanand.ehambaram@petronas.com</x:v>
      </x:c>
      <x:c r="Z246" t="n">
        <x:v>46197.325305694445</x:v>
      </x:c>
      <x:c r="AA246" t="str">
        <x:v>Approved as no longer in use</x:v>
      </x:c>
      <x:c r="AB246" t="str">
        <x:v>approved</x:v>
      </x:c>
      <x:c r="AC246" t="str">
        <x:v>abhishek.bhowate@petronas.com</x:v>
      </x:c>
      <x:c r="AD246" t="n">
        <x:v>46224.11060125</x:v>
      </x:c>
      <x:c r="AE246" t="str">
        <x:v>OKay</x:v>
      </x:c>
      <x:c r="AF246"/>
      <x:c r="AG246" t="str">
        <x:v>amarja.kawde@petronas.com</x:v>
      </x:c>
      <x:c r="AH246"/>
      <x:c r="AI246"/>
      <x:c r="AJ246" t="str">
        <x:v>A-000202</x:v>
      </x:c>
      <x:c r="AK246" t="n">
        <x:v>4396</x:v>
      </x:c>
      <x:c r="AL246" t="str">
        <x:v>M</x:v>
      </x:c>
      <x:c r="AM246" t="str">
        <x:v>REQ000008182426</x:v>
      </x:c>
      <x:c r="AN246" t="str">
        <x:v>retention</x:v>
      </x:c>
      <x:c r="AO246"/>
      <x:c r="AP246" s="23" t="n">
        <x:f>IF(E246="processing",IF(Z246="","",IF(ISNUMBER(Z246),INT(Z246),DATE(VALUE(LEFT(Z246,4)),VALUE(MID(Z246,6,2)),VALUE(MID(Z246,9,2))))),IF(OR(E246="executing",E246="pending"),IF(AD246="","",IF(ISNUMBER(AD246),INT(AD246),DATE(VALUE(LEFT(AD246,4)),VALUE(MID(AD246,6,2)),VALUE(MID(AD246,9,2))))),""))</x:f>
        <x:v>46224</x:v>
      </x:c>
      <x:c r="AQ246" s="24" t="n">
        <x:f>IF(AP246="","",INT('Configuration'!$B$4)-AP246)</x:f>
        <x:v>27</x:v>
      </x:c>
      <x:c r="AR246" s="25" t="str">
        <x:f>IF(AP246="","Missing Required Date",IF(AQ246&lt;0,"Future Date",IF(AQ246=0,"0 days",IF(AQ246&lt;=2,"1-2 days",IF(AQ246&lt;=7,"3-7 days",IF(AQ246&lt;=14,"8-14 days",IF(AQ246&lt;=30,"15-30 days",IF(AQ246&lt;=60,"31-60 days",IF(AQ246&lt;=70,"61-70 days","71+ days")))))))))</x:f>
        <x:v>15-30 days</x:v>
      </x:c>
      <x:c r="AS246" s="25" t="str">
        <x:f>IF(OR(E246="processing",E246="executing",E246="pending"),IF(AP246="","Required aging date missing",IF(AQ246&gt;30,"Escalate &gt;30d",IF(AQ246&gt;14,"Watch &gt;14d","Within 14d"))),"Out of scope")</x:f>
        <x:v>Watch &gt;14d</x:v>
      </x:c>
    </x:row>
    <x:row r="247" ht="24" customHeight="1">
      <x:c r="A247" t="str">
        <x:v>b74088f0-59a0-4835-97ab-319c527f421f</x:v>
      </x:c>
      <x:c r="B247" t="str">
        <x:v>CSSP10434772</x:v>
      </x:c>
      <x:c r="C247" t="str">
        <x:v>izdihar.roslan@petronas.com</x:v>
      </x:c>
      <x:c r="D247" t="str">
        <x:v>decommission-cloud</x:v>
      </x:c>
      <x:c r="E247" t="str">
        <x:v>executing</x:v>
      </x:c>
      <x:c r="F247" t="n">
        <x:v>46196.08458314815</x:v>
      </x:c>
      <x:c r="G247" t="n">
        <x:v>46251.31826449074</x:v>
      </x:c>
      <x:c r="H247" t="n">
        <x:v>46196.08458314815</x:v>
      </x:c>
      <x:c r="I247" t="str">
        <x:v>Lab Information Management System - LIMS MLNG</x:v>
      </x:c>
      <x:c r="J247" t="str">
        <x:v>OCI MIGRATION - LIMS MLNG</x:v>
      </x:c>
      <x:c r="K247" t="str">
        <x:v>partial</x:v>
      </x:c>
      <x:c r="L247"/>
      <x:c r="M247" t="str">
        <x:v>sazali.mokhtar@petronas.com</x:v>
      </x:c>
      <x:c r="N247"/>
      <x:c r="O247"/>
      <x:c r="P247" t="str">
        <x:v>Cloud Repatriation - To decommission old resources in Singapore region due to completed migration in MY region</x:v>
      </x:c>
      <x:c r="Q247" t="str">
        <x:v>2W</x:v>
      </x:c>
      <x:c r="R247" t="str">
        <x:v>Cloud Migration</x:v>
      </x:c>
      <x:c r="S247"/>
      <x:c r="T247" t="str">
        <x:v>approved</x:v>
      </x:c>
      <x:c r="U247" t="str">
        <x:v>izdihar.roslan@petronas.com</x:v>
      </x:c>
      <x:c r="V247" t="n">
        <x:v>46196.08524759259</x:v>
      </x:c>
      <x:c r="W247" t="str">
        <x:v>Cloud Repatriation - To decommission old resources in Singapore region due to completed migration in MY region</x:v>
      </x:c>
      <x:c r="X247" t="str">
        <x:v>approved</x:v>
      </x:c>
      <x:c r="Y247" t="str">
        <x:v>sazali.mokhtar@petronas.com</x:v>
      </x:c>
      <x:c r="Z247" t="n">
        <x:v>46196.11199978009</x:v>
      </x:c>
      <x:c r="AA247" t="str">
        <x:v>Cloud Repatriation - To decommission old resources in Singapore region due to completed migration in MY region</x:v>
      </x:c>
      <x:c r="AB247" t="str">
        <x:v>approved</x:v>
      </x:c>
      <x:c r="AC247" t="str">
        <x:v>abhishek.bhowate@petronas.com</x:v>
      </x:c>
      <x:c r="AD247" t="n">
        <x:v>46251.31826450231</x:v>
      </x:c>
      <x:c r="AE247" t="str">
        <x:v>Approve</x:v>
      </x:c>
      <x:c r="AF247"/>
      <x:c r="AG247" t="str">
        <x:v>raditya.nugraha@petronas.com</x:v>
      </x:c>
      <x:c r="AH247"/>
      <x:c r="AI247"/>
      <x:c r="AJ247" t="str">
        <x:v>A-000423</x:v>
      </x:c>
      <x:c r="AK247" t="str">
        <x:v>00915_213</x:v>
      </x:c>
      <x:c r="AL247" t="str">
        <x:v>M</x:v>
      </x:c>
      <x:c r="AM247" t="str">
        <x:v>REQ000008246580</x:v>
      </x:c>
      <x:c r="AN247" t="str">
        <x:v>noretention</x:v>
      </x:c>
      <x:c r="AO247" t="n">
        <x:v>0</x:v>
      </x:c>
      <x:c r="AP247" s="23" t="n">
        <x:f>IF(E247="processing",IF(Z247="","",IF(ISNUMBER(Z247),INT(Z247),DATE(VALUE(LEFT(Z247,4)),VALUE(MID(Z247,6,2)),VALUE(MID(Z247,9,2))))),IF(OR(E247="executing",E247="pending"),IF(AD247="","",IF(ISNUMBER(AD247),INT(AD247),DATE(VALUE(LEFT(AD247,4)),VALUE(MID(AD247,6,2)),VALUE(MID(AD247,9,2))))),""))</x:f>
        <x:v>46251</x:v>
      </x:c>
      <x:c r="AQ247" s="24" t="n">
        <x:f>IF(AP247="","",INT('Configuration'!$B$4)-AP247)</x:f>
        <x:v>0</x:v>
      </x:c>
      <x:c r="AR247" s="25" t="str">
        <x:f>IF(AP247="","Missing Required Date",IF(AQ247&lt;0,"Future Date",IF(AQ247=0,"0 days",IF(AQ247&lt;=2,"1-2 days",IF(AQ247&lt;=7,"3-7 days",IF(AQ247&lt;=14,"8-14 days",IF(AQ247&lt;=30,"15-30 days",IF(AQ247&lt;=60,"31-60 days",IF(AQ247&lt;=70,"61-70 days","71+ days")))))))))</x:f>
        <x:v>0 days</x:v>
      </x:c>
      <x:c r="AS247" s="25" t="str">
        <x:f>IF(OR(E247="processing",E247="executing",E247="pending"),IF(AP247="","Required aging date missing",IF(AQ247&gt;30,"Escalate &gt;30d",IF(AQ247&gt;14,"Watch &gt;14d","Within 14d"))),"Out of scope")</x:f>
        <x:v>Within 14d</x:v>
      </x:c>
    </x:row>
    <x:row r="248" ht="24" customHeight="1">
      <x:c r="A248" t="str">
        <x:v>f793ad64-49da-4b3a-a031-92524c73ab36</x:v>
      </x:c>
      <x:c r="B248" t="str">
        <x:v>CSSP10204623</x:v>
      </x:c>
      <x:c r="C248" t="str">
        <x:v>izdihar.roslan@petronas.com</x:v>
      </x:c>
      <x:c r="D248" t="str">
        <x:v>decommission-cloud</x:v>
      </x:c>
      <x:c r="E248" t="str">
        <x:v>executing</x:v>
      </x:c>
      <x:c r="F248" t="n">
        <x:v>46196.086062152775</x:v>
      </x:c>
      <x:c r="G248" t="n">
        <x:v>46251.31950733796</x:v>
      </x:c>
      <x:c r="H248" t="n">
        <x:v>46196.086062152775</x:v>
      </x:c>
      <x:c r="I248" t="str">
        <x:v>Lab Information Management System - LIMS MLNG</x:v>
      </x:c>
      <x:c r="J248" t="str">
        <x:v>OCI MIGRATION - LIMS MLNG</x:v>
      </x:c>
      <x:c r="K248" t="str">
        <x:v>partial</x:v>
      </x:c>
      <x:c r="L248"/>
      <x:c r="M248" t="str">
        <x:v>sazali.mokhtar@petronas.com</x:v>
      </x:c>
      <x:c r="N248"/>
      <x:c r="O248"/>
      <x:c r="P248" t="str">
        <x:v>Cloud Repatriation - To decommission old resources in Singapore region due to completed migration in MY region</x:v>
      </x:c>
      <x:c r="Q248" t="str">
        <x:v>2W</x:v>
      </x:c>
      <x:c r="R248" t="str">
        <x:v>Cloud Migration</x:v>
      </x:c>
      <x:c r="S248"/>
      <x:c r="T248" t="str">
        <x:v>approved</x:v>
      </x:c>
      <x:c r="U248" t="str">
        <x:v>izdihar.roslan@petronas.com</x:v>
      </x:c>
      <x:c r="V248" t="n">
        <x:v>46196.086793773145</x:v>
      </x:c>
      <x:c r="W248" t="str">
        <x:v>Cloud Repatriation - To decommission old resources in Singapore region due to completed migration in MY region</x:v>
      </x:c>
      <x:c r="X248" t="str">
        <x:v>approved</x:v>
      </x:c>
      <x:c r="Y248" t="str">
        <x:v>sazali.mokhtar@petronas.com</x:v>
      </x:c>
      <x:c r="Z248" t="n">
        <x:v>46196.111621724536</x:v>
      </x:c>
      <x:c r="AA248" t="str">
        <x:v>Cloud Repatriation - To decommission old resources in Singapore region due to completed migration in MY region</x:v>
      </x:c>
      <x:c r="AB248" t="str">
        <x:v>approved</x:v>
      </x:c>
      <x:c r="AC248" t="str">
        <x:v>abhishek.bhowate@petronas.com</x:v>
      </x:c>
      <x:c r="AD248" t="n">
        <x:v>46251.31950734954</x:v>
      </x:c>
      <x:c r="AE248" t="str">
        <x:v>Approved</x:v>
      </x:c>
      <x:c r="AF248"/>
      <x:c r="AG248" t="str">
        <x:v>swaminadh.chirakala@petronas.com</x:v>
      </x:c>
      <x:c r="AH248"/>
      <x:c r="AI248"/>
      <x:c r="AJ248" t="str">
        <x:v>A-000423</x:v>
      </x:c>
      <x:c r="AK248" t="str">
        <x:v>00915_213</x:v>
      </x:c>
      <x:c r="AL248" t="str">
        <x:v>M</x:v>
      </x:c>
      <x:c r="AM248" t="str">
        <x:v>REQ000008247056</x:v>
      </x:c>
      <x:c r="AN248" t="str">
        <x:v>disposal</x:v>
      </x:c>
      <x:c r="AO248" t="n">
        <x:v>0</x:v>
      </x:c>
      <x:c r="AP248" s="23" t="n">
        <x:f>IF(E248="processing",IF(Z248="","",IF(ISNUMBER(Z248),INT(Z248),DATE(VALUE(LEFT(Z248,4)),VALUE(MID(Z248,6,2)),VALUE(MID(Z248,9,2))))),IF(OR(E248="executing",E248="pending"),IF(AD248="","",IF(ISNUMBER(AD248),INT(AD248),DATE(VALUE(LEFT(AD248,4)),VALUE(MID(AD248,6,2)),VALUE(MID(AD248,9,2))))),""))</x:f>
        <x:v>46251</x:v>
      </x:c>
      <x:c r="AQ248" s="24" t="n">
        <x:f>IF(AP248="","",INT('Configuration'!$B$4)-AP248)</x:f>
        <x:v>0</x:v>
      </x:c>
      <x:c r="AR248" s="25" t="str">
        <x:f>IF(AP248="","Missing Required Date",IF(AQ248&lt;0,"Future Date",IF(AQ248=0,"0 days",IF(AQ248&lt;=2,"1-2 days",IF(AQ248&lt;=7,"3-7 days",IF(AQ248&lt;=14,"8-14 days",IF(AQ248&lt;=30,"15-30 days",IF(AQ248&lt;=60,"31-60 days",IF(AQ248&lt;=70,"61-70 days","71+ days")))))))))</x:f>
        <x:v>0 days</x:v>
      </x:c>
      <x:c r="AS248" s="25" t="str">
        <x:f>IF(OR(E248="processing",E248="executing",E248="pending"),IF(AP248="","Required aging date missing",IF(AQ248&gt;30,"Escalate &gt;30d",IF(AQ248&gt;14,"Watch &gt;14d","Within 14d"))),"Out of scope")</x:f>
        <x:v>Within 14d</x:v>
      </x:c>
    </x:row>
    <x:row r="249" ht="24" customHeight="1">
      <x:c r="A249" t="str">
        <x:v>a7ad2705-364e-4cd6-bda4-1781c44dd7a4</x:v>
      </x:c>
      <x:c r="B249" t="str">
        <x:v>CSSP10958195</x:v>
      </x:c>
      <x:c r="C249" t="str">
        <x:v>izdihar.roslan@petronas.com</x:v>
      </x:c>
      <x:c r="D249" t="str">
        <x:v>decommission-cloud</x:v>
      </x:c>
      <x:c r="E249" t="str">
        <x:v>processing</x:v>
      </x:c>
      <x:c r="F249" t="n">
        <x:v>46196.12006017361</x:v>
      </x:c>
      <x:c r="G249" t="n">
        <x:v>46209.310879537035</x:v>
      </x:c>
      <x:c r="H249" t="n">
        <x:v>46196.12006017361</x:v>
      </x:c>
      <x:c r="I249" t="str">
        <x:v>Lab Information Management System - LIMS MLNG</x:v>
      </x:c>
      <x:c r="J249" t="str">
        <x:v>OCI MIGRATION - Integrated Lab Information System (MLNG)</x:v>
      </x:c>
      <x:c r="K249" t="str">
        <x:v>partial</x:v>
      </x:c>
      <x:c r="L249"/>
      <x:c r="M249" t="str">
        <x:v>sazali.mokhtar@petronas.com</x:v>
      </x:c>
      <x:c r="N249"/>
      <x:c r="O249"/>
      <x:c r="P249" t="str">
        <x:v>Cloud Repatriation - To decommission old resources in Singapore region due to completed migration in MY region</x:v>
      </x:c>
      <x:c r="Q249" t="str">
        <x:v>2W</x:v>
      </x:c>
      <x:c r="R249" t="str">
        <x:v>Cloud Migration</x:v>
      </x:c>
      <x:c r="S249"/>
      <x:c r="T249" t="str">
        <x:v>approved</x:v>
      </x:c>
      <x:c r="U249" t="str">
        <x:v>izdihar.roslan@petronas.com</x:v>
      </x:c>
      <x:c r="V249" t="n">
        <x:v>46196.12022732639</x:v>
      </x:c>
      <x:c r="W249" t="str">
        <x:v>Cloud Repatriation - To decommission old resources in Singapore region due to completed migration in MY region</x:v>
      </x:c>
      <x:c r="X249" t="str">
        <x:v>approved</x:v>
      </x:c>
      <x:c r="Y249" t="str">
        <x:v>sazali.mokhtar@petronas.com</x:v>
      </x:c>
      <x:c r="Z249" t="n">
        <x:v>46197.331706412035</x:v>
      </x:c>
      <x:c r="AA249" t="str">
        <x:v>loud Repatriation - To decommission old resources in Singapore region due to completed migration in MY region</x:v>
      </x:c>
      <x:c r="AB249"/>
      <x:c r="AC249" t="str">
        <x:v>IMS - CLOUD CSSP REVIEWER</x:v>
      </x:c>
      <x:c r="AD249"/>
      <x:c r="AE249"/>
      <x:c r="AF249"/>
      <x:c r="AG249" t="str">
        <x:v>CCoE Operations</x:v>
      </x:c>
      <x:c r="AH249"/>
      <x:c r="AI249"/>
      <x:c r="AJ249" t="str">
        <x:v>A-000423</x:v>
      </x:c>
      <x:c r="AK249" t="str">
        <x:v>OCI-00025</x:v>
      </x:c>
      <x:c r="AL249" t="str">
        <x:v>M</x:v>
      </x:c>
      <x:c r="AM249"/>
      <x:c r="AN249" t="str">
        <x:v>noretention</x:v>
      </x:c>
      <x:c r="AO249" t="n">
        <x:v>0</x:v>
      </x:c>
      <x:c r="AP249" s="23" t="n">
        <x:f>IF(E249="processing",IF(Z249="","",IF(ISNUMBER(Z249),INT(Z249),DATE(VALUE(LEFT(Z249,4)),VALUE(MID(Z249,6,2)),VALUE(MID(Z249,9,2))))),IF(OR(E249="executing",E249="pending"),IF(AD249="","",IF(ISNUMBER(AD249),INT(AD249),DATE(VALUE(LEFT(AD249,4)),VALUE(MID(AD249,6,2)),VALUE(MID(AD249,9,2))))),""))</x:f>
        <x:v>46197</x:v>
      </x:c>
      <x:c r="AQ249" s="24" t="n">
        <x:f>IF(AP249="","",INT('Configuration'!$B$4)-AP249)</x:f>
        <x:v>54</x:v>
      </x:c>
      <x:c r="AR249" s="25" t="str">
        <x:f>IF(AP249="","Missing Required Date",IF(AQ249&lt;0,"Future Date",IF(AQ249=0,"0 days",IF(AQ249&lt;=2,"1-2 days",IF(AQ249&lt;=7,"3-7 days",IF(AQ249&lt;=14,"8-14 days",IF(AQ249&lt;=30,"15-30 days",IF(AQ249&lt;=60,"31-60 days",IF(AQ249&lt;=70,"61-70 days","71+ days")))))))))</x:f>
        <x:v>31-60 days</x:v>
      </x:c>
      <x:c r="AS249" s="25" t="str">
        <x:f>IF(OR(E249="processing",E249="executing",E249="pending"),IF(AP249="","Required aging date missing",IF(AQ249&gt;30,"Escalate &gt;30d",IF(AQ249&gt;14,"Watch &gt;14d","Within 14d"))),"Out of scope")</x:f>
        <x:v>Escalate &gt;30d</x:v>
      </x:c>
    </x:row>
    <x:row r="250" ht="24" customHeight="1">
      <x:c r="A250" t="str">
        <x:v>a68cdc33-e9cb-4a52-8098-c1b0e3990a57</x:v>
      </x:c>
      <x:c r="B250" t="str">
        <x:v>CSSP10916071</x:v>
      </x:c>
      <x:c r="C250" t="str">
        <x:v>izdihar.roslan@petronas.com</x:v>
      </x:c>
      <x:c r="D250" t="str">
        <x:v>decommission-cloud</x:v>
      </x:c>
      <x:c r="E250" t="str">
        <x:v>executing</x:v>
      </x:c>
      <x:c r="F250" t="n">
        <x:v>46196.123875625</x:v>
      </x:c>
      <x:c r="G250" t="n">
        <x:v>46251.31982116898</x:v>
      </x:c>
      <x:c r="H250" t="n">
        <x:v>46196.123875625</x:v>
      </x:c>
      <x:c r="I250" t="str">
        <x:v>Lab Information Management System - LIMS PPTSB</x:v>
      </x:c>
      <x:c r="J250" t="str">
        <x:v>OCI MIGRATION - LIMS PPTSB</x:v>
      </x:c>
      <x:c r="K250" t="str">
        <x:v>partial</x:v>
      </x:c>
      <x:c r="L250"/>
      <x:c r="M250" t="str">
        <x:v>sazali.mokhtar@petronas.com</x:v>
      </x:c>
      <x:c r="N250"/>
      <x:c r="O250"/>
      <x:c r="P250" t="str">
        <x:v>Cloud Repatriation - To decommission old resources in Singapore region due to completed migration in MY region</x:v>
      </x:c>
      <x:c r="Q250" t="str">
        <x:v>2W</x:v>
      </x:c>
      <x:c r="R250" t="str">
        <x:v>Cloud Migration</x:v>
      </x:c>
      <x:c r="S250"/>
      <x:c r="T250" t="str">
        <x:v>approved</x:v>
      </x:c>
      <x:c r="U250" t="str">
        <x:v>izdihar.roslan@petronas.com</x:v>
      </x:c>
      <x:c r="V250" t="n">
        <x:v>46196.12411741898</x:v>
      </x:c>
      <x:c r="W250" t="str">
        <x:v>Cloud Repatriation - To decommission old resources in Singapore region due to completed migration in MY region</x:v>
      </x:c>
      <x:c r="X250" t="str">
        <x:v>approved</x:v>
      </x:c>
      <x:c r="Y250" t="str">
        <x:v>sazali.mokhtar@petronas.com</x:v>
      </x:c>
      <x:c r="Z250" t="n">
        <x:v>46197.331437824076</x:v>
      </x:c>
      <x:c r="AA250" t="str">
        <x:v>loud Repatriation - To decommission old resources in Singapore region due to completed migration in MY region</x:v>
      </x:c>
      <x:c r="AB250" t="str">
        <x:v>approved</x:v>
      </x:c>
      <x:c r="AC250" t="str">
        <x:v>abhishek.bhowate@petronas.com</x:v>
      </x:c>
      <x:c r="AD250" t="n">
        <x:v>46251.31982118056</x:v>
      </x:c>
      <x:c r="AE250" t="str">
        <x:v>approve</x:v>
      </x:c>
      <x:c r="AF250"/>
      <x:c r="AG250" t="str">
        <x:v>abdul.khoir@petronas.com</x:v>
      </x:c>
      <x:c r="AH250"/>
      <x:c r="AI250"/>
      <x:c r="AJ250" t="str">
        <x:v>A-000429</x:v>
      </x:c>
      <x:c r="AK250" t="str">
        <x:v>00915_212</x:v>
      </x:c>
      <x:c r="AL250" t="str">
        <x:v>M</x:v>
      </x:c>
      <x:c r="AM250" t="str">
        <x:v>REQ000008247057</x:v>
      </x:c>
      <x:c r="AN250" t="str">
        <x:v>noretention</x:v>
      </x:c>
      <x:c r="AO250" t="n">
        <x:v>0</x:v>
      </x:c>
      <x:c r="AP250" s="23" t="n">
        <x:f>IF(E250="processing",IF(Z250="","",IF(ISNUMBER(Z250),INT(Z250),DATE(VALUE(LEFT(Z250,4)),VALUE(MID(Z250,6,2)),VALUE(MID(Z250,9,2))))),IF(OR(E250="executing",E250="pending"),IF(AD250="","",IF(ISNUMBER(AD250),INT(AD250),DATE(VALUE(LEFT(AD250,4)),VALUE(MID(AD250,6,2)),VALUE(MID(AD250,9,2))))),""))</x:f>
        <x:v>46251</x:v>
      </x:c>
      <x:c r="AQ250" s="24" t="n">
        <x:f>IF(AP250="","",INT('Configuration'!$B$4)-AP250)</x:f>
        <x:v>0</x:v>
      </x:c>
      <x:c r="AR250" s="25" t="str">
        <x:f>IF(AP250="","Missing Required Date",IF(AQ250&lt;0,"Future Date",IF(AQ250=0,"0 days",IF(AQ250&lt;=2,"1-2 days",IF(AQ250&lt;=7,"3-7 days",IF(AQ250&lt;=14,"8-14 days",IF(AQ250&lt;=30,"15-30 days",IF(AQ250&lt;=60,"31-60 days",IF(AQ250&lt;=70,"61-70 days","71+ days")))))))))</x:f>
        <x:v>0 days</x:v>
      </x:c>
      <x:c r="AS250" s="25" t="str">
        <x:f>IF(OR(E250="processing",E250="executing",E250="pending"),IF(AP250="","Required aging date missing",IF(AQ250&gt;30,"Escalate &gt;30d",IF(AQ250&gt;14,"Watch &gt;14d","Within 14d"))),"Out of scope")</x:f>
        <x:v>Within 14d</x:v>
      </x:c>
    </x:row>
    <x:row r="251" ht="24" customHeight="1">
      <x:c r="A251" t="str">
        <x:v>7afc390d-0dff-4d29-92fc-1352f7964163</x:v>
      </x:c>
      <x:c r="B251" t="str">
        <x:v>CSSP10434338</x:v>
      </x:c>
      <x:c r="C251" t="str">
        <x:v>izdihar.roslan@petronas.com</x:v>
      </x:c>
      <x:c r="D251" t="str">
        <x:v>decommission-cloud</x:v>
      </x:c>
      <x:c r="E251" t="str">
        <x:v>processing</x:v>
      </x:c>
      <x:c r="F251" t="n">
        <x:v>46196.1246544213</x:v>
      </x:c>
      <x:c r="G251" t="n">
        <x:v>46209.31169797454</x:v>
      </x:c>
      <x:c r="H251" t="n">
        <x:v>46196.1246544213</x:v>
      </x:c>
      <x:c r="I251" t="str">
        <x:v>Lab Information Management System - LIMS PPTSB</x:v>
      </x:c>
      <x:c r="J251" t="str">
        <x:v>OCI MIGRATION - Integrated Lab Information System (PPT)</x:v>
      </x:c>
      <x:c r="K251" t="str">
        <x:v>partial</x:v>
      </x:c>
      <x:c r="L251"/>
      <x:c r="M251" t="str">
        <x:v>sazali.mokhtar@petronas.com</x:v>
      </x:c>
      <x:c r="N251"/>
      <x:c r="O251"/>
      <x:c r="P251" t="str">
        <x:v>Cloud Repatriation - To decommission old resources in Singapore region due to completed migration in MY region</x:v>
      </x:c>
      <x:c r="Q251" t="str">
        <x:v>2W</x:v>
      </x:c>
      <x:c r="R251" t="str">
        <x:v>Cloud Migration</x:v>
      </x:c>
      <x:c r="S251"/>
      <x:c r="T251" t="str">
        <x:v>approved</x:v>
      </x:c>
      <x:c r="U251" t="str">
        <x:v>izdihar.roslan@petronas.com</x:v>
      </x:c>
      <x:c r="V251" t="n">
        <x:v>46196.12479207176</x:v>
      </x:c>
      <x:c r="W251" t="str">
        <x:v>Cloud Repatriation - To decommission old resources in Singapore region due to completed migration in MY region</x:v>
      </x:c>
      <x:c r="X251" t="str">
        <x:v>approved</x:v>
      </x:c>
      <x:c r="Y251" t="str">
        <x:v>sazali.mokhtar@petronas.com</x:v>
      </x:c>
      <x:c r="Z251" t="n">
        <x:v>46197.33105706018</x:v>
      </x:c>
      <x:c r="AA251" t="str">
        <x:v>loud Repatriation - To decommission old resources in Singapore region due to completed migration in MY region</x:v>
      </x:c>
      <x:c r="AB251"/>
      <x:c r="AC251" t="str">
        <x:v>IMS - CLOUD CSSP REVIEWER</x:v>
      </x:c>
      <x:c r="AD251"/>
      <x:c r="AE251"/>
      <x:c r="AF251"/>
      <x:c r="AG251" t="str">
        <x:v>CCoE Operations</x:v>
      </x:c>
      <x:c r="AH251"/>
      <x:c r="AI251"/>
      <x:c r="AJ251" t="str">
        <x:v>A-000429</x:v>
      </x:c>
      <x:c r="AK251" t="str">
        <x:v>OCI-00018</x:v>
      </x:c>
      <x:c r="AL251" t="str">
        <x:v>M</x:v>
      </x:c>
      <x:c r="AM251"/>
      <x:c r="AN251" t="str">
        <x:v>disposal</x:v>
      </x:c>
      <x:c r="AO251" t="n">
        <x:v>0</x:v>
      </x:c>
      <x:c r="AP251" s="23" t="n">
        <x:f>IF(E251="processing",IF(Z251="","",IF(ISNUMBER(Z251),INT(Z251),DATE(VALUE(LEFT(Z251,4)),VALUE(MID(Z251,6,2)),VALUE(MID(Z251,9,2))))),IF(OR(E251="executing",E251="pending"),IF(AD251="","",IF(ISNUMBER(AD251),INT(AD251),DATE(VALUE(LEFT(AD251,4)),VALUE(MID(AD251,6,2)),VALUE(MID(AD251,9,2))))),""))</x:f>
        <x:v>46197</x:v>
      </x:c>
      <x:c r="AQ251" s="24" t="n">
        <x:f>IF(AP251="","",INT('Configuration'!$B$4)-AP251)</x:f>
        <x:v>54</x:v>
      </x:c>
      <x:c r="AR251" s="25" t="str">
        <x:f>IF(AP251="","Missing Required Date",IF(AQ251&lt;0,"Future Date",IF(AQ251=0,"0 days",IF(AQ251&lt;=2,"1-2 days",IF(AQ251&lt;=7,"3-7 days",IF(AQ251&lt;=14,"8-14 days",IF(AQ251&lt;=30,"15-30 days",IF(AQ251&lt;=60,"31-60 days",IF(AQ251&lt;=70,"61-70 days","71+ days")))))))))</x:f>
        <x:v>31-60 days</x:v>
      </x:c>
      <x:c r="AS251" s="25" t="str">
        <x:f>IF(OR(E251="processing",E251="executing",E251="pending"),IF(AP251="","Required aging date missing",IF(AQ251&gt;30,"Escalate &gt;30d",IF(AQ251&gt;14,"Watch &gt;14d","Within 14d"))),"Out of scope")</x:f>
        <x:v>Escalate &gt;30d</x:v>
      </x:c>
    </x:row>
    <x:row r="252" ht="24" customHeight="1">
      <x:c r="A252" t="str">
        <x:v>d7365623-dfc1-4d4e-9135-d7c22fd72c18</x:v>
      </x:c>
      <x:c r="B252" t="str">
        <x:v>CSSP10120863</x:v>
      </x:c>
      <x:c r="C252" t="str">
        <x:v>izdihar.roslan@petronas.com</x:v>
      </x:c>
      <x:c r="D252" t="str">
        <x:v>decommission-cloud</x:v>
      </x:c>
      <x:c r="E252" t="str">
        <x:v>cancelled</x:v>
      </x:c>
      <x:c r="F252" t="n">
        <x:v>46196.12547501158</x:v>
      </x:c>
      <x:c r="G252" t="n">
        <x:v>46196.12565594907</x:v>
      </x:c>
      <x:c r="H252" t="n">
        <x:v>46196.12547501158</x:v>
      </x:c>
      <x:c r="I252" t="str">
        <x:v>Lab Information Management System - LIMS PPTSB</x:v>
      </x:c>
      <x:c r="J252" t="str">
        <x:v>OCI MIGRATION - Integrated Lab Information System (PPT)</x:v>
      </x:c>
      <x:c r="K252" t="str">
        <x:v>partial</x:v>
      </x:c>
      <x:c r="L252"/>
      <x:c r="M252" t="str">
        <x:v>sazali.mokhtar@petronas.com</x:v>
      </x:c>
      <x:c r="N252"/>
      <x:c r="O252"/>
      <x:c r="P252" t="str">
        <x:v>Cloud Repatriation - To decommission old resources in Singapore region due to completed migration in MY region</x:v>
      </x:c>
      <x:c r="Q252" t="str">
        <x:v>2W</x:v>
      </x:c>
      <x:c r="R252" t="str">
        <x:v>Cloud Migration</x:v>
      </x:c>
      <x:c r="S252"/>
      <x:c r="T252" t="str">
        <x:v>rejected</x:v>
      </x:c>
      <x:c r="U252" t="str">
        <x:v>izdihar.roslan@petronas.com</x:v>
      </x:c>
      <x:c r="V252" t="n">
        <x:v>46196.12565596065</x:v>
      </x:c>
      <x:c r="W252"/>
      <x:c r="X252"/>
      <x:c r="Y252" t="str">
        <x:v>sazali.mokhtar@petronas.com</x:v>
      </x:c>
      <x:c r="Z252"/>
      <x:c r="AA252"/>
      <x:c r="AB252"/>
      <x:c r="AC252" t="str">
        <x:v>CCoE Business</x:v>
      </x:c>
      <x:c r="AD252"/>
      <x:c r="AE252"/>
      <x:c r="AF252"/>
      <x:c r="AG252" t="str">
        <x:v>CCoE Operations</x:v>
      </x:c>
      <x:c r="AH252"/>
      <x:c r="AI252"/>
      <x:c r="AJ252" t="str">
        <x:v>A-000429</x:v>
      </x:c>
      <x:c r="AK252" t="str">
        <x:v>OCI-00018</x:v>
      </x:c>
      <x:c r="AL252"/>
      <x:c r="AM252"/>
      <x:c r="AN252" t="str">
        <x:v>disposal</x:v>
      </x:c>
      <x:c r="AO252" t="n">
        <x:v>0</x:v>
      </x:c>
      <x:c r="AP252" s="23" t="str">
        <x:f>IF(E252="processing",IF(Z252="","",IF(ISNUMBER(Z252),INT(Z252),DATE(VALUE(LEFT(Z252,4)),VALUE(MID(Z252,6,2)),VALUE(MID(Z252,9,2))))),IF(OR(E252="executing",E252="pending"),IF(AD252="","",IF(ISNUMBER(AD252),INT(AD252),DATE(VALUE(LEFT(AD252,4)),VALUE(MID(AD252,6,2)),VALUE(MID(AD252,9,2))))),""))</x:f>
      </x:c>
      <x:c r="AQ252" s="24" t="str">
        <x:f>IF(AP252="","",INT('Configuration'!$B$4)-AP252)</x:f>
      </x:c>
      <x:c r="AR252" s="25" t="str">
        <x:f>IF(AP252="","Missing Required Date",IF(AQ252&lt;0,"Future Date",IF(AQ252=0,"0 days",IF(AQ252&lt;=2,"1-2 days",IF(AQ252&lt;=7,"3-7 days",IF(AQ252&lt;=14,"8-14 days",IF(AQ252&lt;=30,"15-30 days",IF(AQ252&lt;=60,"31-60 days",IF(AQ252&lt;=70,"61-70 days","71+ days")))))))))</x:f>
        <x:v>Missing Required Date</x:v>
      </x:c>
      <x:c r="AS252" s="25" t="str">
        <x:f>IF(OR(E252="processing",E252="executing",E252="pending"),IF(AP252="","Required aging date missing",IF(AQ252&gt;30,"Escalate &gt;30d",IF(AQ252&gt;14,"Watch &gt;14d","Within 14d"))),"Out of scope")</x:f>
        <x:v>Out of scope</x:v>
      </x:c>
    </x:row>
    <x:row r="253" ht="24" customHeight="1">
      <x:c r="A253" t="str">
        <x:v>606b5aae-f441-4b45-b516-7cce8b5e5d00</x:v>
      </x:c>
      <x:c r="B253" t="str">
        <x:v>CSSP10192809</x:v>
      </x:c>
      <x:c r="C253" t="str">
        <x:v>izdihar.roslan@petronas.com</x:v>
      </x:c>
      <x:c r="D253" t="str">
        <x:v>decommission-cloud</x:v>
      </x:c>
      <x:c r="E253" t="str">
        <x:v>processing</x:v>
      </x:c>
      <x:c r="F253" t="n">
        <x:v>46196.12983128472</x:v>
      </x:c>
      <x:c r="G253" t="n">
        <x:v>46237.31626704861</x:v>
      </x:c>
      <x:c r="H253" t="n">
        <x:v>46196.12983128472</x:v>
      </x:c>
      <x:c r="I253" t="str">
        <x:v>Lab Information Management System - LIMS MLNG</x:v>
      </x:c>
      <x:c r="J253" t="str">
        <x:v>OCI MIGRATION - LIMS MLNG</x:v>
      </x:c>
      <x:c r="K253" t="str">
        <x:v>partial</x:v>
      </x:c>
      <x:c r="L253"/>
      <x:c r="M253" t="str">
        <x:v>sazali.mokhtar@petronas.com</x:v>
      </x:c>
      <x:c r="N253"/>
      <x:c r="O253"/>
      <x:c r="P253" t="str">
        <x:v>Cloud Repatriation - To decommission old resources in Singapore region due to completed migration in MY region
NOTES: Please Refer mainly to the chosen list of resources and attachment is for reference only.</x:v>
      </x:c>
      <x:c r="Q253" t="str">
        <x:v>2W</x:v>
      </x:c>
      <x:c r="R253" t="str">
        <x:v>Cloud Migration</x:v>
      </x:c>
      <x:c r="S253"/>
      <x:c r="T253" t="str">
        <x:v>approved</x:v>
      </x:c>
      <x:c r="U253" t="str">
        <x:v>izdihar.roslan@petronas.com</x:v>
      </x:c>
      <x:c r="V253" t="n">
        <x:v>46196.130953078704</x:v>
      </x:c>
      <x:c r="W253" t="str">
        <x:v>Cloud Repatriation - To decommission old resources in Singapore region due to completed migration in MY region</x:v>
      </x:c>
      <x:c r="X253" t="str">
        <x:v>approved</x:v>
      </x:c>
      <x:c r="Y253" t="str">
        <x:v>sazali.mokhtar@petronas.com</x:v>
      </x:c>
      <x:c r="Z253" t="n">
        <x:v>46197.33076146991</x:v>
      </x:c>
      <x:c r="AA253" t="str">
        <x:v>loud Repatriation - To decommission old resources in Singapore region due to completed migration in MY region</x:v>
      </x:c>
      <x:c r="AB253"/>
      <x:c r="AC253" t="str">
        <x:v>IMS - CLOUD CSSP REVIEWER</x:v>
      </x:c>
      <x:c r="AD253"/>
      <x:c r="AE253"/>
      <x:c r="AF253"/>
      <x:c r="AG253" t="str">
        <x:v>CCoE Operations</x:v>
      </x:c>
      <x:c r="AH253"/>
      <x:c r="AI253"/>
      <x:c r="AJ253" t="str">
        <x:v>A-000423</x:v>
      </x:c>
      <x:c r="AK253" t="str">
        <x:v>00915_213</x:v>
      </x:c>
      <x:c r="AL253" t="str">
        <x:v>M</x:v>
      </x:c>
      <x:c r="AM253"/>
      <x:c r="AN253" t="str">
        <x:v>noretention</x:v>
      </x:c>
      <x:c r="AO253" t="n">
        <x:v>0</x:v>
      </x:c>
      <x:c r="AP253" s="23" t="n">
        <x:f>IF(E253="processing",IF(Z253="","",IF(ISNUMBER(Z253),INT(Z253),DATE(VALUE(LEFT(Z253,4)),VALUE(MID(Z253,6,2)),VALUE(MID(Z253,9,2))))),IF(OR(E253="executing",E253="pending"),IF(AD253="","",IF(ISNUMBER(AD253),INT(AD253),DATE(VALUE(LEFT(AD253,4)),VALUE(MID(AD253,6,2)),VALUE(MID(AD253,9,2))))),""))</x:f>
        <x:v>46197</x:v>
      </x:c>
      <x:c r="AQ253" s="24" t="n">
        <x:f>IF(AP253="","",INT('Configuration'!$B$4)-AP253)</x:f>
        <x:v>54</x:v>
      </x:c>
      <x:c r="AR253" s="25" t="str">
        <x:f>IF(AP253="","Missing Required Date",IF(AQ253&lt;0,"Future Date",IF(AQ253=0,"0 days",IF(AQ253&lt;=2,"1-2 days",IF(AQ253&lt;=7,"3-7 days",IF(AQ253&lt;=14,"8-14 days",IF(AQ253&lt;=30,"15-30 days",IF(AQ253&lt;=60,"31-60 days",IF(AQ253&lt;=70,"61-70 days","71+ days")))))))))</x:f>
        <x:v>31-60 days</x:v>
      </x:c>
      <x:c r="AS253" s="25" t="str">
        <x:f>IF(OR(E253="processing",E253="executing",E253="pending"),IF(AP253="","Required aging date missing",IF(AQ253&gt;30,"Escalate &gt;30d",IF(AQ253&gt;14,"Watch &gt;14d","Within 14d"))),"Out of scope")</x:f>
        <x:v>Escalate &gt;30d</x:v>
      </x:c>
    </x:row>
    <x:row r="254" ht="24" customHeight="1">
      <x:c r="A254" t="str">
        <x:v>a8f7d9a2-2afc-43f6-8384-425e1d2c02a7</x:v>
      </x:c>
      <x:c r="B254" t="str">
        <x:v>CSSP10328587</x:v>
      </x:c>
      <x:c r="C254" t="str">
        <x:v>miqbal.mohsin@petronas.com</x:v>
      </x:c>
      <x:c r="D254" t="str">
        <x:v>decommission-cloud</x:v>
      </x:c>
      <x:c r="E254" t="str">
        <x:v>cancelled</x:v>
      </x:c>
      <x:c r="F254" t="n">
        <x:v>46198.25458431713</x:v>
      </x:c>
      <x:c r="G254" t="n">
        <x:v>46198.25490237268</x:v>
      </x:c>
      <x:c r="H254" t="n">
        <x:v>46198.25458431713</x:v>
      </x:c>
      <x:c r="I254" t="str">
        <x:v>OpAware</x:v>
      </x:c>
      <x:c r="J254" t="str">
        <x:v>Cloud Migration Program - OpAware system (Process Scout)</x:v>
      </x:c>
      <x:c r="K254" t="str">
        <x:v>partial</x:v>
      </x:c>
      <x:c r="L254"/>
      <x:c r="M254" t="str">
        <x:v>miqbal.mohsin@petronas.com</x:v>
      </x:c>
      <x:c r="N254" t="str">
        <x:v>jlkjlkjlkjlk</x:v>
      </x:c>
      <x:c r="O254" t="str">
        <x:v>jkljk</x:v>
      </x:c>
      <x:c r="P254" t="str">
        <x:v>.</x:v>
      </x:c>
      <x:c r="Q254" t="str">
        <x:v>2W</x:v>
      </x:c>
      <x:c r="R254" t="str">
        <x:v>Not in Used</x:v>
      </x:c>
      <x:c r="S254"/>
      <x:c r="T254" t="str">
        <x:v>rejected</x:v>
      </x:c>
      <x:c r="U254" t="str">
        <x:v>miqbal.mohsin@petronas.com</x:v>
      </x:c>
      <x:c r="V254" t="n">
        <x:v>46198.25490238426</x:v>
      </x:c>
      <x:c r="W254"/>
      <x:c r="X254"/>
      <x:c r="Y254" t="str">
        <x:v>miqbal.mohsin@petronas.com</x:v>
      </x:c>
      <x:c r="Z254"/>
      <x:c r="AA254"/>
      <x:c r="AB254"/>
      <x:c r="AC254" t="str">
        <x:v>CCoE Business</x:v>
      </x:c>
      <x:c r="AD254"/>
      <x:c r="AE254"/>
      <x:c r="AF254"/>
      <x:c r="AG254" t="str">
        <x:v>CCoE Operations</x:v>
      </x:c>
      <x:c r="AH254"/>
      <x:c r="AI254"/>
      <x:c r="AJ254" t="str">
        <x:v>A-001070</x:v>
      </x:c>
      <x:c r="AK254" t="str">
        <x:v>02421_56</x:v>
      </x:c>
      <x:c r="AL254"/>
      <x:c r="AM254"/>
      <x:c r="AN254" t="str">
        <x:v>retention</x:v>
      </x:c>
      <x:c r="AO254" t="n">
        <x:v>0</x:v>
      </x:c>
      <x:c r="AP254" s="23" t="str">
        <x:f>IF(E254="processing",IF(Z254="","",IF(ISNUMBER(Z254),INT(Z254),DATE(VALUE(LEFT(Z254,4)),VALUE(MID(Z254,6,2)),VALUE(MID(Z254,9,2))))),IF(OR(E254="executing",E254="pending"),IF(AD254="","",IF(ISNUMBER(AD254),INT(AD254),DATE(VALUE(LEFT(AD254,4)),VALUE(MID(AD254,6,2)),VALUE(MID(AD254,9,2))))),""))</x:f>
      </x:c>
      <x:c r="AQ254" s="24" t="str">
        <x:f>IF(AP254="","",INT('Configuration'!$B$4)-AP254)</x:f>
      </x:c>
      <x:c r="AR254" s="25" t="str">
        <x:f>IF(AP254="","Missing Required Date",IF(AQ254&lt;0,"Future Date",IF(AQ254=0,"0 days",IF(AQ254&lt;=2,"1-2 days",IF(AQ254&lt;=7,"3-7 days",IF(AQ254&lt;=14,"8-14 days",IF(AQ254&lt;=30,"15-30 days",IF(AQ254&lt;=60,"31-60 days",IF(AQ254&lt;=70,"61-70 days","71+ days")))))))))</x:f>
        <x:v>Missing Required Date</x:v>
      </x:c>
      <x:c r="AS254" s="25" t="str">
        <x:f>IF(OR(E254="processing",E254="executing",E254="pending"),IF(AP254="","Required aging date missing",IF(AQ254&gt;30,"Escalate &gt;30d",IF(AQ254&gt;14,"Watch &gt;14d","Within 14d"))),"Out of scope")</x:f>
        <x:v>Out of scope</x:v>
      </x:c>
    </x:row>
    <x:row r="255" ht="24" customHeight="1">
      <x:c r="A255" t="str">
        <x:v>1455d64a-b9fe-448b-9651-6573b74743c1</x:v>
      </x:c>
      <x:c r="B255" t="str">
        <x:v>CSSP10323752</x:v>
      </x:c>
      <x:c r="C255" t="str">
        <x:v>hazdirizal.abdullha@petronas.com</x:v>
      </x:c>
      <x:c r="D255" t="str">
        <x:v>decommission-cloud</x:v>
      </x:c>
      <x:c r="E255" t="str">
        <x:v>executing</x:v>
      </x:c>
      <x:c r="F255" t="n">
        <x:v>46199.35398917824</x:v>
      </x:c>
      <x:c r="G255" t="n">
        <x:v>46247.11604627315</x:v>
      </x:c>
      <x:c r="H255" t="n">
        <x:v>46199.35398917824</x:v>
      </x:c>
      <x:c r="I255" t="str">
        <x:v>M365 Exchange 2016 for Centralised Automation Management Console</x:v>
      </x:c>
      <x:c r="J255" t="str">
        <x:v>M365-Microsoft Exchange Edge server for Address Rewriting</x:v>
      </x:c>
      <x:c r="K255" t="str">
        <x:v>partial</x:v>
      </x:c>
      <x:c r="L255"/>
      <x:c r="M255" t="str">
        <x:v>faylynn.chua@petronas.com.my</x:v>
      </x:c>
      <x:c r="N255"/>
      <x:c r="O255" t="str">
        <x:v>704D905161</x:v>
      </x:c>
      <x:c r="P255" t="str">
        <x:v>current Exchange server 2016 has already reached end of life support and not in used. the total number of servers of Exchange 2016 to be decom is 2 servers: Exchange 2016 Edge Servers: PTSG-1SMTPed01 - 172.25.34.85 PTSG-1SMTPed02 - 172.25.34.86</x:v>
      </x:c>
      <x:c r="Q255" t="str">
        <x:v>1M</x:v>
      </x:c>
      <x:c r="R255" t="str">
        <x:v>Not in Used</x:v>
      </x:c>
      <x:c r="S255"/>
      <x:c r="T255" t="str">
        <x:v>approved</x:v>
      </x:c>
      <x:c r="U255" t="str">
        <x:v>hazdirizal.abdullha@petronas.com</x:v>
      </x:c>
      <x:c r="V255" t="n">
        <x:v>46199.35907709491</x:v>
      </x:c>
      <x:c r="W255" t="str">
        <x:v>current Exchange server 2016 has already reached end of life support and not in used. the total number of servers of Exchange 2016 to be decom is 2 servers: Exchange 2016 Edge Servers: PTSG-1SMTPed01 - 172.25.34.85 PTSG-1SMTPed02 - 172.25.34.86.
will proceed to remove exchange application first before the decommisioning.</x:v>
      </x:c>
      <x:c r="X255" t="str">
        <x:v>approved</x:v>
      </x:c>
      <x:c r="Y255" t="str">
        <x:v>faylynn.chua@petronas.com</x:v>
      </x:c>
      <x:c r="Z255" t="n">
        <x:v>46204.41177521991</x:v>
      </x:c>
      <x:c r="AA255" t="str">
        <x:v>Approved as per plan. </x:v>
      </x:c>
      <x:c r="AB255" t="str">
        <x:v>approved</x:v>
      </x:c>
      <x:c r="AC255" t="str">
        <x:v>abhishek.bhowate@petronas.com</x:v>
      </x:c>
      <x:c r="AD255" t="n">
        <x:v>46247.116046284726</x:v>
      </x:c>
      <x:c r="AE255" t="str">
        <x:v>Approve</x:v>
      </x:c>
      <x:c r="AF255"/>
      <x:c r="AG255" t="str">
        <x:v>amarja.kawade@petronas.com</x:v>
      </x:c>
      <x:c r="AH255"/>
      <x:c r="AI255"/>
      <x:c r="AJ255" t="str">
        <x:v>A-000443</x:v>
      </x:c>
      <x:c r="AK255" t="n">
        <x:v>1931</x:v>
      </x:c>
      <x:c r="AL255" t="str">
        <x:v>S</x:v>
      </x:c>
      <x:c r="AM255" t="str">
        <x:v>REQ000008238796</x:v>
      </x:c>
      <x:c r="AN255" t="str">
        <x:v>noretention</x:v>
      </x:c>
      <x:c r="AO255" t="n">
        <x:v>0</x:v>
      </x:c>
      <x:c r="AP255" s="23" t="n">
        <x:f>IF(E255="processing",IF(Z255="","",IF(ISNUMBER(Z255),INT(Z255),DATE(VALUE(LEFT(Z255,4)),VALUE(MID(Z255,6,2)),VALUE(MID(Z255,9,2))))),IF(OR(E255="executing",E255="pending"),IF(AD255="","",IF(ISNUMBER(AD255),INT(AD255),DATE(VALUE(LEFT(AD255,4)),VALUE(MID(AD255,6,2)),VALUE(MID(AD255,9,2))))),""))</x:f>
        <x:v>46247</x:v>
      </x:c>
      <x:c r="AQ255" s="24" t="n">
        <x:f>IF(AP255="","",INT('Configuration'!$B$4)-AP255)</x:f>
        <x:v>4</x:v>
      </x:c>
      <x:c r="AR255" s="25" t="str">
        <x:f>IF(AP255="","Missing Required Date",IF(AQ255&lt;0,"Future Date",IF(AQ255=0,"0 days",IF(AQ255&lt;=2,"1-2 days",IF(AQ255&lt;=7,"3-7 days",IF(AQ255&lt;=14,"8-14 days",IF(AQ255&lt;=30,"15-30 days",IF(AQ255&lt;=60,"31-60 days",IF(AQ255&lt;=70,"61-70 days","71+ days")))))))))</x:f>
        <x:v>3-7 days</x:v>
      </x:c>
      <x:c r="AS255" s="25" t="str">
        <x:f>IF(OR(E255="processing",E255="executing",E255="pending"),IF(AP255="","Required aging date missing",IF(AQ255&gt;30,"Escalate &gt;30d",IF(AQ255&gt;14,"Watch &gt;14d","Within 14d"))),"Out of scope")</x:f>
        <x:v>Within 14d</x:v>
      </x:c>
    </x:row>
    <x:row r="256" ht="24" customHeight="1">
      <x:c r="A256" t="str">
        <x:v>b91e95dd-bfe7-4354-bb7d-f98033d0b308</x:v>
      </x:c>
      <x:c r="B256" t="str">
        <x:v>CSSP10127063</x:v>
      </x:c>
      <x:c r="C256" t="str">
        <x:v>amarsyafiq.azma@petronas.com</x:v>
      </x:c>
      <x:c r="D256" t="str">
        <x:v>decommission-cloud</x:v>
      </x:c>
      <x:c r="E256" t="str">
        <x:v>cancelled</x:v>
      </x:c>
      <x:c r="F256" t="n">
        <x:v>46203.38914413194</x:v>
      </x:c>
      <x:c r="G256" t="n">
        <x:v>46203.390771412036</x:v>
      </x:c>
      <x:c r="H256" t="n">
        <x:v>46203.38914413194</x:v>
      </x:c>
      <x:c r="I256" t="str">
        <x:v>Enterprise Application Observability</x:v>
      </x:c>
      <x:c r="J256" t="str">
        <x:v>Enterprise Application Observability</x:v>
      </x:c>
      <x:c r="K256" t="str">
        <x:v>partial</x:v>
      </x:c>
      <x:c r="L256"/>
      <x:c r="M256" t="str">
        <x:v>chewjian.shin@petronas.com</x:v>
      </x:c>
      <x:c r="N256"/>
      <x:c r="O256"/>
      <x:c r="P256" t="str">
        <x:v>No longer using</x:v>
      </x:c>
      <x:c r="Q256" t="str">
        <x:v>1M</x:v>
      </x:c>
      <x:c r="R256" t="str">
        <x:v>Not in Used</x:v>
      </x:c>
      <x:c r="S256"/>
      <x:c r="T256" t="str">
        <x:v>rejected</x:v>
      </x:c>
      <x:c r="U256" t="str">
        <x:v>amarsyafiq.azma@petronas.com</x:v>
      </x:c>
      <x:c r="V256" t="n">
        <x:v>46203.39077142361</x:v>
      </x:c>
      <x:c r="W256"/>
      <x:c r="X256"/>
      <x:c r="Y256" t="str">
        <x:v>chewjian.shin@petronas.com</x:v>
      </x:c>
      <x:c r="Z256"/>
      <x:c r="AA256"/>
      <x:c r="AB256"/>
      <x:c r="AC256" t="str">
        <x:v>CCoE Business</x:v>
      </x:c>
      <x:c r="AD256"/>
      <x:c r="AE256"/>
      <x:c r="AF256"/>
      <x:c r="AG256" t="str">
        <x:v>CCoE Operations</x:v>
      </x:c>
      <x:c r="AH256"/>
      <x:c r="AI256"/>
      <x:c r="AJ256" t="str">
        <x:v>A-000285</x:v>
      </x:c>
      <x:c r="AK256" t="str">
        <x:v>PC-00002</x:v>
      </x:c>
      <x:c r="AL256"/>
      <x:c r="AM256"/>
      <x:c r="AN256" t="str">
        <x:v>disposal</x:v>
      </x:c>
      <x:c r="AO256" t="n">
        <x:v>0</x:v>
      </x:c>
      <x:c r="AP256" s="23" t="str">
        <x:f>IF(E256="processing",IF(Z256="","",IF(ISNUMBER(Z256),INT(Z256),DATE(VALUE(LEFT(Z256,4)),VALUE(MID(Z256,6,2)),VALUE(MID(Z256,9,2))))),IF(OR(E256="executing",E256="pending"),IF(AD256="","",IF(ISNUMBER(AD256),INT(AD256),DATE(VALUE(LEFT(AD256,4)),VALUE(MID(AD256,6,2)),VALUE(MID(AD256,9,2))))),""))</x:f>
      </x:c>
      <x:c r="AQ256" s="24" t="str">
        <x:f>IF(AP256="","",INT('Configuration'!$B$4)-AP256)</x:f>
      </x:c>
      <x:c r="AR256" s="25" t="str">
        <x:f>IF(AP256="","Missing Required Date",IF(AQ256&lt;0,"Future Date",IF(AQ256=0,"0 days",IF(AQ256&lt;=2,"1-2 days",IF(AQ256&lt;=7,"3-7 days",IF(AQ256&lt;=14,"8-14 days",IF(AQ256&lt;=30,"15-30 days",IF(AQ256&lt;=60,"31-60 days",IF(AQ256&lt;=70,"61-70 days","71+ days")))))))))</x:f>
        <x:v>Missing Required Date</x:v>
      </x:c>
      <x:c r="AS256" s="25" t="str">
        <x:f>IF(OR(E256="processing",E256="executing",E256="pending"),IF(AP256="","Required aging date missing",IF(AQ256&gt;30,"Escalate &gt;30d",IF(AQ256&gt;14,"Watch &gt;14d","Within 14d"))),"Out of scope")</x:f>
        <x:v>Out of scope</x:v>
      </x:c>
    </x:row>
    <x:row r="257" ht="24" customHeight="1">
      <x:c r="A257" t="str">
        <x:v>32001a43-a497-4015-9108-afda626bc56d</x:v>
      </x:c>
      <x:c r="B257" t="str">
        <x:v>CSSP10353907</x:v>
      </x:c>
      <x:c r="C257" t="str">
        <x:v>amarsyafiq.azma@petronas.com</x:v>
      </x:c>
      <x:c r="D257" t="str">
        <x:v>decommission-cloud</x:v>
      </x:c>
      <x:c r="E257" t="str">
        <x:v>executing</x:v>
      </x:c>
      <x:c r="F257" t="n">
        <x:v>46203.39176262732</x:v>
      </x:c>
      <x:c r="G257" t="n">
        <x:v>46230.081224375</x:v>
      </x:c>
      <x:c r="H257" t="n">
        <x:v>46203.39176262732</x:v>
      </x:c>
      <x:c r="I257" t="str">
        <x:v>Enterprise Application Observability</x:v>
      </x:c>
      <x:c r="J257" t="str">
        <x:v>MyMinutes – 5 December 2017 (MyMinutes Subscription)</x:v>
      </x:c>
      <x:c r="K257" t="str">
        <x:v>partial</x:v>
      </x:c>
      <x:c r="L257"/>
      <x:c r="M257" t="str">
        <x:v>chewjian.shin@petronas.com</x:v>
      </x:c>
      <x:c r="N257"/>
      <x:c r="O257"/>
      <x:c r="P257" t="str">
        <x:v>Not in used</x:v>
      </x:c>
      <x:c r="Q257" t="str">
        <x:v>1M</x:v>
      </x:c>
      <x:c r="R257" t="str">
        <x:v>Not in Used</x:v>
      </x:c>
      <x:c r="S257"/>
      <x:c r="T257" t="str">
        <x:v>approved</x:v>
      </x:c>
      <x:c r="U257" t="str">
        <x:v>amarsyafiq.azma@petronas.com</x:v>
      </x:c>
      <x:c r="V257" t="n">
        <x:v>46203.39276829861</x:v>
      </x:c>
      <x:c r="W257" t="str">
        <x:v>Resource no longer in used. To be decommissioned.</x:v>
      </x:c>
      <x:c r="X257" t="str">
        <x:v>approved</x:v>
      </x:c>
      <x:c r="Y257" t="str">
        <x:v>chewjian.shin@petronas.com</x:v>
      </x:c>
      <x:c r="Z257" t="n">
        <x:v>46225.077777060185</x:v>
      </x:c>
      <x:c r="AA257" t="str">
        <x:v>Approved for Decommisioning</x:v>
      </x:c>
      <x:c r="AB257" t="str">
        <x:v>approved</x:v>
      </x:c>
      <x:c r="AC257" t="str">
        <x:v>abhishek.bhowate@petronas.com</x:v>
      </x:c>
      <x:c r="AD257" t="n">
        <x:v>46230.08122438657</x:v>
      </x:c>
      <x:c r="AE257" t="str">
        <x:v>Approve</x:v>
      </x:c>
      <x:c r="AF257"/>
      <x:c r="AG257" t="str">
        <x:v>IMS - CLOUD CSSP EXECUTOR</x:v>
      </x:c>
      <x:c r="AH257"/>
      <x:c r="AI257"/>
      <x:c r="AJ257" t="str">
        <x:v>A-000285</x:v>
      </x:c>
      <x:c r="AK257" t="str">
        <x:v>MySuiteApps</x:v>
      </x:c>
      <x:c r="AL257" t="str">
        <x:v>S</x:v>
      </x:c>
      <x:c r="AM257" t="str">
        <x:v>REQ000008194637</x:v>
      </x:c>
      <x:c r="AN257" t="str">
        <x:v>disposal</x:v>
      </x:c>
      <x:c r="AO257" t="n">
        <x:v>0</x:v>
      </x:c>
      <x:c r="AP257" s="23" t="n">
        <x:f>IF(E257="processing",IF(Z257="","",IF(ISNUMBER(Z257),INT(Z257),DATE(VALUE(LEFT(Z257,4)),VALUE(MID(Z257,6,2)),VALUE(MID(Z257,9,2))))),IF(OR(E257="executing",E257="pending"),IF(AD257="","",IF(ISNUMBER(AD257),INT(AD257),DATE(VALUE(LEFT(AD257,4)),VALUE(MID(AD257,6,2)),VALUE(MID(AD257,9,2))))),""))</x:f>
        <x:v>46230</x:v>
      </x:c>
      <x:c r="AQ257" s="24" t="n">
        <x:f>IF(AP257="","",INT('Configuration'!$B$4)-AP257)</x:f>
        <x:v>21</x:v>
      </x:c>
      <x:c r="AR257" s="25" t="str">
        <x:f>IF(AP257="","Missing Required Date",IF(AQ257&lt;0,"Future Date",IF(AQ257=0,"0 days",IF(AQ257&lt;=2,"1-2 days",IF(AQ257&lt;=7,"3-7 days",IF(AQ257&lt;=14,"8-14 days",IF(AQ257&lt;=30,"15-30 days",IF(AQ257&lt;=60,"31-60 days",IF(AQ257&lt;=70,"61-70 days","71+ days")))))))))</x:f>
        <x:v>15-30 days</x:v>
      </x:c>
      <x:c r="AS257" s="25" t="str">
        <x:f>IF(OR(E257="processing",E257="executing",E257="pending"),IF(AP257="","Required aging date missing",IF(AQ257&gt;30,"Escalate &gt;30d",IF(AQ257&gt;14,"Watch &gt;14d","Within 14d"))),"Out of scope")</x:f>
        <x:v>Watch &gt;14d</x:v>
      </x:c>
    </x:row>
    <x:row r="258" ht="24" customHeight="1">
      <x:c r="A258" t="str">
        <x:v>df6c78e2-cbc8-40fb-85a1-384398936453</x:v>
      </x:c>
      <x:c r="B258" t="str">
        <x:v>CSSP10991525</x:v>
      </x:c>
      <x:c r="C258" t="str">
        <x:v>nurainhayati.zahari@petronas.com</x:v>
      </x:c>
      <x:c r="D258" t="str">
        <x:v>decommission-cloud</x:v>
      </x:c>
      <x:c r="E258" t="str">
        <x:v>cancelled</x:v>
      </x:c>
      <x:c r="F258" t="n">
        <x:v>46204.137329537036</x:v>
      </x:c>
      <x:c r="G258" t="n">
        <x:v>46230.19834771991</x:v>
      </x:c>
      <x:c r="H258" t="n">
        <x:v>46204.137329537036</x:v>
      </x:c>
      <x:c r="I258" t="str">
        <x:v>Go Dashboard - GGO</x:v>
      </x:c>
      <x:c r="J258" t="str">
        <x:v>Development of GNE EVP Dashboard (GO Dashboard 2.0)</x:v>
      </x:c>
      <x:c r="K258" t="str">
        <x:v>partial</x:v>
      </x:c>
      <x:c r="L258"/>
      <x:c r="M258" t="str">
        <x:v>sazali.mokhtar@petronas.com.my</x:v>
      </x:c>
      <x:c r="N258"/>
      <x:c r="O258"/>
      <x:c r="P258" t="str">
        <x:v>Cloud Repatriation – Decommission old resources in SG region due to completed migration in MY region</x:v>
      </x:c>
      <x:c r="Q258" t="str">
        <x:v>2W</x:v>
      </x:c>
      <x:c r="R258" t="str">
        <x:v>Cloud Migration</x:v>
      </x:c>
      <x:c r="S258"/>
      <x:c r="T258" t="str">
        <x:v>rejected</x:v>
      </x:c>
      <x:c r="U258" t="str">
        <x:v>nurainhayati.zahari@petronas.com</x:v>
      </x:c>
      <x:c r="V258" t="n">
        <x:v>46230.19834771991</x:v>
      </x:c>
      <x:c r="W258"/>
      <x:c r="X258"/>
      <x:c r="Y258" t="str">
        <x:v>sazali.mokhtar@petronas.com</x:v>
      </x:c>
      <x:c r="Z258"/>
      <x:c r="AA258"/>
      <x:c r="AB258"/>
      <x:c r="AC258" t="str">
        <x:v>CCoE Business</x:v>
      </x:c>
      <x:c r="AD258"/>
      <x:c r="AE258"/>
      <x:c r="AF258"/>
      <x:c r="AG258" t="str">
        <x:v>CCoE Operations</x:v>
      </x:c>
      <x:c r="AH258"/>
      <x:c r="AI258"/>
      <x:c r="AJ258" t="str">
        <x:v>A-000335</x:v>
      </x:c>
      <x:c r="AK258" t="n">
        <x:v>1247</x:v>
      </x:c>
      <x:c r="AL258"/>
      <x:c r="AM258"/>
      <x:c r="AN258" t="str">
        <x:v>noretention</x:v>
      </x:c>
      <x:c r="AO258" t="n">
        <x:v>0</x:v>
      </x:c>
      <x:c r="AP258" s="23" t="str">
        <x:f>IF(E258="processing",IF(Z258="","",IF(ISNUMBER(Z258),INT(Z258),DATE(VALUE(LEFT(Z258,4)),VALUE(MID(Z258,6,2)),VALUE(MID(Z258,9,2))))),IF(OR(E258="executing",E258="pending"),IF(AD258="","",IF(ISNUMBER(AD258),INT(AD258),DATE(VALUE(LEFT(AD258,4)),VALUE(MID(AD258,6,2)),VALUE(MID(AD258,9,2))))),""))</x:f>
      </x:c>
      <x:c r="AQ258" s="24" t="str">
        <x:f>IF(AP258="","",INT('Configuration'!$B$4)-AP258)</x:f>
      </x:c>
      <x:c r="AR258" s="25" t="str">
        <x:f>IF(AP258="","Missing Required Date",IF(AQ258&lt;0,"Future Date",IF(AQ258=0,"0 days",IF(AQ258&lt;=2,"1-2 days",IF(AQ258&lt;=7,"3-7 days",IF(AQ258&lt;=14,"8-14 days",IF(AQ258&lt;=30,"15-30 days",IF(AQ258&lt;=60,"31-60 days",IF(AQ258&lt;=70,"61-70 days","71+ days")))))))))</x:f>
        <x:v>Missing Required Date</x:v>
      </x:c>
      <x:c r="AS258" s="25" t="str">
        <x:f>IF(OR(E258="processing",E258="executing",E258="pending"),IF(AP258="","Required aging date missing",IF(AQ258&gt;30,"Escalate &gt;30d",IF(AQ258&gt;14,"Watch &gt;14d","Within 14d"))),"Out of scope")</x:f>
        <x:v>Out of scope</x:v>
      </x:c>
    </x:row>
    <x:row r="259" ht="24" customHeight="1">
      <x:c r="A259" t="str">
        <x:v>b9bef78c-c399-46d9-bf73-b16bdc7151d2</x:v>
      </x:c>
      <x:c r="B259" t="str">
        <x:v>CSSP10854464</x:v>
      </x:c>
      <x:c r="C259" t="str">
        <x:v>nurainhayati.zahari@petronas.com</x:v>
      </x:c>
      <x:c r="D259" t="str">
        <x:v>decommission-cloud</x:v>
      </x:c>
      <x:c r="E259" t="str">
        <x:v>cancelled</x:v>
      </x:c>
      <x:c r="F259" t="n">
        <x:v>46204.14408798611</x:v>
      </x:c>
      <x:c r="G259" t="n">
        <x:v>46204.14461372685</x:v>
      </x:c>
      <x:c r="H259" t="n">
        <x:v>46204.14408798611</x:v>
      </x:c>
      <x:c r="I259" t="str">
        <x:v>Go Dashboard - GGO</x:v>
      </x:c>
      <x:c r="J259" t="str">
        <x:v>GO Dashboard Improvement (Common Features)</x:v>
      </x:c>
      <x:c r="K259" t="str">
        <x:v>partial</x:v>
      </x:c>
      <x:c r="L259"/>
      <x:c r="M259" t="str">
        <x:v>sazali.mokhtar@petronas.com.my</x:v>
      </x:c>
      <x:c r="N259"/>
      <x:c r="O259"/>
      <x:c r="P259" t="str">
        <x:v>Cloud Repatriation – Decommission old resources in SG region due to completed migration in MY region</x:v>
      </x:c>
      <x:c r="Q259" t="str">
        <x:v>2W</x:v>
      </x:c>
      <x:c r="R259" t="str">
        <x:v>Cloud Migration</x:v>
      </x:c>
      <x:c r="S259"/>
      <x:c r="T259" t="str">
        <x:v>rejected</x:v>
      </x:c>
      <x:c r="U259" t="str">
        <x:v>nurainhayati.zahari@petronas.com</x:v>
      </x:c>
      <x:c r="V259" t="n">
        <x:v>46204.14461372685</x:v>
      </x:c>
      <x:c r="W259"/>
      <x:c r="X259"/>
      <x:c r="Y259" t="str">
        <x:v>sazali.mokhtar@petronas.com</x:v>
      </x:c>
      <x:c r="Z259"/>
      <x:c r="AA259"/>
      <x:c r="AB259"/>
      <x:c r="AC259" t="str">
        <x:v>CCoE Business</x:v>
      </x:c>
      <x:c r="AD259"/>
      <x:c r="AE259"/>
      <x:c r="AF259"/>
      <x:c r="AG259" t="str">
        <x:v>CCoE Operations</x:v>
      </x:c>
      <x:c r="AH259"/>
      <x:c r="AI259"/>
      <x:c r="AJ259" t="str">
        <x:v>A-000335</x:v>
      </x:c>
      <x:c r="AK259" t="n">
        <x:v>1818</x:v>
      </x:c>
      <x:c r="AL259"/>
      <x:c r="AM259"/>
      <x:c r="AN259" t="str">
        <x:v>noretention</x:v>
      </x:c>
      <x:c r="AO259" t="n">
        <x:v>0</x:v>
      </x:c>
      <x:c r="AP259" s="23" t="str">
        <x:f>IF(E259="processing",IF(Z259="","",IF(ISNUMBER(Z259),INT(Z259),DATE(VALUE(LEFT(Z259,4)),VALUE(MID(Z259,6,2)),VALUE(MID(Z259,9,2))))),IF(OR(E259="executing",E259="pending"),IF(AD259="","",IF(ISNUMBER(AD259),INT(AD259),DATE(VALUE(LEFT(AD259,4)),VALUE(MID(AD259,6,2)),VALUE(MID(AD259,9,2))))),""))</x:f>
      </x:c>
      <x:c r="AQ259" s="24" t="str">
        <x:f>IF(AP259="","",INT('Configuration'!$B$4)-AP259)</x:f>
      </x:c>
      <x:c r="AR259" s="25" t="str">
        <x:f>IF(AP259="","Missing Required Date",IF(AQ259&lt;0,"Future Date",IF(AQ259=0,"0 days",IF(AQ259&lt;=2,"1-2 days",IF(AQ259&lt;=7,"3-7 days",IF(AQ259&lt;=14,"8-14 days",IF(AQ259&lt;=30,"15-30 days",IF(AQ259&lt;=60,"31-60 days",IF(AQ259&lt;=70,"61-70 days","71+ days")))))))))</x:f>
        <x:v>Missing Required Date</x:v>
      </x:c>
      <x:c r="AS259" s="25" t="str">
        <x:f>IF(OR(E259="processing",E259="executing",E259="pending"),IF(AP259="","Required aging date missing",IF(AQ259&gt;30,"Escalate &gt;30d",IF(AQ259&gt;14,"Watch &gt;14d","Within 14d"))),"Out of scope")</x:f>
        <x:v>Out of scope</x:v>
      </x:c>
    </x:row>
    <x:row r="260" ht="24" customHeight="1">
      <x:c r="A260" t="str">
        <x:v>43e89e21-82d9-4fa3-988c-325065c64dd7</x:v>
      </x:c>
      <x:c r="B260" t="str">
        <x:v>CSSP10151472</x:v>
      </x:c>
      <x:c r="C260" t="str">
        <x:v>nurainhayati.zahari@petronas.com</x:v>
      </x:c>
      <x:c r="D260" t="str">
        <x:v>decommission-cloud</x:v>
      </x:c>
      <x:c r="E260" t="str">
        <x:v>rejected</x:v>
      </x:c>
      <x:c r="F260" t="n">
        <x:v>46204.14566396991</x:v>
      </x:c>
      <x:c r="G260" t="n">
        <x:v>46220.04358488426</x:v>
      </x:c>
      <x:c r="H260" t="n">
        <x:v>46204.14566396991</x:v>
      </x:c>
      <x:c r="I260" t="str">
        <x:v>Go Dashboard - GGO</x:v>
      </x:c>
      <x:c r="J260" t="str">
        <x:v>GO Dashboard DevOps 2025</x:v>
      </x:c>
      <x:c r="K260" t="str">
        <x:v>partial</x:v>
      </x:c>
      <x:c r="L260"/>
      <x:c r="M260" t="str">
        <x:v>sazali.mokhtar@petronas.com.my</x:v>
      </x:c>
      <x:c r="N260"/>
      <x:c r="O260"/>
      <x:c r="P260" t="str">
        <x:v>Cloud Repatriation – Decommission old resources in SG region due to completed migration in MY region</x:v>
      </x:c>
      <x:c r="Q260" t="str">
        <x:v>2W</x:v>
      </x:c>
      <x:c r="R260" t="str">
        <x:v>Cloud Migration</x:v>
      </x:c>
      <x:c r="S260"/>
      <x:c r="T260" t="str">
        <x:v>rejected</x:v>
      </x:c>
      <x:c r="U260" t="str">
        <x:v>nurainhayati.zahari@petronas.com</x:v>
      </x:c>
      <x:c r="V260" t="n">
        <x:v>46220.04242222222</x:v>
      </x:c>
      <x:c r="W260"/>
      <x:c r="X260" t="str">
        <x:v>rejected</x:v>
      </x:c>
      <x:c r="Y260" t="str">
        <x:v>nurainhayati.zahari@petronas.com</x:v>
      </x:c>
      <x:c r="Z260" t="n">
        <x:v>46220.04358488426</x:v>
      </x:c>
      <x:c r="AA260"/>
      <x:c r="AB260"/>
      <x:c r="AC260" t="str">
        <x:v>CCoE Business</x:v>
      </x:c>
      <x:c r="AD260"/>
      <x:c r="AE260"/>
      <x:c r="AF260"/>
      <x:c r="AG260" t="str">
        <x:v>CCoE Operations</x:v>
      </x:c>
      <x:c r="AH260"/>
      <x:c r="AI260"/>
      <x:c r="AJ260" t="str">
        <x:v>A-000335</x:v>
      </x:c>
      <x:c r="AK260" t="n">
        <x:v>4640</x:v>
      </x:c>
      <x:c r="AL260"/>
      <x:c r="AM260"/>
      <x:c r="AN260" t="str">
        <x:v>noretention</x:v>
      </x:c>
      <x:c r="AO260" t="n">
        <x:v>0</x:v>
      </x:c>
      <x:c r="AP260" s="23" t="str">
        <x:f>IF(E260="processing",IF(Z260="","",IF(ISNUMBER(Z260),INT(Z260),DATE(VALUE(LEFT(Z260,4)),VALUE(MID(Z260,6,2)),VALUE(MID(Z260,9,2))))),IF(OR(E260="executing",E260="pending"),IF(AD260="","",IF(ISNUMBER(AD260),INT(AD260),DATE(VALUE(LEFT(AD260,4)),VALUE(MID(AD260,6,2)),VALUE(MID(AD260,9,2))))),""))</x:f>
      </x:c>
      <x:c r="AQ260" s="24" t="str">
        <x:f>IF(AP260="","",INT('Configuration'!$B$4)-AP260)</x:f>
      </x:c>
      <x:c r="AR260" s="25" t="str">
        <x:f>IF(AP260="","Missing Required Date",IF(AQ260&lt;0,"Future Date",IF(AQ260=0,"0 days",IF(AQ260&lt;=2,"1-2 days",IF(AQ260&lt;=7,"3-7 days",IF(AQ260&lt;=14,"8-14 days",IF(AQ260&lt;=30,"15-30 days",IF(AQ260&lt;=60,"31-60 days",IF(AQ260&lt;=70,"61-70 days","71+ days")))))))))</x:f>
        <x:v>Missing Required Date</x:v>
      </x:c>
      <x:c r="AS260" s="25" t="str">
        <x:f>IF(OR(E260="processing",E260="executing",E260="pending"),IF(AP260="","Required aging date missing",IF(AQ260&gt;30,"Escalate &gt;30d",IF(AQ260&gt;14,"Watch &gt;14d","Within 14d"))),"Out of scope")</x:f>
        <x:v>Out of scope</x:v>
      </x:c>
    </x:row>
    <x:row r="261" ht="24" customHeight="1">
      <x:c r="A261" t="str">
        <x:v>fded97f7-898a-49e1-b549-5d5a1090c5bc</x:v>
      </x:c>
      <x:c r="B261" t="str">
        <x:v>CSSP10900385</x:v>
      </x:c>
      <x:c r="C261" t="str">
        <x:v>nurainhayati.zahari@petronas.com</x:v>
      </x:c>
      <x:c r="D261" t="str">
        <x:v>decommission-cloud</x:v>
      </x:c>
      <x:c r="E261" t="str">
        <x:v>cancelled</x:v>
      </x:c>
      <x:c r="F261" t="n">
        <x:v>46204.14581540509</x:v>
      </x:c>
      <x:c r="G261" t="n">
        <x:v>46220.042647152775</x:v>
      </x:c>
      <x:c r="H261" t="n">
        <x:v>46204.14581540509</x:v>
      </x:c>
      <x:c r="I261" t="str">
        <x:v>Go Dashboard - GGO</x:v>
      </x:c>
      <x:c r="J261" t="str">
        <x:v>CTP Old to New LZ - Go Dashboard</x:v>
      </x:c>
      <x:c r="K261" t="str">
        <x:v>partial</x:v>
      </x:c>
      <x:c r="L261"/>
      <x:c r="M261" t="str">
        <x:v>sazali.mokhtar@petronas.com.my</x:v>
      </x:c>
      <x:c r="N261"/>
      <x:c r="O261"/>
      <x:c r="P261" t="str">
        <x:v>Cloud Repatriation – Decommission old resources in SG region due to completed migration in MY region</x:v>
      </x:c>
      <x:c r="Q261" t="str">
        <x:v>2W</x:v>
      </x:c>
      <x:c r="R261" t="str">
        <x:v>Cloud Migration</x:v>
      </x:c>
      <x:c r="S261"/>
      <x:c r="T261" t="str">
        <x:v>rejected</x:v>
      </x:c>
      <x:c r="U261" t="str">
        <x:v>nurainhayati.zahari@petronas.com</x:v>
      </x:c>
      <x:c r="V261" t="n">
        <x:v>46220.042647152775</x:v>
      </x:c>
      <x:c r="W261"/>
      <x:c r="X261"/>
      <x:c r="Y261" t="str">
        <x:v>sazali.mokhtar@petronas.com</x:v>
      </x:c>
      <x:c r="Z261"/>
      <x:c r="AA261"/>
      <x:c r="AB261"/>
      <x:c r="AC261" t="str">
        <x:v>CCoE Business</x:v>
      </x:c>
      <x:c r="AD261"/>
      <x:c r="AE261"/>
      <x:c r="AF261"/>
      <x:c r="AG261" t="str">
        <x:v>CCoE Operations</x:v>
      </x:c>
      <x:c r="AH261"/>
      <x:c r="AI261"/>
      <x:c r="AJ261" t="str">
        <x:v>A-000335</x:v>
      </x:c>
      <x:c r="AK261" t="str">
        <x:v>02421_27</x:v>
      </x:c>
      <x:c r="AL261"/>
      <x:c r="AM261"/>
      <x:c r="AN261" t="str">
        <x:v>noretention</x:v>
      </x:c>
      <x:c r="AO261" t="n">
        <x:v>0</x:v>
      </x:c>
      <x:c r="AP261" s="23" t="str">
        <x:f>IF(E261="processing",IF(Z261="","",IF(ISNUMBER(Z261),INT(Z261),DATE(VALUE(LEFT(Z261,4)),VALUE(MID(Z261,6,2)),VALUE(MID(Z261,9,2))))),IF(OR(E261="executing",E261="pending"),IF(AD261="","",IF(ISNUMBER(AD261),INT(AD261),DATE(VALUE(LEFT(AD261,4)),VALUE(MID(AD261,6,2)),VALUE(MID(AD261,9,2))))),""))</x:f>
      </x:c>
      <x:c r="AQ261" s="24" t="str">
        <x:f>IF(AP261="","",INT('Configuration'!$B$4)-AP261)</x:f>
      </x:c>
      <x:c r="AR261" s="25" t="str">
        <x:f>IF(AP261="","Missing Required Date",IF(AQ261&lt;0,"Future Date",IF(AQ261=0,"0 days",IF(AQ261&lt;=2,"1-2 days",IF(AQ261&lt;=7,"3-7 days",IF(AQ261&lt;=14,"8-14 days",IF(AQ261&lt;=30,"15-30 days",IF(AQ261&lt;=60,"31-60 days",IF(AQ261&lt;=70,"61-70 days","71+ days")))))))))</x:f>
        <x:v>Missing Required Date</x:v>
      </x:c>
      <x:c r="AS261" s="25" t="str">
        <x:f>IF(OR(E261="processing",E261="executing",E261="pending"),IF(AP261="","Required aging date missing",IF(AQ261&gt;30,"Escalate &gt;30d",IF(AQ261&gt;14,"Watch &gt;14d","Within 14d"))),"Out of scope")</x:f>
        <x:v>Out of scope</x:v>
      </x:c>
    </x:row>
    <x:row r="262" ht="24" customHeight="1">
      <x:c r="A262" t="str">
        <x:v>0d47a219-a16b-4002-836f-e37ea76e0949</x:v>
      </x:c>
      <x:c r="B262" t="str">
        <x:v>CSSP10928550</x:v>
      </x:c>
      <x:c r="C262" t="str">
        <x:v>nurainhayati.zahari@petronas.com</x:v>
      </x:c>
      <x:c r="D262" t="str">
        <x:v>decommission-cloud</x:v>
      </x:c>
      <x:c r="E262" t="str">
        <x:v>rejected</x:v>
      </x:c>
      <x:c r="F262" t="n">
        <x:v>46204.15037319445</x:v>
      </x:c>
      <x:c r="G262" t="n">
        <x:v>46220.04511888889</x:v>
      </x:c>
      <x:c r="H262" t="n">
        <x:v>46204.15037319445</x:v>
      </x:c>
      <x:c r="I262" t="str">
        <x:v>Go Dashboard - GGO</x:v>
      </x:c>
      <x:c r="J262" t="str">
        <x:v>GO Dashboard DevOps 2025</x:v>
      </x:c>
      <x:c r="K262" t="str">
        <x:v>partial</x:v>
      </x:c>
      <x:c r="L262"/>
      <x:c r="M262" t="str">
        <x:v>sazali.mokhtar@petronas.com.my</x:v>
      </x:c>
      <x:c r="N262"/>
      <x:c r="O262"/>
      <x:c r="P262" t="str">
        <x:v>Cloud Repatriation – Decommission old resources in SG region due to completed migration in MY region</x:v>
      </x:c>
      <x:c r="Q262" t="str">
        <x:v>2W</x:v>
      </x:c>
      <x:c r="R262" t="str">
        <x:v>Cloud Migration</x:v>
      </x:c>
      <x:c r="S262"/>
      <x:c r="T262" t="str">
        <x:v>rejected</x:v>
      </x:c>
      <x:c r="U262" t="str">
        <x:v>nurainhayati.zahari@petronas.com</x:v>
      </x:c>
      <x:c r="V262" t="n">
        <x:v>46220.043997465276</x:v>
      </x:c>
      <x:c r="W262"/>
      <x:c r="X262" t="str">
        <x:v>rejected</x:v>
      </x:c>
      <x:c r="Y262" t="str">
        <x:v>nurainhayati.zahari@petronas.com</x:v>
      </x:c>
      <x:c r="Z262" t="n">
        <x:v>46220.04433289352</x:v>
      </x:c>
      <x:c r="AA262"/>
      <x:c r="AB262" t="str">
        <x:v>rejected</x:v>
      </x:c>
      <x:c r="AC262" t="str">
        <x:v>nurainhayati.zahari@petronas.com</x:v>
      </x:c>
      <x:c r="AD262" t="n">
        <x:v>46220.044739467594</x:v>
      </x:c>
      <x:c r="AE262"/>
      <x:c r="AF262" t="str">
        <x:v>rejected</x:v>
      </x:c>
      <x:c r="AG262" t="str">
        <x:v>nurainhayati.zahari@petronas.com</x:v>
      </x:c>
      <x:c r="AH262" t="n">
        <x:v>46220.04511890046</x:v>
      </x:c>
      <x:c r="AI262"/>
      <x:c r="AJ262" t="str">
        <x:v>A-000335</x:v>
      </x:c>
      <x:c r="AK262" t="n">
        <x:v>4640</x:v>
      </x:c>
      <x:c r="AL262"/>
      <x:c r="AM262"/>
      <x:c r="AN262" t="str">
        <x:v>noretention</x:v>
      </x:c>
      <x:c r="AO262" t="n">
        <x:v>0</x:v>
      </x:c>
      <x:c r="AP262" s="23" t="str">
        <x:f>IF(E262="processing",IF(Z262="","",IF(ISNUMBER(Z262),INT(Z262),DATE(VALUE(LEFT(Z262,4)),VALUE(MID(Z262,6,2)),VALUE(MID(Z262,9,2))))),IF(OR(E262="executing",E262="pending"),IF(AD262="","",IF(ISNUMBER(AD262),INT(AD262),DATE(VALUE(LEFT(AD262,4)),VALUE(MID(AD262,6,2)),VALUE(MID(AD262,9,2))))),""))</x:f>
      </x:c>
      <x:c r="AQ262" s="24" t="str">
        <x:f>IF(AP262="","",INT('Configuration'!$B$4)-AP262)</x:f>
      </x:c>
      <x:c r="AR262" s="25" t="str">
        <x:f>IF(AP262="","Missing Required Date",IF(AQ262&lt;0,"Future Date",IF(AQ262=0,"0 days",IF(AQ262&lt;=2,"1-2 days",IF(AQ262&lt;=7,"3-7 days",IF(AQ262&lt;=14,"8-14 days",IF(AQ262&lt;=30,"15-30 days",IF(AQ262&lt;=60,"31-60 days",IF(AQ262&lt;=70,"61-70 days","71+ days")))))))))</x:f>
        <x:v>Missing Required Date</x:v>
      </x:c>
      <x:c r="AS262" s="25" t="str">
        <x:f>IF(OR(E262="processing",E262="executing",E262="pending"),IF(AP262="","Required aging date missing",IF(AQ262&gt;30,"Escalate &gt;30d",IF(AQ262&gt;14,"Watch &gt;14d","Within 14d"))),"Out of scope")</x:f>
        <x:v>Out of scope</x:v>
      </x:c>
    </x:row>
    <x:row r="263" ht="24" customHeight="1">
      <x:c r="A263" t="str">
        <x:v>eaba3816-241f-4731-a077-79c99978bbed</x:v>
      </x:c>
      <x:c r="B263" t="str">
        <x:v>CSSP10870364</x:v>
      </x:c>
      <x:c r="C263" t="str">
        <x:v>nurainhayati.zahari@petronas.com</x:v>
      </x:c>
      <x:c r="D263" t="str">
        <x:v>decommission-cloud</x:v>
      </x:c>
      <x:c r="E263" t="str">
        <x:v>rejected</x:v>
      </x:c>
      <x:c r="F263" t="n">
        <x:v>46204.15038699074</x:v>
      </x:c>
      <x:c r="G263" t="n">
        <x:v>46220.04334096065</x:v>
      </x:c>
      <x:c r="H263" t="n">
        <x:v>46204.15038699074</x:v>
      </x:c>
      <x:c r="I263" t="str">
        <x:v>Go Dashboard - GGO</x:v>
      </x:c>
      <x:c r="J263" t="str">
        <x:v>CTP Old to New LZ - Go Dashboard</x:v>
      </x:c>
      <x:c r="K263" t="str">
        <x:v>partial</x:v>
      </x:c>
      <x:c r="L263"/>
      <x:c r="M263" t="str">
        <x:v>sazali.mokhtar@petronas.com.my</x:v>
      </x:c>
      <x:c r="N263"/>
      <x:c r="O263"/>
      <x:c r="P263" t="str">
        <x:v>Cloud Repatriation – Decommission old resources in SG region due to completed migration in MY region</x:v>
      </x:c>
      <x:c r="Q263" t="str">
        <x:v>2W</x:v>
      </x:c>
      <x:c r="R263" t="str">
        <x:v>Cloud Migration</x:v>
      </x:c>
      <x:c r="S263"/>
      <x:c r="T263" t="str">
        <x:v>rejected</x:v>
      </x:c>
      <x:c r="U263" t="str">
        <x:v>nurainhayati.zahari@petronas.com</x:v>
      </x:c>
      <x:c r="V263" t="n">
        <x:v>46220.042039837965</x:v>
      </x:c>
      <x:c r="W263"/>
      <x:c r="X263" t="str">
        <x:v>rejected</x:v>
      </x:c>
      <x:c r="Y263" t="str">
        <x:v>nurainhayati.zahari@petronas.com</x:v>
      </x:c>
      <x:c r="Z263" t="n">
        <x:v>46220.04334096065</x:v>
      </x:c>
      <x:c r="AA263"/>
      <x:c r="AB263"/>
      <x:c r="AC263" t="str">
        <x:v>CCoE Business</x:v>
      </x:c>
      <x:c r="AD263"/>
      <x:c r="AE263"/>
      <x:c r="AF263"/>
      <x:c r="AG263" t="str">
        <x:v>CCoE Operations</x:v>
      </x:c>
      <x:c r="AH263"/>
      <x:c r="AI263"/>
      <x:c r="AJ263" t="str">
        <x:v>A-000335</x:v>
      </x:c>
      <x:c r="AK263" t="str">
        <x:v>02421_27</x:v>
      </x:c>
      <x:c r="AL263"/>
      <x:c r="AM263"/>
      <x:c r="AN263" t="str">
        <x:v>noretention</x:v>
      </x:c>
      <x:c r="AO263" t="n">
        <x:v>0</x:v>
      </x:c>
      <x:c r="AP263" s="23" t="str">
        <x:f>IF(E263="processing",IF(Z263="","",IF(ISNUMBER(Z263),INT(Z263),DATE(VALUE(LEFT(Z263,4)),VALUE(MID(Z263,6,2)),VALUE(MID(Z263,9,2))))),IF(OR(E263="executing",E263="pending"),IF(AD263="","",IF(ISNUMBER(AD263),INT(AD263),DATE(VALUE(LEFT(AD263,4)),VALUE(MID(AD263,6,2)),VALUE(MID(AD263,9,2))))),""))</x:f>
      </x:c>
      <x:c r="AQ263" s="24" t="str">
        <x:f>IF(AP263="","",INT('Configuration'!$B$4)-AP263)</x:f>
      </x:c>
      <x:c r="AR263" s="25" t="str">
        <x:f>IF(AP263="","Missing Required Date",IF(AQ263&lt;0,"Future Date",IF(AQ263=0,"0 days",IF(AQ263&lt;=2,"1-2 days",IF(AQ263&lt;=7,"3-7 days",IF(AQ263&lt;=14,"8-14 days",IF(AQ263&lt;=30,"15-30 days",IF(AQ263&lt;=60,"31-60 days",IF(AQ263&lt;=70,"61-70 days","71+ days")))))))))</x:f>
        <x:v>Missing Required Date</x:v>
      </x:c>
      <x:c r="AS263" s="25" t="str">
        <x:f>IF(OR(E263="processing",E263="executing",E263="pending"),IF(AP263="","Required aging date missing",IF(AQ263&gt;30,"Escalate &gt;30d",IF(AQ263&gt;14,"Watch &gt;14d","Within 14d"))),"Out of scope")</x:f>
        <x:v>Out of scope</x:v>
      </x:c>
    </x:row>
    <x:row r="264" ht="24" customHeight="1">
      <x:c r="A264" t="str">
        <x:v>bc000242-6c65-4d29-81ca-ece799b93a85</x:v>
      </x:c>
      <x:c r="B264" t="str">
        <x:v>CSSP10183688</x:v>
      </x:c>
      <x:c r="C264" t="str">
        <x:v>nurainhayati.zahari@petronas.com</x:v>
      </x:c>
      <x:c r="D264" t="str">
        <x:v>decommission-cloud</x:v>
      </x:c>
      <x:c r="E264" t="str">
        <x:v>executing</x:v>
      </x:c>
      <x:c r="F264" t="n">
        <x:v>46204.16273069444</x:v>
      </x:c>
      <x:c r="G264" t="n">
        <x:v>46222.871260231484</x:v>
      </x:c>
      <x:c r="H264" t="n">
        <x:v>46204.16273069444</x:v>
      </x:c>
      <x:c r="I264" t="str">
        <x:v>Go Dashboard - GGO</x:v>
      </x:c>
      <x:c r="J264" t="str">
        <x:v>CTP Old to New LZ - Go Dashboard</x:v>
      </x:c>
      <x:c r="K264" t="str">
        <x:v>partial</x:v>
      </x:c>
      <x:c r="L264"/>
      <x:c r="M264" t="str">
        <x:v>sazali.mokhtar@petronas.com.my</x:v>
      </x:c>
      <x:c r="N264"/>
      <x:c r="O264"/>
      <x:c r="P264" t="str">
        <x:v>Cloud Repatriation – Decommission old resources in SG region due to completed migration in MY region</x:v>
      </x:c>
      <x:c r="Q264" t="str">
        <x:v>2W</x:v>
      </x:c>
      <x:c r="R264" t="str">
        <x:v>Cloud Migration</x:v>
      </x:c>
      <x:c r="S264"/>
      <x:c r="T264" t="str">
        <x:v>approved</x:v>
      </x:c>
      <x:c r="U264" t="str">
        <x:v>nurainhayati.zahari@petronas.com</x:v>
      </x:c>
      <x:c r="V264" t="n">
        <x:v>46204.16454025463</x:v>
      </x:c>
      <x:c r="W264" t="str">
        <x:v>Cloud Repatriation – Decommission old resources in SG region due to completed migration in MY region</x:v>
      </x:c>
      <x:c r="X264" t="str">
        <x:v>approved</x:v>
      </x:c>
      <x:c r="Y264" t="str">
        <x:v>sazali.mokhtar@petronas.com</x:v>
      </x:c>
      <x:c r="Z264" t="n">
        <x:v>46204.18380600694</x:v>
      </x:c>
      <x:c r="AA264" t="str">
        <x:v>Cloud Repatriation – Decommission old resources in SG region due to completed migration in MY region</x:v>
      </x:c>
      <x:c r="AB264" t="str">
        <x:v>approved</x:v>
      </x:c>
      <x:c r="AC264" t="str">
        <x:v>abhishek.bhowate@petronas.com</x:v>
      </x:c>
      <x:c r="AD264" t="n">
        <x:v>46222.87126025463</x:v>
      </x:c>
      <x:c r="AE264" t="str">
        <x:v>Approve</x:v>
      </x:c>
      <x:c r="AF264"/>
      <x:c r="AG264" t="str">
        <x:v>swaminadh.chirakala@petronas.com</x:v>
      </x:c>
      <x:c r="AH264"/>
      <x:c r="AI264"/>
      <x:c r="AJ264" t="str">
        <x:v>A-000335</x:v>
      </x:c>
      <x:c r="AK264" t="str">
        <x:v>02421_27</x:v>
      </x:c>
      <x:c r="AL264" t="str">
        <x:v>L</x:v>
      </x:c>
      <x:c r="AM264" t="str">
        <x:v>REQ000008178978</x:v>
      </x:c>
      <x:c r="AN264" t="str">
        <x:v>noretention</x:v>
      </x:c>
      <x:c r="AO264" t="n">
        <x:v>0</x:v>
      </x:c>
      <x:c r="AP264" s="23" t="n">
        <x:f>IF(E264="processing",IF(Z264="","",IF(ISNUMBER(Z264),INT(Z264),DATE(VALUE(LEFT(Z264,4)),VALUE(MID(Z264,6,2)),VALUE(MID(Z264,9,2))))),IF(OR(E264="executing",E264="pending"),IF(AD264="","",IF(ISNUMBER(AD264),INT(AD264),DATE(VALUE(LEFT(AD264,4)),VALUE(MID(AD264,6,2)),VALUE(MID(AD264,9,2))))),""))</x:f>
        <x:v>46222</x:v>
      </x:c>
      <x:c r="AQ264" s="24" t="n">
        <x:f>IF(AP264="","",INT('Configuration'!$B$4)-AP264)</x:f>
        <x:v>29</x:v>
      </x:c>
      <x:c r="AR264" s="25" t="str">
        <x:f>IF(AP264="","Missing Required Date",IF(AQ264&lt;0,"Future Date",IF(AQ264=0,"0 days",IF(AQ264&lt;=2,"1-2 days",IF(AQ264&lt;=7,"3-7 days",IF(AQ264&lt;=14,"8-14 days",IF(AQ264&lt;=30,"15-30 days",IF(AQ264&lt;=60,"31-60 days",IF(AQ264&lt;=70,"61-70 days","71+ days")))))))))</x:f>
        <x:v>15-30 days</x:v>
      </x:c>
      <x:c r="AS264" s="25" t="str">
        <x:f>IF(OR(E264="processing",E264="executing",E264="pending"),IF(AP264="","Required aging date missing",IF(AQ264&gt;30,"Escalate &gt;30d",IF(AQ264&gt;14,"Watch &gt;14d","Within 14d"))),"Out of scope")</x:f>
        <x:v>Watch &gt;14d</x:v>
      </x:c>
    </x:row>
    <x:row r="265" ht="24" customHeight="1">
      <x:c r="A265" t="str">
        <x:v>6a4092a7-1ec0-4549-b5c6-8f6debfc48a7</x:v>
      </x:c>
      <x:c r="B265" t="str">
        <x:v>CSSP10908021</x:v>
      </x:c>
      <x:c r="C265" t="str">
        <x:v>nurainhayati.zahari@petronas.com</x:v>
      </x:c>
      <x:c r="D265" t="str">
        <x:v>decommission-cloud</x:v>
      </x:c>
      <x:c r="E265" t="str">
        <x:v>completed</x:v>
      </x:c>
      <x:c r="F265" t="n">
        <x:v>46204.17052630787</x:v>
      </x:c>
      <x:c r="G265" t="n">
        <x:v>46232.17943157408</x:v>
      </x:c>
      <x:c r="H265" t="n">
        <x:v>46204.17052630787</x:v>
      </x:c>
      <x:c r="I265" t="str">
        <x:v>Oil Logistics Accounting and Shipping System - OAS</x:v>
      </x:c>
      <x:c r="J265" t="str">
        <x:v>OCI MIGRATION - OAS Billing System, ODM Tank Browser, Oil Logistics, Accounting and Shipping System (OAS) Prod</x:v>
      </x:c>
      <x:c r="K265" t="str">
        <x:v>partial</x:v>
      </x:c>
      <x:c r="L265"/>
      <x:c r="M265" t="str">
        <x:v>sazali.mokhtar@petronas.com.my</x:v>
      </x:c>
      <x:c r="N265"/>
      <x:c r="O265"/>
      <x:c r="P265" t="str">
        <x:v>Cloud Repatriation - Decommission old resources in SG region due to completed migration in MY region</x:v>
      </x:c>
      <x:c r="Q265" t="str">
        <x:v>2W</x:v>
      </x:c>
      <x:c r="R265" t="str">
        <x:v>Cloud Migration</x:v>
      </x:c>
      <x:c r="S265"/>
      <x:c r="T265" t="str">
        <x:v>approved</x:v>
      </x:c>
      <x:c r="U265" t="str">
        <x:v>nurainhayati.zahari@petronas.com</x:v>
      </x:c>
      <x:c r="V265" t="n">
        <x:v>46204.17072877315</x:v>
      </x:c>
      <x:c r="W265" t="str">
        <x:v>Cloud Repatriation - Decommission old resources in SG region due to completed migration in MY region</x:v>
      </x:c>
      <x:c r="X265" t="str">
        <x:v>approved</x:v>
      </x:c>
      <x:c r="Y265" t="str">
        <x:v>sazali.mokhtar@petronas.com</x:v>
      </x:c>
      <x:c r="Z265" t="n">
        <x:v>46204.18408857639</x:v>
      </x:c>
      <x:c r="AA265" t="str">
        <x:v>Cloud Repatriation - Decommission old resources in SG region due to completed migration in MY region</x:v>
      </x:c>
      <x:c r="AB265" t="str">
        <x:v>approved</x:v>
      </x:c>
      <x:c r="AC265" t="str">
        <x:v>abhishek.bhowate@petronas.com</x:v>
      </x:c>
      <x:c r="AD265" t="n">
        <x:v>46220.25117841435</x:v>
      </x:c>
      <x:c r="AE265" t="str">
        <x:v>okay</x:v>
      </x:c>
      <x:c r="AF265" t="str">
        <x:v>approved</x:v>
      </x:c>
      <x:c r="AG265" t="str">
        <x:v>swaminadh.chirakala@petronas.com</x:v>
      </x:c>
      <x:c r="AH265" t="n">
        <x:v>46232.17943157408</x:v>
      </x:c>
      <x:c r="AI265" t="str">
        <x:v>Decommissioning of the mentioned resources has been performed successfully during the execution of RFC. Hence closing the request.</x:v>
      </x:c>
      <x:c r="AJ265" t="str">
        <x:v>A-000509</x:v>
      </x:c>
      <x:c r="AK265" t="str">
        <x:v>OCI-00035</x:v>
      </x:c>
      <x:c r="AL265" t="str">
        <x:v>M</x:v>
      </x:c>
      <x:c r="AM265" t="str">
        <x:v>REQ000008176356</x:v>
      </x:c>
      <x:c r="AN265" t="str">
        <x:v>noretention</x:v>
      </x:c>
      <x:c r="AO265" t="n">
        <x:v>0</x:v>
      </x:c>
      <x:c r="AP265" s="23" t="str">
        <x:f>IF(E265="processing",IF(Z265="","",IF(ISNUMBER(Z265),INT(Z265),DATE(VALUE(LEFT(Z265,4)),VALUE(MID(Z265,6,2)),VALUE(MID(Z265,9,2))))),IF(OR(E265="executing",E265="pending"),IF(AD265="","",IF(ISNUMBER(AD265),INT(AD265),DATE(VALUE(LEFT(AD265,4)),VALUE(MID(AD265,6,2)),VALUE(MID(AD265,9,2))))),""))</x:f>
      </x:c>
      <x:c r="AQ265" s="24" t="str">
        <x:f>IF(AP265="","",INT('Configuration'!$B$4)-AP265)</x:f>
      </x:c>
      <x:c r="AR265" s="25" t="str">
        <x:f>IF(AP265="","Missing Required Date",IF(AQ265&lt;0,"Future Date",IF(AQ265=0,"0 days",IF(AQ265&lt;=2,"1-2 days",IF(AQ265&lt;=7,"3-7 days",IF(AQ265&lt;=14,"8-14 days",IF(AQ265&lt;=30,"15-30 days",IF(AQ265&lt;=60,"31-60 days",IF(AQ265&lt;=70,"61-70 days","71+ days")))))))))</x:f>
        <x:v>Missing Required Date</x:v>
      </x:c>
      <x:c r="AS265" s="25" t="str">
        <x:f>IF(OR(E265="processing",E265="executing",E265="pending"),IF(AP265="","Required aging date missing",IF(AQ265&gt;30,"Escalate &gt;30d",IF(AQ265&gt;14,"Watch &gt;14d","Within 14d"))),"Out of scope")</x:f>
        <x:v>Out of scope</x:v>
      </x:c>
    </x:row>
    <x:row r="266" ht="24" customHeight="1">
      <x:c r="A266" t="str">
        <x:v>15681d19-6101-4f86-954b-2d509566a338</x:v>
      </x:c>
      <x:c r="B266" t="str">
        <x:v>CSSP10523448</x:v>
      </x:c>
      <x:c r="C266" t="str">
        <x:v>nurainhayati.zahari@petronas.com</x:v>
      </x:c>
      <x:c r="D266" t="str">
        <x:v>decommission-cloud</x:v>
      </x:c>
      <x:c r="E266" t="str">
        <x:v>executing</x:v>
      </x:c>
      <x:c r="F266" t="n">
        <x:v>46204.17176372685</x:v>
      </x:c>
      <x:c r="G266" t="n">
        <x:v>46231.20315226852</x:v>
      </x:c>
      <x:c r="H266" t="n">
        <x:v>46204.17176372685</x:v>
      </x:c>
      <x:c r="I266" t="str">
        <x:v>Oil Logistics Accounting and Shipping System - OAS</x:v>
      </x:c>
      <x:c r="J266" t="str">
        <x:v>OCI MIGRATION - Oil Logistics, Accounting and Shipping System (OAS)</x:v>
      </x:c>
      <x:c r="K266" t="str">
        <x:v>partial</x:v>
      </x:c>
      <x:c r="L266"/>
      <x:c r="M266" t="str">
        <x:v>sazali.mokhtar@petronas.com.my</x:v>
      </x:c>
      <x:c r="N266"/>
      <x:c r="O266"/>
      <x:c r="P266" t="str">
        <x:v>Cloud Repatriation - Decommission old resources in SG region due to completed migration in MY region</x:v>
      </x:c>
      <x:c r="Q266" t="str">
        <x:v>2W</x:v>
      </x:c>
      <x:c r="R266" t="str">
        <x:v>Cloud Migration</x:v>
      </x:c>
      <x:c r="S266"/>
      <x:c r="T266" t="str">
        <x:v>approved</x:v>
      </x:c>
      <x:c r="U266" t="str">
        <x:v>nurainhayati.zahari@petronas.com</x:v>
      </x:c>
      <x:c r="V266" t="n">
        <x:v>46204.172948645835</x:v>
      </x:c>
      <x:c r="W266" t="str">
        <x:v>Cloud Repatriation - Decommission old resources in SG region due to completed migration in MY region</x:v>
      </x:c>
      <x:c r="X266" t="str">
        <x:v>approved</x:v>
      </x:c>
      <x:c r="Y266" t="str">
        <x:v>sazali.mokhtar@petronas.com</x:v>
      </x:c>
      <x:c r="Z266" t="n">
        <x:v>46204.18341013889</x:v>
      </x:c>
      <x:c r="AA266" t="str">
        <x:v>Cloud Repatriation - Decommission old resources in SG region due to completed migration in MY region</x:v>
      </x:c>
      <x:c r="AB266" t="str">
        <x:v>approved</x:v>
      </x:c>
      <x:c r="AC266" t="str">
        <x:v>abhishek.bhowate@petronas.com</x:v>
      </x:c>
      <x:c r="AD266" t="n">
        <x:v>46231.20315226852</x:v>
      </x:c>
      <x:c r="AE266" t="str">
        <x:v>Approve</x:v>
      </x:c>
      <x:c r="AF266"/>
      <x:c r="AG266" t="str">
        <x:v>venkatesh.kalikivayi@petronas.com</x:v>
      </x:c>
      <x:c r="AH266"/>
      <x:c r="AI266"/>
      <x:c r="AJ266" t="str">
        <x:v>A-000509</x:v>
      </x:c>
      <x:c r="AK266" t="str">
        <x:v>00915_207</x:v>
      </x:c>
      <x:c r="AL266" t="str">
        <x:v>L</x:v>
      </x:c>
      <x:c r="AM266" t="str">
        <x:v>REQ000008198635</x:v>
      </x:c>
      <x:c r="AN266" t="str">
        <x:v>noretention</x:v>
      </x:c>
      <x:c r="AO266" t="n">
        <x:v>0</x:v>
      </x:c>
      <x:c r="AP266" s="23" t="n">
        <x:f>IF(E266="processing",IF(Z266="","",IF(ISNUMBER(Z266),INT(Z266),DATE(VALUE(LEFT(Z266,4)),VALUE(MID(Z266,6,2)),VALUE(MID(Z266,9,2))))),IF(OR(E266="executing",E266="pending"),IF(AD266="","",IF(ISNUMBER(AD266),INT(AD266),DATE(VALUE(LEFT(AD266,4)),VALUE(MID(AD266,6,2)),VALUE(MID(AD266,9,2))))),""))</x:f>
        <x:v>46231</x:v>
      </x:c>
      <x:c r="AQ266" s="24" t="n">
        <x:f>IF(AP266="","",INT('Configuration'!$B$4)-AP266)</x:f>
        <x:v>20</x:v>
      </x:c>
      <x:c r="AR266" s="25" t="str">
        <x:f>IF(AP266="","Missing Required Date",IF(AQ266&lt;0,"Future Date",IF(AQ266=0,"0 days",IF(AQ266&lt;=2,"1-2 days",IF(AQ266&lt;=7,"3-7 days",IF(AQ266&lt;=14,"8-14 days",IF(AQ266&lt;=30,"15-30 days",IF(AQ266&lt;=60,"31-60 days",IF(AQ266&lt;=70,"61-70 days","71+ days")))))))))</x:f>
        <x:v>15-30 days</x:v>
      </x:c>
      <x:c r="AS266" s="25" t="str">
        <x:f>IF(OR(E266="processing",E266="executing",E266="pending"),IF(AP266="","Required aging date missing",IF(AQ266&gt;30,"Escalate &gt;30d",IF(AQ266&gt;14,"Watch &gt;14d","Within 14d"))),"Out of scope")</x:f>
        <x:v>Watch &gt;14d</x:v>
      </x:c>
    </x:row>
    <x:row r="267" ht="24" customHeight="1">
      <x:c r="A267" t="str">
        <x:v>b930edfa-bdf0-4702-bd24-5e55144881c2</x:v>
      </x:c>
      <x:c r="B267" t="str">
        <x:v>CSSP10264991</x:v>
      </x:c>
      <x:c r="C267" t="str">
        <x:v>nurainhayati.zahari@petronas.com</x:v>
      </x:c>
      <x:c r="D267" t="str">
        <x:v>decommission-cloud</x:v>
      </x:c>
      <x:c r="E267" t="str">
        <x:v>executing</x:v>
      </x:c>
      <x:c r="F267" t="n">
        <x:v>46204.1736321412</x:v>
      </x:c>
      <x:c r="G267" t="n">
        <x:v>46239.623320162034</x:v>
      </x:c>
      <x:c r="H267" t="n">
        <x:v>46204.1736321412</x:v>
      </x:c>
      <x:c r="I267" t="str">
        <x:v>Oil Logistics Accounting and Shipping System - OAS</x:v>
      </x:c>
      <x:c r="J267" t="str">
        <x:v>Cloud Migration Program- Oil Logistics, Accounting and Shipping System (OAS)</x:v>
      </x:c>
      <x:c r="K267" t="str">
        <x:v>partial</x:v>
      </x:c>
      <x:c r="L267"/>
      <x:c r="M267" t="str">
        <x:v>sazali.mokhtar@petronas.com.my</x:v>
      </x:c>
      <x:c r="N267"/>
      <x:c r="O267"/>
      <x:c r="P267" t="str">
        <x:v>Cloud Repatriation - Decommission old resources in SG region due to completed migration in MY region</x:v>
      </x:c>
      <x:c r="Q267" t="str">
        <x:v>2W</x:v>
      </x:c>
      <x:c r="R267" t="str">
        <x:v>Cloud Migration</x:v>
      </x:c>
      <x:c r="S267"/>
      <x:c r="T267" t="str">
        <x:v>approved</x:v>
      </x:c>
      <x:c r="U267" t="str">
        <x:v>nurainhayati.zahari@petronas.com</x:v>
      </x:c>
      <x:c r="V267" t="n">
        <x:v>46204.174811805555</x:v>
      </x:c>
      <x:c r="W267" t="str">
        <x:v>Cloud Repatriation - Decommission old resources in SG region due to completed migration in MY region</x:v>
      </x:c>
      <x:c r="X267" t="str">
        <x:v>approved</x:v>
      </x:c>
      <x:c r="Y267" t="str">
        <x:v>sazali.mokhtar@petronas.com</x:v>
      </x:c>
      <x:c r="Z267" t="n">
        <x:v>46204.18298788195</x:v>
      </x:c>
      <x:c r="AA267" t="str">
        <x:v>Cloud Repatriation - Decommission old resources in SG region due to completed migration in MY region</x:v>
      </x:c>
      <x:c r="AB267" t="str">
        <x:v>approved</x:v>
      </x:c>
      <x:c r="AC267" t="str">
        <x:v>abhishek.bhowate@petronas.com</x:v>
      </x:c>
      <x:c r="AD267" t="n">
        <x:v>46239.623320162034</x:v>
      </x:c>
      <x:c r="AE267" t="str">
        <x:v>approved</x:v>
      </x:c>
      <x:c r="AF267"/>
      <x:c r="AG267" t="str">
        <x:v>swaminadh.chirakala@petronas.com</x:v>
      </x:c>
      <x:c r="AH267"/>
      <x:c r="AI267"/>
      <x:c r="AJ267" t="str">
        <x:v>A-000509</x:v>
      </x:c>
      <x:c r="AK267" t="str">
        <x:v>00915_207</x:v>
      </x:c>
      <x:c r="AL267" t="str">
        <x:v>M</x:v>
      </x:c>
      <x:c r="AM267" t="str">
        <x:v>REQ000008222181</x:v>
      </x:c>
      <x:c r="AN267" t="str">
        <x:v>noretention</x:v>
      </x:c>
      <x:c r="AO267" t="n">
        <x:v>0</x:v>
      </x:c>
      <x:c r="AP267" s="23" t="n">
        <x:f>IF(E267="processing",IF(Z267="","",IF(ISNUMBER(Z267),INT(Z267),DATE(VALUE(LEFT(Z267,4)),VALUE(MID(Z267,6,2)),VALUE(MID(Z267,9,2))))),IF(OR(E267="executing",E267="pending"),IF(AD267="","",IF(ISNUMBER(AD267),INT(AD267),DATE(VALUE(LEFT(AD267,4)),VALUE(MID(AD267,6,2)),VALUE(MID(AD267,9,2))))),""))</x:f>
        <x:v>46239</x:v>
      </x:c>
      <x:c r="AQ267" s="24" t="n">
        <x:f>IF(AP267="","",INT('Configuration'!$B$4)-AP267)</x:f>
        <x:v>12</x:v>
      </x:c>
      <x:c r="AR267" s="25" t="str">
        <x:f>IF(AP267="","Missing Required Date",IF(AQ267&lt;0,"Future Date",IF(AQ267=0,"0 days",IF(AQ267&lt;=2,"1-2 days",IF(AQ267&lt;=7,"3-7 days",IF(AQ267&lt;=14,"8-14 days",IF(AQ267&lt;=30,"15-30 days",IF(AQ267&lt;=60,"31-60 days",IF(AQ267&lt;=70,"61-70 days","71+ days")))))))))</x:f>
        <x:v>8-14 days</x:v>
      </x:c>
      <x:c r="AS267" s="25" t="str">
        <x:f>IF(OR(E267="processing",E267="executing",E267="pending"),IF(AP267="","Required aging date missing",IF(AQ267&gt;30,"Escalate &gt;30d",IF(AQ267&gt;14,"Watch &gt;14d","Within 14d"))),"Out of scope")</x:f>
        <x:v>Within 14d</x:v>
      </x:c>
    </x:row>
    <x:row r="268" ht="24" customHeight="1">
      <x:c r="A268" t="str">
        <x:v>36a8f759-d88a-4e82-9f98-a28dc0691012</x:v>
      </x:c>
      <x:c r="B268" t="str">
        <x:v>CSSP10220457</x:v>
      </x:c>
      <x:c r="C268" t="str">
        <x:v>nurainhayati.zahari@petronas.com</x:v>
      </x:c>
      <x:c r="D268" t="str">
        <x:v>decommission-cloud</x:v>
      </x:c>
      <x:c r="E268" t="str">
        <x:v>completed</x:v>
      </x:c>
      <x:c r="F268" t="n">
        <x:v>46204.17671298611</x:v>
      </x:c>
      <x:c r="G268" t="n">
        <x:v>46232.179792662035</x:v>
      </x:c>
      <x:c r="H268" t="n">
        <x:v>46204.17671298611</x:v>
      </x:c>
      <x:c r="I268" t="str">
        <x:v>Lubricant Enterprise Value Simulator - LEVS</x:v>
      </x:c>
      <x:c r="J268" t="str">
        <x:v>Development of Lubricant Enterprise Value Simulator (LEVS) tool for DCO</x:v>
      </x:c>
      <x:c r="K268" t="str">
        <x:v>partial</x:v>
      </x:c>
      <x:c r="L268"/>
      <x:c r="M268" t="str">
        <x:v>sazali.mokhtar@petronas.com.my</x:v>
      </x:c>
      <x:c r="N268"/>
      <x:c r="O268"/>
      <x:c r="P268" t="str">
        <x:v>Cloud Repatriation - Decommission old resources in SG region due to completed migration in MY region</x:v>
      </x:c>
      <x:c r="Q268" t="str">
        <x:v>2W</x:v>
      </x:c>
      <x:c r="R268" t="str">
        <x:v>Cloud Migration</x:v>
      </x:c>
      <x:c r="S268"/>
      <x:c r="T268" t="str">
        <x:v>approved</x:v>
      </x:c>
      <x:c r="U268" t="str">
        <x:v>nurainhayati.zahari@petronas.com</x:v>
      </x:c>
      <x:c r="V268" t="n">
        <x:v>46204.17848958333</x:v>
      </x:c>
      <x:c r="W268" t="str">
        <x:v>[EXCLUDE] Databricks is still running in Singapore, and accessing the following LEVS buckets in Singapore:
ptawsg-iac-prod-levs-delta-bucket
ptawsg-iac-prod-levs-bucket (we have configured with lifecycle policy to clean-up the Outsystem folder from the bucket after 30days)
Therefore, please EXCLUDE these 2 buckets from the decommission list in Singapore region.</x:v>
      </x:c>
      <x:c r="X268" t="str">
        <x:v>approved</x:v>
      </x:c>
      <x:c r="Y268" t="str">
        <x:v>sazali.mokhtar@petronas.com</x:v>
      </x:c>
      <x:c r="Z268" t="n">
        <x:v>46204.182730266206</x:v>
      </x:c>
      <x:c r="AA268" t="str">
        <x:v>Cloud Repatriation – Decommission old resources in SG region due to completed migration in MY region</x:v>
      </x:c>
      <x:c r="AB268" t="str">
        <x:v>approved</x:v>
      </x:c>
      <x:c r="AC268" t="str">
        <x:v>abhishek.bhowate@petronas.com</x:v>
      </x:c>
      <x:c r="AD268" t="n">
        <x:v>46222.87329416667</x:v>
      </x:c>
      <x:c r="AE268" t="str">
        <x:v>Approve</x:v>
      </x:c>
      <x:c r="AF268" t="str">
        <x:v>approved</x:v>
      </x:c>
      <x:c r="AG268" t="str">
        <x:v>swaminadh.chirakala@petronas.com</x:v>
      </x:c>
      <x:c r="AH268" t="n">
        <x:v>46232.179792662035</x:v>
      </x:c>
      <x:c r="AI268" t="str">
        <x:v>Decommissioning of the mentioned resources has been performed successfully during the execution of RFC. Hence closing the request.</x:v>
      </x:c>
      <x:c r="AJ268" t="str">
        <x:v>A-000421</x:v>
      </x:c>
      <x:c r="AK268" t="n">
        <x:v>3861</x:v>
      </x:c>
      <x:c r="AL268" t="str">
        <x:v>M</x:v>
      </x:c>
      <x:c r="AM268" t="str">
        <x:v>REQ000008178705</x:v>
      </x:c>
      <x:c r="AN268" t="str">
        <x:v>noretention</x:v>
      </x:c>
      <x:c r="AO268" t="n">
        <x:v>0</x:v>
      </x:c>
      <x:c r="AP268" s="23" t="str">
        <x:f>IF(E268="processing",IF(Z268="","",IF(ISNUMBER(Z268),INT(Z268),DATE(VALUE(LEFT(Z268,4)),VALUE(MID(Z268,6,2)),VALUE(MID(Z268,9,2))))),IF(OR(E268="executing",E268="pending"),IF(AD268="","",IF(ISNUMBER(AD268),INT(AD268),DATE(VALUE(LEFT(AD268,4)),VALUE(MID(AD268,6,2)),VALUE(MID(AD268,9,2))))),""))</x:f>
      </x:c>
      <x:c r="AQ268" s="24" t="str">
        <x:f>IF(AP268="","",INT('Configuration'!$B$4)-AP268)</x:f>
      </x:c>
      <x:c r="AR268" s="25" t="str">
        <x:f>IF(AP268="","Missing Required Date",IF(AQ268&lt;0,"Future Date",IF(AQ268=0,"0 days",IF(AQ268&lt;=2,"1-2 days",IF(AQ268&lt;=7,"3-7 days",IF(AQ268&lt;=14,"8-14 days",IF(AQ268&lt;=30,"15-30 days",IF(AQ268&lt;=60,"31-60 days",IF(AQ268&lt;=70,"61-70 days","71+ days")))))))))</x:f>
        <x:v>Missing Required Date</x:v>
      </x:c>
      <x:c r="AS268" s="25" t="str">
        <x:f>IF(OR(E268="processing",E268="executing",E268="pending"),IF(AP268="","Required aging date missing",IF(AQ268&gt;30,"Escalate &gt;30d",IF(AQ268&gt;14,"Watch &gt;14d","Within 14d"))),"Out of scope")</x:f>
        <x:v>Out of scope</x:v>
      </x:c>
    </x:row>
    <x:row r="269" ht="24" customHeight="1">
      <x:c r="A269" t="str">
        <x:v>cf1ebb08-aefe-4f75-b976-34be21e3ed47</x:v>
      </x:c>
      <x:c r="B269" t="str">
        <x:v>CSSP10969032</x:v>
      </x:c>
      <x:c r="C269" t="str">
        <x:v>norhamizah.hasni@petronas.com</x:v>
      </x:c>
      <x:c r="D269" t="str">
        <x:v>decommission-cloud</x:v>
      </x:c>
      <x:c r="E269" t="str">
        <x:v>executing</x:v>
      </x:c>
      <x:c r="F269" t="n">
        <x:v>46204.21245148148</x:v>
      </x:c>
      <x:c r="G269" t="n">
        <x:v>46222.87383607639</x:v>
      </x:c>
      <x:c r="H269" t="n">
        <x:v>46204.21245148148</x:v>
      </x:c>
      <x:c r="I269" t="str">
        <x:v>eSAFE MLNG</x:v>
      </x:c>
      <x:c r="J269" t="str">
        <x:v>Cloud Migration -eSAFE MLNG 2.0</x:v>
      </x:c>
      <x:c r="K269" t="str">
        <x:v>partial</x:v>
      </x:c>
      <x:c r="L269"/>
      <x:c r="M269" t="str">
        <x:v>sazali.mokhtar@petronas.com.my</x:v>
      </x:c>
      <x:c r="N269" t="str">
        <x:v>N/A</x:v>
      </x:c>
      <x:c r="O269" t="str">
        <x:v>N/A</x:v>
      </x:c>
      <x:c r="P269" t="str">
        <x:v>To decommission Singapore AWS region resources due to Cloud Repatriation Project.</x:v>
      </x:c>
      <x:c r="Q269" t="str">
        <x:v>2W</x:v>
      </x:c>
      <x:c r="R269" t="str">
        <x:v>Cloud Migration</x:v>
      </x:c>
      <x:c r="S269"/>
      <x:c r="T269" t="str">
        <x:v>approved</x:v>
      </x:c>
      <x:c r="U269" t="str">
        <x:v>norhamizah.hasni@petronas.com</x:v>
      </x:c>
      <x:c r="V269" t="n">
        <x:v>46204.21321645833</x:v>
      </x:c>
      <x:c r="W269" t="str">
        <x:v>To decommission Singapore AWS region resources due to Cloud Repatriation Project.</x:v>
      </x:c>
      <x:c r="X269" t="str">
        <x:v>approved</x:v>
      </x:c>
      <x:c r="Y269" t="str">
        <x:v>sazali.mokhtar@petronas.com</x:v>
      </x:c>
      <x:c r="Z269" t="n">
        <x:v>46205.20928371528</x:v>
      </x:c>
      <x:c r="AA269" t="str">
        <x:v>To decommission Singapore AWS region resources due to Cloud Repatriation Project.</x:v>
      </x:c>
      <x:c r="AB269" t="str">
        <x:v>approved</x:v>
      </x:c>
      <x:c r="AC269" t="str">
        <x:v>abhishek.bhowate@petronas.com</x:v>
      </x:c>
      <x:c r="AD269" t="n">
        <x:v>46222.873836099534</x:v>
      </x:c>
      <x:c r="AE269" t="str">
        <x:v>okay</x:v>
      </x:c>
      <x:c r="AF269"/>
      <x:c r="AG269" t="str">
        <x:v>sairam.villa@petronas.com</x:v>
      </x:c>
      <x:c r="AH269"/>
      <x:c r="AI269"/>
      <x:c r="AJ269" t="str">
        <x:v>A-000304</x:v>
      </x:c>
      <x:c r="AK269" t="str">
        <x:v>02421_82</x:v>
      </x:c>
      <x:c r="AL269" t="str">
        <x:v>M</x:v>
      </x:c>
      <x:c r="AM269" t="str">
        <x:v>REQ000008178706</x:v>
      </x:c>
      <x:c r="AN269" t="str">
        <x:v>noretention</x:v>
      </x:c>
      <x:c r="AO269" t="n">
        <x:v>0</x:v>
      </x:c>
      <x:c r="AP269" s="23" t="n">
        <x:f>IF(E269="processing",IF(Z269="","",IF(ISNUMBER(Z269),INT(Z269),DATE(VALUE(LEFT(Z269,4)),VALUE(MID(Z269,6,2)),VALUE(MID(Z269,9,2))))),IF(OR(E269="executing",E269="pending"),IF(AD269="","",IF(ISNUMBER(AD269),INT(AD269),DATE(VALUE(LEFT(AD269,4)),VALUE(MID(AD269,6,2)),VALUE(MID(AD269,9,2))))),""))</x:f>
        <x:v>46222</x:v>
      </x:c>
      <x:c r="AQ269" s="24" t="n">
        <x:f>IF(AP269="","",INT('Configuration'!$B$4)-AP269)</x:f>
        <x:v>29</x:v>
      </x:c>
      <x:c r="AR269" s="25" t="str">
        <x:f>IF(AP269="","Missing Required Date",IF(AQ269&lt;0,"Future Date",IF(AQ269=0,"0 days",IF(AQ269&lt;=2,"1-2 days",IF(AQ269&lt;=7,"3-7 days",IF(AQ269&lt;=14,"8-14 days",IF(AQ269&lt;=30,"15-30 days",IF(AQ269&lt;=60,"31-60 days",IF(AQ269&lt;=70,"61-70 days","71+ days")))))))))</x:f>
        <x:v>15-30 days</x:v>
      </x:c>
      <x:c r="AS269" s="25" t="str">
        <x:f>IF(OR(E269="processing",E269="executing",E269="pending"),IF(AP269="","Required aging date missing",IF(AQ269&gt;30,"Escalate &gt;30d",IF(AQ269&gt;14,"Watch &gt;14d","Within 14d"))),"Out of scope")</x:f>
        <x:v>Watch &gt;14d</x:v>
      </x:c>
    </x:row>
    <x:row r="270" ht="24" customHeight="1">
      <x:c r="A270" t="str">
        <x:v>02a4839a-8a49-4ee6-a6f9-5a1a4b25b567</x:v>
      </x:c>
      <x:c r="B270" t="str">
        <x:v>CSSP10675579</x:v>
      </x:c>
      <x:c r="C270" t="str">
        <x:v>sengchin.leong@petronas.com</x:v>
      </x:c>
      <x:c r="D270" t="str">
        <x:v>decommission-cloud</x:v>
      </x:c>
      <x:c r="E270" t="str">
        <x:v>pending</x:v>
      </x:c>
      <x:c r="F270" t="n">
        <x:v>46205.094609768516</x:v>
      </x:c>
      <x:c r="G270" t="n">
        <x:v>46205.104366747684</x:v>
      </x:c>
      <x:c r="H270" t="n">
        <x:v>46205.094609768516</x:v>
      </x:c>
      <x:c r="I270" t="str">
        <x:v>Cyber Security Zscaler Private Access</x:v>
      </x:c>
      <x:c r="J270" t="str">
        <x:v>Zscaler Private Access</x:v>
      </x:c>
      <x:c r="K270" t="str">
        <x:v>partial</x:v>
      </x:c>
      <x:c r="L270"/>
      <x:c r="M270" t="str">
        <x:v>mshafri.hatta@petronas.com</x:v>
      </x:c>
      <x:c r="N270"/>
      <x:c r="O270" t="str">
        <x:v>704D904736</x:v>
      </x:c>
      <x:c r="P270" t="str">
        <x:v>PARTIAL Decommission - disable the sub-module 
(only to disable part of component) The request is just to remove the part of component (Zscaler Decoy) for cost optimization. Component to remove: 
1. Disable for Endpoint Deception Policies and Deception Entitlement 
2. AD Decoy 
3.Please find the attached: 1. RFC Workplan 2. Script for decommission (refer to sample: ICT_RFC00161318 ) previous RFC/Ticket: ICT_RFC00187001 ICT_RFC00188777 ICT_RFC00189334 ICT_RFC00215249 ICT_RFC00215074 ICT_RFC00161318 / ICT_TAS00187969</x:v>
      </x:c>
      <x:c r="Q270" t="str">
        <x:v>1M</x:v>
      </x:c>
      <x:c r="R270" t="str">
        <x:v>End of Lease</x:v>
      </x:c>
      <x:c r="S270"/>
      <x:c r="T270" t="str">
        <x:v>approved</x:v>
      </x:c>
      <x:c r="U270" t="str">
        <x:v>sengchin.leong@petronas.com</x:v>
      </x:c>
      <x:c r="V270" t="n">
        <x:v>46205.10436675926</x:v>
      </x:c>
      <x:c r="W270" t="str">
        <x:v>Decommission for the sub-module -- ZScaler Deception Decoy</x:v>
      </x:c>
      <x:c r="X270"/>
      <x:c r="Y270" t="str">
        <x:v>mshafri.hatta@petronas.com</x:v>
      </x:c>
      <x:c r="Z270"/>
      <x:c r="AA270"/>
      <x:c r="AB270"/>
      <x:c r="AC270" t="str">
        <x:v>CCoE Business</x:v>
      </x:c>
      <x:c r="AD270"/>
      <x:c r="AE270"/>
      <x:c r="AF270"/>
      <x:c r="AG270" t="str">
        <x:v>CCoE Operations</x:v>
      </x:c>
      <x:c r="AH270"/>
      <x:c r="AI270"/>
      <x:c r="AJ270" t="str">
        <x:v>A-000185</x:v>
      </x:c>
      <x:c r="AK270" t="n">
        <x:v>2341</x:v>
      </x:c>
      <x:c r="AL270"/>
      <x:c r="AM270"/>
      <x:c r="AN270" t="str">
        <x:v>retention</x:v>
      </x:c>
      <x:c r="AO270" t="n">
        <x:v>30</x:v>
      </x:c>
      <x:c r="AP270" s="23" t="str">
        <x:f>IF(E270="processing",IF(Z270="","",IF(ISNUMBER(Z270),INT(Z270),DATE(VALUE(LEFT(Z270,4)),VALUE(MID(Z270,6,2)),VALUE(MID(Z270,9,2))))),IF(OR(E270="executing",E270="pending"),IF(AD270="","",IF(ISNUMBER(AD270),INT(AD270),DATE(VALUE(LEFT(AD270,4)),VALUE(MID(AD270,6,2)),VALUE(MID(AD270,9,2))))),""))</x:f>
      </x:c>
      <x:c r="AQ270" s="24" t="str">
        <x:f>IF(AP270="","",INT('Configuration'!$B$4)-AP270)</x:f>
      </x:c>
      <x:c r="AR270" s="25" t="str">
        <x:f>IF(AP270="","Missing Required Date",IF(AQ270&lt;0,"Future Date",IF(AQ270=0,"0 days",IF(AQ270&lt;=2,"1-2 days",IF(AQ270&lt;=7,"3-7 days",IF(AQ270&lt;=14,"8-14 days",IF(AQ270&lt;=30,"15-30 days",IF(AQ270&lt;=60,"31-60 days",IF(AQ270&lt;=70,"61-70 days","71+ days")))))))))</x:f>
        <x:v>Missing Required Date</x:v>
      </x:c>
      <x:c r="AS270" s="25" t="str">
        <x:f>IF(OR(E270="processing",E270="executing",E270="pending"),IF(AP270="","Required aging date missing",IF(AQ270&gt;30,"Escalate &gt;30d",IF(AQ270&gt;14,"Watch &gt;14d","Within 14d"))),"Out of scope")</x:f>
        <x:v>Required aging date missing</x:v>
      </x:c>
    </x:row>
    <x:row r="271" ht="24" customHeight="1">
      <x:c r="A271" t="str">
        <x:v>20952899-af4e-403d-9c4a-3e6421aae36c</x:v>
      </x:c>
      <x:c r="B271" t="str">
        <x:v>CSSP10339855</x:v>
      </x:c>
      <x:c r="C271" t="str">
        <x:v>azad.johari@petronas.com</x:v>
      </x:c>
      <x:c r="D271" t="str">
        <x:v>decommission-cloud</x:v>
      </x:c>
      <x:c r="E271" t="str">
        <x:v>completed</x:v>
      </x:c>
      <x:c r="F271" t="n">
        <x:v>46206.29234789352</x:v>
      </x:c>
      <x:c r="G271" t="n">
        <x:v>46239.66529978009</x:v>
      </x:c>
      <x:c r="H271" t="n">
        <x:v>46206.29234789352</x:v>
      </x:c>
      <x:c r="I271" t="str">
        <x:v>MyCareerX</x:v>
      </x:c>
      <x:c r="J271" t="str">
        <x:v>MyCareerX : SPUR/Position Profile Automation</x:v>
      </x:c>
      <x:c r="K271" t="str">
        <x:v>full</x:v>
      </x:c>
      <x:c r="L271" t="str">
        <x:v>DCOM2026070330b</x:v>
      </x:c>
      <x:c r="M271" t="str">
        <x:v>amirshazlan.mshah@petronas.com</x:v>
      </x:c>
      <x:c r="N271" t="str">
        <x:v>spur.petronas.com</x:v>
      </x:c>
      <x:c r="O271" t="str">
        <x:v>PSR02987</x:v>
      </x:c>
      <x:c r="P271" t="str">
        <x:v>Application not in use</x:v>
      </x:c>
      <x:c r="Q271" t="str">
        <x:v>2W</x:v>
      </x:c>
      <x:c r="R271" t="str">
        <x:v>Not in Used</x:v>
      </x:c>
      <x:c r="S271"/>
      <x:c r="T271" t="str">
        <x:v>approved</x:v>
      </x:c>
      <x:c r="U271" t="str">
        <x:v>azad.johari@petronas.com</x:v>
      </x:c>
      <x:c r="V271" t="n">
        <x:v>46206.295955381946</x:v>
      </x:c>
      <x:c r="W271" t="str">
        <x:v>SPUR Automation on Power Apps</x:v>
      </x:c>
      <x:c r="X271" t="str">
        <x:v>approved</x:v>
      </x:c>
      <x:c r="Y271" t="str">
        <x:v>amirshazlan.mshah@petronas.com</x:v>
      </x:c>
      <x:c r="Z271" t="n">
        <x:v>46216.1534702662</x:v>
      </x:c>
      <x:c r="AA271" t="str">
        <x:v>approved</x:v>
      </x:c>
      <x:c r="AB271" t="str">
        <x:v>approved</x:v>
      </x:c>
      <x:c r="AC271" t="str">
        <x:v>abhishek.bhowate@petronas.com</x:v>
      </x:c>
      <x:c r="AD271" t="n">
        <x:v>46222.874689780096</x:v>
      </x:c>
      <x:c r="AE271" t="str">
        <x:v>Approve</x:v>
      </x:c>
      <x:c r="AF271" t="str">
        <x:v>approved</x:v>
      </x:c>
      <x:c r="AG271" t="str">
        <x:v>swaminadh.chirakala@petronas.com</x:v>
      </x:c>
      <x:c r="AH271" t="n">
        <x:v>46239.66529978009</x:v>
      </x:c>
      <x:c r="AI271" t="str">
        <x:v>Decommissioning of the resources have been done successfully during the change execution.</x:v>
      </x:c>
      <x:c r="AJ271" t="str">
        <x:v>A-000474</x:v>
      </x:c>
      <x:c r="AK271" t="n">
        <x:v>2987</x:v>
      </x:c>
      <x:c r="AL271" t="str">
        <x:v>L</x:v>
      </x:c>
      <x:c r="AM271" t="str">
        <x:v>REQ000008178707</x:v>
      </x:c>
      <x:c r="AN271" t="str">
        <x:v>disposal</x:v>
      </x:c>
      <x:c r="AO271" t="n">
        <x:v>0</x:v>
      </x:c>
      <x:c r="AP271" s="23" t="str">
        <x:f>IF(E271="processing",IF(Z271="","",IF(ISNUMBER(Z271),INT(Z271),DATE(VALUE(LEFT(Z271,4)),VALUE(MID(Z271,6,2)),VALUE(MID(Z271,9,2))))),IF(OR(E271="executing",E271="pending"),IF(AD271="","",IF(ISNUMBER(AD271),INT(AD271),DATE(VALUE(LEFT(AD271,4)),VALUE(MID(AD271,6,2)),VALUE(MID(AD271,9,2))))),""))</x:f>
      </x:c>
      <x:c r="AQ271" s="24" t="str">
        <x:f>IF(AP271="","",INT('Configuration'!$B$4)-AP271)</x:f>
      </x:c>
      <x:c r="AR271" s="25" t="str">
        <x:f>IF(AP271="","Missing Required Date",IF(AQ271&lt;0,"Future Date",IF(AQ271=0,"0 days",IF(AQ271&lt;=2,"1-2 days",IF(AQ271&lt;=7,"3-7 days",IF(AQ271&lt;=14,"8-14 days",IF(AQ271&lt;=30,"15-30 days",IF(AQ271&lt;=60,"31-60 days",IF(AQ271&lt;=70,"61-70 days","71+ days")))))))))</x:f>
        <x:v>Missing Required Date</x:v>
      </x:c>
      <x:c r="AS271" s="25" t="str">
        <x:f>IF(OR(E271="processing",E271="executing",E271="pending"),IF(AP271="","Required aging date missing",IF(AQ271&gt;30,"Escalate &gt;30d",IF(AQ271&gt;14,"Watch &gt;14d","Within 14d"))),"Out of scope")</x:f>
        <x:v>Out of scope</x:v>
      </x:c>
    </x:row>
    <x:row r="272" ht="24" customHeight="1">
      <x:c r="A272" t="str">
        <x:v>025d7b9a-22bd-4260-9db1-df428543c9b1</x:v>
      </x:c>
      <x:c r="B272" t="str">
        <x:v>CSSP10806185</x:v>
      </x:c>
      <x:c r="C272" t="str">
        <x:v>faiz.noorhasim@petronas.com</x:v>
      </x:c>
      <x:c r="D272" t="str">
        <x:v>decommission-cloud</x:v>
      </x:c>
      <x:c r="E272" t="str">
        <x:v>rejected</x:v>
      </x:c>
      <x:c r="F272" t="n">
        <x:v>46206.32069577547</x:v>
      </x:c>
      <x:c r="G272" t="n">
        <x:v>46206.33159288194</x:v>
      </x:c>
      <x:c r="H272" t="n">
        <x:v>46206.32069577547</x:v>
      </x:c>
      <x:c r="I272" t="str">
        <x:v>Enterprise Data Protection and Recovery - EDPR</x:v>
      </x:c>
      <x:c r="J272" t="str">
        <x:v>Enterprise Data Protection and Recovery (EPDR)</x:v>
      </x:c>
      <x:c r="K272" t="str">
        <x:v>partial</x:v>
      </x:c>
      <x:c r="L272"/>
      <x:c r="M272" t="str">
        <x:v>mohamadfildza.moham@petronas.com</x:v>
      </x:c>
      <x:c r="N272"/>
      <x:c r="O272"/>
      <x:c r="P272" t="str">
        <x:v>PTSG-3NBMS01 and PTSG-3NBCP01 are Azure virtual machines that were previously deployed to support the NetBackup solution for protecting Azure-hosted resources.
Reason for Decommissioning
These servers are no longer required and have been unused due to the organization's transition from NetBackup to Azure Backup for Azure resource protection.
The key justifications are:
Service No Longer in Use
The NetBackup infrastructure hosted on PTSG-3NBMS01 and PTSG-3NBCP01 is no longer utilized for backup operations.
Backup responsibilities for Azure resources have been fully migrated to Azure Backup.
Cost Optimization
Retaining the VMs incurs ongoing Azure infrastructure costs, including compute, storage, and associated operational overhead.
Decommissioning the servers will eliminate unnecessary expenses for unused resources.
Improved Backup Architecture
Azure Backup provides a native and more direct approach to protecting Azure resources.
The solution eliminates the need for additional backup servers, hardware infrastructure, and third-party backup licensing requirements.
Operational Simplification
Removing the unused NetBackup components reduces system complexity and administrative effort.
This aligns with cloud-native best practices by leveraging Azure's built-in backup and recovery capabilities.
Security and Governance
Decommissioning unused systems reduces the attack surface and minimizes risks associated with maintaining inactive infrastructure.
It also improves overall asset governance by removing obsolete resources from the environment.
Conclusion
Since Azure Backup has fully assumed the backup and recovery responsibilities for Azure resources, and the NetBackup servers PTSG-3NBMS01 and PTSG-3NBCP01 are no longer operationally required, it is recommended to decommission these VMs to optimize costs, simplify operations, and eliminate unnecessary infrastructure.</x:v>
      </x:c>
      <x:c r="Q272" t="str">
        <x:v>2W</x:v>
      </x:c>
      <x:c r="R272" t="str">
        <x:v>Not in Used</x:v>
      </x:c>
      <x:c r="S272"/>
      <x:c r="T272" t="str">
        <x:v>approved</x:v>
      </x:c>
      <x:c r="U272" t="str">
        <x:v>faiz.noorhasim@petronas.com</x:v>
      </x:c>
      <x:c r="V272" t="n">
        <x:v>46206.32314324074</x:v>
      </x:c>
      <x:c r="W272" t="str">
        <x:v>PTSG-3NBMS01 and PTSG-3NBCP01 were deployed to support the NetBackup solution for Azure resource protection. These servers are no longer required following the migration to Azure Backup.</x:v>
      </x:c>
      <x:c r="X272" t="str">
        <x:v>rejected</x:v>
      </x:c>
      <x:c r="Y272" t="str">
        <x:v>mohamadfildza.moham@petronas.com</x:v>
      </x:c>
      <x:c r="Z272" t="n">
        <x:v>46206.331592905095</x:v>
      </x:c>
      <x:c r="AA272" t="str">
        <x:v>please review the list of resources to be decom. seems like not only 2 vm to be decom</x:v>
      </x:c>
      <x:c r="AB272"/>
      <x:c r="AC272" t="str">
        <x:v>CCoE Business</x:v>
      </x:c>
      <x:c r="AD272"/>
      <x:c r="AE272"/>
      <x:c r="AF272"/>
      <x:c r="AG272" t="str">
        <x:v>CCoE Operations</x:v>
      </x:c>
      <x:c r="AH272"/>
      <x:c r="AI272"/>
      <x:c r="AJ272" t="str">
        <x:v>C-000041</x:v>
      </x:c>
      <x:c r="AK272" t="str">
        <x:v>OSR00242</x:v>
      </x:c>
      <x:c r="AL272"/>
      <x:c r="AM272"/>
      <x:c r="AN272" t="str">
        <x:v>noretention</x:v>
      </x:c>
      <x:c r="AO272" t="n">
        <x:v>0</x:v>
      </x:c>
      <x:c r="AP272" s="23" t="str">
        <x:f>IF(E272="processing",IF(Z272="","",IF(ISNUMBER(Z272),INT(Z272),DATE(VALUE(LEFT(Z272,4)),VALUE(MID(Z272,6,2)),VALUE(MID(Z272,9,2))))),IF(OR(E272="executing",E272="pending"),IF(AD272="","",IF(ISNUMBER(AD272),INT(AD272),DATE(VALUE(LEFT(AD272,4)),VALUE(MID(AD272,6,2)),VALUE(MID(AD272,9,2))))),""))</x:f>
      </x:c>
      <x:c r="AQ272" s="24" t="str">
        <x:f>IF(AP272="","",INT('Configuration'!$B$4)-AP272)</x:f>
      </x:c>
      <x:c r="AR272" s="25" t="str">
        <x:f>IF(AP272="","Missing Required Date",IF(AQ272&lt;0,"Future Date",IF(AQ272=0,"0 days",IF(AQ272&lt;=2,"1-2 days",IF(AQ272&lt;=7,"3-7 days",IF(AQ272&lt;=14,"8-14 days",IF(AQ272&lt;=30,"15-30 days",IF(AQ272&lt;=60,"31-60 days",IF(AQ272&lt;=70,"61-70 days","71+ days")))))))))</x:f>
        <x:v>Missing Required Date</x:v>
      </x:c>
      <x:c r="AS272" s="25" t="str">
        <x:f>IF(OR(E272="processing",E272="executing",E272="pending"),IF(AP272="","Required aging date missing",IF(AQ272&gt;30,"Escalate &gt;30d",IF(AQ272&gt;14,"Watch &gt;14d","Within 14d"))),"Out of scope")</x:f>
        <x:v>Out of scope</x:v>
      </x:c>
    </x:row>
    <x:row r="273" ht="24" customHeight="1">
      <x:c r="A273" t="str">
        <x:v>728acaef-77b2-4981-bb14-d497f289eb97</x:v>
      </x:c>
      <x:c r="B273" t="str">
        <x:v>CSSP10689831</x:v>
      </x:c>
      <x:c r="C273" t="str">
        <x:v>faiz.noorhasim@petronas.com</x:v>
      </x:c>
      <x:c r="D273" t="str">
        <x:v>decommission-cloud</x:v>
      </x:c>
      <x:c r="E273" t="str">
        <x:v>executing</x:v>
      </x:c>
      <x:c r="F273" t="n">
        <x:v>46206.33567287037</x:v>
      </x:c>
      <x:c r="G273" t="n">
        <x:v>46239.623100185185</x:v>
      </x:c>
      <x:c r="H273" t="n">
        <x:v>46206.33567287037</x:v>
      </x:c>
      <x:c r="I273" t="str">
        <x:v>Enterprise Data Protection and Recovery - EDPR</x:v>
      </x:c>
      <x:c r="J273" t="str">
        <x:v>Enterprise Data Protection and Recovery (EPDR)</x:v>
      </x:c>
      <x:c r="K273" t="str">
        <x:v>partial</x:v>
      </x:c>
      <x:c r="L273"/>
      <x:c r="M273" t="str">
        <x:v>mohamadfildza.moham@petronas.com</x:v>
      </x:c>
      <x:c r="N273"/>
      <x:c r="O273"/>
      <x:c r="P273" t="str">
        <x:v>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 The key justifications are (1) Service No Longer in Use. (2) Cost Optimization (3) Improved Backup Architecture Azure Backup (4) Operational Simplification (5) Security and Governance.</x:v>
      </x:c>
      <x:c r="Q273" t="str">
        <x:v>2W</x:v>
      </x:c>
      <x:c r="R273" t="str">
        <x:v>Not in Used</x:v>
      </x:c>
      <x:c r="S273"/>
      <x:c r="T273" t="str">
        <x:v>approved</x:v>
      </x:c>
      <x:c r="U273" t="str">
        <x:v>faiz.noorhasim@petronas.com</x:v>
      </x:c>
      <x:c r="V273" t="n">
        <x:v>46206.33731820602</x:v>
      </x:c>
      <x:c r="W273" t="str">
        <x:v>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x:v>
      </x:c>
      <x:c r="X273" t="str">
        <x:v>approved</x:v>
      </x:c>
      <x:c r="Y273" t="str">
        <x:v>mohamadfildza.moham@petronas.com</x:v>
      </x:c>
      <x:c r="Z273" t="n">
        <x:v>46206.339653125</x:v>
      </x:c>
      <x:c r="AA273" t="str">
        <x:v>reviewed and approved</x:v>
      </x:c>
      <x:c r="AB273" t="str">
        <x:v>approved</x:v>
      </x:c>
      <x:c r="AC273" t="str">
        <x:v>abhishek.bhowate@petronas.com</x:v>
      </x:c>
      <x:c r="AD273" t="n">
        <x:v>46239.62310019676</x:v>
      </x:c>
      <x:c r="AE273" t="str">
        <x:v>approved</x:v>
      </x:c>
      <x:c r="AF273"/>
      <x:c r="AG273" t="str">
        <x:v>amarja.kawade@petronas.com</x:v>
      </x:c>
      <x:c r="AH273"/>
      <x:c r="AI273"/>
      <x:c r="AJ273" t="str">
        <x:v>C-000041</x:v>
      </x:c>
      <x:c r="AK273" t="str">
        <x:v>OSR00242</x:v>
      </x:c>
      <x:c r="AL273" t="str">
        <x:v>S</x:v>
      </x:c>
      <x:c r="AM273" t="str">
        <x:v>REQ000008222180</x:v>
      </x:c>
      <x:c r="AN273" t="str">
        <x:v>noretention</x:v>
      </x:c>
      <x:c r="AO273" t="n">
        <x:v>0</x:v>
      </x:c>
      <x:c r="AP273" s="23" t="n">
        <x:f>IF(E273="processing",IF(Z273="","",IF(ISNUMBER(Z273),INT(Z273),DATE(VALUE(LEFT(Z273,4)),VALUE(MID(Z273,6,2)),VALUE(MID(Z273,9,2))))),IF(OR(E273="executing",E273="pending"),IF(AD273="","",IF(ISNUMBER(AD273),INT(AD273),DATE(VALUE(LEFT(AD273,4)),VALUE(MID(AD273,6,2)),VALUE(MID(AD273,9,2))))),""))</x:f>
        <x:v>46239</x:v>
      </x:c>
      <x:c r="AQ273" s="24" t="n">
        <x:f>IF(AP273="","",INT('Configuration'!$B$4)-AP273)</x:f>
        <x:v>12</x:v>
      </x:c>
      <x:c r="AR273" s="25" t="str">
        <x:f>IF(AP273="","Missing Required Date",IF(AQ273&lt;0,"Future Date",IF(AQ273=0,"0 days",IF(AQ273&lt;=2,"1-2 days",IF(AQ273&lt;=7,"3-7 days",IF(AQ273&lt;=14,"8-14 days",IF(AQ273&lt;=30,"15-30 days",IF(AQ273&lt;=60,"31-60 days",IF(AQ273&lt;=70,"61-70 days","71+ days")))))))))</x:f>
        <x:v>8-14 days</x:v>
      </x:c>
      <x:c r="AS273" s="25" t="str">
        <x:f>IF(OR(E273="processing",E273="executing",E273="pending"),IF(AP273="","Required aging date missing",IF(AQ273&gt;30,"Escalate &gt;30d",IF(AQ273&gt;14,"Watch &gt;14d","Within 14d"))),"Out of scope")</x:f>
        <x:v>Within 14d</x:v>
      </x:c>
    </x:row>
    <x:row r="274" ht="24" customHeight="1">
      <x:c r="A274" t="str">
        <x:v>baa843d0-dadd-4700-8822-0961fcc1174e</x:v>
      </x:c>
      <x:c r="B274" t="str">
        <x:v>CSSP10707625</x:v>
      </x:c>
      <x:c r="C274" t="str">
        <x:v>marziah.mahmod@petronas.com</x:v>
      </x:c>
      <x:c r="D274" t="str">
        <x:v>decommission-cloud</x:v>
      </x:c>
      <x:c r="E274" t="str">
        <x:v>cancelled</x:v>
      </x:c>
      <x:c r="F274" t="n">
        <x:v>46206.37225483797</x:v>
      </x:c>
      <x:c r="G274" t="n">
        <x:v>46237.20088787037</x:v>
      </x:c>
      <x:c r="H274" t="n">
        <x:v>46237.192279930554</x:v>
      </x:c>
      <x:c r="I274" t="str">
        <x:v>Plant Information - PI Hub Downstream</x:v>
      </x:c>
      <x:c r="J274" t="str">
        <x:v>CTP Old to New LZ - Enterprise PI Hub Downstream</x:v>
      </x:c>
      <x:c r="K274" t="str">
        <x:v>full</x:v>
      </x:c>
      <x:c r="L274" t="str">
        <x:v>DCOM20260703877</x:v>
      </x:c>
      <x:c r="M274" t="str">
        <x:v>mohammadsani.johari@petronas.com.my</x:v>
      </x:c>
      <x:c r="N274" t="str">
        <x:v>PTAWSG-1PIDAF01;10.102.21.163 PTAWSG-1PIDAF02;10.102.22.191 PTAWSG-1PIDDB01;10.85.69.81 PTAWSG-1PIBADB2;10.85.69.239</x:v>
      </x:c>
      <x:c r="O274"/>
      <x:c r="P274" t="str">
        <x:v>Cloud Migration
PTAWSG-1PIDAF01;10.102.21.163
PTAWSG-1PIDAF02;10.102.22.191
PTAWSG-1PIDDB01;10.85.69.81
PTAWSG-1PIBADB2;10.85.69.239</x:v>
      </x:c>
      <x:c r="Q274" t="str">
        <x:v>2W</x:v>
      </x:c>
      <x:c r="R274" t="str">
        <x:v>Cloud Migration</x:v>
      </x:c>
      <x:c r="S274"/>
      <x:c r="T274" t="str">
        <x:v>rejected</x:v>
      </x:c>
      <x:c r="U274" t="str">
        <x:v>marziah.mahmod@petronas.com</x:v>
      </x:c>
      <x:c r="V274" t="n">
        <x:v>46237.20088788195</x:v>
      </x:c>
      <x:c r="W274"/>
      <x:c r="X274"/>
      <x:c r="Y274" t="str">
        <x:v>mohammadsani.johari@petronas.com</x:v>
      </x:c>
      <x:c r="Z274"/>
      <x:c r="AA274"/>
      <x:c r="AB274"/>
      <x:c r="AC274" t="str">
        <x:v>CCoE SA</x:v>
      </x:c>
      <x:c r="AD274"/>
      <x:c r="AE274"/>
      <x:c r="AF274"/>
      <x:c r="AG274" t="str">
        <x:v>IMS - CLOUD CSSP EXECUTOR</x:v>
      </x:c>
      <x:c r="AH274"/>
      <x:c r="AI274"/>
      <x:c r="AJ274" t="str">
        <x:v>A-000571</x:v>
      </x:c>
      <x:c r="AK274" t="str">
        <x:v>02421_70</x:v>
      </x:c>
      <x:c r="AL274" t="str">
        <x:v>M</x:v>
      </x:c>
      <x:c r="AM274"/>
      <x:c r="AN274" t="str">
        <x:v>noretention</x:v>
      </x:c>
      <x:c r="AO274" t="n">
        <x:v>0</x:v>
      </x:c>
      <x:c r="AP274" s="23" t="str">
        <x:f>IF(E274="processing",IF(Z274="","",IF(ISNUMBER(Z274),INT(Z274),DATE(VALUE(LEFT(Z274,4)),VALUE(MID(Z274,6,2)),VALUE(MID(Z274,9,2))))),IF(OR(E274="executing",E274="pending"),IF(AD274="","",IF(ISNUMBER(AD274),INT(AD274),DATE(VALUE(LEFT(AD274,4)),VALUE(MID(AD274,6,2)),VALUE(MID(AD274,9,2))))),""))</x:f>
      </x:c>
      <x:c r="AQ274" s="24" t="str">
        <x:f>IF(AP274="","",INT('Configuration'!$B$4)-AP274)</x:f>
      </x:c>
      <x:c r="AR274" s="25" t="str">
        <x:f>IF(AP274="","Missing Required Date",IF(AQ274&lt;0,"Future Date",IF(AQ274=0,"0 days",IF(AQ274&lt;=2,"1-2 days",IF(AQ274&lt;=7,"3-7 days",IF(AQ274&lt;=14,"8-14 days",IF(AQ274&lt;=30,"15-30 days",IF(AQ274&lt;=60,"31-60 days",IF(AQ274&lt;=70,"61-70 days","71+ days")))))))))</x:f>
        <x:v>Missing Required Date</x:v>
      </x:c>
      <x:c r="AS274" s="25" t="str">
        <x:f>IF(OR(E274="processing",E274="executing",E274="pending"),IF(AP274="","Required aging date missing",IF(AQ274&gt;30,"Escalate &gt;30d",IF(AQ274&gt;14,"Watch &gt;14d","Within 14d"))),"Out of scope")</x:f>
        <x:v>Out of scope</x:v>
      </x:c>
    </x:row>
    <x:row r="275" ht="24" customHeight="1">
      <x:c r="A275" t="str">
        <x:v>c8443339-08ee-4a54-a066-6f75687bba75</x:v>
      </x:c>
      <x:c r="B275" t="str">
        <x:v>CSSP10492699</x:v>
      </x:c>
      <x:c r="C275" t="str">
        <x:v>marziah.mahmod@petronas.com</x:v>
      </x:c>
      <x:c r="D275" t="str">
        <x:v>decommission-cloud</x:v>
      </x:c>
      <x:c r="E275" t="str">
        <x:v>cancelled</x:v>
      </x:c>
      <x:c r="F275" t="n">
        <x:v>46206.38081644676</x:v>
      </x:c>
      <x:c r="G275" t="n">
        <x:v>46237.19976795139</x:v>
      </x:c>
      <x:c r="H275" t="n">
        <x:v>46237.194642002316</x:v>
      </x:c>
      <x:c r="I275" t="str">
        <x:v>Plant Information - PI Enterprise</x:v>
      </x:c>
      <x:c r="J275" t="str">
        <x:v>CTP Old to New LZ - PI Enterprise</x:v>
      </x:c>
      <x:c r="K275" t="str">
        <x:v>full</x:v>
      </x:c>
      <x:c r="L275" t="str">
        <x:v>DCOM20260703877</x:v>
      </x:c>
      <x:c r="M275" t="str">
        <x:v>mohammadsani.johari@petronas.com.my</x:v>
      </x:c>
      <x:c r="N275" t="str">
        <x:v>PTAWSG-1PIEDB02	10.85.69.191 PTAWSG-1PIEAF02	10.102.23.112 PTAWSG-1PIEWB01	10.85.153.145 PTAWSG-PROD-PIES-WEB-INT-NLB PTAWSG-PROD-PIGNE-WEB-INT-NLB</x:v>
      </x:c>
      <x:c r="O275"/>
      <x:c r="P275" t="str">
        <x:v>Cloud Migration</x:v>
      </x:c>
      <x:c r="Q275" t="str">
        <x:v>2W</x:v>
      </x:c>
      <x:c r="R275" t="str">
        <x:v>Cloud Migration</x:v>
      </x:c>
      <x:c r="S275"/>
      <x:c r="T275" t="str">
        <x:v>rejected</x:v>
      </x:c>
      <x:c r="U275" t="str">
        <x:v>marziah.mahmod@petronas.com</x:v>
      </x:c>
      <x:c r="V275" t="n">
        <x:v>46237.199767962964</x:v>
      </x:c>
      <x:c r="W275"/>
      <x:c r="X275"/>
      <x:c r="Y275" t="str">
        <x:v>mohammadsani.johari@petronas.com</x:v>
      </x:c>
      <x:c r="Z275"/>
      <x:c r="AA275"/>
      <x:c r="AB275"/>
      <x:c r="AC275" t="str">
        <x:v>CCoE SA</x:v>
      </x:c>
      <x:c r="AD275"/>
      <x:c r="AE275"/>
      <x:c r="AF275"/>
      <x:c r="AG275" t="str">
        <x:v>IMS - CLOUD CSSP EXECUTOR</x:v>
      </x:c>
      <x:c r="AH275"/>
      <x:c r="AI275"/>
      <x:c r="AJ275" t="str">
        <x:v>A-000568</x:v>
      </x:c>
      <x:c r="AK275" t="str">
        <x:v>02421_71</x:v>
      </x:c>
      <x:c r="AL275" t="str">
        <x:v>M</x:v>
      </x:c>
      <x:c r="AM275"/>
      <x:c r="AN275" t="str">
        <x:v>noretention</x:v>
      </x:c>
      <x:c r="AO275" t="n">
        <x:v>0</x:v>
      </x:c>
      <x:c r="AP275" s="23" t="str">
        <x:f>IF(E275="processing",IF(Z275="","",IF(ISNUMBER(Z275),INT(Z275),DATE(VALUE(LEFT(Z275,4)),VALUE(MID(Z275,6,2)),VALUE(MID(Z275,9,2))))),IF(OR(E275="executing",E275="pending"),IF(AD275="","",IF(ISNUMBER(AD275),INT(AD275),DATE(VALUE(LEFT(AD275,4)),VALUE(MID(AD275,6,2)),VALUE(MID(AD275,9,2))))),""))</x:f>
      </x:c>
      <x:c r="AQ275" s="24" t="str">
        <x:f>IF(AP275="","",INT('Configuration'!$B$4)-AP275)</x:f>
      </x:c>
      <x:c r="AR275" s="25" t="str">
        <x:f>IF(AP275="","Missing Required Date",IF(AQ275&lt;0,"Future Date",IF(AQ275=0,"0 days",IF(AQ275&lt;=2,"1-2 days",IF(AQ275&lt;=7,"3-7 days",IF(AQ275&lt;=14,"8-14 days",IF(AQ275&lt;=30,"15-30 days",IF(AQ275&lt;=60,"31-60 days",IF(AQ275&lt;=70,"61-70 days","71+ days")))))))))</x:f>
        <x:v>Missing Required Date</x:v>
      </x:c>
      <x:c r="AS275" s="25" t="str">
        <x:f>IF(OR(E275="processing",E275="executing",E275="pending"),IF(AP275="","Required aging date missing",IF(AQ275&gt;30,"Escalate &gt;30d",IF(AQ275&gt;14,"Watch &gt;14d","Within 14d"))),"Out of scope")</x:f>
        <x:v>Out of scope</x:v>
      </x:c>
    </x:row>
    <x:row r="276" ht="24" customHeight="1">
      <x:c r="A276" t="str">
        <x:v>622ff61d-d02b-438a-80bc-2ff1624988ef</x:v>
      </x:c>
      <x:c r="B276" t="str">
        <x:v>CSSP10768118</x:v>
      </x:c>
      <x:c r="C276" t="str">
        <x:v>haslina.hashim@petronas.com</x:v>
      </x:c>
      <x:c r="D276" t="str">
        <x:v>decommission-cloud</x:v>
      </x:c>
      <x:c r="E276" t="str">
        <x:v>executing</x:v>
      </x:c>
      <x:c r="F276" t="n">
        <x:v>46206.46205357639</x:v>
      </x:c>
      <x:c r="G276" t="n">
        <x:v>46222.86294859953</x:v>
      </x:c>
      <x:c r="H276" t="n">
        <x:v>46206.46205357639</x:v>
      </x:c>
      <x:c r="I276" t="str">
        <x:v>Smart Planner</x:v>
      </x:c>
      <x:c r="J276" t="str">
        <x:v>Smart Planner</x:v>
      </x:c>
      <x:c r="K276" t="str">
        <x:v>partial</x:v>
      </x:c>
      <x:c r="L276"/>
      <x:c r="M276" t="str">
        <x:v>sazali.mokhtar@petronas.com.my</x:v>
      </x:c>
      <x:c r="N276"/>
      <x:c r="O276"/>
      <x:c r="P276" t="str">
        <x:v>Please Disable E1D5IQ42AOS0YC	Enabled	smartplanner.petronas.com	Standard	
djfixbe32fubn.cloudfront.net
smartplanner.petronas.com</x:v>
      </x:c>
      <x:c r="Q276" t="str">
        <x:v>2W</x:v>
      </x:c>
      <x:c r="R276" t="str">
        <x:v>Cloud Migration</x:v>
      </x:c>
      <x:c r="S276"/>
      <x:c r="T276" t="str">
        <x:v>approved</x:v>
      </x:c>
      <x:c r="U276" t="str">
        <x:v>haslina.hashim@petronas.com</x:v>
      </x:c>
      <x:c r="V276" t="n">
        <x:v>46206.4626403125</x:v>
      </x:c>
      <x:c r="W276" t="str">
        <x:v>Please Decom request for CloudFront (only 1 resource) for smart planner
djfixbe32fubn.cloudfront.net
smartplanner.petronas.com</x:v>
      </x:c>
      <x:c r="X276" t="str">
        <x:v>approved</x:v>
      </x:c>
      <x:c r="Y276" t="str">
        <x:v>sazali.mokhtar@petronas.com</x:v>
      </x:c>
      <x:c r="Z276" t="n">
        <x:v>46209.251442071756</x:v>
      </x:c>
      <x:c r="AA276" t="str">
        <x:v>Please Disable E1D5IQ42AOS0YC Enabled smartplanner.petronas.com Standard djfixbe32fubn.cloudfront.net smartplanner.petronas.com</x:v>
      </x:c>
      <x:c r="AB276" t="str">
        <x:v>approved</x:v>
      </x:c>
      <x:c r="AC276" t="str">
        <x:v>abhishek.bhowate@petronas.com</x:v>
      </x:c>
      <x:c r="AD276" t="n">
        <x:v>46222.86294859953</x:v>
      </x:c>
      <x:c r="AE276" t="str">
        <x:v>Approve</x:v>
      </x:c>
      <x:c r="AF276"/>
      <x:c r="AG276" t="str">
        <x:v>amarja.kawde@petronas.com</x:v>
      </x:c>
      <x:c r="AH276"/>
      <x:c r="AI276"/>
      <x:c r="AJ276" t="str">
        <x:v>A-001324</x:v>
      </x:c>
      <x:c r="AK276" t="str">
        <x:v>SR04727</x:v>
      </x:c>
      <x:c r="AL276" t="str">
        <x:v>S</x:v>
      </x:c>
      <x:c r="AM276" t="str">
        <x:v>REQ000008178973</x:v>
      </x:c>
      <x:c r="AN276" t="str">
        <x:v>noretention</x:v>
      </x:c>
      <x:c r="AO276" t="n">
        <x:v>0</x:v>
      </x:c>
      <x:c r="AP276" s="23" t="n">
        <x:f>IF(E276="processing",IF(Z276="","",IF(ISNUMBER(Z276),INT(Z276),DATE(VALUE(LEFT(Z276,4)),VALUE(MID(Z276,6,2)),VALUE(MID(Z276,9,2))))),IF(OR(E276="executing",E276="pending"),IF(AD276="","",IF(ISNUMBER(AD276),INT(AD276),DATE(VALUE(LEFT(AD276,4)),VALUE(MID(AD276,6,2)),VALUE(MID(AD276,9,2))))),""))</x:f>
        <x:v>46222</x:v>
      </x:c>
      <x:c r="AQ276" s="24" t="n">
        <x:f>IF(AP276="","",INT('Configuration'!$B$4)-AP276)</x:f>
        <x:v>29</x:v>
      </x:c>
      <x:c r="AR276" s="25" t="str">
        <x:f>IF(AP276="","Missing Required Date",IF(AQ276&lt;0,"Future Date",IF(AQ276=0,"0 days",IF(AQ276&lt;=2,"1-2 days",IF(AQ276&lt;=7,"3-7 days",IF(AQ276&lt;=14,"8-14 days",IF(AQ276&lt;=30,"15-30 days",IF(AQ276&lt;=60,"31-60 days",IF(AQ276&lt;=70,"61-70 days","71+ days")))))))))</x:f>
        <x:v>15-30 days</x:v>
      </x:c>
      <x:c r="AS276" s="25" t="str">
        <x:f>IF(OR(E276="processing",E276="executing",E276="pending"),IF(AP276="","Required aging date missing",IF(AQ276&gt;30,"Escalate &gt;30d",IF(AQ276&gt;14,"Watch &gt;14d","Within 14d"))),"Out of scope")</x:f>
        <x:v>Watch &gt;14d</x:v>
      </x:c>
    </x:row>
    <x:row r="277" ht="24" customHeight="1">
      <x:c r="A277" t="str">
        <x:v>3e0fe2e9-5864-49ca-92cb-3ffc32c83b2f</x:v>
      </x:c>
      <x:c r="B277" t="str">
        <x:v>CSSP10989463</x:v>
      </x:c>
      <x:c r="C277" t="str">
        <x:v>ismail.azman@petronas.com</x:v>
      </x:c>
      <x:c r="D277" t="str">
        <x:v>decommission-cloud</x:v>
      </x:c>
      <x:c r="E277" t="str">
        <x:v>executing</x:v>
      </x:c>
      <x:c r="F277" t="n">
        <x:v>46209.158434537036</x:v>
      </x:c>
      <x:c r="G277" t="n">
        <x:v>46209.168637627314</x:v>
      </x:c>
      <x:c r="H277" t="n">
        <x:v>46209.158434537036</x:v>
      </x:c>
      <x:c r="I277" t="str">
        <x:v>Cloud Self Service Portal - CSSP</x:v>
      </x:c>
      <x:c r="J277" t="str">
        <x:v>Cloud Digitization - Cloud Self Service Portal</x:v>
      </x:c>
      <x:c r="K277" t="str">
        <x:v>partial</x:v>
      </x:c>
      <x:c r="L277"/>
      <x:c r="M277" t="str">
        <x:v>ahmadfajar.faeiz@petronas.com</x:v>
      </x:c>
      <x:c r="N277"/>
      <x:c r="O277"/>
      <x:c r="P277" t="str">
        <x:v>decom test ticket</x:v>
      </x:c>
      <x:c r="Q277" t="str">
        <x:v>2W</x:v>
      </x:c>
      <x:c r="R277" t="str">
        <x:v>Obsolete</x:v>
      </x:c>
      <x:c r="S277"/>
      <x:c r="T277" t="str">
        <x:v>approved</x:v>
      </x:c>
      <x:c r="U277" t="str">
        <x:v>ismail.azman@petronas.com</x:v>
      </x:c>
      <x:c r="V277" t="n">
        <x:v>46209.159640625</x:v>
      </x:c>
      <x:c r="W277" t="str">
        <x:v>proceed to decomm</x:v>
      </x:c>
      <x:c r="X277" t="str">
        <x:v>approved</x:v>
      </x:c>
      <x:c r="Y277" t="str">
        <x:v>ismail.azman@petronas.com</x:v>
      </x:c>
      <x:c r="Z277" t="n">
        <x:v>46209.160468877315</x:v>
      </x:c>
      <x:c r="AA277" t="str">
        <x:v>good to go</x:v>
      </x:c>
      <x:c r="AB277" t="str">
        <x:v>approved</x:v>
      </x:c>
      <x:c r="AC277" t="str">
        <x:v>nilesh.sankpal@petronas.com</x:v>
      </x:c>
      <x:c r="AD277" t="n">
        <x:v>46209.16863763889</x:v>
      </x:c>
      <x:c r="AE277" t="str">
        <x:v>After review, we are ok to Decommission the mentioned resources</x:v>
      </x:c>
      <x:c r="AF277"/>
      <x:c r="AG277" t="str">
        <x:v>abhishek.bhowate@petronas.com</x:v>
      </x:c>
      <x:c r="AH277"/>
      <x:c r="AI277"/>
      <x:c r="AJ277" t="str">
        <x:v>C-000040</x:v>
      </x:c>
      <x:c r="AK277" t="n">
        <x:v>1824</x:v>
      </x:c>
      <x:c r="AL277" t="str">
        <x:v>S</x:v>
      </x:c>
      <x:c r="AM277" t="str">
        <x:v>REQ000008147460</x:v>
      </x:c>
      <x:c r="AN277" t="str">
        <x:v>noretention</x:v>
      </x:c>
      <x:c r="AO277" t="n">
        <x:v>0</x:v>
      </x:c>
      <x:c r="AP277" s="23" t="n">
        <x:f>IF(E277="processing",IF(Z277="","",IF(ISNUMBER(Z277),INT(Z277),DATE(VALUE(LEFT(Z277,4)),VALUE(MID(Z277,6,2)),VALUE(MID(Z277,9,2))))),IF(OR(E277="executing",E277="pending"),IF(AD277="","",IF(ISNUMBER(AD277),INT(AD277),DATE(VALUE(LEFT(AD277,4)),VALUE(MID(AD277,6,2)),VALUE(MID(AD277,9,2))))),""))</x:f>
        <x:v>46209</x:v>
      </x:c>
      <x:c r="AQ277" s="24" t="n">
        <x:f>IF(AP277="","",INT('Configuration'!$B$4)-AP277)</x:f>
        <x:v>42</x:v>
      </x:c>
      <x:c r="AR277" s="25" t="str">
        <x:f>IF(AP277="","Missing Required Date",IF(AQ277&lt;0,"Future Date",IF(AQ277=0,"0 days",IF(AQ277&lt;=2,"1-2 days",IF(AQ277&lt;=7,"3-7 days",IF(AQ277&lt;=14,"8-14 days",IF(AQ277&lt;=30,"15-30 days",IF(AQ277&lt;=60,"31-60 days",IF(AQ277&lt;=70,"61-70 days","71+ days")))))))))</x:f>
        <x:v>31-60 days</x:v>
      </x:c>
      <x:c r="AS277" s="25" t="str">
        <x:f>IF(OR(E277="processing",E277="executing",E277="pending"),IF(AP277="","Required aging date missing",IF(AQ277&gt;30,"Escalate &gt;30d",IF(AQ277&gt;14,"Watch &gt;14d","Within 14d"))),"Out of scope")</x:f>
        <x:v>Escalate &gt;30d</x:v>
      </x:c>
    </x:row>
    <x:row r="278" ht="24" customHeight="1">
      <x:c r="A278" t="str">
        <x:v>3b04cf44-231a-4083-b189-106f3a6fb827</x:v>
      </x:c>
      <x:c r="B278" t="str">
        <x:v>CSSP10929360</x:v>
      </x:c>
      <x:c r="C278" t="str">
        <x:v>mhaikal.mzamri@petronas.com</x:v>
      </x:c>
      <x:c r="D278" t="str">
        <x:v>decommission-cloud</x:v>
      </x:c>
      <x:c r="E278" t="str">
        <x:v>rejected</x:v>
      </x:c>
      <x:c r="F278" t="n">
        <x:v>46210.073116493055</x:v>
      </x:c>
      <x:c r="G278" t="n">
        <x:v>46247.508493263886</x:v>
      </x:c>
      <x:c r="H278" t="n">
        <x:v>46210.073116493055</x:v>
      </x:c>
      <x:c r="I278" t="str">
        <x:v>Cyber Security Palo Alto Firewall</x:v>
      </x:c>
      <x:c r="J278" t="str">
        <x:v>Palo Alto Migration and Implementation in Azure</x:v>
      </x:c>
      <x:c r="K278" t="str">
        <x:v>full</x:v>
      </x:c>
      <x:c r="L278" t="str">
        <x:v>DCOM20260616612</x:v>
      </x:c>
      <x:c r="M278" t="str">
        <x:v>safura.ibadullah@petronas.com.my</x:v>
      </x:c>
      <x:c r="N278"/>
      <x:c r="O278"/>
      <x:c r="P278" t="str">
        <x:v>Palo Alto assets used during the S4HANA migration project (triggered via CSSP portal):
PTSG-3VPNSAP	172.25.1.12 / 20.153.140.54
PTSG-3VPNSAP2	172.25.1.16 / 20.157.117.98
</x:v>
      </x:c>
      <x:c r="Q278" t="str">
        <x:v>2W</x:v>
      </x:c>
      <x:c r="R278" t="str">
        <x:v>Not in Used</x:v>
      </x:c>
      <x:c r="S278"/>
      <x:c r="T278" t="str">
        <x:v>approved</x:v>
      </x:c>
      <x:c r="U278" t="str">
        <x:v>mhaikal.mzamri@petronas.com</x:v>
      </x:c>
      <x:c r="V278" t="n">
        <x:v>46210.07529043982</x:v>
      </x:c>
      <x:c r="W278" t="str">
        <x:v>Palo Alto assets used during the S4HANA migration project and no longer in used:
•	PTSG-3VPNSAP (Palo Alto P30)
•	PTSG-3VPNSAP2 (Palo Alto P50)
</x:v>
      </x:c>
      <x:c r="X278" t="str">
        <x:v>approved</x:v>
      </x:c>
      <x:c r="Y278" t="str">
        <x:v>safura.ibadullah@petronas.com</x:v>
      </x:c>
      <x:c r="Z278" t="n">
        <x:v>46210.07872971065</x:v>
      </x:c>
      <x:c r="AA278" t="str">
        <x:v>For techmod decomm</x:v>
      </x:c>
      <x:c r="AB278" t="str">
        <x:v>approved</x:v>
      </x:c>
      <x:c r="AC278" t="str">
        <x:v>samsuddin.jumbri@petronas.com</x:v>
      </x:c>
      <x:c r="AD278" t="n">
        <x:v>46219.12398013889</x:v>
      </x:c>
      <x:c r="AE278" t="str">
        <x:v>Proceed and good to go</x:v>
      </x:c>
      <x:c r="AF278" t="str">
        <x:v>rejected</x:v>
      </x:c>
      <x:c r="AG278" t="str">
        <x:v>abhishek.bhowate@petronas.com</x:v>
      </x:c>
      <x:c r="AH278" t="n">
        <x:v>46247.50849327546</x:v>
      </x:c>
      <x:c r="AI278" t="str">
        <x:v>As confirmed by requestor. rejecting the ticket.</x:v>
      </x:c>
      <x:c r="AJ278" t="str">
        <x:v>A-000172</x:v>
      </x:c>
      <x:c r="AK278" t="str">
        <x:v>AZ-00002</x:v>
      </x:c>
      <x:c r="AL278" t="str">
        <x:v>M</x:v>
      </x:c>
      <x:c r="AM278" t="str">
        <x:v>REQ000008172860</x:v>
      </x:c>
      <x:c r="AN278" t="str">
        <x:v>noretention</x:v>
      </x:c>
      <x:c r="AO278" t="n">
        <x:v>0</x:v>
      </x:c>
      <x:c r="AP278" s="23" t="str">
        <x:f>IF(E278="processing",IF(Z278="","",IF(ISNUMBER(Z278),INT(Z278),DATE(VALUE(LEFT(Z278,4)),VALUE(MID(Z278,6,2)),VALUE(MID(Z278,9,2))))),IF(OR(E278="executing",E278="pending"),IF(AD278="","",IF(ISNUMBER(AD278),INT(AD278),DATE(VALUE(LEFT(AD278,4)),VALUE(MID(AD278,6,2)),VALUE(MID(AD278,9,2))))),""))</x:f>
      </x:c>
      <x:c r="AQ278" s="24" t="str">
        <x:f>IF(AP278="","",INT('Configuration'!$B$4)-AP278)</x:f>
      </x:c>
      <x:c r="AR278" s="25" t="str">
        <x:f>IF(AP278="","Missing Required Date",IF(AQ278&lt;0,"Future Date",IF(AQ278=0,"0 days",IF(AQ278&lt;=2,"1-2 days",IF(AQ278&lt;=7,"3-7 days",IF(AQ278&lt;=14,"8-14 days",IF(AQ278&lt;=30,"15-30 days",IF(AQ278&lt;=60,"31-60 days",IF(AQ278&lt;=70,"61-70 days","71+ days")))))))))</x:f>
        <x:v>Missing Required Date</x:v>
      </x:c>
      <x:c r="AS278" s="25" t="str">
        <x:f>IF(OR(E278="processing",E278="executing",E278="pending"),IF(AP278="","Required aging date missing",IF(AQ278&gt;30,"Escalate &gt;30d",IF(AQ278&gt;14,"Watch &gt;14d","Within 14d"))),"Out of scope")</x:f>
        <x:v>Out of scope</x:v>
      </x:c>
    </x:row>
    <x:row r="279" ht="24" customHeight="1">
      <x:c r="A279" t="str">
        <x:v>73234638-91eb-4ad7-ac75-582f956d28f7</x:v>
      </x:c>
      <x:c r="B279" t="str">
        <x:v>CSSP10238313</x:v>
      </x:c>
      <x:c r="C279" t="str">
        <x:v>nurinahuda.najib@petronas.com</x:v>
      </x:c>
      <x:c r="D279" t="str">
        <x:v>decommission-cloud</x:v>
      </x:c>
      <x:c r="E279" t="str">
        <x:v>cancelled</x:v>
      </x:c>
      <x:c r="F279" t="n">
        <x:v>46210.274297083335</x:v>
      </x:c>
      <x:c r="G279" t="n">
        <x:v>46210.27563633102</x:v>
      </x:c>
      <x:c r="H279" t="n">
        <x:v>46210.274297083335</x:v>
      </x:c>
      <x:c r="I279" t="str">
        <x:v>Orion MLNG</x:v>
      </x:c>
      <x:c r="J279" t="str">
        <x:v>Full-Fledge Deployment of ORION Engine and Front-End Development</x:v>
      </x:c>
      <x:c r="K279" t="str">
        <x:v>partial</x:v>
      </x:c>
      <x:c r="L279"/>
      <x:c r="M279" t="str">
        <x:v>mohammadsani.johari@petronas.com</x:v>
      </x:c>
      <x:c r="N279"/>
      <x:c r="O279"/>
      <x:c r="P279" t="str">
        <x:v>Testing</x:v>
      </x:c>
      <x:c r="Q279" t="str">
        <x:v>12M</x:v>
      </x:c>
      <x:c r="R279" t="str">
        <x:v>Not in Used</x:v>
      </x:c>
      <x:c r="S279"/>
      <x:c r="T279" t="str">
        <x:v>rejected</x:v>
      </x:c>
      <x:c r="U279" t="str">
        <x:v>nurinahuda.najib@petronas.com</x:v>
      </x:c>
      <x:c r="V279" t="n">
        <x:v>46210.275636342594</x:v>
      </x:c>
      <x:c r="W279"/>
      <x:c r="X279"/>
      <x:c r="Y279" t="str">
        <x:v>mohammadsani.johari@petronas.com</x:v>
      </x:c>
      <x:c r="Z279"/>
      <x:c r="AA279"/>
      <x:c r="AB279"/>
      <x:c r="AC279" t="str">
        <x:v>CCoE SA</x:v>
      </x:c>
      <x:c r="AD279"/>
      <x:c r="AE279"/>
      <x:c r="AF279"/>
      <x:c r="AG279" t="str">
        <x:v>IMS - CLOUD CSSP EXECUTOR</x:v>
      </x:c>
      <x:c r="AH279"/>
      <x:c r="AI279"/>
      <x:c r="AJ279" t="str">
        <x:v>A-000530</x:v>
      </x:c>
      <x:c r="AK279" t="n">
        <x:v>3579</x:v>
      </x:c>
      <x:c r="AL279"/>
      <x:c r="AM279"/>
      <x:c r="AN279" t="str">
        <x:v>retention</x:v>
      </x:c>
      <x:c r="AO279" t="n">
        <x:v>14</x:v>
      </x:c>
      <x:c r="AP279" s="23" t="str">
        <x:f>IF(E279="processing",IF(Z279="","",IF(ISNUMBER(Z279),INT(Z279),DATE(VALUE(LEFT(Z279,4)),VALUE(MID(Z279,6,2)),VALUE(MID(Z279,9,2))))),IF(OR(E279="executing",E279="pending"),IF(AD279="","",IF(ISNUMBER(AD279),INT(AD279),DATE(VALUE(LEFT(AD279,4)),VALUE(MID(AD279,6,2)),VALUE(MID(AD279,9,2))))),""))</x:f>
      </x:c>
      <x:c r="AQ279" s="24" t="str">
        <x:f>IF(AP279="","",INT('Configuration'!$B$4)-AP279)</x:f>
      </x:c>
      <x:c r="AR279" s="25" t="str">
        <x:f>IF(AP279="","Missing Required Date",IF(AQ279&lt;0,"Future Date",IF(AQ279=0,"0 days",IF(AQ279&lt;=2,"1-2 days",IF(AQ279&lt;=7,"3-7 days",IF(AQ279&lt;=14,"8-14 days",IF(AQ279&lt;=30,"15-30 days",IF(AQ279&lt;=60,"31-60 days",IF(AQ279&lt;=70,"61-70 days","71+ days")))))))))</x:f>
        <x:v>Missing Required Date</x:v>
      </x:c>
      <x:c r="AS279" s="25" t="str">
        <x:f>IF(OR(E279="processing",E279="executing",E279="pending"),IF(AP279="","Required aging date missing",IF(AQ279&gt;30,"Escalate &gt;30d",IF(AQ279&gt;14,"Watch &gt;14d","Within 14d"))),"Out of scope")</x:f>
        <x:v>Out of scope</x:v>
      </x:c>
    </x:row>
    <x:row r="280" ht="24" customHeight="1">
      <x:c r="A280" t="str">
        <x:v>294a06bd-aab4-4d62-ab09-7aec3ee1aa1b</x:v>
      </x:c>
      <x:c r="B280" t="str">
        <x:v>CSSP10108409</x:v>
      </x:c>
      <x:c r="C280" t="str">
        <x:v>nurinahuda.najib@petronas.com</x:v>
      </x:c>
      <x:c r="D280" t="str">
        <x:v>decommission-cloud</x:v>
      </x:c>
      <x:c r="E280" t="str">
        <x:v>cancelled</x:v>
      </x:c>
      <x:c r="F280" t="n">
        <x:v>46210.28546289352</x:v>
      </x:c>
      <x:c r="G280" t="n">
        <x:v>46210.289554710645</x:v>
      </x:c>
      <x:c r="H280" t="n">
        <x:v>46210.28546289352</x:v>
      </x:c>
      <x:c r="I280" t="str">
        <x:v>GPU Technical Centre - GTC Dashboard</x:v>
      </x:c>
      <x:c r="J280" t="str">
        <x:v>Enhancement of GTC 2.0</x:v>
      </x:c>
      <x:c r="K280" t="str">
        <x:v>partial</x:v>
      </x:c>
      <x:c r="L280"/>
      <x:c r="M280" t="str">
        <x:v>mohammadsani.johari@petronas.com</x:v>
      </x:c>
      <x:c r="N280"/>
      <x:c r="O280"/>
      <x:c r="P280" t="str">
        <x:v>testing</x:v>
      </x:c>
      <x:c r="Q280" t="str">
        <x:v>2W</x:v>
      </x:c>
      <x:c r="R280" t="str">
        <x:v>Not in Used</x:v>
      </x:c>
      <x:c r="S280"/>
      <x:c r="T280" t="str">
        <x:v>rejected</x:v>
      </x:c>
      <x:c r="U280" t="str">
        <x:v>nurinahuda.najib@petronas.com</x:v>
      </x:c>
      <x:c r="V280" t="n">
        <x:v>46210.28955472222</x:v>
      </x:c>
      <x:c r="W280"/>
      <x:c r="X280"/>
      <x:c r="Y280" t="str">
        <x:v>mohammadsani.johari@petronas.com</x:v>
      </x:c>
      <x:c r="Z280"/>
      <x:c r="AA280"/>
      <x:c r="AB280"/>
      <x:c r="AC280" t="str">
        <x:v>CCoE SA</x:v>
      </x:c>
      <x:c r="AD280"/>
      <x:c r="AE280"/>
      <x:c r="AF280"/>
      <x:c r="AG280" t="str">
        <x:v>IMS - CLOUD CSSP EXECUTOR</x:v>
      </x:c>
      <x:c r="AH280"/>
      <x:c r="AI280"/>
      <x:c r="AJ280" t="str">
        <x:v>A-000346</x:v>
      </x:c>
      <x:c r="AK280" t="n">
        <x:v>3114</x:v>
      </x:c>
      <x:c r="AL280"/>
      <x:c r="AM280"/>
      <x:c r="AN280" t="str">
        <x:v>retention</x:v>
      </x:c>
      <x:c r="AO280" t="n">
        <x:v>14</x:v>
      </x:c>
      <x:c r="AP280" s="23" t="str">
        <x:f>IF(E280="processing",IF(Z280="","",IF(ISNUMBER(Z280),INT(Z280),DATE(VALUE(LEFT(Z280,4)),VALUE(MID(Z280,6,2)),VALUE(MID(Z280,9,2))))),IF(OR(E280="executing",E280="pending"),IF(AD280="","",IF(ISNUMBER(AD280),INT(AD280),DATE(VALUE(LEFT(AD280,4)),VALUE(MID(AD280,6,2)),VALUE(MID(AD280,9,2))))),""))</x:f>
      </x:c>
      <x:c r="AQ280" s="24" t="str">
        <x:f>IF(AP280="","",INT('Configuration'!$B$4)-AP280)</x:f>
      </x:c>
      <x:c r="AR280" s="25" t="str">
        <x:f>IF(AP280="","Missing Required Date",IF(AQ280&lt;0,"Future Date",IF(AQ280=0,"0 days",IF(AQ280&lt;=2,"1-2 days",IF(AQ280&lt;=7,"3-7 days",IF(AQ280&lt;=14,"8-14 days",IF(AQ280&lt;=30,"15-30 days",IF(AQ280&lt;=60,"31-60 days",IF(AQ280&lt;=70,"61-70 days","71+ days")))))))))</x:f>
        <x:v>Missing Required Date</x:v>
      </x:c>
      <x:c r="AS280" s="25" t="str">
        <x:f>IF(OR(E280="processing",E280="executing",E280="pending"),IF(AP280="","Required aging date missing",IF(AQ280&gt;30,"Escalate &gt;30d",IF(AQ280&gt;14,"Watch &gt;14d","Within 14d"))),"Out of scope")</x:f>
        <x:v>Out of scope</x:v>
      </x:c>
    </x:row>
    <x:row r="281" ht="24" customHeight="1">
      <x:c r="A281" t="str">
        <x:v>1bb9963b-ea60-4eab-bc86-7e08b95b7fa1</x:v>
      </x:c>
      <x:c r="B281" t="str">
        <x:v>CSSP10891746</x:v>
      </x:c>
      <x:c r="C281" t="str">
        <x:v>mhaikal.mzamri@petronas.com</x:v>
      </x:c>
      <x:c r="D281" t="str">
        <x:v>decommission-cloud</x:v>
      </x:c>
      <x:c r="E281" t="str">
        <x:v>executing</x:v>
      </x:c>
      <x:c r="F281" t="n">
        <x:v>46210.336582268515</x:v>
      </x:c>
      <x:c r="G281" t="n">
        <x:v>46222.86333241898</x:v>
      </x:c>
      <x:c r="H281" t="n">
        <x:v>46212.15840769676</x:v>
      </x:c>
      <x:c r="I281" t="str">
        <x:v>SAP Y40</x:v>
      </x:c>
      <x:c r="J281" t="str">
        <x:v>Implementation of Group Reporting (GR) Data Readiness and Rollout</x:v>
      </x:c>
      <x:c r="K281" t="str">
        <x:v>full</x:v>
      </x:c>
      <x:c r="L281" t="str">
        <x:v>DCOM20260709826</x:v>
      </x:c>
      <x:c r="M281" t="str">
        <x:v>safura.ibadullah@petronas.com.my</x:v>
      </x:c>
      <x:c r="N281"/>
      <x:c r="O281"/>
      <x:c r="P281" t="str">
        <x:v>Palo Alto assets used during the S4HANA migration project (triggered via CSSP portal): PTSG-3VPNSAP 172.25.1.12 / 20.153.140.54 PTSG-3VPNSAP2 172.25.1.16 / 20.157.117.98</x:v>
      </x:c>
      <x:c r="Q281" t="str">
        <x:v>2W</x:v>
      </x:c>
      <x:c r="R281" t="str">
        <x:v>Not in Used</x:v>
      </x:c>
      <x:c r="S281"/>
      <x:c r="T281" t="str">
        <x:v>approved</x:v>
      </x:c>
      <x:c r="U281" t="str">
        <x:v>mhaikal.mzamri@petronas.com</x:v>
      </x:c>
      <x:c r="V281" t="n">
        <x:v>46212.15890844908</x:v>
      </x:c>
      <x:c r="W281" t="str">
        <x:v>Palo Alto assets used during the S4HANA migration project (triggered via CSSP portal): PTSG-3VPNSAP 172.25.1.12 / 20.153.140.54 PTSG-3VPNSAP2 172.25.1.16 / 20.157.117.98</x:v>
      </x:c>
      <x:c r="X281" t="str">
        <x:v>approved</x:v>
      </x:c>
      <x:c r="Y281" t="str">
        <x:v>safura.ibadullah@petronas.com</x:v>
      </x:c>
      <x:c r="Z281" t="n">
        <x:v>46212.16088033565</x:v>
      </x:c>
      <x:c r="AA281" t="str">
        <x:v>Phoenix decommission</x:v>
      </x:c>
      <x:c r="AB281" t="str">
        <x:v>approved</x:v>
      </x:c>
      <x:c r="AC281" t="str">
        <x:v>abhishek.bhowate@petronas.com</x:v>
      </x:c>
      <x:c r="AD281" t="n">
        <x:v>46222.863332430556</x:v>
      </x:c>
      <x:c r="AE281" t="str">
        <x:v>Approve</x:v>
      </x:c>
      <x:c r="AF281"/>
      <x:c r="AG281" t="str">
        <x:v>venkatesh.kalikivayi@petronas.com</x:v>
      </x:c>
      <x:c r="AH281"/>
      <x:c r="AI281"/>
      <x:c r="AJ281" t="str">
        <x:v>A-001237</x:v>
      </x:c>
      <x:c r="AK281" t="str">
        <x:v>OSR00413</x:v>
      </x:c>
      <x:c r="AL281" t="str">
        <x:v>S</x:v>
      </x:c>
      <x:c r="AM281" t="str">
        <x:v>REQ000008178974</x:v>
      </x:c>
      <x:c r="AN281" t="str">
        <x:v>noretention</x:v>
      </x:c>
      <x:c r="AO281" t="n">
        <x:v>0</x:v>
      </x:c>
      <x:c r="AP281" s="23" t="n">
        <x:f>IF(E281="processing",IF(Z281="","",IF(ISNUMBER(Z281),INT(Z281),DATE(VALUE(LEFT(Z281,4)),VALUE(MID(Z281,6,2)),VALUE(MID(Z281,9,2))))),IF(OR(E281="executing",E281="pending"),IF(AD281="","",IF(ISNUMBER(AD281),INT(AD281),DATE(VALUE(LEFT(AD281,4)),VALUE(MID(AD281,6,2)),VALUE(MID(AD281,9,2))))),""))</x:f>
        <x:v>46222</x:v>
      </x:c>
      <x:c r="AQ281" s="24" t="n">
        <x:f>IF(AP281="","",INT('Configuration'!$B$4)-AP281)</x:f>
        <x:v>29</x:v>
      </x:c>
      <x:c r="AR281" s="25" t="str">
        <x:f>IF(AP281="","Missing Required Date",IF(AQ281&lt;0,"Future Date",IF(AQ281=0,"0 days",IF(AQ281&lt;=2,"1-2 days",IF(AQ281&lt;=7,"3-7 days",IF(AQ281&lt;=14,"8-14 days",IF(AQ281&lt;=30,"15-30 days",IF(AQ281&lt;=60,"31-60 days",IF(AQ281&lt;=70,"61-70 days","71+ days")))))))))</x:f>
        <x:v>15-30 days</x:v>
      </x:c>
      <x:c r="AS281" s="25" t="str">
        <x:f>IF(OR(E281="processing",E281="executing",E281="pending"),IF(AP281="","Required aging date missing",IF(AQ281&gt;30,"Escalate &gt;30d",IF(AQ281&gt;14,"Watch &gt;14d","Within 14d"))),"Out of scope")</x:f>
        <x:v>Watch &gt;14d</x:v>
      </x:c>
    </x:row>
    <x:row r="282" ht="24" customHeight="1">
      <x:c r="A282" t="str">
        <x:v>6bad1de4-dcf5-43a1-8143-51a595a5dec7</x:v>
      </x:c>
      <x:c r="B282" t="str">
        <x:v>CSSP10762225</x:v>
      </x:c>
      <x:c r="C282" t="str">
        <x:v>mzurfaiezzuddin.zur@petronas.com</x:v>
      </x:c>
      <x:c r="D282" t="str">
        <x:v>decommission-cloud</x:v>
      </x:c>
      <x:c r="E282" t="str">
        <x:v>completed</x:v>
      </x:c>
      <x:c r="F282" t="n">
        <x:v>46211.33932381945</x:v>
      </x:c>
      <x:c r="G282" t="n">
        <x:v>46248.406909375</x:v>
      </x:c>
      <x:c r="H282" t="n">
        <x:v>46211.33932381945</x:v>
      </x:c>
      <x:c r="I282" t="str">
        <x:v>myCyberisk</x:v>
      </x:c>
      <x:c r="J282" t="str">
        <x:v>CS Identity Governance and Administration</x:v>
      </x:c>
      <x:c r="K282" t="str">
        <x:v>partial</x:v>
      </x:c>
      <x:c r="L282"/>
      <x:c r="M282" t="str">
        <x:v>sazali.mokhtar@petronas.com</x:v>
      </x:c>
      <x:c r="N282"/>
      <x:c r="O282"/>
      <x:c r="P282" t="str">
        <x:v>Cloud Repatriation - To decommission old resources in Singapore region due to completed migration in MY region</x:v>
      </x:c>
      <x:c r="Q282" t="str">
        <x:v>2W</x:v>
      </x:c>
      <x:c r="R282" t="str">
        <x:v>Cloud Migration</x:v>
      </x:c>
      <x:c r="S282"/>
      <x:c r="T282" t="str">
        <x:v>approved</x:v>
      </x:c>
      <x:c r="U282" t="str">
        <x:v>mzurfaiezzuddin.zur@petronas.com</x:v>
      </x:c>
      <x:c r="V282" t="n">
        <x:v>46211.339671319445</x:v>
      </x:c>
      <x:c r="W282" t="str">
        <x:v>Cloud Repatriation - To decommission old resources in Singapore region due to completed migration in MY region</x:v>
      </x:c>
      <x:c r="X282" t="str">
        <x:v>approved</x:v>
      </x:c>
      <x:c r="Y282" t="str">
        <x:v>sazali.mokhtar@petronas.com</x:v>
      </x:c>
      <x:c r="Z282" t="n">
        <x:v>46212.26427876158</x:v>
      </x:c>
      <x:c r="AA282" t="str">
        <x:v>Cloud Repatriation - To decommission old resources in Singapore region due to completed migration in MY region</x:v>
      </x:c>
      <x:c r="AB282" t="str">
        <x:v>approved</x:v>
      </x:c>
      <x:c r="AC282" t="str">
        <x:v>abhishek.bhowate@petronas.com</x:v>
      </x:c>
      <x:c r="AD282" t="n">
        <x:v>46222.86734626158</x:v>
      </x:c>
      <x:c r="AE282" t="str">
        <x:v>Approve</x:v>
      </x:c>
      <x:c r="AF282" t="str">
        <x:v>approved</x:v>
      </x:c>
      <x:c r="AG282" t="str">
        <x:v>swaminadh.chirakala@petronas.com</x:v>
      </x:c>
      <x:c r="AH282" t="n">
        <x:v>46248.40690938658</x:v>
      </x:c>
      <x:c r="AI282" t="str">
        <x:v>The mentioned resources have been deleted successfully as per the request. Hence closing this ticket.</x:v>
      </x:c>
      <x:c r="AJ282" t="str">
        <x:v>A-001254</x:v>
      </x:c>
      <x:c r="AK282" t="str">
        <x:v>PC-00081</x:v>
      </x:c>
      <x:c r="AL282" t="str">
        <x:v>M</x:v>
      </x:c>
      <x:c r="AM282" t="str">
        <x:v>REQ000008178976</x:v>
      </x:c>
      <x:c r="AN282" t="str">
        <x:v>noretention</x:v>
      </x:c>
      <x:c r="AO282" t="n">
        <x:v>0</x:v>
      </x:c>
      <x:c r="AP282" s="23" t="str">
        <x:f>IF(E282="processing",IF(Z282="","",IF(ISNUMBER(Z282),INT(Z282),DATE(VALUE(LEFT(Z282,4)),VALUE(MID(Z282,6,2)),VALUE(MID(Z282,9,2))))),IF(OR(E282="executing",E282="pending"),IF(AD282="","",IF(ISNUMBER(AD282),INT(AD282),DATE(VALUE(LEFT(AD282,4)),VALUE(MID(AD282,6,2)),VALUE(MID(AD282,9,2))))),""))</x:f>
      </x:c>
      <x:c r="AQ282" s="24" t="str">
        <x:f>IF(AP282="","",INT('Configuration'!$B$4)-AP282)</x:f>
      </x:c>
      <x:c r="AR282" s="25" t="str">
        <x:f>IF(AP282="","Missing Required Date",IF(AQ282&lt;0,"Future Date",IF(AQ282=0,"0 days",IF(AQ282&lt;=2,"1-2 days",IF(AQ282&lt;=7,"3-7 days",IF(AQ282&lt;=14,"8-14 days",IF(AQ282&lt;=30,"15-30 days",IF(AQ282&lt;=60,"31-60 days",IF(AQ282&lt;=70,"61-70 days","71+ days")))))))))</x:f>
        <x:v>Missing Required Date</x:v>
      </x:c>
      <x:c r="AS282" s="25" t="str">
        <x:f>IF(OR(E282="processing",E282="executing",E282="pending"),IF(AP282="","Required aging date missing",IF(AQ282&gt;30,"Escalate &gt;30d",IF(AQ282&gt;14,"Watch &gt;14d","Within 14d"))),"Out of scope")</x:f>
        <x:v>Out of scope</x:v>
      </x:c>
    </x:row>
    <x:row r="283" ht="24" customHeight="1">
      <x:c r="A283" t="str">
        <x:v>bef4104a-a4e3-4ca1-b4fd-56a1729def1f</x:v>
      </x:c>
      <x:c r="B283" t="str">
        <x:v>CSSP10995799</x:v>
      </x:c>
      <x:c r="C283" t="str">
        <x:v>mzurfaiezzuddin.zur@petronas.com</x:v>
      </x:c>
      <x:c r="D283" t="str">
        <x:v>decommission-cloud</x:v>
      </x:c>
      <x:c r="E283" t="str">
        <x:v>completed</x:v>
      </x:c>
      <x:c r="F283" t="n">
        <x:v>46212.03723253472</x:v>
      </x:c>
      <x:c r="G283" t="n">
        <x:v>46234.47030501157</x:v>
      </x:c>
      <x:c r="H283" t="n">
        <x:v>46212.03723253472</x:v>
      </x:c>
      <x:c r="I283" t="str">
        <x:v>ABB Smart Sensor Interface Agent</x:v>
      </x:c>
      <x:c r="J283" t="str">
        <x:v>Integrating MLNG ABB Ability Smart Sensor with MLNG PI Management System</x:v>
      </x:c>
      <x:c r="K283" t="str">
        <x:v>partial</x:v>
      </x:c>
      <x:c r="L283"/>
      <x:c r="M283" t="str">
        <x:v>sazali.mokhtar@petronas.com</x:v>
      </x:c>
      <x:c r="N283"/>
      <x:c r="O283"/>
      <x:c r="P283" t="str">
        <x:v>Cloud Repatriation - To decommission old resources in Singapore region due to completed migration in MY region</x:v>
      </x:c>
      <x:c r="Q283" t="str">
        <x:v>2W</x:v>
      </x:c>
      <x:c r="R283" t="str">
        <x:v>Cloud Migration</x:v>
      </x:c>
      <x:c r="S283"/>
      <x:c r="T283" t="str">
        <x:v>approved</x:v>
      </x:c>
      <x:c r="U283" t="str">
        <x:v>mzurfaiezzuddin.zur@petronas.com</x:v>
      </x:c>
      <x:c r="V283" t="n">
        <x:v>46212.04328203704</x:v>
      </x:c>
      <x:c r="W283" t="str">
        <x:v>Cloud Repatriation - To decommission old resources in Singapore region due to completed migration in MY region</x:v>
      </x:c>
      <x:c r="X283" t="str">
        <x:v>approved</x:v>
      </x:c>
      <x:c r="Y283" t="str">
        <x:v>sazali.mokhtar@petronas.com</x:v>
      </x:c>
      <x:c r="Z283" t="n">
        <x:v>46212.24629915509</x:v>
      </x:c>
      <x:c r="AA283" t="str">
        <x:v>Cloud Repatriation - To decommission old resources in Singapore region due to completed migration in MY region</x:v>
      </x:c>
      <x:c r="AB283" t="str">
        <x:v>approved</x:v>
      </x:c>
      <x:c r="AC283" t="str">
        <x:v>abhishek.bhowate@petronas.com</x:v>
      </x:c>
      <x:c r="AD283" t="n">
        <x:v>46222.86484152778</x:v>
      </x:c>
      <x:c r="AE283" t="str">
        <x:v>Approve</x:v>
      </x:c>
      <x:c r="AF283" t="str">
        <x:v>approved</x:v>
      </x:c>
      <x:c r="AG283" t="str">
        <x:v>venkatesh.kalikivayi@petronas.com</x:v>
      </x:c>
      <x:c r="AH283" t="n">
        <x:v>46234.47030502315</x:v>
      </x:c>
      <x:c r="AI283" t="str">
        <x:v>The decommissioning has been completed as mentioned. Since these resources belong to the Singapore region, we are proceeding with closing the ticket.</x:v>
      </x:c>
      <x:c r="AJ283" t="str">
        <x:v>A-000001</x:v>
      </x:c>
      <x:c r="AK283" t="n">
        <x:v>4202</x:v>
      </x:c>
      <x:c r="AL283" t="str">
        <x:v>M</x:v>
      </x:c>
      <x:c r="AM283" t="str">
        <x:v>REQ000008178975</x:v>
      </x:c>
      <x:c r="AN283" t="str">
        <x:v>noretention</x:v>
      </x:c>
      <x:c r="AO283" t="n">
        <x:v>0</x:v>
      </x:c>
      <x:c r="AP283" s="23" t="str">
        <x:f>IF(E283="processing",IF(Z283="","",IF(ISNUMBER(Z283),INT(Z283),DATE(VALUE(LEFT(Z283,4)),VALUE(MID(Z283,6,2)),VALUE(MID(Z283,9,2))))),IF(OR(E283="executing",E283="pending"),IF(AD283="","",IF(ISNUMBER(AD283),INT(AD283),DATE(VALUE(LEFT(AD283,4)),VALUE(MID(AD283,6,2)),VALUE(MID(AD283,9,2))))),""))</x:f>
      </x:c>
      <x:c r="AQ283" s="24" t="str">
        <x:f>IF(AP283="","",INT('Configuration'!$B$4)-AP283)</x:f>
      </x:c>
      <x:c r="AR283" s="25" t="str">
        <x:f>IF(AP283="","Missing Required Date",IF(AQ283&lt;0,"Future Date",IF(AQ283=0,"0 days",IF(AQ283&lt;=2,"1-2 days",IF(AQ283&lt;=7,"3-7 days",IF(AQ283&lt;=14,"8-14 days",IF(AQ283&lt;=30,"15-30 days",IF(AQ283&lt;=60,"31-60 days",IF(AQ283&lt;=70,"61-70 days","71+ days")))))))))</x:f>
        <x:v>Missing Required Date</x:v>
      </x:c>
      <x:c r="AS283" s="25" t="str">
        <x:f>IF(OR(E283="processing",E283="executing",E283="pending"),IF(AP283="","Required aging date missing",IF(AQ283&gt;30,"Escalate &gt;30d",IF(AQ283&gt;14,"Watch &gt;14d","Within 14d"))),"Out of scope")</x:f>
        <x:v>Out of scope</x:v>
      </x:c>
    </x:row>
    <x:row r="284" ht="24" customHeight="1">
      <x:c r="A284" t="str">
        <x:v>cd518c47-6db3-465b-9ef3-95e74baadf32</x:v>
      </x:c>
      <x:c r="B284" t="str">
        <x:v>CSSP10531255</x:v>
      </x:c>
      <x:c r="C284" t="str">
        <x:v>hasnulauzani.hassan@petronas.com</x:v>
      </x:c>
      <x:c r="D284" t="str">
        <x:v>decommission-cloud</x:v>
      </x:c>
      <x:c r="E284" t="str">
        <x:v>rejected</x:v>
      </x:c>
      <x:c r="F284" t="n">
        <x:v>46212.09584033565</x:v>
      </x:c>
      <x:c r="G284" t="n">
        <x:v>46212.13231207176</x:v>
      </x:c>
      <x:c r="H284" t="n">
        <x:v>46212.09584033565</x:v>
      </x:c>
      <x:c r="I284" t="str">
        <x:v>Scaffolding Web - SISFOLDs</x:v>
      </x:c>
      <x:c r="J284" t="str">
        <x:v>Development of Real-time Monitoring of Scaffolding Web-based Application for GTS</x:v>
      </x:c>
      <x:c r="K284" t="str">
        <x:v>full</x:v>
      </x:c>
      <x:c r="L284" t="str">
        <x:v>S000004981</x:v>
      </x:c>
      <x:c r="M284" t="str">
        <x:v>hasnulauzani.hassan@petronas.com</x:v>
      </x:c>
      <x:c r="N284" t="str">
        <x:v>sisfolds.petronas.com</x:v>
      </x:c>
      <x:c r="O284" t="n">
        <x:v>1997</x:v>
      </x:c>
      <x:c r="P284" t="str">
        <x:v>Has been instruct by business to close the project</x:v>
      </x:c>
      <x:c r="Q284" t="str">
        <x:v>6M</x:v>
      </x:c>
      <x:c r="R284" t="str">
        <x:v>Not in Used</x:v>
      </x:c>
      <x:c r="S284"/>
      <x:c r="T284" t="str">
        <x:v>approved</x:v>
      </x:c>
      <x:c r="U284" t="str">
        <x:v>hasnulauzani.hassan@petronas.com</x:v>
      </x:c>
      <x:c r="V284" t="n">
        <x:v>46212.09809165509</x:v>
      </x:c>
      <x:c r="W284" t="str">
        <x:v>as per request, please proceed</x:v>
      </x:c>
      <x:c r="X284" t="str">
        <x:v>approved</x:v>
      </x:c>
      <x:c r="Y284" t="str">
        <x:v>hasnulauzani.hassan@petronas.com</x:v>
      </x:c>
      <x:c r="Z284" t="n">
        <x:v>46212.09867865741</x:v>
      </x:c>
      <x:c r="AA284" t="str">
        <x:v>approved</x:v>
      </x:c>
      <x:c r="AB284" t="str">
        <x:v>rejected</x:v>
      </x:c>
      <x:c r="AC284" t="str">
        <x:v>samsuddin.jumbri@petronas.com</x:v>
      </x:c>
      <x:c r="AD284" t="n">
        <x:v>46212.13231209491</x:v>
      </x:c>
      <x:c r="AE284" t="str">
        <x:v>Cancel as requested</x:v>
      </x:c>
      <x:c r="AF284"/>
      <x:c r="AG284" t="str">
        <x:v>IMS - CLOUD CSSP EXECUTOR</x:v>
      </x:c>
      <x:c r="AH284"/>
      <x:c r="AI284"/>
      <x:c r="AJ284" t="str">
        <x:v>A-000765</x:v>
      </x:c>
      <x:c r="AK284" t="n">
        <x:v>1997</x:v>
      </x:c>
      <x:c r="AL284"/>
      <x:c r="AM284"/>
      <x:c r="AN284" t="str">
        <x:v>retention</x:v>
      </x:c>
      <x:c r="AO284" t="n">
        <x:v>180</x:v>
      </x:c>
      <x:c r="AP284" s="23" t="str">
        <x:f>IF(E284="processing",IF(Z284="","",IF(ISNUMBER(Z284),INT(Z284),DATE(VALUE(LEFT(Z284,4)),VALUE(MID(Z284,6,2)),VALUE(MID(Z284,9,2))))),IF(OR(E284="executing",E284="pending"),IF(AD284="","",IF(ISNUMBER(AD284),INT(AD284),DATE(VALUE(LEFT(AD284,4)),VALUE(MID(AD284,6,2)),VALUE(MID(AD284,9,2))))),""))</x:f>
      </x:c>
      <x:c r="AQ284" s="24" t="str">
        <x:f>IF(AP284="","",INT('Configuration'!$B$4)-AP284)</x:f>
      </x:c>
      <x:c r="AR284" s="25" t="str">
        <x:f>IF(AP284="","Missing Required Date",IF(AQ284&lt;0,"Future Date",IF(AQ284=0,"0 days",IF(AQ284&lt;=2,"1-2 days",IF(AQ284&lt;=7,"3-7 days",IF(AQ284&lt;=14,"8-14 days",IF(AQ284&lt;=30,"15-30 days",IF(AQ284&lt;=60,"31-60 days",IF(AQ284&lt;=70,"61-70 days","71+ days")))))))))</x:f>
        <x:v>Missing Required Date</x:v>
      </x:c>
      <x:c r="AS284" s="25" t="str">
        <x:f>IF(OR(E284="processing",E284="executing",E284="pending"),IF(AP284="","Required aging date missing",IF(AQ284&gt;30,"Escalate &gt;30d",IF(AQ284&gt;14,"Watch &gt;14d","Within 14d"))),"Out of scope")</x:f>
        <x:v>Out of scope</x:v>
      </x:c>
    </x:row>
    <x:row r="285" ht="24" customHeight="1">
      <x:c r="A285" t="str">
        <x:v>d1fce0cf-1111-48ca-8ced-3118df7b697a</x:v>
      </x:c>
      <x:c r="B285" t="str">
        <x:v>CSSP10720428</x:v>
      </x:c>
      <x:c r="C285" t="str">
        <x:v>chong.yapweeshan@petronas.com</x:v>
      </x:c>
      <x:c r="D285" t="str">
        <x:v>decommission-cloud</x:v>
      </x:c>
      <x:c r="E285" t="str">
        <x:v>cancelled</x:v>
      </x:c>
      <x:c r="F285" t="n">
        <x:v>46212.43208709491</x:v>
      </x:c>
      <x:c r="G285" t="n">
        <x:v>46230.12956197916</x:v>
      </x:c>
      <x:c r="H285" t="n">
        <x:v>46230.11869783565</x:v>
      </x:c>
      <x:c r="I285" t="str">
        <x:v>PI SQL DAS</x:v>
      </x:c>
      <x:c r="J285" t="str">
        <x:v>PI SQL DAS created for PRIVATECLOUD project record</x:v>
      </x:c>
      <x:c r="K285" t="str">
        <x:v>full</x:v>
      </x:c>
      <x:c r="L285" t="str">
        <x:v>DCOM202607202fd</x:v>
      </x:c>
      <x:c r="M285" t="str">
        <x:v>mnasuha_ismail@petronas.com</x:v>
      </x:c>
      <x:c r="N285"/>
      <x:c r="O285"/>
      <x:c r="P285" t="str">
        <x:v>The application and its associated cloud resources are no longer required for business operations. The project has been completed and there are no active users, business processes, or integrations dependent on this application. Decommissioning is requested to eliminate unnecessary operational and maintenance costs, reduce cybersecurity exposure, and ensure cloud resource optimization. Relevant stakeholders have been informed, and any required data will be retained according to PETRONAS data retention policies before final disposal or archival. All associated cloud resources, services, and configurations under this application are requested for decommissioning.</x:v>
      </x:c>
      <x:c r="Q285" t="str">
        <x:v>2W</x:v>
      </x:c>
      <x:c r="R285" t="str">
        <x:v>Cloud Migration</x:v>
      </x:c>
      <x:c r="S285"/>
      <x:c r="T285" t="str">
        <x:v>rejected</x:v>
      </x:c>
      <x:c r="U285" t="str">
        <x:v>chong.yapweeshan@petronas.com</x:v>
      </x:c>
      <x:c r="V285" t="n">
        <x:v>46230.12956199074</x:v>
      </x:c>
      <x:c r="W285"/>
      <x:c r="X285"/>
      <x:c r="Y285" t="str">
        <x:v>mnasuha_ismail@petronas.com</x:v>
      </x:c>
      <x:c r="Z285"/>
      <x:c r="AA285"/>
      <x:c r="AB285"/>
      <x:c r="AC285" t="str">
        <x:v>CCoE Business</x:v>
      </x:c>
      <x:c r="AD285"/>
      <x:c r="AE285"/>
      <x:c r="AF285"/>
      <x:c r="AG285" t="str">
        <x:v>CCoE Business</x:v>
      </x:c>
      <x:c r="AH285"/>
      <x:c r="AI285"/>
      <x:c r="AJ285" t="str">
        <x:v>A-000567</x:v>
      </x:c>
      <x:c r="AK285" t="str">
        <x:v>10135_01</x:v>
      </x:c>
      <x:c r="AL285" t="str">
        <x:v>M</x:v>
      </x:c>
      <x:c r="AM285"/>
      <x:c r="AN285" t="str">
        <x:v>disposal</x:v>
      </x:c>
      <x:c r="AO285" t="n">
        <x:v>0</x:v>
      </x:c>
      <x:c r="AP285" s="23" t="str">
        <x:f>IF(E285="processing",IF(Z285="","",IF(ISNUMBER(Z285),INT(Z285),DATE(VALUE(LEFT(Z285,4)),VALUE(MID(Z285,6,2)),VALUE(MID(Z285,9,2))))),IF(OR(E285="executing",E285="pending"),IF(AD285="","",IF(ISNUMBER(AD285),INT(AD285),DATE(VALUE(LEFT(AD285,4)),VALUE(MID(AD285,6,2)),VALUE(MID(AD285,9,2))))),""))</x:f>
      </x:c>
      <x:c r="AQ285" s="24" t="str">
        <x:f>IF(AP285="","",INT('Configuration'!$B$4)-AP285)</x:f>
      </x:c>
      <x:c r="AR285" s="25" t="str">
        <x:f>IF(AP285="","Missing Required Date",IF(AQ285&lt;0,"Future Date",IF(AQ285=0,"0 days",IF(AQ285&lt;=2,"1-2 days",IF(AQ285&lt;=7,"3-7 days",IF(AQ285&lt;=14,"8-14 days",IF(AQ285&lt;=30,"15-30 days",IF(AQ285&lt;=60,"31-60 days",IF(AQ285&lt;=70,"61-70 days","71+ days")))))))))</x:f>
        <x:v>Missing Required Date</x:v>
      </x:c>
      <x:c r="AS285" s="25" t="str">
        <x:f>IF(OR(E285="processing",E285="executing",E285="pending"),IF(AP285="","Required aging date missing",IF(AQ285&gt;30,"Escalate &gt;30d",IF(AQ285&gt;14,"Watch &gt;14d","Within 14d"))),"Out of scope")</x:f>
        <x:v>Out of scope</x:v>
      </x:c>
    </x:row>
    <x:row r="286" ht="24" customHeight="1">
      <x:c r="A286" t="str">
        <x:v>107384c0-e66e-463d-953b-217be54e910e</x:v>
      </x:c>
      <x:c r="B286" t="str">
        <x:v>CSSP10212226</x:v>
      </x:c>
      <x:c r="C286" t="str">
        <x:v>ahmadzafri.bahruddi@petronas.com</x:v>
      </x:c>
      <x:c r="D286" t="str">
        <x:v>decommission-cloud</x:v>
      </x:c>
      <x:c r="E286" t="str">
        <x:v>rejected</x:v>
      </x:c>
      <x:c r="F286" t="n">
        <x:v>46213.07587305555</x:v>
      </x:c>
      <x:c r="G286" t="n">
        <x:v>46248.32243903935</x:v>
      </x:c>
      <x:c r="H286" t="n">
        <x:v>46216.40272121528</x:v>
      </x:c>
      <x:c r="I286" t="str">
        <x:v>Rystad Energy Auth Server</x:v>
      </x:c>
      <x:c r="J286" t="str">
        <x:v>Hosting of Rystad Energy Ucube and Database for Upstream Strategy &amp; Commercial</x:v>
      </x:c>
      <x:c r="K286" t="str">
        <x:v>full</x:v>
      </x:c>
      <x:c r="L286" t="str">
        <x:v>DCOM20260713dd2</x:v>
      </x:c>
      <x:c r="M286" t="str">
        <x:v>adelizafahrina.azaw@petronas.com.my</x:v>
      </x:c>
      <x:c r="N286"/>
      <x:c r="O286"/>
      <x:c r="P286" t="str">
        <x:v>Have obtained the approval from Product Owner to proceed with discontinuation and the decommisioning of Rystad</x:v>
      </x:c>
      <x:c r="Q286" t="str">
        <x:v>12M</x:v>
      </x:c>
      <x:c r="R286" t="str">
        <x:v>Obsolete</x:v>
      </x:c>
      <x:c r="S286"/>
      <x:c r="T286" t="str">
        <x:v>approved</x:v>
      </x:c>
      <x:c r="U286" t="str">
        <x:v>ahmadzafri.bahruddi@petronas.com</x:v>
      </x:c>
      <x:c r="V286" t="n">
        <x:v>46217.08233726852</x:v>
      </x:c>
      <x:c r="W286" t="str">
        <x:v>All resources belongs to rystad applications</x:v>
      </x:c>
      <x:c r="X286" t="str">
        <x:v>approved</x:v>
      </x:c>
      <x:c r="Y286" t="str">
        <x:v>ismail.azman@petronas.com</x:v>
      </x:c>
      <x:c r="Z286" t="n">
        <x:v>46248.321923344905</x:v>
      </x:c>
      <x:c r="AA286" t="str">
        <x:v>cancelled as per requested by requestor</x:v>
      </x:c>
      <x:c r="AB286" t="str">
        <x:v>rejected</x:v>
      </x:c>
      <x:c r="AC286" t="str">
        <x:v>ismail.azman@petronas.com</x:v>
      </x:c>
      <x:c r="AD286" t="n">
        <x:v>46248.32243903935</x:v>
      </x:c>
      <x:c r="AE286" t="str">
        <x:v>cancelled as per requested by requestor</x:v>
      </x:c>
      <x:c r="AF286"/>
      <x:c r="AG286" t="str">
        <x:v>CCoE Business</x:v>
      </x:c>
      <x:c r="AH286"/>
      <x:c r="AI286"/>
      <x:c r="AJ286" t="str">
        <x:v>A-000705</x:v>
      </x:c>
      <x:c r="AK286" t="n">
        <x:v>955</x:v>
      </x:c>
      <x:c r="AL286"/>
      <x:c r="AM286"/>
      <x:c r="AN286" t="str">
        <x:v>retention</x:v>
      </x:c>
      <x:c r="AO286"/>
      <x:c r="AP286" s="23" t="str">
        <x:f>IF(E286="processing",IF(Z286="","",IF(ISNUMBER(Z286),INT(Z286),DATE(VALUE(LEFT(Z286,4)),VALUE(MID(Z286,6,2)),VALUE(MID(Z286,9,2))))),IF(OR(E286="executing",E286="pending"),IF(AD286="","",IF(ISNUMBER(AD286),INT(AD286),DATE(VALUE(LEFT(AD286,4)),VALUE(MID(AD286,6,2)),VALUE(MID(AD286,9,2))))),""))</x:f>
      </x:c>
      <x:c r="AQ286" s="24" t="str">
        <x:f>IF(AP286="","",INT('Configuration'!$B$4)-AP286)</x:f>
      </x:c>
      <x:c r="AR286" s="25" t="str">
        <x:f>IF(AP286="","Missing Required Date",IF(AQ286&lt;0,"Future Date",IF(AQ286=0,"0 days",IF(AQ286&lt;=2,"1-2 days",IF(AQ286&lt;=7,"3-7 days",IF(AQ286&lt;=14,"8-14 days",IF(AQ286&lt;=30,"15-30 days",IF(AQ286&lt;=60,"31-60 days",IF(AQ286&lt;=70,"61-70 days","71+ days")))))))))</x:f>
        <x:v>Missing Required Date</x:v>
      </x:c>
      <x:c r="AS286" s="25" t="str">
        <x:f>IF(OR(E286="processing",E286="executing",E286="pending"),IF(AP286="","Required aging date missing",IF(AQ286&gt;30,"Escalate &gt;30d",IF(AQ286&gt;14,"Watch &gt;14d","Within 14d"))),"Out of scope")</x:f>
        <x:v>Out of scope</x:v>
      </x:c>
    </x:row>
    <x:row r="287" ht="24" customHeight="1">
      <x:c r="A287" t="str">
        <x:v>c0b8b2f5-5cdc-4e09-835b-3ded9e9a0e99</x:v>
      </x:c>
      <x:c r="B287" t="str">
        <x:v>CSSP10164093</x:v>
      </x:c>
      <x:c r="C287" t="str">
        <x:v>raileyshahril.abdull@petronas.com</x:v>
      </x:c>
      <x:c r="D287" t="str">
        <x:v>decommission-cloud</x:v>
      </x:c>
      <x:c r="E287" t="str">
        <x:v>pending</x:v>
      </x:c>
      <x:c r="F287" t="n">
        <x:v>46213.09672068287</x:v>
      </x:c>
      <x:c r="G287" t="n">
        <x:v>46213.097909247685</x:v>
      </x:c>
      <x:c r="H287" t="n">
        <x:v>46213.09672068287</x:v>
      </x:c>
      <x:c r="I287" t="str">
        <x:v>BHC3.ai</x:v>
      </x:c>
      <x:c r="J287" t="str">
        <x:v>Run and Maintain and Scale Up of PEARLS (BHC3.ai) for CVCare, I-Sense and Valve Tracker</x:v>
      </x:c>
      <x:c r="K287" t="str">
        <x:v>full</x:v>
      </x:c>
      <x:c r="L287" t="str">
        <x:v>N/A</x:v>
      </x:c>
      <x:c r="M287" t="str">
        <x:v>sitizakiah.sulaiman@petronas.com.my</x:v>
      </x:c>
      <x:c r="N287" t="str">
        <x:v>c3console.petronas.com, cvdevc3.petronas.com, exmachina.petronas.com, cvdev.petronas.com, datadev.petronas.com, dev1cvdev.petronas.com, dev2cvdev.petronas.com, dev3cvdev.petronas.com, dev4cvdev.petronas.com, dev5cvdev.petronas.com, dev6cvdev.petronas.com, dev7cvdev.petronas.com, dev8cvdev.petronas.com, dev9cvdev.petronas.com, dev10cvdev.petronas.com, ids.petronas.com</x:v>
      </x:c>
      <x:c r="O287"/>
      <x:c r="P287" t="str">
        <x:v>This project has already been decommissioned and is no longer in use. However, the Cybersecurity team has informed us that the associated IP address is still active.</x:v>
      </x:c>
      <x:c r="Q287" t="str">
        <x:v>1M</x:v>
      </x:c>
      <x:c r="R287" t="str">
        <x:v>Not in Used</x:v>
      </x:c>
      <x:c r="S287"/>
      <x:c r="T287" t="str">
        <x:v>approved</x:v>
      </x:c>
      <x:c r="U287" t="str">
        <x:v>raileyshahril.abdull@petronas.com</x:v>
      </x:c>
      <x:c r="V287" t="n">
        <x:v>46213.097909247685</x:v>
      </x:c>
      <x:c r="W287" t="str">
        <x:v>Please decommision all</x:v>
      </x:c>
      <x:c r="X287"/>
      <x:c r="Y287" t="str">
        <x:v>sitizakiah.sulaiman@petronas.com</x:v>
      </x:c>
      <x:c r="Z287"/>
      <x:c r="AA287"/>
      <x:c r="AB287"/>
      <x:c r="AC287" t="str">
        <x:v>CCoE SA</x:v>
      </x:c>
      <x:c r="AD287"/>
      <x:c r="AE287"/>
      <x:c r="AF287"/>
      <x:c r="AG287" t="str">
        <x:v>IMS - CLOUD CSSP EXECUTOR</x:v>
      </x:c>
      <x:c r="AH287"/>
      <x:c r="AI287"/>
      <x:c r="AJ287" t="str">
        <x:v>A-000088</x:v>
      </x:c>
      <x:c r="AK287" t="n">
        <x:v>4201</x:v>
      </x:c>
      <x:c r="AL287"/>
      <x:c r="AM287"/>
      <x:c r="AN287" t="str">
        <x:v>retention</x:v>
      </x:c>
      <x:c r="AO287" t="n">
        <x:v>30</x:v>
      </x:c>
      <x:c r="AP287" s="23" t="str">
        <x:f>IF(E287="processing",IF(Z287="","",IF(ISNUMBER(Z287),INT(Z287),DATE(VALUE(LEFT(Z287,4)),VALUE(MID(Z287,6,2)),VALUE(MID(Z287,9,2))))),IF(OR(E287="executing",E287="pending"),IF(AD287="","",IF(ISNUMBER(AD287),INT(AD287),DATE(VALUE(LEFT(AD287,4)),VALUE(MID(AD287,6,2)),VALUE(MID(AD287,9,2))))),""))</x:f>
      </x:c>
      <x:c r="AQ287" s="24" t="str">
        <x:f>IF(AP287="","",INT('Configuration'!$B$4)-AP287)</x:f>
      </x:c>
      <x:c r="AR287" s="25" t="str">
        <x:f>IF(AP287="","Missing Required Date",IF(AQ287&lt;0,"Future Date",IF(AQ287=0,"0 days",IF(AQ287&lt;=2,"1-2 days",IF(AQ287&lt;=7,"3-7 days",IF(AQ287&lt;=14,"8-14 days",IF(AQ287&lt;=30,"15-30 days",IF(AQ287&lt;=60,"31-60 days",IF(AQ287&lt;=70,"61-70 days","71+ days")))))))))</x:f>
        <x:v>Missing Required Date</x:v>
      </x:c>
      <x:c r="AS287" s="25" t="str">
        <x:f>IF(OR(E287="processing",E287="executing",E287="pending"),IF(AP287="","Required aging date missing",IF(AQ287&gt;30,"Escalate &gt;30d",IF(AQ287&gt;14,"Watch &gt;14d","Within 14d"))),"Out of scope")</x:f>
        <x:v>Required aging date missing</x:v>
      </x:c>
    </x:row>
    <x:row r="288" ht="24" customHeight="1">
      <x:c r="A288" t="str">
        <x:v>2618e1ef-3e4d-4dcb-ba0f-9309ea15e9ef</x:v>
      </x:c>
      <x:c r="B288" t="str">
        <x:v>CSSP10546101</x:v>
      </x:c>
      <x:c r="C288" t="str">
        <x:v>mzurfaiezzuddin.zur@petronas.com</x:v>
      </x:c>
      <x:c r="D288" t="str">
        <x:v>decommission-cloud</x:v>
      </x:c>
      <x:c r="E288" t="str">
        <x:v>executing</x:v>
      </x:c>
      <x:c r="F288" t="n">
        <x:v>46213.15348582176</x:v>
      </x:c>
      <x:c r="G288" t="n">
        <x:v>46222.859591030094</x:v>
      </x:c>
      <x:c r="H288" t="n">
        <x:v>46213.15348582176</x:v>
      </x:c>
      <x:c r="I288" t="str">
        <x:v>Asset Ageing Life Extension System - ALES</x:v>
      </x:c>
      <x:c r="J288" t="str">
        <x:v>ALES for MPM</x:v>
      </x:c>
      <x:c r="K288" t="str">
        <x:v>partial</x:v>
      </x:c>
      <x:c r="L288"/>
      <x:c r="M288" t="str">
        <x:v>sazali.mokhtar@petronas.com</x:v>
      </x:c>
      <x:c r="N288"/>
      <x:c r="O288"/>
      <x:c r="P288" t="str">
        <x:v>Cloud Repatriation - To decommission old resources in Singapore region due to completed migration in MY region</x:v>
      </x:c>
      <x:c r="Q288" t="str">
        <x:v>2W</x:v>
      </x:c>
      <x:c r="R288" t="str">
        <x:v>Cloud Migration</x:v>
      </x:c>
      <x:c r="S288"/>
      <x:c r="T288" t="str">
        <x:v>approved</x:v>
      </x:c>
      <x:c r="U288" t="str">
        <x:v>mzurfaiezzuddin.zur@petronas.com</x:v>
      </x:c>
      <x:c r="V288" t="n">
        <x:v>46213.15433578704</x:v>
      </x:c>
      <x:c r="W288" t="str">
        <x:v>Cloud Repatriation - To decommission old resources in Singapore region due to completed migration in MY region</x:v>
      </x:c>
      <x:c r="X288" t="str">
        <x:v>approved</x:v>
      </x:c>
      <x:c r="Y288" t="str">
        <x:v>sazali.mokhtar@petronas.com</x:v>
      </x:c>
      <x:c r="Z288" t="n">
        <x:v>46219.12652799769</x:v>
      </x:c>
      <x:c r="AA288" t="str">
        <x:v>Cloud Repatriation - To decommission old resources in Singapore region due to completed migration in MY region</x:v>
      </x:c>
      <x:c r="AB288" t="str">
        <x:v>approved</x:v>
      </x:c>
      <x:c r="AC288" t="str">
        <x:v>abhishek.bhowate@petronas.com</x:v>
      </x:c>
      <x:c r="AD288" t="n">
        <x:v>46222.85959104167</x:v>
      </x:c>
      <x:c r="AE288" t="str">
        <x:v>Okay</x:v>
      </x:c>
      <x:c r="AF288"/>
      <x:c r="AG288" t="str">
        <x:v>venkatesh.kalikivayi@petronas.com</x:v>
      </x:c>
      <x:c r="AH288"/>
      <x:c r="AI288"/>
      <x:c r="AJ288" t="str">
        <x:v>A-000041</x:v>
      </x:c>
      <x:c r="AK288" t="n">
        <x:v>3374</x:v>
      </x:c>
      <x:c r="AL288" t="str">
        <x:v>L</x:v>
      </x:c>
      <x:c r="AM288" t="str">
        <x:v>REQ000008178972</x:v>
      </x:c>
      <x:c r="AN288" t="str">
        <x:v>noretention</x:v>
      </x:c>
      <x:c r="AO288" t="n">
        <x:v>0</x:v>
      </x:c>
      <x:c r="AP288" s="23" t="n">
        <x:f>IF(E288="processing",IF(Z288="","",IF(ISNUMBER(Z288),INT(Z288),DATE(VALUE(LEFT(Z288,4)),VALUE(MID(Z288,6,2)),VALUE(MID(Z288,9,2))))),IF(OR(E288="executing",E288="pending"),IF(AD288="","",IF(ISNUMBER(AD288),INT(AD288),DATE(VALUE(LEFT(AD288,4)),VALUE(MID(AD288,6,2)),VALUE(MID(AD288,9,2))))),""))</x:f>
        <x:v>46222</x:v>
      </x:c>
      <x:c r="AQ288" s="24" t="n">
        <x:f>IF(AP288="","",INT('Configuration'!$B$4)-AP288)</x:f>
        <x:v>29</x:v>
      </x:c>
      <x:c r="AR288" s="25" t="str">
        <x:f>IF(AP288="","Missing Required Date",IF(AQ288&lt;0,"Future Date",IF(AQ288=0,"0 days",IF(AQ288&lt;=2,"1-2 days",IF(AQ288&lt;=7,"3-7 days",IF(AQ288&lt;=14,"8-14 days",IF(AQ288&lt;=30,"15-30 days",IF(AQ288&lt;=60,"31-60 days",IF(AQ288&lt;=70,"61-70 days","71+ days")))))))))</x:f>
        <x:v>15-30 days</x:v>
      </x:c>
      <x:c r="AS288" s="25" t="str">
        <x:f>IF(OR(E288="processing",E288="executing",E288="pending"),IF(AP288="","Required aging date missing",IF(AQ288&gt;30,"Escalate &gt;30d",IF(AQ288&gt;14,"Watch &gt;14d","Within 14d"))),"Out of scope")</x:f>
        <x:v>Watch &gt;14d</x:v>
      </x:c>
    </x:row>
    <x:row r="289" ht="24" customHeight="1">
      <x:c r="A289" t="str">
        <x:v>a3bb38d5-507a-4da5-b920-d1c8d7392d9c</x:v>
      </x:c>
      <x:c r="B289" t="str">
        <x:v>CSSP10383379</x:v>
      </x:c>
      <x:c r="C289" t="str">
        <x:v>maxim.nawangwe@petronas.com</x:v>
      </x:c>
      <x:c r="D289" t="str">
        <x:v>decommission-cloud</x:v>
      </x:c>
      <x:c r="E289" t="str">
        <x:v>pending</x:v>
      </x:c>
      <x:c r="F289" t="n">
        <x:v>46216.19619958333</x:v>
      </x:c>
      <x:c r="G289" t="n">
        <x:v>46231.18356590278</x:v>
      </x:c>
      <x:c r="H289" t="n">
        <x:v>46216.19619958333</x:v>
      </x:c>
      <x:c r="I289" t="str">
        <x:v>Augmented Engineering AI</x:v>
      </x:c>
      <x:c r="J289" t="str">
        <x:v>Repurpose and Optimize J.AI Architecture for Augmented Engineering</x:v>
      </x:c>
      <x:c r="K289" t="str">
        <x:v>partial</x:v>
      </x:c>
      <x:c r="L289"/>
      <x:c r="M289" t="str">
        <x:v>yewwai.yeep@petronas.com</x:v>
      </x:c>
      <x:c r="N289"/>
      <x:c r="O289"/>
      <x:c r="P289" t="str">
        <x:v>This was a temporary POC environment for the GEN AI project with NervCenter, it was used to speed up development as we waited for a dev environment to be provisioned. In other words, it's unused right now, and won't be used in the future.</x:v>
      </x:c>
      <x:c r="Q289" t="str">
        <x:v>1M</x:v>
      </x:c>
      <x:c r="R289" t="str">
        <x:v>Obsolete</x:v>
      </x:c>
      <x:c r="S289"/>
      <x:c r="T289" t="str">
        <x:v>approved</x:v>
      </x:c>
      <x:c r="U289" t="str">
        <x:v>maxim.nawangwe@petronas.com</x:v>
      </x:c>
      <x:c r="V289" t="n">
        <x:v>46231.18356590278</x:v>
      </x:c>
      <x:c r="W289" t="str">
        <x:v>POC components only, in the POC resource groupd. Dev remains as is.</x:v>
      </x:c>
      <x:c r="X289"/>
      <x:c r="Y289" t="str">
        <x:v>yewwai.yeep@petronas.com</x:v>
      </x:c>
      <x:c r="Z289"/>
      <x:c r="AA289"/>
      <x:c r="AB289"/>
      <x:c r="AC289" t="str">
        <x:v>CCoE SA</x:v>
      </x:c>
      <x:c r="AD289"/>
      <x:c r="AE289"/>
      <x:c r="AF289"/>
      <x:c r="AG289" t="str">
        <x:v>IMS - CLOUD CSSP EXECUTOR</x:v>
      </x:c>
      <x:c r="AH289"/>
      <x:c r="AI289"/>
      <x:c r="AJ289" t="str">
        <x:v>A-001250</x:v>
      </x:c>
      <x:c r="AK289" t="str">
        <x:v>SR00170</x:v>
      </x:c>
      <x:c r="AL289"/>
      <x:c r="AM289"/>
      <x:c r="AN289" t="str">
        <x:v>disposal</x:v>
      </x:c>
      <x:c r="AO289" t="n">
        <x:v>0</x:v>
      </x:c>
      <x:c r="AP289" s="23" t="str">
        <x:f>IF(E289="processing",IF(Z289="","",IF(ISNUMBER(Z289),INT(Z289),DATE(VALUE(LEFT(Z289,4)),VALUE(MID(Z289,6,2)),VALUE(MID(Z289,9,2))))),IF(OR(E289="executing",E289="pending"),IF(AD289="","",IF(ISNUMBER(AD289),INT(AD289),DATE(VALUE(LEFT(AD289,4)),VALUE(MID(AD289,6,2)),VALUE(MID(AD289,9,2))))),""))</x:f>
      </x:c>
      <x:c r="AQ289" s="24" t="str">
        <x:f>IF(AP289="","",INT('Configuration'!$B$4)-AP289)</x:f>
      </x:c>
      <x:c r="AR289" s="25" t="str">
        <x:f>IF(AP289="","Missing Required Date",IF(AQ289&lt;0,"Future Date",IF(AQ289=0,"0 days",IF(AQ289&lt;=2,"1-2 days",IF(AQ289&lt;=7,"3-7 days",IF(AQ289&lt;=14,"8-14 days",IF(AQ289&lt;=30,"15-30 days",IF(AQ289&lt;=60,"31-60 days",IF(AQ289&lt;=70,"61-70 days","71+ days")))))))))</x:f>
        <x:v>Missing Required Date</x:v>
      </x:c>
      <x:c r="AS289" s="25" t="str">
        <x:f>IF(OR(E289="processing",E289="executing",E289="pending"),IF(AP289="","Required aging date missing",IF(AQ289&gt;30,"Escalate &gt;30d",IF(AQ289&gt;14,"Watch &gt;14d","Within 14d"))),"Out of scope")</x:f>
        <x:v>Required aging date missing</x:v>
      </x:c>
    </x:row>
    <x:row r="290" ht="24" customHeight="1">
      <x:c r="A290" t="str">
        <x:v>b39d33e0-dd79-4d42-a124-86ceee6835b5</x:v>
      </x:c>
      <x:c r="B290" t="str">
        <x:v>CSSP10375827</x:v>
      </x:c>
      <x:c r="C290" t="str">
        <x:v>norhamizah.hasni@petronas.com</x:v>
      </x:c>
      <x:c r="D290" t="str">
        <x:v>decommission-cloud</x:v>
      </x:c>
      <x:c r="E290" t="str">
        <x:v>executing</x:v>
      </x:c>
      <x:c r="F290" t="n">
        <x:v>46216.363403877316</x:v>
      </x:c>
      <x:c r="G290" t="n">
        <x:v>46222.859134328704</x:v>
      </x:c>
      <x:c r="H290" t="n">
        <x:v>46216.363403877316</x:v>
      </x:c>
      <x:c r="I290" t="str">
        <x:v>EVIE / EMT+</x:v>
      </x:c>
      <x:c r="J290" t="str">
        <x:v>Request for server subscription, installation and integration works for MLNG EVIE/EMT+</x:v>
      </x:c>
      <x:c r="K290" t="str">
        <x:v>partial</x:v>
      </x:c>
      <x:c r="L290"/>
      <x:c r="M290" t="str">
        <x:v>sazali.mokhtar@petronas.com</x:v>
      </x:c>
      <x:c r="N290" t="str">
        <x:v>N/A</x:v>
      </x:c>
      <x:c r="O290" t="n">
        <x:v>1802</x:v>
      </x:c>
      <x:c r="P290" t="str">
        <x:v>This application has completed migration to Malaysia region</x:v>
      </x:c>
      <x:c r="Q290" t="str">
        <x:v>2W</x:v>
      </x:c>
      <x:c r="R290" t="str">
        <x:v>Cloud Migration</x:v>
      </x:c>
      <x:c r="S290"/>
      <x:c r="T290" t="str">
        <x:v>approved</x:v>
      </x:c>
      <x:c r="U290" t="str">
        <x:v>norhamizah.hasni@petronas.com</x:v>
      </x:c>
      <x:c r="V290" t="n">
        <x:v>46216.365481967594</x:v>
      </x:c>
      <x:c r="W290" t="str">
        <x:v>You may refer the resource list as per document attached</x:v>
      </x:c>
      <x:c r="X290" t="str">
        <x:v>approved</x:v>
      </x:c>
      <x:c r="Y290" t="str">
        <x:v>sazali.mokhtar@petronas.com</x:v>
      </x:c>
      <x:c r="Z290" t="n">
        <x:v>46217.141275601854</x:v>
      </x:c>
      <x:c r="AA290" t="str">
        <x:v>This application has completed migration to Malaysia region</x:v>
      </x:c>
      <x:c r="AB290" t="str">
        <x:v>approved</x:v>
      </x:c>
      <x:c r="AC290" t="str">
        <x:v>abhishek.bhowate@petronas.com</x:v>
      </x:c>
      <x:c r="AD290" t="n">
        <x:v>46222.85913434028</x:v>
      </x:c>
      <x:c r="AE290" t="str">
        <x:v>Approve</x:v>
      </x:c>
      <x:c r="AF290"/>
      <x:c r="AG290" t="str">
        <x:v>amarja.kawde@petronas.com</x:v>
      </x:c>
      <x:c r="AH290"/>
      <x:c r="AI290"/>
      <x:c r="AJ290" t="str">
        <x:v>A-000311</x:v>
      </x:c>
      <x:c r="AK290" t="n">
        <x:v>1802</x:v>
      </x:c>
      <x:c r="AL290" t="str">
        <x:v>M</x:v>
      </x:c>
      <x:c r="AM290" t="str">
        <x:v>REQ000008178703</x:v>
      </x:c>
      <x:c r="AN290" t="str">
        <x:v>noretention</x:v>
      </x:c>
      <x:c r="AO290" t="n">
        <x:v>0</x:v>
      </x:c>
      <x:c r="AP290" s="23" t="n">
        <x:f>IF(E290="processing",IF(Z290="","",IF(ISNUMBER(Z290),INT(Z290),DATE(VALUE(LEFT(Z290,4)),VALUE(MID(Z290,6,2)),VALUE(MID(Z290,9,2))))),IF(OR(E290="executing",E290="pending"),IF(AD290="","",IF(ISNUMBER(AD290),INT(AD290),DATE(VALUE(LEFT(AD290,4)),VALUE(MID(AD290,6,2)),VALUE(MID(AD290,9,2))))),""))</x:f>
        <x:v>46222</x:v>
      </x:c>
      <x:c r="AQ290" s="24" t="n">
        <x:f>IF(AP290="","",INT('Configuration'!$B$4)-AP290)</x:f>
        <x:v>29</x:v>
      </x:c>
      <x:c r="AR290" s="25" t="str">
        <x:f>IF(AP290="","Missing Required Date",IF(AQ290&lt;0,"Future Date",IF(AQ290=0,"0 days",IF(AQ290&lt;=2,"1-2 days",IF(AQ290&lt;=7,"3-7 days",IF(AQ290&lt;=14,"8-14 days",IF(AQ290&lt;=30,"15-30 days",IF(AQ290&lt;=60,"31-60 days",IF(AQ290&lt;=70,"61-70 days","71+ days")))))))))</x:f>
        <x:v>15-30 days</x:v>
      </x:c>
      <x:c r="AS290" s="25" t="str">
        <x:f>IF(OR(E290="processing",E290="executing",E290="pending"),IF(AP290="","Required aging date missing",IF(AQ290&gt;30,"Escalate &gt;30d",IF(AQ290&gt;14,"Watch &gt;14d","Within 14d"))),"Out of scope")</x:f>
        <x:v>Watch &gt;14d</x:v>
      </x:c>
    </x:row>
    <x:row r="291" ht="24" customHeight="1">
      <x:c r="A291" t="str">
        <x:v>ff89c8c9-152e-494f-9e04-7d7b12ea8ac1</x:v>
      </x:c>
      <x:c r="B291" t="str">
        <x:v>CSSP10100540</x:v>
      </x:c>
      <x:c r="C291" t="str">
        <x:v>syafiqfathyamer.moh@petronas.com</x:v>
      </x:c>
      <x:c r="D291" t="str">
        <x:v>decommission-cloud</x:v>
      </x:c>
      <x:c r="E291" t="str">
        <x:v>cancelled</x:v>
      </x:c>
      <x:c r="F291" t="n">
        <x:v>46217.1617141088</x:v>
      </x:c>
      <x:c r="G291" t="n">
        <x:v>46217.32843612268</x:v>
      </x:c>
      <x:c r="H291" t="n">
        <x:v>46217.282111898145</x:v>
      </x:c>
      <x:c r="I291" t="str">
        <x:v>PIVOT Heat Exchanger - HEX</x:v>
      </x:c>
      <x:c r="J291" t="str">
        <x:v>Support &amp; maintenance of PIVOT HEX 2.0 at MRCSB (Run &amp; Maintain)</x:v>
      </x:c>
      <x:c r="K291" t="str">
        <x:v>full</x:v>
      </x:c>
      <x:c r="L291" t="str">
        <x:v>-</x:v>
      </x:c>
      <x:c r="M291" t="str">
        <x:v>sunny.khiani@petronas.com.my</x:v>
      </x:c>
      <x:c r="N291" t="str">
        <x:v>https://hex.pivot.petronas.com/</x:v>
      </x:c>
      <x:c r="O291"/>
      <x:c r="P291" t="str">
        <x:v>Business (MRCSB) agreed to decommission the application since they are not using the application anymore.</x:v>
      </x:c>
      <x:c r="Q291" t="str">
        <x:v>1M</x:v>
      </x:c>
      <x:c r="R291" t="str">
        <x:v>Not in Used</x:v>
      </x:c>
      <x:c r="S291"/>
      <x:c r="T291" t="str">
        <x:v>rejected</x:v>
      </x:c>
      <x:c r="U291" t="str">
        <x:v>syafiqfathyamer.moh@petronas.com</x:v>
      </x:c>
      <x:c r="V291" t="n">
        <x:v>46217.32843613426</x:v>
      </x:c>
      <x:c r="W291"/>
      <x:c r="X291"/>
      <x:c r="Y291" t="str">
        <x:v>sunny.khiani@petronas.com</x:v>
      </x:c>
      <x:c r="Z291"/>
      <x:c r="AA291"/>
      <x:c r="AB291"/>
      <x:c r="AC291" t="str">
        <x:v>CCoE Business</x:v>
      </x:c>
      <x:c r="AD291"/>
      <x:c r="AE291"/>
      <x:c r="AF291"/>
      <x:c r="AG291" t="str">
        <x:v>CCoE Business</x:v>
      </x:c>
      <x:c r="AH291"/>
      <x:c r="AI291"/>
      <x:c r="AJ291" t="str">
        <x:v>A-000616</x:v>
      </x:c>
      <x:c r="AK291" t="n">
        <x:v>3823</x:v>
      </x:c>
      <x:c r="AL291"/>
      <x:c r="AM291"/>
      <x:c r="AN291" t="str">
        <x:v>disposal</x:v>
      </x:c>
      <x:c r="AO291" t="n">
        <x:v>0</x:v>
      </x:c>
      <x:c r="AP291" s="23" t="str">
        <x:f>IF(E291="processing",IF(Z291="","",IF(ISNUMBER(Z291),INT(Z291),DATE(VALUE(LEFT(Z291,4)),VALUE(MID(Z291,6,2)),VALUE(MID(Z291,9,2))))),IF(OR(E291="executing",E291="pending"),IF(AD291="","",IF(ISNUMBER(AD291),INT(AD291),DATE(VALUE(LEFT(AD291,4)),VALUE(MID(AD291,6,2)),VALUE(MID(AD291,9,2))))),""))</x:f>
      </x:c>
      <x:c r="AQ291" s="24" t="str">
        <x:f>IF(AP291="","",INT('Configuration'!$B$4)-AP291)</x:f>
      </x:c>
      <x:c r="AR291" s="25" t="str">
        <x:f>IF(AP291="","Missing Required Date",IF(AQ291&lt;0,"Future Date",IF(AQ291=0,"0 days",IF(AQ291&lt;=2,"1-2 days",IF(AQ291&lt;=7,"3-7 days",IF(AQ291&lt;=14,"8-14 days",IF(AQ291&lt;=30,"15-30 days",IF(AQ291&lt;=60,"31-60 days",IF(AQ291&lt;=70,"61-70 days","71+ days")))))))))</x:f>
        <x:v>Missing Required Date</x:v>
      </x:c>
      <x:c r="AS291" s="25" t="str">
        <x:f>IF(OR(E291="processing",E291="executing",E291="pending"),IF(AP291="","Required aging date missing",IF(AQ291&gt;30,"Escalate &gt;30d",IF(AQ291&gt;14,"Watch &gt;14d","Within 14d"))),"Out of scope")</x:f>
        <x:v>Out of scope</x:v>
      </x:c>
    </x:row>
    <x:row r="292" ht="24" customHeight="1">
      <x:c r="A292" t="str">
        <x:v>d2cc5882-c861-4787-a9dd-7bb5e1c62bae</x:v>
      </x:c>
      <x:c r="B292" t="str">
        <x:v>CSSP10663869</x:v>
      </x:c>
      <x:c r="C292" t="str">
        <x:v>syafiqfathyamer.moh@petronas.com</x:v>
      </x:c>
      <x:c r="D292" t="str">
        <x:v>decommission-cloud</x:v>
      </x:c>
      <x:c r="E292" t="str">
        <x:v>cancelled</x:v>
      </x:c>
      <x:c r="F292" t="n">
        <x:v>46217.28798079861</x:v>
      </x:c>
      <x:c r="G292" t="n">
        <x:v>46217.40040693287</x:v>
      </x:c>
      <x:c r="H292" t="n">
        <x:v>46217.28798079861</x:v>
      </x:c>
      <x:c r="I292" t="str">
        <x:v>PIVOT Heat Exchanger - HEX</x:v>
      </x:c>
      <x:c r="J292" t="str">
        <x:v>Development of Heat Exchanger ( PIVOT - HEX 2.0)</x:v>
      </x:c>
      <x:c r="K292" t="str">
        <x:v>full</x:v>
      </x:c>
      <x:c r="L292" t="str">
        <x:v>-</x:v>
      </x:c>
      <x:c r="M292" t="str">
        <x:v>sunny.khiani@petronas.com.my</x:v>
      </x:c>
      <x:c r="N292" t="str">
        <x:v>hex.pivot.petronas.com</x:v>
      </x:c>
      <x:c r="O292"/>
      <x:c r="P292" t="str">
        <x:v>Business (MRCSB) agreed to decommission the application since they are not using the application anymore.</x:v>
      </x:c>
      <x:c r="Q292" t="str">
        <x:v>1M</x:v>
      </x:c>
      <x:c r="R292" t="str">
        <x:v>Not in Used</x:v>
      </x:c>
      <x:c r="S292"/>
      <x:c r="T292" t="str">
        <x:v>rejected</x:v>
      </x:c>
      <x:c r="U292" t="str">
        <x:v>syafiqfathyamer.moh@petronas.com</x:v>
      </x:c>
      <x:c r="V292" t="n">
        <x:v>46217.40040694444</x:v>
      </x:c>
      <x:c r="W292"/>
      <x:c r="X292"/>
      <x:c r="Y292" t="str">
        <x:v>sunny.khiani@petronas.com</x:v>
      </x:c>
      <x:c r="Z292"/>
      <x:c r="AA292"/>
      <x:c r="AB292"/>
      <x:c r="AC292" t="str">
        <x:v>CCoE SA</x:v>
      </x:c>
      <x:c r="AD292"/>
      <x:c r="AE292"/>
      <x:c r="AF292"/>
      <x:c r="AG292" t="str">
        <x:v>IMS - CLOUD CSSP EXECUTOR</x:v>
      </x:c>
      <x:c r="AH292"/>
      <x:c r="AI292"/>
      <x:c r="AJ292" t="str">
        <x:v>A-000616</x:v>
      </x:c>
      <x:c r="AK292" t="n">
        <x:v>176</x:v>
      </x:c>
      <x:c r="AL292"/>
      <x:c r="AM292"/>
      <x:c r="AN292" t="str">
        <x:v>disposal</x:v>
      </x:c>
      <x:c r="AO292" t="n">
        <x:v>0</x:v>
      </x:c>
      <x:c r="AP292" s="23" t="str">
        <x:f>IF(E292="processing",IF(Z292="","",IF(ISNUMBER(Z292),INT(Z292),DATE(VALUE(LEFT(Z292,4)),VALUE(MID(Z292,6,2)),VALUE(MID(Z292,9,2))))),IF(OR(E292="executing",E292="pending"),IF(AD292="","",IF(ISNUMBER(AD292),INT(AD292),DATE(VALUE(LEFT(AD292,4)),VALUE(MID(AD292,6,2)),VALUE(MID(AD292,9,2))))),""))</x:f>
      </x:c>
      <x:c r="AQ292" s="24" t="str">
        <x:f>IF(AP292="","",INT('Configuration'!$B$4)-AP292)</x:f>
      </x:c>
      <x:c r="AR292" s="25" t="str">
        <x:f>IF(AP292="","Missing Required Date",IF(AQ292&lt;0,"Future Date",IF(AQ292=0,"0 days",IF(AQ292&lt;=2,"1-2 days",IF(AQ292&lt;=7,"3-7 days",IF(AQ292&lt;=14,"8-14 days",IF(AQ292&lt;=30,"15-30 days",IF(AQ292&lt;=60,"31-60 days",IF(AQ292&lt;=70,"61-70 days","71+ days")))))))))</x:f>
        <x:v>Missing Required Date</x:v>
      </x:c>
      <x:c r="AS292" s="25" t="str">
        <x:f>IF(OR(E292="processing",E292="executing",E292="pending"),IF(AP292="","Required aging date missing",IF(AQ292&gt;30,"Escalate &gt;30d",IF(AQ292&gt;14,"Watch &gt;14d","Within 14d"))),"Out of scope")</x:f>
        <x:v>Out of scope</x:v>
      </x:c>
    </x:row>
    <x:row r="293" ht="24" customHeight="1">
      <x:c r="A293" t="str">
        <x:v>e7b36094-2e8c-493c-b251-3948cd9bfb67</x:v>
      </x:c>
      <x:c r="B293" t="str">
        <x:v>CSSP10873156</x:v>
      </x:c>
      <x:c r="C293" t="str">
        <x:v>syafiqfathyamer.moh@petronas.com</x:v>
      </x:c>
      <x:c r="D293" t="str">
        <x:v>decommission-cloud</x:v>
      </x:c>
      <x:c r="E293" t="str">
        <x:v>completed</x:v>
      </x:c>
      <x:c r="F293" t="n">
        <x:v>46217.33290563658</x:v>
      </x:c>
      <x:c r="G293" t="n">
        <x:v>46248.72991363426</x:v>
      </x:c>
      <x:c r="H293" t="n">
        <x:v>46217.33290563658</x:v>
      </x:c>
      <x:c r="I293" t="str">
        <x:v>PIVOT Heat Exchanger - HEX</x:v>
      </x:c>
      <x:c r="J293" t="str">
        <x:v>Development of Heat Exchanger ( PIVOT - HEX 2.0)</x:v>
      </x:c>
      <x:c r="K293" t="str">
        <x:v>full</x:v>
      </x:c>
      <x:c r="L293" t="str">
        <x:v>-</x:v>
      </x:c>
      <x:c r="M293" t="str">
        <x:v>sunny.khiani@petronas.com.my</x:v>
      </x:c>
      <x:c r="N293" t="str">
        <x:v>hex.pivot.petronas.com</x:v>
      </x:c>
      <x:c r="O293"/>
      <x:c r="P293" t="str">
        <x:v>Business (MRCSB) agreed to decommission the application since they are not using the application anymore.</x:v>
      </x:c>
      <x:c r="Q293" t="str">
        <x:v>1M</x:v>
      </x:c>
      <x:c r="R293" t="str">
        <x:v>Not in Used</x:v>
      </x:c>
      <x:c r="S293"/>
      <x:c r="T293" t="str">
        <x:v>approved</x:v>
      </x:c>
      <x:c r="U293" t="str">
        <x:v>syafiqfathyamer.moh@petronas.com</x:v>
      </x:c>
      <x:c r="V293" t="n">
        <x:v>46217.399275104166</x:v>
      </x:c>
      <x:c r="W293" t="str">
        <x:v>Please double check resources in excel as well.</x:v>
      </x:c>
      <x:c r="X293" t="str">
        <x:v>approved</x:v>
      </x:c>
      <x:c r="Y293" t="str">
        <x:v>sunny.khiani@petronas.com</x:v>
      </x:c>
      <x:c r="Z293" t="n">
        <x:v>46220.10074876157</x:v>
      </x:c>
      <x:c r="AA293" t="str">
        <x:v>please do scream test, necessary backups </x:v>
      </x:c>
      <x:c r="AB293" t="str">
        <x:v>approved</x:v>
      </x:c>
      <x:c r="AC293" t="str">
        <x:v>abhishek.bhowate@petronas.com</x:v>
      </x:c>
      <x:c r="AD293" t="n">
        <x:v>46230.16169670139</x:v>
      </x:c>
      <x:c r="AE293" t="str">
        <x:v>Approved</x:v>
      </x:c>
      <x:c r="AF293" t="str">
        <x:v>approved</x:v>
      </x:c>
      <x:c r="AG293" t="str">
        <x:v>swaminadh.chirakala@petronas.com</x:v>
      </x:c>
      <x:c r="AH293" t="n">
        <x:v>46248.72991363426</x:v>
      </x:c>
      <x:c r="AI293" t="str">
        <x:v>The resources opted for decommissioning have been decommissioned successfully. Hence initiating with closure of this request.</x:v>
      </x:c>
      <x:c r="AJ293" t="str">
        <x:v>A-000616</x:v>
      </x:c>
      <x:c r="AK293" t="n">
        <x:v>176</x:v>
      </x:c>
      <x:c r="AL293" t="str">
        <x:v>M</x:v>
      </x:c>
      <x:c r="AM293" t="str">
        <x:v>REQ000008195624</x:v>
      </x:c>
      <x:c r="AN293" t="str">
        <x:v>disposal</x:v>
      </x:c>
      <x:c r="AO293" t="n">
        <x:v>0</x:v>
      </x:c>
      <x:c r="AP293" s="23" t="str">
        <x:f>IF(E293="processing",IF(Z293="","",IF(ISNUMBER(Z293),INT(Z293),DATE(VALUE(LEFT(Z293,4)),VALUE(MID(Z293,6,2)),VALUE(MID(Z293,9,2))))),IF(OR(E293="executing",E293="pending"),IF(AD293="","",IF(ISNUMBER(AD293),INT(AD293),DATE(VALUE(LEFT(AD293,4)),VALUE(MID(AD293,6,2)),VALUE(MID(AD293,9,2))))),""))</x:f>
      </x:c>
      <x:c r="AQ293" s="24" t="str">
        <x:f>IF(AP293="","",INT('Configuration'!$B$4)-AP293)</x:f>
      </x:c>
      <x:c r="AR293" s="25" t="str">
        <x:f>IF(AP293="","Missing Required Date",IF(AQ293&lt;0,"Future Date",IF(AQ293=0,"0 days",IF(AQ293&lt;=2,"1-2 days",IF(AQ293&lt;=7,"3-7 days",IF(AQ293&lt;=14,"8-14 days",IF(AQ293&lt;=30,"15-30 days",IF(AQ293&lt;=60,"31-60 days",IF(AQ293&lt;=70,"61-70 days","71+ days")))))))))</x:f>
        <x:v>Missing Required Date</x:v>
      </x:c>
      <x:c r="AS293" s="25" t="str">
        <x:f>IF(OR(E293="processing",E293="executing",E293="pending"),IF(AP293="","Required aging date missing",IF(AQ293&gt;30,"Escalate &gt;30d",IF(AQ293&gt;14,"Watch &gt;14d","Within 14d"))),"Out of scope")</x:f>
        <x:v>Out of scope</x:v>
      </x:c>
    </x:row>
    <x:row r="294" ht="24" customHeight="1">
      <x:c r="A294" t="str">
        <x:v>ed737e69-def5-464f-a5ed-7f2df3b1d9e2</x:v>
      </x:c>
      <x:c r="B294" t="str">
        <x:v>CSSP10112747</x:v>
      </x:c>
      <x:c r="C294" t="str">
        <x:v>saufi.tahwil@petronas.com</x:v>
      </x:c>
      <x:c r="D294" t="str">
        <x:v>decommission-cloud</x:v>
      </x:c>
      <x:c r="E294" t="str">
        <x:v>cancelled</x:v>
      </x:c>
      <x:c r="F294" t="n">
        <x:v>46218.174622199076</x:v>
      </x:c>
      <x:c r="G294" t="n">
        <x:v>46218.17821309028</x:v>
      </x:c>
      <x:c r="H294" t="n">
        <x:v>46218.174622199076</x:v>
      </x:c>
      <x:c r="I294" t="str">
        <x:v>Cyber Security Identity and Access Management - IAM</x:v>
      </x:c>
      <x:c r="J294" t="str">
        <x:v>OSR00173: Technical Governance Support for Identity and Access Management (IAM) - OSR00170: Cybersecurity: Procurement and Infrastructure Deployment of AM for IAM</x:v>
      </x:c>
      <x:c r="K294" t="str">
        <x:v>partial</x:v>
      </x:c>
      <x:c r="L294"/>
      <x:c r="M294" t="str">
        <x:v>imran.makhdoom@petronas.com</x:v>
      </x:c>
      <x:c r="N294"/>
      <x:c r="O294"/>
      <x:c r="P294" t="str">
        <x:v>these servers are no longer needed at this stage and do not have any depencency on them.</x:v>
      </x:c>
      <x:c r="Q294" t="str">
        <x:v>2W</x:v>
      </x:c>
      <x:c r="R294" t="str">
        <x:v>Not in Used</x:v>
      </x:c>
      <x:c r="S294"/>
      <x:c r="T294" t="str">
        <x:v>rejected</x:v>
      </x:c>
      <x:c r="U294" t="str">
        <x:v>saufi.tahwil@petronas.com</x:v>
      </x:c>
      <x:c r="V294" t="n">
        <x:v>46218.178213113424</x:v>
      </x:c>
      <x:c r="W294"/>
      <x:c r="X294"/>
      <x:c r="Y294" t="str">
        <x:v>imran.makhdoom@petronas.com</x:v>
      </x:c>
      <x:c r="Z294"/>
      <x:c r="AA294"/>
      <x:c r="AB294"/>
      <x:c r="AC294" t="str">
        <x:v>CCoE SA</x:v>
      </x:c>
      <x:c r="AD294"/>
      <x:c r="AE294"/>
      <x:c r="AF294"/>
      <x:c r="AG294" t="str">
        <x:v>IMS - CLOUD CSSP EXECUTOR</x:v>
      </x:c>
      <x:c r="AH294"/>
      <x:c r="AI294"/>
      <x:c r="AJ294" t="str">
        <x:v>A-000161</x:v>
      </x:c>
      <x:c r="AK294" t="str">
        <x:v>OSR00170</x:v>
      </x:c>
      <x:c r="AL294"/>
      <x:c r="AM294"/>
      <x:c r="AN294" t="str">
        <x:v>noretention</x:v>
      </x:c>
      <x:c r="AO294" t="n">
        <x:v>0</x:v>
      </x:c>
      <x:c r="AP294" s="23" t="str">
        <x:f>IF(E294="processing",IF(Z294="","",IF(ISNUMBER(Z294),INT(Z294),DATE(VALUE(LEFT(Z294,4)),VALUE(MID(Z294,6,2)),VALUE(MID(Z294,9,2))))),IF(OR(E294="executing",E294="pending"),IF(AD294="","",IF(ISNUMBER(AD294),INT(AD294),DATE(VALUE(LEFT(AD294,4)),VALUE(MID(AD294,6,2)),VALUE(MID(AD294,9,2))))),""))</x:f>
      </x:c>
      <x:c r="AQ294" s="24" t="str">
        <x:f>IF(AP294="","",INT('Configuration'!$B$4)-AP294)</x:f>
      </x:c>
      <x:c r="AR294" s="25" t="str">
        <x:f>IF(AP294="","Missing Required Date",IF(AQ294&lt;0,"Future Date",IF(AQ294=0,"0 days",IF(AQ294&lt;=2,"1-2 days",IF(AQ294&lt;=7,"3-7 days",IF(AQ294&lt;=14,"8-14 days",IF(AQ294&lt;=30,"15-30 days",IF(AQ294&lt;=60,"31-60 days",IF(AQ294&lt;=70,"61-70 days","71+ days")))))))))</x:f>
        <x:v>Missing Required Date</x:v>
      </x:c>
      <x:c r="AS294" s="25" t="str">
        <x:f>IF(OR(E294="processing",E294="executing",E294="pending"),IF(AP294="","Required aging date missing",IF(AQ294&gt;30,"Escalate &gt;30d",IF(AQ294&gt;14,"Watch &gt;14d","Within 14d"))),"Out of scope")</x:f>
        <x:v>Out of scope</x:v>
      </x:c>
    </x:row>
    <x:row r="295" ht="24" customHeight="1">
      <x:c r="A295" t="str">
        <x:v>85b08504-d6c3-4933-86a9-f7b60ab24ebd</x:v>
      </x:c>
      <x:c r="B295" t="str">
        <x:v>CSSP10707894</x:v>
      </x:c>
      <x:c r="C295" t="str">
        <x:v>izdihar.roslan@petronas.com</x:v>
      </x:c>
      <x:c r="D295" t="str">
        <x:v>decommission-cloud</x:v>
      </x:c>
      <x:c r="E295" t="str">
        <x:v>executing</x:v>
      </x:c>
      <x:c r="F295" t="n">
        <x:v>46219.11517596065</x:v>
      </x:c>
      <x:c r="G295" t="n">
        <x:v>46222.85863195602</x:v>
      </x:c>
      <x:c r="H295" t="n">
        <x:v>46219.11517596065</x:v>
      </x:c>
      <x:c r="I295" t="str">
        <x:v>Lab Information Management System - LIMS PRPC</x:v>
      </x:c>
      <x:c r="J295" t="str">
        <x:v>OCI MIGRATION - LIMS PRPC</x:v>
      </x:c>
      <x:c r="K295" t="str">
        <x:v>partial</x:v>
      </x:c>
      <x:c r="L295"/>
      <x:c r="M295" t="str">
        <x:v>sazali.mokhtar@petronas.com</x:v>
      </x:c>
      <x:c r="N295"/>
      <x:c r="O295"/>
      <x:c r="P295" t="str">
        <x:v>Cloud Repatriation - To decommission old resources in Singapore region due to completed migration in MY region</x:v>
      </x:c>
      <x:c r="Q295" t="str">
        <x:v>2W</x:v>
      </x:c>
      <x:c r="R295" t="str">
        <x:v>Cloud Migration</x:v>
      </x:c>
      <x:c r="S295"/>
      <x:c r="T295" t="str">
        <x:v>approved</x:v>
      </x:c>
      <x:c r="U295" t="str">
        <x:v>izdihar.roslan@petronas.com</x:v>
      </x:c>
      <x:c r="V295" t="n">
        <x:v>46219.118473842595</x:v>
      </x:c>
      <x:c r="W295" t="str">
        <x:v>Cloud Repatriation - To decommission old resources in Singapore region due to completed migration in MY region</x:v>
      </x:c>
      <x:c r="X295" t="str">
        <x:v>approved</x:v>
      </x:c>
      <x:c r="Y295" t="str">
        <x:v>sazali.mokhtar@petronas.com</x:v>
      </x:c>
      <x:c r="Z295" t="n">
        <x:v>46219.14791211805</x:v>
      </x:c>
      <x:c r="AA295" t="str">
        <x:v>Cloud Repatriation - To decommission old resources in Singapore region due to completed migration in MY region</x:v>
      </x:c>
      <x:c r="AB295" t="str">
        <x:v>approved</x:v>
      </x:c>
      <x:c r="AC295" t="str">
        <x:v>abhishek.bhowate@petronas.com</x:v>
      </x:c>
      <x:c r="AD295" t="n">
        <x:v>46222.858631967596</x:v>
      </x:c>
      <x:c r="AE295" t="str">
        <x:v>Okay</x:v>
      </x:c>
      <x:c r="AF295"/>
      <x:c r="AG295" t="str">
        <x:v>venkatesh.kalikivayi@petronas.com</x:v>
      </x:c>
      <x:c r="AH295"/>
      <x:c r="AI295"/>
      <x:c r="AJ295" t="str">
        <x:v>A-000430</x:v>
      </x:c>
      <x:c r="AK295" t="str">
        <x:v>02421_44</x:v>
      </x:c>
      <x:c r="AL295" t="str">
        <x:v>M</x:v>
      </x:c>
      <x:c r="AM295" t="str">
        <x:v>REQ000008178971</x:v>
      </x:c>
      <x:c r="AN295" t="str">
        <x:v>noretention</x:v>
      </x:c>
      <x:c r="AO295" t="n">
        <x:v>0</x:v>
      </x:c>
      <x:c r="AP295" s="23" t="n">
        <x:f>IF(E295="processing",IF(Z295="","",IF(ISNUMBER(Z295),INT(Z295),DATE(VALUE(LEFT(Z295,4)),VALUE(MID(Z295,6,2)),VALUE(MID(Z295,9,2))))),IF(OR(E295="executing",E295="pending"),IF(AD295="","",IF(ISNUMBER(AD295),INT(AD295),DATE(VALUE(LEFT(AD295,4)),VALUE(MID(AD295,6,2)),VALUE(MID(AD295,9,2))))),""))</x:f>
        <x:v>46222</x:v>
      </x:c>
      <x:c r="AQ295" s="24" t="n">
        <x:f>IF(AP295="","",INT('Configuration'!$B$4)-AP295)</x:f>
        <x:v>29</x:v>
      </x:c>
      <x:c r="AR295" s="25" t="str">
        <x:f>IF(AP295="","Missing Required Date",IF(AQ295&lt;0,"Future Date",IF(AQ295=0,"0 days",IF(AQ295&lt;=2,"1-2 days",IF(AQ295&lt;=7,"3-7 days",IF(AQ295&lt;=14,"8-14 days",IF(AQ295&lt;=30,"15-30 days",IF(AQ295&lt;=60,"31-60 days",IF(AQ295&lt;=70,"61-70 days","71+ days")))))))))</x:f>
        <x:v>15-30 days</x:v>
      </x:c>
      <x:c r="AS295" s="25" t="str">
        <x:f>IF(OR(E295="processing",E295="executing",E295="pending"),IF(AP295="","Required aging date missing",IF(AQ295&gt;30,"Escalate &gt;30d",IF(AQ295&gt;14,"Watch &gt;14d","Within 14d"))),"Out of scope")</x:f>
        <x:v>Watch &gt;14d</x:v>
      </x:c>
    </x:row>
    <x:row r="296" ht="24" customHeight="1">
      <x:c r="A296" t="str">
        <x:v>70864d27-2911-46c6-b8f6-005a30e5d3d8</x:v>
      </x:c>
      <x:c r="B296" t="str">
        <x:v>CSSP10668539</x:v>
      </x:c>
      <x:c r="C296" t="str">
        <x:v>izdihar.roslan@petronas.com</x:v>
      </x:c>
      <x:c r="D296" t="str">
        <x:v>decommission-cloud</x:v>
      </x:c>
      <x:c r="E296" t="str">
        <x:v>executing</x:v>
      </x:c>
      <x:c r="F296" t="n">
        <x:v>46219.12460498843</x:v>
      </x:c>
      <x:c r="G296" t="n">
        <x:v>46222.85813299769</x:v>
      </x:c>
      <x:c r="H296" t="n">
        <x:v>46219.12460498843</x:v>
      </x:c>
      <x:c r="I296" t="str">
        <x:v>Lab Information Management System - LIMS PRPC</x:v>
      </x:c>
      <x:c r="J296" t="str">
        <x:v>OCI MIGRATION - LIMS PRPC</x:v>
      </x:c>
      <x:c r="K296" t="str">
        <x:v>partial</x:v>
      </x:c>
      <x:c r="L296"/>
      <x:c r="M296" t="str">
        <x:v>sazali.mokhtar@petronas.com</x:v>
      </x:c>
      <x:c r="N296"/>
      <x:c r="O296"/>
      <x:c r="P296" t="str">
        <x:v>Cloud Repatriation - To decommission old resources in Singapore region due to completed migration in MY region</x:v>
      </x:c>
      <x:c r="Q296" t="str">
        <x:v>2W</x:v>
      </x:c>
      <x:c r="R296" t="str">
        <x:v>Cloud Migration</x:v>
      </x:c>
      <x:c r="S296"/>
      <x:c r="T296" t="str">
        <x:v>approved</x:v>
      </x:c>
      <x:c r="U296" t="str">
        <x:v>izdihar.roslan@petronas.com</x:v>
      </x:c>
      <x:c r="V296" t="n">
        <x:v>46219.12551619213</x:v>
      </x:c>
      <x:c r="W296" t="str">
        <x:v>Cloud Repatriation - To decommission old resources in Singapore region due to completed migration in MY region</x:v>
      </x:c>
      <x:c r="X296" t="str">
        <x:v>approved</x:v>
      </x:c>
      <x:c r="Y296" t="str">
        <x:v>sazali.mokhtar@petronas.com</x:v>
      </x:c>
      <x:c r="Z296" t="n">
        <x:v>46219.19129728009</x:v>
      </x:c>
      <x:c r="AA296" t="str">
        <x:v>Cloud Repatriation - To decommission old resources in Singapore region due to completed migration in MY region</x:v>
      </x:c>
      <x:c r="AB296" t="str">
        <x:v>approved</x:v>
      </x:c>
      <x:c r="AC296" t="str">
        <x:v>abhishek.bhowate@petronas.com</x:v>
      </x:c>
      <x:c r="AD296" t="n">
        <x:v>46222.85813300926</x:v>
      </x:c>
      <x:c r="AE296" t="str">
        <x:v>Approve</x:v>
      </x:c>
      <x:c r="AF296"/>
      <x:c r="AG296" t="str">
        <x:v>amarja.kawde@petronas.com</x:v>
      </x:c>
      <x:c r="AH296"/>
      <x:c r="AI296"/>
      <x:c r="AJ296" t="str">
        <x:v>A-000430</x:v>
      </x:c>
      <x:c r="AK296" t="str">
        <x:v>OCI-00038</x:v>
      </x:c>
      <x:c r="AL296" t="str">
        <x:v>S</x:v>
      </x:c>
      <x:c r="AM296" t="str">
        <x:v>REQ000008178970</x:v>
      </x:c>
      <x:c r="AN296" t="str">
        <x:v>noretention</x:v>
      </x:c>
      <x:c r="AO296" t="n">
        <x:v>0</x:v>
      </x:c>
      <x:c r="AP296" s="23" t="n">
        <x:f>IF(E296="processing",IF(Z296="","",IF(ISNUMBER(Z296),INT(Z296),DATE(VALUE(LEFT(Z296,4)),VALUE(MID(Z296,6,2)),VALUE(MID(Z296,9,2))))),IF(OR(E296="executing",E296="pending"),IF(AD296="","",IF(ISNUMBER(AD296),INT(AD296),DATE(VALUE(LEFT(AD296,4)),VALUE(MID(AD296,6,2)),VALUE(MID(AD296,9,2))))),""))</x:f>
        <x:v>46222</x:v>
      </x:c>
      <x:c r="AQ296" s="24" t="n">
        <x:f>IF(AP296="","",INT('Configuration'!$B$4)-AP296)</x:f>
        <x:v>29</x:v>
      </x:c>
      <x:c r="AR296" s="25" t="str">
        <x:f>IF(AP296="","Missing Required Date",IF(AQ296&lt;0,"Future Date",IF(AQ296=0,"0 days",IF(AQ296&lt;=2,"1-2 days",IF(AQ296&lt;=7,"3-7 days",IF(AQ296&lt;=14,"8-14 days",IF(AQ296&lt;=30,"15-30 days",IF(AQ296&lt;=60,"31-60 days",IF(AQ296&lt;=70,"61-70 days","71+ days")))))))))</x:f>
        <x:v>15-30 days</x:v>
      </x:c>
      <x:c r="AS296" s="25" t="str">
        <x:f>IF(OR(E296="processing",E296="executing",E296="pending"),IF(AP296="","Required aging date missing",IF(AQ296&gt;30,"Escalate &gt;30d",IF(AQ296&gt;14,"Watch &gt;14d","Within 14d"))),"Out of scope")</x:f>
        <x:v>Watch &gt;14d</x:v>
      </x:c>
    </x:row>
    <x:row r="297" ht="24" customHeight="1">
      <x:c r="A297" t="str">
        <x:v>0219e14a-939c-4a74-9704-093007b38bb6</x:v>
      </x:c>
      <x:c r="B297" t="str">
        <x:v>CSSP10434467</x:v>
      </x:c>
      <x:c r="C297" t="str">
        <x:v>izdihar.roslan@petronas.com</x:v>
      </x:c>
      <x:c r="D297" t="str">
        <x:v>decommission-cloud</x:v>
      </x:c>
      <x:c r="E297" t="str">
        <x:v>completed</x:v>
      </x:c>
      <x:c r="F297" t="n">
        <x:v>46219.14097422454</x:v>
      </x:c>
      <x:c r="G297" t="n">
        <x:v>46234.46915765046</x:v>
      </x:c>
      <x:c r="H297" t="n">
        <x:v>46219.14097422454</x:v>
      </x:c>
      <x:c r="I297" t="str">
        <x:v>Dynamic Risk Analyzer - DRA MRCSB</x:v>
      </x:c>
      <x:c r="J297" t="str">
        <x:v>CTP Old to New LZ - Dynamic Risk Analyser (DRA) MRCSB</x:v>
      </x:c>
      <x:c r="K297" t="str">
        <x:v>partial</x:v>
      </x:c>
      <x:c r="L297"/>
      <x:c r="M297" t="str">
        <x:v>sazali.mokhtar@petronas.com</x:v>
      </x:c>
      <x:c r="N297"/>
      <x:c r="O297"/>
      <x:c r="P297" t="str">
        <x:v>Cloud Repatriation - To decommission old resources in Singapore region due to completed migration in MY region</x:v>
      </x:c>
      <x:c r="Q297" t="str">
        <x:v>2W</x:v>
      </x:c>
      <x:c r="R297" t="str">
        <x:v>Cloud Migration</x:v>
      </x:c>
      <x:c r="S297"/>
      <x:c r="T297" t="str">
        <x:v>approved</x:v>
      </x:c>
      <x:c r="U297" t="str">
        <x:v>izdihar.roslan@petronas.com</x:v>
      </x:c>
      <x:c r="V297" t="n">
        <x:v>46219.14341491898</x:v>
      </x:c>
      <x:c r="W297" t="str">
        <x:v>Cloud Repatriation - To decommission old resources in Singapore region due to completed migration in MY region</x:v>
      </x:c>
      <x:c r="X297" t="str">
        <x:v>approved</x:v>
      </x:c>
      <x:c r="Y297" t="str">
        <x:v>sazali.mokhtar@petronas.com</x:v>
      </x:c>
      <x:c r="Z297" t="n">
        <x:v>46219.200832766204</x:v>
      </x:c>
      <x:c r="AA297" t="str">
        <x:v>Cloud Repatriation - To decommission old resources in Singapore region due to completed migration in MY region</x:v>
      </x:c>
      <x:c r="AB297" t="str">
        <x:v>approved</x:v>
      </x:c>
      <x:c r="AC297" t="str">
        <x:v>abhishek.bhowate@petronas.com</x:v>
      </x:c>
      <x:c r="AD297" t="n">
        <x:v>46222.79978429398</x:v>
      </x:c>
      <x:c r="AE297" t="str">
        <x:v>approve</x:v>
      </x:c>
      <x:c r="AF297" t="str">
        <x:v>approved</x:v>
      </x:c>
      <x:c r="AG297" t="str">
        <x:v>venkatesh.kalikivayi@petronas.com</x:v>
      </x:c>
      <x:c r="AH297" t="n">
        <x:v>46234.46915766204</x:v>
      </x:c>
      <x:c r="AI297" t="str">
        <x:v>The decommissioning has been completed as mentioned. Since these resources belong to the Singapore region.we are proceeding with closing the ticket.</x:v>
      </x:c>
      <x:c r="AJ297" t="str">
        <x:v>A-000224</x:v>
      </x:c>
      <x:c r="AK297" t="str">
        <x:v>02421_22</x:v>
      </x:c>
      <x:c r="AL297" t="str">
        <x:v>L</x:v>
      </x:c>
      <x:c r="AM297" t="str">
        <x:v>REQ000008178962</x:v>
      </x:c>
      <x:c r="AN297" t="str">
        <x:v>noretention</x:v>
      </x:c>
      <x:c r="AO297" t="n">
        <x:v>0</x:v>
      </x:c>
      <x:c r="AP297" s="23" t="str">
        <x:f>IF(E297="processing",IF(Z297="","",IF(ISNUMBER(Z297),INT(Z297),DATE(VALUE(LEFT(Z297,4)),VALUE(MID(Z297,6,2)),VALUE(MID(Z297,9,2))))),IF(OR(E297="executing",E297="pending"),IF(AD297="","",IF(ISNUMBER(AD297),INT(AD297),DATE(VALUE(LEFT(AD297,4)),VALUE(MID(AD297,6,2)),VALUE(MID(AD297,9,2))))),""))</x:f>
      </x:c>
      <x:c r="AQ297" s="24" t="str">
        <x:f>IF(AP297="","",INT('Configuration'!$B$4)-AP297)</x:f>
      </x:c>
      <x:c r="AR297" s="25" t="str">
        <x:f>IF(AP297="","Missing Required Date",IF(AQ297&lt;0,"Future Date",IF(AQ297=0,"0 days",IF(AQ297&lt;=2,"1-2 days",IF(AQ297&lt;=7,"3-7 days",IF(AQ297&lt;=14,"8-14 days",IF(AQ297&lt;=30,"15-30 days",IF(AQ297&lt;=60,"31-60 days",IF(AQ297&lt;=70,"61-70 days","71+ days")))))))))</x:f>
        <x:v>Missing Required Date</x:v>
      </x:c>
      <x:c r="AS297" s="25" t="str">
        <x:f>IF(OR(E297="processing",E297="executing",E297="pending"),IF(AP297="","Required aging date missing",IF(AQ297&gt;30,"Escalate &gt;30d",IF(AQ297&gt;14,"Watch &gt;14d","Within 14d"))),"Out of scope")</x:f>
        <x:v>Out of scope</x:v>
      </x:c>
    </x:row>
    <x:row r="298" ht="24" customHeight="1">
      <x:c r="A298" t="str">
        <x:v>d50a8efd-fb67-4309-9390-0078c9219551</x:v>
      </x:c>
      <x:c r="B298" t="str">
        <x:v>CSSP10360050</x:v>
      </x:c>
      <x:c r="C298" t="str">
        <x:v>izdihar.roslan@petronas.com</x:v>
      </x:c>
      <x:c r="D298" t="str">
        <x:v>decommission-cloud</x:v>
      </x:c>
      <x:c r="E298" t="str">
        <x:v>pending</x:v>
      </x:c>
      <x:c r="F298" t="n">
        <x:v>46219.28086363426</x:v>
      </x:c>
      <x:c r="G298" t="n">
        <x:v>46219.28086363426</x:v>
      </x:c>
      <x:c r="H298" t="n">
        <x:v>46219.28086363426</x:v>
      </x:c>
      <x:c r="I298" t="str">
        <x:v>Dynamic Risk Analyzer - DRA PPTSB</x:v>
      </x:c>
      <x:c r="J298" t="str">
        <x:v>CTP Old to New LZ - Dynamic Risk Analyzer (DRA) PETRONAS Penapisan (Terengganu) Sdn. Bhd.(PPTSB)</x:v>
      </x:c>
      <x:c r="K298" t="str">
        <x:v>partial</x:v>
      </x:c>
      <x:c r="L298"/>
      <x:c r="M298" t="str">
        <x:v>sazali.mokhtar@petronas.com</x:v>
      </x:c>
      <x:c r="N298"/>
      <x:c r="O298"/>
      <x:c r="P298" t="str">
        <x:v>Cloud Repatriation - To decommission old resources in Singapore region due to completed migration in MY region</x:v>
      </x:c>
      <x:c r="Q298" t="str">
        <x:v>2W</x:v>
      </x:c>
      <x:c r="R298" t="str">
        <x:v>Cloud Migration</x:v>
      </x:c>
      <x:c r="S298"/>
      <x:c r="T298" t="str">
        <x:v>pending</x:v>
      </x:c>
      <x:c r="U298" t="str">
        <x:v>izdihar.roslan@petronas.com</x:v>
      </x:c>
      <x:c r="V298"/>
      <x:c r="W298"/>
      <x:c r="X298"/>
      <x:c r="Y298" t="str">
        <x:v>sazali.mokhtar@petronas.com</x:v>
      </x:c>
      <x:c r="Z298"/>
      <x:c r="AA298"/>
      <x:c r="AB298"/>
      <x:c r="AC298" t="str">
        <x:v>CCoE SA</x:v>
      </x:c>
      <x:c r="AD298"/>
      <x:c r="AE298"/>
      <x:c r="AF298"/>
      <x:c r="AG298" t="str">
        <x:v>IMS - CLOUD CSSP EXECUTOR</x:v>
      </x:c>
      <x:c r="AH298"/>
      <x:c r="AI298"/>
      <x:c r="AJ298" t="str">
        <x:v>A-000230</x:v>
      </x:c>
      <x:c r="AK298" t="str">
        <x:v>02421_17</x:v>
      </x:c>
      <x:c r="AL298"/>
      <x:c r="AM298"/>
      <x:c r="AN298" t="str">
        <x:v>noretention</x:v>
      </x:c>
      <x:c r="AO298" t="n">
        <x:v>0</x:v>
      </x:c>
      <x:c r="AP298" s="23" t="str">
        <x:f>IF(E298="processing",IF(Z298="","",IF(ISNUMBER(Z298),INT(Z298),DATE(VALUE(LEFT(Z298,4)),VALUE(MID(Z298,6,2)),VALUE(MID(Z298,9,2))))),IF(OR(E298="executing",E298="pending"),IF(AD298="","",IF(ISNUMBER(AD298),INT(AD298),DATE(VALUE(LEFT(AD298,4)),VALUE(MID(AD298,6,2)),VALUE(MID(AD298,9,2))))),""))</x:f>
      </x:c>
      <x:c r="AQ298" s="24" t="str">
        <x:f>IF(AP298="","",INT('Configuration'!$B$4)-AP298)</x:f>
      </x:c>
      <x:c r="AR298" s="25" t="str">
        <x:f>IF(AP298="","Missing Required Date",IF(AQ298&lt;0,"Future Date",IF(AQ298=0,"0 days",IF(AQ298&lt;=2,"1-2 days",IF(AQ298&lt;=7,"3-7 days",IF(AQ298&lt;=14,"8-14 days",IF(AQ298&lt;=30,"15-30 days",IF(AQ298&lt;=60,"31-60 days",IF(AQ298&lt;=70,"61-70 days","71+ days")))))))))</x:f>
        <x:v>Missing Required Date</x:v>
      </x:c>
      <x:c r="AS298" s="25" t="str">
        <x:f>IF(OR(E298="processing",E298="executing",E298="pending"),IF(AP298="","Required aging date missing",IF(AQ298&gt;30,"Escalate &gt;30d",IF(AQ298&gt;14,"Watch &gt;14d","Within 14d"))),"Out of scope")</x:f>
        <x:v>Required aging date missing</x:v>
      </x:c>
    </x:row>
    <x:row r="299" ht="24" customHeight="1">
      <x:c r="A299" t="str">
        <x:v>390dbc85-7544-4dad-bca5-0e869becaa51</x:v>
      </x:c>
      <x:c r="B299" t="str">
        <x:v>CSSP10613645</x:v>
      </x:c>
      <x:c r="C299" t="str">
        <x:v>norhasdayany.dawood@petronas.com</x:v>
      </x:c>
      <x:c r="D299" t="str">
        <x:v>decommission-cloud</x:v>
      </x:c>
      <x:c r="E299" t="str">
        <x:v>pending</x:v>
      </x:c>
      <x:c r="F299" t="n">
        <x:v>46219.32611770833</x:v>
      </x:c>
      <x:c r="G299" t="n">
        <x:v>46219.333588981484</x:v>
      </x:c>
      <x:c r="H299" t="n">
        <x:v>46219.32611770833</x:v>
      </x:c>
      <x:c r="I299" t="str">
        <x:v>Automated Tank Gauging ATG PDB</x:v>
      </x:c>
      <x:c r="J299" t="str">
        <x:v>PDB landing zone ATG application</x:v>
      </x:c>
      <x:c r="K299" t="str">
        <x:v>partial</x:v>
      </x:c>
      <x:c r="L299"/>
      <x:c r="M299" t="str">
        <x:v>rokayah_kassim@petronas.com</x:v>
      </x:c>
      <x:c r="N299"/>
      <x:c r="O299"/>
      <x:c r="P299" t="str">
        <x:v>Not in use and required to be decommissioned</x:v>
      </x:c>
      <x:c r="Q299" t="str">
        <x:v>2W</x:v>
      </x:c>
      <x:c r="R299" t="str">
        <x:v>Not in Used</x:v>
      </x:c>
      <x:c r="S299"/>
      <x:c r="T299" t="str">
        <x:v>approved</x:v>
      </x:c>
      <x:c r="U299" t="str">
        <x:v>norhasdayany.dawood@petronas.com</x:v>
      </x:c>
      <x:c r="V299" t="n">
        <x:v>46219.33358899305</x:v>
      </x:c>
      <x:c r="W299" t="str">
        <x:v>Not in use and required to be decommissioned</x:v>
      </x:c>
      <x:c r="X299"/>
      <x:c r="Y299" t="str">
        <x:v>rokayah_kassim@petronas.com</x:v>
      </x:c>
      <x:c r="Z299"/>
      <x:c r="AA299"/>
      <x:c r="AB299"/>
      <x:c r="AC299" t="str">
        <x:v>CCoE SA</x:v>
      </x:c>
      <x:c r="AD299"/>
      <x:c r="AE299"/>
      <x:c r="AF299"/>
      <x:c r="AG299" t="str">
        <x:v>IMS - CLOUD CSSP EXECUTOR</x:v>
      </x:c>
      <x:c r="AH299"/>
      <x:c r="AI299"/>
      <x:c r="AJ299" t="str">
        <x:v>A-000079</x:v>
      </x:c>
      <x:c r="AK299" t="str">
        <x:v>00971_3</x:v>
      </x:c>
      <x:c r="AL299"/>
      <x:c r="AM299"/>
      <x:c r="AN299" t="str">
        <x:v>noretention</x:v>
      </x:c>
      <x:c r="AO299" t="n">
        <x:v>0</x:v>
      </x:c>
      <x:c r="AP299" s="23" t="str">
        <x:f>IF(E299="processing",IF(Z299="","",IF(ISNUMBER(Z299),INT(Z299),DATE(VALUE(LEFT(Z299,4)),VALUE(MID(Z299,6,2)),VALUE(MID(Z299,9,2))))),IF(OR(E299="executing",E299="pending"),IF(AD299="","",IF(ISNUMBER(AD299),INT(AD299),DATE(VALUE(LEFT(AD299,4)),VALUE(MID(AD299,6,2)),VALUE(MID(AD299,9,2))))),""))</x:f>
      </x:c>
      <x:c r="AQ299" s="24" t="str">
        <x:f>IF(AP299="","",INT('Configuration'!$B$4)-AP299)</x:f>
      </x:c>
      <x:c r="AR299" s="25" t="str">
        <x:f>IF(AP299="","Missing Required Date",IF(AQ299&lt;0,"Future Date",IF(AQ299=0,"0 days",IF(AQ299&lt;=2,"1-2 days",IF(AQ299&lt;=7,"3-7 days",IF(AQ299&lt;=14,"8-14 days",IF(AQ299&lt;=30,"15-30 days",IF(AQ299&lt;=60,"31-60 days",IF(AQ299&lt;=70,"61-70 days","71+ days")))))))))</x:f>
        <x:v>Missing Required Date</x:v>
      </x:c>
      <x:c r="AS299" s="25" t="str">
        <x:f>IF(OR(E299="processing",E299="executing",E299="pending"),IF(AP299="","Required aging date missing",IF(AQ299&gt;30,"Escalate &gt;30d",IF(AQ299&gt;14,"Watch &gt;14d","Within 14d"))),"Out of scope")</x:f>
        <x:v>Required aging date missing</x:v>
      </x:c>
    </x:row>
    <x:row r="300" ht="24" customHeight="1">
      <x:c r="A300" t="str">
        <x:v>6c5179f5-4672-409b-9383-3c1f755a7c23</x:v>
      </x:c>
      <x:c r="B300" t="str">
        <x:v>CSSP10306491</x:v>
      </x:c>
      <x:c r="C300" t="str">
        <x:v>datok.idang@petronas.com</x:v>
      </x:c>
      <x:c r="D300" t="str">
        <x:v>decommission-cloud</x:v>
      </x:c>
      <x:c r="E300" t="str">
        <x:v>executing</x:v>
      </x:c>
      <x:c r="F300" t="n">
        <x:v>46219.351567094905</x:v>
      </x:c>
      <x:c r="G300" t="n">
        <x:v>46239.62219638889</x:v>
      </x:c>
      <x:c r="H300" t="n">
        <x:v>46219.351567094905</x:v>
      </x:c>
      <x:c r="I300" t="str">
        <x:v>Operator Training Simulator - OTS</x:v>
      </x:c>
      <x:c r="J300" t="str">
        <x:v>Provisioning of AWS hosting for OTS Software for INSTEP</x:v>
      </x:c>
      <x:c r="K300" t="str">
        <x:v>partial</x:v>
      </x:c>
      <x:c r="L300"/>
      <x:c r="M300" t="str">
        <x:v>sazali.mokhtar@petronas.com</x:v>
      </x:c>
      <x:c r="N300"/>
      <x:c r="O300"/>
      <x:c r="P300" t="str">
        <x:v>Cloud Repatriation - To decommission old resources in Singapore region due to completed migration in MY region</x:v>
      </x:c>
      <x:c r="Q300" t="str">
        <x:v>2W</x:v>
      </x:c>
      <x:c r="R300" t="str">
        <x:v>Cloud Migration</x:v>
      </x:c>
      <x:c r="S300"/>
      <x:c r="T300" t="str">
        <x:v>approved</x:v>
      </x:c>
      <x:c r="U300" t="str">
        <x:v>datok.idang@petronas.com</x:v>
      </x:c>
      <x:c r="V300" t="n">
        <x:v>46219.36940016204</x:v>
      </x:c>
      <x:c r="W300" t="str">
        <x:v>Cloud Repatriation - To decommission old resources in Singapore region due to completed migration in MY region</x:v>
      </x:c>
      <x:c r="X300" t="str">
        <x:v>approved</x:v>
      </x:c>
      <x:c r="Y300" t="str">
        <x:v>sazali.mokhtar@petronas.com</x:v>
      </x:c>
      <x:c r="Z300" t="n">
        <x:v>46230.111956064815</x:v>
      </x:c>
      <x:c r="AA300" t="str">
        <x:v>Cloud Repatriation – Decommissioning legacy resources hosted in the Singapore region</x:v>
      </x:c>
      <x:c r="AB300" t="str">
        <x:v>approved</x:v>
      </x:c>
      <x:c r="AC300" t="str">
        <x:v>abhishek.bhowate@petronas.com</x:v>
      </x:c>
      <x:c r="AD300" t="n">
        <x:v>46239.622196400465</x:v>
      </x:c>
      <x:c r="AE300" t="str">
        <x:v>approved</x:v>
      </x:c>
      <x:c r="AF300"/>
      <x:c r="AG300" t="str">
        <x:v>swaminadh.chirakala@petronas.com</x:v>
      </x:c>
      <x:c r="AH300"/>
      <x:c r="AI300"/>
      <x:c r="AJ300" t="str">
        <x:v>A-000535</x:v>
      </x:c>
      <x:c r="AK300" t="n">
        <x:v>1387</x:v>
      </x:c>
      <x:c r="AL300" t="str">
        <x:v>M</x:v>
      </x:c>
      <x:c r="AM300" t="str">
        <x:v>REQ000008222623</x:v>
      </x:c>
      <x:c r="AN300" t="str">
        <x:v>noretention</x:v>
      </x:c>
      <x:c r="AO300" t="n">
        <x:v>0</x:v>
      </x:c>
      <x:c r="AP300" s="23" t="n">
        <x:f>IF(E300="processing",IF(Z300="","",IF(ISNUMBER(Z300),INT(Z300),DATE(VALUE(LEFT(Z300,4)),VALUE(MID(Z300,6,2)),VALUE(MID(Z300,9,2))))),IF(OR(E300="executing",E300="pending"),IF(AD300="","",IF(ISNUMBER(AD300),INT(AD300),DATE(VALUE(LEFT(AD300,4)),VALUE(MID(AD300,6,2)),VALUE(MID(AD300,9,2))))),""))</x:f>
        <x:v>46239</x:v>
      </x:c>
      <x:c r="AQ300" s="24" t="n">
        <x:f>IF(AP300="","",INT('Configuration'!$B$4)-AP300)</x:f>
        <x:v>12</x:v>
      </x:c>
      <x:c r="AR300" s="25" t="str">
        <x:f>IF(AP300="","Missing Required Date",IF(AQ300&lt;0,"Future Date",IF(AQ300=0,"0 days",IF(AQ300&lt;=2,"1-2 days",IF(AQ300&lt;=7,"3-7 days",IF(AQ300&lt;=14,"8-14 days",IF(AQ300&lt;=30,"15-30 days",IF(AQ300&lt;=60,"31-60 days",IF(AQ300&lt;=70,"61-70 days","71+ days")))))))))</x:f>
        <x:v>8-14 days</x:v>
      </x:c>
      <x:c r="AS300" s="25" t="str">
        <x:f>IF(OR(E300="processing",E300="executing",E300="pending"),IF(AP300="","Required aging date missing",IF(AQ300&gt;30,"Escalate &gt;30d",IF(AQ300&gt;14,"Watch &gt;14d","Within 14d"))),"Out of scope")</x:f>
        <x:v>Within 14d</x:v>
      </x:c>
    </x:row>
    <x:row r="301" ht="24" customHeight="1">
      <x:c r="A301" t="str">
        <x:v>1e224d24-0cda-4ac4-a2d0-e8ce85b45951</x:v>
      </x:c>
      <x:c r="B301" t="str">
        <x:v>CSSP10422093</x:v>
      </x:c>
      <x:c r="C301" t="str">
        <x:v>syafiqfathyamer.moh@petronas.com</x:v>
      </x:c>
      <x:c r="D301" t="str">
        <x:v>decommission-cloud</x:v>
      </x:c>
      <x:c r="E301" t="str">
        <x:v>pending</x:v>
      </x:c>
      <x:c r="F301" t="n">
        <x:v>46224.31308393519</x:v>
      </x:c>
      <x:c r="G301" t="n">
        <x:v>46233.36400851852</x:v>
      </x:c>
      <x:c r="H301" t="n">
        <x:v>46224.31308393519</x:v>
      </x:c>
      <x:c r="I301" t="str">
        <x:v>PIVOT Descriptive Analytics - DA PCGB</x:v>
      </x:c>
      <x:c r="J301" t="str">
        <x:v>PIVOT Descriptive Analytics</x:v>
      </x:c>
      <x:c r="K301" t="str">
        <x:v>full</x:v>
      </x:c>
      <x:c r="L301" t="str">
        <x:v>-</x:v>
      </x:c>
      <x:c r="M301" t="str">
        <x:v>sunny.khiani@petronas.com.my</x:v>
      </x:c>
      <x:c r="N301"/>
      <x:c r="O301"/>
      <x:c r="P301" t="str">
        <x:v>Application is not being use and the application under Black Swan initiative.</x:v>
      </x:c>
      <x:c r="Q301" t="str">
        <x:v>2W</x:v>
      </x:c>
      <x:c r="R301" t="str">
        <x:v>Not in Used</x:v>
      </x:c>
      <x:c r="S301"/>
      <x:c r="T301" t="str">
        <x:v>approved</x:v>
      </x:c>
      <x:c r="U301" t="str">
        <x:v>syafiqfathyamer.moh@petronas.com</x:v>
      </x:c>
      <x:c r="V301" t="n">
        <x:v>46233.364008530094</x:v>
      </x:c>
      <x:c r="W301" t="str">
        <x:v>Residual infra to be decommissioned.</x:v>
      </x:c>
      <x:c r="X301"/>
      <x:c r="Y301" t="str">
        <x:v>sunny.khiani@petronas.com</x:v>
      </x:c>
      <x:c r="Z301"/>
      <x:c r="AA301"/>
      <x:c r="AB301"/>
      <x:c r="AC301" t="str">
        <x:v>CCoE SA</x:v>
      </x:c>
      <x:c r="AD301"/>
      <x:c r="AE301"/>
      <x:c r="AF301"/>
      <x:c r="AG301" t="str">
        <x:v>IMS - CLOUD CSSP EXECUTOR</x:v>
      </x:c>
      <x:c r="AH301"/>
      <x:c r="AI301"/>
      <x:c r="AJ301" t="str">
        <x:v>A-000613</x:v>
      </x:c>
      <x:c r="AK301" t="n">
        <x:v>4620</x:v>
      </x:c>
      <x:c r="AL301"/>
      <x:c r="AM301"/>
      <x:c r="AN301" t="str">
        <x:v>noretention</x:v>
      </x:c>
      <x:c r="AO301" t="n">
        <x:v>0</x:v>
      </x:c>
      <x:c r="AP301" s="23" t="str">
        <x:f>IF(E301="processing",IF(Z301="","",IF(ISNUMBER(Z301),INT(Z301),DATE(VALUE(LEFT(Z301,4)),VALUE(MID(Z301,6,2)),VALUE(MID(Z301,9,2))))),IF(OR(E301="executing",E301="pending"),IF(AD301="","",IF(ISNUMBER(AD301),INT(AD301),DATE(VALUE(LEFT(AD301,4)),VALUE(MID(AD301,6,2)),VALUE(MID(AD301,9,2))))),""))</x:f>
      </x:c>
      <x:c r="AQ301" s="24" t="str">
        <x:f>IF(AP301="","",INT('Configuration'!$B$4)-AP301)</x:f>
      </x:c>
      <x:c r="AR301" s="25" t="str">
        <x:f>IF(AP301="","Missing Required Date",IF(AQ301&lt;0,"Future Date",IF(AQ301=0,"0 days",IF(AQ301&lt;=2,"1-2 days",IF(AQ301&lt;=7,"3-7 days",IF(AQ301&lt;=14,"8-14 days",IF(AQ301&lt;=30,"15-30 days",IF(AQ301&lt;=60,"31-60 days",IF(AQ301&lt;=70,"61-70 days","71+ days")))))))))</x:f>
        <x:v>Missing Required Date</x:v>
      </x:c>
      <x:c r="AS301" s="25" t="str">
        <x:f>IF(OR(E301="processing",E301="executing",E301="pending"),IF(AP301="","Required aging date missing",IF(AQ301&gt;30,"Escalate &gt;30d",IF(AQ301&gt;14,"Watch &gt;14d","Within 14d"))),"Out of scope")</x:f>
        <x:v>Required aging date missing</x:v>
      </x:c>
    </x:row>
    <x:row r="302" ht="24" customHeight="1">
      <x:c r="A302" t="str">
        <x:v>f11be16c-6a52-4737-bb6c-72aa91d10b55</x:v>
      </x:c>
      <x:c r="B302" t="str">
        <x:v>CSSP10484519</x:v>
      </x:c>
      <x:c r="C302" t="str">
        <x:v>izdihar.roslan@petronas.com</x:v>
      </x:c>
      <x:c r="D302" t="str">
        <x:v>decommission-cloud</x:v>
      </x:c>
      <x:c r="E302" t="str">
        <x:v>processing</x:v>
      </x:c>
      <x:c r="F302" t="n">
        <x:v>46225.02899731482</x:v>
      </x:c>
      <x:c r="G302" t="n">
        <x:v>46244.079157106484</x:v>
      </x:c>
      <x:c r="H302" t="n">
        <x:v>46225.02899731482</x:v>
      </x:c>
      <x:c r="I302" t="str">
        <x:v>Danger Dodgers</x:v>
      </x:c>
      <x:c r="J302" t="str">
        <x:v>Pilot Deployment of Danger Dodgers at PCFK</x:v>
      </x:c>
      <x:c r="K302" t="str">
        <x:v>partial</x:v>
      </x:c>
      <x:c r="L302"/>
      <x:c r="M302" t="str">
        <x:v>sazali.mokhtar@petronas.com</x:v>
      </x:c>
      <x:c r="N302"/>
      <x:c r="O302"/>
      <x:c r="P302" t="str">
        <x:v>Cloud Repatriation - To decommission old resources in Singapore region due to completed migration in MY region</x:v>
      </x:c>
      <x:c r="Q302" t="str">
        <x:v>2W</x:v>
      </x:c>
      <x:c r="R302" t="str">
        <x:v>Cloud Migration</x:v>
      </x:c>
      <x:c r="S302"/>
      <x:c r="T302" t="str">
        <x:v>approved</x:v>
      </x:c>
      <x:c r="U302" t="str">
        <x:v>izdihar.roslan@petronas.com</x:v>
      </x:c>
      <x:c r="V302" t="n">
        <x:v>46225.029215497685</x:v>
      </x:c>
      <x:c r="W302" t="str">
        <x:v>Cloud Repatriation - To decommission old resources in Singapore region due to completed migration in MY region</x:v>
      </x:c>
      <x:c r="X302" t="str">
        <x:v>approved</x:v>
      </x:c>
      <x:c r="Y302" t="str">
        <x:v>sazali.mokhtar@petronas.com</x:v>
      </x:c>
      <x:c r="Z302" t="n">
        <x:v>46230.11248621528</x:v>
      </x:c>
      <x:c r="AA302" t="str">
        <x:v>Cloud Repatriation – Decommissioning legacy resources hosted in the Singapore region</x:v>
      </x:c>
      <x:c r="AB302"/>
      <x:c r="AC302" t="str">
        <x:v>IMS - CLOUD CSSP REVIEWER</x:v>
      </x:c>
      <x:c r="AD302"/>
      <x:c r="AE302"/>
      <x:c r="AF302"/>
      <x:c r="AG302" t="str">
        <x:v>IMS - CLOUD CSSP EXECUTOR</x:v>
      </x:c>
      <x:c r="AH302"/>
      <x:c r="AI302"/>
      <x:c r="AJ302" t="str">
        <x:v>A-000192</x:v>
      </x:c>
      <x:c r="AK302" t="n">
        <x:v>3624</x:v>
      </x:c>
      <x:c r="AL302" t="str">
        <x:v>S</x:v>
      </x:c>
      <x:c r="AM302"/>
      <x:c r="AN302" t="str">
        <x:v>noretention</x:v>
      </x:c>
      <x:c r="AO302" t="n">
        <x:v>0</x:v>
      </x:c>
      <x:c r="AP302" s="23" t="n">
        <x:f>IF(E302="processing",IF(Z302="","",IF(ISNUMBER(Z302),INT(Z302),DATE(VALUE(LEFT(Z302,4)),VALUE(MID(Z302,6,2)),VALUE(MID(Z302,9,2))))),IF(OR(E302="executing",E302="pending"),IF(AD302="","",IF(ISNUMBER(AD302),INT(AD302),DATE(VALUE(LEFT(AD302,4)),VALUE(MID(AD302,6,2)),VALUE(MID(AD302,9,2))))),""))</x:f>
        <x:v>46230</x:v>
      </x:c>
      <x:c r="AQ302" s="24" t="n">
        <x:f>IF(AP302="","",INT('Configuration'!$B$4)-AP302)</x:f>
        <x:v>21</x:v>
      </x:c>
      <x:c r="AR302" s="25" t="str">
        <x:f>IF(AP302="","Missing Required Date",IF(AQ302&lt;0,"Future Date",IF(AQ302=0,"0 days",IF(AQ302&lt;=2,"1-2 days",IF(AQ302&lt;=7,"3-7 days",IF(AQ302&lt;=14,"8-14 days",IF(AQ302&lt;=30,"15-30 days",IF(AQ302&lt;=60,"31-60 days",IF(AQ302&lt;=70,"61-70 days","71+ days")))))))))</x:f>
        <x:v>15-30 days</x:v>
      </x:c>
      <x:c r="AS302" s="25" t="str">
        <x:f>IF(OR(E302="processing",E302="executing",E302="pending"),IF(AP302="","Required aging date missing",IF(AQ302&gt;30,"Escalate &gt;30d",IF(AQ302&gt;14,"Watch &gt;14d","Within 14d"))),"Out of scope")</x:f>
        <x:v>Watch &gt;14d</x:v>
      </x:c>
    </x:row>
    <x:row r="303" ht="24" customHeight="1">
      <x:c r="A303" t="str">
        <x:v>1dba04f7-27d5-4dfe-aed4-56b9c939bbfe</x:v>
      </x:c>
      <x:c r="B303" t="str">
        <x:v>CSSP10657709</x:v>
      </x:c>
      <x:c r="C303" t="str">
        <x:v>izdihar.roslan@petronas.com</x:v>
      </x:c>
      <x:c r="D303" t="str">
        <x:v>decommission-cloud</x:v>
      </x:c>
      <x:c r="E303" t="str">
        <x:v>executing</x:v>
      </x:c>
      <x:c r="F303" t="n">
        <x:v>46225.02988314815</x:v>
      </x:c>
      <x:c r="G303" t="n">
        <x:v>46239.622015520836</x:v>
      </x:c>
      <x:c r="H303" t="n">
        <x:v>46225.02988314815</x:v>
      </x:c>
      <x:c r="I303" t="str">
        <x:v>Danger Dodgers</x:v>
      </x:c>
      <x:c r="J303" t="str">
        <x:v>Enhancement of Danger Dodgers Gamification for GHSE</x:v>
      </x:c>
      <x:c r="K303" t="str">
        <x:v>partial</x:v>
      </x:c>
      <x:c r="L303"/>
      <x:c r="M303" t="str">
        <x:v>sazali.mokhtar@petronas.com</x:v>
      </x:c>
      <x:c r="N303"/>
      <x:c r="O303"/>
      <x:c r="P303" t="str">
        <x:v>Cloud Repatriation - To decommission old resources in Singapore region due to completed migration in MY region</x:v>
      </x:c>
      <x:c r="Q303" t="str">
        <x:v>2W</x:v>
      </x:c>
      <x:c r="R303" t="str">
        <x:v>Cloud Migration</x:v>
      </x:c>
      <x:c r="S303"/>
      <x:c r="T303" t="str">
        <x:v>approved</x:v>
      </x:c>
      <x:c r="U303" t="str">
        <x:v>izdihar.roslan@petronas.com</x:v>
      </x:c>
      <x:c r="V303" t="n">
        <x:v>46225.031217511576</x:v>
      </x:c>
      <x:c r="W303" t="str">
        <x:v>Cloud Repatriation - To decommission old resources in Singapore region due to completed migration in MY region</x:v>
      </x:c>
      <x:c r="X303" t="str">
        <x:v>approved</x:v>
      </x:c>
      <x:c r="Y303" t="str">
        <x:v>sazali.mokhtar@petronas.com</x:v>
      </x:c>
      <x:c r="Z303" t="n">
        <x:v>46230.11417581019</x:v>
      </x:c>
      <x:c r="AA303" t="str">
        <x:v>Cloud Repatriation – Decommissioning legacy resources hosted in the Singapore region</x:v>
      </x:c>
      <x:c r="AB303" t="str">
        <x:v>approved</x:v>
      </x:c>
      <x:c r="AC303" t="str">
        <x:v>abhishek.bhowate@petronas.com</x:v>
      </x:c>
      <x:c r="AD303" t="n">
        <x:v>46239.622015532404</x:v>
      </x:c>
      <x:c r="AE303" t="str">
        <x:v>approevd</x:v>
      </x:c>
      <x:c r="AF303"/>
      <x:c r="AG303" t="str">
        <x:v>swaminadh.chirakala@petronas.com</x:v>
      </x:c>
      <x:c r="AH303"/>
      <x:c r="AI303"/>
      <x:c r="AJ303" t="str">
        <x:v>A-000192</x:v>
      </x:c>
      <x:c r="AK303" t="n">
        <x:v>4596</x:v>
      </x:c>
      <x:c r="AL303" t="str">
        <x:v>S</x:v>
      </x:c>
      <x:c r="AM303" t="str">
        <x:v>REQ000008222622</x:v>
      </x:c>
      <x:c r="AN303" t="str">
        <x:v>noretention</x:v>
      </x:c>
      <x:c r="AO303" t="n">
        <x:v>0</x:v>
      </x:c>
      <x:c r="AP303" s="23" t="n">
        <x:f>IF(E303="processing",IF(Z303="","",IF(ISNUMBER(Z303),INT(Z303),DATE(VALUE(LEFT(Z303,4)),VALUE(MID(Z303,6,2)),VALUE(MID(Z303,9,2))))),IF(OR(E303="executing",E303="pending"),IF(AD303="","",IF(ISNUMBER(AD303),INT(AD303),DATE(VALUE(LEFT(AD303,4)),VALUE(MID(AD303,6,2)),VALUE(MID(AD303,9,2))))),""))</x:f>
        <x:v>46239</x:v>
      </x:c>
      <x:c r="AQ303" s="24" t="n">
        <x:f>IF(AP303="","",INT('Configuration'!$B$4)-AP303)</x:f>
        <x:v>12</x:v>
      </x:c>
      <x:c r="AR303" s="25" t="str">
        <x:f>IF(AP303="","Missing Required Date",IF(AQ303&lt;0,"Future Date",IF(AQ303=0,"0 days",IF(AQ303&lt;=2,"1-2 days",IF(AQ303&lt;=7,"3-7 days",IF(AQ303&lt;=14,"8-14 days",IF(AQ303&lt;=30,"15-30 days",IF(AQ303&lt;=60,"31-60 days",IF(AQ303&lt;=70,"61-70 days","71+ days")))))))))</x:f>
        <x:v>8-14 days</x:v>
      </x:c>
      <x:c r="AS303" s="25" t="str">
        <x:f>IF(OR(E303="processing",E303="executing",E303="pending"),IF(AP303="","Required aging date missing",IF(AQ303&gt;30,"Escalate &gt;30d",IF(AQ303&gt;14,"Watch &gt;14d","Within 14d"))),"Out of scope")</x:f>
        <x:v>Within 14d</x:v>
      </x:c>
    </x:row>
    <x:row r="304" ht="24" customHeight="1">
      <x:c r="A304" t="str">
        <x:v>8efff6b9-d1e5-4db7-a893-748781e2316c</x:v>
      </x:c>
      <x:c r="B304" t="str">
        <x:v>CSSP10274229</x:v>
      </x:c>
      <x:c r="C304" t="str">
        <x:v>azad.johari@petronas.com</x:v>
      </x:c>
      <x:c r="D304" t="str">
        <x:v>decommission-cloud</x:v>
      </x:c>
      <x:c r="E304" t="str">
        <x:v>cancelled</x:v>
      </x:c>
      <x:c r="F304" t="n">
        <x:v>46225.03657862268</x:v>
      </x:c>
      <x:c r="G304" t="n">
        <x:v>46225.06437515046</x:v>
      </x:c>
      <x:c r="H304" t="n">
        <x:v>46225.03702430556</x:v>
      </x:c>
      <x:c r="I304" t="str">
        <x:v>Technical Competency Assessment System</x:v>
      </x:c>
      <x:c r="J304" t="str">
        <x:v>Dedicated Support for Technical Competency Assessment Systems GTCM</x:v>
      </x:c>
      <x:c r="K304" t="str">
        <x:v>partial</x:v>
      </x:c>
      <x:c r="L304"/>
      <x:c r="M304" t="str">
        <x:v>amirshazlan.mshah@petronas.com</x:v>
      </x:c>
      <x:c r="N304" t="str">
        <x:v>epecas.petronas.com, epecas-training.petronas.com</x:v>
      </x:c>
      <x:c r="O304"/>
      <x:c r="P304" t="str">
        <x:v>partially decom. not in use.</x:v>
      </x:c>
      <x:c r="Q304" t="str">
        <x:v>2W</x:v>
      </x:c>
      <x:c r="R304" t="str">
        <x:v>Not in Used</x:v>
      </x:c>
      <x:c r="S304"/>
      <x:c r="T304" t="str">
        <x:v>rejected</x:v>
      </x:c>
      <x:c r="U304" t="str">
        <x:v>azad.johari@petronas.com</x:v>
      </x:c>
      <x:c r="V304" t="n">
        <x:v>46225.06437515046</x:v>
      </x:c>
      <x:c r="W304"/>
      <x:c r="X304"/>
      <x:c r="Y304" t="str">
        <x:v>amirshazlan.mshah@petronas.com</x:v>
      </x:c>
      <x:c r="Z304"/>
      <x:c r="AA304"/>
      <x:c r="AB304"/>
      <x:c r="AC304" t="str">
        <x:v>CCoE Business</x:v>
      </x:c>
      <x:c r="AD304"/>
      <x:c r="AE304"/>
      <x:c r="AF304"/>
      <x:c r="AG304" t="str">
        <x:v>CCoE Business</x:v>
      </x:c>
      <x:c r="AH304"/>
      <x:c r="AI304"/>
      <x:c r="AJ304" t="str">
        <x:v>A-000806</x:v>
      </x:c>
      <x:c r="AK304" t="n">
        <x:v>1672</x:v>
      </x:c>
      <x:c r="AL304"/>
      <x:c r="AM304"/>
      <x:c r="AN304" t="str">
        <x:v>retention</x:v>
      </x:c>
      <x:c r="AO304"/>
      <x:c r="AP304" s="23" t="str">
        <x:f>IF(E304="processing",IF(Z304="","",IF(ISNUMBER(Z304),INT(Z304),DATE(VALUE(LEFT(Z304,4)),VALUE(MID(Z304,6,2)),VALUE(MID(Z304,9,2))))),IF(OR(E304="executing",E304="pending"),IF(AD304="","",IF(ISNUMBER(AD304),INT(AD304),DATE(VALUE(LEFT(AD304,4)),VALUE(MID(AD304,6,2)),VALUE(MID(AD304,9,2))))),""))</x:f>
      </x:c>
      <x:c r="AQ304" s="24" t="str">
        <x:f>IF(AP304="","",INT('Configuration'!$B$4)-AP304)</x:f>
      </x:c>
      <x:c r="AR304" s="25" t="str">
        <x:f>IF(AP304="","Missing Required Date",IF(AQ304&lt;0,"Future Date",IF(AQ304=0,"0 days",IF(AQ304&lt;=2,"1-2 days",IF(AQ304&lt;=7,"3-7 days",IF(AQ304&lt;=14,"8-14 days",IF(AQ304&lt;=30,"15-30 days",IF(AQ304&lt;=60,"31-60 days",IF(AQ304&lt;=70,"61-70 days","71+ days")))))))))</x:f>
        <x:v>Missing Required Date</x:v>
      </x:c>
      <x:c r="AS304" s="25" t="str">
        <x:f>IF(OR(E304="processing",E304="executing",E304="pending"),IF(AP304="","Required aging date missing",IF(AQ304&gt;30,"Escalate &gt;30d",IF(AQ304&gt;14,"Watch &gt;14d","Within 14d"))),"Out of scope")</x:f>
        <x:v>Out of scope</x:v>
      </x:c>
    </x:row>
    <x:row r="305" ht="24" customHeight="1">
      <x:c r="A305" t="str">
        <x:v>e342b7ce-f9b8-4871-a216-522cbf52572d</x:v>
      </x:c>
      <x:c r="B305" t="str">
        <x:v>CSSP10420557</x:v>
      </x:c>
      <x:c r="C305" t="str">
        <x:v>azad.johari@petronas.com</x:v>
      </x:c>
      <x:c r="D305" t="str">
        <x:v>decommission-cloud</x:v>
      </x:c>
      <x:c r="E305" t="str">
        <x:v>rejected</x:v>
      </x:c>
      <x:c r="F305" t="n">
        <x:v>46225.05643502315</x:v>
      </x:c>
      <x:c r="G305" t="n">
        <x:v>46225.11891556713</x:v>
      </x:c>
      <x:c r="H305" t="n">
        <x:v>46225.05643502315</x:v>
      </x:c>
      <x:c r="I305" t="str">
        <x:v>.NET Shared Infra</x:v>
      </x:c>
      <x:c r="J305" t="str">
        <x:v>Cloud Migration Program - .NET Shared Infra (SWE Dot Net)</x:v>
      </x:c>
      <x:c r="K305" t="str">
        <x:v>partial</x:v>
      </x:c>
      <x:c r="L305"/>
      <x:c r="M305" t="str">
        <x:v>amirshazlan.mshah@petronas.com</x:v>
      </x:c>
      <x:c r="N305" t="str">
        <x:v>epecas.petronas.com, epecas-training.petronas.com</x:v>
      </x:c>
      <x:c r="O305"/>
      <x:c r="P305" t="str">
        <x:v>Partial decom. CMDB record: PETRONAS Competency based Assessment System ePECAS 4.0 and ePecas Training. Both apps shared the VM for webserver and database with other applications.</x:v>
      </x:c>
      <x:c r="Q305" t="str">
        <x:v>2W</x:v>
      </x:c>
      <x:c r="R305" t="str">
        <x:v>Not in Used</x:v>
      </x:c>
      <x:c r="S305"/>
      <x:c r="T305" t="str">
        <x:v>approved</x:v>
      </x:c>
      <x:c r="U305" t="str">
        <x:v>azad.johari@petronas.com</x:v>
      </x:c>
      <x:c r="V305" t="n">
        <x:v>46225.062828333335</x:v>
      </x:c>
      <x:c r="W305" t="str">
        <x:v>The selected VMs contains the app and also the DB. All servers are shared with multiple apps.</x:v>
      </x:c>
      <x:c r="X305" t="str">
        <x:v>rejected</x:v>
      </x:c>
      <x:c r="Y305" t="str">
        <x:v>amirshazlan.mshah@petronas.com</x:v>
      </x:c>
      <x:c r="Z305" t="n">
        <x:v>46225.11891557871</x:v>
      </x:c>
      <x:c r="AA305" t="str">
        <x:v>rejcted</x:v>
      </x:c>
      <x:c r="AB305"/>
      <x:c r="AC305" t="str">
        <x:v>CCoE SA</x:v>
      </x:c>
      <x:c r="AD305"/>
      <x:c r="AE305"/>
      <x:c r="AF305"/>
      <x:c r="AG305" t="str">
        <x:v>IMS - CLOUD CSSP EXECUTOR</x:v>
      </x:c>
      <x:c r="AH305"/>
      <x:c r="AI305"/>
      <x:c r="AJ305" t="str">
        <x:v>P-000004</x:v>
      </x:c>
      <x:c r="AK305" t="str">
        <x:v>00915_57</x:v>
      </x:c>
      <x:c r="AL305"/>
      <x:c r="AM305"/>
      <x:c r="AN305" t="str">
        <x:v>retention</x:v>
      </x:c>
      <x:c r="AO305" t="n">
        <x:v>14</x:v>
      </x:c>
      <x:c r="AP305" s="23" t="str">
        <x:f>IF(E305="processing",IF(Z305="","",IF(ISNUMBER(Z305),INT(Z305),DATE(VALUE(LEFT(Z305,4)),VALUE(MID(Z305,6,2)),VALUE(MID(Z305,9,2))))),IF(OR(E305="executing",E305="pending"),IF(AD305="","",IF(ISNUMBER(AD305),INT(AD305),DATE(VALUE(LEFT(AD305,4)),VALUE(MID(AD305,6,2)),VALUE(MID(AD305,9,2))))),""))</x:f>
      </x:c>
      <x:c r="AQ305" s="24" t="str">
        <x:f>IF(AP305="","",INT('Configuration'!$B$4)-AP305)</x:f>
      </x:c>
      <x:c r="AR305" s="25" t="str">
        <x:f>IF(AP305="","Missing Required Date",IF(AQ305&lt;0,"Future Date",IF(AQ305=0,"0 days",IF(AQ305&lt;=2,"1-2 days",IF(AQ305&lt;=7,"3-7 days",IF(AQ305&lt;=14,"8-14 days",IF(AQ305&lt;=30,"15-30 days",IF(AQ305&lt;=60,"31-60 days",IF(AQ305&lt;=70,"61-70 days","71+ days")))))))))</x:f>
        <x:v>Missing Required Date</x:v>
      </x:c>
      <x:c r="AS305" s="25" t="str">
        <x:f>IF(OR(E305="processing",E305="executing",E305="pending"),IF(AP305="","Required aging date missing",IF(AQ305&gt;30,"Escalate &gt;30d",IF(AQ305&gt;14,"Watch &gt;14d","Within 14d"))),"Out of scope")</x:f>
        <x:v>Out of scope</x:v>
      </x:c>
    </x:row>
    <x:row r="306" ht="24" customHeight="1">
      <x:c r="A306" t="str">
        <x:v>45130a0c-5f40-4396-aaa9-5a026b5273bb</x:v>
      </x:c>
      <x:c r="B306" t="str">
        <x:v>CSSP10581935</x:v>
      </x:c>
      <x:c r="C306" t="str">
        <x:v>azad.johari@petronas.com</x:v>
      </x:c>
      <x:c r="D306" t="str">
        <x:v>decommission-cloud</x:v>
      </x:c>
      <x:c r="E306" t="str">
        <x:v>rejected</x:v>
      </x:c>
      <x:c r="F306" t="n">
        <x:v>46225.096734479164</x:v>
      </x:c>
      <x:c r="G306" t="n">
        <x:v>46232.10364534722</x:v>
      </x:c>
      <x:c r="H306" t="n">
        <x:v>46225.096734479164</x:v>
      </x:c>
      <x:c r="I306" t="str">
        <x:v>.NET Shared Infra</x:v>
      </x:c>
      <x:c r="J306" t="str">
        <x:v>Cloud Migration Program - .NET Shared Infra (SWE Dot Net)</x:v>
      </x:c>
      <x:c r="K306" t="str">
        <x:v>partial</x:v>
      </x:c>
      <x:c r="L306"/>
      <x:c r="M306" t="str">
        <x:v>amirshazlan.mshah@petronas.com</x:v>
      </x:c>
      <x:c r="N306" t="str">
        <x:v>epecas.petronas.com, epecas-training.petronas.com</x:v>
      </x:c>
      <x:c r="O306"/>
      <x:c r="P306" t="str">
        <x:v>Partial decom. CMDB record: PETRONAS Competency based Assessment System ePECAS 4.0 and ePecas Training. Both apps shared the VM for webserver and database with other applications. All related servers with this app will be decom EXCEPT for Production database ptsg-1dotnetdb1.</x:v>
      </x:c>
      <x:c r="Q306" t="str">
        <x:v>2W</x:v>
      </x:c>
      <x:c r="R306" t="str">
        <x:v>Not in Used</x:v>
      </x:c>
      <x:c r="S306"/>
      <x:c r="T306" t="str">
        <x:v>approved</x:v>
      </x:c>
      <x:c r="U306" t="str">
        <x:v>azad.johari@petronas.com</x:v>
      </x:c>
      <x:c r="V306" t="n">
        <x:v>46225.10647556713</x:v>
      </x:c>
      <x:c r="W306" t="str">
        <x:v>Purposely NOT selected: DB ptsg-1dotnetdb1 because business still need the server to perform their migration.</x:v>
      </x:c>
      <x:c r="X306" t="str">
        <x:v>approved</x:v>
      </x:c>
      <x:c r="Y306" t="str">
        <x:v>amirshazlan.mshah@petronas.com</x:v>
      </x:c>
      <x:c r="Z306" t="n">
        <x:v>46225.11917766204</x:v>
      </x:c>
      <x:c r="AA306" t="str">
        <x:v>approved</x:v>
      </x:c>
      <x:c r="AB306" t="str">
        <x:v>rejected</x:v>
      </x:c>
      <x:c r="AC306" t="str">
        <x:v>ismail.azman@petronas.com</x:v>
      </x:c>
      <x:c r="AD306" t="n">
        <x:v>46232.103645358795</x:v>
      </x:c>
      <x:c r="AE306" t="str">
        <x:v>Cancelled as per requested by requestor.</x:v>
      </x:c>
      <x:c r="AF306"/>
      <x:c r="AG306" t="str">
        <x:v>IMS - CLOUD CSSP EXECUTOR</x:v>
      </x:c>
      <x:c r="AH306"/>
      <x:c r="AI306"/>
      <x:c r="AJ306" t="str">
        <x:v>P-000004</x:v>
      </x:c>
      <x:c r="AK306" t="str">
        <x:v>00915_57</x:v>
      </x:c>
      <x:c r="AL306" t="str">
        <x:v>S</x:v>
      </x:c>
      <x:c r="AM306"/>
      <x:c r="AN306" t="str">
        <x:v>retention</x:v>
      </x:c>
      <x:c r="AO306" t="n">
        <x:v>14</x:v>
      </x:c>
      <x:c r="AP306" s="23" t="str">
        <x:f>IF(E306="processing",IF(Z306="","",IF(ISNUMBER(Z306),INT(Z306),DATE(VALUE(LEFT(Z306,4)),VALUE(MID(Z306,6,2)),VALUE(MID(Z306,9,2))))),IF(OR(E306="executing",E306="pending"),IF(AD306="","",IF(ISNUMBER(AD306),INT(AD306),DATE(VALUE(LEFT(AD306,4)),VALUE(MID(AD306,6,2)),VALUE(MID(AD306,9,2))))),""))</x:f>
      </x:c>
      <x:c r="AQ306" s="24" t="str">
        <x:f>IF(AP306="","",INT('Configuration'!$B$4)-AP306)</x:f>
      </x:c>
      <x:c r="AR306" s="25" t="str">
        <x:f>IF(AP306="","Missing Required Date",IF(AQ306&lt;0,"Future Date",IF(AQ306=0,"0 days",IF(AQ306&lt;=2,"1-2 days",IF(AQ306&lt;=7,"3-7 days",IF(AQ306&lt;=14,"8-14 days",IF(AQ306&lt;=30,"15-30 days",IF(AQ306&lt;=60,"31-60 days",IF(AQ306&lt;=70,"61-70 days","71+ days")))))))))</x:f>
        <x:v>Missing Required Date</x:v>
      </x:c>
      <x:c r="AS306" s="25" t="str">
        <x:f>IF(OR(E306="processing",E306="executing",E306="pending"),IF(AP306="","Required aging date missing",IF(AQ306&gt;30,"Escalate &gt;30d",IF(AQ306&gt;14,"Watch &gt;14d","Within 14d"))),"Out of scope")</x:f>
        <x:v>Out of scope</x:v>
      </x:c>
    </x:row>
    <x:row r="307" ht="24" customHeight="1">
      <x:c r="A307" t="str">
        <x:v>46ac4172-afa2-450f-88b1-41b28b45a53c</x:v>
      </x:c>
      <x:c r="B307" t="str">
        <x:v>CSSP10749532</x:v>
      </x:c>
      <x:c r="C307" t="str">
        <x:v>norhamizah.hasni@petronas.com</x:v>
      </x:c>
      <x:c r="D307" t="str">
        <x:v>decommission-cloud</x:v>
      </x:c>
      <x:c r="E307" t="str">
        <x:v>executing</x:v>
      </x:c>
      <x:c r="F307" t="n">
        <x:v>46225.142065092594</x:v>
      </x:c>
      <x:c r="G307" t="n">
        <x:v>46239.6217059375</x:v>
      </x:c>
      <x:c r="H307" t="n">
        <x:v>46225.142065092594</x:v>
      </x:c>
      <x:c r="I307" t="str">
        <x:v>Alarm Management System - AMS Machinery Manager PRPC</x:v>
      </x:c>
      <x:c r="J307" t="str">
        <x:v>Cloud Migration Program - AMS</x:v>
      </x:c>
      <x:c r="K307" t="str">
        <x:v>partial</x:v>
      </x:c>
      <x:c r="L307"/>
      <x:c r="M307" t="str">
        <x:v>sazali.mokhtar@petronas.com</x:v>
      </x:c>
      <x:c r="N307" t="str">
        <x:v>N/A</x:v>
      </x:c>
      <x:c r="O307" t="str">
        <x:v>N/A</x:v>
      </x:c>
      <x:c r="P307" t="str">
        <x:v>To decommission resources in the Singapore region since this application migrated to Malaysia region.</x:v>
      </x:c>
      <x:c r="Q307" t="str">
        <x:v>2W</x:v>
      </x:c>
      <x:c r="R307" t="str">
        <x:v>Cloud Migration</x:v>
      </x:c>
      <x:c r="S307"/>
      <x:c r="T307" t="str">
        <x:v>approved</x:v>
      </x:c>
      <x:c r="U307" t="str">
        <x:v>norhamizah.hasni@petronas.com</x:v>
      </x:c>
      <x:c r="V307" t="n">
        <x:v>46225.14245032407</x:v>
      </x:c>
      <x:c r="W307" t="str">
        <x:v>To decommission resources in the Singapore region since this application migrated to Malaysia region.</x:v>
      </x:c>
      <x:c r="X307" t="str">
        <x:v>approved</x:v>
      </x:c>
      <x:c r="Y307" t="str">
        <x:v>sazali.mokhtar@petronas.com</x:v>
      </x:c>
      <x:c r="Z307" t="n">
        <x:v>46230.11323653935</x:v>
      </x:c>
      <x:c r="AA307" t="str">
        <x:v>Cloud Repatriation – Decommissioning legacy resources hosted in the Singapore region</x:v>
      </x:c>
      <x:c r="AB307" t="str">
        <x:v>approved</x:v>
      </x:c>
      <x:c r="AC307" t="str">
        <x:v>abhishek.bhowate@petronas.com</x:v>
      </x:c>
      <x:c r="AD307" t="n">
        <x:v>46239.621705949074</x:v>
      </x:c>
      <x:c r="AE307" t="str">
        <x:v>approved</x:v>
      </x:c>
      <x:c r="AF307"/>
      <x:c r="AG307" t="str">
        <x:v>amarja.kawade@petronas.com</x:v>
      </x:c>
      <x:c r="AH307"/>
      <x:c r="AI307"/>
      <x:c r="AJ307" t="str">
        <x:v>A-000049</x:v>
      </x:c>
      <x:c r="AK307" t="str">
        <x:v>02421_112</x:v>
      </x:c>
      <x:c r="AL307" t="str">
        <x:v>M</x:v>
      </x:c>
      <x:c r="AM307" t="str">
        <x:v>REQ000008222179</x:v>
      </x:c>
      <x:c r="AN307" t="str">
        <x:v>noretention</x:v>
      </x:c>
      <x:c r="AO307" t="n">
        <x:v>0</x:v>
      </x:c>
      <x:c r="AP307" s="23" t="n">
        <x:f>IF(E307="processing",IF(Z307="","",IF(ISNUMBER(Z307),INT(Z307),DATE(VALUE(LEFT(Z307,4)),VALUE(MID(Z307,6,2)),VALUE(MID(Z307,9,2))))),IF(OR(E307="executing",E307="pending"),IF(AD307="","",IF(ISNUMBER(AD307),INT(AD307),DATE(VALUE(LEFT(AD307,4)),VALUE(MID(AD307,6,2)),VALUE(MID(AD307,9,2))))),""))</x:f>
        <x:v>46239</x:v>
      </x:c>
      <x:c r="AQ307" s="24" t="n">
        <x:f>IF(AP307="","",INT('Configuration'!$B$4)-AP307)</x:f>
        <x:v>12</x:v>
      </x:c>
      <x:c r="AR307" s="25" t="str">
        <x:f>IF(AP307="","Missing Required Date",IF(AQ307&lt;0,"Future Date",IF(AQ307=0,"0 days",IF(AQ307&lt;=2,"1-2 days",IF(AQ307&lt;=7,"3-7 days",IF(AQ307&lt;=14,"8-14 days",IF(AQ307&lt;=30,"15-30 days",IF(AQ307&lt;=60,"31-60 days",IF(AQ307&lt;=70,"61-70 days","71+ days")))))))))</x:f>
        <x:v>8-14 days</x:v>
      </x:c>
      <x:c r="AS307" s="25" t="str">
        <x:f>IF(OR(E307="processing",E307="executing",E307="pending"),IF(AP307="","Required aging date missing",IF(AQ307&gt;30,"Escalate &gt;30d",IF(AQ307&gt;14,"Watch &gt;14d","Within 14d"))),"Out of scope")</x:f>
        <x:v>Within 14d</x:v>
      </x:c>
    </x:row>
    <x:row r="308" ht="24" customHeight="1">
      <x:c r="A308" t="str">
        <x:v>6b6ccb32-f0c3-4b75-91fe-968e53b2d95d</x:v>
      </x:c>
      <x:c r="B308" t="str">
        <x:v>CSSP10478501</x:v>
      </x:c>
      <x:c r="C308" t="str">
        <x:v>azliamirulehsan.raz@petronas.com</x:v>
      </x:c>
      <x:c r="D308" t="str">
        <x:v>decommission-cloud</x:v>
      </x:c>
      <x:c r="E308" t="str">
        <x:v>executing</x:v>
      </x:c>
      <x:c r="F308" t="n">
        <x:v>46225.14681831018</x:v>
      </x:c>
      <x:c r="G308" t="n">
        <x:v>46233.1071102662</x:v>
      </x:c>
      <x:c r="H308" t="n">
        <x:v>46225.14681831018</x:v>
      </x:c>
      <x:c r="I308" t="str">
        <x:v>Sharing Knowledge Information and Lesson Learnt - SKILL</x:v>
      </x:c>
      <x:c r="J308" t="str">
        <x:v>Enhancement of Sharing Knowledge Information &amp; Lessons Learnt (SKILL) System for PD&amp;T</x:v>
      </x:c>
      <x:c r="K308" t="str">
        <x:v>partial</x:v>
      </x:c>
      <x:c r="L308"/>
      <x:c r="M308" t="str">
        <x:v>azad.johari@petronas.com</x:v>
      </x:c>
      <x:c r="N308" t="str">
        <x:v>In use</x:v>
      </x:c>
      <x:c r="O308"/>
      <x:c r="P308" t="str">
        <x:v>Moving to SKILL Lite developed by Business</x:v>
      </x:c>
      <x:c r="Q308" t="str">
        <x:v>2W</x:v>
      </x:c>
      <x:c r="R308" t="str">
        <x:v>Not in Used</x:v>
      </x:c>
      <x:c r="S308"/>
      <x:c r="T308" t="str">
        <x:v>approved</x:v>
      </x:c>
      <x:c r="U308" t="str">
        <x:v>azliamirulehsan.raz@petronas.com</x:v>
      </x:c>
      <x:c r="V308" t="n">
        <x:v>46225.159825601855</x:v>
      </x:c>
      <x:c r="W308" t="str">
        <x:v>To be migrated.</x:v>
      </x:c>
      <x:c r="X308" t="str">
        <x:v>approved</x:v>
      </x:c>
      <x:c r="Y308" t="str">
        <x:v>azad.johari@petronas.com</x:v>
      </x:c>
      <x:c r="Z308" t="n">
        <x:v>46231.16155878472</x:v>
      </x:c>
      <x:c r="AA308" t="str">
        <x:v>All resources to be decommissioned except for resources related to ptsg1skillstrg azure storage.</x:v>
      </x:c>
      <x:c r="AB308" t="str">
        <x:v>approved</x:v>
      </x:c>
      <x:c r="AC308" t="str">
        <x:v>abhishek.bhowate@petronas.com</x:v>
      </x:c>
      <x:c r="AD308" t="n">
        <x:v>46233.10711027778</x:v>
      </x:c>
      <x:c r="AE308" t="str">
        <x:v>approve</x:v>
      </x:c>
      <x:c r="AF308"/>
      <x:c r="AG308" t="str">
        <x:v>venkatesh.kalikivayi@petronas.com</x:v>
      </x:c>
      <x:c r="AH308"/>
      <x:c r="AI308"/>
      <x:c r="AJ308" t="str">
        <x:v>A-000775</x:v>
      </x:c>
      <x:c r="AK308" t="n">
        <x:v>617</x:v>
      </x:c>
      <x:c r="AL308" t="str">
        <x:v>M</x:v>
      </x:c>
      <x:c r="AM308" t="str">
        <x:v>REQ000008203411</x:v>
      </x:c>
      <x:c r="AN308" t="str">
        <x:v>retention</x:v>
      </x:c>
      <x:c r="AO308" t="n">
        <x:v>14</x:v>
      </x:c>
      <x:c r="AP308" s="23" t="n">
        <x:f>IF(E308="processing",IF(Z308="","",IF(ISNUMBER(Z308),INT(Z308),DATE(VALUE(LEFT(Z308,4)),VALUE(MID(Z308,6,2)),VALUE(MID(Z308,9,2))))),IF(OR(E308="executing",E308="pending"),IF(AD308="","",IF(ISNUMBER(AD308),INT(AD308),DATE(VALUE(LEFT(AD308,4)),VALUE(MID(AD308,6,2)),VALUE(MID(AD308,9,2))))),""))</x:f>
        <x:v>46233</x:v>
      </x:c>
      <x:c r="AQ308" s="24" t="n">
        <x:f>IF(AP308="","",INT('Configuration'!$B$4)-AP308)</x:f>
        <x:v>18</x:v>
      </x:c>
      <x:c r="AR308" s="25" t="str">
        <x:f>IF(AP308="","Missing Required Date",IF(AQ308&lt;0,"Future Date",IF(AQ308=0,"0 days",IF(AQ308&lt;=2,"1-2 days",IF(AQ308&lt;=7,"3-7 days",IF(AQ308&lt;=14,"8-14 days",IF(AQ308&lt;=30,"15-30 days",IF(AQ308&lt;=60,"31-60 days",IF(AQ308&lt;=70,"61-70 days","71+ days")))))))))</x:f>
        <x:v>15-30 days</x:v>
      </x:c>
      <x:c r="AS308" s="25" t="str">
        <x:f>IF(OR(E308="processing",E308="executing",E308="pending"),IF(AP308="","Required aging date missing",IF(AQ308&gt;30,"Escalate &gt;30d",IF(AQ308&gt;14,"Watch &gt;14d","Within 14d"))),"Out of scope")</x:f>
        <x:v>Watch &gt;14d</x:v>
      </x:c>
    </x:row>
    <x:row r="309" ht="24" customHeight="1">
      <x:c r="A309" t="str">
        <x:v>21156890-a9c6-48ca-a4bd-6b563ba357cb</x:v>
      </x:c>
      <x:c r="B309" t="str">
        <x:v>CSSP10187579</x:v>
      </x:c>
      <x:c r="C309" t="str">
        <x:v>ridzuan.amajid@petronas.com</x:v>
      </x:c>
      <x:c r="D309" t="str">
        <x:v>decommission-cloud</x:v>
      </x:c>
      <x:c r="E309" t="str">
        <x:v>executing</x:v>
      </x:c>
      <x:c r="F309" t="n">
        <x:v>46226.089098032404</x:v>
      </x:c>
      <x:c r="G309" t="n">
        <x:v>46231.204605983796</x:v>
      </x:c>
      <x:c r="H309" t="n">
        <x:v>46226.089098032404</x:v>
      </x:c>
      <x:c r="I309" t="str">
        <x:v>IMIM / PCSB - Sabah Asset Project</x:v>
      </x:c>
      <x:c r="J309" t="str">
        <x:v>IMIM / PCSB - Sabah Asset Project created for PRIVATECLOUD project record</x:v>
      </x:c>
      <x:c r="K309" t="str">
        <x:v>partial</x:v>
      </x:c>
      <x:c r="L309"/>
      <x:c r="M309" t="str">
        <x:v>ridzuan.amajid@petronas.com</x:v>
      </x:c>
      <x:c r="N309"/>
      <x:c r="O309"/>
      <x:c r="P309" t="str">
        <x:v>To decom VM Name vSBOPCSBRBMAPP1 - unsuccessful billing without any cost center. This VM has been in power off mode since March 2025. Request is made by Ridzuan Majid.</x:v>
      </x:c>
      <x:c r="Q309" t="str">
        <x:v>12M</x:v>
      </x:c>
      <x:c r="R309" t="str">
        <x:v>Obsolete</x:v>
      </x:c>
      <x:c r="S309"/>
      <x:c r="T309" t="str">
        <x:v>approved</x:v>
      </x:c>
      <x:c r="U309" t="str">
        <x:v>ridzuan.amajid@petronas.com</x:v>
      </x:c>
      <x:c r="V309" t="n">
        <x:v>46226.09118333333</x:v>
      </x:c>
      <x:c r="W309" t="str">
        <x:v>To decom VM Name vSBOPCSBRBMAPP1 - unsuccessful billing without any cost center. This VM has been in power off mode since March 2025. Request is made by Ridzuan Majid.</x:v>
      </x:c>
      <x:c r="X309" t="str">
        <x:v>approved</x:v>
      </x:c>
      <x:c r="Y309" t="str">
        <x:v>ridzuan.amajid@petronas.com</x:v>
      </x:c>
      <x:c r="Z309" t="n">
        <x:v>46226.09164298611</x:v>
      </x:c>
      <x:c r="AA309" t="str">
        <x:v>To decom VM Name vSBOPCSBRBMAPP1 - unsuccessful billing without any cost center. This VM has been in power off mode since March 2025. Request is made by Ridzuan Majid.</x:v>
      </x:c>
      <x:c r="AB309" t="str">
        <x:v>approved</x:v>
      </x:c>
      <x:c r="AC309" t="str">
        <x:v>abhishek.bhowate@petronas.com</x:v>
      </x:c>
      <x:c r="AD309" t="n">
        <x:v>46231.20460600695</x:v>
      </x:c>
      <x:c r="AE309" t="str">
        <x:v>Approve</x:v>
      </x:c>
      <x:c r="AF309"/>
      <x:c r="AG309" t="str">
        <x:v>amarja.kawade@petronas.com</x:v>
      </x:c>
      <x:c r="AH309"/>
      <x:c r="AI309"/>
      <x:c r="AJ309" t="str">
        <x:v>A-000386</x:v>
      </x:c>
      <x:c r="AK309" t="n">
        <x:v>10099</x:v>
      </x:c>
      <x:c r="AL309" t="str">
        <x:v>S</x:v>
      </x:c>
      <x:c r="AM309" t="str">
        <x:v>REQ000008198554</x:v>
      </x:c>
      <x:c r="AN309" t="str">
        <x:v>retention</x:v>
      </x:c>
      <x:c r="AO309" t="n">
        <x:v>1</x:v>
      </x:c>
      <x:c r="AP309" s="23" t="n">
        <x:f>IF(E309="processing",IF(Z309="","",IF(ISNUMBER(Z309),INT(Z309),DATE(VALUE(LEFT(Z309,4)),VALUE(MID(Z309,6,2)),VALUE(MID(Z309,9,2))))),IF(OR(E309="executing",E309="pending"),IF(AD309="","",IF(ISNUMBER(AD309),INT(AD309),DATE(VALUE(LEFT(AD309,4)),VALUE(MID(AD309,6,2)),VALUE(MID(AD309,9,2))))),""))</x:f>
        <x:v>46231</x:v>
      </x:c>
      <x:c r="AQ309" s="24" t="n">
        <x:f>IF(AP309="","",INT('Configuration'!$B$4)-AP309)</x:f>
        <x:v>20</x:v>
      </x:c>
      <x:c r="AR309" s="25" t="str">
        <x:f>IF(AP309="","Missing Required Date",IF(AQ309&lt;0,"Future Date",IF(AQ309=0,"0 days",IF(AQ309&lt;=2,"1-2 days",IF(AQ309&lt;=7,"3-7 days",IF(AQ309&lt;=14,"8-14 days",IF(AQ309&lt;=30,"15-30 days",IF(AQ309&lt;=60,"31-60 days",IF(AQ309&lt;=70,"61-70 days","71+ days")))))))))</x:f>
        <x:v>15-30 days</x:v>
      </x:c>
      <x:c r="AS309" s="25" t="str">
        <x:f>IF(OR(E309="processing",E309="executing",E309="pending"),IF(AP309="","Required aging date missing",IF(AQ309&gt;30,"Escalate &gt;30d",IF(AQ309&gt;14,"Watch &gt;14d","Within 14d"))),"Out of scope")</x:f>
        <x:v>Watch &gt;14d</x:v>
      </x:c>
    </x:row>
    <x:row r="310" ht="24" customHeight="1">
      <x:c r="A310" t="str">
        <x:v>c1b5fb85-d750-44e3-9887-76b8c0dbafa2</x:v>
      </x:c>
      <x:c r="B310" t="str">
        <x:v>CSSP10467486</x:v>
      </x:c>
      <x:c r="C310" t="str">
        <x:v>ridzuan.amajid@petronas.com</x:v>
      </x:c>
      <x:c r="D310" t="str">
        <x:v>decommission-cloud</x:v>
      </x:c>
      <x:c r="E310" t="str">
        <x:v>executing</x:v>
      </x:c>
      <x:c r="F310" t="n">
        <x:v>46226.10378109954</x:v>
      </x:c>
      <x:c r="G310" t="n">
        <x:v>46231.20419012731</x:v>
      </x:c>
      <x:c r="H310" t="n">
        <x:v>46226.10378109954</x:v>
      </x:c>
      <x:c r="I310" t="str">
        <x:v>Plant Information - PI PCSB MLNG Bintulu</x:v>
      </x:c>
      <x:c r="J310" t="str">
        <x:v>Plant Information - PI PCSB @ MLNG Bintulu created for PRIVATECLOUD project record</x:v>
      </x:c>
      <x:c r="K310" t="str">
        <x:v>partial</x:v>
      </x:c>
      <x:c r="L310"/>
      <x:c r="M310" t="str">
        <x:v>ridzuan.amajid@petronas.com</x:v>
      </x:c>
      <x:c r="N310"/>
      <x:c r="O310"/>
      <x:c r="P310" t="str">
        <x:v>To decom VM Name vSARPSKGPIAPP01, vSARPSKGPIAPP02, vSARPCSBPISTG01. User raised previous decom request CSSP10158036 but it was not processed. Request is made by Ridzuan Majid on behalf of business user. Refer to CSSP10158036.</x:v>
      </x:c>
      <x:c r="Q310" t="str">
        <x:v>12M</x:v>
      </x:c>
      <x:c r="R310" t="str">
        <x:v>Not in Used</x:v>
      </x:c>
      <x:c r="S310"/>
      <x:c r="T310" t="str">
        <x:v>approved</x:v>
      </x:c>
      <x:c r="U310" t="str">
        <x:v>ridzuan.amajid@petronas.com</x:v>
      </x:c>
      <x:c r="V310" t="n">
        <x:v>46226.10447020833</x:v>
      </x:c>
      <x:c r="W310" t="str">
        <x:v>To decom VM Name vSARPSKGPIAPP01, vSARPSKGPIAPP02, vSARPCSBPISTG01. User raised previous decom request CSSP10158036 but it was not processed. Request is made by Ridzuan Majid on behalf of business user. Refer to CSSP10158036.</x:v>
      </x:c>
      <x:c r="X310" t="str">
        <x:v>approved</x:v>
      </x:c>
      <x:c r="Y310" t="str">
        <x:v>ridzuan.amajid@petronas.com</x:v>
      </x:c>
      <x:c r="Z310" t="n">
        <x:v>46226.1047084838</x:v>
      </x:c>
      <x:c r="AA310" t="str">
        <x:v>To decom VM Name vSARPSKGPIAPP01, vSARPSKGPIAPP02, vSARPCSBPISTG01. User raised previous decom request CSSP10158036 but it was not processed. Request is made by Ridzuan Majid on behalf of business user. Refer to CSSP10158036.</x:v>
      </x:c>
      <x:c r="AB310" t="str">
        <x:v>approved</x:v>
      </x:c>
      <x:c r="AC310" t="str">
        <x:v>abhishek.bhowate@petronas.com</x:v>
      </x:c>
      <x:c r="AD310" t="n">
        <x:v>46231.20419013889</x:v>
      </x:c>
      <x:c r="AE310" t="str">
        <x:v>Approve</x:v>
      </x:c>
      <x:c r="AF310"/>
      <x:c r="AG310" t="str">
        <x:v>swaminadh.chirakala@petronas.com</x:v>
      </x:c>
      <x:c r="AH310"/>
      <x:c r="AI310"/>
      <x:c r="AJ310" t="str">
        <x:v>A-000589</x:v>
      </x:c>
      <x:c r="AK310" t="str">
        <x:v>10135_11</x:v>
      </x:c>
      <x:c r="AL310" t="str">
        <x:v>M</x:v>
      </x:c>
      <x:c r="AM310" t="str">
        <x:v>REQ000008198553</x:v>
      </x:c>
      <x:c r="AN310" t="str">
        <x:v>retention</x:v>
      </x:c>
      <x:c r="AO310" t="n">
        <x:v>1</x:v>
      </x:c>
      <x:c r="AP310" s="23" t="n">
        <x:f>IF(E310="processing",IF(Z310="","",IF(ISNUMBER(Z310),INT(Z310),DATE(VALUE(LEFT(Z310,4)),VALUE(MID(Z310,6,2)),VALUE(MID(Z310,9,2))))),IF(OR(E310="executing",E310="pending"),IF(AD310="","",IF(ISNUMBER(AD310),INT(AD310),DATE(VALUE(LEFT(AD310,4)),VALUE(MID(AD310,6,2)),VALUE(MID(AD310,9,2))))),""))</x:f>
        <x:v>46231</x:v>
      </x:c>
      <x:c r="AQ310" s="24" t="n">
        <x:f>IF(AP310="","",INT('Configuration'!$B$4)-AP310)</x:f>
        <x:v>20</x:v>
      </x:c>
      <x:c r="AR310" s="25" t="str">
        <x:f>IF(AP310="","Missing Required Date",IF(AQ310&lt;0,"Future Date",IF(AQ310=0,"0 days",IF(AQ310&lt;=2,"1-2 days",IF(AQ310&lt;=7,"3-7 days",IF(AQ310&lt;=14,"8-14 days",IF(AQ310&lt;=30,"15-30 days",IF(AQ310&lt;=60,"31-60 days",IF(AQ310&lt;=70,"61-70 days","71+ days")))))))))</x:f>
        <x:v>15-30 days</x:v>
      </x:c>
      <x:c r="AS310" s="25" t="str">
        <x:f>IF(OR(E310="processing",E310="executing",E310="pending"),IF(AP310="","Required aging date missing",IF(AQ310&gt;30,"Escalate &gt;30d",IF(AQ310&gt;14,"Watch &gt;14d","Within 14d"))),"Out of scope")</x:f>
        <x:v>Watch &gt;14d</x:v>
      </x:c>
    </x:row>
    <x:row r="311" ht="24" customHeight="1">
      <x:c r="A311" t="str">
        <x:v>c042854b-98eb-47fd-8915-6eeb7f2af323</x:v>
      </x:c>
      <x:c r="B311" t="str">
        <x:v>CSSP10886116</x:v>
      </x:c>
      <x:c r="C311" t="str">
        <x:v>ridzuan.amajid@petronas.com</x:v>
      </x:c>
      <x:c r="D311" t="str">
        <x:v>decommission-cloud</x:v>
      </x:c>
      <x:c r="E311" t="str">
        <x:v>rejected</x:v>
      </x:c>
      <x:c r="F311" t="n">
        <x:v>46226.10809657408</x:v>
      </x:c>
      <x:c r="G311" t="n">
        <x:v>46244.08433096065</x:v>
      </x:c>
      <x:c r="H311" t="n">
        <x:v>46226.10809657408</x:v>
      </x:c>
      <x:c r="I311" t="str">
        <x:v>Network Cisco Prime</x:v>
      </x:c>
      <x:c r="J311" t="str">
        <x:v>Network Cisco Prime created for PRIVATECLOUD project record</x:v>
      </x:c>
      <x:c r="K311" t="str">
        <x:v>partial</x:v>
      </x:c>
      <x:c r="L311"/>
      <x:c r="M311" t="str">
        <x:v>ridzuan.amajid@petronas.com</x:v>
      </x:c>
      <x:c r="N311"/>
      <x:c r="O311"/>
      <x:c r="P311" t="str">
        <x:v>vSABSBONMSAPP01 - unsuccessful billing without any cost center. This VM has been in power off mode since June 2025. Request is made by Ridzuan Majid.</x:v>
      </x:c>
      <x:c r="Q311" t="str">
        <x:v>12M</x:v>
      </x:c>
      <x:c r="R311" t="str">
        <x:v>Not in Used</x:v>
      </x:c>
      <x:c r="S311"/>
      <x:c r="T311" t="str">
        <x:v>approved</x:v>
      </x:c>
      <x:c r="U311" t="str">
        <x:v>ridzuan.amajid@petronas.com</x:v>
      </x:c>
      <x:c r="V311" t="n">
        <x:v>46226.108272060184</x:v>
      </x:c>
      <x:c r="W311" t="str">
        <x:v>vSABSBONMSAPP01 - unsuccessful billing without any cost center. This VM has been in power off mode since June 2025. Request is made by Ridzuan Majid.</x:v>
      </x:c>
      <x:c r="X311" t="str">
        <x:v>approved</x:v>
      </x:c>
      <x:c r="Y311" t="str">
        <x:v>ridzuan.amajid@petronas.com</x:v>
      </x:c>
      <x:c r="Z311" t="n">
        <x:v>46226.10970328704</x:v>
      </x:c>
      <x:c r="AA311" t="str">
        <x:v>To decom VM Name vSABSBONMSAPP01 - unsuccessful billing without any cost center. This VM has been in power off mode since June 2025. Request is made by Ridzuan Majid.
</x:v>
      </x:c>
      <x:c r="AB311" t="str">
        <x:v>rejected</x:v>
      </x:c>
      <x:c r="AC311" t="str">
        <x:v>samsuddin.jumbri@petronas.com</x:v>
      </x:c>
      <x:c r="AD311" t="n">
        <x:v>46244.08433097222</x:v>
      </x:c>
      <x:c r="AE311" t="str">
        <x:v>Requestor and Manager/Approver cannot be the same person. Please assign a different authorized approver and resubmit the request.</x:v>
      </x:c>
      <x:c r="AF311"/>
      <x:c r="AG311" t="str">
        <x:v>IMS - CLOUD CSSP EXECUTOR</x:v>
      </x:c>
      <x:c r="AH311"/>
      <x:c r="AI311"/>
      <x:c r="AJ311" t="str">
        <x:v>A-000117</x:v>
      </x:c>
      <x:c r="AK311" t="n">
        <x:v>10042</x:v>
      </x:c>
      <x:c r="AL311"/>
      <x:c r="AM311"/>
      <x:c r="AN311" t="str">
        <x:v>retention</x:v>
      </x:c>
      <x:c r="AO311" t="n">
        <x:v>1</x:v>
      </x:c>
      <x:c r="AP311" s="23" t="str">
        <x:f>IF(E311="processing",IF(Z311="","",IF(ISNUMBER(Z311),INT(Z311),DATE(VALUE(LEFT(Z311,4)),VALUE(MID(Z311,6,2)),VALUE(MID(Z311,9,2))))),IF(OR(E311="executing",E311="pending"),IF(AD311="","",IF(ISNUMBER(AD311),INT(AD311),DATE(VALUE(LEFT(AD311,4)),VALUE(MID(AD311,6,2)),VALUE(MID(AD311,9,2))))),""))</x:f>
      </x:c>
      <x:c r="AQ311" s="24" t="str">
        <x:f>IF(AP311="","",INT('Configuration'!$B$4)-AP311)</x:f>
      </x:c>
      <x:c r="AR311" s="25" t="str">
        <x:f>IF(AP311="","Missing Required Date",IF(AQ311&lt;0,"Future Date",IF(AQ311=0,"0 days",IF(AQ311&lt;=2,"1-2 days",IF(AQ311&lt;=7,"3-7 days",IF(AQ311&lt;=14,"8-14 days",IF(AQ311&lt;=30,"15-30 days",IF(AQ311&lt;=60,"31-60 days",IF(AQ311&lt;=70,"61-70 days","71+ days")))))))))</x:f>
        <x:v>Missing Required Date</x:v>
      </x:c>
      <x:c r="AS311" s="25" t="str">
        <x:f>IF(OR(E311="processing",E311="executing",E311="pending"),IF(AP311="","Required aging date missing",IF(AQ311&gt;30,"Escalate &gt;30d",IF(AQ311&gt;14,"Watch &gt;14d","Within 14d"))),"Out of scope")</x:f>
        <x:v>Out of scope</x:v>
      </x:c>
    </x:row>
    <x:row r="312" ht="24" customHeight="1">
      <x:c r="A312" t="str">
        <x:v>6f835fb3-c6db-4e82-9219-8662a7e83673</x:v>
      </x:c>
      <x:c r="B312" t="str">
        <x:v>CSSP10271745</x:v>
      </x:c>
      <x:c r="C312" t="str">
        <x:v>ridzuan.amajid@petronas.com</x:v>
      </x:c>
      <x:c r="D312" t="str">
        <x:v>decommission-cloud</x:v>
      </x:c>
      <x:c r="E312" t="str">
        <x:v>executing</x:v>
      </x:c>
      <x:c r="F312" t="n">
        <x:v>46226.123866539354</x:v>
      </x:c>
      <x:c r="G312" t="n">
        <x:v>46233.10677291667</x:v>
      </x:c>
      <x:c r="H312" t="n">
        <x:v>46226.123866539354</x:v>
      </x:c>
      <x:c r="I312" t="str">
        <x:v>Print Server PCGB</x:v>
      </x:c>
      <x:c r="J312" t="str">
        <x:v>Print Server PCGB created for PRIVATECLOUD project record</x:v>
      </x:c>
      <x:c r="K312" t="str">
        <x:v>partial</x:v>
      </x:c>
      <x:c r="L312"/>
      <x:c r="M312" t="str">
        <x:v>ridzuan.amajid@petronas.com</x:v>
      </x:c>
      <x:c r="N312"/>
      <x:c r="O312"/>
      <x:c r="P312" t="str">
        <x:v>To decom VM Name SAR607-INFPS-01. SAR607-INFPS-02 - unsuccessful billing without any cost center. This VM has been in power off mode since March 2025. Request is made by Ridzuan Majid.</x:v>
      </x:c>
      <x:c r="Q312" t="str">
        <x:v>12M</x:v>
      </x:c>
      <x:c r="R312" t="str">
        <x:v>Not in Used</x:v>
      </x:c>
      <x:c r="S312"/>
      <x:c r="T312" t="str">
        <x:v>approved</x:v>
      </x:c>
      <x:c r="U312" t="str">
        <x:v>ridzuan.amajid@petronas.com</x:v>
      </x:c>
      <x:c r="V312" t="n">
        <x:v>46226.12427974537</x:v>
      </x:c>
      <x:c r="W312" t="str">
        <x:v>To decom VM Name SAR607-INFPS-01. SAR607-INFPS-02 - unsuccessful billing without any cost center. This VM has been in power off mode since March 2025. Request is made by Ridzuan Majid.</x:v>
      </x:c>
      <x:c r="X312" t="str">
        <x:v>approved</x:v>
      </x:c>
      <x:c r="Y312" t="str">
        <x:v>ridzuan.amajid@petronas.com</x:v>
      </x:c>
      <x:c r="Z312" t="n">
        <x:v>46226.12460355324</x:v>
      </x:c>
      <x:c r="AA312" t="str">
        <x:v>To decom VM Name SAR607-INFPS-01. SAR607-INFPS-02 - unsuccessful billing without any cost center. This VM has been in power off mode since March 2025. Request is made by Ridzuan Majid.</x:v>
      </x:c>
      <x:c r="AB312" t="str">
        <x:v>approved</x:v>
      </x:c>
      <x:c r="AC312" t="str">
        <x:v>abhishek.bhowate@petronas.com</x:v>
      </x:c>
      <x:c r="AD312" t="n">
        <x:v>46233.106772928244</x:v>
      </x:c>
      <x:c r="AE312" t="str">
        <x:v>approve</x:v>
      </x:c>
      <x:c r="AF312"/>
      <x:c r="AG312" t="str">
        <x:v>venkatesh.kalikivayi@petronas.com</x:v>
      </x:c>
      <x:c r="AH312"/>
      <x:c r="AI312"/>
      <x:c r="AJ312" t="str">
        <x:v>A-000660</x:v>
      </x:c>
      <x:c r="AK312" t="str">
        <x:v>10161_01</x:v>
      </x:c>
      <x:c r="AL312" t="str">
        <x:v>M</x:v>
      </x:c>
      <x:c r="AM312" t="str">
        <x:v>REQ000008203316</x:v>
      </x:c>
      <x:c r="AN312" t="str">
        <x:v>retention</x:v>
      </x:c>
      <x:c r="AO312" t="n">
        <x:v>1</x:v>
      </x:c>
      <x:c r="AP312" s="23" t="n">
        <x:f>IF(E312="processing",IF(Z312="","",IF(ISNUMBER(Z312),INT(Z312),DATE(VALUE(LEFT(Z312,4)),VALUE(MID(Z312,6,2)),VALUE(MID(Z312,9,2))))),IF(OR(E312="executing",E312="pending"),IF(AD312="","",IF(ISNUMBER(AD312),INT(AD312),DATE(VALUE(LEFT(AD312,4)),VALUE(MID(AD312,6,2)),VALUE(MID(AD312,9,2))))),""))</x:f>
        <x:v>46233</x:v>
      </x:c>
      <x:c r="AQ312" s="24" t="n">
        <x:f>IF(AP312="","",INT('Configuration'!$B$4)-AP312)</x:f>
        <x:v>18</x:v>
      </x:c>
      <x:c r="AR312" s="25" t="str">
        <x:f>IF(AP312="","Missing Required Date",IF(AQ312&lt;0,"Future Date",IF(AQ312=0,"0 days",IF(AQ312&lt;=2,"1-2 days",IF(AQ312&lt;=7,"3-7 days",IF(AQ312&lt;=14,"8-14 days",IF(AQ312&lt;=30,"15-30 days",IF(AQ312&lt;=60,"31-60 days",IF(AQ312&lt;=70,"61-70 days","71+ days")))))))))</x:f>
        <x:v>15-30 days</x:v>
      </x:c>
      <x:c r="AS312" s="25" t="str">
        <x:f>IF(OR(E312="processing",E312="executing",E312="pending"),IF(AP312="","Required aging date missing",IF(AQ312&gt;30,"Escalate &gt;30d",IF(AQ312&gt;14,"Watch &gt;14d","Within 14d"))),"Out of scope")</x:f>
        <x:v>Watch &gt;14d</x:v>
      </x:c>
    </x:row>
    <x:row r="313" ht="24" customHeight="1">
      <x:c r="A313" t="str">
        <x:v>dfce3155-e8b2-4b62-bc4e-3d85c471b00a</x:v>
      </x:c>
      <x:c r="B313" t="str">
        <x:v>CSSP10372916</x:v>
      </x:c>
      <x:c r="C313" t="str">
        <x:v>ridzuan.amajid@petronas.com</x:v>
      </x:c>
      <x:c r="D313" t="str">
        <x:v>decommission-cloud</x:v>
      </x:c>
      <x:c r="E313" t="str">
        <x:v>executing</x:v>
      </x:c>
      <x:c r="F313" t="n">
        <x:v>46226.12834121528</x:v>
      </x:c>
      <x:c r="G313" t="n">
        <x:v>46233.10640715278</x:v>
      </x:c>
      <x:c r="H313" t="n">
        <x:v>46226.12834121528</x:v>
      </x:c>
      <x:c r="I313" t="str">
        <x:v>Plant Information - PI MLNG</x:v>
      </x:c>
      <x:c r="J313" t="str">
        <x:v>Plant Information - PI MLNG created for PRIVATECLOUD project record</x:v>
      </x:c>
      <x:c r="K313" t="str">
        <x:v>partial</x:v>
      </x:c>
      <x:c r="L313"/>
      <x:c r="M313" t="str">
        <x:v>ridzuan.amajid@petronas.com</x:v>
      </x:c>
      <x:c r="N313"/>
      <x:c r="O313"/>
      <x:c r="P313" t="str">
        <x:v>To decom VM Name vSAR607PIAPP01 - unsuccessful billing without any cost center. This VM has been in power off mode since March 2025. Request is made by Ridzuan Majid.</x:v>
      </x:c>
      <x:c r="Q313" t="str">
        <x:v>12M</x:v>
      </x:c>
      <x:c r="R313" t="str">
        <x:v>Not in Used</x:v>
      </x:c>
      <x:c r="S313"/>
      <x:c r="T313" t="str">
        <x:v>approved</x:v>
      </x:c>
      <x:c r="U313" t="str">
        <x:v>ridzuan.amajid@petronas.com</x:v>
      </x:c>
      <x:c r="V313" t="n">
        <x:v>46226.12891061343</x:v>
      </x:c>
      <x:c r="W313" t="str">
        <x:v>To decom VM Name vSAR607PIAPP01 - unsuccessful billing without any cost center. This VM has been in power off mode since March 2025. Request is made by Ridzuan Majid.</x:v>
      </x:c>
      <x:c r="X313" t="str">
        <x:v>approved</x:v>
      </x:c>
      <x:c r="Y313" t="str">
        <x:v>ridzuan.amajid@petronas.com</x:v>
      </x:c>
      <x:c r="Z313" t="n">
        <x:v>46226.12913318287</x:v>
      </x:c>
      <x:c r="AA313" t="str">
        <x:v>To decom VM Name vSAR607PIAPP01 - unsuccessful billing without any cost center. This VM has been in power off mode since March 2025. Request is made by Ridzuan Majid.</x:v>
      </x:c>
      <x:c r="AB313" t="str">
        <x:v>approved</x:v>
      </x:c>
      <x:c r="AC313" t="str">
        <x:v>abhishek.bhowate@petronas.com</x:v>
      </x:c>
      <x:c r="AD313" t="n">
        <x:v>46233.10640716435</x:v>
      </x:c>
      <x:c r="AE313" t="str">
        <x:v>approve</x:v>
      </x:c>
      <x:c r="AF313"/>
      <x:c r="AG313" t="str">
        <x:v>abhishek.bhowate@petronas.com</x:v>
      </x:c>
      <x:c r="AH313"/>
      <x:c r="AI313"/>
      <x:c r="AJ313" t="str">
        <x:v>A-000572</x:v>
      </x:c>
      <x:c r="AK313" t="str">
        <x:v>10135_03</x:v>
      </x:c>
      <x:c r="AL313" t="str">
        <x:v>M</x:v>
      </x:c>
      <x:c r="AM313" t="str">
        <x:v>REQ000008203410</x:v>
      </x:c>
      <x:c r="AN313" t="str">
        <x:v>retention</x:v>
      </x:c>
      <x:c r="AO313" t="n">
        <x:v>1</x:v>
      </x:c>
      <x:c r="AP313" s="23" t="n">
        <x:f>IF(E313="processing",IF(Z313="","",IF(ISNUMBER(Z313),INT(Z313),DATE(VALUE(LEFT(Z313,4)),VALUE(MID(Z313,6,2)),VALUE(MID(Z313,9,2))))),IF(OR(E313="executing",E313="pending"),IF(AD313="","",IF(ISNUMBER(AD313),INT(AD313),DATE(VALUE(LEFT(AD313,4)),VALUE(MID(AD313,6,2)),VALUE(MID(AD313,9,2))))),""))</x:f>
        <x:v>46233</x:v>
      </x:c>
      <x:c r="AQ313" s="24" t="n">
        <x:f>IF(AP313="","",INT('Configuration'!$B$4)-AP313)</x:f>
        <x:v>18</x:v>
      </x:c>
      <x:c r="AR313" s="25" t="str">
        <x:f>IF(AP313="","Missing Required Date",IF(AQ313&lt;0,"Future Date",IF(AQ313=0,"0 days",IF(AQ313&lt;=2,"1-2 days",IF(AQ313&lt;=7,"3-7 days",IF(AQ313&lt;=14,"8-14 days",IF(AQ313&lt;=30,"15-30 days",IF(AQ313&lt;=60,"31-60 days",IF(AQ313&lt;=70,"61-70 days","71+ days")))))))))</x:f>
        <x:v>15-30 days</x:v>
      </x:c>
      <x:c r="AS313" s="25" t="str">
        <x:f>IF(OR(E313="processing",E313="executing",E313="pending"),IF(AP313="","Required aging date missing",IF(AQ313&gt;30,"Escalate &gt;30d",IF(AQ313&gt;14,"Watch &gt;14d","Within 14d"))),"Out of scope")</x:f>
        <x:v>Watch &gt;14d</x:v>
      </x:c>
    </x:row>
    <x:row r="314" ht="24" customHeight="1">
      <x:c r="A314" t="str">
        <x:v>6d2991bf-3359-47cf-9e03-23c5d2776001</x:v>
      </x:c>
      <x:c r="B314" t="str">
        <x:v>CSSP10391895</x:v>
      </x:c>
      <x:c r="C314" t="str">
        <x:v>ridzuan.amajid@petronas.com</x:v>
      </x:c>
      <x:c r="D314" t="str">
        <x:v>decommission-cloud</x:v>
      </x:c>
      <x:c r="E314" t="str">
        <x:v>executing</x:v>
      </x:c>
      <x:c r="F314" t="n">
        <x:v>46226.140965833336</x:v>
      </x:c>
      <x:c r="G314" t="n">
        <x:v>46239.620899050926</x:v>
      </x:c>
      <x:c r="H314" t="n">
        <x:v>46226.140965833336</x:v>
      </x:c>
      <x:c r="I314" t="str">
        <x:v>Online Corrosion Monitoring for Sarawak Gas</x:v>
      </x:c>
      <x:c r="J314" t="str">
        <x:v>Online Corrosion Monitoring for Sarawak Gas created for PRIVATECLOUD project record</x:v>
      </x:c>
      <x:c r="K314" t="str">
        <x:v>partial</x:v>
      </x:c>
      <x:c r="L314"/>
      <x:c r="M314" t="str">
        <x:v>ridzuan.amajid@petronas.com</x:v>
      </x:c>
      <x:c r="N314"/>
      <x:c r="O314"/>
      <x:c r="P314" t="str">
        <x:v>To decom VM Name vemppcsbpmsap01, vemppcsbpmsdm01. This VM has been in power off mode since March 2025. Request is made by Ridzuan Majid.</x:v>
      </x:c>
      <x:c r="Q314" t="str">
        <x:v>12M</x:v>
      </x:c>
      <x:c r="R314" t="str">
        <x:v>Not in Used</x:v>
      </x:c>
      <x:c r="S314"/>
      <x:c r="T314" t="str">
        <x:v>approved</x:v>
      </x:c>
      <x:c r="U314" t="str">
        <x:v>ridzuan.amajid@petronas.com</x:v>
      </x:c>
      <x:c r="V314" t="n">
        <x:v>46226.14162311343</x:v>
      </x:c>
      <x:c r="W314" t="str">
        <x:v>To decom VM Name vemppcsbpmsap01, vemppcsbpmsdm01. This VM has been in power off mode since March 2025. Request is made by Ridzuan Majid.</x:v>
      </x:c>
      <x:c r="X314" t="str">
        <x:v>approved</x:v>
      </x:c>
      <x:c r="Y314" t="str">
        <x:v>ridzuan.amajid@petronas.com</x:v>
      </x:c>
      <x:c r="Z314" t="n">
        <x:v>46226.1418955787</x:v>
      </x:c>
      <x:c r="AA314" t="str">
        <x:v>To decom VM Name vemppcsbpmsap01, vemppcsbpmsdm01. This VM has been in power off mode since March 2025. Request is made by Ridzuan Majid.</x:v>
      </x:c>
      <x:c r="AB314" t="str">
        <x:v>approved</x:v>
      </x:c>
      <x:c r="AC314" t="str">
        <x:v>abhishek.bhowate@petronas.com</x:v>
      </x:c>
      <x:c r="AD314" t="n">
        <x:v>46239.6208990625</x:v>
      </x:c>
      <x:c r="AE314" t="str">
        <x:v>approved</x:v>
      </x:c>
      <x:c r="AF314"/>
      <x:c r="AG314" t="str">
        <x:v>nilesh.sankpal@petronas.com</x:v>
      </x:c>
      <x:c r="AH314"/>
      <x:c r="AI314"/>
      <x:c r="AJ314" t="str">
        <x:v>A-000526</x:v>
      </x:c>
      <x:c r="AK314" t="n">
        <x:v>10125</x:v>
      </x:c>
      <x:c r="AL314" t="str">
        <x:v>M</x:v>
      </x:c>
      <x:c r="AM314" t="str">
        <x:v>REQ000008222621</x:v>
      </x:c>
      <x:c r="AN314" t="str">
        <x:v>retention</x:v>
      </x:c>
      <x:c r="AO314" t="n">
        <x:v>1</x:v>
      </x:c>
      <x:c r="AP314" s="23" t="n">
        <x:f>IF(E314="processing",IF(Z314="","",IF(ISNUMBER(Z314),INT(Z314),DATE(VALUE(LEFT(Z314,4)),VALUE(MID(Z314,6,2)),VALUE(MID(Z314,9,2))))),IF(OR(E314="executing",E314="pending"),IF(AD314="","",IF(ISNUMBER(AD314),INT(AD314),DATE(VALUE(LEFT(AD314,4)),VALUE(MID(AD314,6,2)),VALUE(MID(AD314,9,2))))),""))</x:f>
        <x:v>46239</x:v>
      </x:c>
      <x:c r="AQ314" s="24" t="n">
        <x:f>IF(AP314="","",INT('Configuration'!$B$4)-AP314)</x:f>
        <x:v>12</x:v>
      </x:c>
      <x:c r="AR314" s="25" t="str">
        <x:f>IF(AP314="","Missing Required Date",IF(AQ314&lt;0,"Future Date",IF(AQ314=0,"0 days",IF(AQ314&lt;=2,"1-2 days",IF(AQ314&lt;=7,"3-7 days",IF(AQ314&lt;=14,"8-14 days",IF(AQ314&lt;=30,"15-30 days",IF(AQ314&lt;=60,"31-60 days",IF(AQ314&lt;=70,"61-70 days","71+ days")))))))))</x:f>
        <x:v>8-14 days</x:v>
      </x:c>
      <x:c r="AS314" s="25" t="str">
        <x:f>IF(OR(E314="processing",E314="executing",E314="pending"),IF(AP314="","Required aging date missing",IF(AQ314&gt;30,"Escalate &gt;30d",IF(AQ314&gt;14,"Watch &gt;14d","Within 14d"))),"Out of scope")</x:f>
        <x:v>Within 14d</x:v>
      </x:c>
    </x:row>
    <x:row r="315" ht="24" customHeight="1">
      <x:c r="A315" t="str">
        <x:v>2f62b6b7-33d8-48e7-92de-e6c49efd2d70</x:v>
      </x:c>
      <x:c r="B315" t="str">
        <x:v>CSSP10914400</x:v>
      </x:c>
      <x:c r="C315" t="str">
        <x:v>ridzuan.amajid@petronas.com</x:v>
      </x:c>
      <x:c r="D315" t="str">
        <x:v>decommission-cloud</x:v>
      </x:c>
      <x:c r="E315" t="str">
        <x:v>executing</x:v>
      </x:c>
      <x:c r="F315" t="n">
        <x:v>46226.144208958336</x:v>
      </x:c>
      <x:c r="G315" t="n">
        <x:v>46239.62010260417</x:v>
      </x:c>
      <x:c r="H315" t="n">
        <x:v>46226.144208958336</x:v>
      </x:c>
      <x:c r="I315" t="str">
        <x:v>Network Cisco Prime</x:v>
      </x:c>
      <x:c r="J315" t="str">
        <x:v>Network Cisco Prime created for PRIVATECLOUD project record</x:v>
      </x:c>
      <x:c r="K315" t="str">
        <x:v>partial</x:v>
      </x:c>
      <x:c r="L315"/>
      <x:c r="M315" t="str">
        <x:v>ridzuan.amajid@petronas.com</x:v>
      </x:c>
      <x:c r="N315"/>
      <x:c r="O315"/>
      <x:c r="P315" t="str">
        <x:v>To decom VM Name vSARLNGNMSAPP01. This VM has been in power off mode since March 2025. Request is made by Ridzuan Majid.</x:v>
      </x:c>
      <x:c r="Q315" t="str">
        <x:v>12M</x:v>
      </x:c>
      <x:c r="R315" t="str">
        <x:v>Not in Used</x:v>
      </x:c>
      <x:c r="S315"/>
      <x:c r="T315" t="str">
        <x:v>approved</x:v>
      </x:c>
      <x:c r="U315" t="str">
        <x:v>ridzuan.amajid@petronas.com</x:v>
      </x:c>
      <x:c r="V315" t="n">
        <x:v>46226.14457019676</x:v>
      </x:c>
      <x:c r="W315" t="str">
        <x:v>To decom VM Name vSARLNGNMSAPP01. This VM has been in power off mode since March 2025. Request is made by Ridzuan Majid.</x:v>
      </x:c>
      <x:c r="X315" t="str">
        <x:v>approved</x:v>
      </x:c>
      <x:c r="Y315" t="str">
        <x:v>ridzuan.amajid@petronas.com</x:v>
      </x:c>
      <x:c r="Z315" t="n">
        <x:v>46226.14480023148</x:v>
      </x:c>
      <x:c r="AA315" t="str">
        <x:v>To decom VM Name vSARLNGNMSAPP01. This VM has been in power off mode since March 2025. Request is made by Ridzuan Majid.</x:v>
      </x:c>
      <x:c r="AB315" t="str">
        <x:v>approved</x:v>
      </x:c>
      <x:c r="AC315" t="str">
        <x:v>abhishek.bhowate@petronas.com</x:v>
      </x:c>
      <x:c r="AD315" t="n">
        <x:v>46239.62010260417</x:v>
      </x:c>
      <x:c r="AE315" t="str">
        <x:v>Approved</x:v>
      </x:c>
      <x:c r="AF315"/>
      <x:c r="AG315" t="str">
        <x:v>amarja.kawade@petronas.com</x:v>
      </x:c>
      <x:c r="AH315"/>
      <x:c r="AI315"/>
      <x:c r="AJ315" t="str">
        <x:v>A-000117</x:v>
      </x:c>
      <x:c r="AK315" t="n">
        <x:v>10042</x:v>
      </x:c>
      <x:c r="AL315" t="str">
        <x:v>M</x:v>
      </x:c>
      <x:c r="AM315" t="str">
        <x:v>REQ000008222620</x:v>
      </x:c>
      <x:c r="AN315" t="str">
        <x:v>retention</x:v>
      </x:c>
      <x:c r="AO315" t="n">
        <x:v>1</x:v>
      </x:c>
      <x:c r="AP315" s="23" t="n">
        <x:f>IF(E315="processing",IF(Z315="","",IF(ISNUMBER(Z315),INT(Z315),DATE(VALUE(LEFT(Z315,4)),VALUE(MID(Z315,6,2)),VALUE(MID(Z315,9,2))))),IF(OR(E315="executing",E315="pending"),IF(AD315="","",IF(ISNUMBER(AD315),INT(AD315),DATE(VALUE(LEFT(AD315,4)),VALUE(MID(AD315,6,2)),VALUE(MID(AD315,9,2))))),""))</x:f>
        <x:v>46239</x:v>
      </x:c>
      <x:c r="AQ315" s="24" t="n">
        <x:f>IF(AP315="","",INT('Configuration'!$B$4)-AP315)</x:f>
        <x:v>12</x:v>
      </x:c>
      <x:c r="AR315" s="25" t="str">
        <x:f>IF(AP315="","Missing Required Date",IF(AQ315&lt;0,"Future Date",IF(AQ315=0,"0 days",IF(AQ315&lt;=2,"1-2 days",IF(AQ315&lt;=7,"3-7 days",IF(AQ315&lt;=14,"8-14 days",IF(AQ315&lt;=30,"15-30 days",IF(AQ315&lt;=60,"31-60 days",IF(AQ315&lt;=70,"61-70 days","71+ days")))))))))</x:f>
        <x:v>8-14 days</x:v>
      </x:c>
      <x:c r="AS315" s="25" t="str">
        <x:f>IF(OR(E315="processing",E315="executing",E315="pending"),IF(AP315="","Required aging date missing",IF(AQ315&gt;30,"Escalate &gt;30d",IF(AQ315&gt;14,"Watch &gt;14d","Within 14d"))),"Out of scope")</x:f>
        <x:v>Within 14d</x:v>
      </x:c>
    </x:row>
    <x:row r="316" ht="24" customHeight="1">
      <x:c r="A316" t="str">
        <x:v>dffe6def-c553-4b28-8958-185ae8a5ff76</x:v>
      </x:c>
      <x:c r="B316" t="str">
        <x:v>CSSP10308509</x:v>
      </x:c>
      <x:c r="C316" t="str">
        <x:v>ridzuan.amajid@petronas.com</x:v>
      </x:c>
      <x:c r="D316" t="str">
        <x:v>decommission-cloud</x:v>
      </x:c>
      <x:c r="E316" t="str">
        <x:v>executing</x:v>
      </x:c>
      <x:c r="F316" t="n">
        <x:v>46226.150340659726</x:v>
      </x:c>
      <x:c r="G316" t="n">
        <x:v>46233.106046712965</x:v>
      </x:c>
      <x:c r="H316" t="n">
        <x:v>46226.150340659726</x:v>
      </x:c>
      <x:c r="I316" t="str">
        <x:v>Predictive Revitalization of Instrumentation to Maximize Efficiency - PRIME SBA</x:v>
      </x:c>
      <x:c r="J316" t="str">
        <x:v>PRIME SBA</x:v>
      </x:c>
      <x:c r="K316" t="str">
        <x:v>partial</x:v>
      </x:c>
      <x:c r="L316"/>
      <x:c r="M316" t="str">
        <x:v>ridzuan.amajid@petronas.com</x:v>
      </x:c>
      <x:c r="N316"/>
      <x:c r="O316"/>
      <x:c r="P316" t="str">
        <x:v>To decom VM Name vCENPRIMEDBMLNG. This VM has been in power off mode since March 2025. Request is made by Ridzuan Majid.</x:v>
      </x:c>
      <x:c r="Q316" t="str">
        <x:v>12M</x:v>
      </x:c>
      <x:c r="R316" t="str">
        <x:v>Not in Used</x:v>
      </x:c>
      <x:c r="S316"/>
      <x:c r="T316" t="str">
        <x:v>approved</x:v>
      </x:c>
      <x:c r="U316" t="str">
        <x:v>ridzuan.amajid@petronas.com</x:v>
      </x:c>
      <x:c r="V316" t="n">
        <x:v>46226.15063788195</x:v>
      </x:c>
      <x:c r="W316" t="str">
        <x:v>To decom VM Name vCENPRIMEDBMLNG. This VM has been in power off mode since March 2025. Request is made by Ridzuan Majid.</x:v>
      </x:c>
      <x:c r="X316" t="str">
        <x:v>approved</x:v>
      </x:c>
      <x:c r="Y316" t="str">
        <x:v>ridzuan.amajid@petronas.com</x:v>
      </x:c>
      <x:c r="Z316" t="n">
        <x:v>46226.150898541666</x:v>
      </x:c>
      <x:c r="AA316" t="str">
        <x:v>To decom VM Name vCENPRIMEDBMLNG. This VM has been in power off mode since March 2025. Request is made by Ridzuan Majid.</x:v>
      </x:c>
      <x:c r="AB316" t="str">
        <x:v>approved</x:v>
      </x:c>
      <x:c r="AC316" t="str">
        <x:v>abhishek.bhowate@petronas.com</x:v>
      </x:c>
      <x:c r="AD316" t="n">
        <x:v>46233.10604672454</x:v>
      </x:c>
      <x:c r="AE316" t="str">
        <x:v>approve</x:v>
      </x:c>
      <x:c r="AF316"/>
      <x:c r="AG316" t="str">
        <x:v>swaminadh.chirakala@petronas.com</x:v>
      </x:c>
      <x:c r="AH316"/>
      <x:c r="AI316"/>
      <x:c r="AJ316" t="str">
        <x:v>A-000657</x:v>
      </x:c>
      <x:c r="AK316" t="str">
        <x:v>00915_14</x:v>
      </x:c>
      <x:c r="AL316" t="str">
        <x:v>M</x:v>
      </x:c>
      <x:c r="AM316" t="str">
        <x:v>REQ000008203409</x:v>
      </x:c>
      <x:c r="AN316" t="str">
        <x:v>retention</x:v>
      </x:c>
      <x:c r="AO316" t="n">
        <x:v>1</x:v>
      </x:c>
      <x:c r="AP316" s="23" t="n">
        <x:f>IF(E316="processing",IF(Z316="","",IF(ISNUMBER(Z316),INT(Z316),DATE(VALUE(LEFT(Z316,4)),VALUE(MID(Z316,6,2)),VALUE(MID(Z316,9,2))))),IF(OR(E316="executing",E316="pending"),IF(AD316="","",IF(ISNUMBER(AD316),INT(AD316),DATE(VALUE(LEFT(AD316,4)),VALUE(MID(AD316,6,2)),VALUE(MID(AD316,9,2))))),""))</x:f>
        <x:v>46233</x:v>
      </x:c>
      <x:c r="AQ316" s="24" t="n">
        <x:f>IF(AP316="","",INT('Configuration'!$B$4)-AP316)</x:f>
        <x:v>18</x:v>
      </x:c>
      <x:c r="AR316" s="25" t="str">
        <x:f>IF(AP316="","Missing Required Date",IF(AQ316&lt;0,"Future Date",IF(AQ316=0,"0 days",IF(AQ316&lt;=2,"1-2 days",IF(AQ316&lt;=7,"3-7 days",IF(AQ316&lt;=14,"8-14 days",IF(AQ316&lt;=30,"15-30 days",IF(AQ316&lt;=60,"31-60 days",IF(AQ316&lt;=70,"61-70 days","71+ days")))))))))</x:f>
        <x:v>15-30 days</x:v>
      </x:c>
      <x:c r="AS316" s="25" t="str">
        <x:f>IF(OR(E316="processing",E316="executing",E316="pending"),IF(AP316="","Required aging date missing",IF(AQ316&gt;30,"Escalate &gt;30d",IF(AQ316&gt;14,"Watch &gt;14d","Within 14d"))),"Out of scope")</x:f>
        <x:v>Watch &gt;14d</x:v>
      </x:c>
    </x:row>
    <x:row r="317" ht="24" customHeight="1">
      <x:c r="A317" t="str">
        <x:v>06201963-c847-4df0-a07a-98a6002921ba</x:v>
      </x:c>
      <x:c r="B317" t="str">
        <x:v>CSSP10327864</x:v>
      </x:c>
      <x:c r="C317" t="str">
        <x:v>ridzuan.amajid@petronas.com</x:v>
      </x:c>
      <x:c r="D317" t="str">
        <x:v>decommission-cloud</x:v>
      </x:c>
      <x:c r="E317" t="str">
        <x:v>executing</x:v>
      </x:c>
      <x:c r="F317" t="n">
        <x:v>46226.154782592595</x:v>
      </x:c>
      <x:c r="G317" t="n">
        <x:v>46233.10576160879</x:v>
      </x:c>
      <x:c r="H317" t="n">
        <x:v>46226.154782592595</x:v>
      </x:c>
      <x:c r="I317" t="str">
        <x:v>Predictive Revitalization of Instrumentation to Maximize Efficiency - PRIME SBA</x:v>
      </x:c>
      <x:c r="J317" t="str">
        <x:v>PRIME SBA</x:v>
      </x:c>
      <x:c r="K317" t="str">
        <x:v>partial</x:v>
      </x:c>
      <x:c r="L317"/>
      <x:c r="M317" t="str">
        <x:v>ridzuan.amajid@petronas.com</x:v>
      </x:c>
      <x:c r="N317"/>
      <x:c r="O317"/>
      <x:c r="P317" t="str">
        <x:v>To decom VM Name vCENPRIMEAPMLNG. This VM has been in power off mode since March 2025. Request is made by Ridzuan Majid.</x:v>
      </x:c>
      <x:c r="Q317" t="str">
        <x:v>12M</x:v>
      </x:c>
      <x:c r="R317" t="str">
        <x:v>Not in Used</x:v>
      </x:c>
      <x:c r="S317"/>
      <x:c r="T317" t="str">
        <x:v>approved</x:v>
      </x:c>
      <x:c r="U317" t="str">
        <x:v>ridzuan.amajid@petronas.com</x:v>
      </x:c>
      <x:c r="V317" t="n">
        <x:v>46226.15510278935</x:v>
      </x:c>
      <x:c r="W317" t="str">
        <x:v>To decom VM Name vCENPRIMEAPMLNG. This VM has been in power off mode since March 2025. Request is made by Ridzuan Majid.</x:v>
      </x:c>
      <x:c r="X317" t="str">
        <x:v>approved</x:v>
      </x:c>
      <x:c r="Y317" t="str">
        <x:v>ridzuan.amajid@petronas.com</x:v>
      </x:c>
      <x:c r="Z317" t="n">
        <x:v>46226.15534989583</x:v>
      </x:c>
      <x:c r="AA317" t="str">
        <x:v>To decom VM Name vCENPRIMEAPMLNG. This VM has been in power off mode since March 2025. Request is made by Ridzuan Majid.</x:v>
      </x:c>
      <x:c r="AB317" t="str">
        <x:v>approved</x:v>
      </x:c>
      <x:c r="AC317" t="str">
        <x:v>abhishek.bhowate@petronas.com</x:v>
      </x:c>
      <x:c r="AD317" t="n">
        <x:v>46233.10576162037</x:v>
      </x:c>
      <x:c r="AE317" t="str">
        <x:v>approve</x:v>
      </x:c>
      <x:c r="AF317"/>
      <x:c r="AG317" t="str">
        <x:v>swaminadh.chirakala@petronas.com</x:v>
      </x:c>
      <x:c r="AH317"/>
      <x:c r="AI317"/>
      <x:c r="AJ317" t="str">
        <x:v>A-000657</x:v>
      </x:c>
      <x:c r="AK317" t="str">
        <x:v>00915_14</x:v>
      </x:c>
      <x:c r="AL317" t="str">
        <x:v>M</x:v>
      </x:c>
      <x:c r="AM317" t="str">
        <x:v>REQ000008203315</x:v>
      </x:c>
      <x:c r="AN317" t="str">
        <x:v>retention</x:v>
      </x:c>
      <x:c r="AO317" t="n">
        <x:v>1</x:v>
      </x:c>
      <x:c r="AP317" s="23" t="n">
        <x:f>IF(E317="processing",IF(Z317="","",IF(ISNUMBER(Z317),INT(Z317),DATE(VALUE(LEFT(Z317,4)),VALUE(MID(Z317,6,2)),VALUE(MID(Z317,9,2))))),IF(OR(E317="executing",E317="pending"),IF(AD317="","",IF(ISNUMBER(AD317),INT(AD317),DATE(VALUE(LEFT(AD317,4)),VALUE(MID(AD317,6,2)),VALUE(MID(AD317,9,2))))),""))</x:f>
        <x:v>46233</x:v>
      </x:c>
      <x:c r="AQ317" s="24" t="n">
        <x:f>IF(AP317="","",INT('Configuration'!$B$4)-AP317)</x:f>
        <x:v>18</x:v>
      </x:c>
      <x:c r="AR317" s="25" t="str">
        <x:f>IF(AP317="","Missing Required Date",IF(AQ317&lt;0,"Future Date",IF(AQ317=0,"0 days",IF(AQ317&lt;=2,"1-2 days",IF(AQ317&lt;=7,"3-7 days",IF(AQ317&lt;=14,"8-14 days",IF(AQ317&lt;=30,"15-30 days",IF(AQ317&lt;=60,"31-60 days",IF(AQ317&lt;=70,"61-70 days","71+ days")))))))))</x:f>
        <x:v>15-30 days</x:v>
      </x:c>
      <x:c r="AS317" s="25" t="str">
        <x:f>IF(OR(E317="processing",E317="executing",E317="pending"),IF(AP317="","Required aging date missing",IF(AQ317&gt;30,"Escalate &gt;30d",IF(AQ317&gt;14,"Watch &gt;14d","Within 14d"))),"Out of scope")</x:f>
        <x:v>Watch &gt;14d</x:v>
      </x:c>
    </x:row>
    <x:row r="318" ht="24" customHeight="1">
      <x:c r="A318" t="str">
        <x:v>7fbbdcbe-86f0-4797-b066-7add3b207333</x:v>
      </x:c>
      <x:c r="B318" t="str">
        <x:v>CSSP10626318</x:v>
      </x:c>
      <x:c r="C318" t="str">
        <x:v>muhammad.hafizimats@petronas.com</x:v>
      </x:c>
      <x:c r="D318" t="str">
        <x:v>decommission-cloud</x:v>
      </x:c>
      <x:c r="E318" t="str">
        <x:v>executing</x:v>
      </x:c>
      <x:c r="F318" t="n">
        <x:v>46226.16630017361</x:v>
      </x:c>
      <x:c r="G318" t="n">
        <x:v>46239.29018210648</x:v>
      </x:c>
      <x:c r="H318" t="n">
        <x:v>46226.16630017361</x:v>
      </x:c>
      <x:c r="I318" t="str">
        <x:v>Peer to Peer Energy Trading Platform</x:v>
      </x:c>
      <x:c r="J318" t="str">
        <x:v>Enhancement of Peer to Peer Energy Trading Platform for PRSB</x:v>
      </x:c>
      <x:c r="K318" t="str">
        <x:v>full</x:v>
      </x:c>
      <x:c r="L318" t="str">
        <x:v>DCOM202607222cf</x:v>
      </x:c>
      <x:c r="M318" t="str">
        <x:v>aressany.bohari@petronas.com.my</x:v>
      </x:c>
      <x:c r="N318" t="str">
        <x:v>www.p2p.petronas.com , www.p2pbackend.petronas.com</x:v>
      </x:c>
      <x:c r="O318"/>
      <x:c r="P318" t="str">
        <x:v>This project has been dropped</x:v>
      </x:c>
      <x:c r="Q318" t="str">
        <x:v>2W</x:v>
      </x:c>
      <x:c r="R318" t="str">
        <x:v>Obsolete</x:v>
      </x:c>
      <x:c r="S318"/>
      <x:c r="T318" t="str">
        <x:v>approved</x:v>
      </x:c>
      <x:c r="U318" t="str">
        <x:v>muhammad.hafizimats@petronas.com</x:v>
      </x:c>
      <x:c r="V318" t="n">
        <x:v>46226.172751122685</x:v>
      </x:c>
      <x:c r="W318" t="str">
        <x:v>Reviewed and verified. 
The project has been discontinued and the listed cloud resources are no longer in use</x:v>
      </x:c>
      <x:c r="X318" t="str">
        <x:v>approved</x:v>
      </x:c>
      <x:c r="Y318" t="str">
        <x:v>aressany.bohari@petronas.com</x:v>
      </x:c>
      <x:c r="Z318" t="n">
        <x:v>46226.33628068287</x:v>
      </x:c>
      <x:c r="AA318" t="str">
        <x:v>reviewed and approved</x:v>
      </x:c>
      <x:c r="AB318" t="str">
        <x:v>approved</x:v>
      </x:c>
      <x:c r="AC318" t="str">
        <x:v>abhishek.bhowate@petronas.com</x:v>
      </x:c>
      <x:c r="AD318" t="n">
        <x:v>46239.29018211806</x:v>
      </x:c>
      <x:c r="AE318" t="str">
        <x:v>approve</x:v>
      </x:c>
      <x:c r="AF318"/>
      <x:c r="AG318" t="str">
        <x:v>amarja.kawade@petronas.com</x:v>
      </x:c>
      <x:c r="AH318"/>
      <x:c r="AI318"/>
      <x:c r="AJ318" t="str">
        <x:v>A-000538</x:v>
      </x:c>
      <x:c r="AK318" t="n">
        <x:v>3827</x:v>
      </x:c>
      <x:c r="AL318" t="str">
        <x:v>M</x:v>
      </x:c>
      <x:c r="AM318" t="str">
        <x:v>REQ000008220859</x:v>
      </x:c>
      <x:c r="AN318" t="str">
        <x:v>retention</x:v>
      </x:c>
      <x:c r="AO318" t="n">
        <x:v>2</x:v>
      </x:c>
      <x:c r="AP318" s="23" t="n">
        <x:f>IF(E318="processing",IF(Z318="","",IF(ISNUMBER(Z318),INT(Z318),DATE(VALUE(LEFT(Z318,4)),VALUE(MID(Z318,6,2)),VALUE(MID(Z318,9,2))))),IF(OR(E318="executing",E318="pending"),IF(AD318="","",IF(ISNUMBER(AD318),INT(AD318),DATE(VALUE(LEFT(AD318,4)),VALUE(MID(AD318,6,2)),VALUE(MID(AD318,9,2))))),""))</x:f>
        <x:v>46239</x:v>
      </x:c>
      <x:c r="AQ318" s="24" t="n">
        <x:f>IF(AP318="","",INT('Configuration'!$B$4)-AP318)</x:f>
        <x:v>12</x:v>
      </x:c>
      <x:c r="AR318" s="25" t="str">
        <x:f>IF(AP318="","Missing Required Date",IF(AQ318&lt;0,"Future Date",IF(AQ318=0,"0 days",IF(AQ318&lt;=2,"1-2 days",IF(AQ318&lt;=7,"3-7 days",IF(AQ318&lt;=14,"8-14 days",IF(AQ318&lt;=30,"15-30 days",IF(AQ318&lt;=60,"31-60 days",IF(AQ318&lt;=70,"61-70 days","71+ days")))))))))</x:f>
        <x:v>8-14 days</x:v>
      </x:c>
      <x:c r="AS318" s="25" t="str">
        <x:f>IF(OR(E318="processing",E318="executing",E318="pending"),IF(AP318="","Required aging date missing",IF(AQ318&gt;30,"Escalate &gt;30d",IF(AQ318&gt;14,"Watch &gt;14d","Within 14d"))),"Out of scope")</x:f>
        <x:v>Within 14d</x:v>
      </x:c>
    </x:row>
    <x:row r="319" ht="24" customHeight="1">
      <x:c r="A319" t="str">
        <x:v>a3047b0d-684e-479d-b288-47cb442980e3</x:v>
      </x:c>
      <x:c r="B319" t="str">
        <x:v>CSSP10865674</x:v>
      </x:c>
      <x:c r="C319" t="str">
        <x:v>ridzuan.amajid@petronas.com</x:v>
      </x:c>
      <x:c r="D319" t="str">
        <x:v>decommission-cloud</x:v>
      </x:c>
      <x:c r="E319" t="str">
        <x:v>rejected</x:v>
      </x:c>
      <x:c r="F319" t="n">
        <x:v>46226.176827650466</x:v>
      </x:c>
      <x:c r="G319" t="n">
        <x:v>46244.08650857639</x:v>
      </x:c>
      <x:c r="H319" t="n">
        <x:v>46226.176827650466</x:v>
      </x:c>
      <x:c r="I319" t="str">
        <x:v>DARS</x:v>
      </x:c>
      <x:c r="J319" t="str">
        <x:v>DARS created for PRIVATECLOUD project record</x:v>
      </x:c>
      <x:c r="K319" t="str">
        <x:v>partial</x:v>
      </x:c>
      <x:c r="L319"/>
      <x:c r="M319" t="str">
        <x:v>ridzuan.amajid@petronas.com</x:v>
      </x:c>
      <x:c r="N319"/>
      <x:c r="O319"/>
      <x:c r="P319" t="str">
        <x:v>To decom VM Name PCSB614DARS - unsuccessful billing without any cost center. Request is made by Ridzuan Majid.</x:v>
      </x:c>
      <x:c r="Q319" t="str">
        <x:v>12M</x:v>
      </x:c>
      <x:c r="R319" t="str">
        <x:v>Not in Used</x:v>
      </x:c>
      <x:c r="S319"/>
      <x:c r="T319" t="str">
        <x:v>approved</x:v>
      </x:c>
      <x:c r="U319" t="str">
        <x:v>ridzuan.amajid@petronas.com</x:v>
      </x:c>
      <x:c r="V319" t="n">
        <x:v>46226.17717783565</x:v>
      </x:c>
      <x:c r="W319" t="str">
        <x:v>To decom VM Name PCSB614DARS - unsuccessful billing without any cost center. Request is made by Ridzuan Majid.</x:v>
      </x:c>
      <x:c r="X319" t="str">
        <x:v>approved</x:v>
      </x:c>
      <x:c r="Y319" t="str">
        <x:v>ridzuan.amajid@petronas.com</x:v>
      </x:c>
      <x:c r="Z319" t="n">
        <x:v>46226.17743939815</x:v>
      </x:c>
      <x:c r="AA319" t="str">
        <x:v>To decom VM Name PCSB614DARS - unsuccessful billing without any cost center. Request is made by Ridzuan Majid.</x:v>
      </x:c>
      <x:c r="AB319" t="str">
        <x:v>rejected</x:v>
      </x:c>
      <x:c r="AC319" t="str">
        <x:v>samsuddin.jumbri@petronas.com</x:v>
      </x:c>
      <x:c r="AD319" t="n">
        <x:v>46244.08650858796</x:v>
      </x:c>
      <x:c r="AE319" t="str">
        <x:v>Requestor and Manager/Approver cannot be the same person. Please assign a different authorized approver and resubmit the request.</x:v>
      </x:c>
      <x:c r="AF319"/>
      <x:c r="AG319" t="str">
        <x:v>IMS - CLOUD CSSP EXECUTOR</x:v>
      </x:c>
      <x:c r="AH319"/>
      <x:c r="AI319"/>
      <x:c r="AJ319" t="str">
        <x:v>A-000193</x:v>
      </x:c>
      <x:c r="AK319" t="n">
        <x:v>10062</x:v>
      </x:c>
      <x:c r="AL319"/>
      <x:c r="AM319"/>
      <x:c r="AN319" t="str">
        <x:v>retention</x:v>
      </x:c>
      <x:c r="AO319" t="n">
        <x:v>1</x:v>
      </x:c>
      <x:c r="AP319" s="23" t="str">
        <x:f>IF(E319="processing",IF(Z319="","",IF(ISNUMBER(Z319),INT(Z319),DATE(VALUE(LEFT(Z319,4)),VALUE(MID(Z319,6,2)),VALUE(MID(Z319,9,2))))),IF(OR(E319="executing",E319="pending"),IF(AD319="","",IF(ISNUMBER(AD319),INT(AD319),DATE(VALUE(LEFT(AD319,4)),VALUE(MID(AD319,6,2)),VALUE(MID(AD319,9,2))))),""))</x:f>
      </x:c>
      <x:c r="AQ319" s="24" t="str">
        <x:f>IF(AP319="","",INT('Configuration'!$B$4)-AP319)</x:f>
      </x:c>
      <x:c r="AR319" s="25" t="str">
        <x:f>IF(AP319="","Missing Required Date",IF(AQ319&lt;0,"Future Date",IF(AQ319=0,"0 days",IF(AQ319&lt;=2,"1-2 days",IF(AQ319&lt;=7,"3-7 days",IF(AQ319&lt;=14,"8-14 days",IF(AQ319&lt;=30,"15-30 days",IF(AQ319&lt;=60,"31-60 days",IF(AQ319&lt;=70,"61-70 days","71+ days")))))))))</x:f>
        <x:v>Missing Required Date</x:v>
      </x:c>
      <x:c r="AS319" s="25" t="str">
        <x:f>IF(OR(E319="processing",E319="executing",E319="pending"),IF(AP319="","Required aging date missing",IF(AQ319&gt;30,"Escalate &gt;30d",IF(AQ319&gt;14,"Watch &gt;14d","Within 14d"))),"Out of scope")</x:f>
        <x:v>Out of scope</x:v>
      </x:c>
    </x:row>
    <x:row r="320" ht="24" customHeight="1">
      <x:c r="A320" t="str">
        <x:v>3c6fed2a-7d9f-46f6-af4b-26803da6e09e</x:v>
      </x:c>
      <x:c r="B320" t="str">
        <x:v>CSSP10958793</x:v>
      </x:c>
      <x:c r="C320" t="str">
        <x:v>ridzuan.amajid@petronas.com</x:v>
      </x:c>
      <x:c r="D320" t="str">
        <x:v>decommission-cloud</x:v>
      </x:c>
      <x:c r="E320" t="str">
        <x:v>rejected</x:v>
      </x:c>
      <x:c r="F320" t="n">
        <x:v>46226.180257025466</x:v>
      </x:c>
      <x:c r="G320" t="n">
        <x:v>46244.08582346065</x:v>
      </x:c>
      <x:c r="H320" t="n">
        <x:v>46226.180257025466</x:v>
      </x:c>
      <x:c r="I320" t="str">
        <x:v>Plant Operation Management</x:v>
      </x:c>
      <x:c r="J320" t="str">
        <x:v>Plant Operation Management created for PRIVATECLOUD project record</x:v>
      </x:c>
      <x:c r="K320" t="str">
        <x:v>partial</x:v>
      </x:c>
      <x:c r="L320"/>
      <x:c r="M320" t="str">
        <x:v>ridzuan.amajid@petronas.com</x:v>
      </x:c>
      <x:c r="N320"/>
      <x:c r="O320"/>
      <x:c r="P320" t="str">
        <x:v>To decom VM Name vSKODPFLPOMAP01, vSKODPFLPOMAP02 - unsuccessful billing without any cost center. Request is made by Ridzuan Majid.
</x:v>
      </x:c>
      <x:c r="Q320" t="str">
        <x:v>12M</x:v>
      </x:c>
      <x:c r="R320" t="str">
        <x:v>Not in Used</x:v>
      </x:c>
      <x:c r="S320"/>
      <x:c r="T320" t="str">
        <x:v>approved</x:v>
      </x:c>
      <x:c r="U320" t="str">
        <x:v>ridzuan.amajid@petronas.com</x:v>
      </x:c>
      <x:c r="V320" t="n">
        <x:v>46226.18087192129</x:v>
      </x:c>
      <x:c r="W320" t="str">
        <x:v>To decom VM Name vSKODPFLPOMAP01, vSKODPFLPOMAP02 - unsuccessful billing without any cost center. Request is made by Ridzuan Majid.</x:v>
      </x:c>
      <x:c r="X320" t="str">
        <x:v>approved</x:v>
      </x:c>
      <x:c r="Y320" t="str">
        <x:v>ridzuan.amajid@petronas.com</x:v>
      </x:c>
      <x:c r="Z320" t="n">
        <x:v>46226.18116717593</x:v>
      </x:c>
      <x:c r="AA320" t="str">
        <x:v>To decom VM Name vSKODPFLPOMAP01, vSKODPFLPOMAP02 - unsuccessful billing without any cost center. Request is made by Ridzuan Majid.</x:v>
      </x:c>
      <x:c r="AB320" t="str">
        <x:v>rejected</x:v>
      </x:c>
      <x:c r="AC320" t="str">
        <x:v>samsuddin.jumbri@petronas.com</x:v>
      </x:c>
      <x:c r="AD320" t="n">
        <x:v>46244.08582346065</x:v>
      </x:c>
      <x:c r="AE320" t="str">
        <x:v>Requestor and Manager/Approver cannot be the same person. Please assign a different authorized approver and resubmit the request.</x:v>
      </x:c>
      <x:c r="AF320"/>
      <x:c r="AG320" t="str">
        <x:v>IMS - CLOUD CSSP EXECUTOR</x:v>
      </x:c>
      <x:c r="AH320"/>
      <x:c r="AI320"/>
      <x:c r="AJ320" t="str">
        <x:v>A-000623</x:v>
      </x:c>
      <x:c r="AK320" t="n">
        <x:v>10152</x:v>
      </x:c>
      <x:c r="AL320"/>
      <x:c r="AM320"/>
      <x:c r="AN320" t="str">
        <x:v>retention</x:v>
      </x:c>
      <x:c r="AO320" t="n">
        <x:v>1</x:v>
      </x:c>
      <x:c r="AP320" s="23" t="str">
        <x:f>IF(E320="processing",IF(Z320="","",IF(ISNUMBER(Z320),INT(Z320),DATE(VALUE(LEFT(Z320,4)),VALUE(MID(Z320,6,2)),VALUE(MID(Z320,9,2))))),IF(OR(E320="executing",E320="pending"),IF(AD320="","",IF(ISNUMBER(AD320),INT(AD320),DATE(VALUE(LEFT(AD320,4)),VALUE(MID(AD320,6,2)),VALUE(MID(AD320,9,2))))),""))</x:f>
      </x:c>
      <x:c r="AQ320" s="24" t="str">
        <x:f>IF(AP320="","",INT('Configuration'!$B$4)-AP320)</x:f>
      </x:c>
      <x:c r="AR320" s="25" t="str">
        <x:f>IF(AP320="","Missing Required Date",IF(AQ320&lt;0,"Future Date",IF(AQ320=0,"0 days",IF(AQ320&lt;=2,"1-2 days",IF(AQ320&lt;=7,"3-7 days",IF(AQ320&lt;=14,"8-14 days",IF(AQ320&lt;=30,"15-30 days",IF(AQ320&lt;=60,"31-60 days",IF(AQ320&lt;=70,"61-70 days","71+ days")))))))))</x:f>
        <x:v>Missing Required Date</x:v>
      </x:c>
      <x:c r="AS320" s="25" t="str">
        <x:f>IF(OR(E320="processing",E320="executing",E320="pending"),IF(AP320="","Required aging date missing",IF(AQ320&gt;30,"Escalate &gt;30d",IF(AQ320&gt;14,"Watch &gt;14d","Within 14d"))),"Out of scope")</x:f>
        <x:v>Out of scope</x:v>
      </x:c>
    </x:row>
    <x:row r="321" ht="24" customHeight="1">
      <x:c r="A321" t="str">
        <x:v>d7c2f00c-ea56-4cfc-9143-84397ad5675c</x:v>
      </x:c>
      <x:c r="B321" t="str">
        <x:v>CSSP10876136</x:v>
      </x:c>
      <x:c r="C321" t="str">
        <x:v>ridzuan.amajid@petronas.com</x:v>
      </x:c>
      <x:c r="D321" t="str">
        <x:v>decommission-cloud</x:v>
      </x:c>
      <x:c r="E321" t="str">
        <x:v>executing</x:v>
      </x:c>
      <x:c r="F321" t="n">
        <x:v>46226.21102033565</x:v>
      </x:c>
      <x:c r="G321" t="n">
        <x:v>46239.61959692129</x:v>
      </x:c>
      <x:c r="H321" t="n">
        <x:v>46226.21102033565</x:v>
      </x:c>
      <x:c r="I321" t="str">
        <x:v>Primavera-SAP Integration</x:v>
      </x:c>
      <x:c r="J321" t="str">
        <x:v>Primavera-SAP Integration created for PRIVATECLOUD project record</x:v>
      </x:c>
      <x:c r="K321" t="str">
        <x:v>partial</x:v>
      </x:c>
      <x:c r="L321"/>
      <x:c r="M321" t="str">
        <x:v>ridzuan.amajid@petronas.com</x:v>
      </x:c>
      <x:c r="N321"/>
      <x:c r="O321"/>
      <x:c r="P321" t="str">
        <x:v>To decom VM Name OPT166P2P1, OPT166PRI1. This VM has been in power off mode since March 2025. Request is made by Ridzuan Majid.</x:v>
      </x:c>
      <x:c r="Q321" t="str">
        <x:v>12M</x:v>
      </x:c>
      <x:c r="R321" t="str">
        <x:v>Not in Used</x:v>
      </x:c>
      <x:c r="S321"/>
      <x:c r="T321" t="str">
        <x:v>approved</x:v>
      </x:c>
      <x:c r="U321" t="str">
        <x:v>ridzuan.amajid@petronas.com</x:v>
      </x:c>
      <x:c r="V321" t="n">
        <x:v>46226.211347488425</x:v>
      </x:c>
      <x:c r="W321" t="str">
        <x:v>To decom VM Name OPT166P2P1, OPT166PRI1. This VM has been in power off mode since March 2025. Request is made by Ridzuan Majid.</x:v>
      </x:c>
      <x:c r="X321" t="str">
        <x:v>approved</x:v>
      </x:c>
      <x:c r="Y321" t="str">
        <x:v>ridzuan.amajid@petronas.com</x:v>
      </x:c>
      <x:c r="Z321" t="n">
        <x:v>46226.21167340278</x:v>
      </x:c>
      <x:c r="AA321" t="str">
        <x:v>To decom VM Name OPT166P2P1, OPT166PRI1. This VM has been in power off mode since March 2025. Request is made by Ridzuan Majid.</x:v>
      </x:c>
      <x:c r="AB321" t="str">
        <x:v>approved</x:v>
      </x:c>
      <x:c r="AC321" t="str">
        <x:v>abhishek.bhowate@petronas.com</x:v>
      </x:c>
      <x:c r="AD321" t="n">
        <x:v>46239.61959693287</x:v>
      </x:c>
      <x:c r="AE321" t="str">
        <x:v>Approved</x:v>
      </x:c>
      <x:c r="AF321"/>
      <x:c r="AG321" t="str">
        <x:v>amarja.kawade@petronas.com</x:v>
      </x:c>
      <x:c r="AH321"/>
      <x:c r="AI321"/>
      <x:c r="AJ321" t="str">
        <x:v>A-000653</x:v>
      </x:c>
      <x:c r="AK321" t="n">
        <x:v>10159</x:v>
      </x:c>
      <x:c r="AL321" t="str">
        <x:v>M</x:v>
      </x:c>
      <x:c r="AM321" t="str">
        <x:v>REQ000008222178</x:v>
      </x:c>
      <x:c r="AN321" t="str">
        <x:v>retention</x:v>
      </x:c>
      <x:c r="AO321" t="n">
        <x:v>1</x:v>
      </x:c>
      <x:c r="AP321" s="23" t="n">
        <x:f>IF(E321="processing",IF(Z321="","",IF(ISNUMBER(Z321),INT(Z321),DATE(VALUE(LEFT(Z321,4)),VALUE(MID(Z321,6,2)),VALUE(MID(Z321,9,2))))),IF(OR(E321="executing",E321="pending"),IF(AD321="","",IF(ISNUMBER(AD321),INT(AD321),DATE(VALUE(LEFT(AD321,4)),VALUE(MID(AD321,6,2)),VALUE(MID(AD321,9,2))))),""))</x:f>
        <x:v>46239</x:v>
      </x:c>
      <x:c r="AQ321" s="24" t="n">
        <x:f>IF(AP321="","",INT('Configuration'!$B$4)-AP321)</x:f>
        <x:v>12</x:v>
      </x:c>
      <x:c r="AR321" s="25" t="str">
        <x:f>IF(AP321="","Missing Required Date",IF(AQ321&lt;0,"Future Date",IF(AQ321=0,"0 days",IF(AQ321&lt;=2,"1-2 days",IF(AQ321&lt;=7,"3-7 days",IF(AQ321&lt;=14,"8-14 days",IF(AQ321&lt;=30,"15-30 days",IF(AQ321&lt;=60,"31-60 days",IF(AQ321&lt;=70,"61-70 days","71+ days")))))))))</x:f>
        <x:v>8-14 days</x:v>
      </x:c>
      <x:c r="AS321" s="25" t="str">
        <x:f>IF(OR(E321="processing",E321="executing",E321="pending"),IF(AP321="","Required aging date missing",IF(AQ321&gt;30,"Escalate &gt;30d",IF(AQ321&gt;14,"Watch &gt;14d","Within 14d"))),"Out of scope")</x:f>
        <x:v>Within 14d</x:v>
      </x:c>
    </x:row>
    <x:row r="322" ht="24" customHeight="1">
      <x:c r="A322" t="str">
        <x:v>e1dfa073-1445-4e79-b045-f870d5d83411</x:v>
      </x:c>
      <x:c r="B322" t="str">
        <x:v>CSSP10231806</x:v>
      </x:c>
      <x:c r="C322" t="str">
        <x:v>ridzuan.amajid@petronas.com</x:v>
      </x:c>
      <x:c r="D322" t="str">
        <x:v>decommission-cloud</x:v>
      </x:c>
      <x:c r="E322" t="str">
        <x:v>executing</x:v>
      </x:c>
      <x:c r="F322" t="n">
        <x:v>46226.24426075231</x:v>
      </x:c>
      <x:c r="G322" t="n">
        <x:v>46233.105323958334</x:v>
      </x:c>
      <x:c r="H322" t="n">
        <x:v>46226.24426075231</x:v>
      </x:c>
      <x:c r="I322" t="str">
        <x:v>E-CAKNA PCSB</x:v>
      </x:c>
      <x:c r="J322" t="str">
        <x:v>E-CAKNA PCSB created for PRIVATECLOUD project record</x:v>
      </x:c>
      <x:c r="K322" t="str">
        <x:v>partial</x:v>
      </x:c>
      <x:c r="L322"/>
      <x:c r="M322" t="str">
        <x:v>ridzuan.amajid@petronas.com</x:v>
      </x:c>
      <x:c r="N322"/>
      <x:c r="O322"/>
      <x:c r="P322" t="str">
        <x:v>To decom VM Name vEASOGDPAASDB02. This VM has been in power off mode since March 2025. Request is made by Ridzuan Majid.</x:v>
      </x:c>
      <x:c r="Q322" t="str">
        <x:v>12M</x:v>
      </x:c>
      <x:c r="R322" t="str">
        <x:v>Not in Used</x:v>
      </x:c>
      <x:c r="S322"/>
      <x:c r="T322" t="str">
        <x:v>approved</x:v>
      </x:c>
      <x:c r="U322" t="str">
        <x:v>ridzuan.amajid@petronas.com</x:v>
      </x:c>
      <x:c r="V322" t="n">
        <x:v>46226.24809149306</x:v>
      </x:c>
      <x:c r="W322" t="str">
        <x:v>To decom VM Name vEASOGDPAASDB02. This VM has been in power off mode since March 2025. Request is made by Ridzuan Majid.</x:v>
      </x:c>
      <x:c r="X322" t="str">
        <x:v>approved</x:v>
      </x:c>
      <x:c r="Y322" t="str">
        <x:v>ridzuan.amajid@petronas.com</x:v>
      </x:c>
      <x:c r="Z322" t="n">
        <x:v>46226.24843936343</x:v>
      </x:c>
      <x:c r="AA322" t="str">
        <x:v>To decom VM Name vEASOGDPAASDB02. This VM has been in power off mode since March 2025. Request is made by Ridzuan Majid.</x:v>
      </x:c>
      <x:c r="AB322" t="str">
        <x:v>approved</x:v>
      </x:c>
      <x:c r="AC322" t="str">
        <x:v>abhishek.bhowate@petronas.com</x:v>
      </x:c>
      <x:c r="AD322" t="n">
        <x:v>46233.10532396991</x:v>
      </x:c>
      <x:c r="AE322" t="str">
        <x:v>approve</x:v>
      </x:c>
      <x:c r="AF322"/>
      <x:c r="AG322" t="str">
        <x:v>K.saktivelu@petronas.com</x:v>
      </x:c>
      <x:c r="AH322"/>
      <x:c r="AI322"/>
      <x:c r="AJ322" t="str">
        <x:v>A-000256</x:v>
      </x:c>
      <x:c r="AK322" t="str">
        <x:v>10074_02</x:v>
      </x:c>
      <x:c r="AL322" t="str">
        <x:v>M</x:v>
      </x:c>
      <x:c r="AM322" t="str">
        <x:v>REQ000008203408</x:v>
      </x:c>
      <x:c r="AN322" t="str">
        <x:v>retention</x:v>
      </x:c>
      <x:c r="AO322" t="n">
        <x:v>1</x:v>
      </x:c>
      <x:c r="AP322" s="23" t="n">
        <x:f>IF(E322="processing",IF(Z322="","",IF(ISNUMBER(Z322),INT(Z322),DATE(VALUE(LEFT(Z322,4)),VALUE(MID(Z322,6,2)),VALUE(MID(Z322,9,2))))),IF(OR(E322="executing",E322="pending"),IF(AD322="","",IF(ISNUMBER(AD322),INT(AD322),DATE(VALUE(LEFT(AD322,4)),VALUE(MID(AD322,6,2)),VALUE(MID(AD322,9,2))))),""))</x:f>
        <x:v>46233</x:v>
      </x:c>
      <x:c r="AQ322" s="24" t="n">
        <x:f>IF(AP322="","",INT('Configuration'!$B$4)-AP322)</x:f>
        <x:v>18</x:v>
      </x:c>
      <x:c r="AR322" s="25" t="str">
        <x:f>IF(AP322="","Missing Required Date",IF(AQ322&lt;0,"Future Date",IF(AQ322=0,"0 days",IF(AQ322&lt;=2,"1-2 days",IF(AQ322&lt;=7,"3-7 days",IF(AQ322&lt;=14,"8-14 days",IF(AQ322&lt;=30,"15-30 days",IF(AQ322&lt;=60,"31-60 days",IF(AQ322&lt;=70,"61-70 days","71+ days")))))))))</x:f>
        <x:v>15-30 days</x:v>
      </x:c>
      <x:c r="AS322" s="25" t="str">
        <x:f>IF(OR(E322="processing",E322="executing",E322="pending"),IF(AP322="","Required aging date missing",IF(AQ322&gt;30,"Escalate &gt;30d",IF(AQ322&gt;14,"Watch &gt;14d","Within 14d"))),"Out of scope")</x:f>
        <x:v>Watch &gt;14d</x:v>
      </x:c>
    </x:row>
    <x:row r="323" ht="24" customHeight="1">
      <x:c r="A323" t="str">
        <x:v>3c46534f-b9b7-4748-933e-2a9934781f13</x:v>
      </x:c>
      <x:c r="B323" t="str">
        <x:v>CSSP10413108</x:v>
      </x:c>
      <x:c r="C323" t="str">
        <x:v>ridzuan.amajid@petronas.com</x:v>
      </x:c>
      <x:c r="D323" t="str">
        <x:v>decommission-cloud</x:v>
      </x:c>
      <x:c r="E323" t="str">
        <x:v>executing</x:v>
      </x:c>
      <x:c r="F323" t="n">
        <x:v>46226.25001640046</x:v>
      </x:c>
      <x:c r="G323" t="n">
        <x:v>46239.619336041666</x:v>
      </x:c>
      <x:c r="H323" t="n">
        <x:v>46226.25001640046</x:v>
      </x:c>
      <x:c r="I323" t="str">
        <x:v>E-CAKNA PCSB</x:v>
      </x:c>
      <x:c r="J323" t="str">
        <x:v>E-CAKNA PCSB created for PRIVATECLOUD project record</x:v>
      </x:c>
      <x:c r="K323" t="str">
        <x:v>partial</x:v>
      </x:c>
      <x:c r="L323"/>
      <x:c r="M323" t="str">
        <x:v>ridzuan.amajid@petronas.com</x:v>
      </x:c>
      <x:c r="N323"/>
      <x:c r="O323"/>
      <x:c r="P323" t="str">
        <x:v>To decom VM Name vEASOGDPAASAPP1c. This VM has been in power off mode since March 2025. Request is made by Ridzuan Majid.
</x:v>
      </x:c>
      <x:c r="Q323" t="str">
        <x:v>12M</x:v>
      </x:c>
      <x:c r="R323" t="str">
        <x:v>Not in Used</x:v>
      </x:c>
      <x:c r="S323"/>
      <x:c r="T323" t="str">
        <x:v>approved</x:v>
      </x:c>
      <x:c r="U323" t="str">
        <x:v>ridzuan.amajid@petronas.com</x:v>
      </x:c>
      <x:c r="V323" t="n">
        <x:v>46226.25012635416</x:v>
      </x:c>
      <x:c r="W323" t="str">
        <x:v>To decom VM Name vEASOGDPAASAPP1c. This VM has been in power off mode since March 2025. Request is made by Ridzuan Majid.
</x:v>
      </x:c>
      <x:c r="X323" t="str">
        <x:v>approved</x:v>
      </x:c>
      <x:c r="Y323" t="str">
        <x:v>ridzuan.amajid@petronas.com</x:v>
      </x:c>
      <x:c r="Z323" t="n">
        <x:v>46226.25071099537</x:v>
      </x:c>
      <x:c r="AA323" t="str">
        <x:v>To decom VM Name vEASOGDPAASAPP1c. This VM has been in power off mode since March 2025. Request is made by Ridzuan Majid.
</x:v>
      </x:c>
      <x:c r="AB323" t="str">
        <x:v>approved</x:v>
      </x:c>
      <x:c r="AC323" t="str">
        <x:v>abhishek.bhowate@petronas.com</x:v>
      </x:c>
      <x:c r="AD323" t="n">
        <x:v>46239.61933605324</x:v>
      </x:c>
      <x:c r="AE323" t="str">
        <x:v>approved</x:v>
      </x:c>
      <x:c r="AF323"/>
      <x:c r="AG323" t="str">
        <x:v>amarja.kawade@petronas.com</x:v>
      </x:c>
      <x:c r="AH323"/>
      <x:c r="AI323"/>
      <x:c r="AJ323" t="str">
        <x:v>A-000256</x:v>
      </x:c>
      <x:c r="AK323" t="str">
        <x:v>10074_02</x:v>
      </x:c>
      <x:c r="AL323" t="str">
        <x:v>M</x:v>
      </x:c>
      <x:c r="AM323" t="str">
        <x:v>REQ000008222619</x:v>
      </x:c>
      <x:c r="AN323" t="str">
        <x:v>retention</x:v>
      </x:c>
      <x:c r="AO323" t="n">
        <x:v>1</x:v>
      </x:c>
      <x:c r="AP323" s="23" t="n">
        <x:f>IF(E323="processing",IF(Z323="","",IF(ISNUMBER(Z323),INT(Z323),DATE(VALUE(LEFT(Z323,4)),VALUE(MID(Z323,6,2)),VALUE(MID(Z323,9,2))))),IF(OR(E323="executing",E323="pending"),IF(AD323="","",IF(ISNUMBER(AD323),INT(AD323),DATE(VALUE(LEFT(AD323,4)),VALUE(MID(AD323,6,2)),VALUE(MID(AD323,9,2))))),""))</x:f>
        <x:v>46239</x:v>
      </x:c>
      <x:c r="AQ323" s="24" t="n">
        <x:f>IF(AP323="","",INT('Configuration'!$B$4)-AP323)</x:f>
        <x:v>12</x:v>
      </x:c>
      <x:c r="AR323" s="25" t="str">
        <x:f>IF(AP323="","Missing Required Date",IF(AQ323&lt;0,"Future Date",IF(AQ323=0,"0 days",IF(AQ323&lt;=2,"1-2 days",IF(AQ323&lt;=7,"3-7 days",IF(AQ323&lt;=14,"8-14 days",IF(AQ323&lt;=30,"15-30 days",IF(AQ323&lt;=60,"31-60 days",IF(AQ323&lt;=70,"61-70 days","71+ days")))))))))</x:f>
        <x:v>8-14 days</x:v>
      </x:c>
      <x:c r="AS323" s="25" t="str">
        <x:f>IF(OR(E323="processing",E323="executing",E323="pending"),IF(AP323="","Required aging date missing",IF(AQ323&gt;30,"Escalate &gt;30d",IF(AQ323&gt;14,"Watch &gt;14d","Within 14d"))),"Out of scope")</x:f>
        <x:v>Within 14d</x:v>
      </x:c>
    </x:row>
    <x:row r="324" ht="24" customHeight="1">
      <x:c r="A324" t="str">
        <x:v>75c34cab-a218-4c9e-89ec-15fc00a68f77</x:v>
      </x:c>
      <x:c r="B324" t="str">
        <x:v>CSSP10328360</x:v>
      </x:c>
      <x:c r="C324" t="str">
        <x:v>ridzuan.amajid@petronas.com</x:v>
      </x:c>
      <x:c r="D324" t="str">
        <x:v>decommission-cloud</x:v>
      </x:c>
      <x:c r="E324" t="str">
        <x:v>executing</x:v>
      </x:c>
      <x:c r="F324" t="n">
        <x:v>46226.2529324537</x:v>
      </x:c>
      <x:c r="G324" t="n">
        <x:v>46233.10495836806</x:v>
      </x:c>
      <x:c r="H324" t="n">
        <x:v>46226.2529324537</x:v>
      </x:c>
      <x:c r="I324" t="str">
        <x:v>Pegosa</x:v>
      </x:c>
      <x:c r="J324" t="str">
        <x:v>Pegosa created for PRIVATECLOUD project record</x:v>
      </x:c>
      <x:c r="K324" t="str">
        <x:v>partial</x:v>
      </x:c>
      <x:c r="L324"/>
      <x:c r="M324" t="str">
        <x:v>ridzuan.amajid@petronas.com</x:v>
      </x:c>
      <x:c r="N324"/>
      <x:c r="O324"/>
      <x:c r="P324" t="str">
        <x:v>To decom VM Name PGB137PEGOSAPPPS, PGB137PEGOSAWEB, PGB137PEGOSAWFC. This VM has been in power off mode since March 2025. Request is made by Ridzuan Majid.</x:v>
      </x:c>
      <x:c r="Q324" t="str">
        <x:v>12M</x:v>
      </x:c>
      <x:c r="R324" t="str">
        <x:v>Not in Used</x:v>
      </x:c>
      <x:c r="S324"/>
      <x:c r="T324" t="str">
        <x:v>approved</x:v>
      </x:c>
      <x:c r="U324" t="str">
        <x:v>ridzuan.amajid@petronas.com</x:v>
      </x:c>
      <x:c r="V324" t="n">
        <x:v>46226.25319430556</x:v>
      </x:c>
      <x:c r="W324" t="str">
        <x:v>To decom VM Name PGB137PEGOSAPPPS, PGB137PEGOSAWEB, PGB137PEGOSAWFC. This VM has been in power off mode since March 2025. Request is made by Ridzuan Majid.</x:v>
      </x:c>
      <x:c r="X324" t="str">
        <x:v>approved</x:v>
      </x:c>
      <x:c r="Y324" t="str">
        <x:v>ridzuan.amajid@petronas.com</x:v>
      </x:c>
      <x:c r="Z324" t="n">
        <x:v>46226.2534390625</x:v>
      </x:c>
      <x:c r="AA324" t="str">
        <x:v>To decom VM Name PGB137PEGOSAPPPS, PGB137PEGOSAWEB, PGB137PEGOSAWFC. This VM has been in power off mode since March 2025. Request is made by Ridzuan Majid.</x:v>
      </x:c>
      <x:c r="AB324" t="str">
        <x:v>approved</x:v>
      </x:c>
      <x:c r="AC324" t="str">
        <x:v>abhishek.bhowate@petronas.com</x:v>
      </x:c>
      <x:c r="AD324" t="n">
        <x:v>46233.10495837963</x:v>
      </x:c>
      <x:c r="AE324" t="str">
        <x:v>approve</x:v>
      </x:c>
      <x:c r="AF324"/>
      <x:c r="AG324" t="str">
        <x:v>K.saktivelu@petronas.com</x:v>
      </x:c>
      <x:c r="AH324"/>
      <x:c r="AI324"/>
      <x:c r="AJ324" t="str">
        <x:v>A-000555</x:v>
      </x:c>
      <x:c r="AK324" t="n">
        <x:v>10134</x:v>
      </x:c>
      <x:c r="AL324" t="str">
        <x:v>M</x:v>
      </x:c>
      <x:c r="AM324" t="str">
        <x:v>REQ000008203407</x:v>
      </x:c>
      <x:c r="AN324" t="str">
        <x:v>retention</x:v>
      </x:c>
      <x:c r="AO324" t="n">
        <x:v>1</x:v>
      </x:c>
      <x:c r="AP324" s="23" t="n">
        <x:f>IF(E324="processing",IF(Z324="","",IF(ISNUMBER(Z324),INT(Z324),DATE(VALUE(LEFT(Z324,4)),VALUE(MID(Z324,6,2)),VALUE(MID(Z324,9,2))))),IF(OR(E324="executing",E324="pending"),IF(AD324="","",IF(ISNUMBER(AD324),INT(AD324),DATE(VALUE(LEFT(AD324,4)),VALUE(MID(AD324,6,2)),VALUE(MID(AD324,9,2))))),""))</x:f>
        <x:v>46233</x:v>
      </x:c>
      <x:c r="AQ324" s="24" t="n">
        <x:f>IF(AP324="","",INT('Configuration'!$B$4)-AP324)</x:f>
        <x:v>18</x:v>
      </x:c>
      <x:c r="AR324" s="25" t="str">
        <x:f>IF(AP324="","Missing Required Date",IF(AQ324&lt;0,"Future Date",IF(AQ324=0,"0 days",IF(AQ324&lt;=2,"1-2 days",IF(AQ324&lt;=7,"3-7 days",IF(AQ324&lt;=14,"8-14 days",IF(AQ324&lt;=30,"15-30 days",IF(AQ324&lt;=60,"31-60 days",IF(AQ324&lt;=70,"61-70 days","71+ days")))))))))</x:f>
        <x:v>15-30 days</x:v>
      </x:c>
      <x:c r="AS324" s="25" t="str">
        <x:f>IF(OR(E324="processing",E324="executing",E324="pending"),IF(AP324="","Required aging date missing",IF(AQ324&gt;30,"Escalate &gt;30d",IF(AQ324&gt;14,"Watch &gt;14d","Within 14d"))),"Out of scope")</x:f>
        <x:v>Watch &gt;14d</x:v>
      </x:c>
    </x:row>
    <x:row r="325" ht="24" customHeight="1">
      <x:c r="A325" t="str">
        <x:v>5e1b1621-72c9-48d3-bb30-2260a5c26c75</x:v>
      </x:c>
      <x:c r="B325" t="str">
        <x:v>CSSP10766912</x:v>
      </x:c>
      <x:c r="C325" t="str">
        <x:v>ridzuan.amajid@petronas.com</x:v>
      </x:c>
      <x:c r="D325" t="str">
        <x:v>decommission-cloud</x:v>
      </x:c>
      <x:c r="E325" t="str">
        <x:v>executing</x:v>
      </x:c>
      <x:c r="F325" t="n">
        <x:v>46226.25509287037</x:v>
      </x:c>
      <x:c r="G325" t="n">
        <x:v>46239.619113125</x:v>
      </x:c>
      <x:c r="H325" t="n">
        <x:v>46226.25509287037</x:v>
      </x:c>
      <x:c r="I325" t="str">
        <x:v>E-CAKNA PCSB</x:v>
      </x:c>
      <x:c r="J325" t="str">
        <x:v>E-CAKNA PCSB created for PRIVATECLOUD project record</x:v>
      </x:c>
      <x:c r="K325" t="str">
        <x:v>partial</x:v>
      </x:c>
      <x:c r="L325"/>
      <x:c r="M325" t="str">
        <x:v>ridzuan.amajid@petronas.com</x:v>
      </x:c>
      <x:c r="N325"/>
      <x:c r="O325"/>
      <x:c r="P325" t="str">
        <x:v>To decom VM Name vEASOGDPAASDEV3. This VM has been in power off mode since March 2025. Request is made by Ridzuan Majid.</x:v>
      </x:c>
      <x:c r="Q325" t="str">
        <x:v>12M</x:v>
      </x:c>
      <x:c r="R325" t="str">
        <x:v>Not in Used</x:v>
      </x:c>
      <x:c r="S325"/>
      <x:c r="T325" t="str">
        <x:v>approved</x:v>
      </x:c>
      <x:c r="U325" t="str">
        <x:v>ridzuan.amajid@petronas.com</x:v>
      </x:c>
      <x:c r="V325" t="n">
        <x:v>46226.2554177662</x:v>
      </x:c>
      <x:c r="W325" t="str">
        <x:v>To decom VM Name vEASOGDPAASDEV3. This VM has been in power off mode since March 2025. Request is made by Ridzuan Majid.</x:v>
      </x:c>
      <x:c r="X325" t="str">
        <x:v>approved</x:v>
      </x:c>
      <x:c r="Y325" t="str">
        <x:v>ridzuan.amajid@petronas.com</x:v>
      </x:c>
      <x:c r="Z325" t="n">
        <x:v>46226.255639490744</x:v>
      </x:c>
      <x:c r="AA325" t="str">
        <x:v>To decom VM Name vEASOGDPAASDEV3. This VM has been in power off mode since March 2025. Request is made by Ridzuan Majid.</x:v>
      </x:c>
      <x:c r="AB325" t="str">
        <x:v>approved</x:v>
      </x:c>
      <x:c r="AC325" t="str">
        <x:v>abhishek.bhowate@petronas.com</x:v>
      </x:c>
      <x:c r="AD325" t="n">
        <x:v>46239.61911313658</x:v>
      </x:c>
      <x:c r="AE325" t="str">
        <x:v>Approved</x:v>
      </x:c>
      <x:c r="AF325"/>
      <x:c r="AG325" t="str">
        <x:v>amarja.kawade@petronas.com</x:v>
      </x:c>
      <x:c r="AH325"/>
      <x:c r="AI325"/>
      <x:c r="AJ325" t="str">
        <x:v>A-000256</x:v>
      </x:c>
      <x:c r="AK325" t="str">
        <x:v>10074_02</x:v>
      </x:c>
      <x:c r="AL325" t="str">
        <x:v>M</x:v>
      </x:c>
      <x:c r="AM325" t="str">
        <x:v>REQ000008222618</x:v>
      </x:c>
      <x:c r="AN325" t="str">
        <x:v>retention</x:v>
      </x:c>
      <x:c r="AO325" t="n">
        <x:v>1</x:v>
      </x:c>
      <x:c r="AP325" s="23" t="n">
        <x:f>IF(E325="processing",IF(Z325="","",IF(ISNUMBER(Z325),INT(Z325),DATE(VALUE(LEFT(Z325,4)),VALUE(MID(Z325,6,2)),VALUE(MID(Z325,9,2))))),IF(OR(E325="executing",E325="pending"),IF(AD325="","",IF(ISNUMBER(AD325),INT(AD325),DATE(VALUE(LEFT(AD325,4)),VALUE(MID(AD325,6,2)),VALUE(MID(AD325,9,2))))),""))</x:f>
        <x:v>46239</x:v>
      </x:c>
      <x:c r="AQ325" s="24" t="n">
        <x:f>IF(AP325="","",INT('Configuration'!$B$4)-AP325)</x:f>
        <x:v>12</x:v>
      </x:c>
      <x:c r="AR325" s="25" t="str">
        <x:f>IF(AP325="","Missing Required Date",IF(AQ325&lt;0,"Future Date",IF(AQ325=0,"0 days",IF(AQ325&lt;=2,"1-2 days",IF(AQ325&lt;=7,"3-7 days",IF(AQ325&lt;=14,"8-14 days",IF(AQ325&lt;=30,"15-30 days",IF(AQ325&lt;=60,"31-60 days",IF(AQ325&lt;=70,"61-70 days","71+ days")))))))))</x:f>
        <x:v>8-14 days</x:v>
      </x:c>
      <x:c r="AS325" s="25" t="str">
        <x:f>IF(OR(E325="processing",E325="executing",E325="pending"),IF(AP325="","Required aging date missing",IF(AQ325&gt;30,"Escalate &gt;30d",IF(AQ325&gt;14,"Watch &gt;14d","Within 14d"))),"Out of scope")</x:f>
        <x:v>Within 14d</x:v>
      </x:c>
    </x:row>
    <x:row r="326" ht="24" customHeight="1">
      <x:c r="A326" t="str">
        <x:v>09a13b2d-57f1-4c56-80f0-ee6ad95971ea</x:v>
      </x:c>
      <x:c r="B326" t="str">
        <x:v>CSSP10327858</x:v>
      </x:c>
      <x:c r="C326" t="str">
        <x:v>ridzuan.amajid@petronas.com</x:v>
      </x:c>
      <x:c r="D326" t="str">
        <x:v>decommission-cloud</x:v>
      </x:c>
      <x:c r="E326" t="str">
        <x:v>executing</x:v>
      </x:c>
      <x:c r="F326" t="n">
        <x:v>46226.26329134259</x:v>
      </x:c>
      <x:c r="G326" t="n">
        <x:v>46233.104649583336</x:v>
      </x:c>
      <x:c r="H326" t="n">
        <x:v>46226.26329134259</x:v>
      </x:c>
      <x:c r="I326" t="str">
        <x:v>Data Logger ODM with OSISoft PI System</x:v>
      </x:c>
      <x:c r="J326" t="str">
        <x:v>Data Logger ODM with OSISoft PI System created for PRIVATECLOUD project record</x:v>
      </x:c>
      <x:c r="K326" t="str">
        <x:v>partial</x:v>
      </x:c>
      <x:c r="L326"/>
      <x:c r="M326" t="str">
        <x:v>ridzuan.amajid@petronas.com</x:v>
      </x:c>
      <x:c r="N326"/>
      <x:c r="O326"/>
      <x:c r="P326" t="str">
        <x:v>To decom VM Name PFK204logger. This VM has been in power off mode since March 2025. Request is made by Ridzuan Majid.</x:v>
      </x:c>
      <x:c r="Q326" t="str">
        <x:v>12M</x:v>
      </x:c>
      <x:c r="R326" t="str">
        <x:v>Not in Used</x:v>
      </x:c>
      <x:c r="S326"/>
      <x:c r="T326" t="str">
        <x:v>approved</x:v>
      </x:c>
      <x:c r="U326" t="str">
        <x:v>ridzuan.amajid@petronas.com</x:v>
      </x:c>
      <x:c r="V326" t="n">
        <x:v>46226.26364355324</x:v>
      </x:c>
      <x:c r="W326" t="str">
        <x:v>To decom VM Name PFK204logger. This VM has been in power off mode since March 2025. Request is made by Ridzuan Majid.</x:v>
      </x:c>
      <x:c r="X326" t="str">
        <x:v>approved</x:v>
      </x:c>
      <x:c r="Y326" t="str">
        <x:v>ridzuan.amajid@petronas.com</x:v>
      </x:c>
      <x:c r="Z326" t="n">
        <x:v>46226.263817962965</x:v>
      </x:c>
      <x:c r="AA326" t="str">
        <x:v>To decom VM Name PFK204logger. This VM has been in power off mode since March 2025. Request is made by Ridzuan Majid.</x:v>
      </x:c>
      <x:c r="AB326" t="str">
        <x:v>approved</x:v>
      </x:c>
      <x:c r="AC326" t="str">
        <x:v>abhishek.bhowate@petronas.com</x:v>
      </x:c>
      <x:c r="AD326" t="n">
        <x:v>46233.104649594905</x:v>
      </x:c>
      <x:c r="AE326" t="str">
        <x:v>approve</x:v>
      </x:c>
      <x:c r="AF326"/>
      <x:c r="AG326" t="str">
        <x:v>amarja.kawade@petronas.com</x:v>
      </x:c>
      <x:c r="AH326"/>
      <x:c r="AI326"/>
      <x:c r="AJ326" t="str">
        <x:v>A-000513</x:v>
      </x:c>
      <x:c r="AK326" t="n">
        <x:v>10124</x:v>
      </x:c>
      <x:c r="AL326" t="str">
        <x:v>M</x:v>
      </x:c>
      <x:c r="AM326" t="str">
        <x:v>REQ000008203314</x:v>
      </x:c>
      <x:c r="AN326" t="str">
        <x:v>retention</x:v>
      </x:c>
      <x:c r="AO326" t="n">
        <x:v>1</x:v>
      </x:c>
      <x:c r="AP326" s="23" t="n">
        <x:f>IF(E326="processing",IF(Z326="","",IF(ISNUMBER(Z326),INT(Z326),DATE(VALUE(LEFT(Z326,4)),VALUE(MID(Z326,6,2)),VALUE(MID(Z326,9,2))))),IF(OR(E326="executing",E326="pending"),IF(AD326="","",IF(ISNUMBER(AD326),INT(AD326),DATE(VALUE(LEFT(AD326,4)),VALUE(MID(AD326,6,2)),VALUE(MID(AD326,9,2))))),""))</x:f>
        <x:v>46233</x:v>
      </x:c>
      <x:c r="AQ326" s="24" t="n">
        <x:f>IF(AP326="","",INT('Configuration'!$B$4)-AP326)</x:f>
        <x:v>18</x:v>
      </x:c>
      <x:c r="AR326" s="25" t="str">
        <x:f>IF(AP326="","Missing Required Date",IF(AQ326&lt;0,"Future Date",IF(AQ326=0,"0 days",IF(AQ326&lt;=2,"1-2 days",IF(AQ326&lt;=7,"3-7 days",IF(AQ326&lt;=14,"8-14 days",IF(AQ326&lt;=30,"15-30 days",IF(AQ326&lt;=60,"31-60 days",IF(AQ326&lt;=70,"61-70 days","71+ days")))))))))</x:f>
        <x:v>15-30 days</x:v>
      </x:c>
      <x:c r="AS326" s="25" t="str">
        <x:f>IF(OR(E326="processing",E326="executing",E326="pending"),IF(AP326="","Required aging date missing",IF(AQ326&gt;30,"Escalate &gt;30d",IF(AQ326&gt;14,"Watch &gt;14d","Within 14d"))),"Out of scope")</x:f>
        <x:v>Watch &gt;14d</x:v>
      </x:c>
    </x:row>
    <x:row r="327" ht="24" customHeight="1">
      <x:c r="A327" t="str">
        <x:v>d1eba89a-1acb-499f-b73a-0ce8ffafa252</x:v>
      </x:c>
      <x:c r="B327" t="str">
        <x:v>CSSP10140378</x:v>
      </x:c>
      <x:c r="C327" t="str">
        <x:v>ridzuan.amajid@petronas.com</x:v>
      </x:c>
      <x:c r="D327" t="str">
        <x:v>decommission-cloud</x:v>
      </x:c>
      <x:c r="E327" t="str">
        <x:v>executing</x:v>
      </x:c>
      <x:c r="F327" t="n">
        <x:v>46226.26594484954</x:v>
      </x:c>
      <x:c r="G327" t="n">
        <x:v>46233.10419603009</x:v>
      </x:c>
      <x:c r="H327" t="n">
        <x:v>46226.26594484954</x:v>
      </x:c>
      <x:c r="I327" t="str">
        <x:v>Plant Information - PI PCFK</x:v>
      </x:c>
      <x:c r="J327" t="str">
        <x:v>Plant Information - PI PCFK created for PRIVATECLOUD project record</x:v>
      </x:c>
      <x:c r="K327" t="str">
        <x:v>partial</x:v>
      </x:c>
      <x:c r="L327"/>
      <x:c r="M327" t="str">
        <x:v>ridzuan.amajid@petronas.com</x:v>
      </x:c>
      <x:c r="N327"/>
      <x:c r="O327"/>
      <x:c r="P327" t="str">
        <x:v>To decom VM Name PIMS-ServerC-Old. This VM has been in power off mode since March 2025. Request is made by Ridzuan Majid.</x:v>
      </x:c>
      <x:c r="Q327" t="str">
        <x:v>12M</x:v>
      </x:c>
      <x:c r="R327" t="str">
        <x:v>Not in Used</x:v>
      </x:c>
      <x:c r="S327"/>
      <x:c r="T327" t="str">
        <x:v>approved</x:v>
      </x:c>
      <x:c r="U327" t="str">
        <x:v>ridzuan.amajid@petronas.com</x:v>
      </x:c>
      <x:c r="V327" t="n">
        <x:v>46226.26630364583</x:v>
      </x:c>
      <x:c r="W327" t="str">
        <x:v>To decom VM Name PIMS-ServerC-Old. This VM has been in power off mode since March 2025. Request is made by Ridzuan Majid.</x:v>
      </x:c>
      <x:c r="X327" t="str">
        <x:v>approved</x:v>
      </x:c>
      <x:c r="Y327" t="str">
        <x:v>ridzuan.amajid@petronas.com</x:v>
      </x:c>
      <x:c r="Z327" t="n">
        <x:v>46226.26647515046</x:v>
      </x:c>
      <x:c r="AA327" t="str">
        <x:v>To decom VM Name PIMS-ServerC-Old. This VM has been in power off mode since March 2025. Request is made by Ridzuan Majid.</x:v>
      </x:c>
      <x:c r="AB327" t="str">
        <x:v>approved</x:v>
      </x:c>
      <x:c r="AC327" t="str">
        <x:v>abhishek.bhowate@petronas.com</x:v>
      </x:c>
      <x:c r="AD327" t="n">
        <x:v>46233.10419604167</x:v>
      </x:c>
      <x:c r="AE327" t="str">
        <x:v>approve</x:v>
      </x:c>
      <x:c r="AF327"/>
      <x:c r="AG327" t="str">
        <x:v>swaminadh.chirakala@petronas.com</x:v>
      </x:c>
      <x:c r="AH327"/>
      <x:c r="AI327"/>
      <x:c r="AJ327" t="str">
        <x:v>A-000583</x:v>
      </x:c>
      <x:c r="AK327" t="str">
        <x:v>10135_07</x:v>
      </x:c>
      <x:c r="AL327" t="str">
        <x:v>M</x:v>
      </x:c>
      <x:c r="AM327" t="str">
        <x:v>REQ000008203406</x:v>
      </x:c>
      <x:c r="AN327" t="str">
        <x:v>retention</x:v>
      </x:c>
      <x:c r="AO327" t="n">
        <x:v>1</x:v>
      </x:c>
      <x:c r="AP327" s="23" t="n">
        <x:f>IF(E327="processing",IF(Z327="","",IF(ISNUMBER(Z327),INT(Z327),DATE(VALUE(LEFT(Z327,4)),VALUE(MID(Z327,6,2)),VALUE(MID(Z327,9,2))))),IF(OR(E327="executing",E327="pending"),IF(AD327="","",IF(ISNUMBER(AD327),INT(AD327),DATE(VALUE(LEFT(AD327,4)),VALUE(MID(AD327,6,2)),VALUE(MID(AD327,9,2))))),""))</x:f>
        <x:v>46233</x:v>
      </x:c>
      <x:c r="AQ327" s="24" t="n">
        <x:f>IF(AP327="","",INT('Configuration'!$B$4)-AP327)</x:f>
        <x:v>18</x:v>
      </x:c>
      <x:c r="AR327" s="25" t="str">
        <x:f>IF(AP327="","Missing Required Date",IF(AQ327&lt;0,"Future Date",IF(AQ327=0,"0 days",IF(AQ327&lt;=2,"1-2 days",IF(AQ327&lt;=7,"3-7 days",IF(AQ327&lt;=14,"8-14 days",IF(AQ327&lt;=30,"15-30 days",IF(AQ327&lt;=60,"31-60 days",IF(AQ327&lt;=70,"61-70 days","71+ days")))))))))</x:f>
        <x:v>15-30 days</x:v>
      </x:c>
      <x:c r="AS327" s="25" t="str">
        <x:f>IF(OR(E327="processing",E327="executing",E327="pending"),IF(AP327="","Required aging date missing",IF(AQ327&gt;30,"Escalate &gt;30d",IF(AQ327&gt;14,"Watch &gt;14d","Within 14d"))),"Out of scope")</x:f>
        <x:v>Watch &gt;14d</x:v>
      </x:c>
    </x:row>
    <x:row r="328" ht="24" customHeight="1">
      <x:c r="A328" t="str">
        <x:v>b1be6232-c889-4b62-a0b9-775892649d74</x:v>
      </x:c>
      <x:c r="B328" t="str">
        <x:v>CSSP10910215</x:v>
      </x:c>
      <x:c r="C328" t="str">
        <x:v>ridzuan.amajid@petronas.com</x:v>
      </x:c>
      <x:c r="D328" t="str">
        <x:v>decommission-cloud</x:v>
      </x:c>
      <x:c r="E328" t="str">
        <x:v>executing</x:v>
      </x:c>
      <x:c r="F328" t="n">
        <x:v>46226.269127604166</x:v>
      </x:c>
      <x:c r="G328" t="n">
        <x:v>46239.618911516205</x:v>
      </x:c>
      <x:c r="H328" t="n">
        <x:v>46226.269127604166</x:v>
      </x:c>
      <x:c r="I328" t="str">
        <x:v>Alarm Management System - AMS Machinery Manager PCFK</x:v>
      </x:c>
      <x:c r="J328" t="str">
        <x:v>Alarm Management System - AMS Machinery Manager PCFK created for PRIVATECLOUD project record</x:v>
      </x:c>
      <x:c r="K328" t="str">
        <x:v>partial</x:v>
      </x:c>
      <x:c r="L328"/>
      <x:c r="M328" t="str">
        <x:v>ridzuan.amajid@petronas.com</x:v>
      </x:c>
      <x:c r="N328"/>
      <x:c r="O328"/>
      <x:c r="P328" t="str">
        <x:v>To decom VM Name AMS-SERVER. This VM has been in power off mode since March 2025. Request is made by Ridzuan Majid.</x:v>
      </x:c>
      <x:c r="Q328" t="str">
        <x:v>12M</x:v>
      </x:c>
      <x:c r="R328" t="str">
        <x:v>Not in Used</x:v>
      </x:c>
      <x:c r="S328"/>
      <x:c r="T328" t="str">
        <x:v>approved</x:v>
      </x:c>
      <x:c r="U328" t="str">
        <x:v>ridzuan.amajid@petronas.com</x:v>
      </x:c>
      <x:c r="V328" t="n">
        <x:v>46226.269881643515</x:v>
      </x:c>
      <x:c r="W328" t="str">
        <x:v>To decom VM Name AMS-SERVER. This VM has been in power off mode since March 2025. Request is made by Ridzuan Majid.</x:v>
      </x:c>
      <x:c r="X328" t="str">
        <x:v>approved</x:v>
      </x:c>
      <x:c r="Y328" t="str">
        <x:v>ridzuan.amajid@petronas.com</x:v>
      </x:c>
      <x:c r="Z328" t="n">
        <x:v>46226.2700574537</x:v>
      </x:c>
      <x:c r="AA328" t="str">
        <x:v>To decom VM Name AMS-SERVER. This VM has been in power off mode since March 2025. Request is made by Ridzuan Majid.</x:v>
      </x:c>
      <x:c r="AB328" t="str">
        <x:v>approved</x:v>
      </x:c>
      <x:c r="AC328" t="str">
        <x:v>abhishek.bhowate@petronas.com</x:v>
      </x:c>
      <x:c r="AD328" t="n">
        <x:v>46239.61891153935</x:v>
      </x:c>
      <x:c r="AE328" t="str">
        <x:v>approved</x:v>
      </x:c>
      <x:c r="AF328"/>
      <x:c r="AG328" t="str">
        <x:v>amarja.kawade@petronas.com</x:v>
      </x:c>
      <x:c r="AH328"/>
      <x:c r="AI328"/>
      <x:c r="AJ328" t="str">
        <x:v>A-000052</x:v>
      </x:c>
      <x:c r="AK328" t="str">
        <x:v>10020_03</x:v>
      </x:c>
      <x:c r="AL328" t="str">
        <x:v>M</x:v>
      </x:c>
      <x:c r="AM328" t="str">
        <x:v>REQ000008222617</x:v>
      </x:c>
      <x:c r="AN328" t="str">
        <x:v>retention</x:v>
      </x:c>
      <x:c r="AO328" t="n">
        <x:v>1</x:v>
      </x:c>
      <x:c r="AP328" s="23" t="n">
        <x:f>IF(E328="processing",IF(Z328="","",IF(ISNUMBER(Z328),INT(Z328),DATE(VALUE(LEFT(Z328,4)),VALUE(MID(Z328,6,2)),VALUE(MID(Z328,9,2))))),IF(OR(E328="executing",E328="pending"),IF(AD328="","",IF(ISNUMBER(AD328),INT(AD328),DATE(VALUE(LEFT(AD328,4)),VALUE(MID(AD328,6,2)),VALUE(MID(AD328,9,2))))),""))</x:f>
        <x:v>46239</x:v>
      </x:c>
      <x:c r="AQ328" s="24" t="n">
        <x:f>IF(AP328="","",INT('Configuration'!$B$4)-AP328)</x:f>
        <x:v>12</x:v>
      </x:c>
      <x:c r="AR328" s="25" t="str">
        <x:f>IF(AP328="","Missing Required Date",IF(AQ328&lt;0,"Future Date",IF(AQ328=0,"0 days",IF(AQ328&lt;=2,"1-2 days",IF(AQ328&lt;=7,"3-7 days",IF(AQ328&lt;=14,"8-14 days",IF(AQ328&lt;=30,"15-30 days",IF(AQ328&lt;=60,"31-60 days",IF(AQ328&lt;=70,"61-70 days","71+ days")))))))))</x:f>
        <x:v>8-14 days</x:v>
      </x:c>
      <x:c r="AS328" s="25" t="str">
        <x:f>IF(OR(E328="processing",E328="executing",E328="pending"),IF(AP328="","Required aging date missing",IF(AQ328&gt;30,"Escalate &gt;30d",IF(AQ328&gt;14,"Watch &gt;14d","Within 14d"))),"Out of scope")</x:f>
        <x:v>Within 14d</x:v>
      </x:c>
    </x:row>
    <x:row r="329" ht="24" customHeight="1">
      <x:c r="A329" t="str">
        <x:v>9bc01dca-4582-415b-8986-3036db13d0a1</x:v>
      </x:c>
      <x:c r="B329" t="str">
        <x:v>CSSP10191098</x:v>
      </x:c>
      <x:c r="C329" t="str">
        <x:v>ridzuan.amajid@petronas.com</x:v>
      </x:c>
      <x:c r="D329" t="str">
        <x:v>decommission-cloud</x:v>
      </x:c>
      <x:c r="E329" t="str">
        <x:v>executing</x:v>
      </x:c>
      <x:c r="F329" t="n">
        <x:v>46226.29349476852</x:v>
      </x:c>
      <x:c r="G329" t="n">
        <x:v>46233.10394584491</x:v>
      </x:c>
      <x:c r="H329" t="n">
        <x:v>46226.29349478009</x:v>
      </x:c>
      <x:c r="I329" t="str">
        <x:v>PETRONAS Engineering Data Management System - P-EDMS PCASB</x:v>
      </x:c>
      <x:c r="J329" t="str">
        <x:v>PETRONAS Engineering Data Management System - P-EDMS PCASB created for PRIVATECLOUD project record</x:v>
      </x:c>
      <x:c r="K329" t="str">
        <x:v>partial</x:v>
      </x:c>
      <x:c r="L329"/>
      <x:c r="M329" t="str">
        <x:v>ridzuan.amajid@petronas.com</x:v>
      </x:c>
      <x:c r="N329"/>
      <x:c r="O329"/>
      <x:c r="P329" t="str">
        <x:v>To decom VM Name PASB1662D3D. This VM has been in power off mode since March 2025. Request is made by Ridzuan Majid.</x:v>
      </x:c>
      <x:c r="Q329" t="str">
        <x:v>12M</x:v>
      </x:c>
      <x:c r="R329" t="str">
        <x:v>Not in Used</x:v>
      </x:c>
      <x:c r="S329"/>
      <x:c r="T329" t="str">
        <x:v>approved</x:v>
      </x:c>
      <x:c r="U329" t="str">
        <x:v>ridzuan.amajid@petronas.com</x:v>
      </x:c>
      <x:c r="V329" t="n">
        <x:v>46226.297026631946</x:v>
      </x:c>
      <x:c r="W329" t="str">
        <x:v>To decom VM Name PASB1662D3D. This VM has been in power off mode since March 2025. Request is made by Ridzuan Majid.</x:v>
      </x:c>
      <x:c r="X329" t="str">
        <x:v>approved</x:v>
      </x:c>
      <x:c r="Y329" t="str">
        <x:v>ridzuan.amajid@petronas.com</x:v>
      </x:c>
      <x:c r="Z329" t="n">
        <x:v>46226.2973537037</x:v>
      </x:c>
      <x:c r="AA329" t="str">
        <x:v>To decom VM Name PASB1662D3D. This VM has been in power off mode since March 2025. Request is made by Ridzuan Majid.</x:v>
      </x:c>
      <x:c r="AB329" t="str">
        <x:v>approved</x:v>
      </x:c>
      <x:c r="AC329" t="str">
        <x:v>abhishek.bhowate@petronas.com</x:v>
      </x:c>
      <x:c r="AD329" t="n">
        <x:v>46233.103945856485</x:v>
      </x:c>
      <x:c r="AE329" t="str">
        <x:v>approve</x:v>
      </x:c>
      <x:c r="AF329"/>
      <x:c r="AG329" t="str">
        <x:v>swaminadh.chirakala@petronas.com</x:v>
      </x:c>
      <x:c r="AH329"/>
      <x:c r="AI329"/>
      <x:c r="AJ329" t="str">
        <x:v>A-000553</x:v>
      </x:c>
      <x:c r="AK329" t="n">
        <x:v>10224</x:v>
      </x:c>
      <x:c r="AL329" t="str">
        <x:v>M</x:v>
      </x:c>
      <x:c r="AM329" t="str">
        <x:v>REQ000008203312</x:v>
      </x:c>
      <x:c r="AN329" t="str">
        <x:v>retention</x:v>
      </x:c>
      <x:c r="AO329" t="n">
        <x:v>1</x:v>
      </x:c>
      <x:c r="AP329" s="23" t="n">
        <x:f>IF(E329="processing",IF(Z329="","",IF(ISNUMBER(Z329),INT(Z329),DATE(VALUE(LEFT(Z329,4)),VALUE(MID(Z329,6,2)),VALUE(MID(Z329,9,2))))),IF(OR(E329="executing",E329="pending"),IF(AD329="","",IF(ISNUMBER(AD329),INT(AD329),DATE(VALUE(LEFT(AD329,4)),VALUE(MID(AD329,6,2)),VALUE(MID(AD329,9,2))))),""))</x:f>
        <x:v>46233</x:v>
      </x:c>
      <x:c r="AQ329" s="24" t="n">
        <x:f>IF(AP329="","",INT('Configuration'!$B$4)-AP329)</x:f>
        <x:v>18</x:v>
      </x:c>
      <x:c r="AR329" s="25" t="str">
        <x:f>IF(AP329="","Missing Required Date",IF(AQ329&lt;0,"Future Date",IF(AQ329=0,"0 days",IF(AQ329&lt;=2,"1-2 days",IF(AQ329&lt;=7,"3-7 days",IF(AQ329&lt;=14,"8-14 days",IF(AQ329&lt;=30,"15-30 days",IF(AQ329&lt;=60,"31-60 days",IF(AQ329&lt;=70,"61-70 days","71+ days")))))))))</x:f>
        <x:v>15-30 days</x:v>
      </x:c>
      <x:c r="AS329" s="25" t="str">
        <x:f>IF(OR(E329="processing",E329="executing",E329="pending"),IF(AP329="","Required aging date missing",IF(AQ329&gt;30,"Escalate &gt;30d",IF(AQ329&gt;14,"Watch &gt;14d","Within 14d"))),"Out of scope")</x:f>
        <x:v>Watch &gt;14d</x:v>
      </x:c>
    </x:row>
    <x:row r="330" ht="24" customHeight="1">
      <x:c r="A330" t="str">
        <x:v>bdcede47-35ff-4613-83e4-de3b3146cf82</x:v>
      </x:c>
      <x:c r="B330" t="str">
        <x:v>CSSP10777447</x:v>
      </x:c>
      <x:c r="C330" t="str">
        <x:v>ridzuan.amajid@petronas.com</x:v>
      </x:c>
      <x:c r="D330" t="str">
        <x:v>decommission-cloud</x:v>
      </x:c>
      <x:c r="E330" t="str">
        <x:v>executing</x:v>
      </x:c>
      <x:c r="F330" t="n">
        <x:v>46226.29522496528</x:v>
      </x:c>
      <x:c r="G330" t="n">
        <x:v>46239.617916550924</x:v>
      </x:c>
      <x:c r="H330" t="n">
        <x:v>46226.29522496528</x:v>
      </x:c>
      <x:c r="I330" t="str">
        <x:v>Print Server PCGB</x:v>
      </x:c>
      <x:c r="J330" t="str">
        <x:v>Print Server PCGB created for PRIVATECLOUD project record</x:v>
      </x:c>
      <x:c r="K330" t="str">
        <x:v>partial</x:v>
      </x:c>
      <x:c r="L330"/>
      <x:c r="M330" t="str">
        <x:v>ridzuan.amajid@petronas.com</x:v>
      </x:c>
      <x:c r="N330"/>
      <x:c r="O330"/>
      <x:c r="P330" t="str">
        <x:v>To decom VM Name EAS166-INFPS-01. This VM has been in power off mode since March 2025. Request is made by Ridzuan Majid.</x:v>
      </x:c>
      <x:c r="Q330" t="str">
        <x:v>12M</x:v>
      </x:c>
      <x:c r="R330" t="str">
        <x:v>Not in Used</x:v>
      </x:c>
      <x:c r="S330"/>
      <x:c r="T330" t="str">
        <x:v>approved</x:v>
      </x:c>
      <x:c r="U330" t="str">
        <x:v>ridzuan.amajid@petronas.com</x:v>
      </x:c>
      <x:c r="V330" t="n">
        <x:v>46226.29762722222</x:v>
      </x:c>
      <x:c r="W330" t="str">
        <x:v>To decom VM Name EAS166-INFPS-01. This VM has been in power off mode since March 2025. Request is made by Ridzuan Majid.</x:v>
      </x:c>
      <x:c r="X330" t="str">
        <x:v>approved</x:v>
      </x:c>
      <x:c r="Y330" t="str">
        <x:v>ridzuan.amajid@petronas.com</x:v>
      </x:c>
      <x:c r="Z330" t="n">
        <x:v>46226.29808150463</x:v>
      </x:c>
      <x:c r="AA330" t="str">
        <x:v>To decom VM Name EAS166-INFPS-01. This VM has been in power off mode since March 2025. Request is made by Ridzuan Majid.</x:v>
      </x:c>
      <x:c r="AB330" t="str">
        <x:v>approved</x:v>
      </x:c>
      <x:c r="AC330" t="str">
        <x:v>abhishek.bhowate@petronas.com</x:v>
      </x:c>
      <x:c r="AD330" t="n">
        <x:v>46239.6179165625</x:v>
      </x:c>
      <x:c r="AE330" t="str">
        <x:v>approve</x:v>
      </x:c>
      <x:c r="AF330"/>
      <x:c r="AG330" t="str">
        <x:v>amarja.kawade@petronas.com</x:v>
      </x:c>
      <x:c r="AH330"/>
      <x:c r="AI330"/>
      <x:c r="AJ330" t="str">
        <x:v>A-000660</x:v>
      </x:c>
      <x:c r="AK330" t="str">
        <x:v>10161_01</x:v>
      </x:c>
      <x:c r="AL330" t="str">
        <x:v>M</x:v>
      </x:c>
      <x:c r="AM330" t="str">
        <x:v>REQ000008222177</x:v>
      </x:c>
      <x:c r="AN330" t="str">
        <x:v>retention</x:v>
      </x:c>
      <x:c r="AO330" t="n">
        <x:v>1</x:v>
      </x:c>
      <x:c r="AP330" s="23" t="n">
        <x:f>IF(E330="processing",IF(Z330="","",IF(ISNUMBER(Z330),INT(Z330),DATE(VALUE(LEFT(Z330,4)),VALUE(MID(Z330,6,2)),VALUE(MID(Z330,9,2))))),IF(OR(E330="executing",E330="pending"),IF(AD330="","",IF(ISNUMBER(AD330),INT(AD330),DATE(VALUE(LEFT(AD330,4)),VALUE(MID(AD330,6,2)),VALUE(MID(AD330,9,2))))),""))</x:f>
        <x:v>46239</x:v>
      </x:c>
      <x:c r="AQ330" s="24" t="n">
        <x:f>IF(AP330="","",INT('Configuration'!$B$4)-AP330)</x:f>
        <x:v>12</x:v>
      </x:c>
      <x:c r="AR330" s="25" t="str">
        <x:f>IF(AP330="","Missing Required Date",IF(AQ330&lt;0,"Future Date",IF(AQ330=0,"0 days",IF(AQ330&lt;=2,"1-2 days",IF(AQ330&lt;=7,"3-7 days",IF(AQ330&lt;=14,"8-14 days",IF(AQ330&lt;=30,"15-30 days",IF(AQ330&lt;=60,"31-60 days",IF(AQ330&lt;=70,"61-70 days","71+ days")))))))))</x:f>
        <x:v>8-14 days</x:v>
      </x:c>
      <x:c r="AS330" s="25" t="str">
        <x:f>IF(OR(E330="processing",E330="executing",E330="pending"),IF(AP330="","Required aging date missing",IF(AQ330&gt;30,"Escalate &gt;30d",IF(AQ330&gt;14,"Watch &gt;14d","Within 14d"))),"Out of scope")</x:f>
        <x:v>Within 14d</x:v>
      </x:c>
    </x:row>
    <x:row r="331" ht="24" customHeight="1">
      <x:c r="A331" t="str">
        <x:v>3d5af0a1-8e44-4af1-b2d2-07ebcea5a843</x:v>
      </x:c>
      <x:c r="B331" t="str">
        <x:v>CSSP10810098</x:v>
      </x:c>
      <x:c r="C331" t="str">
        <x:v>ridzuan.amajid@petronas.com</x:v>
      </x:c>
      <x:c r="D331" t="str">
        <x:v>decommission-cloud</x:v>
      </x:c>
      <x:c r="E331" t="str">
        <x:v>rejected</x:v>
      </x:c>
      <x:c r="F331" t="n">
        <x:v>46226.40467912037</x:v>
      </x:c>
      <x:c r="G331" t="n">
        <x:v>46244.08709327546</x:v>
      </x:c>
      <x:c r="H331" t="n">
        <x:v>46226.40467912037</x:v>
      </x:c>
      <x:c r="I331" t="str">
        <x:v>Enterprise Content Management System - ECMS CENTERA</x:v>
      </x:c>
      <x:c r="J331" t="str">
        <x:v>Enterprise Content Management System - ECMS CENTERA created for PRIVATECLOUD project record</x:v>
      </x:c>
      <x:c r="K331" t="str">
        <x:v>partial</x:v>
      </x:c>
      <x:c r="L331"/>
      <x:c r="M331" t="str">
        <x:v>ridzuan.amajid@petronas.com</x:v>
      </x:c>
      <x:c r="N331"/>
      <x:c r="O331"/>
      <x:c r="P331" t="str">
        <x:v>To decom VM Name vSKOPCSBECMAP01. This VM has been in power off mode since March 2025. Request is made by Ridzuan Majid.</x:v>
      </x:c>
      <x:c r="Q331" t="str">
        <x:v>12M</x:v>
      </x:c>
      <x:c r="R331" t="str">
        <x:v>Not in Used</x:v>
      </x:c>
      <x:c r="S331"/>
      <x:c r="T331" t="str">
        <x:v>approved</x:v>
      </x:c>
      <x:c r="U331" t="str">
        <x:v>ridzuan.amajid@petronas.com</x:v>
      </x:c>
      <x:c r="V331" t="n">
        <x:v>46226.40576391204</x:v>
      </x:c>
      <x:c r="W331" t="str">
        <x:v>To decom VM Name vSKOPCSBECMAP01. This VM has been in power off mode since March 2025. Request is made by Ridzuan Majid.</x:v>
      </x:c>
      <x:c r="X331" t="str">
        <x:v>approved</x:v>
      </x:c>
      <x:c r="Y331" t="str">
        <x:v>ridzuan.amajid@petronas.com</x:v>
      </x:c>
      <x:c r="Z331" t="n">
        <x:v>46226.406003344906</x:v>
      </x:c>
      <x:c r="AA331" t="str">
        <x:v>To decom VM Name vSKOPCSBECMAP01. This VM has been in power off mode since March 2025. Request is made by Ridzuan Majid.</x:v>
      </x:c>
      <x:c r="AB331" t="str">
        <x:v>rejected</x:v>
      </x:c>
      <x:c r="AC331" t="str">
        <x:v>samsuddin.jumbri@petronas.com</x:v>
      </x:c>
      <x:c r="AD331" t="n">
        <x:v>46244.08709327546</x:v>
      </x:c>
      <x:c r="AE331" t="str">
        <x:v>Requestor and Manager/Approver cannot be the same person. Please assign a different authorized approver and resubmit the request.</x:v>
      </x:c>
      <x:c r="AF331"/>
      <x:c r="AG331" t="str">
        <x:v>IMS - CLOUD CSSP EXECUTOR</x:v>
      </x:c>
      <x:c r="AH331"/>
      <x:c r="AI331"/>
      <x:c r="AJ331" t="str">
        <x:v>A-000261</x:v>
      </x:c>
      <x:c r="AK331" t="n">
        <x:v>10076</x:v>
      </x:c>
      <x:c r="AL331"/>
      <x:c r="AM331"/>
      <x:c r="AN331" t="str">
        <x:v>retention</x:v>
      </x:c>
      <x:c r="AO331" t="n">
        <x:v>1</x:v>
      </x:c>
      <x:c r="AP331" s="23" t="str">
        <x:f>IF(E331="processing",IF(Z331="","",IF(ISNUMBER(Z331),INT(Z331),DATE(VALUE(LEFT(Z331,4)),VALUE(MID(Z331,6,2)),VALUE(MID(Z331,9,2))))),IF(OR(E331="executing",E331="pending"),IF(AD331="","",IF(ISNUMBER(AD331),INT(AD331),DATE(VALUE(LEFT(AD331,4)),VALUE(MID(AD331,6,2)),VALUE(MID(AD331,9,2))))),""))</x:f>
      </x:c>
      <x:c r="AQ331" s="24" t="str">
        <x:f>IF(AP331="","",INT('Configuration'!$B$4)-AP331)</x:f>
      </x:c>
      <x:c r="AR331" s="25" t="str">
        <x:f>IF(AP331="","Missing Required Date",IF(AQ331&lt;0,"Future Date",IF(AQ331=0,"0 days",IF(AQ331&lt;=2,"1-2 days",IF(AQ331&lt;=7,"3-7 days",IF(AQ331&lt;=14,"8-14 days",IF(AQ331&lt;=30,"15-30 days",IF(AQ331&lt;=60,"31-60 days",IF(AQ331&lt;=70,"61-70 days","71+ days")))))))))</x:f>
        <x:v>Missing Required Date</x:v>
      </x:c>
      <x:c r="AS331" s="25" t="str">
        <x:f>IF(OR(E331="processing",E331="executing",E331="pending"),IF(AP331="","Required aging date missing",IF(AQ331&gt;30,"Escalate &gt;30d",IF(AQ331&gt;14,"Watch &gt;14d","Within 14d"))),"Out of scope")</x:f>
        <x:v>Out of scope</x:v>
      </x:c>
    </x:row>
    <x:row r="332" ht="24" customHeight="1">
      <x:c r="A332" t="str">
        <x:v>5a35cb7b-7bfc-489e-aa86-3c58d9824243</x:v>
      </x:c>
      <x:c r="B332" t="str">
        <x:v>CSSP10949785</x:v>
      </x:c>
      <x:c r="C332" t="str">
        <x:v>mzurfaiezzuddin.zur@petronas.com</x:v>
      </x:c>
      <x:c r="D332" t="str">
        <x:v>decommission-cloud</x:v>
      </x:c>
      <x:c r="E332" t="str">
        <x:v>executing</x:v>
      </x:c>
      <x:c r="F332" t="n">
        <x:v>46227.27499542824</x:v>
      </x:c>
      <x:c r="G332" t="n">
        <x:v>46231.203670787036</x:v>
      </x:c>
      <x:c r="H332" t="n">
        <x:v>46227.27499542824</x:v>
      </x:c>
      <x:c r="I332" t="str">
        <x:v>Jawatan Kuasa Zon Ekonomi Eksklusif - e-JKZEE</x:v>
      </x:c>
      <x:c r="J332" t="str">
        <x:v>Implementation of e-JKZEE (Jawatan Kuasa Zon Ekonomi Eksklusif) System for MPM</x:v>
      </x:c>
      <x:c r="K332" t="str">
        <x:v>partial</x:v>
      </x:c>
      <x:c r="L332"/>
      <x:c r="M332" t="str">
        <x:v>sazali.mokhtar@petronas.com</x:v>
      </x:c>
      <x:c r="N332"/>
      <x:c r="O332"/>
      <x:c r="P332" t="str">
        <x:v>Cloud Repatriation - To decommission old resources in Singapore region due to completed migration in MY region</x:v>
      </x:c>
      <x:c r="Q332" t="str">
        <x:v>2W</x:v>
      </x:c>
      <x:c r="R332" t="str">
        <x:v>Cloud Migration</x:v>
      </x:c>
      <x:c r="S332"/>
      <x:c r="T332" t="str">
        <x:v>approved</x:v>
      </x:c>
      <x:c r="U332" t="str">
        <x:v>mzurfaiezzuddin.zur@petronas.com</x:v>
      </x:c>
      <x:c r="V332" t="n">
        <x:v>46227.275602152775</x:v>
      </x:c>
      <x:c r="W332" t="str">
        <x:v>Cloud Repatriation - To decommission old resources in Singapore region due to completed migration in MY region</x:v>
      </x:c>
      <x:c r="X332" t="str">
        <x:v>approved</x:v>
      </x:c>
      <x:c r="Y332" t="str">
        <x:v>sazali.mokhtar@petronas.com</x:v>
      </x:c>
      <x:c r="Z332" t="n">
        <x:v>46230.11341295139</x:v>
      </x:c>
      <x:c r="AA332" t="str">
        <x:v>Cloud Repatriation – Decommissioning legacy resources hosted in the Singapore region</x:v>
      </x:c>
      <x:c r="AB332" t="str">
        <x:v>approved</x:v>
      </x:c>
      <x:c r="AC332" t="str">
        <x:v>abhishek.bhowate@petronas.com</x:v>
      </x:c>
      <x:c r="AD332" t="n">
        <x:v>46231.203670787036</x:v>
      </x:c>
      <x:c r="AE332" t="str">
        <x:v>Approve</x:v>
      </x:c>
      <x:c r="AF332"/>
      <x:c r="AG332" t="str">
        <x:v>swaminadh.chirakala@petronas.com</x:v>
      </x:c>
      <x:c r="AH332"/>
      <x:c r="AI332"/>
      <x:c r="AJ332" t="str">
        <x:v>A-000274</x:v>
      </x:c>
      <x:c r="AK332" t="str">
        <x:v>PSR05765</x:v>
      </x:c>
      <x:c r="AL332" t="str">
        <x:v>L</x:v>
      </x:c>
      <x:c r="AM332" t="str">
        <x:v>REQ000008198552</x:v>
      </x:c>
      <x:c r="AN332" t="str">
        <x:v>noretention</x:v>
      </x:c>
      <x:c r="AO332" t="n">
        <x:v>0</x:v>
      </x:c>
      <x:c r="AP332" s="23" t="n">
        <x:f>IF(E332="processing",IF(Z332="","",IF(ISNUMBER(Z332),INT(Z332),DATE(VALUE(LEFT(Z332,4)),VALUE(MID(Z332,6,2)),VALUE(MID(Z332,9,2))))),IF(OR(E332="executing",E332="pending"),IF(AD332="","",IF(ISNUMBER(AD332),INT(AD332),DATE(VALUE(LEFT(AD332,4)),VALUE(MID(AD332,6,2)),VALUE(MID(AD332,9,2))))),""))</x:f>
        <x:v>46231</x:v>
      </x:c>
      <x:c r="AQ332" s="24" t="n">
        <x:f>IF(AP332="","",INT('Configuration'!$B$4)-AP332)</x:f>
        <x:v>20</x:v>
      </x:c>
      <x:c r="AR332" s="25" t="str">
        <x:f>IF(AP332="","Missing Required Date",IF(AQ332&lt;0,"Future Date",IF(AQ332=0,"0 days",IF(AQ332&lt;=2,"1-2 days",IF(AQ332&lt;=7,"3-7 days",IF(AQ332&lt;=14,"8-14 days",IF(AQ332&lt;=30,"15-30 days",IF(AQ332&lt;=60,"31-60 days",IF(AQ332&lt;=70,"61-70 days","71+ days")))))))))</x:f>
        <x:v>15-30 days</x:v>
      </x:c>
      <x:c r="AS332" s="25" t="str">
        <x:f>IF(OR(E332="processing",E332="executing",E332="pending"),IF(AP332="","Required aging date missing",IF(AQ332&gt;30,"Escalate &gt;30d",IF(AQ332&gt;14,"Watch &gt;14d","Within 14d"))),"Out of scope")</x:f>
        <x:v>Watch &gt;14d</x:v>
      </x:c>
    </x:row>
    <x:row r="333" ht="24" customHeight="1">
      <x:c r="A333" t="str">
        <x:v>1452f521-a1f4-4a88-a796-4a052efcadf5</x:v>
      </x:c>
      <x:c r="B333" t="str">
        <x:v>CSSP10589613</x:v>
      </x:c>
      <x:c r="C333" t="str">
        <x:v>ahmadzafri.bahruddi@petronas.com</x:v>
      </x:c>
      <x:c r="D333" t="str">
        <x:v>decommission-cloud</x:v>
      </x:c>
      <x:c r="E333" t="str">
        <x:v>processing</x:v>
      </x:c>
      <x:c r="F333" t="n">
        <x:v>46227.31277561343</x:v>
      </x:c>
      <x:c r="G333" t="n">
        <x:v>46251.16684052083</x:v>
      </x:c>
      <x:c r="H333" t="n">
        <x:v>46227.31277561343</x:v>
      </x:c>
      <x:c r="I333" t="str">
        <x:v>Rystad Energy Auth Server</x:v>
      </x:c>
      <x:c r="J333" t="str">
        <x:v>Hosting of Rystad Energy Ucube and Database for Upstream Strategy &amp; Commercial</x:v>
      </x:c>
      <x:c r="K333" t="str">
        <x:v>partial</x:v>
      </x:c>
      <x:c r="L333"/>
      <x:c r="M333" t="str">
        <x:v>adelizafahrina.azaw@petronas.com.my</x:v>
      </x:c>
      <x:c r="N333"/>
      <x:c r="O333"/>
      <x:c r="P333" t="str">
        <x:v>Business have given the approval to decommision PCSB Cube</x:v>
      </x:c>
      <x:c r="Q333" t="str">
        <x:v>12M</x:v>
      </x:c>
      <x:c r="R333" t="str">
        <x:v>Obsolete</x:v>
      </x:c>
      <x:c r="S333"/>
      <x:c r="T333" t="str">
        <x:v>approved</x:v>
      </x:c>
      <x:c r="U333" t="str">
        <x:v>ahmadzafri.bahruddi@petronas.com</x:v>
      </x:c>
      <x:c r="V333" t="n">
        <x:v>46227.31698697917</x:v>
      </x:c>
      <x:c r="W333" t="str">
        <x:v>Resources has been confirmed with business and previous support foca</x:v>
      </x:c>
      <x:c r="X333" t="str">
        <x:v>approved</x:v>
      </x:c>
      <x:c r="Y333" t="str">
        <x:v>adelizafahrina.azaw@petronas.com</x:v>
      </x:c>
      <x:c r="Z333" t="n">
        <x:v>46248.14388081019</x:v>
      </x:c>
      <x:c r="AA333" t="str">
        <x:v>Approved</x:v>
      </x:c>
      <x:c r="AB333"/>
      <x:c r="AC333" t="str">
        <x:v>IMS - CLOUD CSSP REVIEWER</x:v>
      </x:c>
      <x:c r="AD333"/>
      <x:c r="AE333"/>
      <x:c r="AF333"/>
      <x:c r="AG333" t="str">
        <x:v>IMS - CLOUD CSSP EXECUTOR</x:v>
      </x:c>
      <x:c r="AH333"/>
      <x:c r="AI333"/>
      <x:c r="AJ333" t="str">
        <x:v>A-000705</x:v>
      </x:c>
      <x:c r="AK333" t="n">
        <x:v>955</x:v>
      </x:c>
      <x:c r="AL333" t="str">
        <x:v>L</x:v>
      </x:c>
      <x:c r="AM333"/>
      <x:c r="AN333" t="str">
        <x:v>retention</x:v>
      </x:c>
      <x:c r="AO333" t="n">
        <x:v>365</x:v>
      </x:c>
      <x:c r="AP333" s="23" t="n">
        <x:f>IF(E333="processing",IF(Z333="","",IF(ISNUMBER(Z333),INT(Z333),DATE(VALUE(LEFT(Z333,4)),VALUE(MID(Z333,6,2)),VALUE(MID(Z333,9,2))))),IF(OR(E333="executing",E333="pending"),IF(AD333="","",IF(ISNUMBER(AD333),INT(AD333),DATE(VALUE(LEFT(AD333,4)),VALUE(MID(AD333,6,2)),VALUE(MID(AD333,9,2))))),""))</x:f>
        <x:v>46248</x:v>
      </x:c>
      <x:c r="AQ333" s="24" t="n">
        <x:f>IF(AP333="","",INT('Configuration'!$B$4)-AP333)</x:f>
        <x:v>3</x:v>
      </x:c>
      <x:c r="AR333" s="25" t="str">
        <x:f>IF(AP333="","Missing Required Date",IF(AQ333&lt;0,"Future Date",IF(AQ333=0,"0 days",IF(AQ333&lt;=2,"1-2 days",IF(AQ333&lt;=7,"3-7 days",IF(AQ333&lt;=14,"8-14 days",IF(AQ333&lt;=30,"15-30 days",IF(AQ333&lt;=60,"31-60 days",IF(AQ333&lt;=70,"61-70 days","71+ days")))))))))</x:f>
        <x:v>3-7 days</x:v>
      </x:c>
      <x:c r="AS333" s="25" t="str">
        <x:f>IF(OR(E333="processing",E333="executing",E333="pending"),IF(AP333="","Required aging date missing",IF(AQ333&gt;30,"Escalate &gt;30d",IF(AQ333&gt;14,"Watch &gt;14d","Within 14d"))),"Out of scope")</x:f>
        <x:v>Within 14d</x:v>
      </x:c>
    </x:row>
    <x:row r="334" ht="24" customHeight="1">
      <x:c r="A334" t="str">
        <x:v>9ac20267-bcbb-4785-97ec-e29ff496dc4c</x:v>
      </x:c>
      <x:c r="B334" t="str">
        <x:v>CSSP10422617</x:v>
      </x:c>
      <x:c r="C334" t="str">
        <x:v>mkhairulazhar.jamil@petronas.com</x:v>
      </x:c>
      <x:c r="D334" t="str">
        <x:v>decommission-cloud</x:v>
      </x:c>
      <x:c r="E334" t="str">
        <x:v>pending</x:v>
      </x:c>
      <x:c r="F334" t="n">
        <x:v>46230.06922196759</x:v>
      </x:c>
      <x:c r="G334" t="n">
        <x:v>46230.170998912035</x:v>
      </x:c>
      <x:c r="H334" t="n">
        <x:v>46230.06922196759</x:v>
      </x:c>
      <x:c r="I334" t="str">
        <x:v>COMPASS</x:v>
      </x:c>
      <x:c r="J334" t="str">
        <x:v>COMPASS Phase 2</x:v>
      </x:c>
      <x:c r="K334" t="str">
        <x:v>partial</x:v>
      </x:c>
      <x:c r="L334"/>
      <x:c r="M334" t="str">
        <x:v>amirshazlan.mshah@petronas.com.my</x:v>
      </x:c>
      <x:c r="N334"/>
      <x:c r="O334"/>
      <x:c r="P334" t="str">
        <x:v>Azure Databricks has been provisioned, but it was not in used as team move into using VM. </x:v>
      </x:c>
      <x:c r="Q334" t="str">
        <x:v>2W</x:v>
      </x:c>
      <x:c r="R334" t="str">
        <x:v>Not in Used</x:v>
      </x:c>
      <x:c r="S334"/>
      <x:c r="T334" t="str">
        <x:v>approved</x:v>
      </x:c>
      <x:c r="U334" t="str">
        <x:v>amirshazlan.mshah@petronas.com</x:v>
      </x:c>
      <x:c r="V334" t="n">
        <x:v>46230.17099892361</x:v>
      </x:c>
      <x:c r="W334" t="str">
        <x:v>approved</x:v>
      </x:c>
      <x:c r="X334"/>
      <x:c r="Y334" t="str">
        <x:v>amirshazlan.mshah@petronas.com</x:v>
      </x:c>
      <x:c r="Z334"/>
      <x:c r="AA334"/>
      <x:c r="AB334"/>
      <x:c r="AC334" t="str">
        <x:v>CCoE SA</x:v>
      </x:c>
      <x:c r="AD334"/>
      <x:c r="AE334"/>
      <x:c r="AF334"/>
      <x:c r="AG334" t="str">
        <x:v>IMS - CLOUD CSSP EXECUTOR</x:v>
      </x:c>
      <x:c r="AH334"/>
      <x:c r="AI334"/>
      <x:c r="AJ334" t="str">
        <x:v>A-000124</x:v>
      </x:c>
      <x:c r="AK334" t="n">
        <x:v>1709</x:v>
      </x:c>
      <x:c r="AL334"/>
      <x:c r="AM334"/>
      <x:c r="AN334" t="str">
        <x:v>noretention</x:v>
      </x:c>
      <x:c r="AO334" t="n">
        <x:v>0</x:v>
      </x:c>
      <x:c r="AP334" s="23" t="str">
        <x:f>IF(E334="processing",IF(Z334="","",IF(ISNUMBER(Z334),INT(Z334),DATE(VALUE(LEFT(Z334,4)),VALUE(MID(Z334,6,2)),VALUE(MID(Z334,9,2))))),IF(OR(E334="executing",E334="pending"),IF(AD334="","",IF(ISNUMBER(AD334),INT(AD334),DATE(VALUE(LEFT(AD334,4)),VALUE(MID(AD334,6,2)),VALUE(MID(AD334,9,2))))),""))</x:f>
      </x:c>
      <x:c r="AQ334" s="24" t="str">
        <x:f>IF(AP334="","",INT('Configuration'!$B$4)-AP334)</x:f>
      </x:c>
      <x:c r="AR334" s="25" t="str">
        <x:f>IF(AP334="","Missing Required Date",IF(AQ334&lt;0,"Future Date",IF(AQ334=0,"0 days",IF(AQ334&lt;=2,"1-2 days",IF(AQ334&lt;=7,"3-7 days",IF(AQ334&lt;=14,"8-14 days",IF(AQ334&lt;=30,"15-30 days",IF(AQ334&lt;=60,"31-60 days",IF(AQ334&lt;=70,"61-70 days","71+ days")))))))))</x:f>
        <x:v>Missing Required Date</x:v>
      </x:c>
      <x:c r="AS334" s="25" t="str">
        <x:f>IF(OR(E334="processing",E334="executing",E334="pending"),IF(AP334="","Required aging date missing",IF(AQ334&gt;30,"Escalate &gt;30d",IF(AQ334&gt;14,"Watch &gt;14d","Within 14d"))),"Out of scope")</x:f>
        <x:v>Required aging date missing</x:v>
      </x:c>
    </x:row>
    <x:row r="335" ht="24" customHeight="1">
      <x:c r="A335" t="str">
        <x:v>7decf0a0-ad3d-48d1-9895-12328f387e2f</x:v>
      </x:c>
      <x:c r="B335" t="str">
        <x:v>CSSP10170528</x:v>
      </x:c>
      <x:c r="C335" t="str">
        <x:v>mzurfaiezzuddin.zur@petronas.com</x:v>
      </x:c>
      <x:c r="D335" t="str">
        <x:v>decommission-cloud</x:v>
      </x:c>
      <x:c r="E335" t="str">
        <x:v>executing</x:v>
      </x:c>
      <x:c r="F335" t="n">
        <x:v>46232.07162844908</x:v>
      </x:c>
      <x:c r="G335" t="n">
        <x:v>46246.65361068287</x:v>
      </x:c>
      <x:c r="H335" t="n">
        <x:v>46232.07162844908</x:v>
      </x:c>
      <x:c r="I335" t="str">
        <x:v>Plant Information - PI Hub Downstream</x:v>
      </x:c>
      <x:c r="J335" t="str">
        <x:v>CTP Old to New LZ - Enterprise PI Hub Downstream</x:v>
      </x:c>
      <x:c r="K335" t="str">
        <x:v>partial</x:v>
      </x:c>
      <x:c r="L335"/>
      <x:c r="M335" t="str">
        <x:v>sazali.mokhtar@petronas.com</x:v>
      </x:c>
      <x:c r="N335"/>
      <x:c r="O335"/>
      <x:c r="P335" t="str">
        <x:v>Cloud Repatriation - To decommission old resources in Singapore region due to completed migration in MY region</x:v>
      </x:c>
      <x:c r="Q335" t="str">
        <x:v>2W</x:v>
      </x:c>
      <x:c r="R335" t="str">
        <x:v>Cloud Migration</x:v>
      </x:c>
      <x:c r="S335"/>
      <x:c r="T335" t="str">
        <x:v>approved</x:v>
      </x:c>
      <x:c r="U335" t="str">
        <x:v>mzurfaiezzuddin.zur@petronas.com</x:v>
      </x:c>
      <x:c r="V335" t="n">
        <x:v>46232.07458032407</x:v>
      </x:c>
      <x:c r="W335" t="str">
        <x:v>Cloud Repatriation - To decommission old resources in Singapore region due to completed migration in MY region</x:v>
      </x:c>
      <x:c r="X335" t="str">
        <x:v>approved</x:v>
      </x:c>
      <x:c r="Y335" t="str">
        <x:v>sazali.mokhtar@petronas.com</x:v>
      </x:c>
      <x:c r="Z335" t="n">
        <x:v>46241.443700682874</x:v>
      </x:c>
      <x:c r="AA335" t="str">
        <x:v>Cloud Repatriation - To decommission old resources in Singapore region due to completed migration in MY region</x:v>
      </x:c>
      <x:c r="AB335" t="str">
        <x:v>approved</x:v>
      </x:c>
      <x:c r="AC335" t="str">
        <x:v>abhishek.bhowate@petronas.com</x:v>
      </x:c>
      <x:c r="AD335" t="n">
        <x:v>46246.65361069445</x:v>
      </x:c>
      <x:c r="AE335" t="str">
        <x:v>approve</x:v>
      </x:c>
      <x:c r="AF335"/>
      <x:c r="AG335" t="str">
        <x:v>mardiansyah.rayasa@petronas.com</x:v>
      </x:c>
      <x:c r="AH335"/>
      <x:c r="AI335"/>
      <x:c r="AJ335" t="str">
        <x:v>A-000571</x:v>
      </x:c>
      <x:c r="AK335" t="str">
        <x:v>02421_70</x:v>
      </x:c>
      <x:c r="AL335" t="str">
        <x:v>L</x:v>
      </x:c>
      <x:c r="AM335" t="str">
        <x:v>REQ000008238289</x:v>
      </x:c>
      <x:c r="AN335" t="str">
        <x:v>noretention</x:v>
      </x:c>
      <x:c r="AO335" t="n">
        <x:v>0</x:v>
      </x:c>
      <x:c r="AP335" s="23" t="n">
        <x:f>IF(E335="processing",IF(Z335="","",IF(ISNUMBER(Z335),INT(Z335),DATE(VALUE(LEFT(Z335,4)),VALUE(MID(Z335,6,2)),VALUE(MID(Z335,9,2))))),IF(OR(E335="executing",E335="pending"),IF(AD335="","",IF(ISNUMBER(AD335),INT(AD335),DATE(VALUE(LEFT(AD335,4)),VALUE(MID(AD335,6,2)),VALUE(MID(AD335,9,2))))),""))</x:f>
        <x:v>46246</x:v>
      </x:c>
      <x:c r="AQ335" s="24" t="n">
        <x:f>IF(AP335="","",INT('Configuration'!$B$4)-AP335)</x:f>
        <x:v>5</x:v>
      </x:c>
      <x:c r="AR335" s="25" t="str">
        <x:f>IF(AP335="","Missing Required Date",IF(AQ335&lt;0,"Future Date",IF(AQ335=0,"0 days",IF(AQ335&lt;=2,"1-2 days",IF(AQ335&lt;=7,"3-7 days",IF(AQ335&lt;=14,"8-14 days",IF(AQ335&lt;=30,"15-30 days",IF(AQ335&lt;=60,"31-60 days",IF(AQ335&lt;=70,"61-70 days","71+ days")))))))))</x:f>
        <x:v>3-7 days</x:v>
      </x:c>
      <x:c r="AS335" s="25" t="str">
        <x:f>IF(OR(E335="processing",E335="executing",E335="pending"),IF(AP335="","Required aging date missing",IF(AQ335&gt;30,"Escalate &gt;30d",IF(AQ335&gt;14,"Watch &gt;14d","Within 14d"))),"Out of scope")</x:f>
        <x:v>Within 14d</x:v>
      </x:c>
    </x:row>
    <x:row r="336" ht="24" customHeight="1">
      <x:c r="A336" t="str">
        <x:v>8a4abd3a-f484-48dd-b87e-cb714b7da1ed</x:v>
      </x:c>
      <x:c r="B336" t="str">
        <x:v>CSSP10844488</x:v>
      </x:c>
      <x:c r="C336" t="str">
        <x:v>mzurfaiezzuddin.zur@petronas.com</x:v>
      </x:c>
      <x:c r="D336" t="str">
        <x:v>decommission-cloud</x:v>
      </x:c>
      <x:c r="E336" t="str">
        <x:v>executing</x:v>
      </x:c>
      <x:c r="F336" t="n">
        <x:v>46232.076016087965</x:v>
      </x:c>
      <x:c r="G336" t="n">
        <x:v>46246.6532690625</x:v>
      </x:c>
      <x:c r="H336" t="n">
        <x:v>46232.076016087965</x:v>
      </x:c>
      <x:c r="I336" t="str">
        <x:v>Plant Information - PI Enterprise</x:v>
      </x:c>
      <x:c r="J336" t="str">
        <x:v>CTP Old to New LZ - PI Enterprise</x:v>
      </x:c>
      <x:c r="K336" t="str">
        <x:v>partial</x:v>
      </x:c>
      <x:c r="L336"/>
      <x:c r="M336" t="str">
        <x:v>sazali.mokhtar@petronas.com</x:v>
      </x:c>
      <x:c r="N336"/>
      <x:c r="O336"/>
      <x:c r="P336" t="str">
        <x:v>Cloud Repatriation - To decommission old resources in Singapore region due to completed migration in MY region</x:v>
      </x:c>
      <x:c r="Q336" t="str">
        <x:v>2W</x:v>
      </x:c>
      <x:c r="R336" t="str">
        <x:v>Cloud Migration</x:v>
      </x:c>
      <x:c r="S336"/>
      <x:c r="T336" t="str">
        <x:v>approved</x:v>
      </x:c>
      <x:c r="U336" t="str">
        <x:v>mzurfaiezzuddin.zur@petronas.com</x:v>
      </x:c>
      <x:c r="V336" t="n">
        <x:v>46232.07713212963</x:v>
      </x:c>
      <x:c r="W336" t="str">
        <x:v>Cloud Repatriation - To decommission old resources in Singapore region due to completed migration in MY region</x:v>
      </x:c>
      <x:c r="X336" t="str">
        <x:v>approved</x:v>
      </x:c>
      <x:c r="Y336" t="str">
        <x:v>sazali.mokhtar@petronas.com</x:v>
      </x:c>
      <x:c r="Z336" t="n">
        <x:v>46241.44485513889</x:v>
      </x:c>
      <x:c r="AA336" t="str">
        <x:v>Cloud Repatriation - To decommission old resources in Singapore region due to completed migration in MY region</x:v>
      </x:c>
      <x:c r="AB336" t="str">
        <x:v>approved</x:v>
      </x:c>
      <x:c r="AC336" t="str">
        <x:v>abhishek.bhowate@petronas.com</x:v>
      </x:c>
      <x:c r="AD336" t="n">
        <x:v>46246.65326908565</x:v>
      </x:c>
      <x:c r="AE336" t="str">
        <x:v>Approve</x:v>
      </x:c>
      <x:c r="AF336"/>
      <x:c r="AG336" t="str">
        <x:v>mardiansyah.rayasa@petronas.com</x:v>
      </x:c>
      <x:c r="AH336"/>
      <x:c r="AI336"/>
      <x:c r="AJ336" t="str">
        <x:v>A-000568</x:v>
      </x:c>
      <x:c r="AK336" t="str">
        <x:v>02421_71</x:v>
      </x:c>
      <x:c r="AL336" t="str">
        <x:v>L</x:v>
      </x:c>
      <x:c r="AM336" t="str">
        <x:v>REQ000008237800</x:v>
      </x:c>
      <x:c r="AN336" t="str">
        <x:v>noretention</x:v>
      </x:c>
      <x:c r="AO336" t="n">
        <x:v>0</x:v>
      </x:c>
      <x:c r="AP336" s="23" t="n">
        <x:f>IF(E336="processing",IF(Z336="","",IF(ISNUMBER(Z336),INT(Z336),DATE(VALUE(LEFT(Z336,4)),VALUE(MID(Z336,6,2)),VALUE(MID(Z336,9,2))))),IF(OR(E336="executing",E336="pending"),IF(AD336="","",IF(ISNUMBER(AD336),INT(AD336),DATE(VALUE(LEFT(AD336,4)),VALUE(MID(AD336,6,2)),VALUE(MID(AD336,9,2))))),""))</x:f>
        <x:v>46246</x:v>
      </x:c>
      <x:c r="AQ336" s="24" t="n">
        <x:f>IF(AP336="","",INT('Configuration'!$B$4)-AP336)</x:f>
        <x:v>5</x:v>
      </x:c>
      <x:c r="AR336" s="25" t="str">
        <x:f>IF(AP336="","Missing Required Date",IF(AQ336&lt;0,"Future Date",IF(AQ336=0,"0 days",IF(AQ336&lt;=2,"1-2 days",IF(AQ336&lt;=7,"3-7 days",IF(AQ336&lt;=14,"8-14 days",IF(AQ336&lt;=30,"15-30 days",IF(AQ336&lt;=60,"31-60 days",IF(AQ336&lt;=70,"61-70 days","71+ days")))))))))</x:f>
        <x:v>3-7 days</x:v>
      </x:c>
      <x:c r="AS336" s="25" t="str">
        <x:f>IF(OR(E336="processing",E336="executing",E336="pending"),IF(AP336="","Required aging date missing",IF(AQ336&gt;30,"Escalate &gt;30d",IF(AQ336&gt;14,"Watch &gt;14d","Within 14d"))),"Out of scope")</x:f>
        <x:v>Within 14d</x:v>
      </x:c>
    </x:row>
    <x:row r="337" ht="24" customHeight="1">
      <x:c r="A337" t="str">
        <x:v>47f07a4d-95d5-4265-854f-92822aa4505c</x:v>
      </x:c>
      <x:c r="B337" t="str">
        <x:v>CSSP10588883</x:v>
      </x:c>
      <x:c r="C337" t="str">
        <x:v>mzurfaiezzuddin.zur@petronas.com</x:v>
      </x:c>
      <x:c r="D337" t="str">
        <x:v>decommission-cloud</x:v>
      </x:c>
      <x:c r="E337" t="str">
        <x:v>processing</x:v>
      </x:c>
      <x:c r="F337" t="n">
        <x:v>46233.109634340275</x:v>
      </x:c>
      <x:c r="G337" t="n">
        <x:v>46251.16752747685</x:v>
      </x:c>
      <x:c r="H337" t="n">
        <x:v>46233.109634340275</x:v>
      </x:c>
      <x:c r="I337" t="str">
        <x:v>Falcon</x:v>
      </x:c>
      <x:c r="J337" t="str">
        <x:v>Implementation of Falcon - Engineering Visual Analytics Program (Work Package 1) - Requirements Gathering, High Level Design, and Data Gathering for GTS</x:v>
      </x:c>
      <x:c r="K337" t="str">
        <x:v>partial</x:v>
      </x:c>
      <x:c r="L337"/>
      <x:c r="M337" t="str">
        <x:v>sazali.mokhtar@petronas.com</x:v>
      </x:c>
      <x:c r="N337"/>
      <x:c r="O337"/>
      <x:c r="P337" t="str">
        <x:v>Cloud Repatriation - To decommission old resources in Singapore region due to completed migration in MY region</x:v>
      </x:c>
      <x:c r="Q337" t="str">
        <x:v>2W</x:v>
      </x:c>
      <x:c r="R337" t="str">
        <x:v>Cloud Migration</x:v>
      </x:c>
      <x:c r="S337"/>
      <x:c r="T337" t="str">
        <x:v>approved</x:v>
      </x:c>
      <x:c r="U337" t="str">
        <x:v>mzurfaiezzuddin.zur@petronas.com</x:v>
      </x:c>
      <x:c r="V337" t="n">
        <x:v>46233.11143287037</x:v>
      </x:c>
      <x:c r="W337" t="str">
        <x:v>Cloud Repatriation - To decommission old resources in Singapore region due to completed migration in MY region</x:v>
      </x:c>
      <x:c r="X337" t="str">
        <x:v>approved</x:v>
      </x:c>
      <x:c r="Y337" t="str">
        <x:v>sazali.mokhtar@petronas.com</x:v>
      </x:c>
      <x:c r="Z337" t="n">
        <x:v>46247.38331707176</x:v>
      </x:c>
      <x:c r="AA337" t="str">
        <x:v>Cloud Repatriation - To decommission old resources in Singapore region due to completed migration in MY region</x:v>
      </x:c>
      <x:c r="AB337"/>
      <x:c r="AC337" t="str">
        <x:v>IMS - CLOUD CSSP REVIEWER</x:v>
      </x:c>
      <x:c r="AD337"/>
      <x:c r="AE337"/>
      <x:c r="AF337"/>
      <x:c r="AG337" t="str">
        <x:v>IMS - CLOUD CSSP EXECUTOR</x:v>
      </x:c>
      <x:c r="AH337"/>
      <x:c r="AI337"/>
      <x:c r="AJ337" t="str">
        <x:v>A-000314</x:v>
      </x:c>
      <x:c r="AK337" t="n">
        <x:v>2687</x:v>
      </x:c>
      <x:c r="AL337" t="str">
        <x:v>L</x:v>
      </x:c>
      <x:c r="AM337"/>
      <x:c r="AN337" t="str">
        <x:v>noretention</x:v>
      </x:c>
      <x:c r="AO337" t="n">
        <x:v>0</x:v>
      </x:c>
      <x:c r="AP337" s="23" t="n">
        <x:f>IF(E337="processing",IF(Z337="","",IF(ISNUMBER(Z337),INT(Z337),DATE(VALUE(LEFT(Z337,4)),VALUE(MID(Z337,6,2)),VALUE(MID(Z337,9,2))))),IF(OR(E337="executing",E337="pending"),IF(AD337="","",IF(ISNUMBER(AD337),INT(AD337),DATE(VALUE(LEFT(AD337,4)),VALUE(MID(AD337,6,2)),VALUE(MID(AD337,9,2))))),""))</x:f>
        <x:v>46247</x:v>
      </x:c>
      <x:c r="AQ337" s="24" t="n">
        <x:f>IF(AP337="","",INT('Configuration'!$B$4)-AP337)</x:f>
        <x:v>4</x:v>
      </x:c>
      <x:c r="AR337" s="25" t="str">
        <x:f>IF(AP337="","Missing Required Date",IF(AQ337&lt;0,"Future Date",IF(AQ337=0,"0 days",IF(AQ337&lt;=2,"1-2 days",IF(AQ337&lt;=7,"3-7 days",IF(AQ337&lt;=14,"8-14 days",IF(AQ337&lt;=30,"15-30 days",IF(AQ337&lt;=60,"31-60 days",IF(AQ337&lt;=70,"61-70 days","71+ days")))))))))</x:f>
        <x:v>3-7 days</x:v>
      </x:c>
      <x:c r="AS337" s="25" t="str">
        <x:f>IF(OR(E337="processing",E337="executing",E337="pending"),IF(AP337="","Required aging date missing",IF(AQ337&gt;30,"Escalate &gt;30d",IF(AQ337&gt;14,"Watch &gt;14d","Within 14d"))),"Out of scope")</x:f>
        <x:v>Within 14d</x:v>
      </x:c>
    </x:row>
    <x:row r="338" ht="24" customHeight="1">
      <x:c r="A338" t="str">
        <x:v>243340e7-7422-4362-803c-90ecd62c94d4</x:v>
      </x:c>
      <x:c r="B338" t="str">
        <x:v>CSSP10733928</x:v>
      </x:c>
      <x:c r="C338" t="str">
        <x:v>mzurfaiezzuddin.zur@petronas.com</x:v>
      </x:c>
      <x:c r="D338" t="str">
        <x:v>decommission-cloud</x:v>
      </x:c>
      <x:c r="E338" t="str">
        <x:v>executing</x:v>
      </x:c>
      <x:c r="F338" t="n">
        <x:v>46233.10967457176</x:v>
      </x:c>
      <x:c r="G338" t="n">
        <x:v>46246.652488252315</x:v>
      </x:c>
      <x:c r="H338" t="n">
        <x:v>46233.10967457176</x:v>
      </x:c>
      <x:c r="I338" t="str">
        <x:v>Falcon</x:v>
      </x:c>
      <x:c r="J338" t="str">
        <x:v>Implementation of Falcon – Engineering Visual Analytics Program Phase 2 for Nervcentre</x:v>
      </x:c>
      <x:c r="K338" t="str">
        <x:v>partial</x:v>
      </x:c>
      <x:c r="L338"/>
      <x:c r="M338" t="str">
        <x:v>sazali.mokhtar@petronas.com</x:v>
      </x:c>
      <x:c r="N338"/>
      <x:c r="O338"/>
      <x:c r="P338" t="str">
        <x:v>Cloud Repatriation - To decommission old resources in Singapore region due to completed migration in MY region</x:v>
      </x:c>
      <x:c r="Q338" t="str">
        <x:v>2W</x:v>
      </x:c>
      <x:c r="R338" t="str">
        <x:v>Cloud Migration</x:v>
      </x:c>
      <x:c r="S338"/>
      <x:c r="T338" t="str">
        <x:v>approved</x:v>
      </x:c>
      <x:c r="U338" t="str">
        <x:v>mzurfaiezzuddin.zur@petronas.com</x:v>
      </x:c>
      <x:c r="V338" t="n">
        <x:v>46233.11052648148</x:v>
      </x:c>
      <x:c r="W338" t="str">
        <x:v>Cloud Repatriation - To decommission old resources in Singapore region due to completed migration in MY region</x:v>
      </x:c>
      <x:c r="X338" t="str">
        <x:v>approved</x:v>
      </x:c>
      <x:c r="Y338" t="str">
        <x:v>sazali.mokhtar@petronas.com</x:v>
      </x:c>
      <x:c r="Z338" t="n">
        <x:v>46241.444319849536</x:v>
      </x:c>
      <x:c r="AA338" t="str">
        <x:v>Cloud Repatriation - To decommission old resources in Singapore region due to completed migration in MY region</x:v>
      </x:c>
      <x:c r="AB338" t="str">
        <x:v>approved</x:v>
      </x:c>
      <x:c r="AC338" t="str">
        <x:v>abhishek.bhowate@petronas.com</x:v>
      </x:c>
      <x:c r="AD338" t="n">
        <x:v>46246.65248827546</x:v>
      </x:c>
      <x:c r="AE338" t="str">
        <x:v>Approve</x:v>
      </x:c>
      <x:c r="AF338"/>
      <x:c r="AG338" t="str">
        <x:v>amarja.kawade@petronas.com</x:v>
      </x:c>
      <x:c r="AH338"/>
      <x:c r="AI338"/>
      <x:c r="AJ338" t="str">
        <x:v>A-000314</x:v>
      </x:c>
      <x:c r="AK338" t="n">
        <x:v>3349</x:v>
      </x:c>
      <x:c r="AL338" t="str">
        <x:v>M</x:v>
      </x:c>
      <x:c r="AM338" t="str">
        <x:v>REQ000008237799</x:v>
      </x:c>
      <x:c r="AN338" t="str">
        <x:v>noretention</x:v>
      </x:c>
      <x:c r="AO338" t="n">
        <x:v>0</x:v>
      </x:c>
      <x:c r="AP338" s="23" t="n">
        <x:f>IF(E338="processing",IF(Z338="","",IF(ISNUMBER(Z338),INT(Z338),DATE(VALUE(LEFT(Z338,4)),VALUE(MID(Z338,6,2)),VALUE(MID(Z338,9,2))))),IF(OR(E338="executing",E338="pending"),IF(AD338="","",IF(ISNUMBER(AD338),INT(AD338),DATE(VALUE(LEFT(AD338,4)),VALUE(MID(AD338,6,2)),VALUE(MID(AD338,9,2))))),""))</x:f>
        <x:v>46246</x:v>
      </x:c>
      <x:c r="AQ338" s="24" t="n">
        <x:f>IF(AP338="","",INT('Configuration'!$B$4)-AP338)</x:f>
        <x:v>5</x:v>
      </x:c>
      <x:c r="AR338" s="25" t="str">
        <x:f>IF(AP338="","Missing Required Date",IF(AQ338&lt;0,"Future Date",IF(AQ338=0,"0 days",IF(AQ338&lt;=2,"1-2 days",IF(AQ338&lt;=7,"3-7 days",IF(AQ338&lt;=14,"8-14 days",IF(AQ338&lt;=30,"15-30 days",IF(AQ338&lt;=60,"31-60 days",IF(AQ338&lt;=70,"61-70 days","71+ days")))))))))</x:f>
        <x:v>3-7 days</x:v>
      </x:c>
      <x:c r="AS338" s="25" t="str">
        <x:f>IF(OR(E338="processing",E338="executing",E338="pending"),IF(AP338="","Required aging date missing",IF(AQ338&gt;30,"Escalate &gt;30d",IF(AQ338&gt;14,"Watch &gt;14d","Within 14d"))),"Out of scope")</x:f>
        <x:v>Within 14d</x:v>
      </x:c>
    </x:row>
    <x:row r="339" ht="24" customHeight="1">
      <x:c r="A339" t="str">
        <x:v>513c82f5-26a7-4efa-937e-d7e39d1d64b8</x:v>
      </x:c>
      <x:c r="B339" t="str">
        <x:v>CSSP10186192</x:v>
      </x:c>
      <x:c r="C339" t="str">
        <x:v>mzurfaiezzuddin.zur@petronas.com</x:v>
      </x:c>
      <x:c r="D339" t="str">
        <x:v>decommission-cloud</x:v>
      </x:c>
      <x:c r="E339" t="str">
        <x:v>executing</x:v>
      </x:c>
      <x:c r="F339" t="n">
        <x:v>46233.109707407406</x:v>
      </x:c>
      <x:c r="G339" t="n">
        <x:v>46246.65208461806</x:v>
      </x:c>
      <x:c r="H339" t="n">
        <x:v>46233.109707407406</x:v>
      </x:c>
      <x:c r="I339" t="str">
        <x:v>Falcon</x:v>
      </x:c>
      <x:c r="J339" t="str">
        <x:v>FALCON for CORIMS Image Analytics (IA) for Composite Repair Module for GTS</x:v>
      </x:c>
      <x:c r="K339" t="str">
        <x:v>partial</x:v>
      </x:c>
      <x:c r="L339"/>
      <x:c r="M339" t="str">
        <x:v>sazali.mokhtar@petronas.com</x:v>
      </x:c>
      <x:c r="N339"/>
      <x:c r="O339"/>
      <x:c r="P339" t="str">
        <x:v>Cloud Repatriation - To decommission old resources in Singapore region due to completed migration in MY region</x:v>
      </x:c>
      <x:c r="Q339" t="str">
        <x:v>2W</x:v>
      </x:c>
      <x:c r="R339" t="str">
        <x:v>Cloud Migration</x:v>
      </x:c>
      <x:c r="S339"/>
      <x:c r="T339" t="str">
        <x:v>approved</x:v>
      </x:c>
      <x:c r="U339" t="str">
        <x:v>mzurfaiezzuddin.zur@petronas.com</x:v>
      </x:c>
      <x:c r="V339" t="n">
        <x:v>46233.11043341435</x:v>
      </x:c>
      <x:c r="W339" t="str">
        <x:v>Cloud Repatriation - To decommission old resources in Singapore region due to completed migration in MY region</x:v>
      </x:c>
      <x:c r="X339" t="str">
        <x:v>approved</x:v>
      </x:c>
      <x:c r="Y339" t="str">
        <x:v>sazali.mokhtar@petronas.com</x:v>
      </x:c>
      <x:c r="Z339" t="n">
        <x:v>46241.44312487268</x:v>
      </x:c>
      <x:c r="AA339" t="str">
        <x:v>Cloud Repatriation - To decommission old resources in Singapore region due to completed migration in MY region</x:v>
      </x:c>
      <x:c r="AB339" t="str">
        <x:v>approved</x:v>
      </x:c>
      <x:c r="AC339" t="str">
        <x:v>abhishek.bhowate@petronas.com</x:v>
      </x:c>
      <x:c r="AD339" t="n">
        <x:v>46246.6520846412</x:v>
      </x:c>
      <x:c r="AE339" t="str">
        <x:v>approve</x:v>
      </x:c>
      <x:c r="AF339"/>
      <x:c r="AG339" t="str">
        <x:v>amarja.kawade@petronas.com</x:v>
      </x:c>
      <x:c r="AH339"/>
      <x:c r="AI339"/>
      <x:c r="AJ339" t="str">
        <x:v>A-000314</x:v>
      </x:c>
      <x:c r="AK339" t="n">
        <x:v>4271</x:v>
      </x:c>
      <x:c r="AL339" t="str">
        <x:v>M</x:v>
      </x:c>
      <x:c r="AM339" t="str">
        <x:v>REQ000008237798</x:v>
      </x:c>
      <x:c r="AN339" t="str">
        <x:v>noretention</x:v>
      </x:c>
      <x:c r="AO339" t="n">
        <x:v>0</x:v>
      </x:c>
      <x:c r="AP339" s="23" t="n">
        <x:f>IF(E339="processing",IF(Z339="","",IF(ISNUMBER(Z339),INT(Z339),DATE(VALUE(LEFT(Z339,4)),VALUE(MID(Z339,6,2)),VALUE(MID(Z339,9,2))))),IF(OR(E339="executing",E339="pending"),IF(AD339="","",IF(ISNUMBER(AD339),INT(AD339),DATE(VALUE(LEFT(AD339,4)),VALUE(MID(AD339,6,2)),VALUE(MID(AD339,9,2))))),""))</x:f>
        <x:v>46246</x:v>
      </x:c>
      <x:c r="AQ339" s="24" t="n">
        <x:f>IF(AP339="","",INT('Configuration'!$B$4)-AP339)</x:f>
        <x:v>5</x:v>
      </x:c>
      <x:c r="AR339" s="25" t="str">
        <x:f>IF(AP339="","Missing Required Date",IF(AQ339&lt;0,"Future Date",IF(AQ339=0,"0 days",IF(AQ339&lt;=2,"1-2 days",IF(AQ339&lt;=7,"3-7 days",IF(AQ339&lt;=14,"8-14 days",IF(AQ339&lt;=30,"15-30 days",IF(AQ339&lt;=60,"31-60 days",IF(AQ339&lt;=70,"61-70 days","71+ days")))))))))</x:f>
        <x:v>3-7 days</x:v>
      </x:c>
      <x:c r="AS339" s="25" t="str">
        <x:f>IF(OR(E339="processing",E339="executing",E339="pending"),IF(AP339="","Required aging date missing",IF(AQ339&gt;30,"Escalate &gt;30d",IF(AQ339&gt;14,"Watch &gt;14d","Within 14d"))),"Out of scope")</x:f>
        <x:v>Within 14d</x:v>
      </x:c>
    </x:row>
    <x:row r="340" ht="24" customHeight="1">
      <x:c r="A340" t="str">
        <x:v>a4150916-57c2-444d-9ef2-2094034d2308</x:v>
      </x:c>
      <x:c r="B340" t="str">
        <x:v>CSSP10746310</x:v>
      </x:c>
      <x:c r="C340" t="str">
        <x:v>mzurfaiezzuddin.zur@petronas.com</x:v>
      </x:c>
      <x:c r="D340" t="str">
        <x:v>decommission-cloud</x:v>
      </x:c>
      <x:c r="E340" t="str">
        <x:v>executing</x:v>
      </x:c>
      <x:c r="F340" t="n">
        <x:v>46234.05614165509</x:v>
      </x:c>
      <x:c r="G340" t="n">
        <x:v>46246.65098673611</x:v>
      </x:c>
      <x:c r="H340" t="n">
        <x:v>46234.05614165509</x:v>
      </x:c>
      <x:c r="I340" t="str">
        <x:v>Plant Information - PI PCMSB</x:v>
      </x:c>
      <x:c r="J340" t="str">
        <x:v>Cloud Migration Program - PI PCMSB</x:v>
      </x:c>
      <x:c r="K340" t="str">
        <x:v>partial</x:v>
      </x:c>
      <x:c r="L340"/>
      <x:c r="M340" t="str">
        <x:v>sazali.mokhtar@petronas.com</x:v>
      </x:c>
      <x:c r="N340"/>
      <x:c r="O340"/>
      <x:c r="P340" t="str">
        <x:v>Cloud Repatriation - To decommission old resources in Singapore region due to completed migration in MY region</x:v>
      </x:c>
      <x:c r="Q340" t="str">
        <x:v>2W</x:v>
      </x:c>
      <x:c r="R340" t="str">
        <x:v>Cloud Migration</x:v>
      </x:c>
      <x:c r="S340"/>
      <x:c r="T340" t="str">
        <x:v>approved</x:v>
      </x:c>
      <x:c r="U340" t="str">
        <x:v>mzurfaiezzuddin.zur@petronas.com</x:v>
      </x:c>
      <x:c r="V340" t="n">
        <x:v>46234.05729587963</x:v>
      </x:c>
      <x:c r="W340" t="str">
        <x:v>Cloud Repatriation - To decommission old resources in Singapore region due to completed migration in MY region</x:v>
      </x:c>
      <x:c r="X340" t="str">
        <x:v>approved</x:v>
      </x:c>
      <x:c r="Y340" t="str">
        <x:v>sazali.mokhtar@petronas.com</x:v>
      </x:c>
      <x:c r="Z340" t="n">
        <x:v>46241.44280997685</x:v>
      </x:c>
      <x:c r="AA340" t="str">
        <x:v>Cloud Repatriation - To decommission old resources in Singapore region due to completed migration in MY region</x:v>
      </x:c>
      <x:c r="AB340" t="str">
        <x:v>approved</x:v>
      </x:c>
      <x:c r="AC340" t="str">
        <x:v>abhishek.bhowate@petronas.com</x:v>
      </x:c>
      <x:c r="AD340" t="n">
        <x:v>46246.65098673611</x:v>
      </x:c>
      <x:c r="AE340" t="str">
        <x:v>approve</x:v>
      </x:c>
      <x:c r="AF340"/>
      <x:c r="AG340" t="str">
        <x:v>amarja.kawade@petronas.com</x:v>
      </x:c>
      <x:c r="AH340"/>
      <x:c r="AI340"/>
      <x:c r="AJ340" t="str">
        <x:v>A-000586</x:v>
      </x:c>
      <x:c r="AK340" t="str">
        <x:v>02421_57</x:v>
      </x:c>
      <x:c r="AL340" t="str">
        <x:v>L</x:v>
      </x:c>
      <x:c r="AM340" t="str">
        <x:v>REQ000008238287</x:v>
      </x:c>
      <x:c r="AN340" t="str">
        <x:v>noretention</x:v>
      </x:c>
      <x:c r="AO340" t="n">
        <x:v>0</x:v>
      </x:c>
      <x:c r="AP340" s="23" t="n">
        <x:f>IF(E340="processing",IF(Z340="","",IF(ISNUMBER(Z340),INT(Z340),DATE(VALUE(LEFT(Z340,4)),VALUE(MID(Z340,6,2)),VALUE(MID(Z340,9,2))))),IF(OR(E340="executing",E340="pending"),IF(AD340="","",IF(ISNUMBER(AD340),INT(AD340),DATE(VALUE(LEFT(AD340,4)),VALUE(MID(AD340,6,2)),VALUE(MID(AD340,9,2))))),""))</x:f>
        <x:v>46246</x:v>
      </x:c>
      <x:c r="AQ340" s="24" t="n">
        <x:f>IF(AP340="","",INT('Configuration'!$B$4)-AP340)</x:f>
        <x:v>5</x:v>
      </x:c>
      <x:c r="AR340" s="25" t="str">
        <x:f>IF(AP340="","Missing Required Date",IF(AQ340&lt;0,"Future Date",IF(AQ340=0,"0 days",IF(AQ340&lt;=2,"1-2 days",IF(AQ340&lt;=7,"3-7 days",IF(AQ340&lt;=14,"8-14 days",IF(AQ340&lt;=30,"15-30 days",IF(AQ340&lt;=60,"31-60 days",IF(AQ340&lt;=70,"61-70 days","71+ days")))))))))</x:f>
        <x:v>3-7 days</x:v>
      </x:c>
      <x:c r="AS340" s="25" t="str">
        <x:f>IF(OR(E340="processing",E340="executing",E340="pending"),IF(AP340="","Required aging date missing",IF(AQ340&gt;30,"Escalate &gt;30d",IF(AQ340&gt;14,"Watch &gt;14d","Within 14d"))),"Out of scope")</x:f>
        <x:v>Within 14d</x:v>
      </x:c>
    </x:row>
    <x:row r="341" ht="24" customHeight="1">
      <x:c r="A341" t="str">
        <x:v>9eb5d82e-4a00-4324-9551-4e77de4c4d06</x:v>
      </x:c>
      <x:c r="B341" t="str">
        <x:v>CSSP10376841</x:v>
      </x:c>
      <x:c r="C341" t="str">
        <x:v>nelly.george@petronas.com</x:v>
      </x:c>
      <x:c r="D341" t="str">
        <x:v>decommission-cloud</x:v>
      </x:c>
      <x:c r="E341" t="str">
        <x:v>executing</x:v>
      </x:c>
      <x:c r="F341" t="n">
        <x:v>46237.10282396991</x:v>
      </x:c>
      <x:c r="G341" t="n">
        <x:v>46246.650579814814</x:v>
      </x:c>
      <x:c r="H341" t="n">
        <x:v>46237.40102336805</x:v>
      </x:c>
      <x:c r="I341" t="str">
        <x:v>Capability Integrated Management System - CIMS</x:v>
      </x:c>
      <x:c r="J341" t="str">
        <x:v>Upstream Shared Support Services (SecOps) FY2025 for MA, IVA, AD &amp; SA</x:v>
      </x:c>
      <x:c r="K341" t="str">
        <x:v>full</x:v>
      </x:c>
      <x:c r="L341" t="str">
        <x:v>DCOM20260803729</x:v>
      </x:c>
      <x:c r="M341" t="str">
        <x:v>rafedah.mdtap@petronas.com.my</x:v>
      </x:c>
      <x:c r="N341"/>
      <x:c r="O341"/>
      <x:c r="P341" t="str">
        <x:v>Complete migration to myLearningX by 31st May 2026.</x:v>
      </x:c>
      <x:c r="Q341" t="str">
        <x:v>12M</x:v>
      </x:c>
      <x:c r="R341" t="str">
        <x:v>Not in Used</x:v>
      </x:c>
      <x:c r="S341"/>
      <x:c r="T341" t="str">
        <x:v>approved</x:v>
      </x:c>
      <x:c r="U341" t="str">
        <x:v>nelly.george@petronas.com</x:v>
      </x:c>
      <x:c r="V341" t="n">
        <x:v>46237.40430109954</x:v>
      </x:c>
      <x:c r="W341" t="str">
        <x:v>Reviewed</x:v>
      </x:c>
      <x:c r="X341" t="str">
        <x:v>approved</x:v>
      </x:c>
      <x:c r="Y341" t="str">
        <x:v>rafedah.mdtap@petronas.com</x:v>
      </x:c>
      <x:c r="Z341" t="n">
        <x:v>46239.303393877315</x:v>
      </x:c>
      <x:c r="AA341" t="str">
        <x:v>Approved as per email from Business - Yashadini Anandarajah (TSKG_HRM/PETH) on  27 Jul 26.</x:v>
      </x:c>
      <x:c r="AB341" t="str">
        <x:v>approved</x:v>
      </x:c>
      <x:c r="AC341" t="str">
        <x:v>abhishek.bhowate@petronas.com</x:v>
      </x:c>
      <x:c r="AD341" t="n">
        <x:v>46246.650579849535</x:v>
      </x:c>
      <x:c r="AE341" t="str">
        <x:v>Approve</x:v>
      </x:c>
      <x:c r="AF341"/>
      <x:c r="AG341" t="str">
        <x:v>amarja.kawade@petronas.com</x:v>
      </x:c>
      <x:c r="AH341"/>
      <x:c r="AI341"/>
      <x:c r="AJ341" t="str">
        <x:v>A-001393</x:v>
      </x:c>
      <x:c r="AK341" t="n">
        <x:v>4702</x:v>
      </x:c>
      <x:c r="AL341" t="str">
        <x:v>M</x:v>
      </x:c>
      <x:c r="AM341" t="str">
        <x:v>REQ000008237797</x:v>
      </x:c>
      <x:c r="AN341" t="str">
        <x:v>retention</x:v>
      </x:c>
      <x:c r="AO341" t="n">
        <x:v>2520</x:v>
      </x:c>
      <x:c r="AP341" s="23" t="n">
        <x:f>IF(E341="processing",IF(Z341="","",IF(ISNUMBER(Z341),INT(Z341),DATE(VALUE(LEFT(Z341,4)),VALUE(MID(Z341,6,2)),VALUE(MID(Z341,9,2))))),IF(OR(E341="executing",E341="pending"),IF(AD341="","",IF(ISNUMBER(AD341),INT(AD341),DATE(VALUE(LEFT(AD341,4)),VALUE(MID(AD341,6,2)),VALUE(MID(AD341,9,2))))),""))</x:f>
        <x:v>46246</x:v>
      </x:c>
      <x:c r="AQ341" s="24" t="n">
        <x:f>IF(AP341="","",INT('Configuration'!$B$4)-AP341)</x:f>
        <x:v>5</x:v>
      </x:c>
      <x:c r="AR341" s="25" t="str">
        <x:f>IF(AP341="","Missing Required Date",IF(AQ341&lt;0,"Future Date",IF(AQ341=0,"0 days",IF(AQ341&lt;=2,"1-2 days",IF(AQ341&lt;=7,"3-7 days",IF(AQ341&lt;=14,"8-14 days",IF(AQ341&lt;=30,"15-30 days",IF(AQ341&lt;=60,"31-60 days",IF(AQ341&lt;=70,"61-70 days","71+ days")))))))))</x:f>
        <x:v>3-7 days</x:v>
      </x:c>
      <x:c r="AS341" s="25" t="str">
        <x:f>IF(OR(E341="processing",E341="executing",E341="pending"),IF(AP341="","Required aging date missing",IF(AQ341&gt;30,"Escalate &gt;30d",IF(AQ341&gt;14,"Watch &gt;14d","Within 14d"))),"Out of scope")</x:f>
        <x:v>Within 14d</x:v>
      </x:c>
    </x:row>
    <x:row r="342" ht="24" customHeight="1">
      <x:c r="A342" t="str">
        <x:v>3a3a8519-750d-42f4-8dd9-ab701dd3cad4</x:v>
      </x:c>
      <x:c r="B342" t="str">
        <x:v>CSSP10551555</x:v>
      </x:c>
      <x:c r="C342" t="str">
        <x:v>ahmadaizuddin.badry@petronas.com</x:v>
      </x:c>
      <x:c r="D342" t="str">
        <x:v>decommission-cloud</x:v>
      </x:c>
      <x:c r="E342" t="str">
        <x:v>cancelled</x:v>
      </x:c>
      <x:c r="F342" t="n">
        <x:v>46237.17056608796</x:v>
      </x:c>
      <x:c r="G342" t="n">
        <x:v>46237.171485810184</x:v>
      </x:c>
      <x:c r="H342" t="n">
        <x:v>46237.17056608796</x:v>
      </x:c>
      <x:c r="I342" t="str">
        <x:v>ProcurementGo/STAR</x:v>
      </x:c>
      <x:c r="J342" t="str">
        <x:v>Cloud Migration Program - Procurement/Go Star</x:v>
      </x:c>
      <x:c r="K342" t="str">
        <x:v>full</x:v>
      </x:c>
      <x:c r="L342" t="str">
        <x:v>DCOM20260731389 </x:v>
      </x:c>
      <x:c r="M342" t="str">
        <x:v>amirshazlan.mshah@petronas.com.my</x:v>
      </x:c>
      <x:c r="N342" t="str">
        <x:v>procurementgo.petronas.com</x:v>
      </x:c>
      <x:c r="O342"/>
      <x:c r="P342" t="str">
        <x:v>myProcure CPE will be replacing ProcurementGO for performance evaluation for vendor.</x:v>
      </x:c>
      <x:c r="Q342" t="str">
        <x:v>12M</x:v>
      </x:c>
      <x:c r="R342" t="str">
        <x:v>Not in Used</x:v>
      </x:c>
      <x:c r="S342"/>
      <x:c r="T342" t="str">
        <x:v>rejected</x:v>
      </x:c>
      <x:c r="U342" t="str">
        <x:v>ahmadaizuddin.badry@petronas.com</x:v>
      </x:c>
      <x:c r="V342" t="n">
        <x:v>46237.171485810184</x:v>
      </x:c>
      <x:c r="W342"/>
      <x:c r="X342"/>
      <x:c r="Y342" t="str">
        <x:v>amirshazlan.mshah@petronas.com</x:v>
      </x:c>
      <x:c r="Z342"/>
      <x:c r="AA342"/>
      <x:c r="AB342"/>
      <x:c r="AC342" t="str">
        <x:v>CCoE SA</x:v>
      </x:c>
      <x:c r="AD342"/>
      <x:c r="AE342"/>
      <x:c r="AF342"/>
      <x:c r="AG342" t="str">
        <x:v>IMS - CLOUD CSSP EXECUTOR</x:v>
      </x:c>
      <x:c r="AH342"/>
      <x:c r="AI342"/>
      <x:c r="AJ342" t="str">
        <x:v>A-000661</x:v>
      </x:c>
      <x:c r="AK342" t="str">
        <x:v>00915_30</x:v>
      </x:c>
      <x:c r="AL342"/>
      <x:c r="AM342"/>
      <x:c r="AN342" t="str">
        <x:v>retention</x:v>
      </x:c>
      <x:c r="AO342" t="n">
        <x:v>365</x:v>
      </x:c>
      <x:c r="AP342" s="23" t="str">
        <x:f>IF(E342="processing",IF(Z342="","",IF(ISNUMBER(Z342),INT(Z342),DATE(VALUE(LEFT(Z342,4)),VALUE(MID(Z342,6,2)),VALUE(MID(Z342,9,2))))),IF(OR(E342="executing",E342="pending"),IF(AD342="","",IF(ISNUMBER(AD342),INT(AD342),DATE(VALUE(LEFT(AD342,4)),VALUE(MID(AD342,6,2)),VALUE(MID(AD342,9,2))))),""))</x:f>
      </x:c>
      <x:c r="AQ342" s="24" t="str">
        <x:f>IF(AP342="","",INT('Configuration'!$B$4)-AP342)</x:f>
      </x:c>
      <x:c r="AR342" s="25" t="str">
        <x:f>IF(AP342="","Missing Required Date",IF(AQ342&lt;0,"Future Date",IF(AQ342=0,"0 days",IF(AQ342&lt;=2,"1-2 days",IF(AQ342&lt;=7,"3-7 days",IF(AQ342&lt;=14,"8-14 days",IF(AQ342&lt;=30,"15-30 days",IF(AQ342&lt;=60,"31-60 days",IF(AQ342&lt;=70,"61-70 days","71+ days")))))))))</x:f>
        <x:v>Missing Required Date</x:v>
      </x:c>
      <x:c r="AS342" s="25" t="str">
        <x:f>IF(OR(E342="processing",E342="executing",E342="pending"),IF(AP342="","Required aging date missing",IF(AQ342&gt;30,"Escalate &gt;30d",IF(AQ342&gt;14,"Watch &gt;14d","Within 14d"))),"Out of scope")</x:f>
        <x:v>Out of scope</x:v>
      </x:c>
    </x:row>
    <x:row r="343" ht="24" customHeight="1">
      <x:c r="A343" t="str">
        <x:v>72dbdb80-d5ae-472a-a030-c7fdd3833eec</x:v>
      </x:c>
      <x:c r="B343" t="str">
        <x:v>CSSP10311887</x:v>
      </x:c>
      <x:c r="C343" t="str">
        <x:v>ahmadaizuddin.badry@petronas.com</x:v>
      </x:c>
      <x:c r="D343" t="str">
        <x:v>decommission-cloud</x:v>
      </x:c>
      <x:c r="E343" t="str">
        <x:v>pending</x:v>
      </x:c>
      <x:c r="F343" t="n">
        <x:v>46237.17269381945</x:v>
      </x:c>
      <x:c r="G343" t="n">
        <x:v>46237.173705347224</x:v>
      </x:c>
      <x:c r="H343" t="n">
        <x:v>46237.17269381945</x:v>
      </x:c>
      <x:c r="I343" t="str">
        <x:v>ProcurementGo/STAR</x:v>
      </x:c>
      <x:c r="J343" t="str">
        <x:v>Cloud Migration Program - Procurement/Go Star</x:v>
      </x:c>
      <x:c r="K343" t="str">
        <x:v>full</x:v>
      </x:c>
      <x:c r="L343" t="str">
        <x:v>DCOM20260731389</x:v>
      </x:c>
      <x:c r="M343" t="str">
        <x:v>amirshazlan.mshah@petronas.com.my</x:v>
      </x:c>
      <x:c r="N343" t="str">
        <x:v>procurementgo.petronas.com</x:v>
      </x:c>
      <x:c r="O343"/>
      <x:c r="P343" t="str">
        <x:v>myProcure CPE will be replacing ProcurementGO for performance evaluation for Vendor feature. We need help from Cloud DB team to do backup of the DB data.</x:v>
      </x:c>
      <x:c r="Q343" t="str">
        <x:v>12M</x:v>
      </x:c>
      <x:c r="R343" t="str">
        <x:v>Not in Used</x:v>
      </x:c>
      <x:c r="S343"/>
      <x:c r="T343" t="str">
        <x:v>approved</x:v>
      </x:c>
      <x:c r="U343" t="str">
        <x:v>ahmadaizuddin.badry@petronas.com</x:v>
      </x:c>
      <x:c r="V343" t="n">
        <x:v>46237.173705347224</x:v>
      </x:c>
      <x:c r="W343" t="str">
        <x:v>Confirmed for the resources</x:v>
      </x:c>
      <x:c r="X343"/>
      <x:c r="Y343" t="str">
        <x:v>amirshazlan.mshah@petronas.com</x:v>
      </x:c>
      <x:c r="Z343"/>
      <x:c r="AA343"/>
      <x:c r="AB343"/>
      <x:c r="AC343" t="str">
        <x:v>CCoE SA</x:v>
      </x:c>
      <x:c r="AD343"/>
      <x:c r="AE343"/>
      <x:c r="AF343"/>
      <x:c r="AG343" t="str">
        <x:v>IMS - CLOUD CSSP EXECUTOR</x:v>
      </x:c>
      <x:c r="AH343"/>
      <x:c r="AI343"/>
      <x:c r="AJ343" t="str">
        <x:v>A-000661</x:v>
      </x:c>
      <x:c r="AK343" t="str">
        <x:v>00915_30</x:v>
      </x:c>
      <x:c r="AL343"/>
      <x:c r="AM343"/>
      <x:c r="AN343" t="str">
        <x:v>retention</x:v>
      </x:c>
      <x:c r="AO343" t="n">
        <x:v>364</x:v>
      </x:c>
      <x:c r="AP343" s="23" t="str">
        <x:f>IF(E343="processing",IF(Z343="","",IF(ISNUMBER(Z343),INT(Z343),DATE(VALUE(LEFT(Z343,4)),VALUE(MID(Z343,6,2)),VALUE(MID(Z343,9,2))))),IF(OR(E343="executing",E343="pending"),IF(AD343="","",IF(ISNUMBER(AD343),INT(AD343),DATE(VALUE(LEFT(AD343,4)),VALUE(MID(AD343,6,2)),VALUE(MID(AD343,9,2))))),""))</x:f>
      </x:c>
      <x:c r="AQ343" s="24" t="str">
        <x:f>IF(AP343="","",INT('Configuration'!$B$4)-AP343)</x:f>
      </x:c>
      <x:c r="AR343" s="25" t="str">
        <x:f>IF(AP343="","Missing Required Date",IF(AQ343&lt;0,"Future Date",IF(AQ343=0,"0 days",IF(AQ343&lt;=2,"1-2 days",IF(AQ343&lt;=7,"3-7 days",IF(AQ343&lt;=14,"8-14 days",IF(AQ343&lt;=30,"15-30 days",IF(AQ343&lt;=60,"31-60 days",IF(AQ343&lt;=70,"61-70 days","71+ days")))))))))</x:f>
        <x:v>Missing Required Date</x:v>
      </x:c>
      <x:c r="AS343" s="25" t="str">
        <x:f>IF(OR(E343="processing",E343="executing",E343="pending"),IF(AP343="","Required aging date missing",IF(AQ343&gt;30,"Escalate &gt;30d",IF(AQ343&gt;14,"Watch &gt;14d","Within 14d"))),"Out of scope")</x:f>
        <x:v>Required aging date missing</x:v>
      </x:c>
    </x:row>
    <x:row r="344" ht="24" customHeight="1">
      <x:c r="A344" t="str">
        <x:v>9da3307e-cbc5-4cfd-8336-3d3b5a373fd7</x:v>
      </x:c>
      <x:c r="B344" t="str">
        <x:v>CSSP10504866</x:v>
      </x:c>
      <x:c r="C344" t="str">
        <x:v>marziah.mahmod@petronas.com</x:v>
      </x:c>
      <x:c r="D344" t="str">
        <x:v>decommission-cloud</x:v>
      </x:c>
      <x:c r="E344" t="str">
        <x:v>executing</x:v>
      </x:c>
      <x:c r="F344" t="n">
        <x:v>46237.561653055556</x:v>
      </x:c>
      <x:c r="G344" t="n">
        <x:v>46246.65025947917</x:v>
      </x:c>
      <x:c r="H344" t="n">
        <x:v>46237.561653055556</x:v>
      </x:c>
      <x:c r="I344" t="str">
        <x:v>Plant Information - PI Hub Downstream</x:v>
      </x:c>
      <x:c r="J344" t="str">
        <x:v>CTP Old to New LZ - Enterprise PI Hub Downstream</x:v>
      </x:c>
      <x:c r="K344" t="str">
        <x:v>partial</x:v>
      </x:c>
      <x:c r="L344"/>
      <x:c r="M344" t="str">
        <x:v>mohammadsani.johari@petronas.com.my</x:v>
      </x:c>
      <x:c r="N344"/>
      <x:c r="O344"/>
      <x:c r="P344" t="str">
        <x:v>Cloud Migration (Repatriation SG to MY)</x:v>
      </x:c>
      <x:c r="Q344" t="str">
        <x:v>2W</x:v>
      </x:c>
      <x:c r="R344" t="str">
        <x:v>Cloud Migration</x:v>
      </x:c>
      <x:c r="S344"/>
      <x:c r="T344" t="str">
        <x:v>approved</x:v>
      </x:c>
      <x:c r="U344" t="str">
        <x:v>marziah.mahmod@petronas.com</x:v>
      </x:c>
      <x:c r="V344" t="n">
        <x:v>46237.56445769676</x:v>
      </x:c>
      <x:c r="W344" t="str">
        <x:v>PTAWSG-1PIDAF01
PTAWSG-1PIDAF02
PTAWSG-1PIDDB01
PTAWSG-1PIBADB2</x:v>
      </x:c>
      <x:c r="X344" t="str">
        <x:v>approved</x:v>
      </x:c>
      <x:c r="Y344" t="str">
        <x:v>mohammadsani.johari@petronas.com</x:v>
      </x:c>
      <x:c r="Z344" t="n">
        <x:v>46241.08079768519</x:v>
      </x:c>
      <x:c r="AA344" t="str">
        <x:v>Proceed to decom</x:v>
      </x:c>
      <x:c r="AB344" t="str">
        <x:v>approved</x:v>
      </x:c>
      <x:c r="AC344" t="str">
        <x:v>abhishek.bhowate@petronas.com</x:v>
      </x:c>
      <x:c r="AD344" t="n">
        <x:v>46246.65025950231</x:v>
      </x:c>
      <x:c r="AE344" t="str">
        <x:v>approve</x:v>
      </x:c>
      <x:c r="AF344"/>
      <x:c r="AG344" t="str">
        <x:v>swaminadh.chirakala@petronas.com</x:v>
      </x:c>
      <x:c r="AH344"/>
      <x:c r="AI344"/>
      <x:c r="AJ344" t="str">
        <x:v>A-000571</x:v>
      </x:c>
      <x:c r="AK344" t="str">
        <x:v>02421_70</x:v>
      </x:c>
      <x:c r="AL344" t="str">
        <x:v>L</x:v>
      </x:c>
      <x:c r="AM344" t="str">
        <x:v>REQ000008237796</x:v>
      </x:c>
      <x:c r="AN344" t="str">
        <x:v>noretention</x:v>
      </x:c>
      <x:c r="AO344" t="n">
        <x:v>0</x:v>
      </x:c>
      <x:c r="AP344" s="23" t="n">
        <x:f>IF(E344="processing",IF(Z344="","",IF(ISNUMBER(Z344),INT(Z344),DATE(VALUE(LEFT(Z344,4)),VALUE(MID(Z344,6,2)),VALUE(MID(Z344,9,2))))),IF(OR(E344="executing",E344="pending"),IF(AD344="","",IF(ISNUMBER(AD344),INT(AD344),DATE(VALUE(LEFT(AD344,4)),VALUE(MID(AD344,6,2)),VALUE(MID(AD344,9,2))))),""))</x:f>
        <x:v>46246</x:v>
      </x:c>
      <x:c r="AQ344" s="24" t="n">
        <x:f>IF(AP344="","",INT('Configuration'!$B$4)-AP344)</x:f>
        <x:v>5</x:v>
      </x:c>
      <x:c r="AR344" s="25" t="str">
        <x:f>IF(AP344="","Missing Required Date",IF(AQ344&lt;0,"Future Date",IF(AQ344=0,"0 days",IF(AQ344&lt;=2,"1-2 days",IF(AQ344&lt;=7,"3-7 days",IF(AQ344&lt;=14,"8-14 days",IF(AQ344&lt;=30,"15-30 days",IF(AQ344&lt;=60,"31-60 days",IF(AQ344&lt;=70,"61-70 days","71+ days")))))))))</x:f>
        <x:v>3-7 days</x:v>
      </x:c>
      <x:c r="AS344" s="25" t="str">
        <x:f>IF(OR(E344="processing",E344="executing",E344="pending"),IF(AP344="","Required aging date missing",IF(AQ344&gt;30,"Escalate &gt;30d",IF(AQ344&gt;14,"Watch &gt;14d","Within 14d"))),"Out of scope")</x:f>
        <x:v>Within 14d</x:v>
      </x:c>
    </x:row>
    <x:row r="345" ht="24" customHeight="1">
      <x:c r="A345" t="str">
        <x:v>05bf9597-9089-4680-8631-da11e3d61379</x:v>
      </x:c>
      <x:c r="B345" t="str">
        <x:v>CSSP10983605</x:v>
      </x:c>
      <x:c r="C345" t="str">
        <x:v>marziah.mahmod@petronas.com</x:v>
      </x:c>
      <x:c r="D345" t="str">
        <x:v>decommission-cloud</x:v>
      </x:c>
      <x:c r="E345" t="str">
        <x:v>executing</x:v>
      </x:c>
      <x:c r="F345" t="n">
        <x:v>46237.57123815972</x:v>
      </x:c>
      <x:c r="G345" t="n">
        <x:v>46246.64991947917</x:v>
      </x:c>
      <x:c r="H345" t="n">
        <x:v>46237.57123815972</x:v>
      </x:c>
      <x:c r="I345" t="str">
        <x:v>Plant Information - PI Enterprise</x:v>
      </x:c>
      <x:c r="J345" t="str">
        <x:v>CTP Old to New LZ - PI Enterprise</x:v>
      </x:c>
      <x:c r="K345" t="str">
        <x:v>partial</x:v>
      </x:c>
      <x:c r="L345"/>
      <x:c r="M345" t="str">
        <x:v>mohammadsani.johari@petronas.com.my</x:v>
      </x:c>
      <x:c r="N345"/>
      <x:c r="O345"/>
      <x:c r="P345" t="str">
        <x:v>Cloud Migration (Repatriation from SG to MY)</x:v>
      </x:c>
      <x:c r="Q345" t="str">
        <x:v>2W</x:v>
      </x:c>
      <x:c r="R345" t="str">
        <x:v>Cloud Migration</x:v>
      </x:c>
      <x:c r="S345"/>
      <x:c r="T345" t="str">
        <x:v>approved</x:v>
      </x:c>
      <x:c r="U345" t="str">
        <x:v>marziah.mahmod@petronas.com</x:v>
      </x:c>
      <x:c r="V345" t="n">
        <x:v>46237.57364328704</x:v>
      </x:c>
      <x:c r="W345" t="str">
        <x:v>PTAWSG-1PIEDB02
PTAWSG-1PIEAF02
PTAWSG-PROD-PIES-WEB-INT-NLB
PTAWSG-1PIEWB01
PTAWSG-1PIBADB2
</x:v>
      </x:c>
      <x:c r="X345" t="str">
        <x:v>approved</x:v>
      </x:c>
      <x:c r="Y345" t="str">
        <x:v>mohammadsani.johari@petronas.com</x:v>
      </x:c>
      <x:c r="Z345" t="n">
        <x:v>46241.080134675925</x:v>
      </x:c>
      <x:c r="AA345" t="str">
        <x:v>Proceed to decom</x:v>
      </x:c>
      <x:c r="AB345" t="str">
        <x:v>approved</x:v>
      </x:c>
      <x:c r="AC345" t="str">
        <x:v>abhishek.bhowate@petronas.com</x:v>
      </x:c>
      <x:c r="AD345" t="n">
        <x:v>46246.64991950231</x:v>
      </x:c>
      <x:c r="AE345" t="str">
        <x:v>Approve</x:v>
      </x:c>
      <x:c r="AF345"/>
      <x:c r="AG345" t="str">
        <x:v>swaminadh.chirakala@petronas.com</x:v>
      </x:c>
      <x:c r="AH345"/>
      <x:c r="AI345"/>
      <x:c r="AJ345" t="str">
        <x:v>A-000568</x:v>
      </x:c>
      <x:c r="AK345" t="str">
        <x:v>02421_71</x:v>
      </x:c>
      <x:c r="AL345" t="str">
        <x:v>L</x:v>
      </x:c>
      <x:c r="AM345" t="str">
        <x:v>REQ000008238286</x:v>
      </x:c>
      <x:c r="AN345" t="str">
        <x:v>noretention</x:v>
      </x:c>
      <x:c r="AO345" t="n">
        <x:v>0</x:v>
      </x:c>
      <x:c r="AP345" s="23" t="n">
        <x:f>IF(E345="processing",IF(Z345="","",IF(ISNUMBER(Z345),INT(Z345),DATE(VALUE(LEFT(Z345,4)),VALUE(MID(Z345,6,2)),VALUE(MID(Z345,9,2))))),IF(OR(E345="executing",E345="pending"),IF(AD345="","",IF(ISNUMBER(AD345),INT(AD345),DATE(VALUE(LEFT(AD345,4)),VALUE(MID(AD345,6,2)),VALUE(MID(AD345,9,2))))),""))</x:f>
        <x:v>46246</x:v>
      </x:c>
      <x:c r="AQ345" s="24" t="n">
        <x:f>IF(AP345="","",INT('Configuration'!$B$4)-AP345)</x:f>
        <x:v>5</x:v>
      </x:c>
      <x:c r="AR345" s="25" t="str">
        <x:f>IF(AP345="","Missing Required Date",IF(AQ345&lt;0,"Future Date",IF(AQ345=0,"0 days",IF(AQ345&lt;=2,"1-2 days",IF(AQ345&lt;=7,"3-7 days",IF(AQ345&lt;=14,"8-14 days",IF(AQ345&lt;=30,"15-30 days",IF(AQ345&lt;=60,"31-60 days",IF(AQ345&lt;=70,"61-70 days","71+ days")))))))))</x:f>
        <x:v>3-7 days</x:v>
      </x:c>
      <x:c r="AS345" s="25" t="str">
        <x:f>IF(OR(E345="processing",E345="executing",E345="pending"),IF(AP345="","Required aging date missing",IF(AQ345&gt;30,"Escalate &gt;30d",IF(AQ345&gt;14,"Watch &gt;14d","Within 14d"))),"Out of scope")</x:f>
        <x:v>Within 14d</x:v>
      </x:c>
    </x:row>
    <x:row r="346" ht="24" customHeight="1">
      <x:c r="A346" t="str">
        <x:v>24ae047a-adba-4f56-bf51-a581db8048d0</x:v>
      </x:c>
      <x:c r="B346" t="str">
        <x:v>CSSP10631258</x:v>
      </x:c>
      <x:c r="C346" t="str">
        <x:v>sumituttam.vhankatte@petronas.com</x:v>
      </x:c>
      <x:c r="D346" t="str">
        <x:v>decommission-cloud</x:v>
      </x:c>
      <x:c r="E346" t="str">
        <x:v>pending</x:v>
      </x:c>
      <x:c r="F346" t="n">
        <x:v>46238.11274331019</x:v>
      </x:c>
      <x:c r="G346" t="n">
        <x:v>46238.11443148148</x:v>
      </x:c>
      <x:c r="H346" t="n">
        <x:v>46238.11274331019</x:v>
      </x:c>
      <x:c r="I346" t="str">
        <x:v>Cyber Security CyberArk</x:v>
      </x:c>
      <x:c r="J346" t="str">
        <x:v>CyberArk Migration</x:v>
      </x:c>
      <x:c r="K346" t="str">
        <x:v>partial</x:v>
      </x:c>
      <x:c r="L346"/>
      <x:c r="M346" t="str">
        <x:v>imran.makhdoom@petronas.com.my</x:v>
      </x:c>
      <x:c r="N346"/>
      <x:c r="O346"/>
      <x:c r="P346" t="str">
        <x:v>The mentioned servers are not in use hence need to be decommissioned.
172.25.8.31	ptsg-3cacap01
172.25.8.75	ptsg-3cacap02
172.25.8.82	ptsg-3cacap03
172.25.8.84	ptsg-3cacap04</x:v>
      </x:c>
      <x:c r="Q346" t="str">
        <x:v>2W</x:v>
      </x:c>
      <x:c r="R346" t="str">
        <x:v>Not in Used</x:v>
      </x:c>
      <x:c r="S346"/>
      <x:c r="T346" t="str">
        <x:v>approved</x:v>
      </x:c>
      <x:c r="U346" t="str">
        <x:v>sumituttam.vhankatte@petronas.com</x:v>
      </x:c>
      <x:c r="V346" t="n">
        <x:v>46238.11443148148</x:v>
      </x:c>
      <x:c r="W346" t="str">
        <x:v>The mentioned servers are not tagged to CyberArk application in CMDB, hence cannot be selected in the resource selector pane. Adding the server list here:
172.25.8.31	ptsg-3cacap01
172.25.8.75	ptsg-3cacap02
172.25.8.82	ptsg-3cacap03
172.25.8.84	ptsg-3cacap04</x:v>
      </x:c>
      <x:c r="X346"/>
      <x:c r="Y346" t="str">
        <x:v>imran.makhdoom@petronas.com</x:v>
      </x:c>
      <x:c r="Z346"/>
      <x:c r="AA346"/>
      <x:c r="AB346"/>
      <x:c r="AC346" t="str">
        <x:v>CCoE SA</x:v>
      </x:c>
      <x:c r="AD346"/>
      <x:c r="AE346"/>
      <x:c r="AF346"/>
      <x:c r="AG346" t="str">
        <x:v>IMS - CLOUD CSSP EXECUTOR</x:v>
      </x:c>
      <x:c r="AH346"/>
      <x:c r="AI346"/>
      <x:c r="AJ346" t="str">
        <x:v>A-000157</x:v>
      </x:c>
      <x:c r="AK346" t="str">
        <x:v>PC-00046</x:v>
      </x:c>
      <x:c r="AL346"/>
      <x:c r="AM346"/>
      <x:c r="AN346" t="str">
        <x:v>noretention</x:v>
      </x:c>
      <x:c r="AO346" t="n">
        <x:v>0</x:v>
      </x:c>
      <x:c r="AP346" s="23" t="str">
        <x:f>IF(E346="processing",IF(Z346="","",IF(ISNUMBER(Z346),INT(Z346),DATE(VALUE(LEFT(Z346,4)),VALUE(MID(Z346,6,2)),VALUE(MID(Z346,9,2))))),IF(OR(E346="executing",E346="pending"),IF(AD346="","",IF(ISNUMBER(AD346),INT(AD346),DATE(VALUE(LEFT(AD346,4)),VALUE(MID(AD346,6,2)),VALUE(MID(AD346,9,2))))),""))</x:f>
      </x:c>
      <x:c r="AQ346" s="24" t="str">
        <x:f>IF(AP346="","",INT('Configuration'!$B$4)-AP346)</x:f>
      </x:c>
      <x:c r="AR346" s="25" t="str">
        <x:f>IF(AP346="","Missing Required Date",IF(AQ346&lt;0,"Future Date",IF(AQ346=0,"0 days",IF(AQ346&lt;=2,"1-2 days",IF(AQ346&lt;=7,"3-7 days",IF(AQ346&lt;=14,"8-14 days",IF(AQ346&lt;=30,"15-30 days",IF(AQ346&lt;=60,"31-60 days",IF(AQ346&lt;=70,"61-70 days","71+ days")))))))))</x:f>
        <x:v>Missing Required Date</x:v>
      </x:c>
      <x:c r="AS346" s="25" t="str">
        <x:f>IF(OR(E346="processing",E346="executing",E346="pending"),IF(AP346="","Required aging date missing",IF(AQ346&gt;30,"Escalate &gt;30d",IF(AQ346&gt;14,"Watch &gt;14d","Within 14d"))),"Out of scope")</x:f>
        <x:v>Required aging date missing</x:v>
      </x:c>
    </x:row>
    <x:row r="347" ht="24" customHeight="1">
      <x:c r="A347" t="str">
        <x:v>0b76be9d-1dee-40de-b448-3f4f6f3dc009</x:v>
      </x:c>
      <x:c r="B347" t="str">
        <x:v>CSSP10679558</x:v>
      </x:c>
      <x:c r="C347" t="str">
        <x:v>izham.ajmaan@petronas.com</x:v>
      </x:c>
      <x:c r="D347" t="str">
        <x:v>decommission-cloud</x:v>
      </x:c>
      <x:c r="E347" t="str">
        <x:v>cancelled</x:v>
      </x:c>
      <x:c r="F347" t="n">
        <x:v>46238.18712804398</x:v>
      </x:c>
      <x:c r="G347" t="n">
        <x:v>46238.18755753472</x:v>
      </x:c>
      <x:c r="H347" t="n">
        <x:v>46238.18712804398</x:v>
      </x:c>
      <x:c r="I347" t="str">
        <x:v>.NET Shared Infra</x:v>
      </x:c>
      <x:c r="J347" t="str">
        <x:v>.NET Farm on Cloud- Setup of Azure New Common .Net Farm for PETRONAS</x:v>
      </x:c>
      <x:c r="K347" t="str">
        <x:v>ci</x:v>
      </x:c>
      <x:c r="L347"/>
      <x:c r="M347" t="str">
        <x:v>izham.ajmaan@petronas.com</x:v>
      </x:c>
      <x:c r="N347"/>
      <x:c r="O347"/>
      <x:c r="P347" t="str">
        <x:v>adad</x:v>
      </x:c>
      <x:c r="Q347" t="str">
        <x:v>3M</x:v>
      </x:c>
      <x:c r="R347" t="str">
        <x:v>End of Lease</x:v>
      </x:c>
      <x:c r="S347"/>
      <x:c r="T347" t="str">
        <x:v>rejected</x:v>
      </x:c>
      <x:c r="U347" t="str">
        <x:v>izham.ajmaan@petronas.com</x:v>
      </x:c>
      <x:c r="V347" t="n">
        <x:v>46238.1875575463</x:v>
      </x:c>
      <x:c r="W347"/>
      <x:c r="X347"/>
      <x:c r="Y347" t="str">
        <x:v>izham.ajmaan@petronas.com</x:v>
      </x:c>
      <x:c r="Z347"/>
      <x:c r="AA347"/>
      <x:c r="AB347"/>
      <x:c r="AC347" t="str">
        <x:v>CCoE SA</x:v>
      </x:c>
      <x:c r="AD347"/>
      <x:c r="AE347"/>
      <x:c r="AF347"/>
      <x:c r="AG347" t="str">
        <x:v>IMS - CLOUD CSSP EXECUTOR</x:v>
      </x:c>
      <x:c r="AH347"/>
      <x:c r="AI347"/>
      <x:c r="AJ347" t="str">
        <x:v>P-000004</x:v>
      </x:c>
      <x:c r="AK347" t="str">
        <x:v>PSR04784</x:v>
      </x:c>
      <x:c r="AL347"/>
      <x:c r="AM347"/>
      <x:c r="AN347" t="str">
        <x:v>disposal</x:v>
      </x:c>
      <x:c r="AO347" t="n">
        <x:v>0</x:v>
      </x:c>
      <x:c r="AP347" s="23" t="str">
        <x:f>IF(E347="processing",IF(Z347="","",IF(ISNUMBER(Z347),INT(Z347),DATE(VALUE(LEFT(Z347,4)),VALUE(MID(Z347,6,2)),VALUE(MID(Z347,9,2))))),IF(OR(E347="executing",E347="pending"),IF(AD347="","",IF(ISNUMBER(AD347),INT(AD347),DATE(VALUE(LEFT(AD347,4)),VALUE(MID(AD347,6,2)),VALUE(MID(AD347,9,2))))),""))</x:f>
      </x:c>
      <x:c r="AQ347" s="24" t="str">
        <x:f>IF(AP347="","",INT('Configuration'!$B$4)-AP347)</x:f>
      </x:c>
      <x:c r="AR347" s="25" t="str">
        <x:f>IF(AP347="","Missing Required Date",IF(AQ347&lt;0,"Future Date",IF(AQ347=0,"0 days",IF(AQ347&lt;=2,"1-2 days",IF(AQ347&lt;=7,"3-7 days",IF(AQ347&lt;=14,"8-14 days",IF(AQ347&lt;=30,"15-30 days",IF(AQ347&lt;=60,"31-60 days",IF(AQ347&lt;=70,"61-70 days","71+ days")))))))))</x:f>
        <x:v>Missing Required Date</x:v>
      </x:c>
      <x:c r="AS347" s="25" t="str">
        <x:f>IF(OR(E347="processing",E347="executing",E347="pending"),IF(AP347="","Required aging date missing",IF(AQ347&gt;30,"Escalate &gt;30d",IF(AQ347&gt;14,"Watch &gt;14d","Within 14d"))),"Out of scope")</x:f>
        <x:v>Out of scope</x:v>
      </x:c>
    </x:row>
    <x:row r="348" ht="24" customHeight="1">
      <x:c r="A348" t="str">
        <x:v>140ebd56-2d9d-4918-ac23-67f74039fec2</x:v>
      </x:c>
      <x:c r="B348" t="str">
        <x:v>CSSP10777002</x:v>
      </x:c>
      <x:c r="C348" t="str">
        <x:v>sumituttam.vhankatte@petronas.com</x:v>
      </x:c>
      <x:c r="D348" t="str">
        <x:v>decommission-cloud</x:v>
      </x:c>
      <x:c r="E348" t="str">
        <x:v>pending</x:v>
      </x:c>
      <x:c r="F348" t="n">
        <x:v>46238.23572415509</x:v>
      </x:c>
      <x:c r="G348" t="n">
        <x:v>46238.23572415509</x:v>
      </x:c>
      <x:c r="H348" t="n">
        <x:v>46238.23572415509</x:v>
      </x:c>
      <x:c r="I348" t="str">
        <x:v>Cyber Security CyberArk</x:v>
      </x:c>
      <x:c r="J348" t="str">
        <x:v>CyberArk staging environment</x:v>
      </x:c>
      <x:c r="K348" t="str">
        <x:v>partial</x:v>
      </x:c>
      <x:c r="L348"/>
      <x:c r="M348" t="str">
        <x:v>imran.makhdoom@petronas.com.my</x:v>
      </x:c>
      <x:c r="N348"/>
      <x:c r="O348"/>
      <x:c r="P348" t="str">
        <x:v>The servers are not in use, hence need to be decommissioned
172.25.8.31	ptsg-3cacap01
172.25.8.75	ptsg-3cacap02
172.25.8.82	ptsg-3cacap03
172.25.8.84	ptsg-3cacap04</x:v>
      </x:c>
      <x:c r="Q348" t="str">
        <x:v>2W</x:v>
      </x:c>
      <x:c r="R348" t="str">
        <x:v>Not in Used</x:v>
      </x:c>
      <x:c r="S348"/>
      <x:c r="T348" t="str">
        <x:v>pending</x:v>
      </x:c>
      <x:c r="U348" t="str">
        <x:v>sumituttam.vhankatte@petronas.com</x:v>
      </x:c>
      <x:c r="V348"/>
      <x:c r="W348"/>
      <x:c r="X348"/>
      <x:c r="Y348" t="str">
        <x:v>imran.makhdoom@petronas.com</x:v>
      </x:c>
      <x:c r="Z348"/>
      <x:c r="AA348"/>
      <x:c r="AB348"/>
      <x:c r="AC348" t="str">
        <x:v>CCoE SA</x:v>
      </x:c>
      <x:c r="AD348"/>
      <x:c r="AE348"/>
      <x:c r="AF348"/>
      <x:c r="AG348" t="str">
        <x:v>IMS - CLOUD CSSP EXECUTOR</x:v>
      </x:c>
      <x:c r="AH348"/>
      <x:c r="AI348"/>
      <x:c r="AJ348" t="str">
        <x:v>A-000157</x:v>
      </x:c>
      <x:c r="AK348" t="str">
        <x:v>X.704D27VO.210010</x:v>
      </x:c>
      <x:c r="AL348"/>
      <x:c r="AM348"/>
      <x:c r="AN348" t="str">
        <x:v>noretention</x:v>
      </x:c>
      <x:c r="AO348" t="n">
        <x:v>0</x:v>
      </x:c>
      <x:c r="AP348" s="23" t="str">
        <x:f>IF(E348="processing",IF(Z348="","",IF(ISNUMBER(Z348),INT(Z348),DATE(VALUE(LEFT(Z348,4)),VALUE(MID(Z348,6,2)),VALUE(MID(Z348,9,2))))),IF(OR(E348="executing",E348="pending"),IF(AD348="","",IF(ISNUMBER(AD348),INT(AD348),DATE(VALUE(LEFT(AD348,4)),VALUE(MID(AD348,6,2)),VALUE(MID(AD348,9,2))))),""))</x:f>
      </x:c>
      <x:c r="AQ348" s="24" t="str">
        <x:f>IF(AP348="","",INT('Configuration'!$B$4)-AP348)</x:f>
      </x:c>
      <x:c r="AR348" s="25" t="str">
        <x:f>IF(AP348="","Missing Required Date",IF(AQ348&lt;0,"Future Date",IF(AQ348=0,"0 days",IF(AQ348&lt;=2,"1-2 days",IF(AQ348&lt;=7,"3-7 days",IF(AQ348&lt;=14,"8-14 days",IF(AQ348&lt;=30,"15-30 days",IF(AQ348&lt;=60,"31-60 days",IF(AQ348&lt;=70,"61-70 days","71+ days")))))))))</x:f>
        <x:v>Missing Required Date</x:v>
      </x:c>
      <x:c r="AS348" s="25" t="str">
        <x:f>IF(OR(E348="processing",E348="executing",E348="pending"),IF(AP348="","Required aging date missing",IF(AQ348&gt;30,"Escalate &gt;30d",IF(AQ348&gt;14,"Watch &gt;14d","Within 14d"))),"Out of scope")</x:f>
        <x:v>Required aging date missing</x:v>
      </x:c>
    </x:row>
    <x:row r="349" ht="24" customHeight="1">
      <x:c r="A349" t="str">
        <x:v>eb26b4bc-1070-43bf-a29c-83dd3199430c</x:v>
      </x:c>
      <x:c r="B349" t="str">
        <x:v>CSSP10626959</x:v>
      </x:c>
      <x:c r="C349" t="str">
        <x:v>faizanabdrahim.ansar@petronas.com</x:v>
      </x:c>
      <x:c r="D349" t="str">
        <x:v>decommission-cloud</x:v>
      </x:c>
      <x:c r="E349" t="str">
        <x:v>cancelled</x:v>
      </x:c>
      <x:c r="F349" t="n">
        <x:v>46238.24221604167</x:v>
      </x:c>
      <x:c r="G349" t="n">
        <x:v>46238.2441056713</x:v>
      </x:c>
      <x:c r="H349" t="n">
        <x:v>46238.24221604167</x:v>
      </x:c>
      <x:c r="I349" t="str">
        <x:v>Cyber Security CyberArk</x:v>
      </x:c>
      <x:c r="J349" t="str">
        <x:v>CyberArk staging environment</x:v>
      </x:c>
      <x:c r="K349" t="str">
        <x:v>partial</x:v>
      </x:c>
      <x:c r="L349"/>
      <x:c r="M349" t="str">
        <x:v>imran.makhdoom@petronas.com</x:v>
      </x:c>
      <x:c r="N349"/>
      <x:c r="O349"/>
      <x:c r="P349" t="str">
        <x:v>Decommission of below servers as they are not in use anymore. 
172.25.8.31 = ptsg-3cacap01
172.25.8.75 = ptsg-3cacap02
172.25.8.82 = ptsg-3cacap03
172.25.8.84 = ptsg-3cacap04</x:v>
      </x:c>
      <x:c r="Q349" t="str">
        <x:v>2W</x:v>
      </x:c>
      <x:c r="R349" t="str">
        <x:v>Not in Used</x:v>
      </x:c>
      <x:c r="S349"/>
      <x:c r="T349" t="str">
        <x:v>rejected</x:v>
      </x:c>
      <x:c r="U349" t="str">
        <x:v>faizanabdrahim.ansar@petronas.com</x:v>
      </x:c>
      <x:c r="V349" t="n">
        <x:v>46238.2441056713</x:v>
      </x:c>
      <x:c r="W349"/>
      <x:c r="X349"/>
      <x:c r="Y349" t="str">
        <x:v>imran.makhdoom@petronas.com</x:v>
      </x:c>
      <x:c r="Z349"/>
      <x:c r="AA349"/>
      <x:c r="AB349"/>
      <x:c r="AC349" t="str">
        <x:v>CCoE SA</x:v>
      </x:c>
      <x:c r="AD349"/>
      <x:c r="AE349"/>
      <x:c r="AF349"/>
      <x:c r="AG349" t="str">
        <x:v>IMS - CLOUD CSSP EXECUTOR</x:v>
      </x:c>
      <x:c r="AH349"/>
      <x:c r="AI349"/>
      <x:c r="AJ349" t="str">
        <x:v>A-000157</x:v>
      </x:c>
      <x:c r="AK349" t="str">
        <x:v>X.704D27VO.210010</x:v>
      </x:c>
      <x:c r="AL349"/>
      <x:c r="AM349"/>
      <x:c r="AN349" t="str">
        <x:v>noretention</x:v>
      </x:c>
      <x:c r="AO349" t="n">
        <x:v>0</x:v>
      </x:c>
      <x:c r="AP349" s="23" t="str">
        <x:f>IF(E349="processing",IF(Z349="","",IF(ISNUMBER(Z349),INT(Z349),DATE(VALUE(LEFT(Z349,4)),VALUE(MID(Z349,6,2)),VALUE(MID(Z349,9,2))))),IF(OR(E349="executing",E349="pending"),IF(AD349="","",IF(ISNUMBER(AD349),INT(AD349),DATE(VALUE(LEFT(AD349,4)),VALUE(MID(AD349,6,2)),VALUE(MID(AD349,9,2))))),""))</x:f>
      </x:c>
      <x:c r="AQ349" s="24" t="str">
        <x:f>IF(AP349="","",INT('Configuration'!$B$4)-AP349)</x:f>
      </x:c>
      <x:c r="AR349" s="25" t="str">
        <x:f>IF(AP349="","Missing Required Date",IF(AQ349&lt;0,"Future Date",IF(AQ349=0,"0 days",IF(AQ349&lt;=2,"1-2 days",IF(AQ349&lt;=7,"3-7 days",IF(AQ349&lt;=14,"8-14 days",IF(AQ349&lt;=30,"15-30 days",IF(AQ349&lt;=60,"31-60 days",IF(AQ349&lt;=70,"61-70 days","71+ days")))))))))</x:f>
        <x:v>Missing Required Date</x:v>
      </x:c>
      <x:c r="AS349" s="25" t="str">
        <x:f>IF(OR(E349="processing",E349="executing",E349="pending"),IF(AP349="","Required aging date missing",IF(AQ349&gt;30,"Escalate &gt;30d",IF(AQ349&gt;14,"Watch &gt;14d","Within 14d"))),"Out of scope")</x:f>
        <x:v>Out of scope</x:v>
      </x:c>
    </x:row>
    <x:row r="350" ht="24" customHeight="1">
      <x:c r="A350" t="str">
        <x:v>d905f8dd-bdff-4ef9-954f-3a6a1ae90859</x:v>
      </x:c>
      <x:c r="B350" t="str">
        <x:v>CSSP10782523</x:v>
      </x:c>
      <x:c r="C350" t="str">
        <x:v>sumituttam.vhankatte@petronas.com</x:v>
      </x:c>
      <x:c r="D350" t="str">
        <x:v>decommission-cloud</x:v>
      </x:c>
      <x:c r="E350" t="str">
        <x:v>pending</x:v>
      </x:c>
      <x:c r="F350" t="n">
        <x:v>46238.24728862268</x:v>
      </x:c>
      <x:c r="G350" t="n">
        <x:v>46238.24728862268</x:v>
      </x:c>
      <x:c r="H350" t="n">
        <x:v>46238.24728862268</x:v>
      </x:c>
      <x:c r="I350" t="str">
        <x:v>Cyber Security Identity and Access Management - IAM</x:v>
      </x:c>
      <x:c r="J350" t="str">
        <x:v>CS IAM Application Onboarding Factory -</x:v>
      </x:c>
      <x:c r="K350" t="str">
        <x:v>partial</x:v>
      </x:c>
      <x:c r="L350"/>
      <x:c r="M350" t="str">
        <x:v>imran.makhdoom@petronas.com.my</x:v>
      </x:c>
      <x:c r="N350"/>
      <x:c r="O350"/>
      <x:c r="P350" t="str">
        <x:v>The mentioned servers are not in use, hence need to be decommissioned.
172.25.8.31	ptsg-3cacap01
172.25.8.75	ptsg-3cacap02
172.25.8.82	ptsg-3cacap03
172.25.8.84	ptsg-3cacap04
</x:v>
      </x:c>
      <x:c r="Q350" t="str">
        <x:v>2W</x:v>
      </x:c>
      <x:c r="R350" t="str">
        <x:v>Not in Used</x:v>
      </x:c>
      <x:c r="S350"/>
      <x:c r="T350" t="str">
        <x:v>pending</x:v>
      </x:c>
      <x:c r="U350" t="str">
        <x:v>sumituttam.vhankatte@petronas.com</x:v>
      </x:c>
      <x:c r="V350"/>
      <x:c r="W350"/>
      <x:c r="X350"/>
      <x:c r="Y350" t="str">
        <x:v>imran.makhdoom@petronas.com</x:v>
      </x:c>
      <x:c r="Z350"/>
      <x:c r="AA350"/>
      <x:c r="AB350"/>
      <x:c r="AC350" t="str">
        <x:v>CCoE SA</x:v>
      </x:c>
      <x:c r="AD350"/>
      <x:c r="AE350"/>
      <x:c r="AF350"/>
      <x:c r="AG350" t="str">
        <x:v>IMS - CLOUD CSSP EXECUTOR</x:v>
      </x:c>
      <x:c r="AH350"/>
      <x:c r="AI350"/>
      <x:c r="AJ350" t="str">
        <x:v>A-000161</x:v>
      </x:c>
      <x:c r="AK350" t="n">
        <x:v>2450</x:v>
      </x:c>
      <x:c r="AL350"/>
      <x:c r="AM350"/>
      <x:c r="AN350" t="str">
        <x:v>noretention</x:v>
      </x:c>
      <x:c r="AO350" t="n">
        <x:v>0</x:v>
      </x:c>
      <x:c r="AP350" s="23" t="str">
        <x:f>IF(E350="processing",IF(Z350="","",IF(ISNUMBER(Z350),INT(Z350),DATE(VALUE(LEFT(Z350,4)),VALUE(MID(Z350,6,2)),VALUE(MID(Z350,9,2))))),IF(OR(E350="executing",E350="pending"),IF(AD350="","",IF(ISNUMBER(AD350),INT(AD350),DATE(VALUE(LEFT(AD350,4)),VALUE(MID(AD350,6,2)),VALUE(MID(AD350,9,2))))),""))</x:f>
      </x:c>
      <x:c r="AQ350" s="24" t="str">
        <x:f>IF(AP350="","",INT('Configuration'!$B$4)-AP350)</x:f>
      </x:c>
      <x:c r="AR350" s="25" t="str">
        <x:f>IF(AP350="","Missing Required Date",IF(AQ350&lt;0,"Future Date",IF(AQ350=0,"0 days",IF(AQ350&lt;=2,"1-2 days",IF(AQ350&lt;=7,"3-7 days",IF(AQ350&lt;=14,"8-14 days",IF(AQ350&lt;=30,"15-30 days",IF(AQ350&lt;=60,"31-60 days",IF(AQ350&lt;=70,"61-70 days","71+ days")))))))))</x:f>
        <x:v>Missing Required Date</x:v>
      </x:c>
      <x:c r="AS350" s="25" t="str">
        <x:f>IF(OR(E350="processing",E350="executing",E350="pending"),IF(AP350="","Required aging date missing",IF(AQ350&gt;30,"Escalate &gt;30d",IF(AQ350&gt;14,"Watch &gt;14d","Within 14d"))),"Out of scope")</x:f>
        <x:v>Required aging date missing</x:v>
      </x:c>
    </x:row>
    <x:row r="351" ht="24" customHeight="1">
      <x:c r="A351" t="str">
        <x:v>bfb50a01-9d05-431c-9ba3-bc3b67c01cb3</x:v>
      </x:c>
      <x:c r="B351" t="str">
        <x:v>CSSP10292490</x:v>
      </x:c>
      <x:c r="C351" t="str">
        <x:v>mfaizal.suriyat@petronas.com</x:v>
      </x:c>
      <x:c r="D351" t="str">
        <x:v>decommission-cloud</x:v>
      </x:c>
      <x:c r="E351" t="str">
        <x:v>cancelled</x:v>
      </x:c>
      <x:c r="F351" t="n">
        <x:v>46239.06516880787</x:v>
      </x:c>
      <x:c r="G351" t="n">
        <x:v>46239.264718101855</x:v>
      </x:c>
      <x:c r="H351" t="n">
        <x:v>46239.06516880787</x:v>
      </x:c>
      <x:c r="I351" t="str">
        <x:v>Electronic Permit To Work - ePTW KPOC</x:v>
      </x:c>
      <x:c r="J351" t="str">
        <x:v>Implementation of ePTW system and Support &amp; Maintenance for Kebabangan Petroleum Operating Company Sdn. Bhd (KPOC) for Virtus IP Sdn Bhd - ePTW Commercial (Production) (Formelrly known as: ePTW (KPOC))</x:v>
      </x:c>
      <x:c r="K351" t="str">
        <x:v>partial</x:v>
      </x:c>
      <x:c r="L351"/>
      <x:c r="M351" t="str">
        <x:v>sarkunan.tigarajan@petronas.com.my</x:v>
      </x:c>
      <x:c r="N351"/>
      <x:c r="O351"/>
      <x:c r="P351" t="str">
        <x:v>UAUC for VirtusIP already Lift and Shift to VirtusIP Environment </x:v>
      </x:c>
      <x:c r="Q351" t="str">
        <x:v>1M</x:v>
      </x:c>
      <x:c r="R351" t="str">
        <x:v>Cloud Migration</x:v>
      </x:c>
      <x:c r="S351"/>
      <x:c r="T351" t="str">
        <x:v>rejected</x:v>
      </x:c>
      <x:c r="U351" t="str">
        <x:v>mfaizal.suriyat@petronas.com</x:v>
      </x:c>
      <x:c r="V351" t="n">
        <x:v>46239.26471811342</x:v>
      </x:c>
      <x:c r="W351"/>
      <x:c r="X351"/>
      <x:c r="Y351" t="str">
        <x:v>sarkunan.tigarajan@petronas.com</x:v>
      </x:c>
      <x:c r="Z351"/>
      <x:c r="AA351"/>
      <x:c r="AB351"/>
      <x:c r="AC351" t="str">
        <x:v>CCoE SA</x:v>
      </x:c>
      <x:c r="AD351"/>
      <x:c r="AE351"/>
      <x:c r="AF351"/>
      <x:c r="AG351" t="str">
        <x:v>IMS - CLOUD CSSP EXECUTOR</x:v>
      </x:c>
      <x:c r="AH351"/>
      <x:c r="AI351"/>
      <x:c r="AJ351" t="str">
        <x:v>A-000295</x:v>
      </x:c>
      <x:c r="AK351" t="n">
        <x:v>2315</x:v>
      </x:c>
      <x:c r="AL351"/>
      <x:c r="AM351"/>
      <x:c r="AN351" t="str">
        <x:v>disposal</x:v>
      </x:c>
      <x:c r="AO351" t="n">
        <x:v>0</x:v>
      </x:c>
      <x:c r="AP351" s="23" t="str">
        <x:f>IF(E351="processing",IF(Z351="","",IF(ISNUMBER(Z351),INT(Z351),DATE(VALUE(LEFT(Z351,4)),VALUE(MID(Z351,6,2)),VALUE(MID(Z351,9,2))))),IF(OR(E351="executing",E351="pending"),IF(AD351="","",IF(ISNUMBER(AD351),INT(AD351),DATE(VALUE(LEFT(AD351,4)),VALUE(MID(AD351,6,2)),VALUE(MID(AD351,9,2))))),""))</x:f>
      </x:c>
      <x:c r="AQ351" s="24" t="str">
        <x:f>IF(AP351="","",INT('Configuration'!$B$4)-AP351)</x:f>
      </x:c>
      <x:c r="AR351" s="25" t="str">
        <x:f>IF(AP351="","Missing Required Date",IF(AQ351&lt;0,"Future Date",IF(AQ351=0,"0 days",IF(AQ351&lt;=2,"1-2 days",IF(AQ351&lt;=7,"3-7 days",IF(AQ351&lt;=14,"8-14 days",IF(AQ351&lt;=30,"15-30 days",IF(AQ351&lt;=60,"31-60 days",IF(AQ351&lt;=70,"61-70 days","71+ days")))))))))</x:f>
        <x:v>Missing Required Date</x:v>
      </x:c>
      <x:c r="AS351" s="25" t="str">
        <x:f>IF(OR(E351="processing",E351="executing",E351="pending"),IF(AP351="","Required aging date missing",IF(AQ351&gt;30,"Escalate &gt;30d",IF(AQ351&gt;14,"Watch &gt;14d","Within 14d"))),"Out of scope")</x:f>
        <x:v>Out of scope</x:v>
      </x:c>
    </x:row>
    <x:row r="352" ht="24" customHeight="1">
      <x:c r="A352" t="str">
        <x:v>9388d789-9330-4ca0-84ca-63ff843fb1f1</x:v>
      </x:c>
      <x:c r="B352" t="str">
        <x:v>CSSP10409981</x:v>
      </x:c>
      <x:c r="C352" t="str">
        <x:v>taufiq.tomadan@petronas.com</x:v>
      </x:c>
      <x:c r="D352" t="str">
        <x:v>decommission-cloud</x:v>
      </x:c>
      <x:c r="E352" t="str">
        <x:v>cancelled</x:v>
      </x:c>
      <x:c r="F352" t="n">
        <x:v>46239.07830583333</x:v>
      </x:c>
      <x:c r="G352" t="n">
        <x:v>46239.078833761574</x:v>
      </x:c>
      <x:c r="H352" t="n">
        <x:v>46239.07830583333</x:v>
      </x:c>
      <x:c r="I352" t="str">
        <x:v>Electronic Permit To Work - ePTW KPOC</x:v>
      </x:c>
      <x:c r="J352" t="str">
        <x:v>Implementation of ePTW system and Support &amp; Maintenance for Kebabangan Petroleum Operating Company Sdn. Bhd (KPOC) for Virtus IP Sdn Bhd - ePTW Commercial (Production) (Formelrly known as: ePTW (KPOC))_(Managed)</x:v>
      </x:c>
      <x:c r="K352" t="str">
        <x:v>partial</x:v>
      </x:c>
      <x:c r="L352"/>
      <x:c r="M352" t="str">
        <x:v>mfaizal.suriyat@petronas.com</x:v>
      </x:c>
      <x:c r="N352"/>
      <x:c r="O352"/>
      <x:c r="P352" t="str">
        <x:v>decomm</x:v>
      </x:c>
      <x:c r="Q352" t="str">
        <x:v>1M</x:v>
      </x:c>
      <x:c r="R352" t="str">
        <x:v>Cloud Migration</x:v>
      </x:c>
      <x:c r="S352"/>
      <x:c r="T352" t="str">
        <x:v>rejected</x:v>
      </x:c>
      <x:c r="U352" t="str">
        <x:v>taufiq.tomadan@petronas.com</x:v>
      </x:c>
      <x:c r="V352" t="n">
        <x:v>46239.07883377315</x:v>
      </x:c>
      <x:c r="W352"/>
      <x:c r="X352"/>
      <x:c r="Y352" t="str">
        <x:v>mfaizal.suriyat@petronas.com</x:v>
      </x:c>
      <x:c r="Z352"/>
      <x:c r="AA352"/>
      <x:c r="AB352"/>
      <x:c r="AC352" t="str">
        <x:v>CCoE SA</x:v>
      </x:c>
      <x:c r="AD352"/>
      <x:c r="AE352"/>
      <x:c r="AF352"/>
      <x:c r="AG352" t="str">
        <x:v>IMS - CLOUD CSSP EXECUTOR</x:v>
      </x:c>
      <x:c r="AH352"/>
      <x:c r="AI352"/>
      <x:c r="AJ352" t="str">
        <x:v>A-000295</x:v>
      </x:c>
      <x:c r="AK352" t="str">
        <x:v>02315_1</x:v>
      </x:c>
      <x:c r="AL352"/>
      <x:c r="AM352"/>
      <x:c r="AN352" t="str">
        <x:v>noretention</x:v>
      </x:c>
      <x:c r="AO352" t="n">
        <x:v>0</x:v>
      </x:c>
      <x:c r="AP352" s="23" t="str">
        <x:f>IF(E352="processing",IF(Z352="","",IF(ISNUMBER(Z352),INT(Z352),DATE(VALUE(LEFT(Z352,4)),VALUE(MID(Z352,6,2)),VALUE(MID(Z352,9,2))))),IF(OR(E352="executing",E352="pending"),IF(AD352="","",IF(ISNUMBER(AD352),INT(AD352),DATE(VALUE(LEFT(AD352,4)),VALUE(MID(AD352,6,2)),VALUE(MID(AD352,9,2))))),""))</x:f>
      </x:c>
      <x:c r="AQ352" s="24" t="str">
        <x:f>IF(AP352="","",INT('Configuration'!$B$4)-AP352)</x:f>
      </x:c>
      <x:c r="AR352" s="25" t="str">
        <x:f>IF(AP352="","Missing Required Date",IF(AQ352&lt;0,"Future Date",IF(AQ352=0,"0 days",IF(AQ352&lt;=2,"1-2 days",IF(AQ352&lt;=7,"3-7 days",IF(AQ352&lt;=14,"8-14 days",IF(AQ352&lt;=30,"15-30 days",IF(AQ352&lt;=60,"31-60 days",IF(AQ352&lt;=70,"61-70 days","71+ days")))))))))</x:f>
        <x:v>Missing Required Date</x:v>
      </x:c>
      <x:c r="AS352" s="25" t="str">
        <x:f>IF(OR(E352="processing",E352="executing",E352="pending"),IF(AP352="","Required aging date missing",IF(AQ352&gt;30,"Escalate &gt;30d",IF(AQ352&gt;14,"Watch &gt;14d","Within 14d"))),"Out of scope")</x:f>
        <x:v>Out of scope</x:v>
      </x:c>
    </x:row>
    <x:row r="353" ht="24" customHeight="1">
      <x:c r="A353" t="str">
        <x:v>0d77f592-62d9-441b-9cd2-63ce19b3070c</x:v>
      </x:c>
      <x:c r="B353" t="str">
        <x:v>CSSP10898975</x:v>
      </x:c>
      <x:c r="C353" t="str">
        <x:v>taufiq.tomadan@petronas.com</x:v>
      </x:c>
      <x:c r="D353" t="str">
        <x:v>decommission-cloud</x:v>
      </x:c>
      <x:c r="E353" t="str">
        <x:v>pending</x:v>
      </x:c>
      <x:c r="F353" t="n">
        <x:v>46239.080210381944</x:v>
      </x:c>
      <x:c r="G353" t="n">
        <x:v>46239.080210381944</x:v>
      </x:c>
      <x:c r="H353" t="n">
        <x:v>46239.080210381944</x:v>
      </x:c>
      <x:c r="I353" t="str">
        <x:v>Electronic Permit To Work - ePTW KPOC</x:v>
      </x:c>
      <x:c r="J353" t="str">
        <x:v>Implementation of ePTW system and Support &amp; Maintenance for Kebabangan Petroleum Operating Company Sdn. Bhd (KPOC) for Virtus IP Sdn Bhd - ePTW Commercial (Production) (Formelrly known as: ePTW (KPOC))</x:v>
      </x:c>
      <x:c r="K353" t="str">
        <x:v>partial</x:v>
      </x:c>
      <x:c r="L353"/>
      <x:c r="M353" t="str">
        <x:v>taufiq.tomadan@petronas.com</x:v>
      </x:c>
      <x:c r="N353"/>
      <x:c r="O353"/>
      <x:c r="P353" t="str">
        <x:v>decomm</x:v>
      </x:c>
      <x:c r="Q353" t="str">
        <x:v>1M</x:v>
      </x:c>
      <x:c r="R353" t="str">
        <x:v>Cloud Migration</x:v>
      </x:c>
      <x:c r="S353"/>
      <x:c r="T353" t="str">
        <x:v>pending</x:v>
      </x:c>
      <x:c r="U353" t="str">
        <x:v>taufiq.tomadan@petronas.com</x:v>
      </x:c>
      <x:c r="V353"/>
      <x:c r="W353"/>
      <x:c r="X353"/>
      <x:c r="Y353" t="str">
        <x:v>taufiq.tomadan@petronas.com</x:v>
      </x:c>
      <x:c r="Z353"/>
      <x:c r="AA353"/>
      <x:c r="AB353"/>
      <x:c r="AC353" t="str">
        <x:v>CCoE SA</x:v>
      </x:c>
      <x:c r="AD353"/>
      <x:c r="AE353"/>
      <x:c r="AF353"/>
      <x:c r="AG353" t="str">
        <x:v>IMS - CLOUD CSSP EXECUTOR</x:v>
      </x:c>
      <x:c r="AH353"/>
      <x:c r="AI353"/>
      <x:c r="AJ353" t="str">
        <x:v>A-000295</x:v>
      </x:c>
      <x:c r="AK353" t="n">
        <x:v>2315</x:v>
      </x:c>
      <x:c r="AL353"/>
      <x:c r="AM353"/>
      <x:c r="AN353" t="str">
        <x:v>noretention</x:v>
      </x:c>
      <x:c r="AO353" t="n">
        <x:v>0</x:v>
      </x:c>
      <x:c r="AP353" s="23" t="str">
        <x:f>IF(E353="processing",IF(Z353="","",IF(ISNUMBER(Z353),INT(Z353),DATE(VALUE(LEFT(Z353,4)),VALUE(MID(Z353,6,2)),VALUE(MID(Z353,9,2))))),IF(OR(E353="executing",E353="pending"),IF(AD353="","",IF(ISNUMBER(AD353),INT(AD353),DATE(VALUE(LEFT(AD353,4)),VALUE(MID(AD353,6,2)),VALUE(MID(AD353,9,2))))),""))</x:f>
      </x:c>
      <x:c r="AQ353" s="24" t="str">
        <x:f>IF(AP353="","",INT('Configuration'!$B$4)-AP353)</x:f>
      </x:c>
      <x:c r="AR353" s="25" t="str">
        <x:f>IF(AP353="","Missing Required Date",IF(AQ353&lt;0,"Future Date",IF(AQ353=0,"0 days",IF(AQ353&lt;=2,"1-2 days",IF(AQ353&lt;=7,"3-7 days",IF(AQ353&lt;=14,"8-14 days",IF(AQ353&lt;=30,"15-30 days",IF(AQ353&lt;=60,"31-60 days",IF(AQ353&lt;=70,"61-70 days","71+ days")))))))))</x:f>
        <x:v>Missing Required Date</x:v>
      </x:c>
      <x:c r="AS353" s="25" t="str">
        <x:f>IF(OR(E353="processing",E353="executing",E353="pending"),IF(AP353="","Required aging date missing",IF(AQ353&gt;30,"Escalate &gt;30d",IF(AQ353&gt;14,"Watch &gt;14d","Within 14d"))),"Out of scope")</x:f>
        <x:v>Required aging date missing</x:v>
      </x:c>
    </x:row>
    <x:row r="354" ht="24" customHeight="1">
      <x:c r="A354" t="str">
        <x:v>2b7a0254-84dd-49e5-bac0-853d0ccf875e</x:v>
      </x:c>
      <x:c r="B354" t="str">
        <x:v>CSSP10733854</x:v>
      </x:c>
      <x:c r="C354" t="str">
        <x:v>mfaizal.suriyat@petronas.com</x:v>
      </x:c>
      <x:c r="D354" t="str">
        <x:v>decommission-cloud</x:v>
      </x:c>
      <x:c r="E354" t="str">
        <x:v>executing</x:v>
      </x:c>
      <x:c r="F354" t="n">
        <x:v>46239.19293790509</x:v>
      </x:c>
      <x:c r="G354" t="n">
        <x:v>46246.64845259259</x:v>
      </x:c>
      <x:c r="H354" t="n">
        <x:v>46239.19293790509</x:v>
      </x:c>
      <x:c r="I354" t="str">
        <x:v>Electronic Permit To Work - ePTW KPOC</x:v>
      </x:c>
      <x:c r="J354" t="str">
        <x:v>Implementation of ePTW system and Support &amp; Maintenance for Kebabangan Petroleum Operating Company Sdn. Bhd (KPOC) for Virtus IP Sdn Bhd - ePTW Commercial (Production) (Formelrly known as: ePTW (KPOC))</x:v>
      </x:c>
      <x:c r="K354" t="str">
        <x:v>partial</x:v>
      </x:c>
      <x:c r="L354"/>
      <x:c r="M354" t="str">
        <x:v>sarkunan.tigarajan@petronas.com.my</x:v>
      </x:c>
      <x:c r="N354"/>
      <x:c r="O354"/>
      <x:c r="P354" t="str">
        <x:v>UAUC For commercial already Lift and Shift to 'VirtusIP CLoud Environment'. Decom to RG PTAZSG-IAC-PROD-UAUC-RG
and all component under this RG</x:v>
      </x:c>
      <x:c r="Q354" t="str">
        <x:v>1M</x:v>
      </x:c>
      <x:c r="R354" t="str">
        <x:v>Cloud Migration</x:v>
      </x:c>
      <x:c r="S354"/>
      <x:c r="T354" t="str">
        <x:v>approved</x:v>
      </x:c>
      <x:c r="U354" t="str">
        <x:v>mfaizal.suriyat@petronas.com</x:v>
      </x:c>
      <x:c r="V354" t="n">
        <x:v>46239.19385827547</x:v>
      </x:c>
      <x:c r="W354" t="str">
        <x:v>DECOM RG PTAZSG-IAC-PROD-UAUC-RG and all component under this RG, please refer attached excel.
</x:v>
      </x:c>
      <x:c r="X354" t="str">
        <x:v>approved</x:v>
      </x:c>
      <x:c r="Y354" t="str">
        <x:v>sarkunan.tigarajan@petronas.com</x:v>
      </x:c>
      <x:c r="Z354" t="n">
        <x:v>46241.15537043982</x:v>
      </x:c>
      <x:c r="AA354" t="str">
        <x:v>Reviewed</x:v>
      </x:c>
      <x:c r="AB354" t="str">
        <x:v>approved</x:v>
      </x:c>
      <x:c r="AC354" t="str">
        <x:v>abhishek.bhowate@petronas.com</x:v>
      </x:c>
      <x:c r="AD354" t="n">
        <x:v>46246.64845260417</x:v>
      </x:c>
      <x:c r="AE354" t="str">
        <x:v>Approve</x:v>
      </x:c>
      <x:c r="AF354"/>
      <x:c r="AG354" t="str">
        <x:v>mardiansyah.rayasa@petronas.com</x:v>
      </x:c>
      <x:c r="AH354"/>
      <x:c r="AI354"/>
      <x:c r="AJ354" t="str">
        <x:v>A-000295</x:v>
      </x:c>
      <x:c r="AK354" t="n">
        <x:v>2315</x:v>
      </x:c>
      <x:c r="AL354" t="str">
        <x:v>M</x:v>
      </x:c>
      <x:c r="AM354" t="str">
        <x:v>REQ000008238285</x:v>
      </x:c>
      <x:c r="AN354" t="str">
        <x:v>noretention</x:v>
      </x:c>
      <x:c r="AO354" t="n">
        <x:v>0</x:v>
      </x:c>
      <x:c r="AP354" s="23" t="n">
        <x:f>IF(E354="processing",IF(Z354="","",IF(ISNUMBER(Z354),INT(Z354),DATE(VALUE(LEFT(Z354,4)),VALUE(MID(Z354,6,2)),VALUE(MID(Z354,9,2))))),IF(OR(E354="executing",E354="pending"),IF(AD354="","",IF(ISNUMBER(AD354),INT(AD354),DATE(VALUE(LEFT(AD354,4)),VALUE(MID(AD354,6,2)),VALUE(MID(AD354,9,2))))),""))</x:f>
        <x:v>46246</x:v>
      </x:c>
      <x:c r="AQ354" s="24" t="n">
        <x:f>IF(AP354="","",INT('Configuration'!$B$4)-AP354)</x:f>
        <x:v>5</x:v>
      </x:c>
      <x:c r="AR354" s="25" t="str">
        <x:f>IF(AP354="","Missing Required Date",IF(AQ354&lt;0,"Future Date",IF(AQ354=0,"0 days",IF(AQ354&lt;=2,"1-2 days",IF(AQ354&lt;=7,"3-7 days",IF(AQ354&lt;=14,"8-14 days",IF(AQ354&lt;=30,"15-30 days",IF(AQ354&lt;=60,"31-60 days",IF(AQ354&lt;=70,"61-70 days","71+ days")))))))))</x:f>
        <x:v>3-7 days</x:v>
      </x:c>
      <x:c r="AS354" s="25" t="str">
        <x:f>IF(OR(E354="processing",E354="executing",E354="pending"),IF(AP354="","Required aging date missing",IF(AQ354&gt;30,"Escalate &gt;30d",IF(AQ354&gt;14,"Watch &gt;14d","Within 14d"))),"Out of scope")</x:f>
        <x:v>Within 14d</x:v>
      </x:c>
    </x:row>
    <x:row r="355" ht="24" customHeight="1">
      <x:c r="A355" t="str">
        <x:v>8db0f0f8-064a-4b6d-8983-cb268802ef6d</x:v>
      </x:c>
      <x:c r="B355" t="str">
        <x:v>CSSP10446011</x:v>
      </x:c>
      <x:c r="C355" t="str">
        <x:v>mfaizal.suriyat@petronas.com</x:v>
      </x:c>
      <x:c r="D355" t="str">
        <x:v>decommission-cloud</x:v>
      </x:c>
      <x:c r="E355" t="str">
        <x:v>executing</x:v>
      </x:c>
      <x:c r="F355" t="n">
        <x:v>46239.26227339121</x:v>
      </x:c>
      <x:c r="G355" t="n">
        <x:v>46246.64816787037</x:v>
      </x:c>
      <x:c r="H355" t="n">
        <x:v>46239.26227339121</x:v>
      </x:c>
      <x:c r="I355" t="str">
        <x:v>Electronic Permit To Work - ePTW KPOC</x:v>
      </x:c>
      <x:c r="J355" t="str">
        <x:v>Implementation of ePTW system and Support &amp; Maintenance for Kebabangan Petroleum Operating Company Sdn. Bhd (KPOC) for Virtus IP Sdn Bhd - ePTW Commercial (Production) (Formelrly known as: ePTW (KPOC))_(Managed)</x:v>
      </x:c>
      <x:c r="K355" t="str">
        <x:v>partial</x:v>
      </x:c>
      <x:c r="L355"/>
      <x:c r="M355" t="str">
        <x:v>sarkunan.tigarajan@petronas.com.my</x:v>
      </x:c>
      <x:c r="N355"/>
      <x:c r="O355"/>
      <x:c r="P355" t="str">
        <x:v>UAUC Commercial already Lift and Shift to VIPSB Env</x:v>
      </x:c>
      <x:c r="Q355" t="str">
        <x:v>1M</x:v>
      </x:c>
      <x:c r="R355" t="str">
        <x:v>Cloud Migration</x:v>
      </x:c>
      <x:c r="S355"/>
      <x:c r="T355" t="str">
        <x:v>approved</x:v>
      </x:c>
      <x:c r="U355" t="str">
        <x:v>mfaizal.suriyat@petronas.com</x:v>
      </x:c>
      <x:c r="V355" t="n">
        <x:v>46239.26363706018</x:v>
      </x:c>
      <x:c r="W355" t="str">
        <x:v>Decom all component under RG PTAZSG-IAC-UAT-EPTWUAUC-RG and RG, Please dont refer to project code.</x:v>
      </x:c>
      <x:c r="X355" t="str">
        <x:v>approved</x:v>
      </x:c>
      <x:c r="Y355" t="str">
        <x:v>sarkunan.tigarajan@petronas.com</x:v>
      </x:c>
      <x:c r="Z355" t="n">
        <x:v>46241.155705185185</x:v>
      </x:c>
      <x:c r="AA355" t="str">
        <x:v>Reviewed</x:v>
      </x:c>
      <x:c r="AB355" t="str">
        <x:v>approved</x:v>
      </x:c>
      <x:c r="AC355" t="str">
        <x:v>abhishek.bhowate@petronas.com</x:v>
      </x:c>
      <x:c r="AD355" t="n">
        <x:v>46246.64816788195</x:v>
      </x:c>
      <x:c r="AE355" t="str">
        <x:v>approve</x:v>
      </x:c>
      <x:c r="AF355"/>
      <x:c r="AG355" t="str">
        <x:v>mardiansyah.rayasa@petronas.com</x:v>
      </x:c>
      <x:c r="AH355"/>
      <x:c r="AI355"/>
      <x:c r="AJ355" t="str">
        <x:v>A-000295</x:v>
      </x:c>
      <x:c r="AK355" t="str">
        <x:v>02315_1</x:v>
      </x:c>
      <x:c r="AL355" t="str">
        <x:v>M</x:v>
      </x:c>
      <x:c r="AM355" t="str">
        <x:v>REQ000008238284</x:v>
      </x:c>
      <x:c r="AN355" t="str">
        <x:v>noretention</x:v>
      </x:c>
      <x:c r="AO355" t="n">
        <x:v>0</x:v>
      </x:c>
      <x:c r="AP355" s="23" t="n">
        <x:f>IF(E355="processing",IF(Z355="","",IF(ISNUMBER(Z355),INT(Z355),DATE(VALUE(LEFT(Z355,4)),VALUE(MID(Z355,6,2)),VALUE(MID(Z355,9,2))))),IF(OR(E355="executing",E355="pending"),IF(AD355="","",IF(ISNUMBER(AD355),INT(AD355),DATE(VALUE(LEFT(AD355,4)),VALUE(MID(AD355,6,2)),VALUE(MID(AD355,9,2))))),""))</x:f>
        <x:v>46246</x:v>
      </x:c>
      <x:c r="AQ355" s="24" t="n">
        <x:f>IF(AP355="","",INT('Configuration'!$B$4)-AP355)</x:f>
        <x:v>5</x:v>
      </x:c>
      <x:c r="AR355" s="25" t="str">
        <x:f>IF(AP355="","Missing Required Date",IF(AQ355&lt;0,"Future Date",IF(AQ355=0,"0 days",IF(AQ355&lt;=2,"1-2 days",IF(AQ355&lt;=7,"3-7 days",IF(AQ355&lt;=14,"8-14 days",IF(AQ355&lt;=30,"15-30 days",IF(AQ355&lt;=60,"31-60 days",IF(AQ355&lt;=70,"61-70 days","71+ days")))))))))</x:f>
        <x:v>3-7 days</x:v>
      </x:c>
      <x:c r="AS355" s="25" t="str">
        <x:f>IF(OR(E355="processing",E355="executing",E355="pending"),IF(AP355="","Required aging date missing",IF(AQ355&gt;30,"Escalate &gt;30d",IF(AQ355&gt;14,"Watch &gt;14d","Within 14d"))),"Out of scope")</x:f>
        <x:v>Within 14d</x:v>
      </x:c>
    </x:row>
    <x:row r="356" ht="24" customHeight="1">
      <x:c r="A356" t="str">
        <x:v>3c48ffed-1aa5-4b14-908b-d316ea4981cf</x:v>
      </x:c>
      <x:c r="B356" t="str">
        <x:v>CSSP10521586</x:v>
      </x:c>
      <x:c r="C356" t="str">
        <x:v>mzurfaiezzuddin.zur@petronas.com</x:v>
      </x:c>
      <x:c r="D356" t="str">
        <x:v>decommission-cloud</x:v>
      </x:c>
      <x:c r="E356" t="str">
        <x:v>executing</x:v>
      </x:c>
      <x:c r="F356" t="n">
        <x:v>46240.08482730324</x:v>
      </x:c>
      <x:c r="G356" t="n">
        <x:v>46246.64777236111</x:v>
      </x:c>
      <x:c r="H356" t="n">
        <x:v>46240.08482730324</x:v>
      </x:c>
      <x:c r="I356" t="str">
        <x:v>Cognite Data Fusion - CDF</x:v>
      </x:c>
      <x:c r="J356" t="str">
        <x:v>Subscription and Deployment of Upstream Data Contextualization (UDC) for Resak, Peninsular Malaysia Assets (PMA)</x:v>
      </x:c>
      <x:c r="K356" t="str">
        <x:v>partial</x:v>
      </x:c>
      <x:c r="L356"/>
      <x:c r="M356" t="str">
        <x:v>sazali.mokhtar@petronas.com</x:v>
      </x:c>
      <x:c r="N356"/>
      <x:c r="O356"/>
      <x:c r="P356" t="str">
        <x:v>Cloud Repatriation - To decommission old resources in Singapore region due to completed migration in MY region</x:v>
      </x:c>
      <x:c r="Q356" t="str">
        <x:v>2W</x:v>
      </x:c>
      <x:c r="R356" t="str">
        <x:v>Cloud Migration</x:v>
      </x:c>
      <x:c r="S356"/>
      <x:c r="T356" t="str">
        <x:v>approved</x:v>
      </x:c>
      <x:c r="U356" t="str">
        <x:v>mzurfaiezzuddin.zur@petronas.com</x:v>
      </x:c>
      <x:c r="V356" t="n">
        <x:v>46240.08537221065</x:v>
      </x:c>
      <x:c r="W356" t="str">
        <x:v>Cloud Repatriation - To decommission old resources in Singapore region due to completed migration in Malaysia region</x:v>
      </x:c>
      <x:c r="X356" t="str">
        <x:v>approved</x:v>
      </x:c>
      <x:c r="Y356" t="str">
        <x:v>sazali.mokhtar@petronas.com</x:v>
      </x:c>
      <x:c r="Z356" t="n">
        <x:v>46241.44211027778</x:v>
      </x:c>
      <x:c r="AA356" t="str">
        <x:v>Cloud Repatriation - To decommission old resources in Singapore region due to completed migration in MY region</x:v>
      </x:c>
      <x:c r="AB356" t="str">
        <x:v>approved</x:v>
      </x:c>
      <x:c r="AC356" t="str">
        <x:v>abhishek.bhowate@petronas.com</x:v>
      </x:c>
      <x:c r="AD356" t="n">
        <x:v>46246.647772372686</x:v>
      </x:c>
      <x:c r="AE356" t="str">
        <x:v>Approve</x:v>
      </x:c>
      <x:c r="AF356"/>
      <x:c r="AG356" t="str">
        <x:v>swaminadh.chirakala@petronas.com</x:v>
      </x:c>
      <x:c r="AH356"/>
      <x:c r="AI356"/>
      <x:c r="AJ356" t="str">
        <x:v>A-000105</x:v>
      </x:c>
      <x:c r="AK356" t="n">
        <x:v>3837</x:v>
      </x:c>
      <x:c r="AL356" t="str">
        <x:v>L</x:v>
      </x:c>
      <x:c r="AM356" t="str">
        <x:v>REQ000008238283</x:v>
      </x:c>
      <x:c r="AN356" t="str">
        <x:v>noretention</x:v>
      </x:c>
      <x:c r="AO356" t="n">
        <x:v>0</x:v>
      </x:c>
      <x:c r="AP356" s="23" t="n">
        <x:f>IF(E356="processing",IF(Z356="","",IF(ISNUMBER(Z356),INT(Z356),DATE(VALUE(LEFT(Z356,4)),VALUE(MID(Z356,6,2)),VALUE(MID(Z356,9,2))))),IF(OR(E356="executing",E356="pending"),IF(AD356="","",IF(ISNUMBER(AD356),INT(AD356),DATE(VALUE(LEFT(AD356,4)),VALUE(MID(AD356,6,2)),VALUE(MID(AD356,9,2))))),""))</x:f>
        <x:v>46246</x:v>
      </x:c>
      <x:c r="AQ356" s="24" t="n">
        <x:f>IF(AP356="","",INT('Configuration'!$B$4)-AP356)</x:f>
        <x:v>5</x:v>
      </x:c>
      <x:c r="AR356" s="25" t="str">
        <x:f>IF(AP356="","Missing Required Date",IF(AQ356&lt;0,"Future Date",IF(AQ356=0,"0 days",IF(AQ356&lt;=2,"1-2 days",IF(AQ356&lt;=7,"3-7 days",IF(AQ356&lt;=14,"8-14 days",IF(AQ356&lt;=30,"15-30 days",IF(AQ356&lt;=60,"31-60 days",IF(AQ356&lt;=70,"61-70 days","71+ days")))))))))</x:f>
        <x:v>3-7 days</x:v>
      </x:c>
      <x:c r="AS356" s="25" t="str">
        <x:f>IF(OR(E356="processing",E356="executing",E356="pending"),IF(AP356="","Required aging date missing",IF(AQ356&gt;30,"Escalate &gt;30d",IF(AQ356&gt;14,"Watch &gt;14d","Within 14d"))),"Out of scope")</x:f>
        <x:v>Within 14d</x:v>
      </x:c>
    </x:row>
    <x:row r="357" ht="24" customHeight="1">
      <x:c r="A357" t="str">
        <x:v>d3bc0573-a7bf-40c8-9793-c49c15cd9e31</x:v>
      </x:c>
      <x:c r="B357" t="str">
        <x:v>CSSP10872182</x:v>
      </x:c>
      <x:c r="C357" t="str">
        <x:v>saufi.tahwil@petronas.com</x:v>
      </x:c>
      <x:c r="D357" t="str">
        <x:v>decommission-cloud</x:v>
      </x:c>
      <x:c r="E357" t="str">
        <x:v>pending</x:v>
      </x:c>
      <x:c r="F357" t="n">
        <x:v>46240.19440221065</x:v>
      </x:c>
      <x:c r="G357" t="n">
        <x:v>46240.19500856481</x:v>
      </x:c>
      <x:c r="H357" t="n">
        <x:v>46240.19440221065</x:v>
      </x:c>
      <x:c r="I357" t="str">
        <x:v>Cyber Security Privileged Identity Management - PIM</x:v>
      </x:c>
      <x:c r="J357" t="str">
        <x:v>Provisioning and Deployment AWS of Privileged Identity Management (PIM) for PETRONAS</x:v>
      </x:c>
      <x:c r="K357" t="str">
        <x:v>full</x:v>
      </x:c>
      <x:c r="L357" t="str">
        <x:v>NA</x:v>
      </x:c>
      <x:c r="M357" t="str">
        <x:v>tanbeekhim@petronas.com</x:v>
      </x:c>
      <x:c r="N357"/>
      <x:c r="O357"/>
      <x:c r="P357" t="str">
        <x:v>to decom server that no longer in use</x:v>
      </x:c>
      <x:c r="Q357" t="str">
        <x:v>2W</x:v>
      </x:c>
      <x:c r="R357" t="str">
        <x:v>Not in Used</x:v>
      </x:c>
      <x:c r="S357"/>
      <x:c r="T357" t="str">
        <x:v>approved</x:v>
      </x:c>
      <x:c r="U357" t="str">
        <x:v>saufi.tahwil@petronas.com</x:v>
      </x:c>
      <x:c r="V357" t="n">
        <x:v>46240.19500857639</x:v>
      </x:c>
      <x:c r="W357" t="str">
        <x:v>pls proceed to decom</x:v>
      </x:c>
      <x:c r="X357"/>
      <x:c r="Y357" t="str">
        <x:v>tanbeekhim@petronas.com</x:v>
      </x:c>
      <x:c r="Z357"/>
      <x:c r="AA357"/>
      <x:c r="AB357"/>
      <x:c r="AC357" t="str">
        <x:v>CCoE SA</x:v>
      </x:c>
      <x:c r="AD357"/>
      <x:c r="AE357"/>
      <x:c r="AF357"/>
      <x:c r="AG357" t="str">
        <x:v>IMS - CLOUD CSSP EXECUTOR</x:v>
      </x:c>
      <x:c r="AH357"/>
      <x:c r="AI357"/>
      <x:c r="AJ357" t="str">
        <x:v>A-000174</x:v>
      </x:c>
      <x:c r="AK357" t="str">
        <x:v>PSR03903</x:v>
      </x:c>
      <x:c r="AL357"/>
      <x:c r="AM357"/>
      <x:c r="AN357" t="str">
        <x:v>noretention</x:v>
      </x:c>
      <x:c r="AO357" t="n">
        <x:v>0</x:v>
      </x:c>
      <x:c r="AP357" s="23" t="str">
        <x:f>IF(E357="processing",IF(Z357="","",IF(ISNUMBER(Z357),INT(Z357),DATE(VALUE(LEFT(Z357,4)),VALUE(MID(Z357,6,2)),VALUE(MID(Z357,9,2))))),IF(OR(E357="executing",E357="pending"),IF(AD357="","",IF(ISNUMBER(AD357),INT(AD357),DATE(VALUE(LEFT(AD357,4)),VALUE(MID(AD357,6,2)),VALUE(MID(AD357,9,2))))),""))</x:f>
      </x:c>
      <x:c r="AQ357" s="24" t="str">
        <x:f>IF(AP357="","",INT('Configuration'!$B$4)-AP357)</x:f>
      </x:c>
      <x:c r="AR357" s="25" t="str">
        <x:f>IF(AP357="","Missing Required Date",IF(AQ357&lt;0,"Future Date",IF(AQ357=0,"0 days",IF(AQ357&lt;=2,"1-2 days",IF(AQ357&lt;=7,"3-7 days",IF(AQ357&lt;=14,"8-14 days",IF(AQ357&lt;=30,"15-30 days",IF(AQ357&lt;=60,"31-60 days",IF(AQ357&lt;=70,"61-70 days","71+ days")))))))))</x:f>
        <x:v>Missing Required Date</x:v>
      </x:c>
      <x:c r="AS357" s="25" t="str">
        <x:f>IF(OR(E357="processing",E357="executing",E357="pending"),IF(AP357="","Required aging date missing",IF(AQ357&gt;30,"Escalate &gt;30d",IF(AQ357&gt;14,"Watch &gt;14d","Within 14d"))),"Out of scope")</x:f>
        <x:v>Required aging date missing</x:v>
      </x:c>
    </x:row>
    <x:row r="358" ht="24" customHeight="1">
      <x:c r="A358" t="str">
        <x:v>2fbadd2e-cc2f-4c74-bc87-0e3c7a437d7d</x:v>
      </x:c>
      <x:c r="B358" t="str">
        <x:v>CSSP10945256</x:v>
      </x:c>
      <x:c r="C358" t="str">
        <x:v>marziah.mahmod@petronas.com</x:v>
      </x:c>
      <x:c r="D358" t="str">
        <x:v>decommission-cloud</x:v>
      </x:c>
      <x:c r="E358" t="str">
        <x:v>executing</x:v>
      </x:c>
      <x:c r="F358" t="n">
        <x:v>46241.083838125</x:v>
      </x:c>
      <x:c r="G358" t="n">
        <x:v>46246.64713709491</x:v>
      </x:c>
      <x:c r="H358" t="n">
        <x:v>46241.083838125</x:v>
      </x:c>
      <x:c r="I358" t="str">
        <x:v>Plant Information - PI Enterprise</x:v>
      </x:c>
      <x:c r="J358" t="str">
        <x:v>CTP Old to New LZ - PI Enterprise</x:v>
      </x:c>
      <x:c r="K358" t="str">
        <x:v>partial</x:v>
      </x:c>
      <x:c r="L358"/>
      <x:c r="M358" t="str">
        <x:v>mohammadsani.johari@petronas.com.my</x:v>
      </x:c>
      <x:c r="N358"/>
      <x:c r="O358"/>
      <x:c r="P358" t="str">
        <x:v>Cloud Migration</x:v>
      </x:c>
      <x:c r="Q358" t="str">
        <x:v>2W</x:v>
      </x:c>
      <x:c r="R358" t="str">
        <x:v>Cloud Migration</x:v>
      </x:c>
      <x:c r="S358"/>
      <x:c r="T358" t="str">
        <x:v>approved</x:v>
      </x:c>
      <x:c r="U358" t="str">
        <x:v>marziah.mahmod@petronas.com</x:v>
      </x:c>
      <x:c r="V358" t="n">
        <x:v>46241.087645590276</x:v>
      </x:c>
      <x:c r="W358" t="str">
        <x:v>Cloud Migration</x:v>
      </x:c>
      <x:c r="X358" t="str">
        <x:v>approved</x:v>
      </x:c>
      <x:c r="Y358" t="str">
        <x:v>mohammadsani.johari@petronas.com</x:v>
      </x:c>
      <x:c r="Z358" t="n">
        <x:v>46241.097662754626</x:v>
      </x:c>
      <x:c r="AA358" t="str">
        <x:v>Proceed to decom.</x:v>
      </x:c>
      <x:c r="AB358" t="str">
        <x:v>approved</x:v>
      </x:c>
      <x:c r="AC358" t="str">
        <x:v>abhishek.bhowate@petronas.com</x:v>
      </x:c>
      <x:c r="AD358" t="n">
        <x:v>46246.64713712963</x:v>
      </x:c>
      <x:c r="AE358" t="str">
        <x:v>approve</x:v>
      </x:c>
      <x:c r="AF358"/>
      <x:c r="AG358" t="str">
        <x:v>swaminadh.chirakala@petronas.com</x:v>
      </x:c>
      <x:c r="AH358"/>
      <x:c r="AI358"/>
      <x:c r="AJ358" t="str">
        <x:v>A-000568</x:v>
      </x:c>
      <x:c r="AK358" t="str">
        <x:v>02421_71</x:v>
      </x:c>
      <x:c r="AL358" t="str">
        <x:v>L</x:v>
      </x:c>
      <x:c r="AM358" t="str">
        <x:v>REQ000008237795</x:v>
      </x:c>
      <x:c r="AN358" t="str">
        <x:v>noretention</x:v>
      </x:c>
      <x:c r="AO358" t="n">
        <x:v>0</x:v>
      </x:c>
      <x:c r="AP358" s="23" t="n">
        <x:f>IF(E358="processing",IF(Z358="","",IF(ISNUMBER(Z358),INT(Z358),DATE(VALUE(LEFT(Z358,4)),VALUE(MID(Z358,6,2)),VALUE(MID(Z358,9,2))))),IF(OR(E358="executing",E358="pending"),IF(AD358="","",IF(ISNUMBER(AD358),INT(AD358),DATE(VALUE(LEFT(AD358,4)),VALUE(MID(AD358,6,2)),VALUE(MID(AD358,9,2))))),""))</x:f>
        <x:v>46246</x:v>
      </x:c>
      <x:c r="AQ358" s="24" t="n">
        <x:f>IF(AP358="","",INT('Configuration'!$B$4)-AP358)</x:f>
        <x:v>5</x:v>
      </x:c>
      <x:c r="AR358" s="25" t="str">
        <x:f>IF(AP358="","Missing Required Date",IF(AQ358&lt;0,"Future Date",IF(AQ358=0,"0 days",IF(AQ358&lt;=2,"1-2 days",IF(AQ358&lt;=7,"3-7 days",IF(AQ358&lt;=14,"8-14 days",IF(AQ358&lt;=30,"15-30 days",IF(AQ358&lt;=60,"31-60 days",IF(AQ358&lt;=70,"61-70 days","71+ days")))))))))</x:f>
        <x:v>3-7 days</x:v>
      </x:c>
      <x:c r="AS358" s="25" t="str">
        <x:f>IF(OR(E358="processing",E358="executing",E358="pending"),IF(AP358="","Required aging date missing",IF(AQ358&gt;30,"Escalate &gt;30d",IF(AQ358&gt;14,"Watch &gt;14d","Within 14d"))),"Out of scope")</x:f>
        <x:v>Within 14d</x:v>
      </x:c>
    </x:row>
    <x:row r="359" ht="24" customHeight="1">
      <x:c r="A359" t="str">
        <x:v>3b3ef153-3674-40fe-9ac8-210277752cd6</x:v>
      </x:c>
      <x:c r="B359" t="str">
        <x:v>CSSP10520122</x:v>
      </x:c>
      <x:c r="C359" t="str">
        <x:v>marziah.mahmod@petronas.com</x:v>
      </x:c>
      <x:c r="D359" t="str">
        <x:v>decommission-cloud</x:v>
      </x:c>
      <x:c r="E359" t="str">
        <x:v>cancelled</x:v>
      </x:c>
      <x:c r="F359" t="n">
        <x:v>46241.09246346065</x:v>
      </x:c>
      <x:c r="G359" t="n">
        <x:v>46241.093683032406</x:v>
      </x:c>
      <x:c r="H359" t="n">
        <x:v>46241.09246346065</x:v>
      </x:c>
      <x:c r="I359" t="str">
        <x:v>Plant Information - PI Enterprise</x:v>
      </x:c>
      <x:c r="J359" t="str">
        <x:v>CTP Old to New LZ - PI Enterprise</x:v>
      </x:c>
      <x:c r="K359" t="str">
        <x:v>partial</x:v>
      </x:c>
      <x:c r="L359"/>
      <x:c r="M359" t="str">
        <x:v>mohammadsani.johari@petronas.com.my</x:v>
      </x:c>
      <x:c r="N359"/>
      <x:c r="O359"/>
      <x:c r="P359" t="str">
        <x:v>Cloud Migration</x:v>
      </x:c>
      <x:c r="Q359" t="str">
        <x:v>2W</x:v>
      </x:c>
      <x:c r="R359" t="str">
        <x:v>Cloud Migration</x:v>
      </x:c>
      <x:c r="S359"/>
      <x:c r="T359" t="str">
        <x:v>rejected</x:v>
      </x:c>
      <x:c r="U359" t="str">
        <x:v>marziah.mahmod@petronas.com</x:v>
      </x:c>
      <x:c r="V359" t="n">
        <x:v>46241.093683032406</x:v>
      </x:c>
      <x:c r="W359"/>
      <x:c r="X359"/>
      <x:c r="Y359" t="str">
        <x:v>mohammadsani.johari@petronas.com</x:v>
      </x:c>
      <x:c r="Z359"/>
      <x:c r="AA359"/>
      <x:c r="AB359"/>
      <x:c r="AC359" t="str">
        <x:v>CCoE SA</x:v>
      </x:c>
      <x:c r="AD359"/>
      <x:c r="AE359"/>
      <x:c r="AF359"/>
      <x:c r="AG359" t="str">
        <x:v>IMS - CLOUD CSSP EXECUTOR</x:v>
      </x:c>
      <x:c r="AH359"/>
      <x:c r="AI359"/>
      <x:c r="AJ359" t="str">
        <x:v>A-000568</x:v>
      </x:c>
      <x:c r="AK359" t="str">
        <x:v>02421_71</x:v>
      </x:c>
      <x:c r="AL359"/>
      <x:c r="AM359"/>
      <x:c r="AN359" t="str">
        <x:v>noretention</x:v>
      </x:c>
      <x:c r="AO359" t="n">
        <x:v>0</x:v>
      </x:c>
      <x:c r="AP359" s="23" t="str">
        <x:f>IF(E359="processing",IF(Z359="","",IF(ISNUMBER(Z359),INT(Z359),DATE(VALUE(LEFT(Z359,4)),VALUE(MID(Z359,6,2)),VALUE(MID(Z359,9,2))))),IF(OR(E359="executing",E359="pending"),IF(AD359="","",IF(ISNUMBER(AD359),INT(AD359),DATE(VALUE(LEFT(AD359,4)),VALUE(MID(AD359,6,2)),VALUE(MID(AD359,9,2))))),""))</x:f>
      </x:c>
      <x:c r="AQ359" s="24" t="str">
        <x:f>IF(AP359="","",INT('Configuration'!$B$4)-AP359)</x:f>
      </x:c>
      <x:c r="AR359" s="25" t="str">
        <x:f>IF(AP359="","Missing Required Date",IF(AQ359&lt;0,"Future Date",IF(AQ359=0,"0 days",IF(AQ359&lt;=2,"1-2 days",IF(AQ359&lt;=7,"3-7 days",IF(AQ359&lt;=14,"8-14 days",IF(AQ359&lt;=30,"15-30 days",IF(AQ359&lt;=60,"31-60 days",IF(AQ359&lt;=70,"61-70 days","71+ days")))))))))</x:f>
        <x:v>Missing Required Date</x:v>
      </x:c>
      <x:c r="AS359" s="25" t="str">
        <x:f>IF(OR(E359="processing",E359="executing",E359="pending"),IF(AP359="","Required aging date missing",IF(AQ359&gt;30,"Escalate &gt;30d",IF(AQ359&gt;14,"Watch &gt;14d","Within 14d"))),"Out of scope")</x:f>
        <x:v>Out of scope</x:v>
      </x:c>
    </x:row>
    <x:row r="360" ht="24" customHeight="1">
      <x:c r="A360" t="str">
        <x:v>2a0460d6-5f8f-4bf2-9293-ce033961a489</x:v>
      </x:c>
      <x:c r="B360" t="str">
        <x:v>CSSP10192895</x:v>
      </x:c>
      <x:c r="C360" t="str">
        <x:v>adam.kamil@petronas.com</x:v>
      </x:c>
      <x:c r="D360" t="str">
        <x:v>decommission-cloud</x:v>
      </x:c>
      <x:c r="E360" t="str">
        <x:v>cancelled</x:v>
      </x:c>
      <x:c r="F360" t="n">
        <x:v>46245.17669568287</x:v>
      </x:c>
      <x:c r="G360" t="n">
        <x:v>46245.18291337963</x:v>
      </x:c>
      <x:c r="H360" t="n">
        <x:v>46245.17669568287</x:v>
      </x:c>
      <x:c r="I360" t="str">
        <x:v>OPTIMUS - THRONES</x:v>
      </x:c>
      <x:c r="J360" t="str">
        <x:v>Cloud Migration Program - OPTIMUS 3.0 (THRONES)</x:v>
      </x:c>
      <x:c r="K360" t="str">
        <x:v>full</x:v>
      </x:c>
      <x:c r="L360" t="str">
        <x:v>DCOM20250502a00</x:v>
      </x:c>
      <x:c r="M360" t="str">
        <x:v>adam.kamil@petronas.com</x:v>
      </x:c>
      <x:c r="N360"/>
      <x:c r="O360"/>
      <x:c r="P360" t="str">
        <x:v>Not in used</x:v>
      </x:c>
      <x:c r="Q360" t="str">
        <x:v>1M</x:v>
      </x:c>
      <x:c r="R360" t="str">
        <x:v>Not in Used</x:v>
      </x:c>
      <x:c r="S360"/>
      <x:c r="T360" t="str">
        <x:v>rejected</x:v>
      </x:c>
      <x:c r="U360" t="str">
        <x:v>adam.kamil@petronas.com</x:v>
      </x:c>
      <x:c r="V360" t="n">
        <x:v>46245.1829133912</x:v>
      </x:c>
      <x:c r="W360"/>
      <x:c r="X360"/>
      <x:c r="Y360" t="str">
        <x:v>adam.kamil@petronas.com</x:v>
      </x:c>
      <x:c r="Z360"/>
      <x:c r="AA360"/>
      <x:c r="AB360"/>
      <x:c r="AC360" t="str">
        <x:v>CCoE SA</x:v>
      </x:c>
      <x:c r="AD360"/>
      <x:c r="AE360"/>
      <x:c r="AF360"/>
      <x:c r="AG360" t="str">
        <x:v>IMS - CLOUD CSSP EXECUTOR</x:v>
      </x:c>
      <x:c r="AH360"/>
      <x:c r="AI360"/>
      <x:c r="AJ360" t="str">
        <x:v>A-000809</x:v>
      </x:c>
      <x:c r="AK360" t="str">
        <x:v>00915_64</x:v>
      </x:c>
      <x:c r="AL360"/>
      <x:c r="AM360"/>
      <x:c r="AN360" t="str">
        <x:v>retention</x:v>
      </x:c>
      <x:c r="AO360" t="n">
        <x:v>1</x:v>
      </x:c>
      <x:c r="AP360" s="23" t="str">
        <x:f>IF(E360="processing",IF(Z360="","",IF(ISNUMBER(Z360),INT(Z360),DATE(VALUE(LEFT(Z360,4)),VALUE(MID(Z360,6,2)),VALUE(MID(Z360,9,2))))),IF(OR(E360="executing",E360="pending"),IF(AD360="","",IF(ISNUMBER(AD360),INT(AD360),DATE(VALUE(LEFT(AD360,4)),VALUE(MID(AD360,6,2)),VALUE(MID(AD360,9,2))))),""))</x:f>
      </x:c>
      <x:c r="AQ360" s="24" t="str">
        <x:f>IF(AP360="","",INT('Configuration'!$B$4)-AP360)</x:f>
      </x:c>
      <x:c r="AR360" s="25" t="str">
        <x:f>IF(AP360="","Missing Required Date",IF(AQ360&lt;0,"Future Date",IF(AQ360=0,"0 days",IF(AQ360&lt;=2,"1-2 days",IF(AQ360&lt;=7,"3-7 days",IF(AQ360&lt;=14,"8-14 days",IF(AQ360&lt;=30,"15-30 days",IF(AQ360&lt;=60,"31-60 days",IF(AQ360&lt;=70,"61-70 days","71+ days")))))))))</x:f>
        <x:v>Missing Required Date</x:v>
      </x:c>
      <x:c r="AS360" s="25" t="str">
        <x:f>IF(OR(E360="processing",E360="executing",E360="pending"),IF(AP360="","Required aging date missing",IF(AQ360&gt;30,"Escalate &gt;30d",IF(AQ360&gt;14,"Watch &gt;14d","Within 14d"))),"Out of scope")</x:f>
        <x:v>Out of scope</x:v>
      </x:c>
    </x:row>
    <x:row r="361" ht="24" customHeight="1">
      <x:c r="A361" t="str">
        <x:v>64ca40a6-08a0-43ce-b58d-9476ed3f282e</x:v>
      </x:c>
      <x:c r="B361" t="str">
        <x:v>CSSP10293331</x:v>
      </x:c>
      <x:c r="C361" t="str">
        <x:v>syafiqfathyamer.moh@petronas.com</x:v>
      </x:c>
      <x:c r="D361" t="str">
        <x:v>decommission-cloud</x:v>
      </x:c>
      <x:c r="E361" t="str">
        <x:v>pending</x:v>
      </x:c>
      <x:c r="F361" t="n">
        <x:v>46245.29785141204</x:v>
      </x:c>
      <x:c r="G361" t="n">
        <x:v>46245.29785141204</x:v>
      </x:c>
      <x:c r="H361" t="n">
        <x:v>46245.29785141204</x:v>
      </x:c>
      <x:c r="I361" t="str">
        <x:v>RTMS </x:v>
      </x:c>
      <x:c r="J361" t="str">
        <x:v>AWS Cloud Migration - RTMS (.NET)</x:v>
      </x:c>
      <x:c r="K361" t="str">
        <x:v>full</x:v>
      </x:c>
      <x:c r="L361" t="str">
        <x:v>NA</x:v>
      </x:c>
      <x:c r="M361" t="str">
        <x:v>benjamint.baniyamin@petronas.com.my</x:v>
      </x:c>
      <x:c r="N361"/>
      <x:c r="O361"/>
      <x:c r="P361" t="str">
        <x:v>Business agreed to decommission the application.</x:v>
      </x:c>
      <x:c r="Q361" t="str">
        <x:v>2W</x:v>
      </x:c>
      <x:c r="R361" t="str">
        <x:v>Not in Used</x:v>
      </x:c>
      <x:c r="S361"/>
      <x:c r="T361" t="str">
        <x:v>pending</x:v>
      </x:c>
      <x:c r="U361" t="str">
        <x:v>syafiqfathyamer.moh@petronas.com</x:v>
      </x:c>
      <x:c r="V361"/>
      <x:c r="W361"/>
      <x:c r="X361"/>
      <x:c r="Y361" t="str">
        <x:v>benjamint.baniyamin@petronas.com</x:v>
      </x:c>
      <x:c r="Z361"/>
      <x:c r="AA361"/>
      <x:c r="AB361"/>
      <x:c r="AC361" t="str">
        <x:v>CCoE SA</x:v>
      </x:c>
      <x:c r="AD361"/>
      <x:c r="AE361"/>
      <x:c r="AF361"/>
      <x:c r="AG361" t="str">
        <x:v>IMS - CLOUD CSSP EXECUTOR</x:v>
      </x:c>
      <x:c r="AH361"/>
      <x:c r="AI361"/>
      <x:c r="AJ361" t="str">
        <x:v>A-000703</x:v>
      </x:c>
      <x:c r="AK361" t="str">
        <x:v>OSR00188_22</x:v>
      </x:c>
      <x:c r="AL361"/>
      <x:c r="AM361"/>
      <x:c r="AN361" t="str">
        <x:v>retention</x:v>
      </x:c>
      <x:c r="AO361" t="n">
        <x:v>12</x:v>
      </x:c>
      <x:c r="AP361" s="23" t="str">
        <x:f>IF(E361="processing",IF(Z361="","",IF(ISNUMBER(Z361),INT(Z361),DATE(VALUE(LEFT(Z361,4)),VALUE(MID(Z361,6,2)),VALUE(MID(Z361,9,2))))),IF(OR(E361="executing",E361="pending"),IF(AD361="","",IF(ISNUMBER(AD361),INT(AD361),DATE(VALUE(LEFT(AD361,4)),VALUE(MID(AD361,6,2)),VALUE(MID(AD361,9,2))))),""))</x:f>
      </x:c>
      <x:c r="AQ361" s="24" t="str">
        <x:f>IF(AP361="","",INT('Configuration'!$B$4)-AP361)</x:f>
      </x:c>
      <x:c r="AR361" s="25" t="str">
        <x:f>IF(AP361="","Missing Required Date",IF(AQ361&lt;0,"Future Date",IF(AQ361=0,"0 days",IF(AQ361&lt;=2,"1-2 days",IF(AQ361&lt;=7,"3-7 days",IF(AQ361&lt;=14,"8-14 days",IF(AQ361&lt;=30,"15-30 days",IF(AQ361&lt;=60,"31-60 days",IF(AQ361&lt;=70,"61-70 days","71+ days")))))))))</x:f>
        <x:v>Missing Required Date</x:v>
      </x:c>
      <x:c r="AS361" s="25" t="str">
        <x:f>IF(OR(E361="processing",E361="executing",E361="pending"),IF(AP361="","Required aging date missing",IF(AQ361&gt;30,"Escalate &gt;30d",IF(AQ361&gt;14,"Watch &gt;14d","Within 14d"))),"Out of scope")</x:f>
        <x:v>Required aging date missing</x:v>
      </x:c>
    </x:row>
    <x:row r="362" ht="24" customHeight="1">
      <x:c r="A362" t="str">
        <x:v>09dbddd7-037e-42a1-89fb-3f172e02c353</x:v>
      </x:c>
      <x:c r="B362" t="str">
        <x:v>CSSP10321088</x:v>
      </x:c>
      <x:c r="C362" t="str">
        <x:v>syafiqfathyamer.moh@petronas.com</x:v>
      </x:c>
      <x:c r="D362" t="str">
        <x:v>decommission-cloud</x:v>
      </x:c>
      <x:c r="E362" t="str">
        <x:v>processing</x:v>
      </x:c>
      <x:c r="F362" t="n">
        <x:v>46245.32008590278</x:v>
      </x:c>
      <x:c r="G362" t="n">
        <x:v>46251.16826763889</x:v>
      </x:c>
      <x:c r="H362" t="n">
        <x:v>46245.32008590278</x:v>
      </x:c>
      <x:c r="I362" t="str">
        <x:v>RTMS </x:v>
      </x:c>
      <x:c r="J362" t="str">
        <x:v>Cloud Migration Program - PPTSB RTMS</x:v>
      </x:c>
      <x:c r="K362" t="str">
        <x:v>full</x:v>
      </x:c>
      <x:c r="L362" t="str">
        <x:v>NA</x:v>
      </x:c>
      <x:c r="M362" t="str">
        <x:v>benjamint.baniyamin@petronas.com.my</x:v>
      </x:c>
      <x:c r="N362"/>
      <x:c r="O362"/>
      <x:c r="P362" t="str">
        <x:v>Business agreed to decommission the application</x:v>
      </x:c>
      <x:c r="Q362" t="str">
        <x:v>2W</x:v>
      </x:c>
      <x:c r="R362" t="str">
        <x:v>Not in Used</x:v>
      </x:c>
      <x:c r="S362"/>
      <x:c r="T362" t="str">
        <x:v>approved</x:v>
      </x:c>
      <x:c r="U362" t="str">
        <x:v>syafiqfathyamer.moh@petronas.com</x:v>
      </x:c>
      <x:c r="V362" t="n">
        <x:v>46245.39561384259</x:v>
      </x:c>
      <x:c r="W362" t="str">
        <x:v>Please decommission all the resources.</x:v>
      </x:c>
      <x:c r="X362" t="str">
        <x:v>approved</x:v>
      </x:c>
      <x:c r="Y362" t="str">
        <x:v>benjamint.baniyamin@petronas.com</x:v>
      </x:c>
      <x:c r="Z362" t="n">
        <x:v>46246.13518398148</x:v>
      </x:c>
      <x:c r="AA362" t="str">
        <x:v>As per discusssion with business &amp; BD Arshad Halim, these are for decom</x:v>
      </x:c>
      <x:c r="AB362"/>
      <x:c r="AC362" t="str">
        <x:v>IMS - CLOUD CSSP REVIEWER</x:v>
      </x:c>
      <x:c r="AD362"/>
      <x:c r="AE362"/>
      <x:c r="AF362"/>
      <x:c r="AG362" t="str">
        <x:v>IMS - CLOUD CSSP EXECUTOR</x:v>
      </x:c>
      <x:c r="AH362"/>
      <x:c r="AI362"/>
      <x:c r="AJ362" t="str">
        <x:v>A-000703</x:v>
      </x:c>
      <x:c r="AK362" t="str">
        <x:v>02421_80</x:v>
      </x:c>
      <x:c r="AL362" t="str">
        <x:v>L</x:v>
      </x:c>
      <x:c r="AM362"/>
      <x:c r="AN362" t="str">
        <x:v>noretention</x:v>
      </x:c>
      <x:c r="AO362" t="n">
        <x:v>0</x:v>
      </x:c>
      <x:c r="AP362" s="23" t="n">
        <x:f>IF(E362="processing",IF(Z362="","",IF(ISNUMBER(Z362),INT(Z362),DATE(VALUE(LEFT(Z362,4)),VALUE(MID(Z362,6,2)),VALUE(MID(Z362,9,2))))),IF(OR(E362="executing",E362="pending"),IF(AD362="","",IF(ISNUMBER(AD362),INT(AD362),DATE(VALUE(LEFT(AD362,4)),VALUE(MID(AD362,6,2)),VALUE(MID(AD362,9,2))))),""))</x:f>
        <x:v>46246</x:v>
      </x:c>
      <x:c r="AQ362" s="24" t="n">
        <x:f>IF(AP362="","",INT('Configuration'!$B$4)-AP362)</x:f>
        <x:v>5</x:v>
      </x:c>
      <x:c r="AR362" s="25" t="str">
        <x:f>IF(AP362="","Missing Required Date",IF(AQ362&lt;0,"Future Date",IF(AQ362=0,"0 days",IF(AQ362&lt;=2,"1-2 days",IF(AQ362&lt;=7,"3-7 days",IF(AQ362&lt;=14,"8-14 days",IF(AQ362&lt;=30,"15-30 days",IF(AQ362&lt;=60,"31-60 days",IF(AQ362&lt;=70,"61-70 days","71+ days")))))))))</x:f>
        <x:v>3-7 days</x:v>
      </x:c>
      <x:c r="AS362" s="25" t="str">
        <x:f>IF(OR(E362="processing",E362="executing",E362="pending"),IF(AP362="","Required aging date missing",IF(AQ362&gt;30,"Escalate &gt;30d",IF(AQ362&gt;14,"Watch &gt;14d","Within 14d"))),"Out of scope")</x:f>
        <x:v>Within 14d</x:v>
      </x:c>
    </x:row>
    <x:row r="363" ht="24" customHeight="1">
      <x:c r="A363" t="str">
        <x:v>96fb6ffb-ccd9-4105-8c97-69504210e8d3</x:v>
      </x:c>
      <x:c r="B363" t="str">
        <x:v>CSSP10302644</x:v>
      </x:c>
      <x:c r="C363" t="str">
        <x:v>rashidah.sharef@petronas.com</x:v>
      </x:c>
      <x:c r="D363" t="str">
        <x:v>decommission-cloud</x:v>
      </x:c>
      <x:c r="E363" t="str">
        <x:v>pending</x:v>
      </x:c>
      <x:c r="F363" t="n">
        <x:v>46245.32164949074</x:v>
      </x:c>
      <x:c r="G363" t="n">
        <x:v>46246.07721737269</x:v>
      </x:c>
      <x:c r="H363" t="n">
        <x:v>46246.07530701389</x:v>
      </x:c>
      <x:c r="I363" t="str">
        <x:v>ACL Robotics</x:v>
      </x:c>
      <x:c r="J363" t="str">
        <x:v>Provision and Implementation of Computer Assisted Audit Tool for Group Internal Audit</x:v>
      </x:c>
      <x:c r="K363" t="str">
        <x:v>full</x:v>
      </x:c>
      <x:c r="L363" t="str">
        <x:v>DCOM20260812d62</x:v>
      </x:c>
      <x:c r="M363" t="str">
        <x:v>ruhy.zanita@petronas.com</x:v>
      </x:c>
      <x:c r="N363"/>
      <x:c r="O363"/>
      <x:c r="P363" t="str">
        <x:v>ACL (CAAT) application is to be decommissioned as the business owner (GIA) has fully migrated to Databricks and completed data migration validation. GIA has formally confirmed approval to proceed, and decommissioning activities will follow accordingly. This aligns with the TEV recommendation to discontinue ACL extension, and the vendor contract will not be renewed after 31 July 2026.</x:v>
      </x:c>
      <x:c r="Q363" t="str">
        <x:v>2W</x:v>
      </x:c>
      <x:c r="R363" t="str">
        <x:v>Not in Used</x:v>
      </x:c>
      <x:c r="S363"/>
      <x:c r="T363" t="str">
        <x:v>approved</x:v>
      </x:c>
      <x:c r="U363" t="str">
        <x:v>rashidah.sharef@petronas.com</x:v>
      </x:c>
      <x:c r="V363" t="n">
        <x:v>46246.077217384256</x:v>
      </x:c>
      <x:c r="W363" t="str">
        <x:v>ACL (CAAT) application is to be decommissioned as the business owner (GIA) has fully migrated to Databricks and completed data migration validation. GIA has formally confirmed approval to proceed, and decommissioning activities will follow accordingly. This aligns with the TEV recommendation to discontinue ACL extension, and the vendor contract will not be renewed after 31 July 2026.</x:v>
      </x:c>
      <x:c r="X363"/>
      <x:c r="Y363" t="str">
        <x:v>ruhy.zanita@petronas.com</x:v>
      </x:c>
      <x:c r="Z363"/>
      <x:c r="AA363"/>
      <x:c r="AB363"/>
      <x:c r="AC363" t="str">
        <x:v>CCoE SA</x:v>
      </x:c>
      <x:c r="AD363"/>
      <x:c r="AE363"/>
      <x:c r="AF363"/>
      <x:c r="AG363" t="str">
        <x:v>IMS - CLOUD CSSP EXECUTOR</x:v>
      </x:c>
      <x:c r="AH363"/>
      <x:c r="AI363"/>
      <x:c r="AJ363" t="str">
        <x:v>A-000005</x:v>
      </x:c>
      <x:c r="AK363" t="n">
        <x:v>4126</x:v>
      </x:c>
      <x:c r="AL363"/>
      <x:c r="AM363"/>
      <x:c r="AN363" t="str">
        <x:v>noretention</x:v>
      </x:c>
      <x:c r="AO363" t="n">
        <x:v>0</x:v>
      </x:c>
      <x:c r="AP363" s="23" t="str">
        <x:f>IF(E363="processing",IF(Z363="","",IF(ISNUMBER(Z363),INT(Z363),DATE(VALUE(LEFT(Z363,4)),VALUE(MID(Z363,6,2)),VALUE(MID(Z363,9,2))))),IF(OR(E363="executing",E363="pending"),IF(AD363="","",IF(ISNUMBER(AD363),INT(AD363),DATE(VALUE(LEFT(AD363,4)),VALUE(MID(AD363,6,2)),VALUE(MID(AD363,9,2))))),""))</x:f>
      </x:c>
      <x:c r="AQ363" s="24" t="str">
        <x:f>IF(AP363="","",INT('Configuration'!$B$4)-AP363)</x:f>
      </x:c>
      <x:c r="AR363" s="25" t="str">
        <x:f>IF(AP363="","Missing Required Date",IF(AQ363&lt;0,"Future Date",IF(AQ363=0,"0 days",IF(AQ363&lt;=2,"1-2 days",IF(AQ363&lt;=7,"3-7 days",IF(AQ363&lt;=14,"8-14 days",IF(AQ363&lt;=30,"15-30 days",IF(AQ363&lt;=60,"31-60 days",IF(AQ363&lt;=70,"61-70 days","71+ days")))))))))</x:f>
        <x:v>Missing Required Date</x:v>
      </x:c>
      <x:c r="AS363" s="25" t="str">
        <x:f>IF(OR(E363="processing",E363="executing",E363="pending"),IF(AP363="","Required aging date missing",IF(AQ363&gt;30,"Escalate &gt;30d",IF(AQ363&gt;14,"Watch &gt;14d","Within 14d"))),"Out of scope")</x:f>
        <x:v>Required aging date missing</x:v>
      </x:c>
    </x:row>
    <x:row r="364" ht="24" customHeight="1">
      <x:c r="A364" t="str">
        <x:v>3979c4fb-af48-4c74-9547-d23c38fbb969</x:v>
      </x:c>
      <x:c r="B364" t="str">
        <x:v>CSSP10751371</x:v>
      </x:c>
      <x:c r="C364" t="str">
        <x:v>syafiqfathyamer.moh@petronas.com</x:v>
      </x:c>
      <x:c r="D364" t="str">
        <x:v>decommission-cloud</x:v>
      </x:c>
      <x:c r="E364" t="str">
        <x:v>pending</x:v>
      </x:c>
      <x:c r="F364" t="n">
        <x:v>46245.35406979167</x:v>
      </x:c>
      <x:c r="G364" t="n">
        <x:v>46245.35406979167</x:v>
      </x:c>
      <x:c r="H364" t="n">
        <x:v>46245.35406979167</x:v>
      </x:c>
      <x:c r="I364" t="str">
        <x:v>RTMS </x:v>
      </x:c>
      <x:c r="J364" t="str">
        <x:v>AWS Cloud Migration - RTMS (.NET)</x:v>
      </x:c>
      <x:c r="K364" t="str">
        <x:v>full</x:v>
      </x:c>
      <x:c r="L364" t="str">
        <x:v>NA</x:v>
      </x:c>
      <x:c r="M364" t="str">
        <x:v>benjamint.baniyamin@petronas.com.my</x:v>
      </x:c>
      <x:c r="N364"/>
      <x:c r="O364"/>
      <x:c r="P364" t="str">
        <x:v>Business agreed to decommission the application.</x:v>
      </x:c>
      <x:c r="Q364" t="str">
        <x:v>2W</x:v>
      </x:c>
      <x:c r="R364" t="str">
        <x:v>Not in Used</x:v>
      </x:c>
      <x:c r="S364"/>
      <x:c r="T364" t="str">
        <x:v>pending</x:v>
      </x:c>
      <x:c r="U364" t="str">
        <x:v>syafiqfathyamer.moh@petronas.com</x:v>
      </x:c>
      <x:c r="V364"/>
      <x:c r="W364"/>
      <x:c r="X364"/>
      <x:c r="Y364" t="str">
        <x:v>benjamint.baniyamin@petronas.com</x:v>
      </x:c>
      <x:c r="Z364"/>
      <x:c r="AA364"/>
      <x:c r="AB364"/>
      <x:c r="AC364" t="str">
        <x:v>CCoE SA</x:v>
      </x:c>
      <x:c r="AD364"/>
      <x:c r="AE364"/>
      <x:c r="AF364"/>
      <x:c r="AG364" t="str">
        <x:v>IMS - CLOUD CSSP EXECUTOR</x:v>
      </x:c>
      <x:c r="AH364"/>
      <x:c r="AI364"/>
      <x:c r="AJ364" t="str">
        <x:v>A-000703</x:v>
      </x:c>
      <x:c r="AK364" t="str">
        <x:v>00915_150</x:v>
      </x:c>
      <x:c r="AL364"/>
      <x:c r="AM364"/>
      <x:c r="AN364" t="str">
        <x:v>noretention</x:v>
      </x:c>
      <x:c r="AO364" t="n">
        <x:v>0</x:v>
      </x:c>
      <x:c r="AP364" s="23" t="str">
        <x:f>IF(E364="processing",IF(Z364="","",IF(ISNUMBER(Z364),INT(Z364),DATE(VALUE(LEFT(Z364,4)),VALUE(MID(Z364,6,2)),VALUE(MID(Z364,9,2))))),IF(OR(E364="executing",E364="pending"),IF(AD364="","",IF(ISNUMBER(AD364),INT(AD364),DATE(VALUE(LEFT(AD364,4)),VALUE(MID(AD364,6,2)),VALUE(MID(AD364,9,2))))),""))</x:f>
      </x:c>
      <x:c r="AQ364" s="24" t="str">
        <x:f>IF(AP364="","",INT('Configuration'!$B$4)-AP364)</x:f>
      </x:c>
      <x:c r="AR364" s="25" t="str">
        <x:f>IF(AP364="","Missing Required Date",IF(AQ364&lt;0,"Future Date",IF(AQ364=0,"0 days",IF(AQ364&lt;=2,"1-2 days",IF(AQ364&lt;=7,"3-7 days",IF(AQ364&lt;=14,"8-14 days",IF(AQ364&lt;=30,"15-30 days",IF(AQ364&lt;=60,"31-60 days",IF(AQ364&lt;=70,"61-70 days","71+ days")))))))))</x:f>
        <x:v>Missing Required Date</x:v>
      </x:c>
      <x:c r="AS364" s="25" t="str">
        <x:f>IF(OR(E364="processing",E364="executing",E364="pending"),IF(AP364="","Required aging date missing",IF(AQ364&gt;30,"Escalate &gt;30d",IF(AQ364&gt;14,"Watch &gt;14d","Within 14d"))),"Out of scope")</x:f>
        <x:v>Required aging date missing</x:v>
      </x:c>
    </x:row>
    <x:row r="365" ht="24" customHeight="1">
      <x:c r="A365" t="str">
        <x:v>9add3e44-a9da-4157-a3c6-fb68460e0b77</x:v>
      </x:c>
      <x:c r="B365" t="str">
        <x:v>CSSP10151695</x:v>
      </x:c>
      <x:c r="C365" t="str">
        <x:v>tharun.mungara@petronas.com</x:v>
      </x:c>
      <x:c r="D365" t="str">
        <x:v>decommission-cloud</x:v>
      </x:c>
      <x:c r="E365" t="str">
        <x:v>pending</x:v>
      </x:c>
      <x:c r="F365" t="n">
        <x:v>46245.48525954861</x:v>
      </x:c>
      <x:c r="G365" t="n">
        <x:v>46245.48525954861</x:v>
      </x:c>
      <x:c r="H365" t="n">
        <x:v>46245.48525954861</x:v>
      </x:c>
      <x:c r="I365" t="str">
        <x:v>SAP 50 ECC6</x:v>
      </x:c>
      <x:c r="J365" t="str">
        <x:v>Cloud Migration Program - SAP ECC PDB ECC 6.0 (SAP ID 50 (P50, D50 &amp; T50)</x:v>
      </x:c>
      <x:c r="K365" t="str">
        <x:v>partial</x:v>
      </x:c>
      <x:c r="L365"/>
      <x:c r="M365" t="str">
        <x:v>rizuanatan@petronas.com</x:v>
      </x:c>
      <x:c r="N365"/>
      <x:c r="O365"/>
      <x:c r="P365" t="str">
        <x:v>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
</x:v>
      </x:c>
      <x:c r="Q365" t="str">
        <x:v>1M</x:v>
      </x:c>
      <x:c r="R365" t="str">
        <x:v>Not in Used</x:v>
      </x:c>
      <x:c r="S365"/>
      <x:c r="T365" t="str">
        <x:v>pending</x:v>
      </x:c>
      <x:c r="U365" t="str">
        <x:v>tharun.mungara@petronas.com</x:v>
      </x:c>
      <x:c r="V365"/>
      <x:c r="W365"/>
      <x:c r="X365"/>
      <x:c r="Y365" t="str">
        <x:v>rizuanatan@petronas.com</x:v>
      </x:c>
      <x:c r="Z365"/>
      <x:c r="AA365"/>
      <x:c r="AB365"/>
      <x:c r="AC365" t="str">
        <x:v>CCoE SA</x:v>
      </x:c>
      <x:c r="AD365"/>
      <x:c r="AE365"/>
      <x:c r="AF365"/>
      <x:c r="AG365" t="str">
        <x:v>IMS - CLOUD CSSP EXECUTOR</x:v>
      </x:c>
      <x:c r="AH365"/>
      <x:c r="AI365"/>
      <x:c r="AJ365" t="str">
        <x:v>A-000726</x:v>
      </x:c>
      <x:c r="AK365" t="str">
        <x:v>00915_42</x:v>
      </x:c>
      <x:c r="AL365"/>
      <x:c r="AM365"/>
      <x:c r="AN365" t="str">
        <x:v>noretention</x:v>
      </x:c>
      <x:c r="AO365" t="n">
        <x:v>0</x:v>
      </x:c>
      <x:c r="AP365" s="23" t="str">
        <x:f>IF(E365="processing",IF(Z365="","",IF(ISNUMBER(Z365),INT(Z365),DATE(VALUE(LEFT(Z365,4)),VALUE(MID(Z365,6,2)),VALUE(MID(Z365,9,2))))),IF(OR(E365="executing",E365="pending"),IF(AD365="","",IF(ISNUMBER(AD365),INT(AD365),DATE(VALUE(LEFT(AD365,4)),VALUE(MID(AD365,6,2)),VALUE(MID(AD365,9,2))))),""))</x:f>
      </x:c>
      <x:c r="AQ365" s="24" t="str">
        <x:f>IF(AP365="","",INT('Configuration'!$B$4)-AP365)</x:f>
      </x:c>
      <x:c r="AR365" s="25" t="str">
        <x:f>IF(AP365="","Missing Required Date",IF(AQ365&lt;0,"Future Date",IF(AQ365=0,"0 days",IF(AQ365&lt;=2,"1-2 days",IF(AQ365&lt;=7,"3-7 days",IF(AQ365&lt;=14,"8-14 days",IF(AQ365&lt;=30,"15-30 days",IF(AQ365&lt;=60,"31-60 days",IF(AQ365&lt;=70,"61-70 days","71+ days")))))))))</x:f>
        <x:v>Missing Required Date</x:v>
      </x:c>
      <x:c r="AS365" s="25" t="str">
        <x:f>IF(OR(E365="processing",E365="executing",E365="pending"),IF(AP365="","Required aging date missing",IF(AQ365&gt;30,"Escalate &gt;30d",IF(AQ365&gt;14,"Watch &gt;14d","Within 14d"))),"Out of scope")</x:f>
        <x:v>Required aging date missing</x:v>
      </x:c>
    </x:row>
    <x:row r="366" ht="24" customHeight="1">
      <x:c r="A366" t="str">
        <x:v>0febe3b6-46fb-4a3b-80da-ddb83b6d441b</x:v>
      </x:c>
      <x:c r="B366" t="str">
        <x:v>CSSP10904064</x:v>
      </x:c>
      <x:c r="C366" t="str">
        <x:v>adam.kamil@petronas.com</x:v>
      </x:c>
      <x:c r="D366" t="str">
        <x:v>decommission-cloud</x:v>
      </x:c>
      <x:c r="E366" t="str">
        <x:v>cancelled</x:v>
      </x:c>
      <x:c r="F366" t="n">
        <x:v>46246.204025659725</x:v>
      </x:c>
      <x:c r="G366" t="n">
        <x:v>46246.20477657407</x:v>
      </x:c>
      <x:c r="H366" t="n">
        <x:v>46246.204025659725</x:v>
      </x:c>
      <x:c r="I366" t="str">
        <x:v>OPTIMUS - THRONES</x:v>
      </x:c>
      <x:c r="J366" t="str">
        <x:v>Cloud Migration Program - OPTIMUS 3.0 (THRONES)</x:v>
      </x:c>
      <x:c r="K366" t="str">
        <x:v>full</x:v>
      </x:c>
      <x:c r="L366" t="str">
        <x:v>NA</x:v>
      </x:c>
      <x:c r="M366" t="str">
        <x:v>wadiah.rusli@petronas.com</x:v>
      </x:c>
      <x:c r="N366" t="str">
        <x:v>NA</x:v>
      </x:c>
      <x:c r="O366" t="str">
        <x:v>NA</x:v>
      </x:c>
      <x:c r="P366" t="str">
        <x:v>YADA YADA</x:v>
      </x:c>
      <x:c r="Q366" t="str">
        <x:v>12M</x:v>
      </x:c>
      <x:c r="R366" t="str">
        <x:v>Not in Used</x:v>
      </x:c>
      <x:c r="S366"/>
      <x:c r="T366" t="str">
        <x:v>rejected</x:v>
      </x:c>
      <x:c r="U366" t="str">
        <x:v>adam.kamil@petronas.com</x:v>
      </x:c>
      <x:c r="V366" t="n">
        <x:v>46246.20477658565</x:v>
      </x:c>
      <x:c r="W366"/>
      <x:c r="X366"/>
      <x:c r="Y366" t="str">
        <x:v>wadiah.rusli@petronas.com</x:v>
      </x:c>
      <x:c r="Z366"/>
      <x:c r="AA366"/>
      <x:c r="AB366"/>
      <x:c r="AC366" t="str">
        <x:v>CCoE SA</x:v>
      </x:c>
      <x:c r="AD366"/>
      <x:c r="AE366"/>
      <x:c r="AF366"/>
      <x:c r="AG366" t="str">
        <x:v>IMS - CLOUD CSSP EXECUTOR</x:v>
      </x:c>
      <x:c r="AH366"/>
      <x:c r="AI366"/>
      <x:c r="AJ366" t="str">
        <x:v>A-000809</x:v>
      </x:c>
      <x:c r="AK366" t="str">
        <x:v>00915_64</x:v>
      </x:c>
      <x:c r="AL366"/>
      <x:c r="AM366"/>
      <x:c r="AN366" t="str">
        <x:v>noretention</x:v>
      </x:c>
      <x:c r="AO366" t="n">
        <x:v>0</x:v>
      </x:c>
      <x:c r="AP366" s="23" t="str">
        <x:f>IF(E366="processing",IF(Z366="","",IF(ISNUMBER(Z366),INT(Z366),DATE(VALUE(LEFT(Z366,4)),VALUE(MID(Z366,6,2)),VALUE(MID(Z366,9,2))))),IF(OR(E366="executing",E366="pending"),IF(AD366="","",IF(ISNUMBER(AD366),INT(AD366),DATE(VALUE(LEFT(AD366,4)),VALUE(MID(AD366,6,2)),VALUE(MID(AD366,9,2))))),""))</x:f>
      </x:c>
      <x:c r="AQ366" s="24" t="str">
        <x:f>IF(AP366="","",INT('Configuration'!$B$4)-AP366)</x:f>
      </x:c>
      <x:c r="AR366" s="25" t="str">
        <x:f>IF(AP366="","Missing Required Date",IF(AQ366&lt;0,"Future Date",IF(AQ366=0,"0 days",IF(AQ366&lt;=2,"1-2 days",IF(AQ366&lt;=7,"3-7 days",IF(AQ366&lt;=14,"8-14 days",IF(AQ366&lt;=30,"15-30 days",IF(AQ366&lt;=60,"31-60 days",IF(AQ366&lt;=70,"61-70 days","71+ days")))))))))</x:f>
        <x:v>Missing Required Date</x:v>
      </x:c>
      <x:c r="AS366" s="25" t="str">
        <x:f>IF(OR(E366="processing",E366="executing",E366="pending"),IF(AP366="","Required aging date missing",IF(AQ366&gt;30,"Escalate &gt;30d",IF(AQ366&gt;14,"Watch &gt;14d","Within 14d"))),"Out of scope")</x:f>
        <x:v>Out of scope</x:v>
      </x:c>
    </x:row>
    <x:row r="367" ht="24" customHeight="1">
      <x:c r="A367" t="str">
        <x:v>2d64a47b-9437-4dab-8f08-6205539c1b09</x:v>
      </x:c>
      <x:c r="B367" t="str">
        <x:v>CSSP10936121</x:v>
      </x:c>
      <x:c r="C367" t="str">
        <x:v>datok.idang@petronas.com</x:v>
      </x:c>
      <x:c r="D367" t="str">
        <x:v>decommission-cloud</x:v>
      </x:c>
      <x:c r="E367" t="str">
        <x:v>processing</x:v>
      </x:c>
      <x:c r="F367" t="n">
        <x:v>46248.16969297454</x:v>
      </x:c>
      <x:c r="G367" t="n">
        <x:v>46251.16871525463</x:v>
      </x:c>
      <x:c r="H367" t="n">
        <x:v>46248.16969297454</x:v>
      </x:c>
      <x:c r="I367" t="str">
        <x:v>Plant Information - PI PCASB</x:v>
      </x:c>
      <x:c r="J367" t="str">
        <x:v>Implementation of PI Asset Framework (AF) and PI Vision for PCASB</x:v>
      </x:c>
      <x:c r="K367" t="str">
        <x:v>partial</x:v>
      </x:c>
      <x:c r="L367"/>
      <x:c r="M367" t="str">
        <x:v>sazali.mokhtar@petronas.com.my</x:v>
      </x:c>
      <x:c r="N367"/>
      <x:c r="O367"/>
      <x:c r="P367" t="str">
        <x:v>Cloud Repatriation - To decommission old resources in Singapore region due to completed migration in MY region</x:v>
      </x:c>
      <x:c r="Q367" t="str">
        <x:v>2W</x:v>
      </x:c>
      <x:c r="R367" t="str">
        <x:v>Cloud Migration</x:v>
      </x:c>
      <x:c r="S367"/>
      <x:c r="T367" t="str">
        <x:v>approved</x:v>
      </x:c>
      <x:c r="U367" t="str">
        <x:v>datok.idang@petronas.com</x:v>
      </x:c>
      <x:c r="V367" t="n">
        <x:v>46248.17226982639</x:v>
      </x:c>
      <x:c r="W367" t="str">
        <x:v>Cloud Repatriation – Decommissioning legacy resources hosted in the Singapore region</x:v>
      </x:c>
      <x:c r="X367" t="str">
        <x:v>approved</x:v>
      </x:c>
      <x:c r="Y367" t="str">
        <x:v>sazali.mokhtar@petronas.com</x:v>
      </x:c>
      <x:c r="Z367" t="n">
        <x:v>46251.08300978009</x:v>
      </x:c>
      <x:c r="AA367" t="str">
        <x:v>Cloud Repatriation - To decommission old resources in Singapore region due to completed migration in MY region</x:v>
      </x:c>
      <x:c r="AB367"/>
      <x:c r="AC367" t="str">
        <x:v>IMS - CLOUD CSSP REVIEWER</x:v>
      </x:c>
      <x:c r="AD367"/>
      <x:c r="AE367"/>
      <x:c r="AF367"/>
      <x:c r="AG367" t="str">
        <x:v>IMS - CLOUD CSSP EXECUTOR</x:v>
      </x:c>
      <x:c r="AH367"/>
      <x:c r="AI367"/>
      <x:c r="AJ367" t="str">
        <x:v>A-000582</x:v>
      </x:c>
      <x:c r="AK367" t="n">
        <x:v>2332</x:v>
      </x:c>
      <x:c r="AL367" t="str">
        <x:v>L</x:v>
      </x:c>
      <x:c r="AM367"/>
      <x:c r="AN367" t="str">
        <x:v>noretention</x:v>
      </x:c>
      <x:c r="AO367" t="n">
        <x:v>0</x:v>
      </x:c>
      <x:c r="AP367" s="23" t="n">
        <x:f>IF(E367="processing",IF(Z367="","",IF(ISNUMBER(Z367),INT(Z367),DATE(VALUE(LEFT(Z367,4)),VALUE(MID(Z367,6,2)),VALUE(MID(Z367,9,2))))),IF(OR(E367="executing",E367="pending"),IF(AD367="","",IF(ISNUMBER(AD367),INT(AD367),DATE(VALUE(LEFT(AD367,4)),VALUE(MID(AD367,6,2)),VALUE(MID(AD367,9,2))))),""))</x:f>
        <x:v>46251</x:v>
      </x:c>
      <x:c r="AQ367" s="24" t="n">
        <x:f>IF(AP367="","",INT('Configuration'!$B$4)-AP367)</x:f>
        <x:v>0</x:v>
      </x:c>
      <x:c r="AR367" s="25" t="str">
        <x:f>IF(AP367="","Missing Required Date",IF(AQ367&lt;0,"Future Date",IF(AQ367=0,"0 days",IF(AQ367&lt;=2,"1-2 days",IF(AQ367&lt;=7,"3-7 days",IF(AQ367&lt;=14,"8-14 days",IF(AQ367&lt;=30,"15-30 days",IF(AQ367&lt;=60,"31-60 days",IF(AQ367&lt;=70,"61-70 days","71+ days")))))))))</x:f>
        <x:v>0 days</x:v>
      </x:c>
      <x:c r="AS367" s="25" t="str">
        <x:f>IF(OR(E367="processing",E367="executing",E367="pending"),IF(AP367="","Required aging date missing",IF(AQ367&gt;30,"Escalate &gt;30d",IF(AQ367&gt;14,"Watch &gt;14d","Within 14d"))),"Out of scope")</x:f>
        <x:v>Within 14d</x:v>
      </x:c>
    </x:row>
    <x:row r="368" ht="24" customHeight="1">
      <x:c r="A368" t="str">
        <x:v>d3e954a5-bfa7-4a8f-a629-016950c51c75</x:v>
      </x:c>
      <x:c r="B368" t="str">
        <x:v>CSSP10377584</x:v>
      </x:c>
      <x:c r="C368" t="str">
        <x:v>deepakfrancis.neyyan@petronas.com</x:v>
      </x:c>
      <x:c r="D368" t="str">
        <x:v>decommission-cloud</x:v>
      </x:c>
      <x:c r="E368" t="str">
        <x:v>pending</x:v>
      </x:c>
      <x:c r="F368" t="n">
        <x:v>46248.24321545139</x:v>
      </x:c>
      <x:c r="G368" t="n">
        <x:v>46248.24737641204</x:v>
      </x:c>
      <x:c r="H368" t="n">
        <x:v>46248.24321545139</x:v>
      </x:c>
      <x:c r="I368" t="str">
        <x:v>SAP 30 ECC6</x:v>
      </x:c>
      <x:c r="J368" t="str">
        <x:v>Cloud Migration Program - PETRONAS Group ECC 6.0 (SAP30)</x:v>
      </x:c>
      <x:c r="K368" t="str">
        <x:v>partial</x:v>
      </x:c>
      <x:c r="L368"/>
      <x:c r="M368" t="str">
        <x:v>rizuanatan@petronas.com</x:v>
      </x:c>
      <x:c r="N368"/>
      <x:c r="O368"/>
      <x:c r="P368" t="str">
        <x:v>Hostname	             IP Address	        SID
PTSG-1ECCDB01	     172.25.40.153	P30    DB
PTSG-1ECCDB02	 172.25.40.154	P30    DB
PTSG-1ECCSC01	     172.25.34.95	P30    SC
PTSG-1ECCSC02	     172.25.34.96	P30    SC
PTSG-1ECCAP01	     172.25.34.97	P30 App
PTSG-1ECCAP02	     172.25.34.98	P30 App
PTSG-1ECCAP03	     172.25.34.99	P30 App
PTSG-1ECCAP04	     172.25.34.100	P30 App
PTSG-1ECCAP05	     172.25.34.101	P30 App
PTSG-1ECCAP06	     172.25.34.102	P30 App
PTSG-1ECCAP07	     172.25.34.103	P30 App
PTSG-1ECCAP08	     172.25.34.104	P30 App
PTSG-1ECCAP09	     172.25.34.105	P30 App
PTSG-1ECCAP10	     172.25.34.106	P30 App
PTSG-4ECCAP01	     172.25.53.92	T30 App
PTSG-4ECCAP02	 172.25.53.93	T30 App
PTSG-4ECCDB03	 172.25.56.104	T30 DB
PTSG-5ECCDB01	 172.25.72.57	D30 App &amp; DB
</x:v>
      </x:c>
      <x:c r="Q368" t="str">
        <x:v>1M</x:v>
      </x:c>
      <x:c r="R368" t="str">
        <x:v>Not in Used</x:v>
      </x:c>
      <x:c r="S368"/>
      <x:c r="T368" t="str">
        <x:v>approved</x:v>
      </x:c>
      <x:c r="U368" t="str">
        <x:v>deepakfrancis.neyyan@petronas.com</x:v>
      </x:c>
      <x:c r="V368" t="n">
        <x:v>46248.24737642361</x:v>
      </x:c>
      <x:c r="W368" t="str">
        <x:v>P30 system has been reviewed from our side and is currently awaiting approval.
DB Backup : We have already taken back up. You can proceed with decommission.</x:v>
      </x:c>
      <x:c r="X368"/>
      <x:c r="Y368" t="str">
        <x:v>rizuanatan@petronas.com</x:v>
      </x:c>
      <x:c r="Z368"/>
      <x:c r="AA368"/>
      <x:c r="AB368"/>
      <x:c r="AC368" t="str">
        <x:v>CCoE SA</x:v>
      </x:c>
      <x:c r="AD368"/>
      <x:c r="AE368"/>
      <x:c r="AF368"/>
      <x:c r="AG368" t="str">
        <x:v>IMS - CLOUD CSSP EXECUTOR</x:v>
      </x:c>
      <x:c r="AH368"/>
      <x:c r="AI368"/>
      <x:c r="AJ368" t="str">
        <x:v>A-000714</x:v>
      </x:c>
      <x:c r="AK368" t="str">
        <x:v>00915_132</x:v>
      </x:c>
      <x:c r="AL368"/>
      <x:c r="AM368"/>
      <x:c r="AN368" t="str">
        <x:v>noretention</x:v>
      </x:c>
      <x:c r="AO368" t="n">
        <x:v>0</x:v>
      </x:c>
      <x:c r="AP368" s="23" t="str">
        <x:f>IF(E368="processing",IF(Z368="","",IF(ISNUMBER(Z368),INT(Z368),DATE(VALUE(LEFT(Z368,4)),VALUE(MID(Z368,6,2)),VALUE(MID(Z368,9,2))))),IF(OR(E368="executing",E368="pending"),IF(AD368="","",IF(ISNUMBER(AD368),INT(AD368),DATE(VALUE(LEFT(AD368,4)),VALUE(MID(AD368,6,2)),VALUE(MID(AD368,9,2))))),""))</x:f>
      </x:c>
      <x:c r="AQ368" s="24" t="str">
        <x:f>IF(AP368="","",INT('Configuration'!$B$4)-AP368)</x:f>
      </x:c>
      <x:c r="AR368" s="25" t="str">
        <x:f>IF(AP368="","Missing Required Date",IF(AQ368&lt;0,"Future Date",IF(AQ368=0,"0 days",IF(AQ368&lt;=2,"1-2 days",IF(AQ368&lt;=7,"3-7 days",IF(AQ368&lt;=14,"8-14 days",IF(AQ368&lt;=30,"15-30 days",IF(AQ368&lt;=60,"31-60 days",IF(AQ368&lt;=70,"61-70 days","71+ days")))))))))</x:f>
        <x:v>Missing Required Date</x:v>
      </x:c>
      <x:c r="AS368" s="25" t="str">
        <x:f>IF(OR(E368="processing",E368="executing",E368="pending"),IF(AP368="","Required aging date missing",IF(AQ368&gt;30,"Escalate &gt;30d",IF(AQ368&gt;14,"Watch &gt;14d","Within 14d"))),"Out of scope")</x:f>
        <x:v>Required aging date missing</x:v>
      </x:c>
    </x:row>
    <x:row r="369" ht="24" customHeight="1">
      <x:c r="A369" t="str">
        <x:v>0fb036f1-fec0-4220-89dc-805e9ff4236f</x:v>
      </x:c>
      <x:c r="B369" t="str">
        <x:v>CSSP10694484</x:v>
      </x:c>
      <x:c r="C369" t="str">
        <x:v>deepakfrancis.neyyan@petronas.com</x:v>
      </x:c>
      <x:c r="D369" t="str">
        <x:v>decommission-cloud</x:v>
      </x:c>
      <x:c r="E369" t="str">
        <x:v>pending</x:v>
      </x:c>
      <x:c r="F369" t="n">
        <x:v>46248.250335150464</x:v>
      </x:c>
      <x:c r="G369" t="n">
        <x:v>46248.25163240741</x:v>
      </x:c>
      <x:c r="H369" t="n">
        <x:v>46248.250335150464</x:v>
      </x:c>
      <x:c r="I369" t="str">
        <x:v>SAP 50 ECC6</x:v>
      </x:c>
      <x:c r="J369" t="str">
        <x:v>Cloud Migration Program - SAP ECC PDB ECC 6.0 (SAP ID 50 (P50, D50 &amp; T50)</x:v>
      </x:c>
      <x:c r="K369" t="str">
        <x:v>partial</x:v>
      </x:c>
      <x:c r="L369"/>
      <x:c r="M369" t="str">
        <x:v>rizuanatan@petronas.com</x:v>
      </x:c>
      <x:c r="N369"/>
      <x:c r="O369"/>
      <x:c r="P369" t="str">
        <x:v>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x:v>
      </x:c>
      <x:c r="Q369" t="str">
        <x:v>1M</x:v>
      </x:c>
      <x:c r="R369" t="str">
        <x:v>Not in Used</x:v>
      </x:c>
      <x:c r="S369"/>
      <x:c r="T369" t="str">
        <x:v>approved</x:v>
      </x:c>
      <x:c r="U369" t="str">
        <x:v>deepakfrancis.neyyan@petronas.com</x:v>
      </x:c>
      <x:c r="V369" t="n">
        <x:v>46248.25163241898</x:v>
      </x:c>
      <x:c r="W369" t="str">
        <x:v>Reviewed and Proceed for decommission</x:v>
      </x:c>
      <x:c r="X369"/>
      <x:c r="Y369" t="str">
        <x:v>rizuanatan@petronas.com</x:v>
      </x:c>
      <x:c r="Z369"/>
      <x:c r="AA369"/>
      <x:c r="AB369"/>
      <x:c r="AC369" t="str">
        <x:v>CCoE SA</x:v>
      </x:c>
      <x:c r="AD369"/>
      <x:c r="AE369"/>
      <x:c r="AF369"/>
      <x:c r="AG369" t="str">
        <x:v>IMS - CLOUD CSSP EXECUTOR</x:v>
      </x:c>
      <x:c r="AH369"/>
      <x:c r="AI369"/>
      <x:c r="AJ369" t="str">
        <x:v>A-000726</x:v>
      </x:c>
      <x:c r="AK369" t="str">
        <x:v>00915_42</x:v>
      </x:c>
      <x:c r="AL369"/>
      <x:c r="AM369"/>
      <x:c r="AN369" t="str">
        <x:v>noretention</x:v>
      </x:c>
      <x:c r="AO369" t="n">
        <x:v>0</x:v>
      </x:c>
      <x:c r="AP369" s="23" t="str">
        <x:f>IF(E369="processing",IF(Z369="","",IF(ISNUMBER(Z369),INT(Z369),DATE(VALUE(LEFT(Z369,4)),VALUE(MID(Z369,6,2)),VALUE(MID(Z369,9,2))))),IF(OR(E369="executing",E369="pending"),IF(AD369="","",IF(ISNUMBER(AD369),INT(AD369),DATE(VALUE(LEFT(AD369,4)),VALUE(MID(AD369,6,2)),VALUE(MID(AD369,9,2))))),""))</x:f>
      </x:c>
      <x:c r="AQ369" s="24" t="str">
        <x:f>IF(AP369="","",INT('Configuration'!$B$4)-AP369)</x:f>
      </x:c>
      <x:c r="AR369" s="25" t="str">
        <x:f>IF(AP369="","Missing Required Date",IF(AQ369&lt;0,"Future Date",IF(AQ369=0,"0 days",IF(AQ369&lt;=2,"1-2 days",IF(AQ369&lt;=7,"3-7 days",IF(AQ369&lt;=14,"8-14 days",IF(AQ369&lt;=30,"15-30 days",IF(AQ369&lt;=60,"31-60 days",IF(AQ369&lt;=70,"61-70 days","71+ days")))))))))</x:f>
        <x:v>Missing Required Date</x:v>
      </x:c>
      <x:c r="AS369" s="25" t="str">
        <x:f>IF(OR(E369="processing",E369="executing",E369="pending"),IF(AP369="","Required aging date missing",IF(AQ369&gt;30,"Escalate &gt;30d",IF(AQ369&gt;14,"Watch &gt;14d","Within 14d"))),"Out of scope")</x:f>
        <x:v>Required aging date missing</x:v>
      </x:c>
    </x:row>
    <x:row r="370" ht="24" customHeight="1">
      <x:c r="A370" t="str">
        <x:v>10eb4ea0-dd41-4b57-92aa-a55640ecf29d</x:v>
      </x:c>
      <x:c r="B370" t="str">
        <x:v>CSSP10715182</x:v>
      </x:c>
      <x:c r="C370" t="str">
        <x:v>maizad.hamid@klcc.com.my</x:v>
      </x:c>
      <x:c r="D370" t="str">
        <x:v>decommission-cloud</x:v>
      </x:c>
      <x:c r="E370" t="str">
        <x:v>processing</x:v>
      </x:c>
      <x:c r="F370" t="n">
        <x:v>46251.28395030092</x:v>
      </x:c>
      <x:c r="G370" t="n">
        <x:v>46251.315905</x:v>
      </x:c>
      <x:c r="H370" t="n">
        <x:v>46251.28395030092</x:v>
      </x:c>
      <x:c r="I370" t="str">
        <x:v>Claim Tracking System - CTS</x:v>
      </x:c>
      <x:c r="J370" t="str">
        <x:v>Cloud Migration Program - Claim Tracking System (CTS)</x:v>
      </x:c>
      <x:c r="K370" t="str">
        <x:v>full</x:v>
      </x:c>
      <x:c r="L370" t="str">
        <x:v>DCOM202608170b9</x:v>
      </x:c>
      <x:c r="M370" t="str">
        <x:v>ghazeeg@pjh.com.my</x:v>
      </x:c>
      <x:c r="N370" t="str">
        <x:v>https://cts.pjh.com.my</x:v>
      </x:c>
      <x:c r="O370"/>
      <x:c r="P370" t="str">
        <x:v>The CTS functionalities have been replaced by SmartGEP. As a result, the CTS system is no longer in use.</x:v>
      </x:c>
      <x:c r="Q370" t="str">
        <x:v>1M</x:v>
      </x:c>
      <x:c r="R370" t="str">
        <x:v>Not in Used</x:v>
      </x:c>
      <x:c r="S370"/>
      <x:c r="T370" t="str">
        <x:v>approved</x:v>
      </x:c>
      <x:c r="U370" t="str">
        <x:v>maizad.hamid@klcc.com</x:v>
      </x:c>
      <x:c r="V370" t="n">
        <x:v>46251.28459546297</x:v>
      </x:c>
      <x:c r="W370" t="str">
        <x:v>Proceed</x:v>
      </x:c>
      <x:c r="X370" t="str">
        <x:v>approved</x:v>
      </x:c>
      <x:c r="Y370" t="str">
        <x:v>ghazeeg@pjh.com</x:v>
      </x:c>
      <x:c r="Z370" t="n">
        <x:v>46251.315905</x:v>
      </x:c>
      <x:c r="AA370" t="str">
        <x:v>As CTS is no longer in use, we request to proceed with the decommissioning of the system.</x:v>
      </x:c>
      <x:c r="AB370"/>
      <x:c r="AC370" t="str">
        <x:v>CCoE SA</x:v>
      </x:c>
      <x:c r="AD370"/>
      <x:c r="AE370"/>
      <x:c r="AF370"/>
      <x:c r="AG370" t="str">
        <x:v>IMS - CLOUD CSSP EXECUTOR</x:v>
      </x:c>
      <x:c r="AH370"/>
      <x:c r="AI370"/>
      <x:c r="AJ370" t="str">
        <x:v>A-000189</x:v>
      </x:c>
      <x:c r="AK370" t="str">
        <x:v>00915_217</x:v>
      </x:c>
      <x:c r="AL370"/>
      <x:c r="AM370"/>
      <x:c r="AN370" t="str">
        <x:v>disposal</x:v>
      </x:c>
      <x:c r="AO370" t="n">
        <x:v>0</x:v>
      </x:c>
      <x:c r="AP370" s="23" t="n">
        <x:f>IF(E370="processing",IF(Z370="","",IF(ISNUMBER(Z370),INT(Z370),DATE(VALUE(LEFT(Z370,4)),VALUE(MID(Z370,6,2)),VALUE(MID(Z370,9,2))))),IF(OR(E370="executing",E370="pending"),IF(AD370="","",IF(ISNUMBER(AD370),INT(AD370),DATE(VALUE(LEFT(AD370,4)),VALUE(MID(AD370,6,2)),VALUE(MID(AD370,9,2))))),""))</x:f>
        <x:v>46251</x:v>
      </x:c>
      <x:c r="AQ370" s="24" t="n">
        <x:f>IF(AP370="","",INT('Configuration'!$B$4)-AP370)</x:f>
        <x:v>0</x:v>
      </x:c>
      <x:c r="AR370" s="25" t="str">
        <x:f>IF(AP370="","Missing Required Date",IF(AQ370&lt;0,"Future Date",IF(AQ370=0,"0 days",IF(AQ370&lt;=2,"1-2 days",IF(AQ370&lt;=7,"3-7 days",IF(AQ370&lt;=14,"8-14 days",IF(AQ370&lt;=30,"15-30 days",IF(AQ370&lt;=60,"31-60 days",IF(AQ370&lt;=70,"61-70 days","71+ days")))))))))</x:f>
        <x:v>0 days</x:v>
      </x:c>
      <x:c r="AS370" s="25" t="str">
        <x:f>IF(OR(E370="processing",E370="executing",E370="pending"),IF(AP370="","Required aging date missing",IF(AQ370&gt;30,"Escalate &gt;30d",IF(AQ370&gt;14,"Watch &gt;14d","Within 14d"))),"Out of scope")</x:f>
        <x:v>Within 14d</x:v>
      </x:c>
    </x:row>
    <x:row r="371" ht="24" customHeight="1">
      <x:c r="A371" t="str">
        <x:v>8a9d999b-d3ef-48f8-9d64-5b47008a2245</x:v>
      </x:c>
      <x:c r="B371" t="str">
        <x:v>CSSP10200937</x:v>
      </x:c>
      <x:c r="C371" t="str">
        <x:v>datok.idang@petronas.com</x:v>
      </x:c>
      <x:c r="D371" t="str">
        <x:v>decommission-cloud</x:v>
      </x:c>
      <x:c r="E371" t="str">
        <x:v>pending</x:v>
      </x:c>
      <x:c r="F371" t="n">
        <x:v>46251.295693506945</x:v>
      </x:c>
      <x:c r="G371" t="n">
        <x:v>46251.29633204861</x:v>
      </x:c>
      <x:c r="H371" t="n">
        <x:v>46251.295693506945</x:v>
      </x:c>
      <x:c r="I371" t="str">
        <x:v>Plant Information - PI PCFK</x:v>
      </x:c>
      <x:c r="J371" t="str">
        <x:v>Implementation of PI Asset Framework (AF) and PI Vision for PCFK</x:v>
      </x:c>
      <x:c r="K371" t="str">
        <x:v>partial</x:v>
      </x:c>
      <x:c r="L371"/>
      <x:c r="M371" t="str">
        <x:v>sazali.mokhtar@petronas.com.my</x:v>
      </x:c>
      <x:c r="N371"/>
      <x:c r="O371"/>
      <x:c r="P371" t="str">
        <x:v>Cloud Repatriation - To decommission old resources in Singapore region due to completed migration in MY region</x:v>
      </x:c>
      <x:c r="Q371" t="str">
        <x:v>2W</x:v>
      </x:c>
      <x:c r="R371" t="str">
        <x:v>Cloud Migration</x:v>
      </x:c>
      <x:c r="S371"/>
      <x:c r="T371" t="str">
        <x:v>approved</x:v>
      </x:c>
      <x:c r="U371" t="str">
        <x:v>datok.idang@petronas.com</x:v>
      </x:c>
      <x:c r="V371" t="n">
        <x:v>46251.296332060185</x:v>
      </x:c>
      <x:c r="W371" t="str">
        <x:v>Cloud Repatriation – Decommissioning legacy resources hosted in the Singapore region
</x:v>
      </x:c>
      <x:c r="X371"/>
      <x:c r="Y371" t="str">
        <x:v>sazali.mokhtar@petronas.com</x:v>
      </x:c>
      <x:c r="Z371"/>
      <x:c r="AA371"/>
      <x:c r="AB371"/>
      <x:c r="AC371" t="str">
        <x:v>CCoE SA</x:v>
      </x:c>
      <x:c r="AD371"/>
      <x:c r="AE371"/>
      <x:c r="AF371"/>
      <x:c r="AG371" t="str">
        <x:v>IMS - CLOUD CSSP EXECUTOR</x:v>
      </x:c>
      <x:c r="AH371"/>
      <x:c r="AI371"/>
      <x:c r="AJ371" t="str">
        <x:v>A-000583</x:v>
      </x:c>
      <x:c r="AK371" t="n">
        <x:v>2356</x:v>
      </x:c>
      <x:c r="AL371"/>
      <x:c r="AM371"/>
      <x:c r="AN371" t="str">
        <x:v>noretention</x:v>
      </x:c>
      <x:c r="AO371" t="n">
        <x:v>0</x:v>
      </x:c>
      <x:c r="AP371" s="23" t="str">
        <x:f>IF(E371="processing",IF(Z371="","",IF(ISNUMBER(Z371),INT(Z371),DATE(VALUE(LEFT(Z371,4)),VALUE(MID(Z371,6,2)),VALUE(MID(Z371,9,2))))),IF(OR(E371="executing",E371="pending"),IF(AD371="","",IF(ISNUMBER(AD371),INT(AD371),DATE(VALUE(LEFT(AD371,4)),VALUE(MID(AD371,6,2)),VALUE(MID(AD371,9,2))))),""))</x:f>
      </x:c>
      <x:c r="AQ371" s="24" t="str">
        <x:f>IF(AP371="","",INT('Configuration'!$B$4)-AP371)</x:f>
      </x:c>
      <x:c r="AR371" s="25" t="str">
        <x:f>IF(AP371="","Missing Required Date",IF(AQ371&lt;0,"Future Date",IF(AQ371=0,"0 days",IF(AQ371&lt;=2,"1-2 days",IF(AQ371&lt;=7,"3-7 days",IF(AQ371&lt;=14,"8-14 days",IF(AQ371&lt;=30,"15-30 days",IF(AQ371&lt;=60,"31-60 days",IF(AQ371&lt;=70,"61-70 days","71+ days")))))))))</x:f>
        <x:v>Missing Required Date</x:v>
      </x:c>
      <x:c r="AS371" s="25" t="str">
        <x:f>IF(OR(E371="processing",E371="executing",E371="pending"),IF(AP371="","Required aging date missing",IF(AQ371&gt;30,"Escalate &gt;30d",IF(AQ371&gt;14,"Watch &gt;14d","Within 14d"))),"Out of scope")</x:f>
        <x:v>Required aging date missing</x:v>
      </x:c>
    </x:row>
    <x:row r="372" ht="24" customHeight="1">
      <x:c r="A372" t="str">
        <x:v>a6aab36e-7f45-4ed3-8b77-58980e32c9ce</x:v>
      </x:c>
      <x:c r="B372" t="str">
        <x:v>CSSP10722928</x:v>
      </x:c>
      <x:c r="C372" t="str">
        <x:v>datok.idang@petronas.com</x:v>
      </x:c>
      <x:c r="D372" t="str">
        <x:v>decommission-cloud</x:v>
      </x:c>
      <x:c r="E372" t="str">
        <x:v>pending</x:v>
      </x:c>
      <x:c r="F372" t="n">
        <x:v>46251.29839628472</x:v>
      </x:c>
      <x:c r="G372" t="n">
        <x:v>46251.298804895836</x:v>
      </x:c>
      <x:c r="H372" t="n">
        <x:v>46251.29839628472</x:v>
      </x:c>
      <x:c r="I372" t="str">
        <x:v>Plant Information - PI ABF</x:v>
      </x:c>
      <x:c r="J372" t="str">
        <x:v>Provision, Installation and Configuration of PI AF &amp; PI Vision for Asean Bintulu Fertilizer Sdn Bhd (ABF)</x:v>
      </x:c>
      <x:c r="K372" t="str">
        <x:v>partial</x:v>
      </x:c>
      <x:c r="L372"/>
      <x:c r="M372" t="str">
        <x:v>sazali.mokhtar@petronas.com.my</x:v>
      </x:c>
      <x:c r="N372"/>
      <x:c r="O372"/>
      <x:c r="P372" t="str">
        <x:v>Cloud Repatriation - To decommission old resources in Singapore region due to completed migration in MY region</x:v>
      </x:c>
      <x:c r="Q372" t="str">
        <x:v>2W</x:v>
      </x:c>
      <x:c r="R372" t="str">
        <x:v>Cloud Migration</x:v>
      </x:c>
      <x:c r="S372"/>
      <x:c r="T372" t="str">
        <x:v>approved</x:v>
      </x:c>
      <x:c r="U372" t="str">
        <x:v>datok.idang@petronas.com</x:v>
      </x:c>
      <x:c r="V372" t="n">
        <x:v>46251.298804907405</x:v>
      </x:c>
      <x:c r="W372" t="str">
        <x:v>Cloud Repatriation – Decommissioning legacy resources hosted in the Singapore region
</x:v>
      </x:c>
      <x:c r="X372"/>
      <x:c r="Y372" t="str">
        <x:v>sazali.mokhtar@petronas.com</x:v>
      </x:c>
      <x:c r="Z372"/>
      <x:c r="AA372"/>
      <x:c r="AB372"/>
      <x:c r="AC372" t="str">
        <x:v>CCoE SA</x:v>
      </x:c>
      <x:c r="AD372"/>
      <x:c r="AE372"/>
      <x:c r="AF372"/>
      <x:c r="AG372" t="str">
        <x:v>IMS - CLOUD CSSP EXECUTOR</x:v>
      </x:c>
      <x:c r="AH372"/>
      <x:c r="AI372"/>
      <x:c r="AJ372" t="str">
        <x:v>A-000564</x:v>
      </x:c>
      <x:c r="AK372" t="n">
        <x:v>4469</x:v>
      </x:c>
      <x:c r="AL372"/>
      <x:c r="AM372"/>
      <x:c r="AN372" t="str">
        <x:v>noretention</x:v>
      </x:c>
      <x:c r="AO372" t="n">
        <x:v>0</x:v>
      </x:c>
      <x:c r="AP372" s="23" t="str">
        <x:f>IF(E372="processing",IF(Z372="","",IF(ISNUMBER(Z372),INT(Z372),DATE(VALUE(LEFT(Z372,4)),VALUE(MID(Z372,6,2)),VALUE(MID(Z372,9,2))))),IF(OR(E372="executing",E372="pending"),IF(AD372="","",IF(ISNUMBER(AD372),INT(AD372),DATE(VALUE(LEFT(AD372,4)),VALUE(MID(AD372,6,2)),VALUE(MID(AD372,9,2))))),""))</x:f>
      </x:c>
      <x:c r="AQ372" s="24" t="str">
        <x:f>IF(AP372="","",INT('Configuration'!$B$4)-AP372)</x:f>
      </x:c>
      <x:c r="AR372" s="25" t="str">
        <x:f>IF(AP372="","Missing Required Date",IF(AQ372&lt;0,"Future Date",IF(AQ372=0,"0 days",IF(AQ372&lt;=2,"1-2 days",IF(AQ372&lt;=7,"3-7 days",IF(AQ372&lt;=14,"8-14 days",IF(AQ372&lt;=30,"15-30 days",IF(AQ372&lt;=60,"31-60 days",IF(AQ372&lt;=70,"61-70 days","71+ days")))))))))</x:f>
        <x:v>Missing Required Date</x:v>
      </x:c>
      <x:c r="AS372" s="25" t="str">
        <x:f>IF(OR(E372="processing",E372="executing",E372="pending"),IF(AP372="","Required aging date missing",IF(AQ372&gt;30,"Escalate &gt;30d",IF(AQ372&gt;14,"Watch &gt;14d","Within 14d"))),"Out of scope")</x:f>
        <x:v>Required aging date missing</x:v>
      </x:c>
    </x:row>
  </x:sheetData>
  <x:mergeCells>
    <x:mergeCell ref="A1:L1"/>
    <x:mergeCell ref="A2:L2"/>
    <x:mergeCell ref="A3:L3"/>
  </x:mergeCells>
  <x:conditionalFormatting sqref="AS5:AS372">
    <x:cfRule type="containsText" dxfId="0" priority="1" operator="containsText" text="Escalate"/>
    <x:cfRule type="containsText" dxfId="1" priority="2" operator="containsText" text="Watch"/>
    <x:cfRule type="containsText" dxfId="2" priority="3" operator="containsText" text="required"/>
  </x:conditionalFormatting>
  <x:pageMargins left="0.7" right="0.7" top="0.75" bottom="0.75" header="0.3" footer="0.3"/>
  <x:tableParts count="1">
    <x:tablePart xmlns:r="http://schemas.openxmlformats.org/officeDocument/2006/relationships" r:id="R1753e2b905dc448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7" hidden="0" customWidth="1"/>
    <x:col min="4" max="4" width="17" hidden="0" customWidth="1"/>
    <x:col min="5" max="5" width="17" hidden="0" customWidth="1"/>
    <x:col min="6" max="6" width="20" hidden="0" customWidth="1"/>
    <x:col min="7" max="7" width="20" hidden="0" customWidth="1"/>
    <x:col min="8" max="8" width="20" hidden="0" customWidth="1"/>
    <x:col min="9" max="9" width="26" hidden="0" customWidth="1"/>
    <x:col min="10" max="10" width="26" hidden="0" customWidth="1"/>
    <x:col min="11" max="11" width="26" hidden="0" customWidth="1"/>
    <x:col min="12" max="12" width="26" hidden="0" customWidth="1"/>
    <x:col min="39" max="39" width="19" hidden="0" customWidth="1"/>
    <x:col min="40" max="40" width="13" hidden="0" customWidth="1"/>
    <x:col min="41" max="41" width="22" hidden="0" customWidth="1"/>
    <x:col min="42" max="42" width="22" hidden="0" customWidth="1"/>
  </x:cols>
  <x:sheetData>
    <x:row r="1" ht="30" customHeight="1">
      <x:c r="A1" s="12" t="str">
        <x:v>PROVISIONING — CURRENT INPUT TABLE</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c r="AK1" s="12"/>
      <x:c r="AL1" s="12"/>
      <x:c r="AM1" s="12"/>
      <x:c r="AN1" s="12"/>
      <x:c r="AO1" s="12"/>
      <x:c r="AP1" s="12"/>
    </x:row>
    <x:row r="2" ht="34" customHeight="1">
      <x:c r="A2" s="15" t="str">
        <x:v>Daily: clear only A5:AL5004, then paste source DATA ROWS at A5. Keep the header row and helper columns unchanged.</x:v>
      </x:c>
      <x:c r="B2" s="15"/>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row>
    <x:row r="3">
      <x:c r="A3" s="17" t="str">
        <x:v>Sample source: CSSP-Provisioning-1708.xlsx. Period: Current. Summary supports up to 5000 rows.</x:v>
      </x:c>
      <x:c r="B3" s="17"/>
      <x:c r="C3" s="17"/>
      <x:c r="D3" s="17"/>
      <x:c r="E3" s="17"/>
      <x:c r="F3" s="17"/>
      <x:c r="G3" s="17"/>
      <x:c r="H3" s="17"/>
      <x:c r="I3" s="17"/>
      <x:c r="J3" s="17"/>
      <x:c r="K3" s="17"/>
      <x:c r="L3" s="17"/>
      <x:c r="M3" s="17"/>
      <x:c r="N3" s="17"/>
      <x:c r="O3" s="17"/>
      <x:c r="P3" s="17"/>
      <x:c r="Q3" s="17"/>
      <x:c r="R3" s="17"/>
      <x:c r="S3" s="17"/>
      <x:c r="T3" s="17"/>
      <x:c r="U3" s="17"/>
      <x:c r="V3" s="17"/>
      <x:c r="W3" s="17"/>
      <x:c r="X3" s="17"/>
      <x:c r="Y3" s="17"/>
      <x:c r="Z3" s="17"/>
      <x:c r="AA3" s="17"/>
      <x:c r="AB3" s="17"/>
      <x:c r="AC3" s="17"/>
      <x:c r="AD3" s="17"/>
      <x:c r="AE3" s="17"/>
      <x:c r="AF3" s="17"/>
      <x:c r="AG3" s="17"/>
      <x:c r="AH3" s="17"/>
      <x:c r="AI3" s="17"/>
      <x:c r="AJ3" s="17"/>
      <x:c r="AK3" s="17"/>
      <x:c r="AL3" s="17"/>
      <x:c r="AM3" s="17"/>
      <x:c r="AN3" s="17"/>
      <x:c r="AO3" s="17"/>
      <x:c r="AP3" s="17"/>
    </x:row>
    <x:row r="4" ht="42" customHeight="1">
      <x:c r="A4" s="22" t="str">
        <x:v>id</x:v>
      </x:c>
      <x:c r="B4" s="22" t="str">
        <x:v>request_number</x:v>
      </x:c>
      <x:c r="C4" s="22" t="str">
        <x:v>requestor_id</x:v>
      </x:c>
      <x:c r="D4" s="22" t="str">
        <x:v>request_type</x:v>
      </x:c>
      <x:c r="E4" s="22" t="str">
        <x:v>request_status</x:v>
      </x:c>
      <x:c r="F4" s="22" t="str">
        <x:v>date_created</x:v>
      </x:c>
      <x:c r="G4" s="22" t="str">
        <x:v>date_submitted</x:v>
      </x:c>
      <x:c r="H4" s="22" t="str">
        <x:v>date_updated</x:v>
      </x:c>
      <x:c r="I4" s="22" t="str">
        <x:v>application_id</x:v>
      </x:c>
      <x:c r="J4" s="22" t="str">
        <x:v>application_name</x:v>
      </x:c>
      <x:c r="K4" s="22" t="str">
        <x:v>project_code</x:v>
      </x:c>
      <x:c r="L4" s="22" t="str">
        <x:v>project_name</x:v>
      </x:c>
      <x:c r="M4" s="22" t="str">
        <x:v>manager_email</x:v>
      </x:c>
      <x:c r="N4" s="22" t="str">
        <x:v>devops_project</x:v>
      </x:c>
      <x:c r="O4" s="22" t="str">
        <x:v>request_category</x:v>
      </x:c>
      <x:c r="P4" s="22" t="str">
        <x:v>environment</x:v>
      </x:c>
      <x:c r="Q4" s="22" t="str">
        <x:v>remarks</x:v>
      </x:c>
      <x:c r="R4" s="22" t="str">
        <x:v>request_size</x:v>
      </x:c>
      <x:c r="S4" s="22" t="str">
        <x:v>rfc_number</x:v>
      </x:c>
      <x:c r="T4" s="22" t="str">
        <x:v>origin</x:v>
      </x:c>
      <x:c r="U4" s="22" t="str">
        <x:v>gate_1_comments</x:v>
      </x:c>
      <x:c r="V4" s="22" t="str">
        <x:v>gate_1_date</x:v>
      </x:c>
      <x:c r="W4" s="22" t="str">
        <x:v>gate_1_id</x:v>
      </x:c>
      <x:c r="X4" s="22" t="str">
        <x:v>gate_1_status</x:v>
      </x:c>
      <x:c r="Y4" s="22" t="str">
        <x:v>gate_2_comments</x:v>
      </x:c>
      <x:c r="Z4" s="22" t="str">
        <x:v>gate_2_date</x:v>
      </x:c>
      <x:c r="AA4" s="22" t="str">
        <x:v>gate_2_id</x:v>
      </x:c>
      <x:c r="AB4" s="22" t="str">
        <x:v>gate_2_status</x:v>
      </x:c>
      <x:c r="AC4" s="22" t="str">
        <x:v>gate_3_comments</x:v>
      </x:c>
      <x:c r="AD4" s="22" t="str">
        <x:v>gate_3_date</x:v>
      </x:c>
      <x:c r="AE4" s="22" t="str">
        <x:v>gate_3_id</x:v>
      </x:c>
      <x:c r="AF4" s="22" t="str">
        <x:v>gate_3_status</x:v>
      </x:c>
      <x:c r="AG4" s="22" t="str">
        <x:v>gate_4_comments</x:v>
      </x:c>
      <x:c r="AH4" s="22" t="str">
        <x:v>gate_4_date</x:v>
      </x:c>
      <x:c r="AI4" s="22" t="str">
        <x:v>gate_4_id</x:v>
      </x:c>
      <x:c r="AJ4" s="22" t="str">
        <x:v>gate_4_status</x:v>
      </x:c>
      <x:c r="AK4" s="22" t="str">
        <x:v>sr_number</x:v>
      </x:c>
      <x:c r="AL4" s="22" t="str">
        <x:v>project_id</x:v>
      </x:c>
      <x:c r="AM4" s="22" t="str">
        <x:v>aging_start_date</x:v>
      </x:c>
      <x:c r="AN4" s="22" t="str">
        <x:v>aging_days</x:v>
      </x:c>
      <x:c r="AO4" s="22" t="str">
        <x:v>aging_bucket</x:v>
      </x:c>
      <x:c r="AP4" s="22" t="str">
        <x:v>tracking_flag</x:v>
      </x:c>
    </x:row>
    <x:row r="5" ht="24" customHeight="1">
      <x:c r="A5" t="str">
        <x:v>197bccd2-693d-423f-833f-6775daaba542</x:v>
      </x:c>
      <x:c r="B5" t="str">
        <x:v>REQ000006914868</x:v>
      </x:c>
      <x:c r="C5" t="str">
        <x:v>masyraf.mnasir@petronas.com</x:v>
      </x:c>
      <x:c r="D5" t="str">
        <x:v>provision-cloud-public</x:v>
      </x:c>
      <x:c r="E5" t="str">
        <x:v>completed</x:v>
      </x:c>
      <x:c r="F5" t="str">
        <x:v>2024-11-20T15:27:56.87</x:v>
      </x:c>
      <x:c r="G5" t="str">
        <x:v>2024-11-20T07:27:56.867</x:v>
      </x:c>
      <x:c r="H5" t="n">
        <x:v>46083.32523962963</x:v>
      </x:c>
      <x:c r="I5" t="str">
        <x:v>A-000661</x:v>
      </x:c>
      <x:c r="J5" t="str">
        <x:v>ProcurementGo/STAR</x:v>
      </x:c>
      <x:c r="K5" t="str">
        <x:v>00915_30</x:v>
      </x:c>
      <x:c r="L5" t="str">
        <x:v>Cloud Migration Program - Procurement/Go Star</x:v>
      </x:c>
      <x:c r="M5" t="str">
        <x:v>masyraf.mnasir@petronas.com</x:v>
      </x:c>
      <x:c r="N5" t="str">
        <x:v>ProcurementGo</x:v>
      </x:c>
      <x:c r="O5" t="str">
        <x:v>New</x:v>
      </x:c>
      <x:c r="P5" t="str">
        <x:v>Production</x:v>
      </x:c>
      <x:c r="Q5" t="str">
        <x:v>small, azure, non-iac, add-on kv. RG=PTAZSG-PROD-PSTR-RG. Provision Azure key vault for ProcurementGo</x:v>
      </x:c>
      <x:c r="R5" t="str">
        <x:v>Small</x:v>
      </x:c>
      <x:c r="S5"/>
      <x:c r="T5" t="str">
        <x:v>cssp-v1</x:v>
      </x:c>
      <x:c r="U5" t="str">
        <x:v>REQ000006914868</x:v>
      </x:c>
      <x:c r="V5" t="str">
        <x:v>2024-11-20T07:27:56.867</x:v>
      </x:c>
      <x:c r="W5" t="str">
        <x:v>masyraf.mnasir@petronas.com</x:v>
      </x:c>
      <x:c r="X5" t="str">
        <x:v>approved</x:v>
      </x:c>
      <x:c r="Y5" t="str">
        <x:v>ICT_WO008350537/Pending</x:v>
      </x:c>
      <x:c r="Z5" t="str">
        <x:v>2024-11-20T07:27:56.87</x:v>
      </x:c>
      <x:c r="AA5" t="str">
        <x:v>syazali.saad@petronas.com</x:v>
      </x:c>
      <x:c r="AB5" t="str">
        <x:v>approved</x:v>
      </x:c>
      <x:c r="AC5" t="str">
        <x:v>ICT_WO008350537/Pending</x:v>
      </x:c>
      <x:c r="AD5" t="str">
        <x:v>2024-11-20T07:27:56.87</x:v>
      </x:c>
      <x:c r="AE5" t="str">
        <x:v>syazali.saad@petronas.com</x:v>
      </x:c>
      <x:c r="AF5" t="str">
        <x:v>approved</x:v>
      </x:c>
      <x:c r="AG5" t="str">
        <x:v>completed</x:v>
      </x:c>
      <x:c r="AH5" t="n">
        <x:v>46083.325239641206</x:v>
      </x:c>
      <x:c r="AI5" t="str">
        <x:v>chunwu.lim@petronas.com</x:v>
      </x:c>
      <x:c r="AJ5" t="str">
        <x:v>approved</x:v>
      </x:c>
      <x:c r="AK5"/>
      <x:c r="AL5"/>
      <x:c r="AM5" s="23" t="str">
        <x:f>IF(E5="processing",IF(Z5="","",IF(ISNUMBER(Z5),INT(Z5),DATE(VALUE(LEFT(Z5,4)),VALUE(MID(Z5,6,2)),VALUE(MID(Z5,9,2))))),IF(OR(E5="executing",E5="pending"),IF(AD5="","",IF(ISNUMBER(AD5),INT(AD5),DATE(VALUE(LEFT(AD5,4)),VALUE(MID(AD5,6,2)),VALUE(MID(AD5,9,2))))),""))</x:f>
      </x:c>
      <x:c r="AN5" s="24" t="str">
        <x:f>IF(AM5="","",INT('Configuration'!$B$4)-AM5)</x:f>
      </x:c>
      <x:c r="AO5" s="25" t="str">
        <x:f>IF(AM5="","Missing Required Date",IF(AN5&lt;0,"Future Date",IF(AN5=0,"0 days",IF(AN5&lt;=2,"1-2 days",IF(AN5&lt;=7,"3-7 days",IF(AN5&lt;=14,"8-14 days",IF(AN5&lt;=30,"15-30 days",IF(AN5&lt;=60,"31-60 days",IF(AN5&lt;=70,"61-70 days","71+ days")))))))))</x:f>
        <x:v>Missing Required Date</x:v>
      </x:c>
      <x:c r="AP5" s="25" t="str">
        <x:f>IF(OR(E5="processing",E5="executing",E5="pending"),IF(AM5="","Required aging date missing",IF(AN5&gt;30,"Escalate &gt;30d",IF(AN5&gt;14,"Watch &gt;14d","Within 14d"))),"Out of scope")</x:f>
        <x:v>Out of scope</x:v>
      </x:c>
    </x:row>
    <x:row r="6" ht="24" customHeight="1">
      <x:c r="A6" t="str">
        <x:v>dae1b9a3-81d3-48dc-9c37-db10ec4da527</x:v>
      </x:c>
      <x:c r="B6" t="str">
        <x:v>REQ000006834467</x:v>
      </x:c>
      <x:c r="C6" t="str">
        <x:v>taufiq.tomadan@petronas.com</x:v>
      </x:c>
      <x:c r="D6" t="str">
        <x:v>provision-cloud-public</x:v>
      </x:c>
      <x:c r="E6" t="str">
        <x:v>completed</x:v>
      </x:c>
      <x:c r="F6" t="str">
        <x:v>2024-10-15T09:51:35.49</x:v>
      </x:c>
      <x:c r="G6" t="str">
        <x:v>2024-10-15T01:51:38.16</x:v>
      </x:c>
      <x:c r="H6" t="n">
        <x:v>46083.32721467593</x:v>
      </x:c>
      <x:c r="I6" t="str">
        <x:v>A-000095</x:v>
      </x:c>
      <x:c r="J6" t="str">
        <x:v>Barrier Management and Work Control (BMWC) PCGB</x:v>
      </x:c>
      <x:c r="K6" t="n">
        <x:v>2204</x:v>
      </x:c>
      <x:c r="L6" t="str">
        <x:v>Implementation of Safe Work Control &amp; Barrier Management across PCG OPUs</x:v>
      </x:c>
      <x:c r="M6" t="str">
        <x:v>taufiq.tomadan@petronas.com</x:v>
      </x:c>
      <x:c r="N6" t="str">
        <x:v>Proscient middleware integration</x:v>
      </x:c>
      <x:c r="O6" t="str">
        <x:v>Upgrade</x:v>
      </x:c>
      <x:c r="P6" t="str">
        <x:v>UAT/Staging</x:v>
      </x:c>
      <x:c r="Q6" t="str">
        <x:v>VMs/Application are to be using the Key-Vault. PTAZSG-UAT-PWCB-RG</x:v>
      </x:c>
      <x:c r="R6"/>
      <x:c r="S6"/>
      <x:c r="T6" t="str">
        <x:v>cssp-v1</x:v>
      </x:c>
      <x:c r="U6" t="str">
        <x:v>REQ000006834467</x:v>
      </x:c>
      <x:c r="V6" t="str">
        <x:v>2024-10-15T01:51:38.16</x:v>
      </x:c>
      <x:c r="W6" t="str">
        <x:v>taufiq.tomadan@petronas.com</x:v>
      </x:c>
      <x:c r="X6" t="str">
        <x:v>approved</x:v>
      </x:c>
      <x:c r="Y6" t="str">
        <x:v>ICT_WO008217960/Pending</x:v>
      </x:c>
      <x:c r="Z6" t="str">
        <x:v>2024-10-15T01:51:38.16</x:v>
      </x:c>
      <x:c r="AA6" t="str">
        <x:v>syazali.saad@petronas.com</x:v>
      </x:c>
      <x:c r="AB6" t="str">
        <x:v>approved</x:v>
      </x:c>
      <x:c r="AC6" t="str">
        <x:v>ICT_WO008217960/Pending</x:v>
      </x:c>
      <x:c r="AD6" t="str">
        <x:v>2024-10-15T01:51:38.16</x:v>
      </x:c>
      <x:c r="AE6" t="str">
        <x:v>syazali.saad@petronas.com</x:v>
      </x:c>
      <x:c r="AF6" t="str">
        <x:v>approved</x:v>
      </x:c>
      <x:c r="AG6" t="str">
        <x:v>completed</x:v>
      </x:c>
      <x:c r="AH6" t="n">
        <x:v>46083.32721467593</x:v>
      </x:c>
      <x:c r="AI6" t="str">
        <x:v>chunwu.lim@petronas.com</x:v>
      </x:c>
      <x:c r="AJ6" t="str">
        <x:v>approved</x:v>
      </x:c>
      <x:c r="AK6"/>
      <x:c r="AL6"/>
      <x:c r="AM6" s="23" t="str">
        <x:f>IF(E6="processing",IF(Z6="","",IF(ISNUMBER(Z6),INT(Z6),DATE(VALUE(LEFT(Z6,4)),VALUE(MID(Z6,6,2)),VALUE(MID(Z6,9,2))))),IF(OR(E6="executing",E6="pending"),IF(AD6="","",IF(ISNUMBER(AD6),INT(AD6),DATE(VALUE(LEFT(AD6,4)),VALUE(MID(AD6,6,2)),VALUE(MID(AD6,9,2))))),""))</x:f>
      </x:c>
      <x:c r="AN6" s="24" t="str">
        <x:f>IF(AM6="","",INT('Configuration'!$B$4)-AM6)</x:f>
      </x:c>
      <x:c r="AO6" s="25" t="str">
        <x:f>IF(AM6="","Missing Required Date",IF(AN6&lt;0,"Future Date",IF(AN6=0,"0 days",IF(AN6&lt;=2,"1-2 days",IF(AN6&lt;=7,"3-7 days",IF(AN6&lt;=14,"8-14 days",IF(AN6&lt;=30,"15-30 days",IF(AN6&lt;=60,"31-60 days",IF(AN6&lt;=70,"61-70 days","71+ days")))))))))</x:f>
        <x:v>Missing Required Date</x:v>
      </x:c>
      <x:c r="AP6" s="25" t="str">
        <x:f>IF(OR(E6="processing",E6="executing",E6="pending"),IF(AM6="","Required aging date missing",IF(AN6&gt;30,"Escalate &gt;30d",IF(AN6&gt;14,"Watch &gt;14d","Within 14d"))),"Out of scope")</x:f>
        <x:v>Out of scope</x:v>
      </x:c>
    </x:row>
    <x:row r="7" ht="24" customHeight="1">
      <x:c r="A7" t="str">
        <x:v>d4065c1d-1fd1-4daf-9fdf-38b049f958af</x:v>
      </x:c>
      <x:c r="B7" t="str">
        <x:v>CSSP10832041</x:v>
      </x:c>
      <x:c r="C7" t="str">
        <x:v>mfaizal.salleh@petronas.com</x:v>
      </x:c>
      <x:c r="D7" t="str">
        <x:v>provision-cloud-public</x:v>
      </x:c>
      <x:c r="E7" t="str">
        <x:v>completed</x:v>
      </x:c>
      <x:c r="F7" t="n">
        <x:v>45818.302789444446</x:v>
      </x:c>
      <x:c r="G7" t="n">
        <x:v>45818.302789444446</x:v>
      </x:c>
      <x:c r="H7" t="n">
        <x:v>46042.33172793982</x:v>
      </x:c>
      <x:c r="I7" t="str">
        <x:v>A-000461</x:v>
      </x:c>
      <x:c r="J7" t="str">
        <x:v>Malaysian Financial Reporting Standards (MFRS)</x:v>
      </x:c>
      <x:c r="K7" t="n">
        <x:v>789</x:v>
      </x:c>
      <x:c r="L7" t="str">
        <x:v>Implementation Malaysian Financial Reporting Standards (MFRS) Statutory Reporting (MFRS16) for PETRONAS Group of Companies</x:v>
      </x:c>
      <x:c r="M7" t="str">
        <x:v>mfakhrul.islam@petronas.com.my</x:v>
      </x:c>
      <x:c r="N7" t="str">
        <x:v>MFRS program</x:v>
      </x:c>
      <x:c r="O7" t="str">
        <x:v>New</x:v>
      </x:c>
      <x:c r="P7" t="str">
        <x:v>Production</x:v>
      </x:c>
      <x:c r="Q7" t="str">
        <x:v>To add private endpoint for ptsg-1mfrswb01. For cyber security purpose
</x:v>
      </x:c>
      <x:c r="R7" t="str">
        <x:v>S</x:v>
      </x:c>
      <x:c r="S7"/>
      <x:c r="T7"/>
      <x:c r="U7" t="str">
        <x:v>Approved to add a private endpoint for ptsg-1mfrswb01 for cybersecurity purposes</x:v>
      </x:c>
      <x:c r="V7" t="n">
        <x:v>45819.09947346065</x:v>
      </x:c>
      <x:c r="W7" t="str">
        <x:v>mfakhrul.islam@petronas.com</x:v>
      </x:c>
      <x:c r="X7" t="str">
        <x:v>approved</x:v>
      </x:c>
      <x:c r="Y7" t="str">
        <x:v>This request is to deploy 1x Private Endpoint in existing the RG (PTAZSG-PROD-MFRS-RG) for ptsg-1mfrswb01 app service. This SR is good to go.</x:v>
      </x:c>
      <x:c r="Z7" t="n">
        <x:v>45820.21862608796</x:v>
      </x:c>
      <x:c r="AA7" t="str">
        <x:v>samsuddin.jumbri@petronas.com</x:v>
      </x:c>
      <x:c r="AB7" t="str">
        <x:v>approved</x:v>
      </x:c>
      <x:c r="AC7" t="str">
        <x:v>approved</x:v>
      </x:c>
      <x:c r="AD7" t="n">
        <x:v>45824.062667418984</x:v>
      </x:c>
      <x:c r="AE7" t="str">
        <x:v>syazali.saad@petronas.com</x:v>
      </x:c>
      <x:c r="AF7" t="str">
        <x:v>approved</x:v>
      </x:c>
      <x:c r="AG7" t="str">
        <x:v>The private endpoint for ptsg-1mfrswb01 has created</x:v>
      </x:c>
      <x:c r="AH7" t="n">
        <x:v>46042.33172795139</x:v>
      </x:c>
      <x:c r="AI7" t="str">
        <x:v>muhdfirdaus.muhamad@petronas.com</x:v>
      </x:c>
      <x:c r="AJ7" t="str">
        <x:v>approved</x:v>
      </x:c>
      <x:c r="AK7"/>
      <x:c r="AL7"/>
      <x:c r="AM7" s="23" t="str">
        <x:f>IF(E7="processing",IF(Z7="","",IF(ISNUMBER(Z7),INT(Z7),DATE(VALUE(LEFT(Z7,4)),VALUE(MID(Z7,6,2)),VALUE(MID(Z7,9,2))))),IF(OR(E7="executing",E7="pending"),IF(AD7="","",IF(ISNUMBER(AD7),INT(AD7),DATE(VALUE(LEFT(AD7,4)),VALUE(MID(AD7,6,2)),VALUE(MID(AD7,9,2))))),""))</x:f>
      </x:c>
      <x:c r="AN7" s="24" t="str">
        <x:f>IF(AM7="","",INT('Configuration'!$B$4)-AM7)</x:f>
      </x:c>
      <x:c r="AO7" s="25" t="str">
        <x:f>IF(AM7="","Missing Required Date",IF(AN7&lt;0,"Future Date",IF(AN7=0,"0 days",IF(AN7&lt;=2,"1-2 days",IF(AN7&lt;=7,"3-7 days",IF(AN7&lt;=14,"8-14 days",IF(AN7&lt;=30,"15-30 days",IF(AN7&lt;=60,"31-60 days",IF(AN7&lt;=70,"61-70 days","71+ days")))))))))</x:f>
        <x:v>Missing Required Date</x:v>
      </x:c>
      <x:c r="AP7" s="25" t="str">
        <x:f>IF(OR(E7="processing",E7="executing",E7="pending"),IF(AM7="","Required aging date missing",IF(AN7&gt;30,"Escalate &gt;30d",IF(AN7&gt;14,"Watch &gt;14d","Within 14d"))),"Out of scope")</x:f>
        <x:v>Out of scope</x:v>
      </x:c>
    </x:row>
    <x:row r="8" ht="24" customHeight="1">
      <x:c r="A8" t="str">
        <x:v>f12f17a3-31cb-4fc5-a3cd-f16243f041ec</x:v>
      </x:c>
      <x:c r="B8" t="str">
        <x:v>CSSP10960249</x:v>
      </x:c>
      <x:c r="C8" t="str">
        <x:v>mfaizal.suriyat@petronas.com</x:v>
      </x:c>
      <x:c r="D8" t="str">
        <x:v>provision-cloud-public</x:v>
      </x:c>
      <x:c r="E8" t="str">
        <x:v>rejected</x:v>
      </x:c>
      <x:c r="F8" t="n">
        <x:v>45946.39458328704</x:v>
      </x:c>
      <x:c r="G8" t="n">
        <x:v>45954.16343741898</x:v>
      </x:c>
      <x:c r="H8" t="n">
        <x:v>46057.86548861111</x:v>
      </x:c>
      <x:c r="I8" t="str">
        <x:v>A-000577</x:v>
      </x:c>
      <x:c r="J8" t="str">
        <x:v>Pipeline Integrity Management System - PIMS PGB</x:v>
      </x:c>
      <x:c r="K8" t="str">
        <x:v>SR10924</x:v>
      </x:c>
      <x:c r="L8" t="str">
        <x:v>Enhancement of PETRONAS Integrated Pipeline Integrity Assurance Solutions (i-PIMS) Phase 6</x:v>
      </x:c>
      <x:c r="M8" t="str">
        <x:v>shekha.mahdhar@petronas.com.my</x:v>
      </x:c>
      <x:c r="N8" t="str">
        <x:v>Pipeline Digital Twin</x:v>
      </x:c>
      <x:c r="O8" t="str">
        <x:v>New</x:v>
      </x:c>
      <x:c r="P8" t="str">
        <x:v>StagingUat</x:v>
      </x:c>
      <x:c r="Q8" t="str">
        <x:v>Please read note from Excel estimate
Cost Center: 001PCT-306</x:v>
      </x:c>
      <x:c r="R8"/>
      <x:c r="S8"/>
      <x:c r="T8"/>
      <x:c r="U8" t="str">
        <x:v>Reviewed</x:v>
      </x:c>
      <x:c r="V8" t="n">
        <x:v>46007.28521314815</x:v>
      </x:c>
      <x:c r="W8" t="str">
        <x:v>shekha.mahdhar@petronas.com</x:v>
      </x:c>
      <x:c r="X8" t="str">
        <x:v>approved</x:v>
      </x:c>
      <x:c r="Y8" t="str">
        <x:v>Good to go</x:v>
      </x:c>
      <x:c r="Z8" t="n">
        <x:v>46009.12536923611</x:v>
      </x:c>
      <x:c r="AA8" t="str">
        <x:v>samsuddin.jumbri@petronas.com</x:v>
      </x:c>
      <x:c r="AB8" t="str">
        <x:v>approved</x:v>
      </x:c>
      <x:c r="AC8" t="str">
        <x:v>resources already created in PTAZSG-IAC-UAT-PIMS-DTOFFSHORE-RG</x:v>
      </x:c>
      <x:c r="AD8" t="n">
        <x:v>46057.86548862269</x:v>
      </x:c>
      <x:c r="AE8" t="str">
        <x:v>syazali.saad@petronas.com</x:v>
      </x:c>
      <x:c r="AF8" t="str">
        <x:v>rejected</x:v>
      </x:c>
      <x:c r="AG8"/>
      <x:c r="AH8"/>
      <x:c r="AI8" t="str">
        <x:v>CCoE Core Services (Public)</x:v>
      </x:c>
      <x:c r="AJ8"/>
      <x:c r="AK8"/>
      <x:c r="AL8"/>
      <x:c r="AM8" s="23" t="str">
        <x:f>IF(E8="processing",IF(Z8="","",IF(ISNUMBER(Z8),INT(Z8),DATE(VALUE(LEFT(Z8,4)),VALUE(MID(Z8,6,2)),VALUE(MID(Z8,9,2))))),IF(OR(E8="executing",E8="pending"),IF(AD8="","",IF(ISNUMBER(AD8),INT(AD8),DATE(VALUE(LEFT(AD8,4)),VALUE(MID(AD8,6,2)),VALUE(MID(AD8,9,2))))),""))</x:f>
      </x:c>
      <x:c r="AN8" s="24" t="str">
        <x:f>IF(AM8="","",INT('Configuration'!$B$4)-AM8)</x:f>
      </x:c>
      <x:c r="AO8" s="25" t="str">
        <x:f>IF(AM8="","Missing Required Date",IF(AN8&lt;0,"Future Date",IF(AN8=0,"0 days",IF(AN8&lt;=2,"1-2 days",IF(AN8&lt;=7,"3-7 days",IF(AN8&lt;=14,"8-14 days",IF(AN8&lt;=30,"15-30 days",IF(AN8&lt;=60,"31-60 days",IF(AN8&lt;=70,"61-70 days","71+ days")))))))))</x:f>
        <x:v>Missing Required Date</x:v>
      </x:c>
      <x:c r="AP8" s="25" t="str">
        <x:f>IF(OR(E8="processing",E8="executing",E8="pending"),IF(AM8="","Required aging date missing",IF(AN8&gt;30,"Escalate &gt;30d",IF(AN8&gt;14,"Watch &gt;14d","Within 14d"))),"Out of scope")</x:f>
        <x:v>Out of scope</x:v>
      </x:c>
    </x:row>
    <x:row r="9" ht="24" customHeight="1">
      <x:c r="A9" t="str">
        <x:v>90001eaf-3d3f-4dd6-95d8-751b3f1f3ba0</x:v>
      </x:c>
      <x:c r="B9" t="str">
        <x:v>CSSP10167368</x:v>
      </x:c>
      <x:c r="C9" t="str">
        <x:v>mfaizal.suriyat@petronas.com</x:v>
      </x:c>
      <x:c r="D9" t="str">
        <x:v>provision-cloud-public</x:v>
      </x:c>
      <x:c r="E9" t="str">
        <x:v>completed</x:v>
      </x:c>
      <x:c r="F9" t="n">
        <x:v>45947.6089658912</x:v>
      </x:c>
      <x:c r="G9" t="n">
        <x:v>45958.022732337966</x:v>
      </x:c>
      <x:c r="H9" t="n">
        <x:v>46028.23219122685</x:v>
      </x:c>
      <x:c r="I9" t="str">
        <x:v>A-000640</x:v>
      </x:c>
      <x:c r="J9" t="str">
        <x:v>PETRONAS Pipeline Engineering Solution - P-PIES</x:v>
      </x:c>
      <x:c r="K9" t="str">
        <x:v>SR04104</x:v>
      </x:c>
      <x:c r="L9" t="str">
        <x:v>Pipeline of the Future (POTF) ‐ PiES, i‐PIMS, PrAnCorr &amp; PrAnSpan</x:v>
      </x:c>
      <x:c r="M9" t="str">
        <x:v>shekha.mahdhar@petronas.com.my</x:v>
      </x:c>
      <x:c r="N9" t="str">
        <x:v>PPIES</x:v>
      </x:c>
      <x:c r="O9" t="str">
        <x:v>New</x:v>
      </x:c>
      <x:c r="P9" t="str">
        <x:v>Production</x:v>
      </x:c>
      <x:c r="Q9" t="str">
        <x:v>Please refer attachment,</x:v>
      </x:c>
      <x:c r="R9" t="str">
        <x:v>S</x:v>
      </x:c>
      <x:c r="S9"/>
      <x:c r="T9"/>
      <x:c r="U9" t="str">
        <x:v>Reviewed</x:v>
      </x:c>
      <x:c r="V9" t="n">
        <x:v>46007.28484619213</x:v>
      </x:c>
      <x:c r="W9" t="str">
        <x:v>shekha.mahdhar@petronas.com</x:v>
      </x:c>
      <x:c r="X9" t="str">
        <x:v>approved</x:v>
      </x:c>
      <x:c r="Y9" t="str">
        <x:v>Good to go</x:v>
      </x:c>
      <x:c r="Z9" t="n">
        <x:v>46009.12768597222</x:v>
      </x:c>
      <x:c r="AA9" t="str">
        <x:v>samsuddin.jumbri@petronas.com</x:v>
      </x:c>
      <x:c r="AB9" t="str">
        <x:v>approved</x:v>
      </x:c>
      <x:c r="AC9" t="str">
        <x:v>storage account x1 only.</x:v>
      </x:c>
      <x:c r="AD9" t="n">
        <x:v>46028.14693540509</x:v>
      </x:c>
      <x:c r="AE9" t="str">
        <x:v>syazali.saad@petronas.com</x:v>
      </x:c>
      <x:c r="AF9" t="str">
        <x:v>approved</x:v>
      </x:c>
      <x:c r="AG9" t="str">
        <x:v>Completed. </x:v>
      </x:c>
      <x:c r="AH9" t="n">
        <x:v>46028.23219123843</x:v>
      </x:c>
      <x:c r="AI9" t="str">
        <x:v>fatinamirah.mjonik@petronas.com</x:v>
      </x:c>
      <x:c r="AJ9" t="str">
        <x:v>approved</x:v>
      </x:c>
      <x:c r="AK9" t="str">
        <x:v>REQ000007790536</x:v>
      </x:c>
      <x:c r="AL9"/>
      <x:c r="AM9" s="23" t="str">
        <x:f>IF(E9="processing",IF(Z9="","",IF(ISNUMBER(Z9),INT(Z9),DATE(VALUE(LEFT(Z9,4)),VALUE(MID(Z9,6,2)),VALUE(MID(Z9,9,2))))),IF(OR(E9="executing",E9="pending"),IF(AD9="","",IF(ISNUMBER(AD9),INT(AD9),DATE(VALUE(LEFT(AD9,4)),VALUE(MID(AD9,6,2)),VALUE(MID(AD9,9,2))))),""))</x:f>
      </x:c>
      <x:c r="AN9" s="24" t="str">
        <x:f>IF(AM9="","",INT('Configuration'!$B$4)-AM9)</x:f>
      </x:c>
      <x:c r="AO9" s="25" t="str">
        <x:f>IF(AM9="","Missing Required Date",IF(AN9&lt;0,"Future Date",IF(AN9=0,"0 days",IF(AN9&lt;=2,"1-2 days",IF(AN9&lt;=7,"3-7 days",IF(AN9&lt;=14,"8-14 days",IF(AN9&lt;=30,"15-30 days",IF(AN9&lt;=60,"31-60 days",IF(AN9&lt;=70,"61-70 days","71+ days")))))))))</x:f>
        <x:v>Missing Required Date</x:v>
      </x:c>
      <x:c r="AP9" s="25" t="str">
        <x:f>IF(OR(E9="processing",E9="executing",E9="pending"),IF(AM9="","Required aging date missing",IF(AN9&gt;30,"Escalate &gt;30d",IF(AN9&gt;14,"Watch &gt;14d","Within 14d"))),"Out of scope")</x:f>
        <x:v>Out of scope</x:v>
      </x:c>
    </x:row>
    <x:row r="10" ht="24" customHeight="1">
      <x:c r="A10" t="str">
        <x:v>c926f0a1-95c7-4207-b4d8-25b10c27b47c</x:v>
      </x:c>
      <x:c r="B10" t="str">
        <x:v>CSSP10742290</x:v>
      </x:c>
      <x:c r="C10" t="str">
        <x:v>mfaizal.suriyat@petronas.com</x:v>
      </x:c>
      <x:c r="D10" t="str">
        <x:v>provision-cloud-public</x:v>
      </x:c>
      <x:c r="E10" t="str">
        <x:v>completed</x:v>
      </x:c>
      <x:c r="F10" t="n">
        <x:v>45959.05435774306</x:v>
      </x:c>
      <x:c r="G10" t="n">
        <x:v>45959.05881108796</x:v>
      </x:c>
      <x:c r="H10" t="n">
        <x:v>46031.56304609954</x:v>
      </x:c>
      <x:c r="I10" t="str">
        <x:v>A-000640</x:v>
      </x:c>
      <x:c r="J10" t="str">
        <x:v>PETRONAS Pipeline Engineering Solution - P-PIES</x:v>
      </x:c>
      <x:c r="K10" t="str">
        <x:v>SR04104</x:v>
      </x:c>
      <x:c r="L10" t="str">
        <x:v>Pipeline of the Future (POTF) ‐ PiES, i‐PIMS, PrAnCorr &amp; PrAnSpan</x:v>
      </x:c>
      <x:c r="M10" t="str">
        <x:v>sarkunan.tigarajan@petronas.com.my</x:v>
      </x:c>
      <x:c r="N10" t="str">
        <x:v>PPIES</x:v>
      </x:c>
      <x:c r="O10" t="str">
        <x:v>New</x:v>
      </x:c>
      <x:c r="P10" t="str">
        <x:v>Production</x:v>
      </x:c>
      <x:c r="Q10" t="str">
        <x:v>Please refer Estimate Excel</x:v>
      </x:c>
      <x:c r="R10" t="str">
        <x:v>S</x:v>
      </x:c>
      <x:c r="S10"/>
      <x:c r="T10"/>
      <x:c r="U10" t="str">
        <x:v>Approved</x:v>
      </x:c>
      <x:c r="V10" t="n">
        <x:v>45960.01464903935</x:v>
      </x:c>
      <x:c r="W10" t="str">
        <x:v>sarkunan.tigarajan@petronas.com</x:v>
      </x:c>
      <x:c r="X10" t="str">
        <x:v>approved</x:v>
      </x:c>
      <x:c r="Y10" t="str">
        <x:v>Good to go</x:v>
      </x:c>
      <x:c r="Z10" t="n">
        <x:v>45960.07391832176</x:v>
      </x:c>
      <x:c r="AA10" t="str">
        <x:v>samsuddin.jumbri@petronas.com</x:v>
      </x:c>
      <x:c r="AB10" t="str">
        <x:v>approved</x:v>
      </x:c>
      <x:c r="AC10" t="str">
        <x:v>PTAZSG-PROD-GTS-PIES-RG</x:v>
      </x:c>
      <x:c r="AD10" t="n">
        <x:v>45961.17481476852</x:v>
      </x:c>
      <x:c r="AE10" t="str">
        <x:v>syazali.saad@petronas.com</x:v>
      </x:c>
      <x:c r="AF10" t="str">
        <x:v>approved</x:v>
      </x:c>
      <x:c r="AG10" t="str">
        <x:v>job completed </x:v>
      </x:c>
      <x:c r="AH10" t="n">
        <x:v>46031.56304609954</x:v>
      </x:c>
      <x:c r="AI10" t="str">
        <x:v>asri.yaakub@petronas.com</x:v>
      </x:c>
      <x:c r="AJ10" t="str">
        <x:v>approved</x:v>
      </x:c>
      <x:c r="AK10" t="str">
        <x:v>REQ000007627947</x:v>
      </x:c>
      <x:c r="AL10" t="str">
        <x:v>14651415-23d8-4898-b4e2-0d1247d2bd11</x:v>
      </x:c>
      <x:c r="AM10" s="23" t="str">
        <x:f>IF(E10="processing",IF(Z10="","",IF(ISNUMBER(Z10),INT(Z10),DATE(VALUE(LEFT(Z10,4)),VALUE(MID(Z10,6,2)),VALUE(MID(Z10,9,2))))),IF(OR(E10="executing",E10="pending"),IF(AD10="","",IF(ISNUMBER(AD10),INT(AD10),DATE(VALUE(LEFT(AD10,4)),VALUE(MID(AD10,6,2)),VALUE(MID(AD10,9,2))))),""))</x:f>
      </x:c>
      <x:c r="AN10" s="24" t="str">
        <x:f>IF(AM10="","",INT('Configuration'!$B$4)-AM10)</x:f>
      </x:c>
      <x:c r="AO10" s="25" t="str">
        <x:f>IF(AM10="","Missing Required Date",IF(AN10&lt;0,"Future Date",IF(AN10=0,"0 days",IF(AN10&lt;=2,"1-2 days",IF(AN10&lt;=7,"3-7 days",IF(AN10&lt;=14,"8-14 days",IF(AN10&lt;=30,"15-30 days",IF(AN10&lt;=60,"31-60 days",IF(AN10&lt;=70,"61-70 days","71+ days")))))))))</x:f>
        <x:v>Missing Required Date</x:v>
      </x:c>
      <x:c r="AP10" s="25" t="str">
        <x:f>IF(OR(E10="processing",E10="executing",E10="pending"),IF(AM10="","Required aging date missing",IF(AN10&gt;30,"Escalate &gt;30d",IF(AN10&gt;14,"Watch &gt;14d","Within 14d"))),"Out of scope")</x:f>
        <x:v>Out of scope</x:v>
      </x:c>
    </x:row>
    <x:row r="11" ht="24" customHeight="1">
      <x:c r="A11" t="str">
        <x:v>52b6334b-2415-4b0a-939f-23f769132df1</x:v>
      </x:c>
      <x:c r="B11" t="str">
        <x:v>CSSP10991554</x:v>
      </x:c>
      <x:c r="C11" t="str">
        <x:v>nabilifwat.muhamadh@petronas.com</x:v>
      </x:c>
      <x:c r="D11" t="str">
        <x:v>provision-cloud-public</x:v>
      </x:c>
      <x:c r="E11" t="str">
        <x:v>rejected</x:v>
      </x:c>
      <x:c r="F11" t="n">
        <x:v>45979.07530474537</x:v>
      </x:c>
      <x:c r="G11" t="n">
        <x:v>45979.07530474537</x:v>
      </x:c>
      <x:c r="H11" t="n">
        <x:v>46121.16786744213</x:v>
      </x:c>
      <x:c r="I11" t="str">
        <x:v>A-000093</x:v>
      </x:c>
      <x:c r="J11" t="str">
        <x:v>Barrier Management and HSSE - BMH - formerly Measure Validate and Predict - MVP</x:v>
      </x:c>
      <x:c r="K11" t="str">
        <x:v>02421_136</x:v>
      </x:c>
      <x:c r="L11" t="str">
        <x:v>Shared between 00915_103 and 00915_104 | AWS - Cloud Migration -Measure, Validate &amp; Predict (MVP) GPU | AWS - Cloud Migration - Measure, Validate &amp; Predict (MVP) GTR - From OLZ (MVP GPU &amp; MVP GTR) to NLZ (BMH)</x:v>
      </x:c>
      <x:c r="M11" t="str">
        <x:v>huajin.tan@petronas.com.my</x:v>
      </x:c>
      <x:c r="N11" t="str">
        <x:v>BMH</x:v>
      </x:c>
      <x:c r="O11" t="str">
        <x:v>Modify</x:v>
      </x:c>
      <x:c r="P11" t="str">
        <x:v>StagingUat</x:v>
      </x:c>
      <x:c r="Q11" t="str">
        <x:v>Request to provision private IP for the following staging app services in
AWS
SG: AWSReservedSSO_PTAW_APPS_BMH_GROUP
link: https://stg.bmh.petronas.com/
database: ptawsg-4bmhdb01.c444fcimx0qx.ap-southeast-1.rds.amazonaws.com 
API: sgpuapi.bmh.petronas.com
API: sgtrapi.bmh.petronas.com</x:v>
      </x:c>
      <x:c r="R11"/>
      <x:c r="S11"/>
      <x:c r="T11"/>
      <x:c r="U11" t="str">
        <x:v>old request</x:v>
      </x:c>
      <x:c r="V11" t="n">
        <x:v>46121.1678674537</x:v>
      </x:c>
      <x:c r="W11" t="str">
        <x:v>huajin.tan@petronas.com</x:v>
      </x:c>
      <x:c r="X11" t="str">
        <x:v>rejected</x:v>
      </x:c>
      <x:c r="Y11"/>
      <x:c r="Z11"/>
      <x:c r="AA11" t="str">
        <x:v>CCoE Demand</x:v>
      </x:c>
      <x:c r="AB11"/>
      <x:c r="AC11"/>
      <x:c r="AD11"/>
      <x:c r="AE11" t="str">
        <x:v>CCoE Business</x:v>
      </x:c>
      <x:c r="AF11"/>
      <x:c r="AG11"/>
      <x:c r="AH11"/>
      <x:c r="AI11" t="str">
        <x:v>CCoE Core Services (Public)</x:v>
      </x:c>
      <x:c r="AJ11"/>
      <x:c r="AK11"/>
      <x:c r="AL11" t="str">
        <x:v>d2f5d842-ec9f-45ad-a893-23615e186405</x:v>
      </x:c>
      <x:c r="AM11" s="23" t="str">
        <x:f>IF(E11="processing",IF(Z11="","",IF(ISNUMBER(Z11),INT(Z11),DATE(VALUE(LEFT(Z11,4)),VALUE(MID(Z11,6,2)),VALUE(MID(Z11,9,2))))),IF(OR(E11="executing",E11="pending"),IF(AD11="","",IF(ISNUMBER(AD11),INT(AD11),DATE(VALUE(LEFT(AD11,4)),VALUE(MID(AD11,6,2)),VALUE(MID(AD11,9,2))))),""))</x:f>
      </x:c>
      <x:c r="AN11" s="24" t="str">
        <x:f>IF(AM11="","",INT('Configuration'!$B$4)-AM11)</x:f>
      </x:c>
      <x:c r="AO11" s="25" t="str">
        <x:f>IF(AM11="","Missing Required Date",IF(AN11&lt;0,"Future Date",IF(AN11=0,"0 days",IF(AN11&lt;=2,"1-2 days",IF(AN11&lt;=7,"3-7 days",IF(AN11&lt;=14,"8-14 days",IF(AN11&lt;=30,"15-30 days",IF(AN11&lt;=60,"31-60 days",IF(AN11&lt;=70,"61-70 days","71+ days")))))))))</x:f>
        <x:v>Missing Required Date</x:v>
      </x:c>
      <x:c r="AP11" s="25" t="str">
        <x:f>IF(OR(E11="processing",E11="executing",E11="pending"),IF(AM11="","Required aging date missing",IF(AN11&gt;30,"Escalate &gt;30d",IF(AN11&gt;14,"Watch &gt;14d","Within 14d"))),"Out of scope")</x:f>
        <x:v>Out of scope</x:v>
      </x:c>
    </x:row>
    <x:row r="12" ht="24" customHeight="1">
      <x:c r="A12" t="str">
        <x:v>36573b9c-80d1-4fa5-ad9b-9ff80edc8e21</x:v>
      </x:c>
      <x:c r="B12" t="str">
        <x:v>CSSP10488950</x:v>
      </x:c>
      <x:c r="C12" t="str">
        <x:v>muhamadhafiz.muham@petronas.com</x:v>
      </x:c>
      <x:c r="D12" t="str">
        <x:v>provision-cloud-public</x:v>
      </x:c>
      <x:c r="E12" t="str">
        <x:v>rejected</x:v>
      </x:c>
      <x:c r="F12" t="n">
        <x:v>45980.13720907408</x:v>
      </x:c>
      <x:c r="G12" t="n">
        <x:v>45980.13720907408</x:v>
      </x:c>
      <x:c r="H12" t="n">
        <x:v>46090.445261608795</x:v>
      </x:c>
      <x:c r="I12" t="str">
        <x:v>A-001291</x:v>
      </x:c>
      <x:c r="J12" t="str">
        <x:v>Future Ready IoT to Drive Remote Operations via IoSync</x:v>
      </x:c>
      <x:c r="K12" t="n">
        <x:v>520</x:v>
      </x:c>
      <x:c r="L12" t="str">
        <x:v>IOSync</x:v>
      </x:c>
      <x:c r="M12" t="str">
        <x:v>huajin.tan@petronas.com.my</x:v>
      </x:c>
      <x:c r="N12" t="str">
        <x:v>Virtual Assets Walkabout</x:v>
      </x:c>
      <x:c r="O12" t="str">
        <x:v>New</x:v>
      </x:c>
      <x:c r="P12" t="str">
        <x:v>Production</x:v>
      </x:c>
      <x:c r="Q12" t="str">
        <x:v>I would like to provision similar services as IOSYNC staging similar as per this request below to production
CSSP ID: CSSP10913193
IOSYNC CSSP: https://cssp.petronas.com/request/provisioning/cloud/public/view/13d422f3-90cb-4fff-9e73-712486080d51</x:v>
      </x:c>
      <x:c r="R12"/>
      <x:c r="S12"/>
      <x:c r="T12"/>
      <x:c r="U12" t="str">
        <x:v>I believe there is another request for this since the project was completed</x:v>
      </x:c>
      <x:c r="V12" t="n">
        <x:v>46090.44526162037</x:v>
      </x:c>
      <x:c r="W12" t="str">
        <x:v>huajin.tan@petronas.com</x:v>
      </x:c>
      <x:c r="X12" t="str">
        <x:v>rejected</x:v>
      </x:c>
      <x:c r="Y12"/>
      <x:c r="Z12"/>
      <x:c r="AA12" t="str">
        <x:v>CCoE Demand</x:v>
      </x:c>
      <x:c r="AB12"/>
      <x:c r="AC12"/>
      <x:c r="AD12"/>
      <x:c r="AE12" t="str">
        <x:v>CCoE Business</x:v>
      </x:c>
      <x:c r="AF12"/>
      <x:c r="AG12"/>
      <x:c r="AH12"/>
      <x:c r="AI12" t="str">
        <x:v>CCoE Core Services (Public)</x:v>
      </x:c>
      <x:c r="AJ12"/>
      <x:c r="AK12"/>
      <x:c r="AL12" t="str">
        <x:v>f062f56e-396c-40f5-a78a-c1a1c573427f</x:v>
      </x:c>
      <x:c r="AM12" s="23" t="str">
        <x:f>IF(E12="processing",IF(Z12="","",IF(ISNUMBER(Z12),INT(Z12),DATE(VALUE(LEFT(Z12,4)),VALUE(MID(Z12,6,2)),VALUE(MID(Z12,9,2))))),IF(OR(E12="executing",E12="pending"),IF(AD12="","",IF(ISNUMBER(AD12),INT(AD12),DATE(VALUE(LEFT(AD12,4)),VALUE(MID(AD12,6,2)),VALUE(MID(AD12,9,2))))),""))</x:f>
      </x:c>
      <x:c r="AN12" s="24" t="str">
        <x:f>IF(AM12="","",INT('Configuration'!$B$4)-AM12)</x:f>
      </x:c>
      <x:c r="AO12" s="25" t="str">
        <x:f>IF(AM12="","Missing Required Date",IF(AN12&lt;0,"Future Date",IF(AN12=0,"0 days",IF(AN12&lt;=2,"1-2 days",IF(AN12&lt;=7,"3-7 days",IF(AN12&lt;=14,"8-14 days",IF(AN12&lt;=30,"15-30 days",IF(AN12&lt;=60,"31-60 days",IF(AN12&lt;=70,"61-70 days","71+ days")))))))))</x:f>
        <x:v>Missing Required Date</x:v>
      </x:c>
      <x:c r="AP12" s="25" t="str">
        <x:f>IF(OR(E12="processing",E12="executing",E12="pending"),IF(AM12="","Required aging date missing",IF(AN12&gt;30,"Escalate &gt;30d",IF(AN12&gt;14,"Watch &gt;14d","Within 14d"))),"Out of scope")</x:f>
        <x:v>Out of scope</x:v>
      </x:c>
    </x:row>
    <x:row r="13" ht="24" customHeight="1">
      <x:c r="A13" t="str">
        <x:v>bc64bf9a-be4e-4a4f-953a-c0ec21d376cf</x:v>
      </x:c>
      <x:c r="B13" t="str">
        <x:v>CSSP10289134</x:v>
      </x:c>
      <x:c r="C13" t="str">
        <x:v>yannchang.tan@petronas.com</x:v>
      </x:c>
      <x:c r="D13" t="str">
        <x:v>provision-cloud-public</x:v>
      </x:c>
      <x:c r="E13" t="str">
        <x:v>completed</x:v>
      </x:c>
      <x:c r="F13" t="n">
        <x:v>45985.133832175925</x:v>
      </x:c>
      <x:c r="G13" t="n">
        <x:v>46076.11428126157</x:v>
      </x:c>
      <x:c r="H13" t="n">
        <x:v>46091.09710172454</x:v>
      </x:c>
      <x:c r="I13" t="str">
        <x:v>A-000037</x:v>
      </x:c>
      <x:c r="J13" t="str">
        <x:v>AI Enablement Framework</x:v>
      </x:c>
      <x:c r="K13" t="n">
        <x:v>3437</x:v>
      </x:c>
      <x:c r="L13" t="str">
        <x:v>Support and Maintenance for AI Enablement Framework 2023-2024 for PDB</x:v>
      </x:c>
      <x:c r="M13" t="str">
        <x:v>debjani.sambasivam@petronas.com.my</x:v>
      </x:c>
      <x:c r="N13" t="str">
        <x:v>PDB_AI_Enablement</x:v>
      </x:c>
      <x:c r="O13" t="str">
        <x:v>Modify</x:v>
      </x:c>
      <x:c r="P13" t="str">
        <x:v>Development</x:v>
      </x:c>
      <x:c r="Q13" t="str">
        <x:v>Compute Name: PDB-CAD-FATHIN Assign To: Fathin Farhana Noordin (CAD/PDB) (fathinfarhana.noord@petronas.com.my) Virtual Machine Size: Standard_DS15_v2 (20 cores, 140 GB RAM, 280 GB disk) Scheduling Auto Shut Down: 60 minute</x:v>
      </x:c>
      <x:c r="R13" t="str">
        <x:v>S</x:v>
      </x:c>
      <x:c r="S13"/>
      <x:c r="T13"/>
      <x:c r="U13" t="str">
        <x:v>Please proceed</x:v>
      </x:c>
      <x:c r="V13" t="n">
        <x:v>46076.117447199074</x:v>
      </x:c>
      <x:c r="W13" t="str">
        <x:v>debjani.sambasivam@petronas.com</x:v>
      </x:c>
      <x:c r="X13" t="str">
        <x:v>approved</x:v>
      </x:c>
      <x:c r="Y13" t="str">
        <x:v>Good to go</x:v>
      </x:c>
      <x:c r="Z13" t="n">
        <x:v>46078.336317430556</x:v>
      </x:c>
      <x:c r="AA13" t="str">
        <x:v>samsuddin.jumbri@petronas.com</x:v>
      </x:c>
      <x:c r="AB13" t="str">
        <x:v>approved</x:v>
      </x:c>
      <x:c r="AC13" t="str">
        <x:v>.</x:v>
      </x:c>
      <x:c r="AD13" t="n">
        <x:v>46079.11504528935</x:v>
      </x:c>
      <x:c r="AE13" t="str">
        <x:v>syazali.saad@petronas.com</x:v>
      </x:c>
      <x:c r="AF13" t="str">
        <x:v>approved</x:v>
      </x:c>
      <x:c r="AG13" t="str">
        <x:v>completed</x:v>
      </x:c>
      <x:c r="AH13" t="n">
        <x:v>46091.09710173611</x:v>
      </x:c>
      <x:c r="AI13" t="str">
        <x:v>izham.ajmaan@petronas.com</x:v>
      </x:c>
      <x:c r="AJ13" t="str">
        <x:v>approved</x:v>
      </x:c>
      <x:c r="AK13" t="str">
        <x:v>REQ000007894811</x:v>
      </x:c>
      <x:c r="AL13" t="str">
        <x:v>f99ec12f-a075-40d0-8957-15cd4e72ddb4</x:v>
      </x:c>
      <x:c r="AM13" s="23" t="str">
        <x:f>IF(E13="processing",IF(Z13="","",IF(ISNUMBER(Z13),INT(Z13),DATE(VALUE(LEFT(Z13,4)),VALUE(MID(Z13,6,2)),VALUE(MID(Z13,9,2))))),IF(OR(E13="executing",E13="pending"),IF(AD13="","",IF(ISNUMBER(AD13),INT(AD13),DATE(VALUE(LEFT(AD13,4)),VALUE(MID(AD13,6,2)),VALUE(MID(AD13,9,2))))),""))</x:f>
      </x:c>
      <x:c r="AN13" s="24" t="str">
        <x:f>IF(AM13="","",INT('Configuration'!$B$4)-AM13)</x:f>
      </x:c>
      <x:c r="AO13" s="25" t="str">
        <x:f>IF(AM13="","Missing Required Date",IF(AN13&lt;0,"Future Date",IF(AN13=0,"0 days",IF(AN13&lt;=2,"1-2 days",IF(AN13&lt;=7,"3-7 days",IF(AN13&lt;=14,"8-14 days",IF(AN13&lt;=30,"15-30 days",IF(AN13&lt;=60,"31-60 days",IF(AN13&lt;=70,"61-70 days","71+ days")))))))))</x:f>
        <x:v>Missing Required Date</x:v>
      </x:c>
      <x:c r="AP13" s="25" t="str">
        <x:f>IF(OR(E13="processing",E13="executing",E13="pending"),IF(AM13="","Required aging date missing",IF(AN13&gt;30,"Escalate &gt;30d",IF(AN13&gt;14,"Watch &gt;14d","Within 14d"))),"Out of scope")</x:f>
        <x:v>Out of scope</x:v>
      </x:c>
    </x:row>
    <x:row r="14" ht="24" customHeight="1">
      <x:c r="A14" t="str">
        <x:v>fbf5852f-d9c4-44b4-88ec-f71c1c63c90b</x:v>
      </x:c>
      <x:c r="B14" t="str">
        <x:v>CSSP10764223</x:v>
      </x:c>
      <x:c r="C14" t="str">
        <x:v>gary.chengkeanglim@petronas.com</x:v>
      </x:c>
      <x:c r="D14" t="str">
        <x:v>provision-cloud-public</x:v>
      </x:c>
      <x:c r="E14" t="str">
        <x:v>completed</x:v>
      </x:c>
      <x:c r="F14" t="n">
        <x:v>45986.106715497684</x:v>
      </x:c>
      <x:c r="G14" t="n">
        <x:v>45986.1078896875</x:v>
      </x:c>
      <x:c r="H14" t="n">
        <x:v>46031.75681737268</x:v>
      </x:c>
      <x:c r="I14" t="str">
        <x:v>A-001303</x:v>
      </x:c>
      <x:c r="J14" t="str">
        <x:v>Project Command Centre (PCC)</x:v>
      </x:c>
      <x:c r="K14" t="n">
        <x:v>4624</x:v>
      </x:c>
      <x:c r="L14" t="str">
        <x:v>Project Command Centre (PCC) Phase 3</x:v>
      </x:c>
      <x:c r="M14" t="str">
        <x:v>wahidkahar@petronas.com.my</x:v>
      </x:c>
      <x:c r="N14" t="str">
        <x:v>Project Control Tower</x:v>
      </x:c>
      <x:c r="O14" t="str">
        <x:v>Modify</x:v>
      </x:c>
      <x:c r="P14" t="str">
        <x:v>Development</x:v>
      </x:c>
      <x:c r="Q14" t="str">
        <x:v>Setup ADF for PCC project</x:v>
      </x:c>
      <x:c r="R14" t="str">
        <x:v>M</x:v>
      </x:c>
      <x:c r="S14"/>
      <x:c r="T14"/>
      <x:c r="U14" t="str">
        <x:v>Please proceed</x:v>
      </x:c>
      <x:c r="V14" t="n">
        <x:v>45987.22718259259</x:v>
      </x:c>
      <x:c r="W14" t="str">
        <x:v>wahidkahar@petronas.com</x:v>
      </x:c>
      <x:c r="X14" t="str">
        <x:v>approved</x:v>
      </x:c>
      <x:c r="Y14" t="str">
        <x:v>Deploy all requested resources under the existing Resource Group (PTAZSG-IAC-DEV-PCT-RG) in Singapore.</x:v>
      </x:c>
      <x:c r="Z14" t="n">
        <x:v>45993.34452856481</x:v>
      </x:c>
      <x:c r="AA14" t="str">
        <x:v>samsuddin.jumbri@petronas.com</x:v>
      </x:c>
      <x:c r="AB14" t="str">
        <x:v>approved</x:v>
      </x:c>
      <x:c r="AC14" t="str">
        <x:v>CSSP10764223 Development
CSSP10651043 StagingUat
CSSP10781388 Production</x:v>
      </x:c>
      <x:c r="AD14" t="n">
        <x:v>45993.39722565972</x:v>
      </x:c>
      <x:c r="AE14" t="str">
        <x:v>syazali.saad@petronas.com</x:v>
      </x:c>
      <x:c r="AF14" t="str">
        <x:v>approved</x:v>
      </x:c>
      <x:c r="AG14" t="str">
        <x:v>Completed</x:v>
      </x:c>
      <x:c r="AH14" t="n">
        <x:v>46031.75681738426</x:v>
      </x:c>
      <x:c r="AI14" t="str">
        <x:v>amin.manshor@petronas.com</x:v>
      </x:c>
      <x:c r="AJ14" t="str">
        <x:v>approved</x:v>
      </x:c>
      <x:c r="AK14" t="str">
        <x:v>REQ000007707581</x:v>
      </x:c>
      <x:c r="AL14" t="str">
        <x:v>5a618235-0b34-4d04-8b74-5c4052b870d7</x:v>
      </x:c>
      <x:c r="AM14" s="23" t="str">
        <x:f>IF(E14="processing",IF(Z14="","",IF(ISNUMBER(Z14),INT(Z14),DATE(VALUE(LEFT(Z14,4)),VALUE(MID(Z14,6,2)),VALUE(MID(Z14,9,2))))),IF(OR(E14="executing",E14="pending"),IF(AD14="","",IF(ISNUMBER(AD14),INT(AD14),DATE(VALUE(LEFT(AD14,4)),VALUE(MID(AD14,6,2)),VALUE(MID(AD14,9,2))))),""))</x:f>
      </x:c>
      <x:c r="AN14" s="24" t="str">
        <x:f>IF(AM14="","",INT('Configuration'!$B$4)-AM14)</x:f>
      </x:c>
      <x:c r="AO14" s="25" t="str">
        <x:f>IF(AM14="","Missing Required Date",IF(AN14&lt;0,"Future Date",IF(AN14=0,"0 days",IF(AN14&lt;=2,"1-2 days",IF(AN14&lt;=7,"3-7 days",IF(AN14&lt;=14,"8-14 days",IF(AN14&lt;=30,"15-30 days",IF(AN14&lt;=60,"31-60 days",IF(AN14&lt;=70,"61-70 days","71+ days")))))))))</x:f>
        <x:v>Missing Required Date</x:v>
      </x:c>
      <x:c r="AP14" s="25" t="str">
        <x:f>IF(OR(E14="processing",E14="executing",E14="pending"),IF(AM14="","Required aging date missing",IF(AN14&gt;30,"Escalate &gt;30d",IF(AN14&gt;14,"Watch &gt;14d","Within 14d"))),"Out of scope")</x:f>
        <x:v>Out of scope</x:v>
      </x:c>
    </x:row>
    <x:row r="15" ht="24" customHeight="1">
      <x:c r="A15" t="str">
        <x:v>d4767236-4313-4bf5-8cb1-6395b037a18d</x:v>
      </x:c>
      <x:c r="B15" t="str">
        <x:v>CSSP10651043</x:v>
      </x:c>
      <x:c r="C15" t="str">
        <x:v>gary.chengkeanglim@petronas.com</x:v>
      </x:c>
      <x:c r="D15" t="str">
        <x:v>provision-cloud-public</x:v>
      </x:c>
      <x:c r="E15" t="str">
        <x:v>completed</x:v>
      </x:c>
      <x:c r="F15" t="n">
        <x:v>45986.10931908565</x:v>
      </x:c>
      <x:c r="G15" t="n">
        <x:v>45986.10931908565</x:v>
      </x:c>
      <x:c r="H15" t="n">
        <x:v>46031.75711918982</x:v>
      </x:c>
      <x:c r="I15" t="str">
        <x:v>A-001303</x:v>
      </x:c>
      <x:c r="J15" t="str">
        <x:v>Project Command Centre (PCC)</x:v>
      </x:c>
      <x:c r="K15" t="n">
        <x:v>4624</x:v>
      </x:c>
      <x:c r="L15" t="str">
        <x:v>Project Command Centre (PCC) Phase 3</x:v>
      </x:c>
      <x:c r="M15" t="str">
        <x:v>wahidkahar@petronas.com.my</x:v>
      </x:c>
      <x:c r="N15" t="str">
        <x:v>Project Control Tower</x:v>
      </x:c>
      <x:c r="O15" t="str">
        <x:v>Modify</x:v>
      </x:c>
      <x:c r="P15" t="str">
        <x:v>StagingUat</x:v>
      </x:c>
      <x:c r="Q15" t="str">
        <x:v>Setup ADF for PCC project</x:v>
      </x:c>
      <x:c r="R15" t="str">
        <x:v>M</x:v>
      </x:c>
      <x:c r="S15"/>
      <x:c r="T15"/>
      <x:c r="U15" t="str">
        <x:v>Please proceed</x:v>
      </x:c>
      <x:c r="V15" t="n">
        <x:v>45987.22808931713</x:v>
      </x:c>
      <x:c r="W15" t="str">
        <x:v>wahidkahar@petronas.com</x:v>
      </x:c>
      <x:c r="X15" t="str">
        <x:v>approved</x:v>
      </x:c>
      <x:c r="Y15" t="str">
        <x:v>Deploy all requested resources under the existing Resource Group (PTAZSG-IAC-UAT-PCT-RG) in Singapore.</x:v>
      </x:c>
      <x:c r="Z15" t="n">
        <x:v>45993.34508680556</x:v>
      </x:c>
      <x:c r="AA15" t="str">
        <x:v>samsuddin.jumbri@petronas.com</x:v>
      </x:c>
      <x:c r="AB15" t="str">
        <x:v>approved</x:v>
      </x:c>
      <x:c r="AC15" t="str">
        <x:v>CSSP10764223 Development
CSSP10651043 StagingUat
CSSP10781388 Production</x:v>
      </x:c>
      <x:c r="AD15" t="n">
        <x:v>45993.39712863426</x:v>
      </x:c>
      <x:c r="AE15" t="str">
        <x:v>syazali.saad@petronas.com</x:v>
      </x:c>
      <x:c r="AF15" t="str">
        <x:v>approved</x:v>
      </x:c>
      <x:c r="AG15" t="str">
        <x:v>Completed</x:v>
      </x:c>
      <x:c r="AH15" t="n">
        <x:v>46031.757119201386</x:v>
      </x:c>
      <x:c r="AI15" t="str">
        <x:v>amin.manshor@petronas.com</x:v>
      </x:c>
      <x:c r="AJ15" t="str">
        <x:v>approved</x:v>
      </x:c>
      <x:c r="AK15" t="str">
        <x:v>REQ000007707580</x:v>
      </x:c>
      <x:c r="AL15" t="str">
        <x:v>5a618235-0b34-4d04-8b74-5c4052b870d7</x:v>
      </x:c>
      <x:c r="AM15" s="23" t="str">
        <x:f>IF(E15="processing",IF(Z15="","",IF(ISNUMBER(Z15),INT(Z15),DATE(VALUE(LEFT(Z15,4)),VALUE(MID(Z15,6,2)),VALUE(MID(Z15,9,2))))),IF(OR(E15="executing",E15="pending"),IF(AD15="","",IF(ISNUMBER(AD15),INT(AD15),DATE(VALUE(LEFT(AD15,4)),VALUE(MID(AD15,6,2)),VALUE(MID(AD15,9,2))))),""))</x:f>
      </x:c>
      <x:c r="AN15" s="24" t="str">
        <x:f>IF(AM15="","",INT('Configuration'!$B$4)-AM15)</x:f>
      </x:c>
      <x:c r="AO15" s="25" t="str">
        <x:f>IF(AM15="","Missing Required Date",IF(AN15&lt;0,"Future Date",IF(AN15=0,"0 days",IF(AN15&lt;=2,"1-2 days",IF(AN15&lt;=7,"3-7 days",IF(AN15&lt;=14,"8-14 days",IF(AN15&lt;=30,"15-30 days",IF(AN15&lt;=60,"31-60 days",IF(AN15&lt;=70,"61-70 days","71+ days")))))))))</x:f>
        <x:v>Missing Required Date</x:v>
      </x:c>
      <x:c r="AP15" s="25" t="str">
        <x:f>IF(OR(E15="processing",E15="executing",E15="pending"),IF(AM15="","Required aging date missing",IF(AN15&gt;30,"Escalate &gt;30d",IF(AN15&gt;14,"Watch &gt;14d","Within 14d"))),"Out of scope")</x:f>
        <x:v>Out of scope</x:v>
      </x:c>
    </x:row>
    <x:row r="16" ht="24" customHeight="1">
      <x:c r="A16" t="str">
        <x:v>8b2cd422-d017-401e-9909-9c6dea4c8d69</x:v>
      </x:c>
      <x:c r="B16" t="str">
        <x:v>CSSP10432529</x:v>
      </x:c>
      <x:c r="C16" t="str">
        <x:v>shahrulrizal.said@petronas.com</x:v>
      </x:c>
      <x:c r="D16" t="str">
        <x:v>provision-cloud-public</x:v>
      </x:c>
      <x:c r="E16" t="str">
        <x:v>completed</x:v>
      </x:c>
      <x:c r="F16" t="n">
        <x:v>45994.33852444444</x:v>
      </x:c>
      <x:c r="G16" t="n">
        <x:v>45994.33852444444</x:v>
      </x:c>
      <x:c r="H16" t="n">
        <x:v>46028.05320391204</x:v>
      </x:c>
      <x:c r="I16" t="str">
        <x:v>A-000355</x:v>
      </x:c>
      <x:c r="J16" t="str">
        <x:v>HSE Intelligence Pod Multimodal AI Vision / Voice - HIPVISION</x:v>
      </x:c>
      <x:c r="K16" t="n">
        <x:v>3578</x:v>
      </x:c>
      <x:c r="L16" t="str">
        <x:v>Development of HSE Intelligence Pod (HIP) Multimodal AI (Vision, Voice)</x:v>
      </x:c>
      <x:c r="M16" t="str">
        <x:v>josephine.danielbav@petronas.com.my</x:v>
      </x:c>
      <x:c r="N16" t="str">
        <x:v>HIP Vision AI</x:v>
      </x:c>
      <x:c r="O16" t="str">
        <x:v>Modify</x:v>
      </x:c>
      <x:c r="P16" t="str">
        <x:v>StagingUat</x:v>
      </x:c>
      <x:c r="Q16" t="str">
        <x:v>To Upgrade Kubernetes version in HIP SDI UAT environment to the latest version 1.35 as per discussed
RG = PTAZSG-IAC-UAT-HIPVISION-JAI-RG
AKS= ptsg-4hipvisionaks02, ptsg-4hipvisionaks03</x:v>
      </x:c>
      <x:c r="R16" t="str">
        <x:v>M</x:v>
      </x:c>
      <x:c r="S16"/>
      <x:c r="T16"/>
      <x:c r="U16" t="str">
        <x:v>Urgently Required. </x:v>
      </x:c>
      <x:c r="V16" t="n">
        <x:v>45994.34466737269</x:v>
      </x:c>
      <x:c r="W16" t="str">
        <x:v>josephine.danielbav@petronas.com</x:v>
      </x:c>
      <x:c r="X16" t="str">
        <x:v>approved</x:v>
      </x:c>
      <x:c r="Y16" t="str">
        <x:v>Good to go</x:v>
      </x:c>
      <x:c r="Z16" t="n">
        <x:v>45995.094082511576</x:v>
      </x:c>
      <x:c r="AA16" t="str">
        <x:v>samsuddin.jumbri@petronas.com</x:v>
      </x:c>
      <x:c r="AB16" t="str">
        <x:v>approved</x:v>
      </x:c>
      <x:c r="AC16" t="str">
        <x:v>Proceed</x:v>
      </x:c>
      <x:c r="AD16" t="n">
        <x:v>45995.128940092596</x:v>
      </x:c>
      <x:c r="AE16" t="str">
        <x:v>azwan.badari@petronas.com</x:v>
      </x:c>
      <x:c r="AF16" t="str">
        <x:v>approved</x:v>
      </x:c>
      <x:c r="AG16" t="str">
        <x:v>Luis has provided updates to the requestor, Shahrulrizal B Said (Rizal) regarding the AKS version upgrade:
1)    ptsg-4hipvisionaks03
The control plane and its node pool have been successfully upgraded to the latest version, 1.34.0.
2) ptsg-4hipvisionaks02
  We need to discuss further, as the existing node pools must be replaced to obtain the latest version. Rizal will confirm with Dr. Liang regarding the node pool usage and will arrange an additional discussion with us if necessary.  
Note: As discussed with Rizal, Luis will close this ticket since the app team discussions and upgrade planning will take some time. Luis will coordinate the remaining items with Rizal via MS Teams.</x:v>
      </x:c>
      <x:c r="AH16" t="n">
        <x:v>46028.05320391204</x:v>
      </x:c>
      <x:c r="AI16" t="str">
        <x:v>yeonghunn.ho@petronas.com</x:v>
      </x:c>
      <x:c r="AJ16" t="str">
        <x:v>approved</x:v>
      </x:c>
      <x:c r="AK16" t="str">
        <x:v>REQ000007712065</x:v>
      </x:c>
      <x:c r="AL16" t="str">
        <x:v>ea9ff09d-7f7a-482f-a081-c07b99b496a2</x:v>
      </x:c>
      <x:c r="AM16" s="23" t="str">
        <x:f>IF(E16="processing",IF(Z16="","",IF(ISNUMBER(Z16),INT(Z16),DATE(VALUE(LEFT(Z16,4)),VALUE(MID(Z16,6,2)),VALUE(MID(Z16,9,2))))),IF(OR(E16="executing",E16="pending"),IF(AD16="","",IF(ISNUMBER(AD16),INT(AD16),DATE(VALUE(LEFT(AD16,4)),VALUE(MID(AD16,6,2)),VALUE(MID(AD16,9,2))))),""))</x:f>
      </x:c>
      <x:c r="AN16" s="24" t="str">
        <x:f>IF(AM16="","",INT('Configuration'!$B$4)-AM16)</x:f>
      </x:c>
      <x:c r="AO16" s="25" t="str">
        <x:f>IF(AM16="","Missing Required Date",IF(AN16&lt;0,"Future Date",IF(AN16=0,"0 days",IF(AN16&lt;=2,"1-2 days",IF(AN16&lt;=7,"3-7 days",IF(AN16&lt;=14,"8-14 days",IF(AN16&lt;=30,"15-30 days",IF(AN16&lt;=60,"31-60 days",IF(AN16&lt;=70,"61-70 days","71+ days")))))))))</x:f>
        <x:v>Missing Required Date</x:v>
      </x:c>
      <x:c r="AP16" s="25" t="str">
        <x:f>IF(OR(E16="processing",E16="executing",E16="pending"),IF(AM16="","Required aging date missing",IF(AN16&gt;30,"Escalate &gt;30d",IF(AN16&gt;14,"Watch &gt;14d","Within 14d"))),"Out of scope")</x:f>
        <x:v>Out of scope</x:v>
      </x:c>
    </x:row>
    <x:row r="17" ht="24" customHeight="1">
      <x:c r="A17" t="str">
        <x:v>3bb78a3c-f615-49b0-bb87-378288ebf03d</x:v>
      </x:c>
      <x:c r="B17" t="str">
        <x:v>CSSP10110126</x:v>
      </x:c>
      <x:c r="C17" t="str">
        <x:v>shafiq.hussein@petronas.com</x:v>
      </x:c>
      <x:c r="D17" t="str">
        <x:v>provision-cloud-public</x:v>
      </x:c>
      <x:c r="E17" t="str">
        <x:v>completed</x:v>
      </x:c>
      <x:c r="F17" t="n">
        <x:v>46000.14377606481</x:v>
      </x:c>
      <x:c r="G17" t="n">
        <x:v>46000.14801435185</x:v>
      </x:c>
      <x:c r="H17" t="n">
        <x:v>46028.19825408565</x:v>
      </x:c>
      <x:c r="I17" t="str">
        <x:v>A-001290</x:v>
      </x:c>
      <x:c r="J17" t="str">
        <x:v>SAP Global Data Consolidation - GDC</x:v>
      </x:c>
      <x:c r="K17" t="n">
        <x:v>435</x:v>
      </x:c>
      <x:c r="L17" t="str">
        <x:v>Enhancement for Global Data Consolidation (GDC) for MPM</x:v>
      </x:c>
      <x:c r="M17" t="str">
        <x:v>rohazlin.ahmad@petronas.com</x:v>
      </x:c>
      <x:c r="N17" t="str">
        <x:v>BPC GDC 2.0</x:v>
      </x:c>
      <x:c r="O17" t="str">
        <x:v>New</x:v>
      </x:c>
      <x:c r="P17" t="str">
        <x:v>Production</x:v>
      </x:c>
      <x:c r="Q17" t="str">
        <x:v>Request to provision Azure services for hosting internal APIs using container-based architecture. Solution includes Azure Container Services, API Management (Basic tier), Application Gateway, and Container Registry. The APIs are for internal use only with no external integration. SP, CS, and EA approvals have been completed.</x:v>
      </x:c>
      <x:c r="R17" t="str">
        <x:v>S</x:v>
      </x:c>
      <x:c r="S17"/>
      <x:c r="T17"/>
      <x:c r="U17" t="str">
        <x:v>Reviewed and approved </x:v>
      </x:c>
      <x:c r="V17" t="n">
        <x:v>46000.1491683912</x:v>
      </x:c>
      <x:c r="W17" t="str">
        <x:v>rohazlin.ahmad@petronas.com</x:v>
      </x:c>
      <x:c r="X17" t="str">
        <x:v>approved</x:v>
      </x:c>
      <x:c r="Y17" t="str">
        <x:v>Good to go</x:v>
      </x:c>
      <x:c r="Z17" t="n">
        <x:v>46001.09559951389</x:v>
      </x:c>
      <x:c r="AA17" t="str">
        <x:v>samsuddin.jumbri@petronas.com</x:v>
      </x:c>
      <x:c r="AB17" t="str">
        <x:v>approved</x:v>
      </x:c>
      <x:c r="AC17" t="str">
        <x:v>.</x:v>
      </x:c>
      <x:c r="AD17" t="n">
        <x:v>46002.291507511574</x:v>
      </x:c>
      <x:c r="AE17" t="str">
        <x:v>syazali.saad@petronas.com</x:v>
      </x:c>
      <x:c r="AF17" t="str">
        <x:v>approved</x:v>
      </x:c>
      <x:c r="AG17" t="str">
        <x:v>Completed.</x:v>
      </x:c>
      <x:c r="AH17" t="n">
        <x:v>46028.19825410879</x:v>
      </x:c>
      <x:c r="AI17" t="str">
        <x:v>darliz.zainol@petronas.com</x:v>
      </x:c>
      <x:c r="AJ17" t="str">
        <x:v>approved</x:v>
      </x:c>
      <x:c r="AK17" t="str">
        <x:v>REQ000007729086</x:v>
      </x:c>
      <x:c r="AL17" t="str">
        <x:v>e92680b4-8369-4236-9fda-0430bb8e1dfb</x:v>
      </x:c>
      <x:c r="AM17" s="23" t="str">
        <x:f>IF(E17="processing",IF(Z17="","",IF(ISNUMBER(Z17),INT(Z17),DATE(VALUE(LEFT(Z17,4)),VALUE(MID(Z17,6,2)),VALUE(MID(Z17,9,2))))),IF(OR(E17="executing",E17="pending"),IF(AD17="","",IF(ISNUMBER(AD17),INT(AD17),DATE(VALUE(LEFT(AD17,4)),VALUE(MID(AD17,6,2)),VALUE(MID(AD17,9,2))))),""))</x:f>
      </x:c>
      <x:c r="AN17" s="24" t="str">
        <x:f>IF(AM17="","",INT('Configuration'!$B$4)-AM17)</x:f>
      </x:c>
      <x:c r="AO17" s="25" t="str">
        <x:f>IF(AM17="","Missing Required Date",IF(AN17&lt;0,"Future Date",IF(AN17=0,"0 days",IF(AN17&lt;=2,"1-2 days",IF(AN17&lt;=7,"3-7 days",IF(AN17&lt;=14,"8-14 days",IF(AN17&lt;=30,"15-30 days",IF(AN17&lt;=60,"31-60 days",IF(AN17&lt;=70,"61-70 days","71+ days")))))))))</x:f>
        <x:v>Missing Required Date</x:v>
      </x:c>
      <x:c r="AP17" s="25" t="str">
        <x:f>IF(OR(E17="processing",E17="executing",E17="pending"),IF(AM17="","Required aging date missing",IF(AN17&gt;30,"Escalate &gt;30d",IF(AN17&gt;14,"Watch &gt;14d","Within 14d"))),"Out of scope")</x:f>
        <x:v>Out of scope</x:v>
      </x:c>
    </x:row>
    <x:row r="18" ht="24" customHeight="1">
      <x:c r="A18" t="str">
        <x:v>7526d2f5-1eba-42d9-aa96-708c1e73af60</x:v>
      </x:c>
      <x:c r="B18" t="str">
        <x:v>CSSP10893348</x:v>
      </x:c>
      <x:c r="C18" t="str">
        <x:v>yannchang.tan@petronas.com</x:v>
      </x:c>
      <x:c r="D18" t="str">
        <x:v>provision-cloud-public</x:v>
      </x:c>
      <x:c r="E18" t="str">
        <x:v>completed</x:v>
      </x:c>
      <x:c r="F18" t="n">
        <x:v>46001.16360355324</x:v>
      </x:c>
      <x:c r="G18" t="n">
        <x:v>46028.27399515046</x:v>
      </x:c>
      <x:c r="H18" t="n">
        <x:v>46031.69657782408</x:v>
      </x:c>
      <x:c r="I18" t="str">
        <x:v>A-000037</x:v>
      </x:c>
      <x:c r="J18" t="str">
        <x:v>AI Enablement Framework</x:v>
      </x:c>
      <x:c r="K18" t="n">
        <x:v>3437</x:v>
      </x:c>
      <x:c r="L18" t="str">
        <x:v>Support and Maintenance for AI Enablement Framework 2023-2024 for PDB</x:v>
      </x:c>
      <x:c r="M18" t="str">
        <x:v>debjani.sambasivam@petronas.com.my</x:v>
      </x:c>
      <x:c r="N18" t="str">
        <x:v>AI Enablement for PDB</x:v>
      </x:c>
      <x:c r="O18" t="str">
        <x:v>Modify</x:v>
      </x:c>
      <x:c r="P18" t="str">
        <x:v>Development</x:v>
      </x:c>
      <x:c r="Q18" t="str">
        <x:v>Compute Name: PDB-CAD-KENNETH Assign To: Kenneth Lau Kheng Soong (kenneth.laukhengsoon@petronas.com.my) Virtual Machine Size: Standard_DS15_v2 (20 cores, 140 GB RAM, 280 GB disk) Scheduling Auto Shut Down: 60 minute</x:v>
      </x:c>
      <x:c r="R18" t="str">
        <x:v>S</x:v>
      </x:c>
      <x:c r="S18"/>
      <x:c r="T18"/>
      <x:c r="U18" t="str">
        <x:v>Approved</x:v>
      </x:c>
      <x:c r="V18" t="n">
        <x:v>46028.27641792824</x:v>
      </x:c>
      <x:c r="W18" t="str">
        <x:v>debjani.sambasivam@petronas.com</x:v>
      </x:c>
      <x:c r="X18" t="str">
        <x:v>approved</x:v>
      </x:c>
      <x:c r="Y18" t="str">
        <x:v>Good to go</x:v>
      </x:c>
      <x:c r="Z18" t="n">
        <x:v>46029.13735974537</x:v>
      </x:c>
      <x:c r="AA18" t="str">
        <x:v>samsuddin.jumbri@petronas.com</x:v>
      </x:c>
      <x:c r="AB18" t="str">
        <x:v>approved</x:v>
      </x:c>
      <x:c r="AC18" t="str">
        <x:v>ML compute. perform this in ML studio.
https://portal.azure.com/#@PETRONAS.onmicrosoft.com/resource/subscriptions/b5a67ad5-d38a-4258-aa5e-31e39d3b709f/resourceGroups/PTAZSG-DEV-AIPDB-RG/providers/Microsoft.MachineLearningServices/workspaces/ptsg-5aipdbml01/overview</x:v>
      </x:c>
      <x:c r="AD18" t="n">
        <x:v>46029.37120918981</x:v>
      </x:c>
      <x:c r="AE18" t="str">
        <x:v>syazali.saad@petronas.com</x:v>
      </x:c>
      <x:c r="AF18" t="str">
        <x:v>approved</x:v>
      </x:c>
      <x:c r="AG18" t="str">
        <x:v>done. </x:v>
      </x:c>
      <x:c r="AH18" t="n">
        <x:v>46031.696577835646</x:v>
      </x:c>
      <x:c r="AI18" t="str">
        <x:v>azhan.shazeli@petronas.com</x:v>
      </x:c>
      <x:c r="AJ18" t="str">
        <x:v>approved</x:v>
      </x:c>
      <x:c r="AK18" t="str">
        <x:v>REQ000007795697</x:v>
      </x:c>
      <x:c r="AL18" t="str">
        <x:v>f99ec12f-a075-40d0-8957-15cd4e72ddb4</x:v>
      </x:c>
      <x:c r="AM18" s="23" t="str">
        <x:f>IF(E18="processing",IF(Z18="","",IF(ISNUMBER(Z18),INT(Z18),DATE(VALUE(LEFT(Z18,4)),VALUE(MID(Z18,6,2)),VALUE(MID(Z18,9,2))))),IF(OR(E18="executing",E18="pending"),IF(AD18="","",IF(ISNUMBER(AD18),INT(AD18),DATE(VALUE(LEFT(AD18,4)),VALUE(MID(AD18,6,2)),VALUE(MID(AD18,9,2))))),""))</x:f>
      </x:c>
      <x:c r="AN18" s="24" t="str">
        <x:f>IF(AM18="","",INT('Configuration'!$B$4)-AM18)</x:f>
      </x:c>
      <x:c r="AO18" s="25" t="str">
        <x:f>IF(AM18="","Missing Required Date",IF(AN18&lt;0,"Future Date",IF(AN18=0,"0 days",IF(AN18&lt;=2,"1-2 days",IF(AN18&lt;=7,"3-7 days",IF(AN18&lt;=14,"8-14 days",IF(AN18&lt;=30,"15-30 days",IF(AN18&lt;=60,"31-60 days",IF(AN18&lt;=70,"61-70 days","71+ days")))))))))</x:f>
        <x:v>Missing Required Date</x:v>
      </x:c>
      <x:c r="AP18" s="25" t="str">
        <x:f>IF(OR(E18="processing",E18="executing",E18="pending"),IF(AM18="","Required aging date missing",IF(AN18&gt;30,"Escalate &gt;30d",IF(AN18&gt;14,"Watch &gt;14d","Within 14d"))),"Out of scope")</x:f>
        <x:v>Out of scope</x:v>
      </x:c>
    </x:row>
    <x:row r="19" ht="24" customHeight="1">
      <x:c r="A19" t="str">
        <x:v>4698f3c6-9b1b-49ab-8edd-5e8f539e07e1</x:v>
      </x:c>
      <x:c r="B19" t="str">
        <x:v>CSSP10726338</x:v>
      </x:c>
      <x:c r="C19" t="str">
        <x:v>norhajarsyazwani.moh@petronas.com</x:v>
      </x:c>
      <x:c r="D19" t="str">
        <x:v>provision-cloud-public</x:v>
      </x:c>
      <x:c r="E19" t="str">
        <x:v>completed</x:v>
      </x:c>
      <x:c r="F19" t="n">
        <x:v>46003.36452991898</x:v>
      </x:c>
      <x:c r="G19" t="n">
        <x:v>46003.36452991898</x:v>
      </x:c>
      <x:c r="H19" t="n">
        <x:v>46029.27550255787</x:v>
      </x:c>
      <x:c r="I19" t="str">
        <x:v>A-000633</x:v>
      </x:c>
      <x:c r="J19" t="str">
        <x:v>Price Management Tool - PMT</x:v>
      </x:c>
      <x:c r="K19" t="n">
        <x:v>1687</x:v>
      </x:c>
      <x:c r="L19" t="str">
        <x:v>Provision of Support &amp; Maintenance for Price Management Tool (PMT) 2.0 for PCML</x:v>
      </x:c>
      <x:c r="M19" t="str">
        <x:v>noraziah.aziz@petronas.com.my</x:v>
      </x:c>
      <x:c r="N19" t="str">
        <x:v>PMT2.0 Application Support and Maintenance</x:v>
      </x:c>
      <x:c r="O19" t="str">
        <x:v>Modify</x:v>
      </x:c>
      <x:c r="P19" t="str">
        <x:v>StagingUat</x:v>
      </x:c>
      <x:c r="Q19" t="str">
        <x:v>To upgrade kubernetes version, ubuntu version and add one (1) additional node in ptsg-4pmtaks. 
AKS cluster to be upgraded to 1.33.0.
Ubuntu version to be upgraded to 22.04
Please assign to Mohamad Izzat Hazwan Romainor (IS/DIGITAL).</x:v>
      </x:c>
      <x:c r="R19" t="str">
        <x:v>L</x:v>
      </x:c>
      <x:c r="S19"/>
      <x:c r="T19"/>
      <x:c r="U19" t="str">
        <x:v>Approved as advise by support personnel</x:v>
      </x:c>
      <x:c r="V19" t="n">
        <x:v>46003.37039099537</x:v>
      </x:c>
      <x:c r="W19" t="str">
        <x:v>noraziah.aziz@petronas.com</x:v>
      </x:c>
      <x:c r="X19" t="str">
        <x:v>approved</x:v>
      </x:c>
      <x:c r="Y19" t="str">
        <x:v>Good to go</x:v>
      </x:c>
      <x:c r="Z19" t="n">
        <x:v>46006.33282310185</x:v>
      </x:c>
      <x:c r="AA19" t="str">
        <x:v>samsuddin.jumbri@petronas.com</x:v>
      </x:c>
      <x:c r="AB19" t="str">
        <x:v>approved</x:v>
      </x:c>
      <x:c r="AC19" t="str">
        <x:v>as per approved by cloud demand.</x:v>
      </x:c>
      <x:c r="AD19" t="n">
        <x:v>46007.36237472222</x:v>
      </x:c>
      <x:c r="AE19" t="str">
        <x:v>syazali.saad@petronas.com</x:v>
      </x:c>
      <x:c r="AF19" t="str">
        <x:v>approved</x:v>
      </x:c>
      <x:c r="AG19" t="str">
        <x:v>completed</x:v>
      </x:c>
      <x:c r="AH19" t="n">
        <x:v>46029.27550255787</x:v>
      </x:c>
      <x:c r="AI19" t="str">
        <x:v>izzat.romainor@petronas.com</x:v>
      </x:c>
      <x:c r="AJ19" t="str">
        <x:v>approved</x:v>
      </x:c>
      <x:c r="AK19" t="str">
        <x:v>REQ000007743308</x:v>
      </x:c>
      <x:c r="AL19" t="str">
        <x:v>2505cb08-b067-4c2b-8956-f83a94b5cf3a</x:v>
      </x:c>
      <x:c r="AM19" s="23" t="str">
        <x:f>IF(E19="processing",IF(Z19="","",IF(ISNUMBER(Z19),INT(Z19),DATE(VALUE(LEFT(Z19,4)),VALUE(MID(Z19,6,2)),VALUE(MID(Z19,9,2))))),IF(OR(E19="executing",E19="pending"),IF(AD19="","",IF(ISNUMBER(AD19),INT(AD19),DATE(VALUE(LEFT(AD19,4)),VALUE(MID(AD19,6,2)),VALUE(MID(AD19,9,2))))),""))</x:f>
      </x:c>
      <x:c r="AN19" s="24" t="str">
        <x:f>IF(AM19="","",INT('Configuration'!$B$4)-AM19)</x:f>
      </x:c>
      <x:c r="AO19" s="25" t="str">
        <x:f>IF(AM19="","Missing Required Date",IF(AN19&lt;0,"Future Date",IF(AN19=0,"0 days",IF(AN19&lt;=2,"1-2 days",IF(AN19&lt;=7,"3-7 days",IF(AN19&lt;=14,"8-14 days",IF(AN19&lt;=30,"15-30 days",IF(AN19&lt;=60,"31-60 days",IF(AN19&lt;=70,"61-70 days","71+ days")))))))))</x:f>
        <x:v>Missing Required Date</x:v>
      </x:c>
      <x:c r="AP19" s="25" t="str">
        <x:f>IF(OR(E19="processing",E19="executing",E19="pending"),IF(AM19="","Required aging date missing",IF(AN19&gt;30,"Escalate &gt;30d",IF(AN19&gt;14,"Watch &gt;14d","Within 14d"))),"Out of scope")</x:f>
        <x:v>Out of scope</x:v>
      </x:c>
    </x:row>
    <x:row r="20" ht="24" customHeight="1">
      <x:c r="A20" t="str">
        <x:v>5a97c8e5-f0a8-422c-866a-2ca5eabef156</x:v>
      </x:c>
      <x:c r="B20" t="str">
        <x:v>CSSP10283623</x:v>
      </x:c>
      <x:c r="C20" t="str">
        <x:v>dingjie.khoo@petronas.com</x:v>
      </x:c>
      <x:c r="D20" t="str">
        <x:v>provision-cloud-public</x:v>
      </x:c>
      <x:c r="E20" t="str">
        <x:v>completed</x:v>
      </x:c>
      <x:c r="F20" t="n">
        <x:v>46007.12294857639</x:v>
      </x:c>
      <x:c r="G20" t="n">
        <x:v>46021.08300832176</x:v>
      </x:c>
      <x:c r="H20" t="n">
        <x:v>46036.283825439816</x:v>
      </x:c>
      <x:c r="I20" t="str">
        <x:v>A-000820</x:v>
      </x:c>
      <x:c r="J20" t="str">
        <x:v>Upstream Commercial Finance - UCF</x:v>
      </x:c>
      <x:c r="K20" t="n">
        <x:v>4435</x:v>
      </x:c>
      <x:c r="L20" t="str">
        <x:v>Implementation of Documents Comparison Tool for Upstream Commercial Finance (UCF)</x:v>
      </x:c>
      <x:c r="M20" t="str">
        <x:v>ng.kokkwan@petronas.com</x:v>
      </x:c>
      <x:c r="N20" t="str">
        <x:v>Upstream_Commercial_Finance</x:v>
      </x:c>
      <x:c r="O20" t="str">
        <x:v>Modify</x:v>
      </x:c>
      <x:c r="P20" t="str">
        <x:v>Development</x:v>
      </x:c>
      <x:c r="Q20" t="str">
        <x:v>Current Azure AI Foundry Resource in East US does not have latest AI model: GPT5.2
Request to create a new Azure AI Foundry Resource in a different availability zone
East US 2 
Resource Group: PTAZSG-IAC-DAA-DEV-UCF-RG
Business requires this latest model to boost performance and reduce wait time</x:v>
      </x:c>
      <x:c r="R20" t="str">
        <x:v>M</x:v>
      </x:c>
      <x:c r="S20"/>
      <x:c r="T20"/>
      <x:c r="U20" t="str">
        <x:v>Need for fulfilling upstream finance work</x:v>
      </x:c>
      <x:c r="V20" t="n">
        <x:v>46022.05777994213</x:v>
      </x:c>
      <x:c r="W20" t="str">
        <x:v>ng.kokkwan@petronas.com</x:v>
      </x:c>
      <x:c r="X20" t="str">
        <x:v>approved</x:v>
      </x:c>
      <x:c r="Y20" t="str">
        <x:v>Good to go</x:v>
      </x:c>
      <x:c r="Z20" t="n">
        <x:v>46029.13121222222</x:v>
      </x:c>
      <x:c r="AA20" t="str">
        <x:v>samsuddin.jumbri@petronas.com</x:v>
      </x:c>
      <x:c r="AB20" t="str">
        <x:v>approved</x:v>
      </x:c>
      <x:c r="AC20" t="str">
        <x:v>DAA</x:v>
      </x:c>
      <x:c r="AD20" t="n">
        <x:v>46031.318882719905</x:v>
      </x:c>
      <x:c r="AE20" t="str">
        <x:v>syazali.saad@petronas.com</x:v>
      </x:c>
      <x:c r="AF20" t="str">
        <x:v>approved</x:v>
      </x:c>
      <x:c r="AG20" t="str">
        <x:v>Quota related. Completed</x:v>
      </x:c>
      <x:c r="AH20" t="n">
        <x:v>46036.28382545139</x:v>
      </x:c>
      <x:c r="AI20" t="str">
        <x:v>fathulrahman.misba@petronas.com</x:v>
      </x:c>
      <x:c r="AJ20" t="str">
        <x:v>approved</x:v>
      </x:c>
      <x:c r="AK20" t="str">
        <x:v>REQ000007803681</x:v>
      </x:c>
      <x:c r="AL20" t="str">
        <x:v>e25fc1c4-dbf2-4838-8f25-d590a60212e5</x:v>
      </x:c>
      <x:c r="AM20" s="23" t="str">
        <x:f>IF(E20="processing",IF(Z20="","",IF(ISNUMBER(Z20),INT(Z20),DATE(VALUE(LEFT(Z20,4)),VALUE(MID(Z20,6,2)),VALUE(MID(Z20,9,2))))),IF(OR(E20="executing",E20="pending"),IF(AD20="","",IF(ISNUMBER(AD20),INT(AD20),DATE(VALUE(LEFT(AD20,4)),VALUE(MID(AD20,6,2)),VALUE(MID(AD20,9,2))))),""))</x:f>
      </x:c>
      <x:c r="AN20" s="24" t="str">
        <x:f>IF(AM20="","",INT('Configuration'!$B$4)-AM20)</x:f>
      </x:c>
      <x:c r="AO20" s="25" t="str">
        <x:f>IF(AM20="","Missing Required Date",IF(AN20&lt;0,"Future Date",IF(AN20=0,"0 days",IF(AN20&lt;=2,"1-2 days",IF(AN20&lt;=7,"3-7 days",IF(AN20&lt;=14,"8-14 days",IF(AN20&lt;=30,"15-30 days",IF(AN20&lt;=60,"31-60 days",IF(AN20&lt;=70,"61-70 days","71+ days")))))))))</x:f>
        <x:v>Missing Required Date</x:v>
      </x:c>
      <x:c r="AP20" s="25" t="str">
        <x:f>IF(OR(E20="processing",E20="executing",E20="pending"),IF(AM20="","Required aging date missing",IF(AN20&gt;30,"Escalate &gt;30d",IF(AN20&gt;14,"Watch &gt;14d","Within 14d"))),"Out of scope")</x:f>
        <x:v>Out of scope</x:v>
      </x:c>
    </x:row>
    <x:row r="21" ht="24" customHeight="1">
      <x:c r="A21" t="str">
        <x:v>cdd4a014-5097-4a7d-a741-70641ab2172f</x:v>
      </x:c>
      <x:c r="B21" t="str">
        <x:v>CSSP10469672</x:v>
      </x:c>
      <x:c r="C21" t="str">
        <x:v>hairol.zainul@petronas.com</x:v>
      </x:c>
      <x:c r="D21" t="str">
        <x:v>provision-cloud-public</x:v>
      </x:c>
      <x:c r="E21" t="str">
        <x:v>completed</x:v>
      </x:c>
      <x:c r="F21" t="n">
        <x:v>46009.14081459491</x:v>
      </x:c>
      <x:c r="G21" t="n">
        <x:v>46009.14081459491</x:v>
      </x:c>
      <x:c r="H21" t="n">
        <x:v>46036.05996491898</x:v>
      </x:c>
      <x:c r="I21" t="str">
        <x:v>A-000380</x:v>
      </x:c>
      <x:c r="J21" t="str">
        <x:v>Lab Information Management System - LIMS PCGB</x:v>
      </x:c>
      <x:c r="K21" t="str">
        <x:v>SR00080</x:v>
      </x:c>
      <x:c r="L21" t="str">
        <x:v>Provisioning of Virtual Machine for LIMS with ELN for STAR+ Project for PCGB</x:v>
      </x:c>
      <x:c r="M21" t="str">
        <x:v>siowfui.chen@petronas.com.my</x:v>
      </x:c>
      <x:c r="N21" t="str">
        <x:v>ELN for STAR Project for PCGB</x:v>
      </x:c>
      <x:c r="O21" t="str">
        <x:v>New</x:v>
      </x:c>
      <x:c r="P21" t="str">
        <x:v>StagingUat</x:v>
      </x:c>
      <x:c r="Q21" t="str">
        <x:v>To provision cloud VM server and Oracle RDS database for LIMS ELN module at AWS PETRONAS cloud Test environment.</x:v>
      </x:c>
      <x:c r="R21" t="str">
        <x:v>M</x:v>
      </x:c>
      <x:c r="S21"/>
      <x:c r="T21"/>
      <x:c r="U21" t="str">
        <x:v>ok noted and pls proceed as per plan.</x:v>
      </x:c>
      <x:c r="V21" t="n">
        <x:v>46009.187363275465</x:v>
      </x:c>
      <x:c r="W21" t="str">
        <x:v>siowfui.chen@petronas.com</x:v>
      </x:c>
      <x:c r="X21" t="str">
        <x:v>approved</x:v>
      </x:c>
      <x:c r="Y21" t="str">
        <x:v>Good to go</x:v>
      </x:c>
      <x:c r="Z21" t="n">
        <x:v>46010.14701842592</x:v>
      </x:c>
      <x:c r="AA21" t="str">
        <x:v>samsuddin.jumbri@petronas.com</x:v>
      </x:c>
      <x:c r="AB21" t="str">
        <x:v>approved</x:v>
      </x:c>
      <x:c r="AC21" t="str">
        <x:v>Provision EC2 and RDS in AWS</x:v>
      </x:c>
      <x:c r="AD21" t="n">
        <x:v>46013.059503136574</x:v>
      </x:c>
      <x:c r="AE21" t="str">
        <x:v>azwan.badari@petronas.com</x:v>
      </x:c>
      <x:c r="AF21" t="str">
        <x:v>approved</x:v>
      </x:c>
      <x:c r="AG21" t="str">
        <x:v>Completed</x:v>
      </x:c>
      <x:c r="AH21" t="n">
        <x:v>46036.05996493056</x:v>
      </x:c>
      <x:c r="AI21" t="str">
        <x:v>amin.manshor@petronas.com</x:v>
      </x:c>
      <x:c r="AJ21" t="str">
        <x:v>approved</x:v>
      </x:c>
      <x:c r="AK21" t="str">
        <x:v>REQ000007755919</x:v>
      </x:c>
      <x:c r="AL21" t="str">
        <x:v>094b0a7e-cc8c-4a71-a978-7149a45f7482</x:v>
      </x:c>
      <x:c r="AM21" s="23" t="str">
        <x:f>IF(E21="processing",IF(Z21="","",IF(ISNUMBER(Z21),INT(Z21),DATE(VALUE(LEFT(Z21,4)),VALUE(MID(Z21,6,2)),VALUE(MID(Z21,9,2))))),IF(OR(E21="executing",E21="pending"),IF(AD21="","",IF(ISNUMBER(AD21),INT(AD21),DATE(VALUE(LEFT(AD21,4)),VALUE(MID(AD21,6,2)),VALUE(MID(AD21,9,2))))),""))</x:f>
      </x:c>
      <x:c r="AN21" s="24" t="str">
        <x:f>IF(AM21="","",INT('Configuration'!$B$4)-AM21)</x:f>
      </x:c>
      <x:c r="AO21" s="25" t="str">
        <x:f>IF(AM21="","Missing Required Date",IF(AN21&lt;0,"Future Date",IF(AN21=0,"0 days",IF(AN21&lt;=2,"1-2 days",IF(AN21&lt;=7,"3-7 days",IF(AN21&lt;=14,"8-14 days",IF(AN21&lt;=30,"15-30 days",IF(AN21&lt;=60,"31-60 days",IF(AN21&lt;=70,"61-70 days","71+ days")))))))))</x:f>
        <x:v>Missing Required Date</x:v>
      </x:c>
      <x:c r="AP21" s="25" t="str">
        <x:f>IF(OR(E21="processing",E21="executing",E21="pending"),IF(AM21="","Required aging date missing",IF(AN21&gt;30,"Escalate &gt;30d",IF(AN21&gt;14,"Watch &gt;14d","Within 14d"))),"Out of scope")</x:f>
        <x:v>Out of scope</x:v>
      </x:c>
    </x:row>
    <x:row r="22" ht="24" customHeight="1">
      <x:c r="A22" t="str">
        <x:v>d5465d1b-34d6-4fba-875e-6ded40c465c7</x:v>
      </x:c>
      <x:c r="B22" t="str">
        <x:v>CSSP10109255</x:v>
      </x:c>
      <x:c r="C22" t="str">
        <x:v>ahmadaimanhakim.nora@petronas.com</x:v>
      </x:c>
      <x:c r="D22" t="str">
        <x:v>provision-cloud-public</x:v>
      </x:c>
      <x:c r="E22" t="str">
        <x:v>completed</x:v>
      </x:c>
      <x:c r="F22" t="n">
        <x:v>46010.15920888889</x:v>
      </x:c>
      <x:c r="G22" t="n">
        <x:v>46010.15920888889</x:v>
      </x:c>
      <x:c r="H22" t="n">
        <x:v>46028.01546773148</x:v>
      </x:c>
      <x:c r="I22" t="str">
        <x:v>A-000361</x:v>
      </x:c>
      <x:c r="J22" t="str">
        <x:v>Integrated Asset Modelling - IAM</x:v>
      </x:c>
      <x:c r="K22" t="n">
        <x:v>859</x:v>
      </x:c>
      <x:c r="L22" t="str">
        <x:v>Implementation of development, testing and production server for Integrated Asset Modelling (IAM) for COE, PCSB</x:v>
      </x:c>
      <x:c r="M22" t="str">
        <x:v>syariffudin@petronas.com</x:v>
      </x:c>
      <x:c r="N22" t="str">
        <x:v>Project IAM</x:v>
      </x:c>
      <x:c r="O22" t="str">
        <x:v>New</x:v>
      </x:c>
      <x:c r="P22" t="str">
        <x:v>Production</x:v>
      </x:c>
      <x:c r="Q22" t="str">
        <x:v>Please provision this new 8 servers for DOF/IAM Project. Attached is the excel file containing the server specification (Hostname , RAM, CPU &amp; Storage) of the new servers to be provision.</x:v>
      </x:c>
      <x:c r="R22" t="str">
        <x:v>M</x:v>
      </x:c>
      <x:c r="S22"/>
      <x:c r="T22"/>
      <x:c r="U22" t="str">
        <x:v>pls proceed</x:v>
      </x:c>
      <x:c r="V22" t="n">
        <x:v>46010.16977324074</x:v>
      </x:c>
      <x:c r="W22" t="str">
        <x:v>syariffudin@petronas.com</x:v>
      </x:c>
      <x:c r="X22" t="str">
        <x:v>approved</x:v>
      </x:c>
      <x:c r="Y22" t="str">
        <x:v>Good to go. Provision in the existing RG (PTAZSG-PROD-PETEX-IAM-RG)</x:v>
      </x:c>
      <x:c r="Z22" t="n">
        <x:v>46010.1762391088</x:v>
      </x:c>
      <x:c r="AA22" t="str">
        <x:v>samsuddin.jumbri@petronas.com</x:v>
      </x:c>
      <x:c r="AB22" t="str">
        <x:v>approved</x:v>
      </x:c>
      <x:c r="AC22" t="str">
        <x:v>PTAZSG-PROD-PETEX-IAM-RG
</x:v>
      </x:c>
      <x:c r="AD22" t="n">
        <x:v>46014.174875578705</x:v>
      </x:c>
      <x:c r="AE22" t="str">
        <x:v>syazali.saad@petronas.com</x:v>
      </x:c>
      <x:c r="AF22" t="str">
        <x:v>approved</x:v>
      </x:c>
      <x:c r="AG22" t="str">
        <x:v>Provision VM done. </x:v>
      </x:c>
      <x:c r="AH22" t="n">
        <x:v>46028.01546773148</x:v>
      </x:c>
      <x:c r="AI22" t="str">
        <x:v>azhan.shazeli@petronas.com</x:v>
      </x:c>
      <x:c r="AJ22" t="str">
        <x:v>approved</x:v>
      </x:c>
      <x:c r="AK22" t="str">
        <x:v>REQ000007759450</x:v>
      </x:c>
      <x:c r="AL22" t="str">
        <x:v>fe80e76e-a9eb-4430-8940-992f48d3788e</x:v>
      </x:c>
      <x:c r="AM22" s="23" t="str">
        <x:f>IF(E22="processing",IF(Z22="","",IF(ISNUMBER(Z22),INT(Z22),DATE(VALUE(LEFT(Z22,4)),VALUE(MID(Z22,6,2)),VALUE(MID(Z22,9,2))))),IF(OR(E22="executing",E22="pending"),IF(AD22="","",IF(ISNUMBER(AD22),INT(AD22),DATE(VALUE(LEFT(AD22,4)),VALUE(MID(AD22,6,2)),VALUE(MID(AD22,9,2))))),""))</x:f>
      </x:c>
      <x:c r="AN22" s="24" t="str">
        <x:f>IF(AM22="","",INT('Configuration'!$B$4)-AM22)</x:f>
      </x:c>
      <x:c r="AO22" s="25" t="str">
        <x:f>IF(AM22="","Missing Required Date",IF(AN22&lt;0,"Future Date",IF(AN22=0,"0 days",IF(AN22&lt;=2,"1-2 days",IF(AN22&lt;=7,"3-7 days",IF(AN22&lt;=14,"8-14 days",IF(AN22&lt;=30,"15-30 days",IF(AN22&lt;=60,"31-60 days",IF(AN22&lt;=70,"61-70 days","71+ days")))))))))</x:f>
        <x:v>Missing Required Date</x:v>
      </x:c>
      <x:c r="AP22" s="25" t="str">
        <x:f>IF(OR(E22="processing",E22="executing",E22="pending"),IF(AM22="","Required aging date missing",IF(AN22&gt;30,"Escalate &gt;30d",IF(AN22&gt;14,"Watch &gt;14d","Within 14d"))),"Out of scope")</x:f>
        <x:v>Out of scope</x:v>
      </x:c>
    </x:row>
    <x:row r="23" ht="24" customHeight="1">
      <x:c r="A23" t="str">
        <x:v>5daca592-0d7f-456b-bd6b-f321998778ed</x:v>
      </x:c>
      <x:c r="B23" t="str">
        <x:v>CSSP10971128</x:v>
      </x:c>
      <x:c r="C23" t="str">
        <x:v>hadi.hairi@petronas.com</x:v>
      </x:c>
      <x:c r="D23" t="str">
        <x:v>provision-cloud-public</x:v>
      </x:c>
      <x:c r="E23" t="str">
        <x:v>completed</x:v>
      </x:c>
      <x:c r="F23" t="n">
        <x:v>46010.294650474534</x:v>
      </x:c>
      <x:c r="G23" t="n">
        <x:v>46014.10077710648</x:v>
      </x:c>
      <x:c r="H23" t="n">
        <x:v>46031.279839560186</x:v>
      </x:c>
      <x:c r="I23" t="str">
        <x:v>A-001312</x:v>
      </x:c>
      <x:c r="J23" t="str">
        <x:v>DSSR 3.0 Proof of Value of Data Exchange Agreement (POC)</x:v>
      </x:c>
      <x:c r="K23" t="str">
        <x:v>SR00239</x:v>
      </x:c>
      <x:c r="L23" t="str">
        <x:v>Digital Sustainability Strategy review 3.0 | Proof of Value of Data Exchange Agreement (WS2)</x:v>
      </x:c>
      <x:c r="M23" t="str">
        <x:v>sahrilnizam.ismail@petronas.com</x:v>
      </x:c>
      <x:c r="N23" t="str">
        <x:v>Proof of Value of Data Exchange Agreement (WS2)</x:v>
      </x:c>
      <x:c r="O23" t="str">
        <x:v>New</x:v>
      </x:c>
      <x:c r="P23" t="str">
        <x:v>SandboxPocPetronet</x:v>
      </x:c>
      <x:c r="Q23" t="str">
        <x:v>Proof of Concept. Will decommission these resources once the POC has been completed. </x:v>
      </x:c>
      <x:c r="R23" t="str">
        <x:v>M</x:v>
      </x:c>
      <x:c r="S23"/>
      <x:c r="T23"/>
      <x:c r="U23" t="str">
        <x:v>Reviewed</x:v>
      </x:c>
      <x:c r="V23" t="n">
        <x:v>46014.108131898145</x:v>
      </x:c>
      <x:c r="W23" t="str">
        <x:v>sahrilnizam.ismail@petronas.com</x:v>
      </x:c>
      <x:c r="X23" t="str">
        <x:v>approved</x:v>
      </x:c>
      <x:c r="Y23" t="str">
        <x:v>Good to go</x:v>
      </x:c>
      <x:c r="Z23" t="n">
        <x:v>46029.12518074074</x:v>
      </x:c>
      <x:c r="AA23" t="str">
        <x:v>samsuddin.jumbri@petronas.com</x:v>
      </x:c>
      <x:c r="AB23" t="str">
        <x:v>approved</x:v>
      </x:c>
      <x:c r="AC23" t="str">
        <x:v>PoC AWS / non-prod</x:v>
      </x:c>
      <x:c r="AD23" t="n">
        <x:v>46029.30112133102</x:v>
      </x:c>
      <x:c r="AE23" t="str">
        <x:v>syazali.saad@petronas.com</x:v>
      </x:c>
      <x:c r="AF23" t="str">
        <x:v>approved</x:v>
      </x:c>
      <x:c r="AG23" t="str">
        <x:v>Completed</x:v>
      </x:c>
      <x:c r="AH23" t="n">
        <x:v>46031.279839560186</x:v>
      </x:c>
      <x:c r="AI23" t="str">
        <x:v>badri.shaharudin@petronas.com</x:v>
      </x:c>
      <x:c r="AJ23" t="str">
        <x:v>approved</x:v>
      </x:c>
      <x:c r="AK23" t="str">
        <x:v>REQ000007795526</x:v>
      </x:c>
      <x:c r="AL23" t="str">
        <x:v>70e10157-5594-4696-b5ae-987d65a7fa56</x:v>
      </x:c>
      <x:c r="AM23" s="23" t="str">
        <x:f>IF(E23="processing",IF(Z23="","",IF(ISNUMBER(Z23),INT(Z23),DATE(VALUE(LEFT(Z23,4)),VALUE(MID(Z23,6,2)),VALUE(MID(Z23,9,2))))),IF(OR(E23="executing",E23="pending"),IF(AD23="","",IF(ISNUMBER(AD23),INT(AD23),DATE(VALUE(LEFT(AD23,4)),VALUE(MID(AD23,6,2)),VALUE(MID(AD23,9,2))))),""))</x:f>
      </x:c>
      <x:c r="AN23" s="24" t="str">
        <x:f>IF(AM23="","",INT('Configuration'!$B$4)-AM23)</x:f>
      </x:c>
      <x:c r="AO23" s="25" t="str">
        <x:f>IF(AM23="","Missing Required Date",IF(AN23&lt;0,"Future Date",IF(AN23=0,"0 days",IF(AN23&lt;=2,"1-2 days",IF(AN23&lt;=7,"3-7 days",IF(AN23&lt;=14,"8-14 days",IF(AN23&lt;=30,"15-30 days",IF(AN23&lt;=60,"31-60 days",IF(AN23&lt;=70,"61-70 days","71+ days")))))))))</x:f>
        <x:v>Missing Required Date</x:v>
      </x:c>
      <x:c r="AP23" s="25" t="str">
        <x:f>IF(OR(E23="processing",E23="executing",E23="pending"),IF(AM23="","Required aging date missing",IF(AN23&gt;30,"Escalate &gt;30d",IF(AN23&gt;14,"Watch &gt;14d","Within 14d"))),"Out of scope")</x:f>
        <x:v>Out of scope</x:v>
      </x:c>
    </x:row>
    <x:row r="24" ht="24" customHeight="1">
      <x:c r="A24" t="str">
        <x:v>332dd88c-6ac4-40ae-a831-e5d962aa59c5</x:v>
      </x:c>
      <x:c r="B24" t="str">
        <x:v>CSSP10357282</x:v>
      </x:c>
      <x:c r="C24" t="str">
        <x:v>nursalikeen.saparai@petronas.com</x:v>
      </x:c>
      <x:c r="D24" t="str">
        <x:v>provision-cloud-public</x:v>
      </x:c>
      <x:c r="E24" t="str">
        <x:v>completed</x:v>
      </x:c>
      <x:c r="F24" t="n">
        <x:v>46013.11288774305</x:v>
      </x:c>
      <x:c r="G24" t="n">
        <x:v>46013.11288774305</x:v>
      </x:c>
      <x:c r="H24" t="n">
        <x:v>46036.3055299537</x:v>
      </x:c>
      <x:c r="I24" t="str">
        <x:v>A-000045</x:v>
      </x:c>
      <x:c r="J24" t="str">
        <x:v>Alpha Oil</x:v>
      </x:c>
      <x:c r="K24" t="n">
        <x:v>3948</x:v>
      </x:c>
      <x:c r="L24" t="str">
        <x:v>Support Services of Alpha Oil – WS2 DevSecOps for Malaysia Petroleum Management (MPM)</x:v>
      </x:c>
      <x:c r="M24" t="str">
        <x:v>yngsheng.toh@petronas.com</x:v>
      </x:c>
      <x:c r="N24" t="str">
        <x:v>Alpha Oil</x:v>
      </x:c>
      <x:c r="O24" t="str">
        <x:v>New</x:v>
      </x:c>
      <x:c r="P24" t="str">
        <x:v>Development</x:v>
      </x:c>
      <x:c r="Q24" t="str">
        <x:v>To provision Azure Data Factory and Azure Function for development environment only. The new Azure Function will be used to serve Azure Data Factory endpoints.</x:v>
      </x:c>
      <x:c r="R24" t="str">
        <x:v>M</x:v>
      </x:c>
      <x:c r="S24"/>
      <x:c r="T24"/>
      <x:c r="U24" t="str">
        <x:v>Please proceed.</x:v>
      </x:c>
      <x:c r="V24" t="n">
        <x:v>46013.36782488426</x:v>
      </x:c>
      <x:c r="W24" t="str">
        <x:v>yngsheng.toh@petronas.com</x:v>
      </x:c>
      <x:c r="X24" t="str">
        <x:v>approved</x:v>
      </x:c>
      <x:c r="Y24" t="str">
        <x:v>Based on the email correspondence, the business owner has confirmed agreement to proceed with the deployment of resources, replacing Talend with Azure Data Factory.</x:v>
      </x:c>
      <x:c r="Z24" t="n">
        <x:v>46029.11864201389</x:v>
      </x:c>
      <x:c r="AA24" t="str">
        <x:v>samsuddin.jumbri@petronas.com</x:v>
      </x:c>
      <x:c r="AB24" t="str">
        <x:v>approved</x:v>
      </x:c>
      <x:c r="AC24" t="str">
        <x:v>df and azure function.
PTAZSG-IAC-DEV-ALPHA-OIL-RG</x:v>
      </x:c>
      <x:c r="AD24" t="n">
        <x:v>46029.14784722222</x:v>
      </x:c>
      <x:c r="AE24" t="str">
        <x:v>syazali.saad@petronas.com</x:v>
      </x:c>
      <x:c r="AF24" t="str">
        <x:v>approved</x:v>
      </x:c>
      <x:c r="AG24" t="str">
        <x:v>completed</x:v>
      </x:c>
      <x:c r="AH24" t="n">
        <x:v>46036.3055299537</x:v>
      </x:c>
      <x:c r="AI24" t="str">
        <x:v>akhmal.roslan@petronas.com</x:v>
      </x:c>
      <x:c r="AJ24" t="str">
        <x:v>approved</x:v>
      </x:c>
      <x:c r="AK24" t="str">
        <x:v>REQ000007794177</x:v>
      </x:c>
      <x:c r="AL24" t="str">
        <x:v>068bb9e2-7634-4ac4-b94c-0a9bb274301b</x:v>
      </x:c>
      <x:c r="AM24" s="23" t="str">
        <x:f>IF(E24="processing",IF(Z24="","",IF(ISNUMBER(Z24),INT(Z24),DATE(VALUE(LEFT(Z24,4)),VALUE(MID(Z24,6,2)),VALUE(MID(Z24,9,2))))),IF(OR(E24="executing",E24="pending"),IF(AD24="","",IF(ISNUMBER(AD24),INT(AD24),DATE(VALUE(LEFT(AD24,4)),VALUE(MID(AD24,6,2)),VALUE(MID(AD24,9,2))))),""))</x:f>
      </x:c>
      <x:c r="AN24" s="24" t="str">
        <x:f>IF(AM24="","",INT('Configuration'!$B$4)-AM24)</x:f>
      </x:c>
      <x:c r="AO24" s="25" t="str">
        <x:f>IF(AM24="","Missing Required Date",IF(AN24&lt;0,"Future Date",IF(AN24=0,"0 days",IF(AN24&lt;=2,"1-2 days",IF(AN24&lt;=7,"3-7 days",IF(AN24&lt;=14,"8-14 days",IF(AN24&lt;=30,"15-30 days",IF(AN24&lt;=60,"31-60 days",IF(AN24&lt;=70,"61-70 days","71+ days")))))))))</x:f>
        <x:v>Missing Required Date</x:v>
      </x:c>
      <x:c r="AP24" s="25" t="str">
        <x:f>IF(OR(E24="processing",E24="executing",E24="pending"),IF(AM24="","Required aging date missing",IF(AN24&gt;30,"Escalate &gt;30d",IF(AN24&gt;14,"Watch &gt;14d","Within 14d"))),"Out of scope")</x:f>
        <x:v>Out of scope</x:v>
      </x:c>
    </x:row>
    <x:row r="25" ht="24" customHeight="1">
      <x:c r="A25" t="str">
        <x:v>b95199cd-799f-4205-8ce1-a63827b7efa9</x:v>
      </x:c>
      <x:c r="B25" t="str">
        <x:v>CSSP10868310</x:v>
      </x:c>
      <x:c r="C25" t="str">
        <x:v>ungkuahmadimran.ung@petronas.com</x:v>
      </x:c>
      <x:c r="D25" t="str">
        <x:v>provision-cloud-public</x:v>
      </x:c>
      <x:c r="E25" t="str">
        <x:v>completed</x:v>
      </x:c>
      <x:c r="F25" t="n">
        <x:v>46014.099643194444</x:v>
      </x:c>
      <x:c r="G25" t="n">
        <x:v>46014.099643194444</x:v>
      </x:c>
      <x:c r="H25" t="n">
        <x:v>46034.088129791664</x:v>
      </x:c>
      <x:c r="I25" t="str">
        <x:v>P-000006</x:v>
      </x:c>
      <x:c r="J25" t="str">
        <x:v>OpenText</x:v>
      </x:c>
      <x:c r="K25" t="n">
        <x:v>426</x:v>
      </x:c>
      <x:c r="L25" t="str">
        <x:v>Upgrade of Opentext Enterprise Context Management (ECM) and Business Process Management (BPM) for PETRONAS</x:v>
      </x:c>
      <x:c r="M25" t="str">
        <x:v>samsuddin.abdaziz@petronas.com.my</x:v>
      </x:c>
      <x:c r="N25" t="str">
        <x:v>OpenText</x:v>
      </x:c>
      <x:c r="O25" t="str">
        <x:v>New</x:v>
      </x:c>
      <x:c r="P25" t="str">
        <x:v>Production</x:v>
      </x:c>
      <x:c r="Q25" t="str">
        <x:v>UIP is configured to store index backups in a non production storage account, and the connection between production and non production resources is no longer permitted. This new provisioning for FileShare storage account will be replace the non compliant setup.</x:v>
      </x:c>
      <x:c r="R25" t="str">
        <x:v>S</x:v>
      </x:c>
      <x:c r="S25"/>
      <x:c r="T25"/>
      <x:c r="U25" t="str">
        <x:v>Reviewed and approved the request to fix the non-compliance setup and mitigate the system performance issue.</x:v>
      </x:c>
      <x:c r="V25" t="n">
        <x:v>46014.190956782404</x:v>
      </x:c>
      <x:c r="W25" t="str">
        <x:v>samsuddin.abdaziz@petronas.com</x:v>
      </x:c>
      <x:c r="X25" t="str">
        <x:v>approved</x:v>
      </x:c>
      <x:c r="Y25" t="str">
        <x:v>Good to go</x:v>
      </x:c>
      <x:c r="Z25" t="n">
        <x:v>46029.1208359838</x:v>
      </x:c>
      <x:c r="AA25" t="str">
        <x:v>samsuddin.jumbri@petronas.com</x:v>
      </x:c>
      <x:c r="AB25" t="str">
        <x:v>approved</x:v>
      </x:c>
      <x:c r="AC25" t="str">
        <x:v>deploy new storage account ptazsg1ecmfs02.
ptazsg-prod-ot-rg
clickops</x:v>
      </x:c>
      <x:c r="AD25" t="n">
        <x:v>46029.28968326389</x:v>
      </x:c>
      <x:c r="AE25" t="str">
        <x:v>syazali.saad@petronas.com</x:v>
      </x:c>
      <x:c r="AF25" t="str">
        <x:v>approved</x:v>
      </x:c>
      <x:c r="AG25" t="str">
        <x:v>Completed.</x:v>
      </x:c>
      <x:c r="AH25" t="n">
        <x:v>46034.088129791664</x:v>
      </x:c>
      <x:c r="AI25" t="str">
        <x:v>izham.ajmaan@petronas.com</x:v>
      </x:c>
      <x:c r="AJ25" t="str">
        <x:v>approved</x:v>
      </x:c>
      <x:c r="AK25" t="str">
        <x:v>REQ000007794808</x:v>
      </x:c>
      <x:c r="AL25" t="str">
        <x:v>de37ed9b-d8c1-4b5d-ac53-e8e182d20f22</x:v>
      </x:c>
      <x:c r="AM25" s="23" t="str">
        <x:f>IF(E25="processing",IF(Z25="","",IF(ISNUMBER(Z25),INT(Z25),DATE(VALUE(LEFT(Z25,4)),VALUE(MID(Z25,6,2)),VALUE(MID(Z25,9,2))))),IF(OR(E25="executing",E25="pending"),IF(AD25="","",IF(ISNUMBER(AD25),INT(AD25),DATE(VALUE(LEFT(AD25,4)),VALUE(MID(AD25,6,2)),VALUE(MID(AD25,9,2))))),""))</x:f>
      </x:c>
      <x:c r="AN25" s="24" t="str">
        <x:f>IF(AM25="","",INT('Configuration'!$B$4)-AM25)</x:f>
      </x:c>
      <x:c r="AO25" s="25" t="str">
        <x:f>IF(AM25="","Missing Required Date",IF(AN25&lt;0,"Future Date",IF(AN25=0,"0 days",IF(AN25&lt;=2,"1-2 days",IF(AN25&lt;=7,"3-7 days",IF(AN25&lt;=14,"8-14 days",IF(AN25&lt;=30,"15-30 days",IF(AN25&lt;=60,"31-60 days",IF(AN25&lt;=70,"61-70 days","71+ days")))))))))</x:f>
        <x:v>Missing Required Date</x:v>
      </x:c>
      <x:c r="AP25" s="25" t="str">
        <x:f>IF(OR(E25="processing",E25="executing",E25="pending"),IF(AM25="","Required aging date missing",IF(AN25&gt;30,"Escalate &gt;30d",IF(AN25&gt;14,"Watch &gt;14d","Within 14d"))),"Out of scope")</x:f>
        <x:v>Out of scope</x:v>
      </x:c>
    </x:row>
    <x:row r="26" ht="24" customHeight="1">
      <x:c r="A26" t="str">
        <x:v>7915320d-f1bd-400c-beb6-5012a78cf12c</x:v>
      </x:c>
      <x:c r="B26" t="str">
        <x:v>CSSP10556410</x:v>
      </x:c>
      <x:c r="C26" t="str">
        <x:v>norhamizah.hasni@petronas.com</x:v>
      </x:c>
      <x:c r="D26" t="str">
        <x:v>provision-cloud-public</x:v>
      </x:c>
      <x:c r="E26" t="str">
        <x:v>completed</x:v>
      </x:c>
      <x:c r="F26" t="n">
        <x:v>46015.34305746528</x:v>
      </x:c>
      <x:c r="G26" t="n">
        <x:v>46017.06394986111</x:v>
      </x:c>
      <x:c r="H26" t="n">
        <x:v>46036.127110520836</x:v>
      </x:c>
      <x:c r="I26" t="str">
        <x:v>A-001313</x:v>
      </x:c>
      <x:c r="J26" t="str">
        <x:v>PLI ACS</x:v>
      </x:c>
      <x:c r="K26" t="str">
        <x:v>SR25040</x:v>
      </x:c>
      <x:c r="L26" t="str">
        <x:v>Migration of SMTP Basic Authentication to Azure Communication Services for PLISB</x:v>
      </x:c>
      <x:c r="M26" t="str">
        <x:v>mhaslan.abuhassan@petronas.com</x:v>
      </x:c>
      <x:c r="N26" t="str">
        <x:v>ACS PLI</x:v>
      </x:c>
      <x:c r="O26" t="str">
        <x:v>New</x:v>
      </x:c>
      <x:c r="P26" t="str">
        <x:v>Production</x:v>
      </x:c>
      <x:c r="Q26" t="str">
        <x:v>To provision new Azure Communication Services for PLISB</x:v>
      </x:c>
      <x:c r="R26" t="str">
        <x:v>S</x:v>
      </x:c>
      <x:c r="S26"/>
      <x:c r="T26"/>
      <x:c r="U26" t="str">
        <x:v>acs project implementation for PLI</x:v>
      </x:c>
      <x:c r="V26" t="n">
        <x:v>46017.093234837965</x:v>
      </x:c>
      <x:c r="W26" t="str">
        <x:v>mhaslan.abuhassan@petronas.com</x:v>
      </x:c>
      <x:c r="X26" t="str">
        <x:v>approved</x:v>
      </x:c>
      <x:c r="Y26" t="str">
        <x:v>Provision new Azure Communication Services for PLISB</x:v>
      </x:c>
      <x:c r="Z26" t="n">
        <x:v>46017.29110375</x:v>
      </x:c>
      <x:c r="AA26" t="str">
        <x:v>norhamizah.hasni@petronas.com</x:v>
      </x:c>
      <x:c r="AB26" t="str">
        <x:v>approved</x:v>
      </x:c>
      <x:c r="AC26" t="str">
        <x:v>.</x:v>
      </x:c>
      <x:c r="AD26" t="n">
        <x:v>46027.12900597222</x:v>
      </x:c>
      <x:c r="AE26" t="str">
        <x:v>syazali.saad@petronas.com</x:v>
      </x:c>
      <x:c r="AF26" t="str">
        <x:v>approved</x:v>
      </x:c>
      <x:c r="AG26" t="str">
        <x:v>resources provisioned</x:v>
      </x:c>
      <x:c r="AH26" t="n">
        <x:v>46036.127110532405</x:v>
      </x:c>
      <x:c r="AI26" t="str">
        <x:v>mhafizi.madnan@petronas.com</x:v>
      </x:c>
      <x:c r="AJ26" t="str">
        <x:v>approved</x:v>
      </x:c>
      <x:c r="AK26" t="str">
        <x:v>REQ000007785777</x:v>
      </x:c>
      <x:c r="AL26" t="str">
        <x:v>924e275a-e1c4-449a-81db-f3c153a73231</x:v>
      </x:c>
      <x:c r="AM26" s="23" t="str">
        <x:f>IF(E26="processing",IF(Z26="","",IF(ISNUMBER(Z26),INT(Z26),DATE(VALUE(LEFT(Z26,4)),VALUE(MID(Z26,6,2)),VALUE(MID(Z26,9,2))))),IF(OR(E26="executing",E26="pending"),IF(AD26="","",IF(ISNUMBER(AD26),INT(AD26),DATE(VALUE(LEFT(AD26,4)),VALUE(MID(AD26,6,2)),VALUE(MID(AD26,9,2))))),""))</x:f>
      </x:c>
      <x:c r="AN26" s="24" t="str">
        <x:f>IF(AM26="","",INT('Configuration'!$B$4)-AM26)</x:f>
      </x:c>
      <x:c r="AO26" s="25" t="str">
        <x:f>IF(AM26="","Missing Required Date",IF(AN26&lt;0,"Future Date",IF(AN26=0,"0 days",IF(AN26&lt;=2,"1-2 days",IF(AN26&lt;=7,"3-7 days",IF(AN26&lt;=14,"8-14 days",IF(AN26&lt;=30,"15-30 days",IF(AN26&lt;=60,"31-60 days",IF(AN26&lt;=70,"61-70 days","71+ days")))))))))</x:f>
        <x:v>Missing Required Date</x:v>
      </x:c>
      <x:c r="AP26" s="25" t="str">
        <x:f>IF(OR(E26="processing",E26="executing",E26="pending"),IF(AM26="","Required aging date missing",IF(AN26&gt;30,"Escalate &gt;30d",IF(AN26&gt;14,"Watch &gt;14d","Within 14d"))),"Out of scope")</x:f>
        <x:v>Out of scope</x:v>
      </x:c>
    </x:row>
    <x:row r="27" ht="24" customHeight="1">
      <x:c r="A27" t="str">
        <x:v>e9ecc3de-7e08-43d4-814f-c8a241a7eced</x:v>
      </x:c>
      <x:c r="B27" t="str">
        <x:v>CSSP10571003</x:v>
      </x:c>
      <x:c r="C27" t="str">
        <x:v>shahrulrizal.said@petronas.com</x:v>
      </x:c>
      <x:c r="D27" t="str">
        <x:v>provision-cloud-public</x:v>
      </x:c>
      <x:c r="E27" t="str">
        <x:v>completed</x:v>
      </x:c>
      <x:c r="F27" t="n">
        <x:v>46019.58830335648</x:v>
      </x:c>
      <x:c r="G27" t="n">
        <x:v>46019.588921574075</x:v>
      </x:c>
      <x:c r="H27" t="n">
        <x:v>46043.04597944445</x:v>
      </x:c>
      <x:c r="I27" t="str">
        <x:v>A-000355</x:v>
      </x:c>
      <x:c r="J27" t="str">
        <x:v>HSE Intelligence Pod Multimodal AI Vision / Voice - HIPVISION</x:v>
      </x:c>
      <x:c r="K27" t="n">
        <x:v>3578</x:v>
      </x:c>
      <x:c r="L27" t="str">
        <x:v>Development of HSE Intelligence Pod (HIP) Multimodal AI (Vision, Voice)</x:v>
      </x:c>
      <x:c r="M27" t="str">
        <x:v>josephine.danielbav@petronas.com.my</x:v>
      </x:c>
      <x:c r="N27" t="str">
        <x:v>HIP Vision AI</x:v>
      </x:c>
      <x:c r="O27" t="str">
        <x:v>New</x:v>
      </x:c>
      <x:c r="P27" t="str">
        <x:v>StagingUat</x:v>
      </x:c>
      <x:c r="Q27" t="str">
        <x:v>New function apps in HIP UAT environment</x:v>
      </x:c>
      <x:c r="R27" t="str">
        <x:v>M</x:v>
      </x:c>
      <x:c r="S27"/>
      <x:c r="T27"/>
      <x:c r="U27" t="str">
        <x:v>Please proceed</x:v>
      </x:c>
      <x:c r="V27" t="n">
        <x:v>46024.12243621528</x:v>
      </x:c>
      <x:c r="W27" t="str">
        <x:v>josephine.danielbav@petronas.com</x:v>
      </x:c>
      <x:c r="X27" t="str">
        <x:v>approved</x:v>
      </x:c>
      <x:c r="Y27" t="str">
        <x:v>Good to go</x:v>
      </x:c>
      <x:c r="Z27" t="n">
        <x:v>46029.1272433912</x:v>
      </x:c>
      <x:c r="AA27" t="str">
        <x:v>samsuddin.jumbri@petronas.com</x:v>
      </x:c>
      <x:c r="AB27" t="str">
        <x:v>approved</x:v>
      </x:c>
      <x:c r="AC27" t="str">
        <x:v>CSSP10509086 CSSP10571003 - </x:v>
      </x:c>
      <x:c r="AD27" t="n">
        <x:v>46031.370311516206</x:v>
      </x:c>
      <x:c r="AE27" t="str">
        <x:v>syazali.saad@petronas.com</x:v>
      </x:c>
      <x:c r="AF27" t="str">
        <x:v>approved</x:v>
      </x:c>
      <x:c r="AG27" t="str">
        <x:v>Has created the Azure function app, ptazsg-4hipsdistream in the RG PTAZSG-IAC-UAT-HIPVISION-JAI-RG</x:v>
      </x:c>
      <x:c r="AH27" t="n">
        <x:v>46043.04597944445</x:v>
      </x:c>
      <x:c r="AI27" t="str">
        <x:v>yeonghunn.ho@petronas.com</x:v>
      </x:c>
      <x:c r="AJ27" t="str">
        <x:v>approved</x:v>
      </x:c>
      <x:c r="AK27" t="str">
        <x:v>REQ000007803716</x:v>
      </x:c>
      <x:c r="AL27" t="str">
        <x:v>ea9ff09d-7f7a-482f-a081-c07b99b496a2</x:v>
      </x:c>
      <x:c r="AM27" s="23" t="str">
        <x:f>IF(E27="processing",IF(Z27="","",IF(ISNUMBER(Z27),INT(Z27),DATE(VALUE(LEFT(Z27,4)),VALUE(MID(Z27,6,2)),VALUE(MID(Z27,9,2))))),IF(OR(E27="executing",E27="pending"),IF(AD27="","",IF(ISNUMBER(AD27),INT(AD27),DATE(VALUE(LEFT(AD27,4)),VALUE(MID(AD27,6,2)),VALUE(MID(AD27,9,2))))),""))</x:f>
      </x:c>
      <x:c r="AN27" s="24" t="str">
        <x:f>IF(AM27="","",INT('Configuration'!$B$4)-AM27)</x:f>
      </x:c>
      <x:c r="AO27" s="25" t="str">
        <x:f>IF(AM27="","Missing Required Date",IF(AN27&lt;0,"Future Date",IF(AN27=0,"0 days",IF(AN27&lt;=2,"1-2 days",IF(AN27&lt;=7,"3-7 days",IF(AN27&lt;=14,"8-14 days",IF(AN27&lt;=30,"15-30 days",IF(AN27&lt;=60,"31-60 days",IF(AN27&lt;=70,"61-70 days","71+ days")))))))))</x:f>
        <x:v>Missing Required Date</x:v>
      </x:c>
      <x:c r="AP27" s="25" t="str">
        <x:f>IF(OR(E27="processing",E27="executing",E27="pending"),IF(AM27="","Required aging date missing",IF(AN27&gt;30,"Escalate &gt;30d",IF(AN27&gt;14,"Watch &gt;14d","Within 14d"))),"Out of scope")</x:f>
        <x:v>Out of scope</x:v>
      </x:c>
    </x:row>
    <x:row r="28" ht="24" customHeight="1">
      <x:c r="A28" t="str">
        <x:v>c507aad2-d329-45d6-b097-f90d74fe0802</x:v>
      </x:c>
      <x:c r="B28" t="str">
        <x:v>CSSP10509086</x:v>
      </x:c>
      <x:c r="C28" t="str">
        <x:v>shahrulrizal.said@petronas.com</x:v>
      </x:c>
      <x:c r="D28" t="str">
        <x:v>provision-cloud-public</x:v>
      </x:c>
      <x:c r="E28" t="str">
        <x:v>completed</x:v>
      </x:c>
      <x:c r="F28" t="n">
        <x:v>46019.590001550925</x:v>
      </x:c>
      <x:c r="G28" t="n">
        <x:v>46019.590001550925</x:v>
      </x:c>
      <x:c r="H28" t="n">
        <x:v>46043.04671998842</x:v>
      </x:c>
      <x:c r="I28" t="str">
        <x:v>A-000355</x:v>
      </x:c>
      <x:c r="J28" t="str">
        <x:v>HSE Intelligence Pod Multimodal AI Vision / Voice - HIPVISION</x:v>
      </x:c>
      <x:c r="K28" t="n">
        <x:v>3578</x:v>
      </x:c>
      <x:c r="L28" t="str">
        <x:v>Development of HSE Intelligence Pod (HIP) Multimodal AI (Vision, Voice)</x:v>
      </x:c>
      <x:c r="M28" t="str">
        <x:v>josephine.danielbav@petronas.com.my</x:v>
      </x:c>
      <x:c r="N28" t="str">
        <x:v>HIP Vision AI</x:v>
      </x:c>
      <x:c r="O28" t="str">
        <x:v>New</x:v>
      </x:c>
      <x:c r="P28" t="str">
        <x:v>Production</x:v>
      </x:c>
      <x:c r="Q28" t="str">
        <x:v>New function apps in Production environment</x:v>
      </x:c>
      <x:c r="R28" t="str">
        <x:v>S</x:v>
      </x:c>
      <x:c r="S28"/>
      <x:c r="T28"/>
      <x:c r="U28" t="str">
        <x:v>Approved</x:v>
      </x:c>
      <x:c r="V28" t="n">
        <x:v>46027.25564050926</x:v>
      </x:c>
      <x:c r="W28" t="str">
        <x:v>josephine.danielbav@petronas.com</x:v>
      </x:c>
      <x:c r="X28" t="str">
        <x:v>approved</x:v>
      </x:c>
      <x:c r="Y28" t="str">
        <x:v>Good to go</x:v>
      </x:c>
      <x:c r="Z28" t="n">
        <x:v>46029.12776956018</x:v>
      </x:c>
      <x:c r="AA28" t="str">
        <x:v>samsuddin.jumbri@petronas.com</x:v>
      </x:c>
      <x:c r="AB28" t="str">
        <x:v>approved</x:v>
      </x:c>
      <x:c r="AC28" t="str">
        <x:v>CSSP10509086 CSSP10571003</x:v>
      </x:c>
      <x:c r="AD28" t="n">
        <x:v>46031.37016255787</x:v>
      </x:c>
      <x:c r="AE28" t="str">
        <x:v>syazali.saad@petronas.com</x:v>
      </x:c>
      <x:c r="AF28" t="str">
        <x:v>approved</x:v>
      </x:c>
      <x:c r="AG28" t="str">
        <x:v>Has created the Azure Function app, ptazsg-1hipsdistream in the RG PTAZSG-IAC-PROD-HIPVISION-JAI-RG</x:v>
      </x:c>
      <x:c r="AH28" t="n">
        <x:v>46043.04672</x:v>
      </x:c>
      <x:c r="AI28" t="str">
        <x:v>yeonghunn.ho@petronas.com</x:v>
      </x:c>
      <x:c r="AJ28" t="str">
        <x:v>approved</x:v>
      </x:c>
      <x:c r="AK28" t="str">
        <x:v>REQ000007803715</x:v>
      </x:c>
      <x:c r="AL28" t="str">
        <x:v>ea9ff09d-7f7a-482f-a081-c07b99b496a2</x:v>
      </x:c>
      <x:c r="AM28" s="23" t="str">
        <x:f>IF(E28="processing",IF(Z28="","",IF(ISNUMBER(Z28),INT(Z28),DATE(VALUE(LEFT(Z28,4)),VALUE(MID(Z28,6,2)),VALUE(MID(Z28,9,2))))),IF(OR(E28="executing",E28="pending"),IF(AD28="","",IF(ISNUMBER(AD28),INT(AD28),DATE(VALUE(LEFT(AD28,4)),VALUE(MID(AD28,6,2)),VALUE(MID(AD28,9,2))))),""))</x:f>
      </x:c>
      <x:c r="AN28" s="24" t="str">
        <x:f>IF(AM28="","",INT('Configuration'!$B$4)-AM28)</x:f>
      </x:c>
      <x:c r="AO28" s="25" t="str">
        <x:f>IF(AM28="","Missing Required Date",IF(AN28&lt;0,"Future Date",IF(AN28=0,"0 days",IF(AN28&lt;=2,"1-2 days",IF(AN28&lt;=7,"3-7 days",IF(AN28&lt;=14,"8-14 days",IF(AN28&lt;=30,"15-30 days",IF(AN28&lt;=60,"31-60 days",IF(AN28&lt;=70,"61-70 days","71+ days")))))))))</x:f>
        <x:v>Missing Required Date</x:v>
      </x:c>
      <x:c r="AP28" s="25" t="str">
        <x:f>IF(OR(E28="processing",E28="executing",E28="pending"),IF(AM28="","Required aging date missing",IF(AN28&gt;30,"Escalate &gt;30d",IF(AN28&gt;14,"Watch &gt;14d","Within 14d"))),"Out of scope")</x:f>
        <x:v>Out of scope</x:v>
      </x:c>
    </x:row>
    <x:row r="29" ht="24" customHeight="1">
      <x:c r="A29" t="str">
        <x:v>2dee6c18-2383-46ae-a71b-4bcaaee911fa</x:v>
      </x:c>
      <x:c r="B29" t="str">
        <x:v>CSSP10451453</x:v>
      </x:c>
      <x:c r="C29" t="str">
        <x:v>hadi.hairi@petronas.com</x:v>
      </x:c>
      <x:c r="D29" t="str">
        <x:v>provision-cloud-public</x:v>
      </x:c>
      <x:c r="E29" t="str">
        <x:v>rejected</x:v>
      </x:c>
      <x:c r="F29" t="n">
        <x:v>46020.06661581019</x:v>
      </x:c>
      <x:c r="G29" t="n">
        <x:v>46020.06661581019</x:v>
      </x:c>
      <x:c r="H29" t="n">
        <x:v>46063.41066673611</x:v>
      </x:c>
      <x:c r="I29" t="str">
        <x:v>A-000355</x:v>
      </x:c>
      <x:c r="J29" t="str">
        <x:v>HSE Intelligence Pod Multimodal AI Vision / Voice - HIPVISION</x:v>
      </x:c>
      <x:c r="K29" t="n">
        <x:v>3578</x:v>
      </x:c>
      <x:c r="L29" t="str">
        <x:v>Development of HSE Intelligence Pod (HIP) Multimodal AI (Vision, Voice)</x:v>
      </x:c>
      <x:c r="M29" t="str">
        <x:v>liang.kimmeng@petronas.com.my</x:v>
      </x:c>
      <x:c r="N29" t="str">
        <x:v>HIP Vision AI</x:v>
      </x:c>
      <x:c r="O29" t="str">
        <x:v>New</x:v>
      </x:c>
      <x:c r="P29" t="str">
        <x:v>Development</x:v>
      </x:c>
      <x:c r="Q29" t="str">
        <x:v>Deployment of gpt-image-1 in ptsg-5hipvison-openai located in PTAZSG-DEV-HIPVISION-JAI-RG.
</x:v>
      </x:c>
      <x:c r="R29" t="str">
        <x:v>S</x:v>
      </x:c>
      <x:c r="S29"/>
      <x:c r="T29"/>
      <x:c r="U29" t="str">
        <x:v>As per plan</x:v>
      </x:c>
      <x:c r="V29" t="n">
        <x:v>46020.09593891204</x:v>
      </x:c>
      <x:c r="W29" t="str">
        <x:v>liang.kimmeng@petronas.com</x:v>
      </x:c>
      <x:c r="X29" t="str">
        <x:v>approved</x:v>
      </x:c>
      <x:c r="Y29" t="str">
        <x:v>Good to go</x:v>
      </x:c>
      <x:c r="Z29" t="n">
        <x:v>46029.129927141206</x:v>
      </x:c>
      <x:c r="AA29" t="str">
        <x:v>samsuddin.jumbri@petronas.com</x:v>
      </x:c>
      <x:c r="AB29" t="str">
        <x:v>approved</x:v>
      </x:c>
      <x:c r="AC29" t="str">
        <x:v>OLZ.</x:v>
      </x:c>
      <x:c r="AD29" t="n">
        <x:v>46031.36899487268</x:v>
      </x:c>
      <x:c r="AE29" t="str">
        <x:v>syazali.saad@petronas.com</x:v>
      </x:c>
      <x:c r="AF29" t="str">
        <x:v>approved</x:v>
      </x:c>
      <x:c r="AG29"/>
      <x:c r="AH29" t="n">
        <x:v>46063.41066673611</x:v>
      </x:c>
      <x:c r="AI29" t="str">
        <x:v>ahmadfirdaus.adnan@petronas.com</x:v>
      </x:c>
      <x:c r="AJ29" t="str">
        <x:v>rejected</x:v>
      </x:c>
      <x:c r="AK29" t="str">
        <x:v>REQ000007804055</x:v>
      </x:c>
      <x:c r="AL29" t="str">
        <x:v>ea9ff09d-7f7a-482f-a081-c07b99b496a2</x:v>
      </x:c>
      <x:c r="AM29" s="23" t="str">
        <x:f>IF(E29="processing",IF(Z29="","",IF(ISNUMBER(Z29),INT(Z29),DATE(VALUE(LEFT(Z29,4)),VALUE(MID(Z29,6,2)),VALUE(MID(Z29,9,2))))),IF(OR(E29="executing",E29="pending"),IF(AD29="","",IF(ISNUMBER(AD29),INT(AD29),DATE(VALUE(LEFT(AD29,4)),VALUE(MID(AD29,6,2)),VALUE(MID(AD29,9,2))))),""))</x:f>
      </x:c>
      <x:c r="AN29" s="24" t="str">
        <x:f>IF(AM29="","",INT('Configuration'!$B$4)-AM29)</x:f>
      </x:c>
      <x:c r="AO29" s="25" t="str">
        <x:f>IF(AM29="","Missing Required Date",IF(AN29&lt;0,"Future Date",IF(AN29=0,"0 days",IF(AN29&lt;=2,"1-2 days",IF(AN29&lt;=7,"3-7 days",IF(AN29&lt;=14,"8-14 days",IF(AN29&lt;=30,"15-30 days",IF(AN29&lt;=60,"31-60 days",IF(AN29&lt;=70,"61-70 days","71+ days")))))))))</x:f>
        <x:v>Missing Required Date</x:v>
      </x:c>
      <x:c r="AP29" s="25" t="str">
        <x:f>IF(OR(E29="processing",E29="executing",E29="pending"),IF(AM29="","Required aging date missing",IF(AN29&gt;30,"Escalate &gt;30d",IF(AN29&gt;14,"Watch &gt;14d","Within 14d"))),"Out of scope")</x:f>
        <x:v>Out of scope</x:v>
      </x:c>
    </x:row>
    <x:row r="30" ht="24" customHeight="1">
      <x:c r="A30" t="str">
        <x:v>63d1814c-5dc1-4772-8e7f-984aa119a289</x:v>
      </x:c>
      <x:c r="B30" t="str">
        <x:v>CSSP10494922</x:v>
      </x:c>
      <x:c r="C30" t="str">
        <x:v>hadi.hairi@petronas.com</x:v>
      </x:c>
      <x:c r="D30" t="str">
        <x:v>provision-cloud-public</x:v>
      </x:c>
      <x:c r="E30" t="str">
        <x:v>completed</x:v>
      </x:c>
      <x:c r="F30" t="n">
        <x:v>46021.29724528935</x:v>
      </x:c>
      <x:c r="G30" t="n">
        <x:v>46021.29724528935</x:v>
      </x:c>
      <x:c r="H30" t="n">
        <x:v>46035.04392703703</x:v>
      </x:c>
      <x:c r="I30" t="str">
        <x:v>A-000355</x:v>
      </x:c>
      <x:c r="J30" t="str">
        <x:v>HSE Intelligence Pod Multimodal AI Vision / Voice - HIPVISION</x:v>
      </x:c>
      <x:c r="K30" t="n">
        <x:v>3578</x:v>
      </x:c>
      <x:c r="L30" t="str">
        <x:v>Development of HSE Intelligence Pod (HIP) Multimodal AI (Vision, Voice)</x:v>
      </x:c>
      <x:c r="M30" t="str">
        <x:v>liang.kimmeng@petronas.com.my</x:v>
      </x:c>
      <x:c r="N30" t="str">
        <x:v>HIP Vision AI</x:v>
      </x:c>
      <x:c r="O30" t="str">
        <x:v>New</x:v>
      </x:c>
      <x:c r="P30" t="str">
        <x:v>Development</x:v>
      </x:c>
      <x:c r="Q30" t="str">
        <x:v>Provisioning of 2 Separate Compute Instances in ptazsg-5ailabmlw01. Please assign HSE-AILAB-IZZAH to izzahmaisarah.moha@petronas.com.my.
And HSE-AILAB-ANGLEE to leetze.an@petronas.com.my.</x:v>
      </x:c>
      <x:c r="R30" t="str">
        <x:v>S</x:v>
      </x:c>
      <x:c r="S30"/>
      <x:c r="T30"/>
      <x:c r="U30" t="str">
        <x:v>as per plan</x:v>
      </x:c>
      <x:c r="V30" t="n">
        <x:v>46021.317614976855</x:v>
      </x:c>
      <x:c r="W30" t="str">
        <x:v>liang.kimmeng@petronas.com</x:v>
      </x:c>
      <x:c r="X30" t="str">
        <x:v>approved</x:v>
      </x:c>
      <x:c r="Y30" t="str">
        <x:v>Good to go</x:v>
      </x:c>
      <x:c r="Z30" t="n">
        <x:v>46029.132118194444</x:v>
      </x:c>
      <x:c r="AA30" t="str">
        <x:v>samsuddin.jumbri@petronas.com</x:v>
      </x:c>
      <x:c r="AB30" t="str">
        <x:v>approved</x:v>
      </x:c>
      <x:c r="AC30" t="str">
        <x:v>ML compute</x:v>
      </x:c>
      <x:c r="AD30" t="n">
        <x:v>46031.36766128472</x:v>
      </x:c>
      <x:c r="AE30" t="str">
        <x:v>syazali.saad@petronas.com</x:v>
      </x:c>
      <x:c r="AF30" t="str">
        <x:v>approved</x:v>
      </x:c>
      <x:c r="AG30" t="str">
        <x:v>Request done. </x:v>
      </x:c>
      <x:c r="AH30" t="n">
        <x:v>46035.04392704861</x:v>
      </x:c>
      <x:c r="AI30" t="str">
        <x:v>azhan.shazeli@petronas.com</x:v>
      </x:c>
      <x:c r="AJ30" t="str">
        <x:v>approved</x:v>
      </x:c>
      <x:c r="AK30" t="str">
        <x:v>REQ000007804054</x:v>
      </x:c>
      <x:c r="AL30" t="str">
        <x:v>ea9ff09d-7f7a-482f-a081-c07b99b496a2</x:v>
      </x:c>
      <x:c r="AM30" s="23" t="str">
        <x:f>IF(E30="processing",IF(Z30="","",IF(ISNUMBER(Z30),INT(Z30),DATE(VALUE(LEFT(Z30,4)),VALUE(MID(Z30,6,2)),VALUE(MID(Z30,9,2))))),IF(OR(E30="executing",E30="pending"),IF(AD30="","",IF(ISNUMBER(AD30),INT(AD30),DATE(VALUE(LEFT(AD30,4)),VALUE(MID(AD30,6,2)),VALUE(MID(AD30,9,2))))),""))</x:f>
      </x:c>
      <x:c r="AN30" s="24" t="str">
        <x:f>IF(AM30="","",INT('Configuration'!$B$4)-AM30)</x:f>
      </x:c>
      <x:c r="AO30" s="25" t="str">
        <x:f>IF(AM30="","Missing Required Date",IF(AN30&lt;0,"Future Date",IF(AN30=0,"0 days",IF(AN30&lt;=2,"1-2 days",IF(AN30&lt;=7,"3-7 days",IF(AN30&lt;=14,"8-14 days",IF(AN30&lt;=30,"15-30 days",IF(AN30&lt;=60,"31-60 days",IF(AN30&lt;=70,"61-70 days","71+ days")))))))))</x:f>
        <x:v>Missing Required Date</x:v>
      </x:c>
      <x:c r="AP30" s="25" t="str">
        <x:f>IF(OR(E30="processing",E30="executing",E30="pending"),IF(AM30="","Required aging date missing",IF(AN30&gt;30,"Escalate &gt;30d",IF(AN30&gt;14,"Watch &gt;14d","Within 14d"))),"Out of scope")</x:f>
        <x:v>Out of scope</x:v>
      </x:c>
    </x:row>
    <x:row r="31" ht="24" customHeight="1">
      <x:c r="A31" t="str">
        <x:v>dce1c7d6-5af4-4fcd-abdd-62148ec8fa6c</x:v>
      </x:c>
      <x:c r="B31" t="str">
        <x:v>CSSP10603892</x:v>
      </x:c>
      <x:c r="C31" t="str">
        <x:v>hadi.hairi@petronas.com</x:v>
      </x:c>
      <x:c r="D31" t="str">
        <x:v>provision-cloud-public</x:v>
      </x:c>
      <x:c r="E31" t="str">
        <x:v>pending</x:v>
      </x:c>
      <x:c r="F31" t="n">
        <x:v>46027.10926525463</x:v>
      </x:c>
      <x:c r="G31" t="n">
        <x:v>46027.109265266205</x:v>
      </x:c>
      <x:c r="H31" t="n">
        <x:v>46027.10926525463</x:v>
      </x:c>
      <x:c r="I31" t="str">
        <x:v>A-000355</x:v>
      </x:c>
      <x:c r="J31" t="str">
        <x:v>HSE Intelligence Pod Multimodal AI Vision / Voice - HIPVISION</x:v>
      </x:c>
      <x:c r="K31" t="n">
        <x:v>3578</x:v>
      </x:c>
      <x:c r="L31" t="str">
        <x:v>Development of HSE Intelligence Pod (HIP) Multimodal AI (Vision, Voice)</x:v>
      </x:c>
      <x:c r="M31" t="str">
        <x:v>liang.kimmeng@petronas.com.my</x:v>
      </x:c>
      <x:c r="N31" t="str">
        <x:v>HIP Vision AI</x:v>
      </x:c>
      <x:c r="O31" t="str">
        <x:v>New</x:v>
      </x:c>
      <x:c r="P31" t="str">
        <x:v>Development</x:v>
      </x:c>
      <x:c r="Q31" t="str">
        <x:v>Provisioning of 1 Compute Instances in ptazsg-5ailabmlw01. Please assign HSE-AILAB-IMRAN to ahmadimran.khairulsa@petronas.com.my</x:v>
      </x:c>
      <x:c r="R31"/>
      <x:c r="S31"/>
      <x:c r="T31"/>
      <x:c r="U31"/>
      <x:c r="V31"/>
      <x:c r="W31" t="str">
        <x:v>liang.kimmeng@petronas.com</x:v>
      </x:c>
      <x:c r="X31"/>
      <x:c r="Y31"/>
      <x:c r="Z31"/>
      <x:c r="AA31" t="str">
        <x:v>CCoE Demand</x:v>
      </x:c>
      <x:c r="AB31"/>
      <x:c r="AC31"/>
      <x:c r="AD31"/>
      <x:c r="AE31" t="str">
        <x:v>CCoE Business</x:v>
      </x:c>
      <x:c r="AF31"/>
      <x:c r="AG31"/>
      <x:c r="AH31"/>
      <x:c r="AI31" t="str">
        <x:v>CCoE Core Services (Public)</x:v>
      </x:c>
      <x:c r="AJ31"/>
      <x:c r="AK31"/>
      <x:c r="AL31" t="str">
        <x:v>ea9ff09d-7f7a-482f-a081-c07b99b496a2</x:v>
      </x:c>
      <x:c r="AM31" s="23" t="str">
        <x:f>IF(E31="processing",IF(Z31="","",IF(ISNUMBER(Z31),INT(Z31),DATE(VALUE(LEFT(Z31,4)),VALUE(MID(Z31,6,2)),VALUE(MID(Z31,9,2))))),IF(OR(E31="executing",E31="pending"),IF(AD31="","",IF(ISNUMBER(AD31),INT(AD31),DATE(VALUE(LEFT(AD31,4)),VALUE(MID(AD31,6,2)),VALUE(MID(AD31,9,2))))),""))</x:f>
      </x:c>
      <x:c r="AN31" s="24" t="str">
        <x:f>IF(AM31="","",INT('Configuration'!$B$4)-AM31)</x:f>
      </x:c>
      <x:c r="AO31" s="25" t="str">
        <x:f>IF(AM31="","Missing Required Date",IF(AN31&lt;0,"Future Date",IF(AN31=0,"0 days",IF(AN31&lt;=2,"1-2 days",IF(AN31&lt;=7,"3-7 days",IF(AN31&lt;=14,"8-14 days",IF(AN31&lt;=30,"15-30 days",IF(AN31&lt;=60,"31-60 days",IF(AN31&lt;=70,"61-70 days","71+ days")))))))))</x:f>
        <x:v>Missing Required Date</x:v>
      </x:c>
      <x:c r="AP31" s="25" t="str">
        <x:f>IF(OR(E31="processing",E31="executing",E31="pending"),IF(AM31="","Required aging date missing",IF(AN31&gt;30,"Escalate &gt;30d",IF(AN31&gt;14,"Watch &gt;14d","Within 14d"))),"Out of scope")</x:f>
        <x:v>Required aging date missing</x:v>
      </x:c>
    </x:row>
    <x:row r="32" ht="24" customHeight="1">
      <x:c r="A32" t="str">
        <x:v>fd5e7d27-deed-40e8-b11d-3cc760517878</x:v>
      </x:c>
      <x:c r="B32" t="str">
        <x:v>CSSP10577297</x:v>
      </x:c>
      <x:c r="C32" t="str">
        <x:v>taufiq.tomadan@petronas.com</x:v>
      </x:c>
      <x:c r="D32" t="str">
        <x:v>provision-cloud-public</x:v>
      </x:c>
      <x:c r="E32" t="str">
        <x:v>completed</x:v>
      </x:c>
      <x:c r="F32" t="n">
        <x:v>46028.251716527775</x:v>
      </x:c>
      <x:c r="G32" t="n">
        <x:v>46030.58443027778</x:v>
      </x:c>
      <x:c r="H32" t="n">
        <x:v>46052.36657884259</x:v>
      </x:c>
      <x:c r="I32" t="str">
        <x:v>A-000295</x:v>
      </x:c>
      <x:c r="J32" t="str">
        <x:v>Electronic Permit To Work - ePTW KPOC</x:v>
      </x:c>
      <x:c r="K32" t="str">
        <x:v> 02315_1</x:v>
      </x:c>
      <x:c r="L32" t="str">
        <x:v>Implementation of ePTW system and Support &amp; Maintenance for Kebabangan Petroleum Operating Company Sdn. Bhd (KPOC) for Virtus IP Sdn Bhd - ePTW Commercial (Production) (Formelrly known as: ePTW (KPOC))_(Managed)</x:v>
      </x:c>
      <x:c r="M32" t="str">
        <x:v>bryan.dewitt@petronas.com.my</x:v>
      </x:c>
      <x:c r="N32" t="str">
        <x:v>EPTW UAUC OSIS POINT for ENEOS Xplora</x:v>
      </x:c>
      <x:c r="O32" t="str">
        <x:v>New</x:v>
      </x:c>
      <x:c r="P32" t="str">
        <x:v>StagingUat</x:v>
      </x:c>
      <x:c r="Q32" t="str">
        <x:v>Requesting New Azure Cloud Resources for two applications; UAUC (Staging) &amp; OSIS (Staging). please refer file attached for details (Azure Cloud server detail, CSBIA, and SOW)</x:v>
      </x:c>
      <x:c r="R32" t="str">
        <x:v>M</x:v>
      </x:c>
      <x:c r="S32"/>
      <x:c r="T32"/>
      <x:c r="U32" t="str">
        <x:v>approved for vipsb resources</x:v>
      </x:c>
      <x:c r="V32" t="n">
        <x:v>46031.04132616898</x:v>
      </x:c>
      <x:c r="W32" t="str">
        <x:v>bryan.dewitt@petronas.com</x:v>
      </x:c>
      <x:c r="X32" t="str">
        <x:v>approved</x:v>
      </x:c>
      <x:c r="Y32" t="str">
        <x:v>Good to go</x:v>
      </x:c>
      <x:c r="Z32" t="n">
        <x:v>46036.0871634375</x:v>
      </x:c>
      <x:c r="AA32" t="str">
        <x:v>samsuddin.jumbri@petronas.com</x:v>
      </x:c>
      <x:c r="AB32" t="str">
        <x:v>approved</x:v>
      </x:c>
      <x:c r="AC32" t="str">
        <x:v>https://dev.azure.com/Digital-Delivery/EPTW%20UAUC%20OSIS%20POINT%20for%20ENEOS%20Xplora
</x:v>
      </x:c>
      <x:c r="AD32" t="n">
        <x:v>46036.16900414352</x:v>
      </x:c>
      <x:c r="AE32" t="str">
        <x:v>syazali.saad@petronas.com</x:v>
      </x:c>
      <x:c r="AF32" t="str">
        <x:v>approved</x:v>
      </x:c>
      <x:c r="AG32" t="str">
        <x:v>The New Azure Cloud Resources for two applications; UAUC (Staging) &amp; OSIS (Staging) has been provisioned</x:v>
      </x:c>
      <x:c r="AH32" t="n">
        <x:v>46052.36657885417</x:v>
      </x:c>
      <x:c r="AI32" t="str">
        <x:v>muhdfirdaus.muhamad@petronas.com</x:v>
      </x:c>
      <x:c r="AJ32" t="str">
        <x:v>approved</x:v>
      </x:c>
      <x:c r="AK32" t="str">
        <x:v>REQ000007814122</x:v>
      </x:c>
      <x:c r="AL32" t="str">
        <x:v>c2005f6a-1df6-405b-8f7f-1c709c1738b1</x:v>
      </x:c>
      <x:c r="AM32" s="23" t="str">
        <x:f>IF(E32="processing",IF(Z32="","",IF(ISNUMBER(Z32),INT(Z32),DATE(VALUE(LEFT(Z32,4)),VALUE(MID(Z32,6,2)),VALUE(MID(Z32,9,2))))),IF(OR(E32="executing",E32="pending"),IF(AD32="","",IF(ISNUMBER(AD32),INT(AD32),DATE(VALUE(LEFT(AD32,4)),VALUE(MID(AD32,6,2)),VALUE(MID(AD32,9,2))))),""))</x:f>
      </x:c>
      <x:c r="AN32" s="24" t="str">
        <x:f>IF(AM32="","",INT('Configuration'!$B$4)-AM32)</x:f>
      </x:c>
      <x:c r="AO32" s="25" t="str">
        <x:f>IF(AM32="","Missing Required Date",IF(AN32&lt;0,"Future Date",IF(AN32=0,"0 days",IF(AN32&lt;=2,"1-2 days",IF(AN32&lt;=7,"3-7 days",IF(AN32&lt;=14,"8-14 days",IF(AN32&lt;=30,"15-30 days",IF(AN32&lt;=60,"31-60 days",IF(AN32&lt;=70,"61-70 days","71+ days")))))))))</x:f>
        <x:v>Missing Required Date</x:v>
      </x:c>
      <x:c r="AP32" s="25" t="str">
        <x:f>IF(OR(E32="processing",E32="executing",E32="pending"),IF(AM32="","Required aging date missing",IF(AN32&gt;30,"Escalate &gt;30d",IF(AN32&gt;14,"Watch &gt;14d","Within 14d"))),"Out of scope")</x:f>
        <x:v>Out of scope</x:v>
      </x:c>
    </x:row>
    <x:row r="33" ht="24" customHeight="1">
      <x:c r="A33" t="str">
        <x:v>fbeaefe9-5924-4fd6-beb9-98ac0301d7cb</x:v>
      </x:c>
      <x:c r="B33" t="str">
        <x:v>CSSP10601579</x:v>
      </x:c>
      <x:c r="C33" t="str">
        <x:v>shahrulrizal.said@petronas.com</x:v>
      </x:c>
      <x:c r="D33" t="str">
        <x:v>provision-cloud-public</x:v>
      </x:c>
      <x:c r="E33" t="str">
        <x:v>completed</x:v>
      </x:c>
      <x:c r="F33" t="n">
        <x:v>46029.14098484954</x:v>
      </x:c>
      <x:c r="G33" t="n">
        <x:v>46029.14098484954</x:v>
      </x:c>
      <x:c r="H33" t="n">
        <x:v>46042.09728675926</x:v>
      </x:c>
      <x:c r="I33" t="str">
        <x:v>A-000354</x:v>
      </x:c>
      <x:c r="J33" t="str">
        <x:v>HSE Intelligence Pod - Smart Advisor - HIP SA</x:v>
      </x:c>
      <x:c r="K33" t="n">
        <x:v>4007</x:v>
      </x:c>
      <x:c r="L33" t="str">
        <x:v>HSE Intelligence Pod - Smart Advisor</x:v>
      </x:c>
      <x:c r="M33" t="str">
        <x:v>josephine.danielbav@petronas.com.my</x:v>
      </x:c>
      <x:c r="N33" t="str">
        <x:v>HIP.AI</x:v>
      </x:c>
      <x:c r="O33" t="str">
        <x:v>New</x:v>
      </x:c>
      <x:c r="P33" t="str">
        <x:v>Development</x:v>
      </x:c>
      <x:c r="Q33" t="str">
        <x:v>Request to add new AZ function as per attached</x:v>
      </x:c>
      <x:c r="R33" t="str">
        <x:v>S</x:v>
      </x:c>
      <x:c r="S33"/>
      <x:c r="T33"/>
      <x:c r="U33" t="str">
        <x:v>Approved</x:v>
      </x:c>
      <x:c r="V33" t="n">
        <x:v>46029.145506608795</x:v>
      </x:c>
      <x:c r="W33" t="str">
        <x:v>josephine.danielbav@petronas.com</x:v>
      </x:c>
      <x:c r="X33" t="str">
        <x:v>approved</x:v>
      </x:c>
      <x:c r="Y33" t="str">
        <x:v>Good to go</x:v>
      </x:c>
      <x:c r="Z33" t="n">
        <x:v>46030.30008403935</x:v>
      </x:c>
      <x:c r="AA33" t="str">
        <x:v>samsuddin.jumbri@petronas.com</x:v>
      </x:c>
      <x:c r="AB33" t="str">
        <x:v>approved</x:v>
      </x:c>
      <x:c r="AC33" t="str">
        <x:v>.</x:v>
      </x:c>
      <x:c r="AD33" t="n">
        <x:v>46037.364669965275</x:v>
      </x:c>
      <x:c r="AE33" t="str">
        <x:v>syazali.saad@petronas.com</x:v>
      </x:c>
      <x:c r="AF33" t="str">
        <x:v>approved</x:v>
      </x:c>
      <x:c r="AG33" t="str">
        <x:v>Completed.</x:v>
      </x:c>
      <x:c r="AH33" t="n">
        <x:v>46042.09728677083</x:v>
      </x:c>
      <x:c r="AI33" t="str">
        <x:v>izham.ajmaan@petronas.com</x:v>
      </x:c>
      <x:c r="AJ33" t="str">
        <x:v>approved</x:v>
      </x:c>
      <x:c r="AK33" t="str">
        <x:v>REQ000007819838</x:v>
      </x:c>
      <x:c r="AL33" t="str">
        <x:v>dffc798b-8629-447b-9c6c-13563df2b5ac</x:v>
      </x:c>
      <x:c r="AM33" s="23" t="str">
        <x:f>IF(E33="processing",IF(Z33="","",IF(ISNUMBER(Z33),INT(Z33),DATE(VALUE(LEFT(Z33,4)),VALUE(MID(Z33,6,2)),VALUE(MID(Z33,9,2))))),IF(OR(E33="executing",E33="pending"),IF(AD33="","",IF(ISNUMBER(AD33),INT(AD33),DATE(VALUE(LEFT(AD33,4)),VALUE(MID(AD33,6,2)),VALUE(MID(AD33,9,2))))),""))</x:f>
      </x:c>
      <x:c r="AN33" s="24" t="str">
        <x:f>IF(AM33="","",INT('Configuration'!$B$4)-AM33)</x:f>
      </x:c>
      <x:c r="AO33" s="25" t="str">
        <x:f>IF(AM33="","Missing Required Date",IF(AN33&lt;0,"Future Date",IF(AN33=0,"0 days",IF(AN33&lt;=2,"1-2 days",IF(AN33&lt;=7,"3-7 days",IF(AN33&lt;=14,"8-14 days",IF(AN33&lt;=30,"15-30 days",IF(AN33&lt;=60,"31-60 days",IF(AN33&lt;=70,"61-70 days","71+ days")))))))))</x:f>
        <x:v>Missing Required Date</x:v>
      </x:c>
      <x:c r="AP33" s="25" t="str">
        <x:f>IF(OR(E33="processing",E33="executing",E33="pending"),IF(AM33="","Required aging date missing",IF(AN33&gt;30,"Escalate &gt;30d",IF(AN33&gt;14,"Watch &gt;14d","Within 14d"))),"Out of scope")</x:f>
        <x:v>Out of scope</x:v>
      </x:c>
    </x:row>
    <x:row r="34" ht="24" customHeight="1">
      <x:c r="A34" t="str">
        <x:v>e40690ac-2919-4250-b33b-74feeb704eb3</x:v>
      </x:c>
      <x:c r="B34" t="str">
        <x:v>CSSP10794553</x:v>
      </x:c>
      <x:c r="C34" t="str">
        <x:v>shahrulrizal.said@petronas.com</x:v>
      </x:c>
      <x:c r="D34" t="str">
        <x:v>provision-cloud-public</x:v>
      </x:c>
      <x:c r="E34" t="str">
        <x:v>completed</x:v>
      </x:c>
      <x:c r="F34" t="n">
        <x:v>46029.143836875</x:v>
      </x:c>
      <x:c r="G34" t="n">
        <x:v>46029.143836875</x:v>
      </x:c>
      <x:c r="H34" t="n">
        <x:v>46052.06383466435</x:v>
      </x:c>
      <x:c r="I34" t="str">
        <x:v>A-000354</x:v>
      </x:c>
      <x:c r="J34" t="str">
        <x:v>HSE Intelligence Pod - Smart Advisor - HIP SA</x:v>
      </x:c>
      <x:c r="K34" t="n">
        <x:v>4007</x:v>
      </x:c>
      <x:c r="L34" t="str">
        <x:v>HSE Intelligence Pod - Smart Advisor</x:v>
      </x:c>
      <x:c r="M34" t="str">
        <x:v>josephine.danielbav@petronas.com.my</x:v>
      </x:c>
      <x:c r="N34" t="str">
        <x:v>HIP.AI</x:v>
      </x:c>
      <x:c r="O34" t="str">
        <x:v>New</x:v>
      </x:c>
      <x:c r="P34" t="str">
        <x:v>Production</x:v>
      </x:c>
      <x:c r="Q34" t="str">
        <x:v>New AZ function in production</x:v>
      </x:c>
      <x:c r="R34" t="str">
        <x:v>M</x:v>
      </x:c>
      <x:c r="S34"/>
      <x:c r="T34"/>
      <x:c r="U34" t="str">
        <x:v>Approve</x:v>
      </x:c>
      <x:c r="V34" t="n">
        <x:v>46029.1452078125</x:v>
      </x:c>
      <x:c r="W34" t="str">
        <x:v>josephine.danielbav@petronas.com</x:v>
      </x:c>
      <x:c r="X34" t="str">
        <x:v>approved</x:v>
      </x:c>
      <x:c r="Y34" t="str">
        <x:v>Good to go</x:v>
      </x:c>
      <x:c r="Z34" t="n">
        <x:v>46030.300406539354</x:v>
      </x:c>
      <x:c r="AA34" t="str">
        <x:v>samsuddin.jumbri@petronas.com</x:v>
      </x:c>
      <x:c r="AB34" t="str">
        <x:v>approved</x:v>
      </x:c>
      <x:c r="AC34" t="str">
        <x:v>.</x:v>
      </x:c>
      <x:c r="AD34" t="n">
        <x:v>46038.31028686342</x:v>
      </x:c>
      <x:c r="AE34" t="str">
        <x:v>syazali.saad@petronas.com</x:v>
      </x:c>
      <x:c r="AF34" t="str">
        <x:v>approved</x:v>
      </x:c>
      <x:c r="AG34" t="str">
        <x:v>Create new resource done. </x:v>
      </x:c>
      <x:c r="AH34" t="n">
        <x:v>46052.06383467592</x:v>
      </x:c>
      <x:c r="AI34" t="str">
        <x:v>azhan.shazeli@petronas.com</x:v>
      </x:c>
      <x:c r="AJ34" t="str">
        <x:v>approved</x:v>
      </x:c>
      <x:c r="AK34" t="str">
        <x:v>REQ000007822250</x:v>
      </x:c>
      <x:c r="AL34" t="str">
        <x:v>dffc798b-8629-447b-9c6c-13563df2b5ac</x:v>
      </x:c>
      <x:c r="AM34" s="23" t="str">
        <x:f>IF(E34="processing",IF(Z34="","",IF(ISNUMBER(Z34),INT(Z34),DATE(VALUE(LEFT(Z34,4)),VALUE(MID(Z34,6,2)),VALUE(MID(Z34,9,2))))),IF(OR(E34="executing",E34="pending"),IF(AD34="","",IF(ISNUMBER(AD34),INT(AD34),DATE(VALUE(LEFT(AD34,4)),VALUE(MID(AD34,6,2)),VALUE(MID(AD34,9,2))))),""))</x:f>
      </x:c>
      <x:c r="AN34" s="24" t="str">
        <x:f>IF(AM34="","",INT('Configuration'!$B$4)-AM34)</x:f>
      </x:c>
      <x:c r="AO34" s="25" t="str">
        <x:f>IF(AM34="","Missing Required Date",IF(AN34&lt;0,"Future Date",IF(AN34=0,"0 days",IF(AN34&lt;=2,"1-2 days",IF(AN34&lt;=7,"3-7 days",IF(AN34&lt;=14,"8-14 days",IF(AN34&lt;=30,"15-30 days",IF(AN34&lt;=60,"31-60 days",IF(AN34&lt;=70,"61-70 days","71+ days")))))))))</x:f>
        <x:v>Missing Required Date</x:v>
      </x:c>
      <x:c r="AP34" s="25" t="str">
        <x:f>IF(OR(E34="processing",E34="executing",E34="pending"),IF(AM34="","Required aging date missing",IF(AN34&gt;30,"Escalate &gt;30d",IF(AN34&gt;14,"Watch &gt;14d","Within 14d"))),"Out of scope")</x:f>
        <x:v>Out of scope</x:v>
      </x:c>
    </x:row>
    <x:row r="35" ht="24" customHeight="1">
      <x:c r="A35" t="str">
        <x:v>7f9adaa5-f387-4ddf-b676-a88d8c8db72e</x:v>
      </x:c>
      <x:c r="B35" t="str">
        <x:v>CSSP10347506</x:v>
      </x:c>
      <x:c r="C35" t="str">
        <x:v>natasha.lupang@petronas.com</x:v>
      </x:c>
      <x:c r="D35" t="str">
        <x:v>provision-cloud-public</x:v>
      </x:c>
      <x:c r="E35" t="str">
        <x:v>completed</x:v>
      </x:c>
      <x:c r="F35" t="n">
        <x:v>46029.16760851852</x:v>
      </x:c>
      <x:c r="G35" t="n">
        <x:v>46031.18630739583</x:v>
      </x:c>
      <x:c r="H35" t="n">
        <x:v>46042.1488409375</x:v>
      </x:c>
      <x:c r="I35" t="str">
        <x:v>A-000866</x:v>
      </x:c>
      <x:c r="J35" t="str">
        <x:v>Yayasan PETRONAS</x:v>
      </x:c>
      <x:c r="K35" t="str">
        <x:v>PSR05912</x:v>
      </x:c>
      <x:c r="L35" t="str">
        <x:v>Provisioning of Microsoft Azure Cloud for Yayasan PETRONAS Website for Yayasan PETRONAS</x:v>
      </x:c>
      <x:c r="M35" t="str">
        <x:v>shielynn.lim@petronas.com.my</x:v>
      </x:c>
      <x:c r="N35" t="str">
        <x:v>Cloud Migration</x:v>
      </x:c>
      <x:c r="O35" t="str">
        <x:v>New</x:v>
      </x:c>
      <x:c r="P35" t="str">
        <x:v>Production</x:v>
      </x:c>
      <x:c r="Q35" t="str">
        <x:v>to provision new server red hat 9.6 in replacing the EOL server (PTSG-1YSPwb01). Approval from HOD is as attached.</x:v>
      </x:c>
      <x:c r="R35" t="str">
        <x:v>S</x:v>
      </x:c>
      <x:c r="S35"/>
      <x:c r="T35"/>
      <x:c r="U35" t="str">
        <x:v>Approved &amp; team is to ensure the request for new server is expedited so as to allow for and ensure optimal YP website performance and timely content updates.</x:v>
      </x:c>
      <x:c r="V35" t="n">
        <x:v>46031.18892516204</x:v>
      </x:c>
      <x:c r="W35" t="str">
        <x:v>shielynn.lim@petronas.com</x:v>
      </x:c>
      <x:c r="X35" t="str">
        <x:v>approved</x:v>
      </x:c>
      <x:c r="Y35" t="str">
        <x:v>Good to go</x:v>
      </x:c>
      <x:c r="Z35" t="n">
        <x:v>46036.08842461806</x:v>
      </x:c>
      <x:c r="AA35" t="str">
        <x:v>samsuddin.jumbri@petronas.com</x:v>
      </x:c>
      <x:c r="AB35" t="str">
        <x:v>approved</x:v>
      </x:c>
      <x:c r="AC35" t="str">
        <x:v>ptazsg-prod-ysp-rg</x:v>
      </x:c>
      <x:c r="AD35" t="n">
        <x:v>46037.36045866898</x:v>
      </x:c>
      <x:c r="AE35" t="str">
        <x:v>syazali.saad@petronas.com</x:v>
      </x:c>
      <x:c r="AF35" t="str">
        <x:v>approved</x:v>
      </x:c>
      <x:c r="AG35" t="str">
        <x:v>Linux migration completed</x:v>
      </x:c>
      <x:c r="AH35" t="n">
        <x:v>46042.1488409375</x:v>
      </x:c>
      <x:c r="AI35" t="str">
        <x:v>fatinamirah.mjonik@petronas.com</x:v>
      </x:c>
      <x:c r="AJ35" t="str">
        <x:v>approved</x:v>
      </x:c>
      <x:c r="AK35" t="str">
        <x:v>REQ000007819502</x:v>
      </x:c>
      <x:c r="AL35" t="str">
        <x:v>0d817e47-fc88-4ab5-b5c9-d84574351cf0</x:v>
      </x:c>
      <x:c r="AM35" s="23" t="str">
        <x:f>IF(E35="processing",IF(Z35="","",IF(ISNUMBER(Z35),INT(Z35),DATE(VALUE(LEFT(Z35,4)),VALUE(MID(Z35,6,2)),VALUE(MID(Z35,9,2))))),IF(OR(E35="executing",E35="pending"),IF(AD35="","",IF(ISNUMBER(AD35),INT(AD35),DATE(VALUE(LEFT(AD35,4)),VALUE(MID(AD35,6,2)),VALUE(MID(AD35,9,2))))),""))</x:f>
      </x:c>
      <x:c r="AN35" s="24" t="str">
        <x:f>IF(AM35="","",INT('Configuration'!$B$4)-AM35)</x:f>
      </x:c>
      <x:c r="AO35" s="25" t="str">
        <x:f>IF(AM35="","Missing Required Date",IF(AN35&lt;0,"Future Date",IF(AN35=0,"0 days",IF(AN35&lt;=2,"1-2 days",IF(AN35&lt;=7,"3-7 days",IF(AN35&lt;=14,"8-14 days",IF(AN35&lt;=30,"15-30 days",IF(AN35&lt;=60,"31-60 days",IF(AN35&lt;=70,"61-70 days","71+ days")))))))))</x:f>
        <x:v>Missing Required Date</x:v>
      </x:c>
      <x:c r="AP35" s="25" t="str">
        <x:f>IF(OR(E35="processing",E35="executing",E35="pending"),IF(AM35="","Required aging date missing",IF(AN35&gt;30,"Escalate &gt;30d",IF(AN35&gt;14,"Watch &gt;14d","Within 14d"))),"Out of scope")</x:f>
        <x:v>Out of scope</x:v>
      </x:c>
    </x:row>
    <x:row r="36" ht="24" customHeight="1">
      <x:c r="A36" t="str">
        <x:v>f54f3cdf-9b03-4459-999a-9d1e27597115</x:v>
      </x:c>
      <x:c r="B36" t="str">
        <x:v>CSSP10636896</x:v>
      </x:c>
      <x:c r="C36" t="str">
        <x:v>mkhairulazhar.jamil@petronas.com</x:v>
      </x:c>
      <x:c r="D36" t="str">
        <x:v>provision-cloud-public</x:v>
      </x:c>
      <x:c r="E36" t="str">
        <x:v>completed</x:v>
      </x:c>
      <x:c r="F36" t="n">
        <x:v>46030.0947506713</x:v>
      </x:c>
      <x:c r="G36" t="n">
        <x:v>46036.156789305554</x:v>
      </x:c>
      <x:c r="H36" t="n">
        <x:v>46052.34768141204</x:v>
      </x:c>
      <x:c r="I36" t="str">
        <x:v>A-000124</x:v>
      </x:c>
      <x:c r="J36" t="str">
        <x:v>COMPASS</x:v>
      </x:c>
      <x:c r="K36" t="n">
        <x:v>1709</x:v>
      </x:c>
      <x:c r="L36" t="str">
        <x:v>COMPASS Phase 2</x:v>
      </x:c>
      <x:c r="M36" t="str">
        <x:v>amirshazlan.mshah@petronas.com.my</x:v>
      </x:c>
      <x:c r="N36" t="str">
        <x:v>COMPASS</x:v>
      </x:c>
      <x:c r="O36" t="str">
        <x:v>New</x:v>
      </x:c>
      <x:c r="P36" t="str">
        <x:v>Production</x:v>
      </x:c>
      <x:c r="Q36" t="str">
        <x:v>This is to request the migration of the non-compliant Ubuntu operating system currently running on 
PTSG-1CMPSap02 to RedHat. A new VM is required to be provisioned with the same specifications and disk configurations as PTSG-1CMPSap02, but with RedHat OS.
The new VM will use a new hostname and IP address. Once provisioned, the application team will conduct the migration activities. Upon successful migration, the decommissioning process for the old VM will be initiated.</x:v>
      </x:c>
      <x:c r="R36" t="str">
        <x:v>M</x:v>
      </x:c>
      <x:c r="S36"/>
      <x:c r="T36"/>
      <x:c r="U36" t="str">
        <x:v>approved</x:v>
      </x:c>
      <x:c r="V36" t="n">
        <x:v>46036.158328310186</x:v>
      </x:c>
      <x:c r="W36" t="str">
        <x:v>amirshazlan.mshah@petronas.com</x:v>
      </x:c>
      <x:c r="X36" t="str">
        <x:v>approved</x:v>
      </x:c>
      <x:c r="Y36" t="str">
        <x:v>Good to go</x:v>
      </x:c>
      <x:c r="Z36" t="n">
        <x:v>46038.1576018287</x:v>
      </x:c>
      <x:c r="AA36" t="str">
        <x:v>samsuddin.jumbri@petronas.com</x:v>
      </x:c>
      <x:c r="AB36" t="str">
        <x:v>approved</x:v>
      </x:c>
      <x:c r="AC36" t="str">
        <x:v>migration</x:v>
      </x:c>
      <x:c r="AD36" t="n">
        <x:v>46042.14890648148</x:v>
      </x:c>
      <x:c r="AE36" t="str">
        <x:v>syazali.saad@petronas.com</x:v>
      </x:c>
      <x:c r="AF36" t="str">
        <x:v>approved</x:v>
      </x:c>
      <x:c r="AG36" t="str">
        <x:v>virtual machine provisioned</x:v>
      </x:c>
      <x:c r="AH36" t="n">
        <x:v>46052.34768142361</x:v>
      </x:c>
      <x:c r="AI36" t="str">
        <x:v>mhafizi.madnan@petronas.com</x:v>
      </x:c>
      <x:c r="AJ36" t="str">
        <x:v>approved</x:v>
      </x:c>
      <x:c r="AK36" t="str">
        <x:v>REQ000007828107</x:v>
      </x:c>
      <x:c r="AL36" t="str">
        <x:v>90296959-c21f-48ac-8658-df869ee75354</x:v>
      </x:c>
      <x:c r="AM36" s="23" t="str">
        <x:f>IF(E36="processing",IF(Z36="","",IF(ISNUMBER(Z36),INT(Z36),DATE(VALUE(LEFT(Z36,4)),VALUE(MID(Z36,6,2)),VALUE(MID(Z36,9,2))))),IF(OR(E36="executing",E36="pending"),IF(AD36="","",IF(ISNUMBER(AD36),INT(AD36),DATE(VALUE(LEFT(AD36,4)),VALUE(MID(AD36,6,2)),VALUE(MID(AD36,9,2))))),""))</x:f>
      </x:c>
      <x:c r="AN36" s="24" t="str">
        <x:f>IF(AM36="","",INT('Configuration'!$B$4)-AM36)</x:f>
      </x:c>
      <x:c r="AO36" s="25" t="str">
        <x:f>IF(AM36="","Missing Required Date",IF(AN36&lt;0,"Future Date",IF(AN36=0,"0 days",IF(AN36&lt;=2,"1-2 days",IF(AN36&lt;=7,"3-7 days",IF(AN36&lt;=14,"8-14 days",IF(AN36&lt;=30,"15-30 days",IF(AN36&lt;=60,"31-60 days",IF(AN36&lt;=70,"61-70 days","71+ days")))))))))</x:f>
        <x:v>Missing Required Date</x:v>
      </x:c>
      <x:c r="AP36" s="25" t="str">
        <x:f>IF(OR(E36="processing",E36="executing",E36="pending"),IF(AM36="","Required aging date missing",IF(AN36&gt;30,"Escalate &gt;30d",IF(AN36&gt;14,"Watch &gt;14d","Within 14d"))),"Out of scope")</x:f>
        <x:v>Out of scope</x:v>
      </x:c>
    </x:row>
    <x:row r="37" ht="24" customHeight="1">
      <x:c r="A37" t="str">
        <x:v>3d79c2dd-4e29-4b9c-b671-002b9acb0069</x:v>
      </x:c>
      <x:c r="B37" t="str">
        <x:v>CSSP10823957</x:v>
      </x:c>
      <x:c r="C37" t="str">
        <x:v>hasrol.yusop@petronas.com</x:v>
      </x:c>
      <x:c r="D37" t="str">
        <x:v>provision-cloud-public</x:v>
      </x:c>
      <x:c r="E37" t="str">
        <x:v>completed</x:v>
      </x:c>
      <x:c r="F37" t="n">
        <x:v>46030.34857350695</x:v>
      </x:c>
      <x:c r="G37" t="n">
        <x:v>46030.40290202546</x:v>
      </x:c>
      <x:c r="H37" t="n">
        <x:v>46059.11141832176</x:v>
      </x:c>
      <x:c r="I37" t="str">
        <x:v>A-000663</x:v>
      </x:c>
      <x:c r="J37" t="str">
        <x:v>ProSource</x:v>
      </x:c>
      <x:c r="K37" t="str">
        <x:v>SR00620</x:v>
      </x:c>
      <x:c r="L37" t="str">
        <x:v>Provisioning of Infrastructure for Prosource and Qumulo Storage Management System for UTDI</x:v>
      </x:c>
      <x:c r="M37" t="str">
        <x:v>hoongkum.chan@petronas.com</x:v>
      </x:c>
      <x:c r="N37" t="str">
        <x:v>Cloud Migration</x:v>
      </x:c>
      <x:c r="O37" t="str">
        <x:v>New</x:v>
      </x:c>
      <x:c r="P37" t="str">
        <x:v>Production</x:v>
      </x:c>
      <x:c r="Q37" t="str">
        <x:v>Provision ProSource Application server, DataBase Server (Oracle DB), Application License server &amp; Data Transfer server.
Others service category as below:
Azure Backup - Management and governance
Azure Monitor - DevOps
Microsoft Defender for Cloud - Security
Key Vault - Security
Azure ExpressRoute - Dedicated ER (PGSC to Azure)
Virtual Machines - VM300 Firewall
Load Balancer - LB for VM300 Firewall
</x:v>
      </x:c>
      <x:c r="R37" t="str">
        <x:v>L</x:v>
      </x:c>
      <x:c r="S37"/>
      <x:c r="T37"/>
      <x:c r="U37" t="str">
        <x:v>Reviewed with no further comments.</x:v>
      </x:c>
      <x:c r="V37" t="n">
        <x:v>46030.409880694446</x:v>
      </x:c>
      <x:c r="W37" t="str">
        <x:v>hoongkum.chan@petronas.com</x:v>
      </x:c>
      <x:c r="X37" t="str">
        <x:v>approved</x:v>
      </x:c>
      <x:c r="Y37" t="str">
        <x:v>Good to go</x:v>
      </x:c>
      <x:c r="Z37" t="n">
        <x:v>46031.08361216435</x:v>
      </x:c>
      <x:c r="AA37" t="str">
        <x:v>samsuddin.jumbri@petronas.com</x:v>
      </x:c>
      <x:c r="AB37" t="str">
        <x:v>approved</x:v>
      </x:c>
      <x:c r="AC37" t="str">
        <x:v>ER to pgsc.</x:v>
      </x:c>
      <x:c r="AD37" t="n">
        <x:v>46042.15828488426</x:v>
      </x:c>
      <x:c r="AE37" t="str">
        <x:v>syazali.saad@petronas.com</x:v>
      </x:c>
      <x:c r="AF37" t="str">
        <x:v>approved</x:v>
      </x:c>
      <x:c r="AG37" t="str">
        <x:v>Completed</x:v>
      </x:c>
      <x:c r="AH37" t="n">
        <x:v>46059.11141832176</x:v>
      </x:c>
      <x:c r="AI37" t="str">
        <x:v>badri.shaharudin@petronas.com</x:v>
      </x:c>
      <x:c r="AJ37" t="str">
        <x:v>approved</x:v>
      </x:c>
      <x:c r="AK37" t="str">
        <x:v>REQ000007828116</x:v>
      </x:c>
      <x:c r="AL37" t="str">
        <x:v>1f46f82f-3716-4404-aa90-fc69f4af663f</x:v>
      </x:c>
      <x:c r="AM37" s="23" t="str">
        <x:f>IF(E37="processing",IF(Z37="","",IF(ISNUMBER(Z37),INT(Z37),DATE(VALUE(LEFT(Z37,4)),VALUE(MID(Z37,6,2)),VALUE(MID(Z37,9,2))))),IF(OR(E37="executing",E37="pending"),IF(AD37="","",IF(ISNUMBER(AD37),INT(AD37),DATE(VALUE(LEFT(AD37,4)),VALUE(MID(AD37,6,2)),VALUE(MID(AD37,9,2))))),""))</x:f>
      </x:c>
      <x:c r="AN37" s="24" t="str">
        <x:f>IF(AM37="","",INT('Configuration'!$B$4)-AM37)</x:f>
      </x:c>
      <x:c r="AO37" s="25" t="str">
        <x:f>IF(AM37="","Missing Required Date",IF(AN37&lt;0,"Future Date",IF(AN37=0,"0 days",IF(AN37&lt;=2,"1-2 days",IF(AN37&lt;=7,"3-7 days",IF(AN37&lt;=14,"8-14 days",IF(AN37&lt;=30,"15-30 days",IF(AN37&lt;=60,"31-60 days",IF(AN37&lt;=70,"61-70 days","71+ days")))))))))</x:f>
        <x:v>Missing Required Date</x:v>
      </x:c>
      <x:c r="AP37" s="25" t="str">
        <x:f>IF(OR(E37="processing",E37="executing",E37="pending"),IF(AM37="","Required aging date missing",IF(AN37&gt;30,"Escalate &gt;30d",IF(AN37&gt;14,"Watch &gt;14d","Within 14d"))),"Out of scope")</x:f>
        <x:v>Out of scope</x:v>
      </x:c>
    </x:row>
    <x:row r="38" ht="24" customHeight="1">
      <x:c r="A38" t="str">
        <x:v>b1914e57-46b1-491e-a258-da6874c15746</x:v>
      </x:c>
      <x:c r="B38" t="str">
        <x:v>CSSP10625196</x:v>
      </x:c>
      <x:c r="C38" t="str">
        <x:v>hasrol.yusop@petronas.com</x:v>
      </x:c>
      <x:c r="D38" t="str">
        <x:v>provision-cloud-public</x:v>
      </x:c>
      <x:c r="E38" t="str">
        <x:v>completed</x:v>
      </x:c>
      <x:c r="F38" t="n">
        <x:v>46030.34964483797</x:v>
      </x:c>
      <x:c r="G38" t="n">
        <x:v>46030.40104917824</x:v>
      </x:c>
      <x:c r="H38" t="n">
        <x:v>46059.11093726852</x:v>
      </x:c>
      <x:c r="I38" t="str">
        <x:v>M-000065</x:v>
      </x:c>
      <x:c r="J38" t="str">
        <x:v>Qumulo</x:v>
      </x:c>
      <x:c r="K38" t="str">
        <x:v>00620_MP</x:v>
      </x:c>
      <x:c r="L38" t="str">
        <x:v>Provisioning of Infrastructure for Prosource and Qumulo Storage Management System for UTDI</x:v>
      </x:c>
      <x:c r="M38" t="str">
        <x:v>hoongkum.chan@petronas.com</x:v>
      </x:c>
      <x:c r="N38" t="str">
        <x:v>Cloud Migration</x:v>
      </x:c>
      <x:c r="O38" t="str">
        <x:v>New</x:v>
      </x:c>
      <x:c r="P38" t="str">
        <x:v>Production</x:v>
      </x:c>
      <x:c r="Q38" t="str">
        <x:v>Service category: Compute
Service type: 
i. Virtual Machines &amp; 
ii. Storage
Custom name: 
i. Qumulo VM - 8 units &amp; 
ii. Managed Disks 256GB for Qumulo VM - 8 units
**for the Estimated cloud calculation as per attached (highlighted in green).
Please refer to attachment for the TerraForm and Prerequisites
</x:v>
      </x:c>
      <x:c r="R38" t="str">
        <x:v>L</x:v>
      </x:c>
      <x:c r="S38"/>
      <x:c r="T38"/>
      <x:c r="U38" t="str">
        <x:v>Reviewed with no further comments.</x:v>
      </x:c>
      <x:c r="V38" t="n">
        <x:v>46030.402824247685</x:v>
      </x:c>
      <x:c r="W38" t="str">
        <x:v>hoongkum.chan@petronas.com</x:v>
      </x:c>
      <x:c r="X38" t="str">
        <x:v>approved</x:v>
      </x:c>
      <x:c r="Y38" t="str">
        <x:v>Approved</x:v>
      </x:c>
      <x:c r="Z38" t="n">
        <x:v>46035.11782481481</x:v>
      </x:c>
      <x:c r="AA38" t="str">
        <x:v>kianleng.geh@petronas.com</x:v>
      </x:c>
      <x:c r="AB38" t="str">
        <x:v>approved</x:v>
      </x:c>
      <x:c r="AC38" t="str">
        <x:v>additional Qumulo service requirement needed</x:v>
      </x:c>
      <x:c r="AD38" t="n">
        <x:v>46036.35139384259</x:v>
      </x:c>
      <x:c r="AE38" t="str">
        <x:v>syazali.saad@petronas.com</x:v>
      </x:c>
      <x:c r="AF38" t="str">
        <x:v>approved</x:v>
      </x:c>
      <x:c r="AG38" t="str">
        <x:v>Completed</x:v>
      </x:c>
      <x:c r="AH38" t="n">
        <x:v>46059.11093726852</x:v>
      </x:c>
      <x:c r="AI38" t="str">
        <x:v>badri.shaharudin@petronas.com</x:v>
      </x:c>
      <x:c r="AJ38" t="str">
        <x:v>approved</x:v>
      </x:c>
      <x:c r="AK38" t="str">
        <x:v>REQ000007815535</x:v>
      </x:c>
      <x:c r="AL38" t="str">
        <x:v>04019988-55f0-400f-9bac-e9b452cd7184</x:v>
      </x:c>
      <x:c r="AM38" s="23" t="str">
        <x:f>IF(E38="processing",IF(Z38="","",IF(ISNUMBER(Z38),INT(Z38),DATE(VALUE(LEFT(Z38,4)),VALUE(MID(Z38,6,2)),VALUE(MID(Z38,9,2))))),IF(OR(E38="executing",E38="pending"),IF(AD38="","",IF(ISNUMBER(AD38),INT(AD38),DATE(VALUE(LEFT(AD38,4)),VALUE(MID(AD38,6,2)),VALUE(MID(AD38,9,2))))),""))</x:f>
      </x:c>
      <x:c r="AN38" s="24" t="str">
        <x:f>IF(AM38="","",INT('Configuration'!$B$4)-AM38)</x:f>
      </x:c>
      <x:c r="AO38" s="25" t="str">
        <x:f>IF(AM38="","Missing Required Date",IF(AN38&lt;0,"Future Date",IF(AN38=0,"0 days",IF(AN38&lt;=2,"1-2 days",IF(AN38&lt;=7,"3-7 days",IF(AN38&lt;=14,"8-14 days",IF(AN38&lt;=30,"15-30 days",IF(AN38&lt;=60,"31-60 days",IF(AN38&lt;=70,"61-70 days","71+ days")))))))))</x:f>
        <x:v>Missing Required Date</x:v>
      </x:c>
      <x:c r="AP38" s="25" t="str">
        <x:f>IF(OR(E38="processing",E38="executing",E38="pending"),IF(AM38="","Required aging date missing",IF(AN38&gt;30,"Escalate &gt;30d",IF(AN38&gt;14,"Watch &gt;14d","Within 14d"))),"Out of scope")</x:f>
        <x:v>Out of scope</x:v>
      </x:c>
    </x:row>
    <x:row r="39" ht="24" customHeight="1">
      <x:c r="A39" t="str">
        <x:v>834110d1-0df1-4a62-9971-bac13fe28bb7</x:v>
      </x:c>
      <x:c r="B39" t="str">
        <x:v>CSSP10904562</x:v>
      </x:c>
      <x:c r="C39" t="str">
        <x:v>manas.dutta@petronas.com</x:v>
      </x:c>
      <x:c r="D39" t="str">
        <x:v>provision-cloud-public</x:v>
      </x:c>
      <x:c r="E39" t="str">
        <x:v>completed</x:v>
      </x:c>
      <x:c r="F39" t="n">
        <x:v>46030.382989618054</x:v>
      </x:c>
      <x:c r="G39" t="n">
        <x:v>46030.39292646991</x:v>
      </x:c>
      <x:c r="H39" t="n">
        <x:v>46064.14321138889</x:v>
      </x:c>
      <x:c r="I39" t="str">
        <x:v>A-001315</x:v>
      </x:c>
      <x:c r="J39" t="str">
        <x:v>PDB Data &amp; Intelligence Platform</x:v>
      </x:c>
      <x:c r="K39" t="str">
        <x:v>SR25023</x:v>
      </x:c>
      <x:c r="L39" t="str">
        <x:v>PDB Data &amp; Intelligence Platform</x:v>
      </x:c>
      <x:c r="M39" t="str">
        <x:v>manas.dutta@petronas.com.my</x:v>
      </x:c>
      <x:c r="N39" t="str">
        <x:v>PDB Data and Intelligence Platform</x:v>
      </x:c>
      <x:c r="O39" t="str">
        <x:v>New</x:v>
      </x:c>
      <x:c r="P39" t="str">
        <x:v>Development</x:v>
      </x:c>
      <x:c r="Q39" t="str">
        <x:v>All the necessary documents are attached herewith
This setup need Deployment of Databricks is Azure Vnet and also the databricks URL needs to be private and accessable only using PETRONAS network. So if needed any help, do reachout to me, can ask Microsoft and Databricks SME to join a call for this complex setup.</x:v>
      </x:c>
      <x:c r="R39" t="str">
        <x:v>L</x:v>
      </x:c>
      <x:c r="S39"/>
      <x:c r="T39"/>
      <x:c r="U39" t="str">
        <x:v>Approve from my end</x:v>
      </x:c>
      <x:c r="V39" t="n">
        <x:v>46030.395041145835</x:v>
      </x:c>
      <x:c r="W39" t="str">
        <x:v>manas.dutta@petronas.com</x:v>
      </x:c>
      <x:c r="X39" t="str">
        <x:v>approved</x:v>
      </x:c>
      <x:c r="Y39" t="str">
        <x:v>Approved</x:v>
      </x:c>
      <x:c r="Z39" t="n">
        <x:v>46035.11555565972</x:v>
      </x:c>
      <x:c r="AA39" t="str">
        <x:v>kianleng.geh@petronas.com</x:v>
      </x:c>
      <x:c r="AB39" t="str">
        <x:v>approved</x:v>
      </x:c>
      <x:c r="AC39" t="str">
        <x:v>new environment</x:v>
      </x:c>
      <x:c r="AD39" t="n">
        <x:v>46037.358829675926</x:v>
      </x:c>
      <x:c r="AE39" t="str">
        <x:v>syazali.saad@petronas.com</x:v>
      </x:c>
      <x:c r="AF39" t="str">
        <x:v>approved</x:v>
      </x:c>
      <x:c r="AG39" t="str">
        <x:v>resources provisioned by amin mansor</x:v>
      </x:c>
      <x:c r="AH39" t="n">
        <x:v>46064.143211400464</x:v>
      </x:c>
      <x:c r="AI39" t="str">
        <x:v>mhafizi.madnan@petronas.com</x:v>
      </x:c>
      <x:c r="AJ39" t="str">
        <x:v>approved</x:v>
      </x:c>
      <x:c r="AK39" t="str">
        <x:v>REQ000007819500</x:v>
      </x:c>
      <x:c r="AL39" t="str">
        <x:v>b4e60f9a-b7c8-4e1d-8847-6f2e75534143</x:v>
      </x:c>
      <x:c r="AM39" s="23" t="str">
        <x:f>IF(E39="processing",IF(Z39="","",IF(ISNUMBER(Z39),INT(Z39),DATE(VALUE(LEFT(Z39,4)),VALUE(MID(Z39,6,2)),VALUE(MID(Z39,9,2))))),IF(OR(E39="executing",E39="pending"),IF(AD39="","",IF(ISNUMBER(AD39),INT(AD39),DATE(VALUE(LEFT(AD39,4)),VALUE(MID(AD39,6,2)),VALUE(MID(AD39,9,2))))),""))</x:f>
      </x:c>
      <x:c r="AN39" s="24" t="str">
        <x:f>IF(AM39="","",INT('Configuration'!$B$4)-AM39)</x:f>
      </x:c>
      <x:c r="AO39" s="25" t="str">
        <x:f>IF(AM39="","Missing Required Date",IF(AN39&lt;0,"Future Date",IF(AN39=0,"0 days",IF(AN39&lt;=2,"1-2 days",IF(AN39&lt;=7,"3-7 days",IF(AN39&lt;=14,"8-14 days",IF(AN39&lt;=30,"15-30 days",IF(AN39&lt;=60,"31-60 days",IF(AN39&lt;=70,"61-70 days","71+ days")))))))))</x:f>
        <x:v>Missing Required Date</x:v>
      </x:c>
      <x:c r="AP39" s="25" t="str">
        <x:f>IF(OR(E39="processing",E39="executing",E39="pending"),IF(AM39="","Required aging date missing",IF(AN39&gt;30,"Escalate &gt;30d",IF(AN39&gt;14,"Watch &gt;14d","Within 14d"))),"Out of scope")</x:f>
        <x:v>Out of scope</x:v>
      </x:c>
    </x:row>
    <x:row r="40" ht="24" customHeight="1">
      <x:c r="A40" t="str">
        <x:v>79fd6c2d-8db4-459e-b3e7-ffd955e88417</x:v>
      </x:c>
      <x:c r="B40" t="str">
        <x:v>CSSP10391326</x:v>
      </x:c>
      <x:c r="C40" t="str">
        <x:v>norhayati.saad@petronas.com</x:v>
      </x:c>
      <x:c r="D40" t="str">
        <x:v>provision-cloud-public</x:v>
      </x:c>
      <x:c r="E40" t="str">
        <x:v>completed</x:v>
      </x:c>
      <x:c r="F40" t="n">
        <x:v>46030.40226717592</x:v>
      </x:c>
      <x:c r="G40" t="n">
        <x:v>46030.40226717592</x:v>
      </x:c>
      <x:c r="H40" t="n">
        <x:v>46058.26339652778</x:v>
      </x:c>
      <x:c r="I40" t="str">
        <x:v>A-001316</x:v>
      </x:c>
      <x:c r="J40" t="str">
        <x:v>Azure Cloud Hosting for KLCC Group Intranet and Internet</x:v>
      </x:c>
      <x:c r="K40" t="str">
        <x:v>SR25038</x:v>
      </x:c>
      <x:c r="L40" t="str">
        <x:v>Provision of Azure Cloud Hosting for KLCC Group Intranet and Internet</x:v>
      </x:c>
      <x:c r="M40" t="str">
        <x:v>mhaslan.abuhassan@petronas.com</x:v>
      </x:c>
      <x:c r="N40" t="str">
        <x:v>KLCCNET</x:v>
      </x:c>
      <x:c r="O40" t="str">
        <x:v>New</x:v>
      </x:c>
      <x:c r="P40" t="str">
        <x:v>Production</x:v>
      </x:c>
      <x:c r="Q40" t="str">
        <x:v>To provision new Azure Cloud Hosting for KLCC Group Intranet and Internet</x:v>
      </x:c>
      <x:c r="R40" t="str">
        <x:v>M</x:v>
      </x:c>
      <x:c r="S40"/>
      <x:c r="T40"/>
      <x:c r="U40" t="str">
        <x:v>approve for deployment</x:v>
      </x:c>
      <x:c r="V40" t="n">
        <x:v>46031.06285894676</x:v>
      </x:c>
      <x:c r="W40" t="str">
        <x:v>mhaslan.abuhassan@petronas.com</x:v>
      </x:c>
      <x:c r="X40" t="str">
        <x:v>approved</x:v>
      </x:c>
      <x:c r="Y40" t="str">
        <x:v>Good to go</x:v>
      </x:c>
      <x:c r="Z40" t="n">
        <x:v>46031.08123050926</x:v>
      </x:c>
      <x:c r="AA40" t="str">
        <x:v>samsuddin.jumbri@petronas.com</x:v>
      </x:c>
      <x:c r="AB40" t="str">
        <x:v>approved</x:v>
      </x:c>
      <x:c r="AC40" t="str">
        <x:v>CSSP10391326 CSSP10608230</x:v>
      </x:c>
      <x:c r="AD40" t="n">
        <x:v>46031.08342653935</x:v>
      </x:c>
      <x:c r="AE40" t="str">
        <x:v>syazali.saad@petronas.com</x:v>
      </x:c>
      <x:c r="AF40" t="str">
        <x:v>approved</x:v>
      </x:c>
      <x:c r="AG40" t="str">
        <x:v>resource deployed</x:v>
      </x:c>
      <x:c r="AH40" t="n">
        <x:v>46058.26339655092</x:v>
      </x:c>
      <x:c r="AI40" t="str">
        <x:v>mhaslan.abuhassan@petronas.com</x:v>
      </x:c>
      <x:c r="AJ40" t="str">
        <x:v>approved</x:v>
      </x:c>
      <x:c r="AK40" t="str">
        <x:v>REQ000007802176</x:v>
      </x:c>
      <x:c r="AL40" t="str">
        <x:v>19aef280-d1db-4a1f-8c78-d3476b78c5ff</x:v>
      </x:c>
      <x:c r="AM40" s="23" t="str">
        <x:f>IF(E40="processing",IF(Z40="","",IF(ISNUMBER(Z40),INT(Z40),DATE(VALUE(LEFT(Z40,4)),VALUE(MID(Z40,6,2)),VALUE(MID(Z40,9,2))))),IF(OR(E40="executing",E40="pending"),IF(AD40="","",IF(ISNUMBER(AD40),INT(AD40),DATE(VALUE(LEFT(AD40,4)),VALUE(MID(AD40,6,2)),VALUE(MID(AD40,9,2))))),""))</x:f>
      </x:c>
      <x:c r="AN40" s="24" t="str">
        <x:f>IF(AM40="","",INT('Configuration'!$B$4)-AM40)</x:f>
      </x:c>
      <x:c r="AO40" s="25" t="str">
        <x:f>IF(AM40="","Missing Required Date",IF(AN40&lt;0,"Future Date",IF(AN40=0,"0 days",IF(AN40&lt;=2,"1-2 days",IF(AN40&lt;=7,"3-7 days",IF(AN40&lt;=14,"8-14 days",IF(AN40&lt;=30,"15-30 days",IF(AN40&lt;=60,"31-60 days",IF(AN40&lt;=70,"61-70 days","71+ days")))))))))</x:f>
        <x:v>Missing Required Date</x:v>
      </x:c>
      <x:c r="AP40" s="25" t="str">
        <x:f>IF(OR(E40="processing",E40="executing",E40="pending"),IF(AM40="","Required aging date missing",IF(AN40&gt;30,"Escalate &gt;30d",IF(AN40&gt;14,"Watch &gt;14d","Within 14d"))),"Out of scope")</x:f>
        <x:v>Out of scope</x:v>
      </x:c>
    </x:row>
    <x:row r="41" ht="24" customHeight="1">
      <x:c r="A41" t="str">
        <x:v>a31d7427-0502-4fd9-a922-9ffaf38bbb68</x:v>
      </x:c>
      <x:c r="B41" t="str">
        <x:v>CSSP10608230</x:v>
      </x:c>
      <x:c r="C41" t="str">
        <x:v>norhayati.saad@petronas.com</x:v>
      </x:c>
      <x:c r="D41" t="str">
        <x:v>provision-cloud-public</x:v>
      </x:c>
      <x:c r="E41" t="str">
        <x:v>completed</x:v>
      </x:c>
      <x:c r="F41" t="n">
        <x:v>46030.40318162037</x:v>
      </x:c>
      <x:c r="G41" t="n">
        <x:v>46030.40318162037</x:v>
      </x:c>
      <x:c r="H41" t="n">
        <x:v>46058.26401905093</x:v>
      </x:c>
      <x:c r="I41" t="str">
        <x:v>A-001316</x:v>
      </x:c>
      <x:c r="J41" t="str">
        <x:v>Azure Cloud Hosting for KLCC Group Intranet and Internet</x:v>
      </x:c>
      <x:c r="K41" t="str">
        <x:v>SR25038</x:v>
      </x:c>
      <x:c r="L41" t="str">
        <x:v>Provision of Azure Cloud Hosting for KLCC Group Intranet and Internet</x:v>
      </x:c>
      <x:c r="M41" t="str">
        <x:v>mhaslan.abuhassan@petronas.com</x:v>
      </x:c>
      <x:c r="N41" t="str">
        <x:v>KLCCNET</x:v>
      </x:c>
      <x:c r="O41" t="str">
        <x:v>New</x:v>
      </x:c>
      <x:c r="P41" t="str">
        <x:v>StagingUat</x:v>
      </x:c>
      <x:c r="Q41" t="str">
        <x:v>To provision new Azure Cloud Hosting for KLCC Group Intranet and Internet</x:v>
      </x:c>
      <x:c r="R41" t="str">
        <x:v>M</x:v>
      </x:c>
      <x:c r="S41"/>
      <x:c r="T41"/>
      <x:c r="U41" t="str">
        <x:v>approve for deployment</x:v>
      </x:c>
      <x:c r="V41" t="n">
        <x:v>46031.063656631944</x:v>
      </x:c>
      <x:c r="W41" t="str">
        <x:v>mhaslan.abuhassan@petronas.com</x:v>
      </x:c>
      <x:c r="X41" t="str">
        <x:v>approved</x:v>
      </x:c>
      <x:c r="Y41" t="str">
        <x:v>Good to go</x:v>
      </x:c>
      <x:c r="Z41" t="n">
        <x:v>46031.08330290509</x:v>
      </x:c>
      <x:c r="AA41" t="str">
        <x:v>samsuddin.jumbri@petronas.com</x:v>
      </x:c>
      <x:c r="AB41" t="str">
        <x:v>approved</x:v>
      </x:c>
      <x:c r="AC41" t="str">
        <x:v>CSSP10391326 CSSP10608230 </x:v>
      </x:c>
      <x:c r="AD41" t="n">
        <x:v>46031.083865416666</x:v>
      </x:c>
      <x:c r="AE41" t="str">
        <x:v>syazali.saad@petronas.com</x:v>
      </x:c>
      <x:c r="AF41" t="str">
        <x:v>approved</x:v>
      </x:c>
      <x:c r="AG41" t="str">
        <x:v>resource deployed</x:v>
      </x:c>
      <x:c r="AH41" t="n">
        <x:v>46058.2640190625</x:v>
      </x:c>
      <x:c r="AI41" t="str">
        <x:v>mhaslan.abuhassan@petronas.com</x:v>
      </x:c>
      <x:c r="AJ41" t="str">
        <x:v>approved</x:v>
      </x:c>
      <x:c r="AK41" t="str">
        <x:v>REQ000007802177</x:v>
      </x:c>
      <x:c r="AL41" t="str">
        <x:v>19aef280-d1db-4a1f-8c78-d3476b78c5ff</x:v>
      </x:c>
      <x:c r="AM41" s="23" t="str">
        <x:f>IF(E41="processing",IF(Z41="","",IF(ISNUMBER(Z41),INT(Z41),DATE(VALUE(LEFT(Z41,4)),VALUE(MID(Z41,6,2)),VALUE(MID(Z41,9,2))))),IF(OR(E41="executing",E41="pending"),IF(AD41="","",IF(ISNUMBER(AD41),INT(AD41),DATE(VALUE(LEFT(AD41,4)),VALUE(MID(AD41,6,2)),VALUE(MID(AD41,9,2))))),""))</x:f>
      </x:c>
      <x:c r="AN41" s="24" t="str">
        <x:f>IF(AM41="","",INT('Configuration'!$B$4)-AM41)</x:f>
      </x:c>
      <x:c r="AO41" s="25" t="str">
        <x:f>IF(AM41="","Missing Required Date",IF(AN41&lt;0,"Future Date",IF(AN41=0,"0 days",IF(AN41&lt;=2,"1-2 days",IF(AN41&lt;=7,"3-7 days",IF(AN41&lt;=14,"8-14 days",IF(AN41&lt;=30,"15-30 days",IF(AN41&lt;=60,"31-60 days",IF(AN41&lt;=70,"61-70 days","71+ days")))))))))</x:f>
        <x:v>Missing Required Date</x:v>
      </x:c>
      <x:c r="AP41" s="25" t="str">
        <x:f>IF(OR(E41="processing",E41="executing",E41="pending"),IF(AM41="","Required aging date missing",IF(AN41&gt;30,"Escalate &gt;30d",IF(AN41&gt;14,"Watch &gt;14d","Within 14d"))),"Out of scope")</x:f>
        <x:v>Out of scope</x:v>
      </x:c>
    </x:row>
    <x:row r="42" ht="24" customHeight="1">
      <x:c r="A42" t="str">
        <x:v>320b30e1-9f8d-4bb0-a3c8-d8e877762d2c</x:v>
      </x:c>
      <x:c r="B42" t="str">
        <x:v>CSSP10579375</x:v>
      </x:c>
      <x:c r="C42" t="str">
        <x:v>norashikin.hasna@petronas.com</x:v>
      </x:c>
      <x:c r="D42" t="str">
        <x:v>provision-cloud-public</x:v>
      </x:c>
      <x:c r="E42" t="str">
        <x:v>rejected</x:v>
      </x:c>
      <x:c r="F42" t="n">
        <x:v>46031.37160666667</x:v>
      </x:c>
      <x:c r="G42" t="n">
        <x:v>46036.14025662037</x:v>
      </x:c>
      <x:c r="H42" t="n">
        <x:v>46044.070796597225</x:v>
      </x:c>
      <x:c r="I42" t="str">
        <x:v>A-000480</x:v>
      </x:c>
      <x:c r="J42" t="str">
        <x:v>Mygenie</x:v>
      </x:c>
      <x:c r="K42" t="str">
        <x:v>02421_83</x:v>
      </x:c>
      <x:c r="L42" t="str">
        <x:v>Cloud Migration Program - Mygenie+ Admin Portal</x:v>
      </x:c>
      <x:c r="M42" t="str">
        <x:v>saniza.ismail@petronas.com.my</x:v>
      </x:c>
      <x:c r="N42" t="str">
        <x:v>MyGenie Admin Portal</x:v>
      </x:c>
      <x:c r="O42" t="str">
        <x:v>Modify</x:v>
      </x:c>
      <x:c r="P42" t="str">
        <x:v>StagingUat</x:v>
      </x:c>
      <x:c r="Q42" t="str">
        <x:v>Qa Server for myGenie+ : PTSG-5MYGENAP01
Current = D2as v4 (2 vCPU 7 &amp; 8 GB RAM)
New = D2as v4 (4 vCPU 7 &amp; 16 GB RAM)
</x:v>
      </x:c>
      <x:c r="R42"/>
      <x:c r="S42"/>
      <x:c r="T42"/>
      <x:c r="U42" t="str">
        <x:v>Need additional capacity due to high utilization cause slowness to myGenie QA</x:v>
      </x:c>
      <x:c r="V42" t="n">
        <x:v>46036.26042878472</x:v>
      </x:c>
      <x:c r="W42" t="str">
        <x:v>saniza.ismail@petronas.com</x:v>
      </x:c>
      <x:c r="X42" t="str">
        <x:v>approved</x:v>
      </x:c>
      <x:c r="Y42" t="str">
        <x:v>Kindly provide the estimated cost in Excel format (including the required SKU specifications), downloaded from the Azure calculator website. For assistance with the cost calculator, please contact Samsuddin B. Jumbri (IS/DIGITAL) or Geh Kian Leng (IS/DIGITAL).</x:v>
      </x:c>
      <x:c r="Z42" t="n">
        <x:v>46044.070796597225</x:v>
      </x:c>
      <x:c r="AA42" t="str">
        <x:v>samsuddin.jumbri@petronas.com</x:v>
      </x:c>
      <x:c r="AB42" t="str">
        <x:v>rejected</x:v>
      </x:c>
      <x:c r="AC42"/>
      <x:c r="AD42"/>
      <x:c r="AE42" t="str">
        <x:v>CCoE Business</x:v>
      </x:c>
      <x:c r="AF42"/>
      <x:c r="AG42"/>
      <x:c r="AH42"/>
      <x:c r="AI42" t="str">
        <x:v>CCoE Core Services (Public)</x:v>
      </x:c>
      <x:c r="AJ42"/>
      <x:c r="AK42"/>
      <x:c r="AL42" t="str">
        <x:v>c6a63b47-bf9e-4308-9a85-4fcd7d745577</x:v>
      </x:c>
      <x:c r="AM42" s="23" t="str">
        <x:f>IF(E42="processing",IF(Z42="","",IF(ISNUMBER(Z42),INT(Z42),DATE(VALUE(LEFT(Z42,4)),VALUE(MID(Z42,6,2)),VALUE(MID(Z42,9,2))))),IF(OR(E42="executing",E42="pending"),IF(AD42="","",IF(ISNUMBER(AD42),INT(AD42),DATE(VALUE(LEFT(AD42,4)),VALUE(MID(AD42,6,2)),VALUE(MID(AD42,9,2))))),""))</x:f>
      </x:c>
      <x:c r="AN42" s="24" t="str">
        <x:f>IF(AM42="","",INT('Configuration'!$B$4)-AM42)</x:f>
      </x:c>
      <x:c r="AO42" s="25" t="str">
        <x:f>IF(AM42="","Missing Required Date",IF(AN42&lt;0,"Future Date",IF(AN42=0,"0 days",IF(AN42&lt;=2,"1-2 days",IF(AN42&lt;=7,"3-7 days",IF(AN42&lt;=14,"8-14 days",IF(AN42&lt;=30,"15-30 days",IF(AN42&lt;=60,"31-60 days",IF(AN42&lt;=70,"61-70 days","71+ days")))))))))</x:f>
        <x:v>Missing Required Date</x:v>
      </x:c>
      <x:c r="AP42" s="25" t="str">
        <x:f>IF(OR(E42="processing",E42="executing",E42="pending"),IF(AM42="","Required aging date missing",IF(AN42&gt;30,"Escalate &gt;30d",IF(AN42&gt;14,"Watch &gt;14d","Within 14d"))),"Out of scope")</x:f>
        <x:v>Out of scope</x:v>
      </x:c>
    </x:row>
    <x:row r="43" ht="24" customHeight="1">
      <x:c r="A43" t="str">
        <x:v>e14539b2-3e1d-4f64-9589-89e2aee4ab7d</x:v>
      </x:c>
      <x:c r="B43" t="str">
        <x:v>CSSP10518956</x:v>
      </x:c>
      <x:c r="C43" t="str">
        <x:v>ismail.azman@petronas.com</x:v>
      </x:c>
      <x:c r="D43" t="str">
        <x:v>provision-cloud-public</x:v>
      </x:c>
      <x:c r="E43" t="str">
        <x:v>completed</x:v>
      </x:c>
      <x:c r="F43" t="n">
        <x:v>46034.075134583334</x:v>
      </x:c>
      <x:c r="G43" t="n">
        <x:v>46034.075134583334</x:v>
      </x:c>
      <x:c r="H43" t="n">
        <x:v>46036.18383059028</x:v>
      </x:c>
      <x:c r="I43" t="str">
        <x:v>C-000040</x:v>
      </x:c>
      <x:c r="J43" t="str">
        <x:v>Cloud Self Service Portal - CSSP</x:v>
      </x:c>
      <x:c r="K43" t="str">
        <x:v>01824_1</x:v>
      </x:c>
      <x:c r="L43" t="str">
        <x:v>CloudSSP</x:v>
      </x:c>
      <x:c r="M43" t="str">
        <x:v>mhaslan.abuhassan@petronas.com</x:v>
      </x:c>
      <x:c r="N43" t="str">
        <x:v>CloudSSP</x:v>
      </x:c>
      <x:c r="O43" t="str">
        <x:v>New</x:v>
      </x:c>
      <x:c r="P43" t="str">
        <x:v>Production</x:v>
      </x:c>
      <x:c r="Q43" t="str">
        <x:v>to provision one ASP in prod ASE for Logic App usage to comply with DPIA</x:v>
      </x:c>
      <x:c r="R43" t="str">
        <x:v>S</x:v>
      </x:c>
      <x:c r="S43"/>
      <x:c r="T43"/>
      <x:c r="U43" t="str">
        <x:v>proceed for deployment</x:v>
      </x:c>
      <x:c r="V43" t="n">
        <x:v>46034.07634320602</x:v>
      </x:c>
      <x:c r="W43" t="str">
        <x:v>mhaslan.abuhassan@petronas.com</x:v>
      </x:c>
      <x:c r="X43" t="str">
        <x:v>approved</x:v>
      </x:c>
      <x:c r="Y43" t="str">
        <x:v>approved</x:v>
      </x:c>
      <x:c r="Z43" t="n">
        <x:v>46034.09378537037</x:v>
      </x:c>
      <x:c r="AA43" t="str">
        <x:v>kianleng.geh@petronas.com</x:v>
      </x:c>
      <x:c r="AB43" t="str">
        <x:v>approved</x:v>
      </x:c>
      <x:c r="AC43" t="str">
        <x:v>assigned to Afnan for provisioning</x:v>
      </x:c>
      <x:c r="AD43" t="n">
        <x:v>46034.097761157405</x:v>
      </x:c>
      <x:c r="AE43" t="str">
        <x:v>ismail.azman@petronas.com</x:v>
      </x:c>
      <x:c r="AF43" t="str">
        <x:v>approved</x:v>
      </x:c>
      <x:c r="AG43" t="str">
        <x:v>Completed</x:v>
      </x:c>
      <x:c r="AH43" t="n">
        <x:v>46036.183830601854</x:v>
      </x:c>
      <x:c r="AI43" t="str">
        <x:v>afnanfarhan.dzaharud@petronas.com</x:v>
      </x:c>
      <x:c r="AJ43" t="str">
        <x:v>approved</x:v>
      </x:c>
      <x:c r="AK43" t="str">
        <x:v>REQ000007805507</x:v>
      </x:c>
      <x:c r="AL43" t="str">
        <x:v>721a9131-21b0-4e6a-873f-fbc67d1f7a35</x:v>
      </x:c>
      <x:c r="AM43" s="23" t="str">
        <x:f>IF(E43="processing",IF(Z43="","",IF(ISNUMBER(Z43),INT(Z43),DATE(VALUE(LEFT(Z43,4)),VALUE(MID(Z43,6,2)),VALUE(MID(Z43,9,2))))),IF(OR(E43="executing",E43="pending"),IF(AD43="","",IF(ISNUMBER(AD43),INT(AD43),DATE(VALUE(LEFT(AD43,4)),VALUE(MID(AD43,6,2)),VALUE(MID(AD43,9,2))))),""))</x:f>
      </x:c>
      <x:c r="AN43" s="24" t="str">
        <x:f>IF(AM43="","",INT('Configuration'!$B$4)-AM43)</x:f>
      </x:c>
      <x:c r="AO43" s="25" t="str">
        <x:f>IF(AM43="","Missing Required Date",IF(AN43&lt;0,"Future Date",IF(AN43=0,"0 days",IF(AN43&lt;=2,"1-2 days",IF(AN43&lt;=7,"3-7 days",IF(AN43&lt;=14,"8-14 days",IF(AN43&lt;=30,"15-30 days",IF(AN43&lt;=60,"31-60 days",IF(AN43&lt;=70,"61-70 days","71+ days")))))))))</x:f>
        <x:v>Missing Required Date</x:v>
      </x:c>
      <x:c r="AP43" s="25" t="str">
        <x:f>IF(OR(E43="processing",E43="executing",E43="pending"),IF(AM43="","Required aging date missing",IF(AN43&gt;30,"Escalate &gt;30d",IF(AN43&gt;14,"Watch &gt;14d","Within 14d"))),"Out of scope")</x:f>
        <x:v>Out of scope</x:v>
      </x:c>
    </x:row>
    <x:row r="44" ht="24" customHeight="1">
      <x:c r="A44" t="str">
        <x:v>7b00047c-b5a7-4e18-ac59-96a67cd2d2cb</x:v>
      </x:c>
      <x:c r="B44" t="str">
        <x:v>CSSP10788217</x:v>
      </x:c>
      <x:c r="C44" t="str">
        <x:v>anisaufa.mohamadafif@petronas.com</x:v>
      </x:c>
      <x:c r="D44" t="str">
        <x:v>provision-cloud-public</x:v>
      </x:c>
      <x:c r="E44" t="str">
        <x:v>completed</x:v>
      </x:c>
      <x:c r="F44" t="n">
        <x:v>46034.18004216435</x:v>
      </x:c>
      <x:c r="G44" t="n">
        <x:v>46034.18004216435</x:v>
      </x:c>
      <x:c r="H44" t="n">
        <x:v>46064.17130173611</x:v>
      </x:c>
      <x:c r="I44" t="str">
        <x:v>A-000262</x:v>
      </x:c>
      <x:c r="J44" t="str">
        <x:v>Enterprise Data Hub - EDH</x:v>
      </x:c>
      <x:c r="K44" t="n">
        <x:v>1116</x:v>
      </x:c>
      <x:c r="L44" t="str">
        <x:v>PETRONAS Enterprise Data Hub</x:v>
      </x:c>
      <x:c r="M44" t="str">
        <x:v>adi.razali@petronas.com.my</x:v>
      </x:c>
      <x:c r="N44" t="str">
        <x:v>EDH Core Team</x:v>
      </x:c>
      <x:c r="O44" t="str">
        <x:v>New</x:v>
      </x:c>
      <x:c r="P44" t="str">
        <x:v>Production</x:v>
      </x:c>
      <x:c r="Q44" t="str">
        <x:v>Requesting a new VM to scale out SHIR for Azure Data Factory as recommended by Microsoft Support. Please refer to attached ExportedEstimate for important notes.</x:v>
      </x:c>
      <x:c r="R44" t="str">
        <x:v>S</x:v>
      </x:c>
      <x:c r="S44"/>
      <x:c r="T44"/>
      <x:c r="U44" t="str">
        <x:v>As per described in email of suggestion from internal and microsoft. This is needed to ensure performance is not at stake</x:v>
      </x:c>
      <x:c r="V44" t="n">
        <x:v>46035.09682371528</x:v>
      </x:c>
      <x:c r="W44" t="str">
        <x:v>adi.razali@petronas.com</x:v>
      </x:c>
      <x:c r="X44" t="str">
        <x:v>approved</x:v>
      </x:c>
      <x:c r="Y44" t="str">
        <x:v>Good to go</x:v>
      </x:c>
      <x:c r="Z44" t="n">
        <x:v>46036.094710972226</x:v>
      </x:c>
      <x:c r="AA44" t="str">
        <x:v>samsuddin.jumbri@petronas.com</x:v>
      </x:c>
      <x:c r="AB44" t="str">
        <x:v>approved</x:v>
      </x:c>
      <x:c r="AC44" t="str">
        <x:v>PTAZSG-PROD-TALEND-EDH-RG</x:v>
      </x:c>
      <x:c r="AD44" t="n">
        <x:v>46036.12920459491</x:v>
      </x:c>
      <x:c r="AE44" t="str">
        <x:v>syazali.saad@petronas.com</x:v>
      </x:c>
      <x:c r="AF44" t="str">
        <x:v>approved</x:v>
      </x:c>
      <x:c r="AG44" t="str">
        <x:v>completed</x:v>
      </x:c>
      <x:c r="AH44" t="n">
        <x:v>46064.17130174769</x:v>
      </x:c>
      <x:c r="AI44" t="str">
        <x:v>wanahmadfaizal.wanm@petronas.com</x:v>
      </x:c>
      <x:c r="AJ44" t="str">
        <x:v>approved</x:v>
      </x:c>
      <x:c r="AK44" t="str">
        <x:v>REQ000007813011</x:v>
      </x:c>
      <x:c r="AL44" t="str">
        <x:v>2e605ebc-324b-45bb-8e38-703ce36609f3</x:v>
      </x:c>
      <x:c r="AM44" s="23" t="str">
        <x:f>IF(E44="processing",IF(Z44="","",IF(ISNUMBER(Z44),INT(Z44),DATE(VALUE(LEFT(Z44,4)),VALUE(MID(Z44,6,2)),VALUE(MID(Z44,9,2))))),IF(OR(E44="executing",E44="pending"),IF(AD44="","",IF(ISNUMBER(AD44),INT(AD44),DATE(VALUE(LEFT(AD44,4)),VALUE(MID(AD44,6,2)),VALUE(MID(AD44,9,2))))),""))</x:f>
      </x:c>
      <x:c r="AN44" s="24" t="str">
        <x:f>IF(AM44="","",INT('Configuration'!$B$4)-AM44)</x:f>
      </x:c>
      <x:c r="AO44" s="25" t="str">
        <x:f>IF(AM44="","Missing Required Date",IF(AN44&lt;0,"Future Date",IF(AN44=0,"0 days",IF(AN44&lt;=2,"1-2 days",IF(AN44&lt;=7,"3-7 days",IF(AN44&lt;=14,"8-14 days",IF(AN44&lt;=30,"15-30 days",IF(AN44&lt;=60,"31-60 days",IF(AN44&lt;=70,"61-70 days","71+ days")))))))))</x:f>
        <x:v>Missing Required Date</x:v>
      </x:c>
      <x:c r="AP44" s="25" t="str">
        <x:f>IF(OR(E44="processing",E44="executing",E44="pending"),IF(AM44="","Required aging date missing",IF(AN44&gt;30,"Escalate &gt;30d",IF(AN44&gt;14,"Watch &gt;14d","Within 14d"))),"Out of scope")</x:f>
        <x:v>Out of scope</x:v>
      </x:c>
    </x:row>
    <x:row r="45" ht="24" customHeight="1">
      <x:c r="A45" t="str">
        <x:v>ed53447e-494d-41f1-82c3-9187f60e7955</x:v>
      </x:c>
      <x:c r="B45" t="str">
        <x:v>CSSP10283005</x:v>
      </x:c>
      <x:c r="C45" t="str">
        <x:v>nuralia.anuar@petronas.com</x:v>
      </x:c>
      <x:c r="D45" t="str">
        <x:v>provision-cloud-public</x:v>
      </x:c>
      <x:c r="E45" t="str">
        <x:v>completed</x:v>
      </x:c>
      <x:c r="F45" t="n">
        <x:v>46035.317188009256</x:v>
      </x:c>
      <x:c r="G45" t="n">
        <x:v>46038.207924814815</x:v>
      </x:c>
      <x:c r="H45" t="n">
        <x:v>46064.286271944446</x:v>
      </x:c>
      <x:c r="I45" t="str">
        <x:v>A-000239</x:v>
      </x:c>
      <x:c r="J45" t="str">
        <x:v>Data Science Advanced Analytics</x:v>
      </x:c>
      <x:c r="K45" t="n">
        <x:v>2902</x:v>
      </x:c>
      <x:c r="L45" t="str">
        <x:v>Provisioning Dedicated Advanced Analytics subscription (Terraform-enabled Azure Cloud Infrastructure) for Data Science Department</x:v>
      </x:c>
      <x:c r="M45" t="str">
        <x:v>ng.kokkwan@petronas.com.my</x:v>
      </x:c>
      <x:c r="N45" t="str">
        <x:v>azure-terraform-iac-daa-caf-configuration</x:v>
      </x:c>
      <x:c r="O45" t="str">
        <x:v>New</x:v>
      </x:c>
      <x:c r="P45" t="str">
        <x:v>Production</x:v>
      </x:c>
      <x:c r="Q45" t="str">
        <x:v>RG: PTAZSG-IAC-DAA-PROD-GUROBI-RG
Resource: PTSG-1GUROBIap01
Need to migrate the VM in from using Ubuntu 18.04 to using CoC approved VM running on RHEL OS</x:v>
      </x:c>
      <x:c r="R45" t="str">
        <x:v>M</x:v>
      </x:c>
      <x:c r="S45"/>
      <x:c r="T45"/>
      <x:c r="U45" t="str">
        <x:v>To upgrade mongo db server</x:v>
      </x:c>
      <x:c r="V45" t="n">
        <x:v>46043.17292675926</x:v>
      </x:c>
      <x:c r="W45" t="str">
        <x:v>ng.kokkwan@petronas.com</x:v>
      </x:c>
      <x:c r="X45" t="str">
        <x:v>approved</x:v>
      </x:c>
      <x:c r="Y45" t="str">
        <x:v>Good to go</x:v>
      </x:c>
      <x:c r="Z45" t="n">
        <x:v>46044.074134953706</x:v>
      </x:c>
      <x:c r="AA45" t="str">
        <x:v>samsuddin.jumbri@petronas.com</x:v>
      </x:c>
      <x:c r="AB45" t="str">
        <x:v>approved</x:v>
      </x:c>
      <x:c r="AC45" t="str">
        <x:v>.</x:v>
      </x:c>
      <x:c r="AD45" t="n">
        <x:v>46057.865252916665</x:v>
      </x:c>
      <x:c r="AE45" t="str">
        <x:v>syazali.saad@petronas.com</x:v>
      </x:c>
      <x:c r="AF45" t="str">
        <x:v>approved</x:v>
      </x:c>
      <x:c r="AG45" t="str">
        <x:v>Resources provisioned</x:v>
      </x:c>
      <x:c r="AH45" t="n">
        <x:v>46064.28627195602</x:v>
      </x:c>
      <x:c r="AI45" t="str">
        <x:v>norhamizah.hasni@petronas.com</x:v>
      </x:c>
      <x:c r="AJ45" t="str">
        <x:v>approved</x:v>
      </x:c>
      <x:c r="AK45" t="str">
        <x:v>REQ000007858990</x:v>
      </x:c>
      <x:c r="AL45" t="str">
        <x:v>40f38073-a217-4238-a072-e59828a6d0da</x:v>
      </x:c>
      <x:c r="AM45" s="23" t="str">
        <x:f>IF(E45="processing",IF(Z45="","",IF(ISNUMBER(Z45),INT(Z45),DATE(VALUE(LEFT(Z45,4)),VALUE(MID(Z45,6,2)),VALUE(MID(Z45,9,2))))),IF(OR(E45="executing",E45="pending"),IF(AD45="","",IF(ISNUMBER(AD45),INT(AD45),DATE(VALUE(LEFT(AD45,4)),VALUE(MID(AD45,6,2)),VALUE(MID(AD45,9,2))))),""))</x:f>
      </x:c>
      <x:c r="AN45" s="24" t="str">
        <x:f>IF(AM45="","",INT('Configuration'!$B$4)-AM45)</x:f>
      </x:c>
      <x:c r="AO45" s="25" t="str">
        <x:f>IF(AM45="","Missing Required Date",IF(AN45&lt;0,"Future Date",IF(AN45=0,"0 days",IF(AN45&lt;=2,"1-2 days",IF(AN45&lt;=7,"3-7 days",IF(AN45&lt;=14,"8-14 days",IF(AN45&lt;=30,"15-30 days",IF(AN45&lt;=60,"31-60 days",IF(AN45&lt;=70,"61-70 days","71+ days")))))))))</x:f>
        <x:v>Missing Required Date</x:v>
      </x:c>
      <x:c r="AP45" s="25" t="str">
        <x:f>IF(OR(E45="processing",E45="executing",E45="pending"),IF(AM45="","Required aging date missing",IF(AN45&gt;30,"Escalate &gt;30d",IF(AN45&gt;14,"Watch &gt;14d","Within 14d"))),"Out of scope")</x:f>
        <x:v>Out of scope</x:v>
      </x:c>
    </x:row>
    <x:row r="46" ht="24" customHeight="1">
      <x:c r="A46" t="str">
        <x:v>41d403d3-91ef-4a92-9a31-8b7549f61426</x:v>
      </x:c>
      <x:c r="B46" t="str">
        <x:v>CSSP10387983</x:v>
      </x:c>
      <x:c r="C46" t="str">
        <x:v>nuralia.anuar@petronas.com</x:v>
      </x:c>
      <x:c r="D46" t="str">
        <x:v>provision-cloud-public</x:v>
      </x:c>
      <x:c r="E46" t="str">
        <x:v>completed</x:v>
      </x:c>
      <x:c r="F46" t="n">
        <x:v>46035.325043784724</x:v>
      </x:c>
      <x:c r="G46" t="n">
        <x:v>46038.227984537036</x:v>
      </x:c>
      <x:c r="H46" t="n">
        <x:v>46062.27088791667</x:v>
      </x:c>
      <x:c r="I46" t="str">
        <x:v>A-000239</x:v>
      </x:c>
      <x:c r="J46" t="str">
        <x:v>Data Science Advanced Analytics</x:v>
      </x:c>
      <x:c r="K46" t="n">
        <x:v>2902</x:v>
      </x:c>
      <x:c r="L46" t="str">
        <x:v>Provisioning Dedicated Advanced Analytics subscription (Terraform-enabled Azure Cloud Infrastructure) for Data Science Department</x:v>
      </x:c>
      <x:c r="M46" t="str">
        <x:v>ng.kokkwan@petronas.com.my</x:v>
      </x:c>
      <x:c r="N46" t="str">
        <x:v>azure-terraform-iac-daa-caf-configuration</x:v>
      </x:c>
      <x:c r="O46" t="str">
        <x:v>Modify</x:v>
      </x:c>
      <x:c r="P46" t="str">
        <x:v>Development</x:v>
      </x:c>
      <x:c r="Q46" t="str">
        <x:v>RG: PTAZSG-IAC-DAA-DEV-GUROBI-RG
Resource: ptazsg-5gurobiaks01
Upsize: Increase the node size from 16vCPU to 32vCPU. Standard_F16s_v2 to Standard_F32s_v2</x:v>
      </x:c>
      <x:c r="R46" t="str">
        <x:v>L</x:v>
      </x:c>
      <x:c r="S46"/>
      <x:c r="T46"/>
      <x:c r="U46" t="str">
        <x:v>Projects are ramping up testing</x:v>
      </x:c>
      <x:c r="V46" t="n">
        <x:v>46038.355093391205</x:v>
      </x:c>
      <x:c r="W46" t="str">
        <x:v>ng.kokkwan@petronas.com</x:v>
      </x:c>
      <x:c r="X46" t="str">
        <x:v>approved</x:v>
      </x:c>
      <x:c r="Y46" t="str">
        <x:v>Good to go</x:v>
      </x:c>
      <x:c r="Z46" t="n">
        <x:v>46044.07491362269</x:v>
      </x:c>
      <x:c r="AA46" t="str">
        <x:v>samsuddin.jumbri@petronas.com</x:v>
      </x:c>
      <x:c r="AB46" t="str">
        <x:v>approved</x:v>
      </x:c>
      <x:c r="AC46" t="str">
        <x:v>DAA</x:v>
      </x:c>
      <x:c r="AD46" t="n">
        <x:v>46051.25548115741</x:v>
      </x:c>
      <x:c r="AE46" t="str">
        <x:v>syazali.saad@petronas.com</x:v>
      </x:c>
      <x:c r="AF46" t="str">
        <x:v>approved</x:v>
      </x:c>
      <x:c r="AG46" t="str">
        <x:v>New node pool configured. </x:v>
      </x:c>
      <x:c r="AH46" t="n">
        <x:v>46062.27088792824</x:v>
      </x:c>
      <x:c r="AI46" t="str">
        <x:v>fathulrahman.misba@petronas.com</x:v>
      </x:c>
      <x:c r="AJ46" t="str">
        <x:v>approved</x:v>
      </x:c>
      <x:c r="AK46" t="str">
        <x:v>REQ000007849082</x:v>
      </x:c>
      <x:c r="AL46" t="str">
        <x:v>40f38073-a217-4238-a072-e59828a6d0da</x:v>
      </x:c>
      <x:c r="AM46" s="23" t="str">
        <x:f>IF(E46="processing",IF(Z46="","",IF(ISNUMBER(Z46),INT(Z46),DATE(VALUE(LEFT(Z46,4)),VALUE(MID(Z46,6,2)),VALUE(MID(Z46,9,2))))),IF(OR(E46="executing",E46="pending"),IF(AD46="","",IF(ISNUMBER(AD46),INT(AD46),DATE(VALUE(LEFT(AD46,4)),VALUE(MID(AD46,6,2)),VALUE(MID(AD46,9,2))))),""))</x:f>
      </x:c>
      <x:c r="AN46" s="24" t="str">
        <x:f>IF(AM46="","",INT('Configuration'!$B$4)-AM46)</x:f>
      </x:c>
      <x:c r="AO46" s="25" t="str">
        <x:f>IF(AM46="","Missing Required Date",IF(AN46&lt;0,"Future Date",IF(AN46=0,"0 days",IF(AN46&lt;=2,"1-2 days",IF(AN46&lt;=7,"3-7 days",IF(AN46&lt;=14,"8-14 days",IF(AN46&lt;=30,"15-30 days",IF(AN46&lt;=60,"31-60 days",IF(AN46&lt;=70,"61-70 days","71+ days")))))))))</x:f>
        <x:v>Missing Required Date</x:v>
      </x:c>
      <x:c r="AP46" s="25" t="str">
        <x:f>IF(OR(E46="processing",E46="executing",E46="pending"),IF(AM46="","Required aging date missing",IF(AN46&gt;30,"Escalate &gt;30d",IF(AN46&gt;14,"Watch &gt;14d","Within 14d"))),"Out of scope")</x:f>
        <x:v>Out of scope</x:v>
      </x:c>
    </x:row>
    <x:row r="47" ht="24" customHeight="1">
      <x:c r="A47" t="str">
        <x:v>16b5df83-687f-44fb-ad8a-78d3a1cbe2c3</x:v>
      </x:c>
      <x:c r="B47" t="str">
        <x:v>CSSP10331232</x:v>
      </x:c>
      <x:c r="C47" t="str">
        <x:v>norhajarsyazwani.moh@petronas.com</x:v>
      </x:c>
      <x:c r="D47" t="str">
        <x:v>provision-cloud-public</x:v>
      </x:c>
      <x:c r="E47" t="str">
        <x:v>completed</x:v>
      </x:c>
      <x:c r="F47" t="n">
        <x:v>46035.40910582176</x:v>
      </x:c>
      <x:c r="G47" t="n">
        <x:v>46050.33567625</x:v>
      </x:c>
      <x:c r="H47" t="n">
        <x:v>46064.28719232639</x:v>
      </x:c>
      <x:c r="I47" t="str">
        <x:v>A-000633</x:v>
      </x:c>
      <x:c r="J47" t="str">
        <x:v>Price Management Tool - PMT</x:v>
      </x:c>
      <x:c r="K47" t="n">
        <x:v>1687</x:v>
      </x:c>
      <x:c r="L47" t="str">
        <x:v>Provision of Support &amp; Maintenance for Price Management Tool (PMT) 2.0 for PCML</x:v>
      </x:c>
      <x:c r="M47" t="str">
        <x:v>noraziah.aziz@petronas.com.my</x:v>
      </x:c>
      <x:c r="N47" t="str">
        <x:v>PMT2.0 Application Support and Maintenance</x:v>
      </x:c>
      <x:c r="O47" t="str">
        <x:v>Modify</x:v>
      </x:c>
      <x:c r="P47" t="str">
        <x:v>Production</x:v>
      </x:c>
      <x:c r="Q47" t="str">
        <x:v>To upgrade Kubernetes version, ubuntu version and add one (1) additional node in ptsg-1pmtaks. AKS cluster to be upgraded to 1.33.0. Ubuntu version to be upgraded to 22.04. Please assign to Mohamad Izzat Hazwan Romainor (IS/DIGITAL). If Hazwan is not available kindly nominate other support PIC. Thank you.</x:v>
      </x:c>
      <x:c r="R47" t="str">
        <x:v>M</x:v>
      </x:c>
      <x:c r="S47" t="str">
        <x:v>ICT_RFC00218881</x:v>
      </x:c>
      <x:c r="T47"/>
      <x:c r="U47" t="str">
        <x:v>approved as advise by support</x:v>
      </x:c>
      <x:c r="V47" t="n">
        <x:v>46050.99673195602</x:v>
      </x:c>
      <x:c r="W47" t="str">
        <x:v>noraziah.aziz@petronas.com</x:v>
      </x:c>
      <x:c r="X47" t="str">
        <x:v>approved</x:v>
      </x:c>
      <x:c r="Y47" t="str">
        <x:v>Good to go</x:v>
      </x:c>
      <x:c r="Z47" t="n">
        <x:v>46051.138832986115</x:v>
      </x:c>
      <x:c r="AA47" t="str">
        <x:v>samsuddin.jumbri@petronas.com</x:v>
      </x:c>
      <x:c r="AB47" t="str">
        <x:v>approved</x:v>
      </x:c>
      <x:c r="AC47" t="str">
        <x:v>unix vm</x:v>
      </x:c>
      <x:c r="AD47" t="n">
        <x:v>46057.863137430555</x:v>
      </x:c>
      <x:c r="AE47" t="str">
        <x:v>syazali.saad@petronas.com</x:v>
      </x:c>
      <x:c r="AF47" t="str">
        <x:v>approved</x:v>
      </x:c>
      <x:c r="AG47" t="str">
        <x:v>RFC task assigned to Luis and it is completed.</x:v>
      </x:c>
      <x:c r="AH47" t="n">
        <x:v>46064.287192337964</x:v>
      </x:c>
      <x:c r="AI47" t="str">
        <x:v>norhamizah.hasni@petronas.com</x:v>
      </x:c>
      <x:c r="AJ47" t="str">
        <x:v>approved</x:v>
      </x:c>
      <x:c r="AK47" t="str">
        <x:v>REQ000007859219</x:v>
      </x:c>
      <x:c r="AL47" t="str">
        <x:v>2505cb08-b067-4c2b-8956-f83a94b5cf3a</x:v>
      </x:c>
      <x:c r="AM47" s="23" t="str">
        <x:f>IF(E47="processing",IF(Z47="","",IF(ISNUMBER(Z47),INT(Z47),DATE(VALUE(LEFT(Z47,4)),VALUE(MID(Z47,6,2)),VALUE(MID(Z47,9,2))))),IF(OR(E47="executing",E47="pending"),IF(AD47="","",IF(ISNUMBER(AD47),INT(AD47),DATE(VALUE(LEFT(AD47,4)),VALUE(MID(AD47,6,2)),VALUE(MID(AD47,9,2))))),""))</x:f>
      </x:c>
      <x:c r="AN47" s="24" t="str">
        <x:f>IF(AM47="","",INT('Configuration'!$B$4)-AM47)</x:f>
      </x:c>
      <x:c r="AO47" s="25" t="str">
        <x:f>IF(AM47="","Missing Required Date",IF(AN47&lt;0,"Future Date",IF(AN47=0,"0 days",IF(AN47&lt;=2,"1-2 days",IF(AN47&lt;=7,"3-7 days",IF(AN47&lt;=14,"8-14 days",IF(AN47&lt;=30,"15-30 days",IF(AN47&lt;=60,"31-60 days",IF(AN47&lt;=70,"61-70 days","71+ days")))))))))</x:f>
        <x:v>Missing Required Date</x:v>
      </x:c>
      <x:c r="AP47" s="25" t="str">
        <x:f>IF(OR(E47="processing",E47="executing",E47="pending"),IF(AM47="","Required aging date missing",IF(AN47&gt;30,"Escalate &gt;30d",IF(AN47&gt;14,"Watch &gt;14d","Within 14d"))),"Out of scope")</x:f>
        <x:v>Out of scope</x:v>
      </x:c>
    </x:row>
    <x:row r="48" ht="24" customHeight="1">
      <x:c r="A48" t="str">
        <x:v>d92a319e-9028-481a-9898-063051993069</x:v>
      </x:c>
      <x:c r="B48" t="str">
        <x:v>CSSP10646457</x:v>
      </x:c>
      <x:c r="C48" t="str">
        <x:v>noraini.abdjalil@petronas.com</x:v>
      </x:c>
      <x:c r="D48" t="str">
        <x:v>provision-cloud-public</x:v>
      </x:c>
      <x:c r="E48" t="str">
        <x:v>rejected</x:v>
      </x:c>
      <x:c r="F48" t="n">
        <x:v>46043.34170347222</x:v>
      </x:c>
      <x:c r="G48" t="n">
        <x:v>46043.34170347222</x:v>
      </x:c>
      <x:c r="H48" t="n">
        <x:v>46050.12726059028</x:v>
      </x:c>
      <x:c r="I48" t="str">
        <x:v>A-000804</x:v>
      </x:c>
      <x:c r="J48" t="str">
        <x:v>TEA  </x:v>
      </x:c>
      <x:c r="K48" t="str">
        <x:v>00971_2</x:v>
      </x:c>
      <x:c r="L48" t="str">
        <x:v>PDB landing zone TEA Application</x:v>
      </x:c>
      <x:c r="M48" t="str">
        <x:v>shawnbenedict.anthon@petronas.com.my</x:v>
      </x:c>
      <x:c r="N48" t="str">
        <x:v>PETRONAS_AWS_Cloud_LandingZone</x:v>
      </x:c>
      <x:c r="O48" t="str">
        <x:v>New</x:v>
      </x:c>
      <x:c r="P48" t="str">
        <x:v>StagingUat</x:v>
      </x:c>
      <x:c r="Q48" t="str">
        <x:v>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x:v>
      </x:c>
      <x:c r="R48"/>
      <x:c r="S48"/>
      <x:c r="T48"/>
      <x:c r="U48" t="str">
        <x:v>This is required for CS upgrade</x:v>
      </x:c>
      <x:c r="V48" t="n">
        <x:v>46043.34439252315</x:v>
      </x:c>
      <x:c r="W48" t="str">
        <x:v>shawnbenedict.anthon@petronas.com</x:v>
      </x:c>
      <x:c r="X48" t="str">
        <x:v>approved</x:v>
      </x:c>
      <x:c r="Y48" t="str">
        <x:v>Please provide all attachments, i.e. approved SOW, SP CS BIA, intended design(approved myHLD)</x:v>
      </x:c>
      <x:c r="Z48" t="n">
        <x:v>46050.12726059028</x:v>
      </x:c>
      <x:c r="AA48" t="str">
        <x:v>kianleng.geh@petronas.com</x:v>
      </x:c>
      <x:c r="AB48" t="str">
        <x:v>rejected</x:v>
      </x:c>
      <x:c r="AC48"/>
      <x:c r="AD48"/>
      <x:c r="AE48" t="str">
        <x:v>CCoE Business</x:v>
      </x:c>
      <x:c r="AF48"/>
      <x:c r="AG48"/>
      <x:c r="AH48"/>
      <x:c r="AI48" t="str">
        <x:v>CCoE Core Services (Public)</x:v>
      </x:c>
      <x:c r="AJ48"/>
      <x:c r="AK48"/>
      <x:c r="AL48" t="str">
        <x:v>8c439d80-c07f-4823-acc0-f1852d6b6218</x:v>
      </x:c>
      <x:c r="AM48" s="23" t="str">
        <x:f>IF(E48="processing",IF(Z48="","",IF(ISNUMBER(Z48),INT(Z48),DATE(VALUE(LEFT(Z48,4)),VALUE(MID(Z48,6,2)),VALUE(MID(Z48,9,2))))),IF(OR(E48="executing",E48="pending"),IF(AD48="","",IF(ISNUMBER(AD48),INT(AD48),DATE(VALUE(LEFT(AD48,4)),VALUE(MID(AD48,6,2)),VALUE(MID(AD48,9,2))))),""))</x:f>
      </x:c>
      <x:c r="AN48" s="24" t="str">
        <x:f>IF(AM48="","",INT('Configuration'!$B$4)-AM48)</x:f>
      </x:c>
      <x:c r="AO48" s="25" t="str">
        <x:f>IF(AM48="","Missing Required Date",IF(AN48&lt;0,"Future Date",IF(AN48=0,"0 days",IF(AN48&lt;=2,"1-2 days",IF(AN48&lt;=7,"3-7 days",IF(AN48&lt;=14,"8-14 days",IF(AN48&lt;=30,"15-30 days",IF(AN48&lt;=60,"31-60 days",IF(AN48&lt;=70,"61-70 days","71+ days")))))))))</x:f>
        <x:v>Missing Required Date</x:v>
      </x:c>
      <x:c r="AP48" s="25" t="str">
        <x:f>IF(OR(E48="processing",E48="executing",E48="pending"),IF(AM48="","Required aging date missing",IF(AN48&gt;30,"Escalate &gt;30d",IF(AN48&gt;14,"Watch &gt;14d","Within 14d"))),"Out of scope")</x:f>
        <x:v>Out of scope</x:v>
      </x:c>
    </x:row>
    <x:row r="49" ht="24" customHeight="1">
      <x:c r="A49" t="str">
        <x:v>1454552b-cfba-41bf-9e1b-716349b8bb51</x:v>
      </x:c>
      <x:c r="B49" t="str">
        <x:v>CSSP10772940</x:v>
      </x:c>
      <x:c r="C49" t="str">
        <x:v>mnazli.sukimin@petronas.com</x:v>
      </x:c>
      <x:c r="D49" t="str">
        <x:v>provision-cloud-public</x:v>
      </x:c>
      <x:c r="E49" t="str">
        <x:v>completed</x:v>
      </x:c>
      <x:c r="F49" t="n">
        <x:v>46043.35117908565</x:v>
      </x:c>
      <x:c r="G49" t="n">
        <x:v>46043.35117908565</x:v>
      </x:c>
      <x:c r="H49" t="n">
        <x:v>46050.17899443287</x:v>
      </x:c>
      <x:c r="I49" t="str">
        <x:v>A-000380</x:v>
      </x:c>
      <x:c r="J49" t="str">
        <x:v>Lab Information Management System - LIMS PCGB</x:v>
      </x:c>
      <x:c r="K49" t="str">
        <x:v>SR00080</x:v>
      </x:c>
      <x:c r="L49" t="str">
        <x:v>Provisioning of Virtual Machine for LIMS with ELN for STAR+ Project for PCGB</x:v>
      </x:c>
      <x:c r="M49" t="str">
        <x:v>siowfui.chen@petronas.com</x:v>
      </x:c>
      <x:c r="N49" t="str">
        <x:v>iLIMS PCGB</x:v>
      </x:c>
      <x:c r="O49" t="str">
        <x:v>Modify</x:v>
      </x:c>
      <x:c r="P49" t="str">
        <x:v>StagingUat</x:v>
      </x:c>
      <x:c r="Q49" t="str">
        <x:v>to add storage (100GB) at new drive (E:/) on newly provisioned VM (PTAWMY-4LPCGAP1) under CSSP request no CSSP10469672.</x:v>
      </x:c>
      <x:c r="R49" t="str">
        <x:v>S</x:v>
      </x:c>
      <x:c r="S49"/>
      <x:c r="T49"/>
      <x:c r="U49" t="str">
        <x:v>Please proceed</x:v>
      </x:c>
      <x:c r="V49" t="n">
        <x:v>46044.114594108796</x:v>
      </x:c>
      <x:c r="W49" t="str">
        <x:v>siowfui.chen@petronas.com</x:v>
      </x:c>
      <x:c r="X49" t="str">
        <x:v>approved</x:v>
      </x:c>
      <x:c r="Y49" t="str">
        <x:v>Good to go</x:v>
      </x:c>
      <x:c r="Z49" t="n">
        <x:v>46044.148965671295</x:v>
      </x:c>
      <x:c r="AA49" t="str">
        <x:v>samsuddin.jumbri@petronas.com</x:v>
      </x:c>
      <x:c r="AB49" t="str">
        <x:v>approved</x:v>
      </x:c>
      <x:c r="AC49" t="str">
        <x:v>assigned/emailed on 22nd.</x:v>
      </x:c>
      <x:c r="AD49" t="n">
        <x:v>46050.166012546295</x:v>
      </x:c>
      <x:c r="AE49" t="str">
        <x:v>syazali.saad@petronas.com</x:v>
      </x:c>
      <x:c r="AF49" t="str">
        <x:v>approved</x:v>
      </x:c>
      <x:c r="AG49" t="str">
        <x:v>completed</x:v>
      </x:c>
      <x:c r="AH49" t="n">
        <x:v>46050.178994444446</x:v>
      </x:c>
      <x:c r="AI49" t="str">
        <x:v>akhmal.roslan@petronas.com</x:v>
      </x:c>
      <x:c r="AJ49" t="str">
        <x:v>approved</x:v>
      </x:c>
      <x:c r="AK49" t="str">
        <x:v>REQ000007846322</x:v>
      </x:c>
      <x:c r="AL49" t="str">
        <x:v>094b0a7e-cc8c-4a71-a978-7149a45f7482</x:v>
      </x:c>
      <x:c r="AM49" s="23" t="str">
        <x:f>IF(E49="processing",IF(Z49="","",IF(ISNUMBER(Z49),INT(Z49),DATE(VALUE(LEFT(Z49,4)),VALUE(MID(Z49,6,2)),VALUE(MID(Z49,9,2))))),IF(OR(E49="executing",E49="pending"),IF(AD49="","",IF(ISNUMBER(AD49),INT(AD49),DATE(VALUE(LEFT(AD49,4)),VALUE(MID(AD49,6,2)),VALUE(MID(AD49,9,2))))),""))</x:f>
      </x:c>
      <x:c r="AN49" s="24" t="str">
        <x:f>IF(AM49="","",INT('Configuration'!$B$4)-AM49)</x:f>
      </x:c>
      <x:c r="AO49" s="25" t="str">
        <x:f>IF(AM49="","Missing Required Date",IF(AN49&lt;0,"Future Date",IF(AN49=0,"0 days",IF(AN49&lt;=2,"1-2 days",IF(AN49&lt;=7,"3-7 days",IF(AN49&lt;=14,"8-14 days",IF(AN49&lt;=30,"15-30 days",IF(AN49&lt;=60,"31-60 days",IF(AN49&lt;=70,"61-70 days","71+ days")))))))))</x:f>
        <x:v>Missing Required Date</x:v>
      </x:c>
      <x:c r="AP49" s="25" t="str">
        <x:f>IF(OR(E49="processing",E49="executing",E49="pending"),IF(AM49="","Required aging date missing",IF(AN49&gt;30,"Escalate &gt;30d",IF(AN49&gt;14,"Watch &gt;14d","Within 14d"))),"Out of scope")</x:f>
        <x:v>Out of scope</x:v>
      </x:c>
    </x:row>
    <x:row r="50" ht="24" customHeight="1">
      <x:c r="A50" t="str">
        <x:v>79e594d8-f088-4aa8-9578-92e49b26c9c1</x:v>
      </x:c>
      <x:c r="B50" t="str">
        <x:v>CSSP10986022</x:v>
      </x:c>
      <x:c r="C50" t="str">
        <x:v>hairol.zainul@petronas.com</x:v>
      </x:c>
      <x:c r="D50" t="str">
        <x:v>provision-cloud-public</x:v>
      </x:c>
      <x:c r="E50" t="str">
        <x:v>rejected</x:v>
      </x:c>
      <x:c r="F50" t="n">
        <x:v>46050.264532395835</x:v>
      </x:c>
      <x:c r="G50" t="n">
        <x:v>46050.264532395835</x:v>
      </x:c>
      <x:c r="H50" t="n">
        <x:v>46050.30232278935</x:v>
      </x:c>
      <x:c r="I50" t="str">
        <x:v>A-001318</x:v>
      </x:c>
      <x:c r="J50" t="str">
        <x:v>Plant State Integrity - PSI PCOGD</x:v>
      </x:c>
      <x:c r="K50" t="str">
        <x:v>SR00050</x:v>
      </x:c>
      <x:c r="L50" t="str">
        <x:v>Provisioning Server for RTOT Upgrading for PCOGD</x:v>
      </x:c>
      <x:c r="M50" t="str">
        <x:v>siowfui.chen@petronas.com.my</x:v>
      </x:c>
      <x:c r="N50" t="str">
        <x:v>PAMS</x:v>
      </x:c>
      <x:c r="O50" t="str">
        <x:v>New</x:v>
      </x:c>
      <x:c r="P50" t="str">
        <x:v>Production</x:v>
      </x:c>
      <x:c r="Q50" t="str">
        <x:v>To provision new VM at level 4</x:v>
      </x:c>
      <x:c r="R50"/>
      <x:c r="S50"/>
      <x:c r="T50"/>
      <x:c r="U50" t="str">
        <x:v>Requested to resubmit</x:v>
      </x:c>
      <x:c r="V50" t="n">
        <x:v>46050.302322800926</x:v>
      </x:c>
      <x:c r="W50" t="str">
        <x:v>siowfui.chen@petronas.com</x:v>
      </x:c>
      <x:c r="X50" t="str">
        <x:v>rejected</x:v>
      </x:c>
      <x:c r="Y50"/>
      <x:c r="Z50"/>
      <x:c r="AA50" t="str">
        <x:v>CCoE Demand</x:v>
      </x:c>
      <x:c r="AB50"/>
      <x:c r="AC50"/>
      <x:c r="AD50"/>
      <x:c r="AE50" t="str">
        <x:v>CCoE Business</x:v>
      </x:c>
      <x:c r="AF50"/>
      <x:c r="AG50"/>
      <x:c r="AH50"/>
      <x:c r="AI50" t="str">
        <x:v>CCoE Core Services (Public)</x:v>
      </x:c>
      <x:c r="AJ50"/>
      <x:c r="AK50"/>
      <x:c r="AL50" t="str">
        <x:v>c4badc52-dfe2-4bc1-b7e5-0a9c5d89fdbb</x:v>
      </x:c>
      <x:c r="AM50" s="23" t="str">
        <x:f>IF(E50="processing",IF(Z50="","",IF(ISNUMBER(Z50),INT(Z50),DATE(VALUE(LEFT(Z50,4)),VALUE(MID(Z50,6,2)),VALUE(MID(Z50,9,2))))),IF(OR(E50="executing",E50="pending"),IF(AD50="","",IF(ISNUMBER(AD50),INT(AD50),DATE(VALUE(LEFT(AD50,4)),VALUE(MID(AD50,6,2)),VALUE(MID(AD50,9,2))))),""))</x:f>
      </x:c>
      <x:c r="AN50" s="24" t="str">
        <x:f>IF(AM50="","",INT('Configuration'!$B$4)-AM50)</x:f>
      </x:c>
      <x:c r="AO50" s="25" t="str">
        <x:f>IF(AM50="","Missing Required Date",IF(AN50&lt;0,"Future Date",IF(AN50=0,"0 days",IF(AN50&lt;=2,"1-2 days",IF(AN50&lt;=7,"3-7 days",IF(AN50&lt;=14,"8-14 days",IF(AN50&lt;=30,"15-30 days",IF(AN50&lt;=60,"31-60 days",IF(AN50&lt;=70,"61-70 days","71+ days")))))))))</x:f>
        <x:v>Missing Required Date</x:v>
      </x:c>
      <x:c r="AP50" s="25" t="str">
        <x:f>IF(OR(E50="processing",E50="executing",E50="pending"),IF(AM50="","Required aging date missing",IF(AN50&gt;30,"Escalate &gt;30d",IF(AN50&gt;14,"Watch &gt;14d","Within 14d"))),"Out of scope")</x:f>
        <x:v>Out of scope</x:v>
      </x:c>
    </x:row>
    <x:row r="51" ht="24" customHeight="1">
      <x:c r="A51" t="str">
        <x:v>9aef2064-d0c0-418f-b515-c8c62d398819</x:v>
      </x:c>
      <x:c r="B51" t="str">
        <x:v>CSSP10155550</x:v>
      </x:c>
      <x:c r="C51" t="str">
        <x:v>hairol.zainul@petronas.com</x:v>
      </x:c>
      <x:c r="D51" t="str">
        <x:v>provision-cloud-public</x:v>
      </x:c>
      <x:c r="E51" t="str">
        <x:v>completed</x:v>
      </x:c>
      <x:c r="F51" t="n">
        <x:v>46050.32672013889</x:v>
      </x:c>
      <x:c r="G51" t="n">
        <x:v>46051.04448454861</x:v>
      </x:c>
      <x:c r="H51" t="n">
        <x:v>46059.20812232639</x:v>
      </x:c>
      <x:c r="I51" t="str">
        <x:v>A-001318</x:v>
      </x:c>
      <x:c r="J51" t="str">
        <x:v>Plant State Integrity - PSI PCOGD</x:v>
      </x:c>
      <x:c r="K51" t="str">
        <x:v>SR00050</x:v>
      </x:c>
      <x:c r="L51" t="str">
        <x:v>Provisioning Server for RTOT Upgrading for PCOGD</x:v>
      </x:c>
      <x:c r="M51" t="str">
        <x:v>siowfui.chen@petronas.com.my</x:v>
      </x:c>
      <x:c r="N51" t="str">
        <x:v>Provisioning Server for RTOT Upgrading for PCOGD</x:v>
      </x:c>
      <x:c r="O51" t="str">
        <x:v>New</x:v>
      </x:c>
      <x:c r="P51" t="str">
        <x:v>Production</x:v>
      </x:c>
      <x:c r="Q51" t="str">
        <x:v>To provision new server for AMS</x:v>
      </x:c>
      <x:c r="R51" t="str">
        <x:v>S</x:v>
      </x:c>
      <x:c r="S51"/>
      <x:c r="T51"/>
      <x:c r="U51" t="str">
        <x:v>please proceed</x:v>
      </x:c>
      <x:c r="V51" t="n">
        <x:v>46051.12699298611</x:v>
      </x:c>
      <x:c r="W51" t="str">
        <x:v>siowfui.chen@petronas.com</x:v>
      </x:c>
      <x:c r="X51" t="str">
        <x:v>approved</x:v>
      </x:c>
      <x:c r="Y51" t="str">
        <x:v>Good to go</x:v>
      </x:c>
      <x:c r="Z51" t="n">
        <x:v>46051.137274155095</x:v>
      </x:c>
      <x:c r="AA51" t="str">
        <x:v>samsuddin.jumbri@petronas.com</x:v>
      </x:c>
      <x:c r="AB51" t="str">
        <x:v>approved</x:v>
      </x:c>
      <x:c r="AC51" t="str">
        <x:v>2x VM</x:v>
      </x:c>
      <x:c r="AD51" t="n">
        <x:v>46051.250695752315</x:v>
      </x:c>
      <x:c r="AE51" t="str">
        <x:v>syazali.saad@petronas.com</x:v>
      </x:c>
      <x:c r="AF51" t="str">
        <x:v>approved</x:v>
      </x:c>
      <x:c r="AG51" t="str">
        <x:v>Completed</x:v>
      </x:c>
      <x:c r="AH51" t="n">
        <x:v>46059.20812232639</x:v>
      </x:c>
      <x:c r="AI51" t="str">
        <x:v>fatinamirah.mjonik@petronas.com</x:v>
      </x:c>
      <x:c r="AJ51" t="str">
        <x:v>approved</x:v>
      </x:c>
      <x:c r="AK51" t="str">
        <x:v>REQ000007849342</x:v>
      </x:c>
      <x:c r="AL51" t="str">
        <x:v>c4badc52-dfe2-4bc1-b7e5-0a9c5d89fdbb</x:v>
      </x:c>
      <x:c r="AM51" s="23" t="str">
        <x:f>IF(E51="processing",IF(Z51="","",IF(ISNUMBER(Z51),INT(Z51),DATE(VALUE(LEFT(Z51,4)),VALUE(MID(Z51,6,2)),VALUE(MID(Z51,9,2))))),IF(OR(E51="executing",E51="pending"),IF(AD51="","",IF(ISNUMBER(AD51),INT(AD51),DATE(VALUE(LEFT(AD51,4)),VALUE(MID(AD51,6,2)),VALUE(MID(AD51,9,2))))),""))</x:f>
      </x:c>
      <x:c r="AN51" s="24" t="str">
        <x:f>IF(AM51="","",INT('Configuration'!$B$4)-AM51)</x:f>
      </x:c>
      <x:c r="AO51" s="25" t="str">
        <x:f>IF(AM51="","Missing Required Date",IF(AN51&lt;0,"Future Date",IF(AN51=0,"0 days",IF(AN51&lt;=2,"1-2 days",IF(AN51&lt;=7,"3-7 days",IF(AN51&lt;=14,"8-14 days",IF(AN51&lt;=30,"15-30 days",IF(AN51&lt;=60,"31-60 days",IF(AN51&lt;=70,"61-70 days","71+ days")))))))))</x:f>
        <x:v>Missing Required Date</x:v>
      </x:c>
      <x:c r="AP51" s="25" t="str">
        <x:f>IF(OR(E51="processing",E51="executing",E51="pending"),IF(AM51="","Required aging date missing",IF(AN51&gt;30,"Escalate &gt;30d",IF(AN51&gt;14,"Watch &gt;14d","Within 14d"))),"Out of scope")</x:f>
        <x:v>Out of scope</x:v>
      </x:c>
    </x:row>
    <x:row r="52" ht="24" customHeight="1">
      <x:c r="A52" t="str">
        <x:v>205e1923-668a-4370-b2f0-a950e3f8af66</x:v>
      </x:c>
      <x:c r="B52" t="str">
        <x:v>CSSP10994966</x:v>
      </x:c>
      <x:c r="C52" t="str">
        <x:v>mizzudin.manuar@petronas.com</x:v>
      </x:c>
      <x:c r="D52" t="str">
        <x:v>provision-cloud-public</x:v>
      </x:c>
      <x:c r="E52" t="str">
        <x:v>rejected</x:v>
      </x:c>
      <x:c r="F52" t="n">
        <x:v>46058.179556030096</x:v>
      </x:c>
      <x:c r="G52" t="n">
        <x:v>46058.179556030096</x:v>
      </x:c>
      <x:c r="H52" t="n">
        <x:v>46111.17450508102</x:v>
      </x:c>
      <x:c r="I52" t="str">
        <x:v>A-000605</x:v>
      </x:c>
      <x:c r="J52" t="str">
        <x:v>Plant Information - PI Vestigo</x:v>
      </x:c>
      <x:c r="K52" t="str">
        <x:v>02421_64</x:v>
      </x:c>
      <x:c r="L52" t="str">
        <x:v>Cloud Migration Program - PI Vestigo</x:v>
      </x:c>
      <x:c r="M52" t="str">
        <x:v>mohammadsani.johari@petronas.com</x:v>
      </x:c>
      <x:c r="N52" t="str">
        <x:v>Migration of PI System for Vestigo Operatorship Transfer</x:v>
      </x:c>
      <x:c r="O52" t="str">
        <x:v>New</x:v>
      </x:c>
      <x:c r="P52" t="str">
        <x:v>Production</x:v>
      </x:c>
      <x:c r="Q52" t="str">
        <x:v>ESTRELLA: Migration of Plant Information (PI) System for Vestigo Operatorship Transfer
Provision new PI Vision server for Vestigo</x:v>
      </x:c>
      <x:c r="R52" t="str">
        <x:v>M</x:v>
      </x:c>
      <x:c r="S52"/>
      <x:c r="T52"/>
      <x:c r="U52" t="str">
        <x:v>Please proceed. Part of Estrella scope.</x:v>
      </x:c>
      <x:c r="V52" t="n">
        <x:v>46064.285141168984</x:v>
      </x:c>
      <x:c r="W52" t="str">
        <x:v>mohammadsani.johari@petronas.com</x:v>
      </x:c>
      <x:c r="X52" t="str">
        <x:v>approved</x:v>
      </x:c>
      <x:c r="Y52" t="str">
        <x:v>Good to go</x:v>
      </x:c>
      <x:c r="Z52" t="n">
        <x:v>46066.35476798611</x:v>
      </x:c>
      <x:c r="AA52" t="str">
        <x:v>samsuddin.jumbri@petronas.com</x:v>
      </x:c>
      <x:c r="AB52" t="str">
        <x:v>approved</x:v>
      </x:c>
      <x:c r="AC52" t="str">
        <x:v>new ADO &amp; RG (unless requested by user to be in PTAZSG-PROD-VESTIGO-RG (different tagging).
</x:v>
      </x:c>
      <x:c r="AD52" t="n">
        <x:v>46072.2370069213</x:v>
      </x:c>
      <x:c r="AE52" t="str">
        <x:v>syazali.saad@petronas.com</x:v>
      </x:c>
      <x:c r="AF52" t="str">
        <x:v>approved</x:v>
      </x:c>
      <x:c r="AG52" t="str">
        <x:v>meeting held on 30/3/26 - requester agreed to provision in AWS - to aligned with cloud repatriation AWS SG to MY.</x:v>
      </x:c>
      <x:c r="AH52" t="n">
        <x:v>46111.17450509259</x:v>
      </x:c>
      <x:c r="AI52" t="str">
        <x:v>ahmadfirdaus.adnan@petronas.com</x:v>
      </x:c>
      <x:c r="AJ52" t="str">
        <x:v>rejected</x:v>
      </x:c>
      <x:c r="AK52" t="str">
        <x:v>REQ000007881725</x:v>
      </x:c>
      <x:c r="AL52" t="str">
        <x:v>5d3fb87b-9d92-4201-8beb-3a6b20d59907</x:v>
      </x:c>
      <x:c r="AM52" s="23" t="str">
        <x:f>IF(E52="processing",IF(Z52="","",IF(ISNUMBER(Z52),INT(Z52),DATE(VALUE(LEFT(Z52,4)),VALUE(MID(Z52,6,2)),VALUE(MID(Z52,9,2))))),IF(OR(E52="executing",E52="pending"),IF(AD52="","",IF(ISNUMBER(AD52),INT(AD52),DATE(VALUE(LEFT(AD52,4)),VALUE(MID(AD52,6,2)),VALUE(MID(AD52,9,2))))),""))</x:f>
      </x:c>
      <x:c r="AN52" s="24" t="str">
        <x:f>IF(AM52="","",INT('Configuration'!$B$4)-AM52)</x:f>
      </x:c>
      <x:c r="AO52" s="25" t="str">
        <x:f>IF(AM52="","Missing Required Date",IF(AN52&lt;0,"Future Date",IF(AN52=0,"0 days",IF(AN52&lt;=2,"1-2 days",IF(AN52&lt;=7,"3-7 days",IF(AN52&lt;=14,"8-14 days",IF(AN52&lt;=30,"15-30 days",IF(AN52&lt;=60,"31-60 days",IF(AN52&lt;=70,"61-70 days","71+ days")))))))))</x:f>
        <x:v>Missing Required Date</x:v>
      </x:c>
      <x:c r="AP52" s="25" t="str">
        <x:f>IF(OR(E52="processing",E52="executing",E52="pending"),IF(AM52="","Required aging date missing",IF(AN52&gt;30,"Escalate &gt;30d",IF(AN52&gt;14,"Watch &gt;14d","Within 14d"))),"Out of scope")</x:f>
        <x:v>Out of scope</x:v>
      </x:c>
    </x:row>
    <x:row r="53" ht="24" customHeight="1">
      <x:c r="A53" t="str">
        <x:v>c9853726-3588-45a8-9fbe-c2d8d69199e2</x:v>
      </x:c>
      <x:c r="B53" t="str">
        <x:v>CSSP10683335</x:v>
      </x:c>
      <x:c r="C53" t="str">
        <x:v>sriram.vengadaramanu@petronas.com</x:v>
      </x:c>
      <x:c r="D53" t="str">
        <x:v>provision-cloud-public</x:v>
      </x:c>
      <x:c r="E53" t="str">
        <x:v>completed</x:v>
      </x:c>
      <x:c r="F53" t="n">
        <x:v>46062.1332174537</x:v>
      </x:c>
      <x:c r="G53" t="n">
        <x:v>46062.13395496528</x:v>
      </x:c>
      <x:c r="H53" t="n">
        <x:v>46091.30116416667</x:v>
      </x:c>
      <x:c r="I53" t="str">
        <x:v>A-001320</x:v>
      </x:c>
      <x:c r="J53" t="str">
        <x:v>Plant Information - PI BASIL PCMTBE</x:v>
      </x:c>
      <x:c r="K53" t="str">
        <x:v>PSR00621</x:v>
      </x:c>
      <x:c r="L53" t="str">
        <x:v>Provisioning of PI &amp; BASIL Plant Infrastructure for PETRONAS Chemicals MTBE</x:v>
      </x:c>
      <x:c r="M53" t="str">
        <x:v>sulaiman.tawil@petronas.com.my</x:v>
      </x:c>
      <x:c r="N53" t="str">
        <x:v>Provisioning of PI Infrastructure (BASIL Plant) for PCMTBE</x:v>
      </x:c>
      <x:c r="O53" t="str">
        <x:v>New</x:v>
      </x:c>
      <x:c r="P53" t="str">
        <x:v>Production</x:v>
      </x:c>
      <x:c r="Q53" t="str">
        <x:v>To provision 3 new Azure VMs accordingly.</x:v>
      </x:c>
      <x:c r="R53" t="str">
        <x:v>M</x:v>
      </x:c>
      <x:c r="S53"/>
      <x:c r="T53"/>
      <x:c r="U53" t="str">
        <x:v>Please proceed.</x:v>
      </x:c>
      <x:c r="V53" t="n">
        <x:v>46062.13613082176</x:v>
      </x:c>
      <x:c r="W53" t="str">
        <x:v>sulaiman.tawil@petronas.com</x:v>
      </x:c>
      <x:c r="X53" t="str">
        <x:v>approved</x:v>
      </x:c>
      <x:c r="Y53" t="str">
        <x:v>Good to go</x:v>
      </x:c>
      <x:c r="Z53" t="n">
        <x:v>46066.35684920139</x:v>
      </x:c>
      <x:c r="AA53" t="str">
        <x:v>samsuddin.jumbri@petronas.com</x:v>
      </x:c>
      <x:c r="AB53" t="str">
        <x:v>approved</x:v>
      </x:c>
      <x:c r="AC53" t="str">
        <x:v>VM and SQL vm</x:v>
      </x:c>
      <x:c r="AD53" t="n">
        <x:v>46072.247005798614</x:v>
      </x:c>
      <x:c r="AE53" t="str">
        <x:v>syazali.saad@petronas.com</x:v>
      </x:c>
      <x:c r="AF53" t="str">
        <x:v>approved</x:v>
      </x:c>
      <x:c r="AG53" t="str">
        <x:v>Completed</x:v>
      </x:c>
      <x:c r="AH53" t="n">
        <x:v>46091.30116416667</x:v>
      </x:c>
      <x:c r="AI53" t="str">
        <x:v>amin.manshor@petronas.com</x:v>
      </x:c>
      <x:c r="AJ53" t="str">
        <x:v>approved</x:v>
      </x:c>
      <x:c r="AK53" t="str">
        <x:v>REQ000007881168</x:v>
      </x:c>
      <x:c r="AL53" t="str">
        <x:v>d0464d7c-9244-49d6-bfa4-e8081b7fd90e</x:v>
      </x:c>
      <x:c r="AM53" s="23" t="str">
        <x:f>IF(E53="processing",IF(Z53="","",IF(ISNUMBER(Z53),INT(Z53),DATE(VALUE(LEFT(Z53,4)),VALUE(MID(Z53,6,2)),VALUE(MID(Z53,9,2))))),IF(OR(E53="executing",E53="pending"),IF(AD53="","",IF(ISNUMBER(AD53),INT(AD53),DATE(VALUE(LEFT(AD53,4)),VALUE(MID(AD53,6,2)),VALUE(MID(AD53,9,2))))),""))</x:f>
      </x:c>
      <x:c r="AN53" s="24" t="str">
        <x:f>IF(AM53="","",INT('Configuration'!$B$4)-AM53)</x:f>
      </x:c>
      <x:c r="AO53" s="25" t="str">
        <x:f>IF(AM53="","Missing Required Date",IF(AN53&lt;0,"Future Date",IF(AN53=0,"0 days",IF(AN53&lt;=2,"1-2 days",IF(AN53&lt;=7,"3-7 days",IF(AN53&lt;=14,"8-14 days",IF(AN53&lt;=30,"15-30 days",IF(AN53&lt;=60,"31-60 days",IF(AN53&lt;=70,"61-70 days","71+ days")))))))))</x:f>
        <x:v>Missing Required Date</x:v>
      </x:c>
      <x:c r="AP53" s="25" t="str">
        <x:f>IF(OR(E53="processing",E53="executing",E53="pending"),IF(AM53="","Required aging date missing",IF(AN53&gt;30,"Escalate &gt;30d",IF(AN53&gt;14,"Watch &gt;14d","Within 14d"))),"Out of scope")</x:f>
        <x:v>Out of scope</x:v>
      </x:c>
    </x:row>
    <x:row r="54" ht="24" customHeight="1">
      <x:c r="A54" t="str">
        <x:v>f82edd71-3b20-4c1a-a54d-631d99b29fff</x:v>
      </x:c>
      <x:c r="B54" t="str">
        <x:v>CSSP10142017</x:v>
      </x:c>
      <x:c r="C54" t="str">
        <x:v>yannchang.tan@petronas.com</x:v>
      </x:c>
      <x:c r="D54" t="str">
        <x:v>provision-cloud-public</x:v>
      </x:c>
      <x:c r="E54" t="str">
        <x:v>completed</x:v>
      </x:c>
      <x:c r="F54" t="n">
        <x:v>46062.371390844906</x:v>
      </x:c>
      <x:c r="G54" t="n">
        <x:v>46062.371390844906</x:v>
      </x:c>
      <x:c r="H54" t="n">
        <x:v>46072.196785555556</x:v>
      </x:c>
      <x:c r="I54" t="str">
        <x:v>A-000037</x:v>
      </x:c>
      <x:c r="J54" t="str">
        <x:v>AI Enablement Framework</x:v>
      </x:c>
      <x:c r="K54" t="n">
        <x:v>3437</x:v>
      </x:c>
      <x:c r="L54" t="str">
        <x:v>Support and Maintenance for AI Enablement Framework 2023-2024 for PDB</x:v>
      </x:c>
      <x:c r="M54" t="str">
        <x:v>debjani.sambasivam@petronas.com.my</x:v>
      </x:c>
      <x:c r="N54" t="str">
        <x:v>PDB_AI_Enablement</x:v>
      </x:c>
      <x:c r="O54" t="str">
        <x:v>Modify</x:v>
      </x:c>
      <x:c r="P54" t="str">
        <x:v>Development</x:v>
      </x:c>
      <x:c r="Q54" t="str">
        <x:v> Compute Name: PDB-CAD-SHUSHOMA Assign To: Sushama Ghodke (sushama.ghodke@petronas.com) Virtual Machine Size: Standard_DS15_v2 (20 cores, 140 GB RAM, 280 GB disk) Scheduling Auto Shut Down: 60 minute
Compute Name: PDB-CAD-AVADUT Assign To: Avadhut Kulkarni (avadhut.kulkarni@petronas.com) Virtual Machine Size: Standard_DS15_v2 (20 cores, 140 GB RAM, 280 GB disk) Scheduling Auto Shut Down: 60 minute
Compute Name: PDB-CAD-SUFIYA Assign To: Sufiya Jakate (sufiya.jakate@petronas.com) Virtual Machine Size: Standard_DS15_v2 (20 cores, 140 GB RAM, 280 GB disk) Scheduling Auto Shut Down: 60 minute
Compute Name: PDB-CAD-KANISHKA Assign To: Kanishka Batra (kanishka.batra@petronas.com) Virtual Machine Size: Standard_DS15_v2 (20 cores, 140 GB RAM, 280 GB disk) Scheduling Auto Shut Down: 60 minute</x:v>
      </x:c>
      <x:c r="R54" t="str">
        <x:v>S</x:v>
      </x:c>
      <x:c r="S54"/>
      <x:c r="T54"/>
      <x:c r="U54" t="str">
        <x:v>This is required for Analytics Works for CAD.</x:v>
      </x:c>
      <x:c r="V54" t="n">
        <x:v>46062.3748965625</x:v>
      </x:c>
      <x:c r="W54" t="str">
        <x:v>debjani.sambasivam@petronas.com</x:v>
      </x:c>
      <x:c r="X54" t="str">
        <x:v>approved</x:v>
      </x:c>
      <x:c r="Y54" t="str">
        <x:v>Good to go</x:v>
      </x:c>
      <x:c r="Z54" t="n">
        <x:v>46069.33854482639</x:v>
      </x:c>
      <x:c r="AA54" t="str">
        <x:v>samsuddin.jumbri@petronas.com</x:v>
      </x:c>
      <x:c r="AB54" t="str">
        <x:v>approved</x:v>
      </x:c>
      <x:c r="AC54" t="str">
        <x:v>ML creation</x:v>
      </x:c>
      <x:c r="AD54" t="n">
        <x:v>46069.34645509259</x:v>
      </x:c>
      <x:c r="AE54" t="str">
        <x:v>syazali.saad@petronas.com</x:v>
      </x:c>
      <x:c r="AF54" t="str">
        <x:v>approved</x:v>
      </x:c>
      <x:c r="AG54" t="str">
        <x:v>provided.</x:v>
      </x:c>
      <x:c r="AH54" t="n">
        <x:v>46072.19678556713</x:v>
      </x:c>
      <x:c r="AI54" t="str">
        <x:v>syazali.saad@petronas.com</x:v>
      </x:c>
      <x:c r="AJ54" t="str">
        <x:v>approved</x:v>
      </x:c>
      <x:c r="AK54" t="str">
        <x:v>REQ000007879520</x:v>
      </x:c>
      <x:c r="AL54" t="str">
        <x:v>f99ec12f-a075-40d0-8957-15cd4e72ddb4</x:v>
      </x:c>
      <x:c r="AM54" s="23" t="str">
        <x:f>IF(E54="processing",IF(Z54="","",IF(ISNUMBER(Z54),INT(Z54),DATE(VALUE(LEFT(Z54,4)),VALUE(MID(Z54,6,2)),VALUE(MID(Z54,9,2))))),IF(OR(E54="executing",E54="pending"),IF(AD54="","",IF(ISNUMBER(AD54),INT(AD54),DATE(VALUE(LEFT(AD54,4)),VALUE(MID(AD54,6,2)),VALUE(MID(AD54,9,2))))),""))</x:f>
      </x:c>
      <x:c r="AN54" s="24" t="str">
        <x:f>IF(AM54="","",INT('Configuration'!$B$4)-AM54)</x:f>
      </x:c>
      <x:c r="AO54" s="25" t="str">
        <x:f>IF(AM54="","Missing Required Date",IF(AN54&lt;0,"Future Date",IF(AN54=0,"0 days",IF(AN54&lt;=2,"1-2 days",IF(AN54&lt;=7,"3-7 days",IF(AN54&lt;=14,"8-14 days",IF(AN54&lt;=30,"15-30 days",IF(AN54&lt;=60,"31-60 days",IF(AN54&lt;=70,"61-70 days","71+ days")))))))))</x:f>
        <x:v>Missing Required Date</x:v>
      </x:c>
      <x:c r="AP54" s="25" t="str">
        <x:f>IF(OR(E54="processing",E54="executing",E54="pending"),IF(AM54="","Required aging date missing",IF(AN54&gt;30,"Escalate &gt;30d",IF(AN54&gt;14,"Watch &gt;14d","Within 14d"))),"Out of scope")</x:f>
        <x:v>Out of scope</x:v>
      </x:c>
    </x:row>
    <x:row r="55" ht="24" customHeight="1">
      <x:c r="A55" t="str">
        <x:v>36c7be1c-9795-44b6-8ea1-084c5c6f0d48</x:v>
      </x:c>
      <x:c r="B55" t="str">
        <x:v>CSSP10205419</x:v>
      </x:c>
      <x:c r="C55" t="str">
        <x:v>suliza.sumari@petronas.com</x:v>
      </x:c>
      <x:c r="D55" t="str">
        <x:v>provision-cloud-public</x:v>
      </x:c>
      <x:c r="E55" t="str">
        <x:v>completed</x:v>
      </x:c>
      <x:c r="F55" t="n">
        <x:v>46062.41020395833</x:v>
      </x:c>
      <x:c r="G55" t="n">
        <x:v>46063.37428984954</x:v>
      </x:c>
      <x:c r="H55" t="n">
        <x:v>46198.14503666667</x:v>
      </x:c>
      <x:c r="I55" t="str">
        <x:v>A-000491</x:v>
      </x:c>
      <x:c r="J55" t="str">
        <x:v>MyPROData</x:v>
      </x:c>
      <x:c r="K55" t="n">
        <x:v>4583</x:v>
      </x:c>
      <x:c r="L55" t="str">
        <x:v>Shared Support Services (SecOps) myPROdata FY2025 for Malaysia Petroleum Management (MPM)</x:v>
      </x:c>
      <x:c r="M55" t="str">
        <x:v>wadiah.rusli@petronas.com.my</x:v>
      </x:c>
      <x:c r="N55" t="str">
        <x:v>myPROdata</x:v>
      </x:c>
      <x:c r="O55" t="str">
        <x:v>Modify</x:v>
      </x:c>
      <x:c r="P55" t="str">
        <x:v>Production</x:v>
      </x:c>
      <x:c r="Q55" t="str">
        <x:v>•	PTSG-1ArcGisap1 (172.25.33.127)
•	PTSG-1ArcGisap2 (172.25.33.88)
Our team has already performed disk housekeeping; however, disk usage remains high and available space is still limited. With ongoing data ingestion and increasing data volumes, additional disk space is required to ensure stable operations. In particular, Portal for ArcGIS and ArcGIS Datastore components require more storage as data continues to grow, and temporary files may be created on the C: drive during ingestion and processing activities.
</x:v>
      </x:c>
      <x:c r="R55" t="str">
        <x:v>S</x:v>
      </x:c>
      <x:c r="S55" t="str">
        <x:v>ICT_RFC00218960</x:v>
      </x:c>
      <x:c r="T55"/>
      <x:c r="U55" t="str">
        <x:v>Please upgrade ASAP as today is the MBR 2026 launching</x:v>
      </x:c>
      <x:c r="V55" t="n">
        <x:v>46063.37852111111</x:v>
      </x:c>
      <x:c r="W55" t="str">
        <x:v>wadiah.rusli@petronas.com</x:v>
      </x:c>
      <x:c r="X55" t="str">
        <x:v>approved</x:v>
      </x:c>
      <x:c r="Y55" t="str">
        <x:v>Approved. Increase C:\ drive for 2 servers. PTAZSG-PROD-ARCGIS-RG</x:v>
      </x:c>
      <x:c r="Z55" t="n">
        <x:v>46063.38017803241</x:v>
      </x:c>
      <x:c r="AA55" t="str">
        <x:v>kianleng.geh@petronas.com</x:v>
      </x:c>
      <x:c r="AB55" t="str">
        <x:v>approved</x:v>
      </x:c>
      <x:c r="AC55" t="str">
        <x:v>Proceed to urgent upgrade the disk as requested. </x:v>
      </x:c>
      <x:c r="AD55" t="n">
        <x:v>46063.46868013889</x:v>
      </x:c>
      <x:c r="AE55" t="str">
        <x:v>azwan.badari@petronas.com</x:v>
      </x:c>
      <x:c r="AF55" t="str">
        <x:v>approved</x:v>
      </x:c>
      <x:c r="AG55" t="str">
        <x:v>request has been completed.</x:v>
      </x:c>
      <x:c r="AH55" t="n">
        <x:v>46198.14503666667</x:v>
      </x:c>
      <x:c r="AI55" t="str">
        <x:v>ahmadfirdaus.adnan@petronas.com</x:v>
      </x:c>
      <x:c r="AJ55" t="str">
        <x:v>approved</x:v>
      </x:c>
      <x:c r="AK55" t="str">
        <x:v>REQ000007869277</x:v>
      </x:c>
      <x:c r="AL55" t="str">
        <x:v>ebc92a57-efcb-4ea1-91f3-f2e35a11c936</x:v>
      </x:c>
      <x:c r="AM55" s="23" t="str">
        <x:f>IF(E55="processing",IF(Z55="","",IF(ISNUMBER(Z55),INT(Z55),DATE(VALUE(LEFT(Z55,4)),VALUE(MID(Z55,6,2)),VALUE(MID(Z55,9,2))))),IF(OR(E55="executing",E55="pending"),IF(AD55="","",IF(ISNUMBER(AD55),INT(AD55),DATE(VALUE(LEFT(AD55,4)),VALUE(MID(AD55,6,2)),VALUE(MID(AD55,9,2))))),""))</x:f>
      </x:c>
      <x:c r="AN55" s="24" t="str">
        <x:f>IF(AM55="","",INT('Configuration'!$B$4)-AM55)</x:f>
      </x:c>
      <x:c r="AO55" s="25" t="str">
        <x:f>IF(AM55="","Missing Required Date",IF(AN55&lt;0,"Future Date",IF(AN55=0,"0 days",IF(AN55&lt;=2,"1-2 days",IF(AN55&lt;=7,"3-7 days",IF(AN55&lt;=14,"8-14 days",IF(AN55&lt;=30,"15-30 days",IF(AN55&lt;=60,"31-60 days",IF(AN55&lt;=70,"61-70 days","71+ days")))))))))</x:f>
        <x:v>Missing Required Date</x:v>
      </x:c>
      <x:c r="AP55" s="25" t="str">
        <x:f>IF(OR(E55="processing",E55="executing",E55="pending"),IF(AM55="","Required aging date missing",IF(AN55&gt;30,"Escalate &gt;30d",IF(AN55&gt;14,"Watch &gt;14d","Within 14d"))),"Out of scope")</x:f>
        <x:v>Out of scope</x:v>
      </x:c>
    </x:row>
    <x:row r="56" ht="24" customHeight="1">
      <x:c r="A56" t="str">
        <x:v>615059d8-5126-4d3b-8a05-58268ed42bb2</x:v>
      </x:c>
      <x:c r="B56" t="str">
        <x:v>CSSP10881366</x:v>
      </x:c>
      <x:c r="C56" t="str">
        <x:v>ettonnarimah@petronas.com</x:v>
      </x:c>
      <x:c r="D56" t="str">
        <x:v>provision-cloud-public</x:v>
      </x:c>
      <x:c r="E56" t="str">
        <x:v>completed</x:v>
      </x:c>
      <x:c r="F56" t="n">
        <x:v>46063.148371076386</x:v>
      </x:c>
      <x:c r="G56" t="n">
        <x:v>46063.148371076386</x:v>
      </x:c>
      <x:c r="H56" t="n">
        <x:v>46072.25235241898</x:v>
      </x:c>
      <x:c r="I56" t="str">
        <x:v>A-000037</x:v>
      </x:c>
      <x:c r="J56" t="str">
        <x:v>AI Enablement Framework</x:v>
      </x:c>
      <x:c r="K56" t="n">
        <x:v>3437</x:v>
      </x:c>
      <x:c r="L56" t="str">
        <x:v>Support and Maintenance for AI Enablement Framework 2023-2024 for PDB</x:v>
      </x:c>
      <x:c r="M56" t="str">
        <x:v>mariful.islam@petronas.com.my</x:v>
      </x:c>
      <x:c r="N56" t="str">
        <x:v>AI Enablement for PDB</x:v>
      </x:c>
      <x:c r="O56" t="str">
        <x:v>Modify</x:v>
      </x:c>
      <x:c r="P56" t="str">
        <x:v>Development</x:v>
      </x:c>
      <x:c r="Q56" t="str">
        <x:v>Compute Name: PDB CAD - IMAN Assign to: Ahmad Iman Azrul Hasni (ahmadiman.azrulhasni@petronas.com.my) Virtual Machine Size: Standard_DS15_v2 (20 cores, 140 GB RAM, 280 GB disk) Scheduling Auto Shut Down: 60 minutes</x:v>
      </x:c>
      <x:c r="R56" t="str">
        <x:v>S</x:v>
      </x:c>
      <x:c r="S56"/>
      <x:c r="T56"/>
      <x:c r="U56" t="str">
        <x:v>its an access to existing compute.</x:v>
      </x:c>
      <x:c r="V56" t="n">
        <x:v>46065.14553173611</x:v>
      </x:c>
      <x:c r="W56" t="str">
        <x:v>mariful.islam@petronas.com</x:v>
      </x:c>
      <x:c r="X56" t="str">
        <x:v>approved</x:v>
      </x:c>
      <x:c r="Y56" t="str">
        <x:v>Good to go</x:v>
      </x:c>
      <x:c r="Z56" t="n">
        <x:v>46069.35185831018</x:v>
      </x:c>
      <x:c r="AA56" t="str">
        <x:v>samsuddin.jumbri@petronas.com</x:v>
      </x:c>
      <x:c r="AB56" t="str">
        <x:v>approved</x:v>
      </x:c>
      <x:c r="AC56" t="str">
        <x:v>created.</x:v>
      </x:c>
      <x:c r="AD56" t="n">
        <x:v>46072.2521825</x:v>
      </x:c>
      <x:c r="AE56" t="str">
        <x:v>syazali.saad@petronas.com</x:v>
      </x:c>
      <x:c r="AF56" t="str">
        <x:v>approved</x:v>
      </x:c>
      <x:c r="AG56" t="str">
        <x:v>created</x:v>
      </x:c>
      <x:c r="AH56" t="n">
        <x:v>46072.25235241898</x:v>
      </x:c>
      <x:c r="AI56" t="str">
        <x:v>syazali.saad@petronas.com</x:v>
      </x:c>
      <x:c r="AJ56" t="str">
        <x:v>approved</x:v>
      </x:c>
      <x:c r="AK56" t="str">
        <x:v>REQ000007881170</x:v>
      </x:c>
      <x:c r="AL56" t="str">
        <x:v>f99ec12f-a075-40d0-8957-15cd4e72ddb4</x:v>
      </x:c>
      <x:c r="AM56" s="23" t="str">
        <x:f>IF(E56="processing",IF(Z56="","",IF(ISNUMBER(Z56),INT(Z56),DATE(VALUE(LEFT(Z56,4)),VALUE(MID(Z56,6,2)),VALUE(MID(Z56,9,2))))),IF(OR(E56="executing",E56="pending"),IF(AD56="","",IF(ISNUMBER(AD56),INT(AD56),DATE(VALUE(LEFT(AD56,4)),VALUE(MID(AD56,6,2)),VALUE(MID(AD56,9,2))))),""))</x:f>
      </x:c>
      <x:c r="AN56" s="24" t="str">
        <x:f>IF(AM56="","",INT('Configuration'!$B$4)-AM56)</x:f>
      </x:c>
      <x:c r="AO56" s="25" t="str">
        <x:f>IF(AM56="","Missing Required Date",IF(AN56&lt;0,"Future Date",IF(AN56=0,"0 days",IF(AN56&lt;=2,"1-2 days",IF(AN56&lt;=7,"3-7 days",IF(AN56&lt;=14,"8-14 days",IF(AN56&lt;=30,"15-30 days",IF(AN56&lt;=60,"31-60 days",IF(AN56&lt;=70,"61-70 days","71+ days")))))))))</x:f>
        <x:v>Missing Required Date</x:v>
      </x:c>
      <x:c r="AP56" s="25" t="str">
        <x:f>IF(OR(E56="processing",E56="executing",E56="pending"),IF(AM56="","Required aging date missing",IF(AN56&gt;30,"Escalate &gt;30d",IF(AN56&gt;14,"Watch &gt;14d","Within 14d"))),"Out of scope")</x:f>
        <x:v>Out of scope</x:v>
      </x:c>
    </x:row>
    <x:row r="57" ht="24" customHeight="1">
      <x:c r="A57" t="str">
        <x:v>541292bd-53a6-4abe-910a-c384c9aa3073</x:v>
      </x:c>
      <x:c r="B57" t="str">
        <x:v>CSSP10270528</x:v>
      </x:c>
      <x:c r="C57" t="str">
        <x:v>zulhasyidi.hassan@petronas.com</x:v>
      </x:c>
      <x:c r="D57" t="str">
        <x:v>provision-cloud-public</x:v>
      </x:c>
      <x:c r="E57" t="str">
        <x:v>rejected</x:v>
      </x:c>
      <x:c r="F57" t="n">
        <x:v>46063.31018040509</x:v>
      </x:c>
      <x:c r="G57" t="n">
        <x:v>46063.31018040509</x:v>
      </x:c>
      <x:c r="H57" t="n">
        <x:v>46069.339945671294</x:v>
      </x:c>
      <x:c r="I57" t="str">
        <x:v>A-000566</x:v>
      </x:c>
      <x:c r="J57" t="str">
        <x:v>Plant Information - PI CHOPI UPSTREAM</x:v>
      </x:c>
      <x:c r="K57" t="str">
        <x:v>02421_12</x:v>
      </x:c>
      <x:c r="L57" t="str">
        <x:v>Cloud Migration Program - PI Upstream</x:v>
      </x:c>
      <x:c r="M57" t="str">
        <x:v>mohammadsani.johari@petronas.com.my</x:v>
      </x:c>
      <x:c r="N57" t="str">
        <x:v>PI Upstream Cho PI</x:v>
      </x:c>
      <x:c r="O57" t="str">
        <x:v>Modify</x:v>
      </x:c>
      <x:c r="P57" t="str">
        <x:v>Production</x:v>
      </x:c>
      <x:c r="Q57" t="str">
        <x:v>Upgrade existing server CPU specification (PTSG-1PIDB01 &amp; PTSG-1PIDB02)</x:v>
      </x:c>
      <x:c r="R57"/>
      <x:c r="S57" t="str">
        <x:v>ICT_RFC00219274</x:v>
      </x:c>
      <x:c r="T57"/>
      <x:c r="U57" t="str">
        <x:v>Please proceed.</x:v>
      </x:c>
      <x:c r="V57" t="n">
        <x:v>46064.28470375</x:v>
      </x:c>
      <x:c r="W57" t="str">
        <x:v>mohammadsani.johari@petronas.com</x:v>
      </x:c>
      <x:c r="X57" t="str">
        <x:v>approved</x:v>
      </x:c>
      <x:c r="Y57" t="str">
        <x:v>Kindly provide the estimated cost in Excel format (including the required SKU specifications), downloaded from the Azure calculator website. For assistance with the cost calculator, please contact Samsuddin B. Jumbri (IS/DIGITAL) or Geh Kian Leng (IS/DIGITAL).</x:v>
      </x:c>
      <x:c r="Z57" t="n">
        <x:v>46069.339945706015</x:v>
      </x:c>
      <x:c r="AA57" t="str">
        <x:v>samsuddin.jumbri@petronas.com</x:v>
      </x:c>
      <x:c r="AB57" t="str">
        <x:v>rejected</x:v>
      </x:c>
      <x:c r="AC57"/>
      <x:c r="AD57"/>
      <x:c r="AE57" t="str">
        <x:v>CCoE Business</x:v>
      </x:c>
      <x:c r="AF57"/>
      <x:c r="AG57"/>
      <x:c r="AH57"/>
      <x:c r="AI57" t="str">
        <x:v>CCoE Core Services (Public)</x:v>
      </x:c>
      <x:c r="AJ57"/>
      <x:c r="AK57"/>
      <x:c r="AL57" t="str">
        <x:v>fd598383-7773-40d2-a78c-f50abc149ce9</x:v>
      </x:c>
      <x:c r="AM57" s="23" t="str">
        <x:f>IF(E57="processing",IF(Z57="","",IF(ISNUMBER(Z57),INT(Z57),DATE(VALUE(LEFT(Z57,4)),VALUE(MID(Z57,6,2)),VALUE(MID(Z57,9,2))))),IF(OR(E57="executing",E57="pending"),IF(AD57="","",IF(ISNUMBER(AD57),INT(AD57),DATE(VALUE(LEFT(AD57,4)),VALUE(MID(AD57,6,2)),VALUE(MID(AD57,9,2))))),""))</x:f>
      </x:c>
      <x:c r="AN57" s="24" t="str">
        <x:f>IF(AM57="","",INT('Configuration'!$B$4)-AM57)</x:f>
      </x:c>
      <x:c r="AO57" s="25" t="str">
        <x:f>IF(AM57="","Missing Required Date",IF(AN57&lt;0,"Future Date",IF(AN57=0,"0 days",IF(AN57&lt;=2,"1-2 days",IF(AN57&lt;=7,"3-7 days",IF(AN57&lt;=14,"8-14 days",IF(AN57&lt;=30,"15-30 days",IF(AN57&lt;=60,"31-60 days",IF(AN57&lt;=70,"61-70 days","71+ days")))))))))</x:f>
        <x:v>Missing Required Date</x:v>
      </x:c>
      <x:c r="AP57" s="25" t="str">
        <x:f>IF(OR(E57="processing",E57="executing",E57="pending"),IF(AM57="","Required aging date missing",IF(AN57&gt;30,"Escalate &gt;30d",IF(AN57&gt;14,"Watch &gt;14d","Within 14d"))),"Out of scope")</x:f>
        <x:v>Out of scope</x:v>
      </x:c>
    </x:row>
    <x:row r="58" ht="24" customHeight="1">
      <x:c r="A58" t="str">
        <x:v>1ff9cced-6766-411e-abad-e7b564e42d3f</x:v>
      </x:c>
      <x:c r="B58" t="str">
        <x:v>CSSP10965749</x:v>
      </x:c>
      <x:c r="C58" t="str">
        <x:v>norashikin.hasna@petronas.com</x:v>
      </x:c>
      <x:c r="D58" t="str">
        <x:v>provision-cloud-public</x:v>
      </x:c>
      <x:c r="E58" t="str">
        <x:v>completed</x:v>
      </x:c>
      <x:c r="F58" t="n">
        <x:v>46064.14412848379</x:v>
      </x:c>
      <x:c r="G58" t="n">
        <x:v>46064.14412848379</x:v>
      </x:c>
      <x:c r="H58" t="n">
        <x:v>46082.29721815972</x:v>
      </x:c>
      <x:c r="I58" t="str">
        <x:v>A-000480</x:v>
      </x:c>
      <x:c r="J58" t="str">
        <x:v>Mygenie</x:v>
      </x:c>
      <x:c r="K58" t="str">
        <x:v>02421_83</x:v>
      </x:c>
      <x:c r="L58" t="str">
        <x:v>Cloud Migration Program - Mygenie+ Admin Portal</x:v>
      </x:c>
      <x:c r="M58" t="str">
        <x:v>saniza.ismail@petronas.com.my</x:v>
      </x:c>
      <x:c r="N58" t="str">
        <x:v>MyGenie Admin Portal</x:v>
      </x:c>
      <x:c r="O58" t="str">
        <x:v>Modify</x:v>
      </x:c>
      <x:c r="P58" t="str">
        <x:v>StagingUat</x:v>
      </x:c>
      <x:c r="Q58" t="str">
        <x:v>Current = D2as v4 (2 vCPU 7 &amp; 8 GB RAM)
New = D2as v4 (4 vCPU 7 &amp; 16 GB RAM)</x:v>
      </x:c>
      <x:c r="R58" t="str">
        <x:v>M</x:v>
      </x:c>
      <x:c r="S58"/>
      <x:c r="T58"/>
      <x:c r="U58" t="str">
        <x:v>This server is also 2nd server for Admin back end job for batch upload. The performance is too slow now.</x:v>
      </x:c>
      <x:c r="V58" t="n">
        <x:v>46064.33683403935</x:v>
      </x:c>
      <x:c r="W58" t="str">
        <x:v>saniza.ismail@petronas.com</x:v>
      </x:c>
      <x:c r="X58" t="str">
        <x:v>approved</x:v>
      </x:c>
      <x:c r="Y58" t="str">
        <x:v>Good to go</x:v>
      </x:c>
      <x:c r="Z58" t="n">
        <x:v>46066.35325388889</x:v>
      </x:c>
      <x:c r="AA58" t="str">
        <x:v>samsuddin.jumbri@petronas.com</x:v>
      </x:c>
      <x:c r="AB58" t="str">
        <x:v>approved</x:v>
      </x:c>
      <x:c r="AC58" t="str">
        <x:v>upsize.</x:v>
      </x:c>
      <x:c r="AD58" t="n">
        <x:v>46072.256759027776</x:v>
      </x:c>
      <x:c r="AE58" t="str">
        <x:v>syazali.saad@petronas.com</x:v>
      </x:c>
      <x:c r="AF58" t="str">
        <x:v>approved</x:v>
      </x:c>
      <x:c r="AG58" t="str">
        <x:v>done</x:v>
      </x:c>
      <x:c r="AH58" t="n">
        <x:v>46082.2972181713</x:v>
      </x:c>
      <x:c r="AI58" t="str">
        <x:v>azhan.shazeli@petronas.com</x:v>
      </x:c>
      <x:c r="AJ58" t="str">
        <x:v>approved</x:v>
      </x:c>
      <x:c r="AK58" t="str">
        <x:v>REQ000007881730</x:v>
      </x:c>
      <x:c r="AL58" t="str">
        <x:v>c6a63b47-bf9e-4308-9a85-4fcd7d745577</x:v>
      </x:c>
      <x:c r="AM58" s="23" t="str">
        <x:f>IF(E58="processing",IF(Z58="","",IF(ISNUMBER(Z58),INT(Z58),DATE(VALUE(LEFT(Z58,4)),VALUE(MID(Z58,6,2)),VALUE(MID(Z58,9,2))))),IF(OR(E58="executing",E58="pending"),IF(AD58="","",IF(ISNUMBER(AD58),INT(AD58),DATE(VALUE(LEFT(AD58,4)),VALUE(MID(AD58,6,2)),VALUE(MID(AD58,9,2))))),""))</x:f>
      </x:c>
      <x:c r="AN58" s="24" t="str">
        <x:f>IF(AM58="","",INT('Configuration'!$B$4)-AM58)</x:f>
      </x:c>
      <x:c r="AO58" s="25" t="str">
        <x:f>IF(AM58="","Missing Required Date",IF(AN58&lt;0,"Future Date",IF(AN58=0,"0 days",IF(AN58&lt;=2,"1-2 days",IF(AN58&lt;=7,"3-7 days",IF(AN58&lt;=14,"8-14 days",IF(AN58&lt;=30,"15-30 days",IF(AN58&lt;=60,"31-60 days",IF(AN58&lt;=70,"61-70 days","71+ days")))))))))</x:f>
        <x:v>Missing Required Date</x:v>
      </x:c>
      <x:c r="AP58" s="25" t="str">
        <x:f>IF(OR(E58="processing",E58="executing",E58="pending"),IF(AM58="","Required aging date missing",IF(AN58&gt;30,"Escalate &gt;30d",IF(AN58&gt;14,"Watch &gt;14d","Within 14d"))),"Out of scope")</x:f>
        <x:v>Out of scope</x:v>
      </x:c>
    </x:row>
    <x:row r="59" ht="24" customHeight="1">
      <x:c r="A59" t="str">
        <x:v>0a73b7a6-c0c7-4fc4-afe4-ec6db1149a3a</x:v>
      </x:c>
      <x:c r="B59" t="str">
        <x:v>CSSP10629844</x:v>
      </x:c>
      <x:c r="C59" t="str">
        <x:v>krishnamurthy.s@petronas.com</x:v>
      </x:c>
      <x:c r="D59" t="str">
        <x:v>provision-cloud-public</x:v>
      </x:c>
      <x:c r="E59" t="str">
        <x:v>completed</x:v>
      </x:c>
      <x:c r="F59" t="n">
        <x:v>46064.1953858912</x:v>
      </x:c>
      <x:c r="G59" t="n">
        <x:v>46072.08342371528</x:v>
      </x:c>
      <x:c r="H59" t="n">
        <x:v>46073.09537077546</x:v>
      </x:c>
      <x:c r="I59" t="str">
        <x:v>A-000064</x:v>
      </x:c>
      <x:c r="J59" t="str">
        <x:v>ArBiTra PTLCL</x:v>
      </x:c>
      <x:c r="K59" t="n">
        <x:v>4569</x:v>
      </x:c>
      <x:c r="L59" t="str">
        <x:v>Provision of Professional Service, Software License and Infra for ArBiTra (OVC &amp; LVC) 2025 for PTLCL</x:v>
      </x:c>
      <x:c r="M59" t="str">
        <x:v>gopabandhu.patr@petronas.com.my</x:v>
      </x:c>
      <x:c r="N59" t="str">
        <x:v>ArBiTra Phase 3 - IT Sub Modules</x:v>
      </x:c>
      <x:c r="O59" t="str">
        <x:v>Modify</x:v>
      </x:c>
      <x:c r="P59" t="str">
        <x:v>Development</x:v>
      </x:c>
      <x:c r="Q59" t="str">
        <x:v>We need to increse postgresSQL storage. currently it is 600GB and need to increase by 100GB for below resource
Resource name/Id : ptawsg-5abtdb01.cfrhfufvrhpu.ap-southeast-1.rds.amazonaws.com
Current storage size : 600GB
Need to increase additionally by 100GB.</x:v>
      </x:c>
      <x:c r="R59" t="str">
        <x:v>M</x:v>
      </x:c>
      <x:c r="S59"/>
      <x:c r="T59"/>
      <x:c r="U59" t="str">
        <x:v>ok</x:v>
      </x:c>
      <x:c r="V59" t="n">
        <x:v>46072.17237545139</x:v>
      </x:c>
      <x:c r="W59" t="str">
        <x:v>gopabandhu.patr@petronas.com</x:v>
      </x:c>
      <x:c r="X59" t="str">
        <x:v>approved</x:v>
      </x:c>
      <x:c r="Y59" t="str">
        <x:v>RDS storage resize</x:v>
      </x:c>
      <x:c r="Z59" t="n">
        <x:v>46073.06400099537</x:v>
      </x:c>
      <x:c r="AA59" t="str">
        <x:v>fathulrahman.misba@petronas.com</x:v>
      </x:c>
      <x:c r="AB59" t="str">
        <x:v>approved</x:v>
      </x:c>
      <x:c r="AC59" t="str">
        <x:v>.</x:v>
      </x:c>
      <x:c r="AD59" t="n">
        <x:v>46073.08252644676</x:v>
      </x:c>
      <x:c r="AE59" t="str">
        <x:v>syazali.saad@petronas.com</x:v>
      </x:c>
      <x:c r="AF59" t="str">
        <x:v>approved</x:v>
      </x:c>
      <x:c r="AG59" t="str">
        <x:v>RDS storage expanded</x:v>
      </x:c>
      <x:c r="AH59" t="n">
        <x:v>46073.095370787036</x:v>
      </x:c>
      <x:c r="AI59" t="str">
        <x:v>fathulrahman.misba@petronas.com</x:v>
      </x:c>
      <x:c r="AJ59" t="str">
        <x:v>approved</x:v>
      </x:c>
      <x:c r="AK59" t="str">
        <x:v>REQ000007882775</x:v>
      </x:c>
      <x:c r="AL59" t="str">
        <x:v>866cd81d-011e-424b-b696-e232f59deeb1</x:v>
      </x:c>
      <x:c r="AM59" s="23" t="str">
        <x:f>IF(E59="processing",IF(Z59="","",IF(ISNUMBER(Z59),INT(Z59),DATE(VALUE(LEFT(Z59,4)),VALUE(MID(Z59,6,2)),VALUE(MID(Z59,9,2))))),IF(OR(E59="executing",E59="pending"),IF(AD59="","",IF(ISNUMBER(AD59),INT(AD59),DATE(VALUE(LEFT(AD59,4)),VALUE(MID(AD59,6,2)),VALUE(MID(AD59,9,2))))),""))</x:f>
      </x:c>
      <x:c r="AN59" s="24" t="str">
        <x:f>IF(AM59="","",INT('Configuration'!$B$4)-AM59)</x:f>
      </x:c>
      <x:c r="AO59" s="25" t="str">
        <x:f>IF(AM59="","Missing Required Date",IF(AN59&lt;0,"Future Date",IF(AN59=0,"0 days",IF(AN59&lt;=2,"1-2 days",IF(AN59&lt;=7,"3-7 days",IF(AN59&lt;=14,"8-14 days",IF(AN59&lt;=30,"15-30 days",IF(AN59&lt;=60,"31-60 days",IF(AN59&lt;=70,"61-70 days","71+ days")))))))))</x:f>
        <x:v>Missing Required Date</x:v>
      </x:c>
      <x:c r="AP59" s="25" t="str">
        <x:f>IF(OR(E59="processing",E59="executing",E59="pending"),IF(AM59="","Required aging date missing",IF(AN59&gt;30,"Escalate &gt;30d",IF(AN59&gt;14,"Watch &gt;14d","Within 14d"))),"Out of scope")</x:f>
        <x:v>Out of scope</x:v>
      </x:c>
    </x:row>
    <x:row r="60" ht="24" customHeight="1">
      <x:c r="A60" t="str">
        <x:v>eff0acd9-d429-4ebf-a66d-b60082f4a5b1</x:v>
      </x:c>
      <x:c r="B60" t="str">
        <x:v>CSSP10799733</x:v>
      </x:c>
      <x:c r="C60" t="str">
        <x:v>shahrulrizal.said@petronas.com</x:v>
      </x:c>
      <x:c r="D60" t="str">
        <x:v>provision-cloud-public</x:v>
      </x:c>
      <x:c r="E60" t="str">
        <x:v>completed</x:v>
      </x:c>
      <x:c r="F60" t="n">
        <x:v>46064.305340416664</x:v>
      </x:c>
      <x:c r="G60" t="n">
        <x:v>46069.171128449074</x:v>
      </x:c>
      <x:c r="H60" t="n">
        <x:v>46112.118893321756</x:v>
      </x:c>
      <x:c r="I60" t="str">
        <x:v>A-000355</x:v>
      </x:c>
      <x:c r="J60" t="str">
        <x:v>HSE Intelligence Pod Multimodal AI Vision / Voice - HIPVISION</x:v>
      </x:c>
      <x:c r="K60" t="n">
        <x:v>3578</x:v>
      </x:c>
      <x:c r="L60" t="str">
        <x:v>Development of HSE Intelligence Pod (HIP) Multimodal AI (Vision, Voice)</x:v>
      </x:c>
      <x:c r="M60" t="str">
        <x:v>josephine.danielbav@petronas.com.my</x:v>
      </x:c>
      <x:c r="N60" t="str">
        <x:v>HIP Vision AI</x:v>
      </x:c>
      <x:c r="O60" t="str">
        <x:v>Modify</x:v>
      </x:c>
      <x:c r="P60" t="str">
        <x:v>StagingUat</x:v>
      </x:c>
      <x:c r="Q60" t="str">
        <x:v>To upgrade Existing Azure Kubernetes pricing tier from free to standard tier. AKS resource= ptsg-4hipvisionaks02 reside in ptazsg-iac-uat-hipvision-jai-rg Resource group. This is for us to testing prior performing actual change in production. After the testing successful. the pricing tier needs to change back to free tier in UAT. Have been discussing with Fathul and good to have him assign since he understands the situation.
Resubmitted by attached the cost of AKS standard tier</x:v>
      </x:c>
      <x:c r="R60" t="str">
        <x:v>L</x:v>
      </x:c>
      <x:c r="S60"/>
      <x:c r="T60"/>
      <x:c r="U60" t="str">
        <x:v>Approved</x:v>
      </x:c>
      <x:c r="V60" t="n">
        <x:v>46078.09135804398</x:v>
      </x:c>
      <x:c r="W60" t="str">
        <x:v>josephine.danielbav@petronas.com</x:v>
      </x:c>
      <x:c r="X60" t="str">
        <x:v>approved</x:v>
      </x:c>
      <x:c r="Y60" t="str">
        <x:v>Good to go</x:v>
      </x:c>
      <x:c r="Z60" t="n">
        <x:v>46080.090917685186</x:v>
      </x:c>
      <x:c r="AA60" t="str">
        <x:v>samsuddin.jumbri@petronas.com</x:v>
      </x:c>
      <x:c r="AB60" t="str">
        <x:v>approved</x:v>
      </x:c>
      <x:c r="AC60" t="str">
        <x:v>AKS</x:v>
      </x:c>
      <x:c r="AD60" t="n">
        <x:v>46085.166137037035</x:v>
      </x:c>
      <x:c r="AE60" t="str">
        <x:v>syazali.saad@petronas.com</x:v>
      </x:c>
      <x:c r="AF60" t="str">
        <x:v>approved</x:v>
      </x:c>
      <x:c r="AG60" t="str">
        <x:v>Completed</x:v>
      </x:c>
      <x:c r="AH60" t="n">
        <x:v>46112.11889333333</x:v>
      </x:c>
      <x:c r="AI60" t="str">
        <x:v>fathulrahman.misba@petronas.com</x:v>
      </x:c>
      <x:c r="AJ60" t="str">
        <x:v>approved</x:v>
      </x:c>
      <x:c r="AK60" t="str">
        <x:v>REQ000007913270</x:v>
      </x:c>
      <x:c r="AL60" t="str">
        <x:v>ea9ff09d-7f7a-482f-a081-c07b99b496a2</x:v>
      </x:c>
      <x:c r="AM60" s="23" t="str">
        <x:f>IF(E60="processing",IF(Z60="","",IF(ISNUMBER(Z60),INT(Z60),DATE(VALUE(LEFT(Z60,4)),VALUE(MID(Z60,6,2)),VALUE(MID(Z60,9,2))))),IF(OR(E60="executing",E60="pending"),IF(AD60="","",IF(ISNUMBER(AD60),INT(AD60),DATE(VALUE(LEFT(AD60,4)),VALUE(MID(AD60,6,2)),VALUE(MID(AD60,9,2))))),""))</x:f>
      </x:c>
      <x:c r="AN60" s="24" t="str">
        <x:f>IF(AM60="","",INT('Configuration'!$B$4)-AM60)</x:f>
      </x:c>
      <x:c r="AO60" s="25" t="str">
        <x:f>IF(AM60="","Missing Required Date",IF(AN60&lt;0,"Future Date",IF(AN60=0,"0 days",IF(AN60&lt;=2,"1-2 days",IF(AN60&lt;=7,"3-7 days",IF(AN60&lt;=14,"8-14 days",IF(AN60&lt;=30,"15-30 days",IF(AN60&lt;=60,"31-60 days",IF(AN60&lt;=70,"61-70 days","71+ days")))))))))</x:f>
        <x:v>Missing Required Date</x:v>
      </x:c>
      <x:c r="AP60" s="25" t="str">
        <x:f>IF(OR(E60="processing",E60="executing",E60="pending"),IF(AM60="","Required aging date missing",IF(AN60&gt;30,"Escalate &gt;30d",IF(AN60&gt;14,"Watch &gt;14d","Within 14d"))),"Out of scope")</x:f>
        <x:v>Out of scope</x:v>
      </x:c>
    </x:row>
    <x:row r="61" ht="24" customHeight="1">
      <x:c r="A61" t="str">
        <x:v>f3d57495-1c0e-44e3-91e3-618d253432cf</x:v>
      </x:c>
      <x:c r="B61" t="str">
        <x:v>CSSP10500225</x:v>
      </x:c>
      <x:c r="C61" t="str">
        <x:v>shahrulrizal.said@petronas.com</x:v>
      </x:c>
      <x:c r="D61" t="str">
        <x:v>provision-cloud-public</x:v>
      </x:c>
      <x:c r="E61" t="str">
        <x:v>completed</x:v>
      </x:c>
      <x:c r="F61" t="n">
        <x:v>46065.42225866898</x:v>
      </x:c>
      <x:c r="G61" t="n">
        <x:v>46065.42225866898</x:v>
      </x:c>
      <x:c r="H61" t="n">
        <x:v>46090.078410243055</x:v>
      </x:c>
      <x:c r="I61" t="str">
        <x:v>A-000354</x:v>
      </x:c>
      <x:c r="J61" t="str">
        <x:v>HSE Intelligence Pod - Smart Advisor - HIP SA</x:v>
      </x:c>
      <x:c r="K61" t="n">
        <x:v>4007</x:v>
      </x:c>
      <x:c r="L61" t="str">
        <x:v>HSE Intelligence Pod - Smart Advisor</x:v>
      </x:c>
      <x:c r="M61" t="str">
        <x:v>josephine.danielbav@petronas.com.my</x:v>
      </x:c>
      <x:c r="N61" t="str">
        <x:v>HIP.AI</x:v>
      </x:c>
      <x:c r="O61" t="str">
        <x:v>New</x:v>
      </x:c>
      <x:c r="P61" t="str">
        <x:v>Production</x:v>
      </x:c>
      <x:c r="Q61" t="str">
        <x:v>To create new azure foundry project from PTAZSG-1HIPSAOAI resource.
Create azure foundry project name : agentaiproj-prod
 in PTAZSG-IAC-PROD-HIP-SA-RG Resource group.
Please refer to same project created in Dev environment agentaiproj (agentaiproj-resource/agentaiproj)</x:v>
      </x:c>
      <x:c r="R61" t="str">
        <x:v>M</x:v>
      </x:c>
      <x:c r="S61"/>
      <x:c r="T61"/>
      <x:c r="U61" t="str">
        <x:v>Approved. Please proceed with utmost urgency</x:v>
      </x:c>
      <x:c r="V61" t="n">
        <x:v>46066.140562291665</x:v>
      </x:c>
      <x:c r="W61" t="str">
        <x:v>josephine.danielbav@petronas.com</x:v>
      </x:c>
      <x:c r="X61" t="str">
        <x:v>approved</x:v>
      </x:c>
      <x:c r="Y61" t="str">
        <x:v>Good to go</x:v>
      </x:c>
      <x:c r="Z61" t="n">
        <x:v>46066.34033625</x:v>
      </x:c>
      <x:c r="AA61" t="str">
        <x:v>samsuddin.jumbri@petronas.com</x:v>
      </x:c>
      <x:c r="AB61" t="str">
        <x:v>approved</x:v>
      </x:c>
      <x:c r="AC61" t="str">
        <x:v>ai resource</x:v>
      </x:c>
      <x:c r="AD61" t="n">
        <x:v>46072.26308791667</x:v>
      </x:c>
      <x:c r="AE61" t="str">
        <x:v>syazali.saad@petronas.com</x:v>
      </x:c>
      <x:c r="AF61" t="str">
        <x:v>approved</x:v>
      </x:c>
      <x:c r="AG61" t="str">
        <x:v>The resource has been provisioned </x:v>
      </x:c>
      <x:c r="AH61" t="n">
        <x:v>46090.078410243055</x:v>
      </x:c>
      <x:c r="AI61" t="str">
        <x:v>muhdfirdaus.muhamad@petronas.com</x:v>
      </x:c>
      <x:c r="AJ61" t="str">
        <x:v>approved</x:v>
      </x:c>
      <x:c r="AK61" t="str">
        <x:v>REQ000007881176</x:v>
      </x:c>
      <x:c r="AL61" t="str">
        <x:v>dffc798b-8629-447b-9c6c-13563df2b5ac</x:v>
      </x:c>
      <x:c r="AM61" s="23" t="str">
        <x:f>IF(E61="processing",IF(Z61="","",IF(ISNUMBER(Z61),INT(Z61),DATE(VALUE(LEFT(Z61,4)),VALUE(MID(Z61,6,2)),VALUE(MID(Z61,9,2))))),IF(OR(E61="executing",E61="pending"),IF(AD61="","",IF(ISNUMBER(AD61),INT(AD61),DATE(VALUE(LEFT(AD61,4)),VALUE(MID(AD61,6,2)),VALUE(MID(AD61,9,2))))),""))</x:f>
      </x:c>
      <x:c r="AN61" s="24" t="str">
        <x:f>IF(AM61="","",INT('Configuration'!$B$4)-AM61)</x:f>
      </x:c>
      <x:c r="AO61" s="25" t="str">
        <x:f>IF(AM61="","Missing Required Date",IF(AN61&lt;0,"Future Date",IF(AN61=0,"0 days",IF(AN61&lt;=2,"1-2 days",IF(AN61&lt;=7,"3-7 days",IF(AN61&lt;=14,"8-14 days",IF(AN61&lt;=30,"15-30 days",IF(AN61&lt;=60,"31-60 days",IF(AN61&lt;=70,"61-70 days","71+ days")))))))))</x:f>
        <x:v>Missing Required Date</x:v>
      </x:c>
      <x:c r="AP61" s="25" t="str">
        <x:f>IF(OR(E61="processing",E61="executing",E61="pending"),IF(AM61="","Required aging date missing",IF(AN61&gt;30,"Escalate &gt;30d",IF(AN61&gt;14,"Watch &gt;14d","Within 14d"))),"Out of scope")</x:f>
        <x:v>Out of scope</x:v>
      </x:c>
    </x:row>
    <x:row r="62" ht="24" customHeight="1">
      <x:c r="A62" t="str">
        <x:v>71a2611e-e0fe-41a5-a84a-5aa66b81c949</x:v>
      </x:c>
      <x:c r="B62" t="str">
        <x:v>CSSP10984525</x:v>
      </x:c>
      <x:c r="C62" t="str">
        <x:v>norfarhanael.shukor@petronas.com</x:v>
      </x:c>
      <x:c r="D62" t="str">
        <x:v>provision-cloud-public</x:v>
      </x:c>
      <x:c r="E62" t="str">
        <x:v>completed</x:v>
      </x:c>
      <x:c r="F62" t="n">
        <x:v>46066.310932106484</x:v>
      </x:c>
      <x:c r="G62" t="n">
        <x:v>46066.341464606485</x:v>
      </x:c>
      <x:c r="H62" t="n">
        <x:v>46067.74636615741</x:v>
      </x:c>
      <x:c r="I62" t="str">
        <x:v>A-000094</x:v>
      </x:c>
      <x:c r="J62" t="str">
        <x:v>Barrier Management and Work Control - BMWC Downstream</x:v>
      </x:c>
      <x:c r="K62" t="n">
        <x:v>568</x:v>
      </x:c>
      <x:c r="L62" t="str">
        <x:v>Pilot implementation of Proscient Work Control and Barrier Management for MRC and PPTSB</x:v>
      </x:c>
      <x:c r="M62" t="str">
        <x:v>ruhy.zanita@petronas.com.my</x:v>
      </x:c>
      <x:c r="N62" t="str">
        <x:v>Barrier Management and Work Control (BMWC)</x:v>
      </x:c>
      <x:c r="O62" t="str">
        <x:v>Modify</x:v>
      </x:c>
      <x:c r="P62" t="str">
        <x:v>Production</x:v>
      </x:c>
      <x:c r="Q62" t="str">
        <x:v>To upgrade VM CPU, RAM &amp; Disk for PTSG-1SWCBAP03 Reporting Server due to system slowness during peak hour (8AM - 11AM) daily. Finding from Solarwind monitoring &amp; issue has been logged to vendor  (T201884). As advised by vendor, to upgrade the server specification due to the server specifications and memory settings are insufficient for the application’s peak workload.</x:v>
      </x:c>
      <x:c r="R62" t="str">
        <x:v>S</x:v>
      </x:c>
      <x:c r="S62" t="str">
        <x:v>ICT_RFC00219321</x:v>
      </x:c>
      <x:c r="T62"/>
      <x:c r="U62" t="str">
        <x:v>Approved based on MRCSB’s request for COTS to support the resolution of the BMWC slowness issues.</x:v>
      </x:c>
      <x:c r="V62" t="n">
        <x:v>46066.34235355324</x:v>
      </x:c>
      <x:c r="W62" t="str">
        <x:v>ruhy.zanita@petronas.com</x:v>
      </x:c>
      <x:c r="X62" t="str">
        <x:v>approved</x:v>
      </x:c>
      <x:c r="Y62" t="str">
        <x:v>Good to go</x:v>
      </x:c>
      <x:c r="Z62" t="n">
        <x:v>46066.34531453704</x:v>
      </x:c>
      <x:c r="AA62" t="str">
        <x:v>samsuddin.jumbri@petronas.com</x:v>
      </x:c>
      <x:c r="AB62" t="str">
        <x:v>approved</x:v>
      </x:c>
      <x:c r="AC62" t="str">
        <x:v>upgrade activity on weekend.</x:v>
      </x:c>
      <x:c r="AD62" t="n">
        <x:v>46066.36977655093</x:v>
      </x:c>
      <x:c r="AE62" t="str">
        <x:v>syazali.saad@petronas.com</x:v>
      </x:c>
      <x:c r="AF62" t="str">
        <x:v>approved</x:v>
      </x:c>
      <x:c r="AG62" t="str">
        <x:v>completed</x:v>
      </x:c>
      <x:c r="AH62" t="n">
        <x:v>46067.74636618055</x:v>
      </x:c>
      <x:c r="AI62" t="str">
        <x:v>ahmadfirdaus.adnan@petronas.com</x:v>
      </x:c>
      <x:c r="AJ62" t="str">
        <x:v>approved</x:v>
      </x:c>
      <x:c r="AK62" t="str">
        <x:v>REQ000007876850</x:v>
      </x:c>
      <x:c r="AL62" t="str">
        <x:v>7a408f03-86c5-401c-a54c-a719975e734f</x:v>
      </x:c>
      <x:c r="AM62" s="23" t="str">
        <x:f>IF(E62="processing",IF(Z62="","",IF(ISNUMBER(Z62),INT(Z62),DATE(VALUE(LEFT(Z62,4)),VALUE(MID(Z62,6,2)),VALUE(MID(Z62,9,2))))),IF(OR(E62="executing",E62="pending"),IF(AD62="","",IF(ISNUMBER(AD62),INT(AD62),DATE(VALUE(LEFT(AD62,4)),VALUE(MID(AD62,6,2)),VALUE(MID(AD62,9,2))))),""))</x:f>
      </x:c>
      <x:c r="AN62" s="24" t="str">
        <x:f>IF(AM62="","",INT('Configuration'!$B$4)-AM62)</x:f>
      </x:c>
      <x:c r="AO62" s="25" t="str">
        <x:f>IF(AM62="","Missing Required Date",IF(AN62&lt;0,"Future Date",IF(AN62=0,"0 days",IF(AN62&lt;=2,"1-2 days",IF(AN62&lt;=7,"3-7 days",IF(AN62&lt;=14,"8-14 days",IF(AN62&lt;=30,"15-30 days",IF(AN62&lt;=60,"31-60 days",IF(AN62&lt;=70,"61-70 days","71+ days")))))))))</x:f>
        <x:v>Missing Required Date</x:v>
      </x:c>
      <x:c r="AP62" s="25" t="str">
        <x:f>IF(OR(E62="processing",E62="executing",E62="pending"),IF(AM62="","Required aging date missing",IF(AN62&gt;30,"Escalate &gt;30d",IF(AN62&gt;14,"Watch &gt;14d","Within 14d"))),"Out of scope")</x:f>
        <x:v>Out of scope</x:v>
      </x:c>
    </x:row>
    <x:row r="63" ht="24" customHeight="1">
      <x:c r="A63" t="str">
        <x:v>28ad9538-c792-4831-8995-14668b3ff8aa</x:v>
      </x:c>
      <x:c r="B63" t="str">
        <x:v>CSSP10441451</x:v>
      </x:c>
      <x:c r="C63" t="str">
        <x:v>shahrulrizal.said@petronas.com</x:v>
      </x:c>
      <x:c r="D63" t="str">
        <x:v>provision-cloud-public</x:v>
      </x:c>
      <x:c r="E63" t="str">
        <x:v>completed</x:v>
      </x:c>
      <x:c r="F63" t="n">
        <x:v>46069.197641597224</x:v>
      </x:c>
      <x:c r="G63" t="n">
        <x:v>46069.197641597224</x:v>
      </x:c>
      <x:c r="H63" t="n">
        <x:v>46090.07774414352</x:v>
      </x:c>
      <x:c r="I63" t="str">
        <x:v>A-000354</x:v>
      </x:c>
      <x:c r="J63" t="str">
        <x:v>HSE Intelligence Pod - Smart Advisor - HIP SA</x:v>
      </x:c>
      <x:c r="K63" t="n">
        <x:v>4007</x:v>
      </x:c>
      <x:c r="L63" t="str">
        <x:v>HSE Intelligence Pod - Smart Advisor</x:v>
      </x:c>
      <x:c r="M63" t="str">
        <x:v>josephine.danielbav@petronas.com.my</x:v>
      </x:c>
      <x:c r="N63" t="str">
        <x:v>HIP.AI</x:v>
      </x:c>
      <x:c r="O63" t="str">
        <x:v>New</x:v>
      </x:c>
      <x:c r="P63" t="str">
        <x:v>Development</x:v>
      </x:c>
      <x:c r="Q63" t="str">
        <x:v>To provision attached resources in this development RG PTAZSG-DEV-HIPVISION-SA-RG</x:v>
      </x:c>
      <x:c r="R63" t="str">
        <x:v>M</x:v>
      </x:c>
      <x:c r="S63"/>
      <x:c r="T63"/>
      <x:c r="U63" t="str">
        <x:v>Proceed Urgently. Approved</x:v>
      </x:c>
      <x:c r="V63" t="n">
        <x:v>46069.31281244213</x:v>
      </x:c>
      <x:c r="W63" t="str">
        <x:v>josephine.danielbav@petronas.com</x:v>
      </x:c>
      <x:c r="X63" t="str">
        <x:v>approved</x:v>
      </x:c>
      <x:c r="Y63" t="str">
        <x:v>Good to go</x:v>
      </x:c>
      <x:c r="Z63" t="n">
        <x:v>46069.354966099534</x:v>
      </x:c>
      <x:c r="AA63" t="str">
        <x:v>samsuddin.jumbri@petronas.com</x:v>
      </x:c>
      <x:c r="AB63" t="str">
        <x:v>approved</x:v>
      </x:c>
      <x:c r="AC63" t="str">
        <x:v>olz deployment</x:v>
      </x:c>
      <x:c r="AD63" t="n">
        <x:v>46072.26335209491</x:v>
      </x:c>
      <x:c r="AE63" t="str">
        <x:v>syazali.saad@petronas.com</x:v>
      </x:c>
      <x:c r="AF63" t="str">
        <x:v>approved</x:v>
      </x:c>
      <x:c r="AG63" t="str">
        <x:v>The resources have been provisioned</x:v>
      </x:c>
      <x:c r="AH63" t="n">
        <x:v>46090.07774415509</x:v>
      </x:c>
      <x:c r="AI63" t="str">
        <x:v>muhdfirdaus.muhamad@petronas.com</x:v>
      </x:c>
      <x:c r="AJ63" t="str">
        <x:v>approved</x:v>
      </x:c>
      <x:c r="AK63" t="str">
        <x:v>REQ000007881734</x:v>
      </x:c>
      <x:c r="AL63" t="str">
        <x:v>dffc798b-8629-447b-9c6c-13563df2b5ac</x:v>
      </x:c>
      <x:c r="AM63" s="23" t="str">
        <x:f>IF(E63="processing",IF(Z63="","",IF(ISNUMBER(Z63),INT(Z63),DATE(VALUE(LEFT(Z63,4)),VALUE(MID(Z63,6,2)),VALUE(MID(Z63,9,2))))),IF(OR(E63="executing",E63="pending"),IF(AD63="","",IF(ISNUMBER(AD63),INT(AD63),DATE(VALUE(LEFT(AD63,4)),VALUE(MID(AD63,6,2)),VALUE(MID(AD63,9,2))))),""))</x:f>
      </x:c>
      <x:c r="AN63" s="24" t="str">
        <x:f>IF(AM63="","",INT('Configuration'!$B$4)-AM63)</x:f>
      </x:c>
      <x:c r="AO63" s="25" t="str">
        <x:f>IF(AM63="","Missing Required Date",IF(AN63&lt;0,"Future Date",IF(AN63=0,"0 days",IF(AN63&lt;=2,"1-2 days",IF(AN63&lt;=7,"3-7 days",IF(AN63&lt;=14,"8-14 days",IF(AN63&lt;=30,"15-30 days",IF(AN63&lt;=60,"31-60 days",IF(AN63&lt;=70,"61-70 days","71+ days")))))))))</x:f>
        <x:v>Missing Required Date</x:v>
      </x:c>
      <x:c r="AP63" s="25" t="str">
        <x:f>IF(OR(E63="processing",E63="executing",E63="pending"),IF(AM63="","Required aging date missing",IF(AN63&gt;30,"Escalate &gt;30d",IF(AN63&gt;14,"Watch &gt;14d","Within 14d"))),"Out of scope")</x:f>
        <x:v>Out of scope</x:v>
      </x:c>
    </x:row>
    <x:row r="64" ht="24" customHeight="1">
      <x:c r="A64" t="str">
        <x:v>b72088d7-d8ee-41a2-91a9-f7f3e9a77dc9</x:v>
      </x:c>
      <x:c r="B64" t="str">
        <x:v>CSSP10954631</x:v>
      </x:c>
      <x:c r="C64" t="str">
        <x:v>shahrulrizal.said@petronas.com</x:v>
      </x:c>
      <x:c r="D64" t="str">
        <x:v>provision-cloud-public</x:v>
      </x:c>
      <x:c r="E64" t="str">
        <x:v>completed</x:v>
      </x:c>
      <x:c r="F64" t="n">
        <x:v>46069.30460880787</x:v>
      </x:c>
      <x:c r="G64" t="n">
        <x:v>46069.30460880787</x:v>
      </x:c>
      <x:c r="H64" t="n">
        <x:v>46114.18826326389</x:v>
      </x:c>
      <x:c r="I64" t="str">
        <x:v>A-000355</x:v>
      </x:c>
      <x:c r="J64" t="str">
        <x:v>HSE Intelligence Pod Multimodal AI Vision / Voice - HIPVISION</x:v>
      </x:c>
      <x:c r="K64" t="n">
        <x:v>3578</x:v>
      </x:c>
      <x:c r="L64" t="str">
        <x:v>Development of HSE Intelligence Pod (HIP) Multimodal AI (Vision, Voice)</x:v>
      </x:c>
      <x:c r="M64" t="str">
        <x:v>josephine.danielbav@petronas.com.my</x:v>
      </x:c>
      <x:c r="N64" t="str">
        <x:v>HIP Vision AI</x:v>
      </x:c>
      <x:c r="O64" t="str">
        <x:v>Modify</x:v>
      </x:c>
      <x:c r="P64" t="str">
        <x:v>Production</x:v>
      </x:c>
      <x:c r="Q64" t="str">
        <x:v>To upgrade Existing Azure Kubernetes pricing tier from free to standard tier. AKS resource= ptsg-1hipvisionaks01 reside in ptazsg-iac-prod-hipvision-jai-rg Resource group. Have been discussing with Fathul and good to have him assign since he understands the situation. </x:v>
      </x:c>
      <x:c r="R64" t="str">
        <x:v>L</x:v>
      </x:c>
      <x:c r="S64" t="str">
        <x:v>ICT_RFC00218992</x:v>
      </x:c>
      <x:c r="T64"/>
      <x:c r="U64" t="str">
        <x:v>Kindly Proceed urgently. Approved</x:v>
      </x:c>
      <x:c r="V64" t="n">
        <x:v>46069.310848587964</x:v>
      </x:c>
      <x:c r="W64" t="str">
        <x:v>josephine.danielbav@petronas.com</x:v>
      </x:c>
      <x:c r="X64" t="str">
        <x:v>approved</x:v>
      </x:c>
      <x:c r="Y64" t="str">
        <x:v>Good to go</x:v>
      </x:c>
      <x:c r="Z64" t="n">
        <x:v>46069.353077789354</x:v>
      </x:c>
      <x:c r="AA64" t="str">
        <x:v>samsuddin.jumbri@petronas.com</x:v>
      </x:c>
      <x:c r="AB64" t="str">
        <x:v>approved</x:v>
      </x:c>
      <x:c r="AC64" t="str">
        <x:v>kubernetes upgrade (target 20th Feb 2026, night).</x:v>
      </x:c>
      <x:c r="AD64" t="n">
        <x:v>46072.27073238426</x:v>
      </x:c>
      <x:c r="AE64" t="str">
        <x:v>syazali.saad@petronas.com</x:v>
      </x:c>
      <x:c r="AF64" t="str">
        <x:v>approved</x:v>
      </x:c>
      <x:c r="AG64" t="str">
        <x:v>done on 20/2</x:v>
      </x:c>
      <x:c r="AH64" t="n">
        <x:v>46114.188263275464</x:v>
      </x:c>
      <x:c r="AI64" t="str">
        <x:v>izham.ajmaan@petronas.com</x:v>
      </x:c>
      <x:c r="AJ64" t="str">
        <x:v>approved</x:v>
      </x:c>
      <x:c r="AK64" t="str">
        <x:v>REQ000007881736</x:v>
      </x:c>
      <x:c r="AL64" t="str">
        <x:v>ea9ff09d-7f7a-482f-a081-c07b99b496a2</x:v>
      </x:c>
      <x:c r="AM64" s="23" t="str">
        <x:f>IF(E64="processing",IF(Z64="","",IF(ISNUMBER(Z64),INT(Z64),DATE(VALUE(LEFT(Z64,4)),VALUE(MID(Z64,6,2)),VALUE(MID(Z64,9,2))))),IF(OR(E64="executing",E64="pending"),IF(AD64="","",IF(ISNUMBER(AD64),INT(AD64),DATE(VALUE(LEFT(AD64,4)),VALUE(MID(AD64,6,2)),VALUE(MID(AD64,9,2))))),""))</x:f>
      </x:c>
      <x:c r="AN64" s="24" t="str">
        <x:f>IF(AM64="","",INT('Configuration'!$B$4)-AM64)</x:f>
      </x:c>
      <x:c r="AO64" s="25" t="str">
        <x:f>IF(AM64="","Missing Required Date",IF(AN64&lt;0,"Future Date",IF(AN64=0,"0 days",IF(AN64&lt;=2,"1-2 days",IF(AN64&lt;=7,"3-7 days",IF(AN64&lt;=14,"8-14 days",IF(AN64&lt;=30,"15-30 days",IF(AN64&lt;=60,"31-60 days",IF(AN64&lt;=70,"61-70 days","71+ days")))))))))</x:f>
        <x:v>Missing Required Date</x:v>
      </x:c>
      <x:c r="AP64" s="25" t="str">
        <x:f>IF(OR(E64="processing",E64="executing",E64="pending"),IF(AM64="","Required aging date missing",IF(AN64&gt;30,"Escalate &gt;30d",IF(AN64&gt;14,"Watch &gt;14d","Within 14d"))),"Out of scope")</x:f>
        <x:v>Out of scope</x:v>
      </x:c>
    </x:row>
    <x:row r="65" ht="24" customHeight="1">
      <x:c r="A65" t="str">
        <x:v>55fb99fa-591a-4969-a638-46daa411e6e6</x:v>
      </x:c>
      <x:c r="B65" t="str">
        <x:v>CSSP10620386</x:v>
      </x:c>
      <x:c r="C65" t="str">
        <x:v>zulhasyidi.hassan@petronas.com</x:v>
      </x:c>
      <x:c r="D65" t="str">
        <x:v>provision-cloud-public</x:v>
      </x:c>
      <x:c r="E65" t="str">
        <x:v>completed</x:v>
      </x:c>
      <x:c r="F65" t="n">
        <x:v>46073.32463443287</x:v>
      </x:c>
      <x:c r="G65" t="n">
        <x:v>46073.32463443287</x:v>
      </x:c>
      <x:c r="H65" t="n">
        <x:v>46092.17548827546</x:v>
      </x:c>
      <x:c r="I65" t="str">
        <x:v>A-000566</x:v>
      </x:c>
      <x:c r="J65" t="str">
        <x:v>Plant Information - PI CHOPI UPSTREAM</x:v>
      </x:c>
      <x:c r="K65" t="str">
        <x:v>02421_12</x:v>
      </x:c>
      <x:c r="L65" t="str">
        <x:v>Cloud Migration Program - PI Upstream</x:v>
      </x:c>
      <x:c r="M65" t="str">
        <x:v>mohammadsani.johari@petronas.com.my</x:v>
      </x:c>
      <x:c r="N65" t="str">
        <x:v>PI Upstream Cho PI</x:v>
      </x:c>
      <x:c r="O65" t="str">
        <x:v>Modify</x:v>
      </x:c>
      <x:c r="P65" t="str">
        <x:v>Production</x:v>
      </x:c>
      <x:c r="Q65" t="str">
        <x:v>Upgrade existing server CPU specification (PTSG-1PIDB01 &amp; PTSG-1PIDB02)</x:v>
      </x:c>
      <x:c r="R65" t="str">
        <x:v>M</x:v>
      </x:c>
      <x:c r="S65" t="str">
        <x:v>ICT_RFC00219433</x:v>
      </x:c>
      <x:c r="T65"/>
      <x:c r="U65" t="str">
        <x:v>Approved</x:v>
      </x:c>
      <x:c r="V65" t="n">
        <x:v>46076.03206297454</x:v>
      </x:c>
      <x:c r="W65" t="str">
        <x:v>mohammadsani.johari@petronas.com</x:v>
      </x:c>
      <x:c r="X65" t="str">
        <x:v>approved</x:v>
      </x:c>
      <x:c r="Y65" t="str">
        <x:v>Good to go</x:v>
      </x:c>
      <x:c r="Z65" t="n">
        <x:v>46077.32007829861</x:v>
      </x:c>
      <x:c r="AA65" t="str">
        <x:v>samsuddin.jumbri@petronas.com</x:v>
      </x:c>
      <x:c r="AB65" t="str">
        <x:v>approved</x:v>
      </x:c>
      <x:c r="AC65" t="str">
        <x:v>RFC.
Azure focal - Abu
primary - Badri
2ndary - Afnan</x:v>
      </x:c>
      <x:c r="AD65" t="n">
        <x:v>46077.32741680556</x:v>
      </x:c>
      <x:c r="AE65" t="str">
        <x:v>syazali.saad@petronas.com</x:v>
      </x:c>
      <x:c r="AF65" t="str">
        <x:v>approved</x:v>
      </x:c>
      <x:c r="AG65" t="str">
        <x:v>request completed</x:v>
      </x:c>
      <x:c r="AH65" t="n">
        <x:v>46092.17548828704</x:v>
      </x:c>
      <x:c r="AI65" t="str">
        <x:v>izzat.romainor@petronas.com</x:v>
      </x:c>
      <x:c r="AJ65" t="str">
        <x:v>approved</x:v>
      </x:c>
      <x:c r="AK65" t="str">
        <x:v>REQ000007890587</x:v>
      </x:c>
      <x:c r="AL65" t="str">
        <x:v>fd598383-7773-40d2-a78c-f50abc149ce9</x:v>
      </x:c>
      <x:c r="AM65" s="23" t="str">
        <x:f>IF(E65="processing",IF(Z65="","",IF(ISNUMBER(Z65),INT(Z65),DATE(VALUE(LEFT(Z65,4)),VALUE(MID(Z65,6,2)),VALUE(MID(Z65,9,2))))),IF(OR(E65="executing",E65="pending"),IF(AD65="","",IF(ISNUMBER(AD65),INT(AD65),DATE(VALUE(LEFT(AD65,4)),VALUE(MID(AD65,6,2)),VALUE(MID(AD65,9,2))))),""))</x:f>
      </x:c>
      <x:c r="AN65" s="24" t="str">
        <x:f>IF(AM65="","",INT('Configuration'!$B$4)-AM65)</x:f>
      </x:c>
      <x:c r="AO65" s="25" t="str">
        <x:f>IF(AM65="","Missing Required Date",IF(AN65&lt;0,"Future Date",IF(AN65=0,"0 days",IF(AN65&lt;=2,"1-2 days",IF(AN65&lt;=7,"3-7 days",IF(AN65&lt;=14,"8-14 days",IF(AN65&lt;=30,"15-30 days",IF(AN65&lt;=60,"31-60 days",IF(AN65&lt;=70,"61-70 days","71+ days")))))))))</x:f>
        <x:v>Missing Required Date</x:v>
      </x:c>
      <x:c r="AP65" s="25" t="str">
        <x:f>IF(OR(E65="processing",E65="executing",E65="pending"),IF(AM65="","Required aging date missing",IF(AN65&gt;30,"Escalate &gt;30d",IF(AN65&gt;14,"Watch &gt;14d","Within 14d"))),"Out of scope")</x:f>
        <x:v>Out of scope</x:v>
      </x:c>
    </x:row>
    <x:row r="66" ht="24" customHeight="1">
      <x:c r="A66" t="str">
        <x:v>92c4b87a-8c76-427d-a543-89a708619ea5</x:v>
      </x:c>
      <x:c r="B66" t="str">
        <x:v>CSSP10936246</x:v>
      </x:c>
      <x:c r="C66" t="str">
        <x:v>mohamadkhamanfa.norm@petronas.com</x:v>
      </x:c>
      <x:c r="D66" t="str">
        <x:v>provision-cloud-public</x:v>
      </x:c>
      <x:c r="E66" t="str">
        <x:v>completed</x:v>
      </x:c>
      <x:c r="F66" t="n">
        <x:v>46076.172252094904</x:v>
      </x:c>
      <x:c r="G66" t="n">
        <x:v>46076.172252094904</x:v>
      </x:c>
      <x:c r="H66" t="n">
        <x:v>46097.36706614583</x:v>
      </x:c>
      <x:c r="I66" t="str">
        <x:v>C-000009</x:v>
      </x:c>
      <x:c r="J66" t="str">
        <x:v>Common DevOps</x:v>
      </x:c>
      <x:c r="K66" t="str">
        <x:v>Common-DevOps</x:v>
      </x:c>
      <x:c r="L66" t="str">
        <x:v>Common DevOps (VS-petronasvsts-Group)</x:v>
      </x:c>
      <x:c r="M66" t="str">
        <x:v>ahmadkamal.aziz@petronas.com</x:v>
      </x:c>
      <x:c r="N66" t="str">
        <x:v>DevOps Project Portal</x:v>
      </x:c>
      <x:c r="O66" t="str">
        <x:v>New</x:v>
      </x:c>
      <x:c r="P66" t="str">
        <x:v>Production</x:v>
      </x:c>
      <x:c r="Q66" t="str">
        <x:v>6 BU, 12 MY Subscriptions, 1 VM in each Subs, Thus, 12 Windows VM. 
Azure DevOps Agent. Using same cost center and project code from CommonDevOps (Azure DevOps services bill tagged)</x:v>
      </x:c>
      <x:c r="R66" t="str">
        <x:v>M</x:v>
      </x:c>
      <x:c r="S66"/>
      <x:c r="T66"/>
      <x:c r="U66" t="str">
        <x:v>Proceed</x:v>
      </x:c>
      <x:c r="V66" t="n">
        <x:v>46076.17779972222</x:v>
      </x:c>
      <x:c r="W66" t="str">
        <x:v>ahmadkamal.aziz@petronas.com</x:v>
      </x:c>
      <x:c r="X66" t="str">
        <x:v>approved</x:v>
      </x:c>
      <x:c r="Y66" t="str">
        <x:v>Good to go</x:v>
      </x:c>
      <x:c r="Z66" t="n">
        <x:v>46080.327154074075</x:v>
      </x:c>
      <x:c r="AA66" t="str">
        <x:v>samsuddin.jumbri@petronas.com</x:v>
      </x:c>
      <x:c r="AB66" t="str">
        <x:v>approved</x:v>
      </x:c>
      <x:c r="AC66" t="str">
        <x:v>new ADO WE</x:v>
      </x:c>
      <x:c r="AD66" t="n">
        <x:v>46085.20341988426</x:v>
      </x:c>
      <x:c r="AE66" t="str">
        <x:v>syazali.saad@petronas.com</x:v>
      </x:c>
      <x:c r="AF66" t="str">
        <x:v>approved</x:v>
      </x:c>
      <x:c r="AG66" t="str">
        <x:v>completed</x:v>
      </x:c>
      <x:c r="AH66" t="n">
        <x:v>46097.36706614583</x:v>
      </x:c>
      <x:c r="AI66" t="str">
        <x:v>akhmal.roslan@petronas.com</x:v>
      </x:c>
      <x:c r="AJ66" t="str">
        <x:v>approved</x:v>
      </x:c>
      <x:c r="AK66" t="str">
        <x:v>REQ000007913365</x:v>
      </x:c>
      <x:c r="AL66" t="str">
        <x:v>6f125514-d21d-4733-9965-a181b6199525</x:v>
      </x:c>
      <x:c r="AM66" s="23" t="str">
        <x:f>IF(E66="processing",IF(Z66="","",IF(ISNUMBER(Z66),INT(Z66),DATE(VALUE(LEFT(Z66,4)),VALUE(MID(Z66,6,2)),VALUE(MID(Z66,9,2))))),IF(OR(E66="executing",E66="pending"),IF(AD66="","",IF(ISNUMBER(AD66),INT(AD66),DATE(VALUE(LEFT(AD66,4)),VALUE(MID(AD66,6,2)),VALUE(MID(AD66,9,2))))),""))</x:f>
      </x:c>
      <x:c r="AN66" s="24" t="str">
        <x:f>IF(AM66="","",INT('Configuration'!$B$4)-AM66)</x:f>
      </x:c>
      <x:c r="AO66" s="25" t="str">
        <x:f>IF(AM66="","Missing Required Date",IF(AN66&lt;0,"Future Date",IF(AN66=0,"0 days",IF(AN66&lt;=2,"1-2 days",IF(AN66&lt;=7,"3-7 days",IF(AN66&lt;=14,"8-14 days",IF(AN66&lt;=30,"15-30 days",IF(AN66&lt;=60,"31-60 days",IF(AN66&lt;=70,"61-70 days","71+ days")))))))))</x:f>
        <x:v>Missing Required Date</x:v>
      </x:c>
      <x:c r="AP66" s="25" t="str">
        <x:f>IF(OR(E66="processing",E66="executing",E66="pending"),IF(AM66="","Required aging date missing",IF(AN66&gt;30,"Escalate &gt;30d",IF(AN66&gt;14,"Watch &gt;14d","Within 14d"))),"Out of scope")</x:f>
        <x:v>Out of scope</x:v>
      </x:c>
    </x:row>
    <x:row r="67" ht="24" customHeight="1">
      <x:c r="A67" t="str">
        <x:v>5eddc4bf-6658-4932-81e4-4f51bfcf6b77</x:v>
      </x:c>
      <x:c r="B67" t="str">
        <x:v>CSSP10505264</x:v>
      </x:c>
      <x:c r="C67" t="str">
        <x:v>ettonnarimah@petronas.com</x:v>
      </x:c>
      <x:c r="D67" t="str">
        <x:v>provision-cloud-public</x:v>
      </x:c>
      <x:c r="E67" t="str">
        <x:v>rejected</x:v>
      </x:c>
      <x:c r="F67" t="n">
        <x:v>46076.25043788194</x:v>
      </x:c>
      <x:c r="G67" t="n">
        <x:v>46076.25043788194</x:v>
      </x:c>
      <x:c r="H67" t="n">
        <x:v>46098.08090732639</x:v>
      </x:c>
      <x:c r="I67" t="str">
        <x:v>A-001315</x:v>
      </x:c>
      <x:c r="J67" t="str">
        <x:v>PDB Data &amp; Intelligence Platform</x:v>
      </x:c>
      <x:c r="K67" t="str">
        <x:v>SR25023</x:v>
      </x:c>
      <x:c r="L67" t="str">
        <x:v>PDB Data &amp; Intelligence Platform</x:v>
      </x:c>
      <x:c r="M67" t="str">
        <x:v>mariful.islam@petronas.com.my</x:v>
      </x:c>
      <x:c r="N67" t="str">
        <x:v>AI Enablement for PDB</x:v>
      </x:c>
      <x:c r="O67" t="str">
        <x:v>New</x:v>
      </x:c>
      <x:c r="P67" t="str">
        <x:v>Development</x:v>
      </x:c>
      <x:c r="Q67" t="str">
        <x:v>Compute Name: PDB-CAD-NUR AINA ALIYAH
Assign To: Nur Aina Aliyah Yusry Effendy (CAD/PDB)
Virtual Machine Size: Standard_D4s_v3 4 cores, 16GB RAM, 32GB storage
Auto Shut Down Schedule: 60 minutes
</x:v>
      </x:c>
      <x:c r="R67"/>
      <x:c r="S67"/>
      <x:c r="T67"/>
      <x:c r="U67" t="str">
        <x:v>ok</x:v>
      </x:c>
      <x:c r="V67" t="n">
        <x:v>46097.44269362269</x:v>
      </x:c>
      <x:c r="W67" t="str">
        <x:v>mariful.islam@petronas.com</x:v>
      </x:c>
      <x:c r="X67" t="str">
        <x:v>approved</x:v>
      </x:c>
      <x:c r="Y67" t="str">
        <x:v>To comply with the Cloud Service Request and Provisioning Guideline v4.0, kindly provide the approved CS BIA, SOW/HLD and Estimate Cost (in excel file downloaded from Azure/AWS calculator website portal) as supporting evidence. </x:v>
      </x:c>
      <x:c r="Z67" t="n">
        <x:v>46098.080907337964</x:v>
      </x:c>
      <x:c r="AA67" t="str">
        <x:v>samsuddin.jumbri@petronas.com</x:v>
      </x:c>
      <x:c r="AB67" t="str">
        <x:v>rejected</x:v>
      </x:c>
      <x:c r="AC67"/>
      <x:c r="AD67"/>
      <x:c r="AE67" t="str">
        <x:v>CCoE Business</x:v>
      </x:c>
      <x:c r="AF67"/>
      <x:c r="AG67"/>
      <x:c r="AH67"/>
      <x:c r="AI67" t="str">
        <x:v>CCoE Core Services (Public)</x:v>
      </x:c>
      <x:c r="AJ67"/>
      <x:c r="AK67"/>
      <x:c r="AL67" t="str">
        <x:v>b4e60f9a-b7c8-4e1d-8847-6f2e75534143</x:v>
      </x:c>
      <x:c r="AM67" s="23" t="str">
        <x:f>IF(E67="processing",IF(Z67="","",IF(ISNUMBER(Z67),INT(Z67),DATE(VALUE(LEFT(Z67,4)),VALUE(MID(Z67,6,2)),VALUE(MID(Z67,9,2))))),IF(OR(E67="executing",E67="pending"),IF(AD67="","",IF(ISNUMBER(AD67),INT(AD67),DATE(VALUE(LEFT(AD67,4)),VALUE(MID(AD67,6,2)),VALUE(MID(AD67,9,2))))),""))</x:f>
      </x:c>
      <x:c r="AN67" s="24" t="str">
        <x:f>IF(AM67="","",INT('Configuration'!$B$4)-AM67)</x:f>
      </x:c>
      <x:c r="AO67" s="25" t="str">
        <x:f>IF(AM67="","Missing Required Date",IF(AN67&lt;0,"Future Date",IF(AN67=0,"0 days",IF(AN67&lt;=2,"1-2 days",IF(AN67&lt;=7,"3-7 days",IF(AN67&lt;=14,"8-14 days",IF(AN67&lt;=30,"15-30 days",IF(AN67&lt;=60,"31-60 days",IF(AN67&lt;=70,"61-70 days","71+ days")))))))))</x:f>
        <x:v>Missing Required Date</x:v>
      </x:c>
      <x:c r="AP67" s="25" t="str">
        <x:f>IF(OR(E67="processing",E67="executing",E67="pending"),IF(AM67="","Required aging date missing",IF(AN67&gt;30,"Escalate &gt;30d",IF(AN67&gt;14,"Watch &gt;14d","Within 14d"))),"Out of scope")</x:f>
        <x:v>Out of scope</x:v>
      </x:c>
    </x:row>
    <x:row r="68" ht="24" customHeight="1">
      <x:c r="A68" t="str">
        <x:v>3c3b3712-3078-4079-977d-361f5eeceb58</x:v>
      </x:c>
      <x:c r="B68" t="str">
        <x:v>CSSP10772786</x:v>
      </x:c>
      <x:c r="C68" t="str">
        <x:v>mibrahim.sulaima@petronas.com</x:v>
      </x:c>
      <x:c r="D68" t="str">
        <x:v>provision-cloud-public</x:v>
      </x:c>
      <x:c r="E68" t="str">
        <x:v>completed</x:v>
      </x:c>
      <x:c r="F68" t="n">
        <x:v>46077.304119444445</x:v>
      </x:c>
      <x:c r="G68" t="n">
        <x:v>46077.304119444445</x:v>
      </x:c>
      <x:c r="H68" t="n">
        <x:v>46094.27951479167</x:v>
      </x:c>
      <x:c r="I68" t="str">
        <x:v>A-000303</x:v>
      </x:c>
      <x:c r="J68" t="str">
        <x:v>Enhancement of Enhanced Resource Monetization by Artificial Intelligence - ERMAI Phase 3 for Malaysia Petroleum Management - MPM</x:v>
      </x:c>
      <x:c r="K68" t="n">
        <x:v>100</x:v>
      </x:c>
      <x:c r="L68" t="str">
        <x:v>Enhancement of Enhanced Resource Monetization by Artificial Intelligence (ERMAI) Phase 4 </x:v>
      </x:c>
      <x:c r="M68" t="str">
        <x:v>limeng.tan@petronas.com.my</x:v>
      </x:c>
      <x:c r="N68" t="str">
        <x:v>ERMAI</x:v>
      </x:c>
      <x:c r="O68" t="str">
        <x:v>Modify</x:v>
      </x:c>
      <x:c r="P68" t="str">
        <x:v>Development</x:v>
      </x:c>
      <x:c r="Q68" t="str">
        <x:v>Our Dev VM is currently having occasional 'hang' whenever new deployment or VM auto turn-on every morning. We identified potential bottleneck happen in Data Disk due to massive read/write especially on application logging. Hence raising this request to upgrade existing disk from Standard SSD to Premium SSD. 
VM: PTSG-5ERMAIap01
To upgrade by swaping data disk from Standard SSD to Premium SSD.</x:v>
      </x:c>
      <x:c r="R68" t="str">
        <x:v>M</x:v>
      </x:c>
      <x:c r="S68"/>
      <x:c r="T68"/>
      <x:c r="U68" t="str">
        <x:v>Approved as per acknowledgement by business PM (M Faizal B A Rahim)</x:v>
      </x:c>
      <x:c r="V68" t="n">
        <x:v>46078.07666158565</x:v>
      </x:c>
      <x:c r="W68" t="str">
        <x:v>limeng.tan@petronas.com</x:v>
      </x:c>
      <x:c r="X68" t="str">
        <x:v>approved</x:v>
      </x:c>
      <x:c r="Y68" t="str">
        <x:v>Good to go</x:v>
      </x:c>
      <x:c r="Z68" t="n">
        <x:v>46080.328649282405</x:v>
      </x:c>
      <x:c r="AA68" t="str">
        <x:v>samsuddin.jumbri@petronas.com</x:v>
      </x:c>
      <x:c r="AB68" t="str">
        <x:v>approved</x:v>
      </x:c>
      <x:c r="AC68" t="str">
        <x:v>upsize</x:v>
      </x:c>
      <x:c r="AD68" t="n">
        <x:v>46091.31656421296</x:v>
      </x:c>
      <x:c r="AE68" t="str">
        <x:v>syazali.saad@petronas.com</x:v>
      </x:c>
      <x:c r="AF68" t="str">
        <x:v>approved</x:v>
      </x:c>
      <x:c r="AG68" t="str">
        <x:v>Completed</x:v>
      </x:c>
      <x:c r="AH68" t="n">
        <x:v>46094.27951479167</x:v>
      </x:c>
      <x:c r="AI68" t="str">
        <x:v>badri.shaharudin@petronas.com</x:v>
      </x:c>
      <x:c r="AJ68" t="str">
        <x:v>approved</x:v>
      </x:c>
      <x:c r="AK68" t="str">
        <x:v>REQ000007924665</x:v>
      </x:c>
      <x:c r="AL68" t="str">
        <x:v>5863a8c2-1f97-4aab-9158-0ada19ce8b61</x:v>
      </x:c>
      <x:c r="AM68" s="23" t="str">
        <x:f>IF(E68="processing",IF(Z68="","",IF(ISNUMBER(Z68),INT(Z68),DATE(VALUE(LEFT(Z68,4)),VALUE(MID(Z68,6,2)),VALUE(MID(Z68,9,2))))),IF(OR(E68="executing",E68="pending"),IF(AD68="","",IF(ISNUMBER(AD68),INT(AD68),DATE(VALUE(LEFT(AD68,4)),VALUE(MID(AD68,6,2)),VALUE(MID(AD68,9,2))))),""))</x:f>
      </x:c>
      <x:c r="AN68" s="24" t="str">
        <x:f>IF(AM68="","",INT('Configuration'!$B$4)-AM68)</x:f>
      </x:c>
      <x:c r="AO68" s="25" t="str">
        <x:f>IF(AM68="","Missing Required Date",IF(AN68&lt;0,"Future Date",IF(AN68=0,"0 days",IF(AN68&lt;=2,"1-2 days",IF(AN68&lt;=7,"3-7 days",IF(AN68&lt;=14,"8-14 days",IF(AN68&lt;=30,"15-30 days",IF(AN68&lt;=60,"31-60 days",IF(AN68&lt;=70,"61-70 days","71+ days")))))))))</x:f>
        <x:v>Missing Required Date</x:v>
      </x:c>
      <x:c r="AP68" s="25" t="str">
        <x:f>IF(OR(E68="processing",E68="executing",E68="pending"),IF(AM68="","Required aging date missing",IF(AN68&gt;30,"Escalate &gt;30d",IF(AN68&gt;14,"Watch &gt;14d","Within 14d"))),"Out of scope")</x:f>
        <x:v>Out of scope</x:v>
      </x:c>
    </x:row>
    <x:row r="69" ht="24" customHeight="1">
      <x:c r="A69" t="str">
        <x:v>cbb7b077-d8cf-41e4-892e-e6bac1d707d3</x:v>
      </x:c>
      <x:c r="B69" t="str">
        <x:v>CSSP10604853</x:v>
      </x:c>
      <x:c r="C69" t="str">
        <x:v>mfaizal.salleh@petronas.com</x:v>
      </x:c>
      <x:c r="D69" t="str">
        <x:v>provision-cloud-public</x:v>
      </x:c>
      <x:c r="E69" t="str">
        <x:v>completed</x:v>
      </x:c>
      <x:c r="F69" t="n">
        <x:v>46078.01204931713</x:v>
      </x:c>
      <x:c r="G69" t="n">
        <x:v>46078.01204931713</x:v>
      </x:c>
      <x:c r="H69" t="n">
        <x:v>46219.06947282407</x:v>
      </x:c>
      <x:c r="I69" t="str">
        <x:v>A-000461</x:v>
      </x:c>
      <x:c r="J69" t="str">
        <x:v>Malaysian Financial Reporting Standards - MFRS</x:v>
      </x:c>
      <x:c r="K69" t="n">
        <x:v>789</x:v>
      </x:c>
      <x:c r="L69" t="str">
        <x:v>Implementation Malaysian Financial Reporting Standards (MFRS) Statutory Reporting (MFRS16) for PETRONAS Group of Companies</x:v>
      </x:c>
      <x:c r="M69" t="str">
        <x:v>amirshazlan.mshah@petronas.com.my</x:v>
      </x:c>
      <x:c r="N69" t="str">
        <x:v>MFRS program</x:v>
      </x:c>
      <x:c r="O69" t="str">
        <x:v>New</x:v>
      </x:c>
      <x:c r="P69" t="str">
        <x:v>Production</x:v>
      </x:c>
      <x:c r="Q69" t="str">
        <x:v>To add private endpoint for ptsg-1mfrswb01. As part of cyber security initiative to remove MFRS from public facing.</x:v>
      </x:c>
      <x:c r="R69" t="str">
        <x:v>S</x:v>
      </x:c>
      <x:c r="S69"/>
      <x:c r="T69"/>
      <x:c r="U69" t="str">
        <x:v>approved</x:v>
      </x:c>
      <x:c r="V69" t="n">
        <x:v>46078.03242096065</x:v>
      </x:c>
      <x:c r="W69" t="str">
        <x:v>amirshazlan.mshah@petronas.com</x:v>
      </x:c>
      <x:c r="X69" t="str">
        <x:v>approved</x:v>
      </x:c>
      <x:c r="Y69" t="str">
        <x:v>Good to go</x:v>
      </x:c>
      <x:c r="Z69" t="n">
        <x:v>46080.09021116898</x:v>
      </x:c>
      <x:c r="AA69" t="str">
        <x:v>samsuddin.jumbri@petronas.com</x:v>
      </x:c>
      <x:c r="AB69" t="str">
        <x:v>approved</x:v>
      </x:c>
      <x:c r="AC69" t="str">
        <x:v>PE. OLZ, clickops</x:v>
      </x:c>
      <x:c r="AD69" t="n">
        <x:v>46085.194525729166</x:v>
      </x:c>
      <x:c r="AE69" t="str">
        <x:v>syazali.saad@petronas.com</x:v>
      </x:c>
      <x:c r="AF69" t="str">
        <x:v>approved</x:v>
      </x:c>
      <x:c r="AG69" t="str">
        <x:v>The new function apps have been created (ptazsg-1hipsdiuauc)</x:v>
      </x:c>
      <x:c r="AH69" t="n">
        <x:v>46219.06947282407</x:v>
      </x:c>
      <x:c r="AI69" t="str">
        <x:v>muhdfirdaus.muhamad@petronas.com</x:v>
      </x:c>
      <x:c r="AJ69" t="str">
        <x:v>approved</x:v>
      </x:c>
      <x:c r="AK69" t="str">
        <x:v>REQ000007913285</x:v>
      </x:c>
      <x:c r="AL69" t="str">
        <x:v>f9b1ea22-2e56-44a1-8e04-89cf16f7a673</x:v>
      </x:c>
      <x:c r="AM69" s="23" t="str">
        <x:f>IF(E69="processing",IF(Z69="","",IF(ISNUMBER(Z69),INT(Z69),DATE(VALUE(LEFT(Z69,4)),VALUE(MID(Z69,6,2)),VALUE(MID(Z69,9,2))))),IF(OR(E69="executing",E69="pending"),IF(AD69="","",IF(ISNUMBER(AD69),INT(AD69),DATE(VALUE(LEFT(AD69,4)),VALUE(MID(AD69,6,2)),VALUE(MID(AD69,9,2))))),""))</x:f>
      </x:c>
      <x:c r="AN69" s="24" t="str">
        <x:f>IF(AM69="","",INT('Configuration'!$B$4)-AM69)</x:f>
      </x:c>
      <x:c r="AO69" s="25" t="str">
        <x:f>IF(AM69="","Missing Required Date",IF(AN69&lt;0,"Future Date",IF(AN69=0,"0 days",IF(AN69&lt;=2,"1-2 days",IF(AN69&lt;=7,"3-7 days",IF(AN69&lt;=14,"8-14 days",IF(AN69&lt;=30,"15-30 days",IF(AN69&lt;=60,"31-60 days",IF(AN69&lt;=70,"61-70 days","71+ days")))))))))</x:f>
        <x:v>Missing Required Date</x:v>
      </x:c>
      <x:c r="AP69" s="25" t="str">
        <x:f>IF(OR(E69="processing",E69="executing",E69="pending"),IF(AM69="","Required aging date missing",IF(AN69&gt;30,"Escalate &gt;30d",IF(AN69&gt;14,"Watch &gt;14d","Within 14d"))),"Out of scope")</x:f>
        <x:v>Out of scope</x:v>
      </x:c>
    </x:row>
    <x:row r="70" ht="24" customHeight="1">
      <x:c r="A70" t="str">
        <x:v>61efcb3f-4264-4f7d-876c-fcf42812205e</x:v>
      </x:c>
      <x:c r="B70" t="str">
        <x:v>CSSP10479891</x:v>
      </x:c>
      <x:c r="C70" t="str">
        <x:v>ahmadaimanhakim.nora@petronas.com</x:v>
      </x:c>
      <x:c r="D70" t="str">
        <x:v>provision-cloud-public</x:v>
      </x:c>
      <x:c r="E70" t="str">
        <x:v>completed</x:v>
      </x:c>
      <x:c r="F70" t="n">
        <x:v>46078.14108998843</x:v>
      </x:c>
      <x:c r="G70" t="n">
        <x:v>46078.15010053241</x:v>
      </x:c>
      <x:c r="H70" t="n">
        <x:v>46091.35855693287</x:v>
      </x:c>
      <x:c r="I70" t="str">
        <x:v>A-000361</x:v>
      </x:c>
      <x:c r="J70" t="str">
        <x:v>Integrated Asset Modelling - IAM</x:v>
      </x:c>
      <x:c r="K70" t="n">
        <x:v>859</x:v>
      </x:c>
      <x:c r="L70" t="str">
        <x:v>Implementation of development, testing and production server for Integrated Asset Modelling (IAM) for COE, PCSB</x:v>
      </x:c>
      <x:c r="M70" t="str">
        <x:v>halim.matnoh@petronas.com.my</x:v>
      </x:c>
      <x:c r="N70" t="str">
        <x:v>Project IAM</x:v>
      </x:c>
      <x:c r="O70" t="str">
        <x:v>Modify</x:v>
      </x:c>
      <x:c r="P70" t="str">
        <x:v>Production</x:v>
      </x:c>
      <x:c r="Q70" t="str">
        <x:v>To upgrade these servers resources PTSG-1IVMDMAP01 &amp; PTSG-1IVMDMAP02
Current -  Standard E8ds v4 (8 vcpus, 64 GiB memory). C Disk - 127 GiB
Upgrade to - 1 B32as v2 (32 vCPUs, 128 GB RAM), C Disk - 512 GiB</x:v>
      </x:c>
      <x:c r="R70" t="str">
        <x:v>M</x:v>
      </x:c>
      <x:c r="S70" t="str">
        <x:v>ICT_RFC00219829</x:v>
      </x:c>
      <x:c r="T70"/>
      <x:c r="U70" t="str">
        <x:v>approved</x:v>
      </x:c>
      <x:c r="V70" t="n">
        <x:v>46079.26165040509</x:v>
      </x:c>
      <x:c r="W70" t="str">
        <x:v>halim.matnoh@petronas.com</x:v>
      </x:c>
      <x:c r="X70" t="str">
        <x:v>approved</x:v>
      </x:c>
      <x:c r="Y70" t="str">
        <x:v>Good to go</x:v>
      </x:c>
      <x:c r="Z70" t="n">
        <x:v>46079.27866199074</x:v>
      </x:c>
      <x:c r="AA70" t="str">
        <x:v>samsuddin.jumbri@petronas.com</x:v>
      </x:c>
      <x:c r="AB70" t="str">
        <x:v>approved</x:v>
      </x:c>
      <x:c r="AC70" t="str">
        <x:v>rfc scheduled</x:v>
      </x:c>
      <x:c r="AD70" t="n">
        <x:v>46079.32385457176</x:v>
      </x:c>
      <x:c r="AE70" t="str">
        <x:v>syazali.saad@petronas.com</x:v>
      </x:c>
      <x:c r="AF70" t="str">
        <x:v>approved</x:v>
      </x:c>
      <x:c r="AG70" t="str">
        <x:v>replaced with CSSP10479891. no longer required</x:v>
      </x:c>
      <x:c r="AH70" t="n">
        <x:v>46091.35855694445</x:v>
      </x:c>
      <x:c r="AI70" t="str">
        <x:v>syazali.saad@petronas.com</x:v>
      </x:c>
      <x:c r="AJ70" t="str">
        <x:v>approved</x:v>
      </x:c>
      <x:c r="AK70" t="str">
        <x:v>REQ000007896454</x:v>
      </x:c>
      <x:c r="AL70" t="str">
        <x:v>fe80e76e-a9eb-4430-8940-992f48d3788e</x:v>
      </x:c>
      <x:c r="AM70" s="23" t="str">
        <x:f>IF(E70="processing",IF(Z70="","",IF(ISNUMBER(Z70),INT(Z70),DATE(VALUE(LEFT(Z70,4)),VALUE(MID(Z70,6,2)),VALUE(MID(Z70,9,2))))),IF(OR(E70="executing",E70="pending"),IF(AD70="","",IF(ISNUMBER(AD70),INT(AD70),DATE(VALUE(LEFT(AD70,4)),VALUE(MID(AD70,6,2)),VALUE(MID(AD70,9,2))))),""))</x:f>
      </x:c>
      <x:c r="AN70" s="24" t="str">
        <x:f>IF(AM70="","",INT('Configuration'!$B$4)-AM70)</x:f>
      </x:c>
      <x:c r="AO70" s="25" t="str">
        <x:f>IF(AM70="","Missing Required Date",IF(AN70&lt;0,"Future Date",IF(AN70=0,"0 days",IF(AN70&lt;=2,"1-2 days",IF(AN70&lt;=7,"3-7 days",IF(AN70&lt;=14,"8-14 days",IF(AN70&lt;=30,"15-30 days",IF(AN70&lt;=60,"31-60 days",IF(AN70&lt;=70,"61-70 days","71+ days")))))))))</x:f>
        <x:v>Missing Required Date</x:v>
      </x:c>
      <x:c r="AP70" s="25" t="str">
        <x:f>IF(OR(E70="processing",E70="executing",E70="pending"),IF(AM70="","Required aging date missing",IF(AN70&gt;30,"Escalate &gt;30d",IF(AN70&gt;14,"Watch &gt;14d","Within 14d"))),"Out of scope")</x:f>
        <x:v>Out of scope</x:v>
      </x:c>
    </x:row>
    <x:row r="71" ht="24" customHeight="1">
      <x:c r="A71" t="str">
        <x:v>6b84a122-259b-46bd-baed-e50d61a4a220</x:v>
      </x:c>
      <x:c r="B71" t="str">
        <x:v>CSSP10519899</x:v>
      </x:c>
      <x:c r="C71" t="str">
        <x:v>princy.rajpoot@petronas.com</x:v>
      </x:c>
      <x:c r="D71" t="str">
        <x:v>provision-cloud-public</x:v>
      </x:c>
      <x:c r="E71" t="str">
        <x:v>completed</x:v>
      </x:c>
      <x:c r="F71" t="n">
        <x:v>46078.25724853009</x:v>
      </x:c>
      <x:c r="G71" t="n">
        <x:v>46078.25724853009</x:v>
      </x:c>
      <x:c r="H71" t="n">
        <x:v>46079.240320474535</x:v>
      </x:c>
      <x:c r="I71" t="str">
        <x:v>C-000011</x:v>
      </x:c>
      <x:c r="J71" t="str">
        <x:v>Common IAC Landing Zone</x:v>
      </x:c>
      <x:c r="K71" t="str">
        <x:v>00915_120</x:v>
      </x:c>
      <x:c r="L71" t="str">
        <x:v>Cloud Migration Azure Infrastructure for New Landing Zone</x:v>
      </x:c>
      <x:c r="M71" t="str">
        <x:v>sazali.mokhtar@petronas.com.my</x:v>
      </x:c>
      <x:c r="N71" t="str">
        <x:v>PETRONAS Cloud Repatriation for Azure</x:v>
      </x:c>
      <x:c r="O71" t="str">
        <x:v>New</x:v>
      </x:c>
      <x:c r="P71" t="str">
        <x:v>StagingUat</x:v>
      </x:c>
      <x:c r="Q71" t="str">
        <x:v>Cloud Repatriation for PE&amp;T (Azure Migration) - Need 1 shared VM with Domain Join to copy the data from Singapore region to Malaysia Region
</x:v>
      </x:c>
      <x:c r="R71" t="str">
        <x:v>S</x:v>
      </x:c>
      <x:c r="S71"/>
      <x:c r="T71"/>
      <x:c r="U71" t="str">
        <x:v>Data Migration for Repat Program.</x:v>
      </x:c>
      <x:c r="V71" t="n">
        <x:v>46078.26727655093</x:v>
      </x:c>
      <x:c r="W71" t="str">
        <x:v>sazali.mokhtar@petronas.com</x:v>
      </x:c>
      <x:c r="X71" t="str">
        <x:v>approved</x:v>
      </x:c>
      <x:c r="Y71" t="str">
        <x:v>confirmed by haslan</x:v>
      </x:c>
      <x:c r="Z71" t="n">
        <x:v>46078.27796164352</x:v>
      </x:c>
      <x:c r="AA71" t="str">
        <x:v>norhayati.saad@petronas.com</x:v>
      </x:c>
      <x:c r="AB71" t="str">
        <x:v>approved</x:v>
      </x:c>
      <x:c r="AC71" t="str">
        <x:v>Repat. Common Cloud.</x:v>
      </x:c>
      <x:c r="AD71" t="n">
        <x:v>46078.28870527778</x:v>
      </x:c>
      <x:c r="AE71" t="str">
        <x:v>syazali.saad@petronas.com</x:v>
      </x:c>
      <x:c r="AF71" t="str">
        <x:v>approved</x:v>
      </x:c>
      <x:c r="AG71" t="str">
        <x:v>resource provisioned</x:v>
      </x:c>
      <x:c r="AH71" t="n">
        <x:v>46079.24032048611</x:v>
      </x:c>
      <x:c r="AI71" t="str">
        <x:v>mhaslan.abuhassan@petronas.com</x:v>
      </x:c>
      <x:c r="AJ71" t="str">
        <x:v>approved</x:v>
      </x:c>
      <x:c r="AK71" t="str">
        <x:v>REQ000007893088</x:v>
      </x:c>
      <x:c r="AL71" t="str">
        <x:v>37299f6e-7a66-4e9b-be43-dc387a66f1ca</x:v>
      </x:c>
      <x:c r="AM71" s="23" t="str">
        <x:f>IF(E71="processing",IF(Z71="","",IF(ISNUMBER(Z71),INT(Z71),DATE(VALUE(LEFT(Z71,4)),VALUE(MID(Z71,6,2)),VALUE(MID(Z71,9,2))))),IF(OR(E71="executing",E71="pending"),IF(AD71="","",IF(ISNUMBER(AD71),INT(AD71),DATE(VALUE(LEFT(AD71,4)),VALUE(MID(AD71,6,2)),VALUE(MID(AD71,9,2))))),""))</x:f>
      </x:c>
      <x:c r="AN71" s="24" t="str">
        <x:f>IF(AM71="","",INT('Configuration'!$B$4)-AM71)</x:f>
      </x:c>
      <x:c r="AO71" s="25" t="str">
        <x:f>IF(AM71="","Missing Required Date",IF(AN71&lt;0,"Future Date",IF(AN71=0,"0 days",IF(AN71&lt;=2,"1-2 days",IF(AN71&lt;=7,"3-7 days",IF(AN71&lt;=14,"8-14 days",IF(AN71&lt;=30,"15-30 days",IF(AN71&lt;=60,"31-60 days",IF(AN71&lt;=70,"61-70 days","71+ days")))))))))</x:f>
        <x:v>Missing Required Date</x:v>
      </x:c>
      <x:c r="AP71" s="25" t="str">
        <x:f>IF(OR(E71="processing",E71="executing",E71="pending"),IF(AM71="","Required aging date missing",IF(AN71&gt;30,"Escalate &gt;30d",IF(AN71&gt;14,"Watch &gt;14d","Within 14d"))),"Out of scope")</x:f>
        <x:v>Out of scope</x:v>
      </x:c>
    </x:row>
    <x:row r="72" ht="24" customHeight="1">
      <x:c r="A72" t="str">
        <x:v>17b1e930-ca35-4c2f-bd05-8c434dfda17a</x:v>
      </x:c>
      <x:c r="B72" t="str">
        <x:v>CSSP10859404</x:v>
      </x:c>
      <x:c r="C72" t="str">
        <x:v>princy.rajpoot@petronas.com</x:v>
      </x:c>
      <x:c r="D72" t="str">
        <x:v>provision-cloud-public</x:v>
      </x:c>
      <x:c r="E72" t="str">
        <x:v>completed</x:v>
      </x:c>
      <x:c r="F72" t="n">
        <x:v>46078.25961990741</x:v>
      </x:c>
      <x:c r="G72" t="n">
        <x:v>46078.25961990741</x:v>
      </x:c>
      <x:c r="H72" t="n">
        <x:v>46142.147448125</x:v>
      </x:c>
      <x:c r="I72" t="str">
        <x:v>C-000011</x:v>
      </x:c>
      <x:c r="J72" t="str">
        <x:v>Common IAC Landing Zone</x:v>
      </x:c>
      <x:c r="K72" t="str">
        <x:v>00915_120</x:v>
      </x:c>
      <x:c r="L72" t="str">
        <x:v>Cloud Migration Azure Infrastructure for New Landing Zone</x:v>
      </x:c>
      <x:c r="M72" t="str">
        <x:v>sazali.mokhtar@petronas.com.my</x:v>
      </x:c>
      <x:c r="N72" t="str">
        <x:v>PETRONAS Cloud Repatriation for Azure</x:v>
      </x:c>
      <x:c r="O72" t="str">
        <x:v>New</x:v>
      </x:c>
      <x:c r="P72" t="str">
        <x:v>Production</x:v>
      </x:c>
      <x:c r="Q72" t="str">
        <x:v>Cloud Repatriation for PE&amp;T (Azure Migration) - For PROD -  Need 1 shared VM  with Domain Join to copy the data from Singapore region to Malaysia Region</x:v>
      </x:c>
      <x:c r="R72" t="str">
        <x:v>S</x:v>
      </x:c>
      <x:c r="S72"/>
      <x:c r="T72"/>
      <x:c r="U72" t="str">
        <x:v>Data Migration for Repat Program.</x:v>
      </x:c>
      <x:c r="V72" t="n">
        <x:v>46078.267039618055</x:v>
      </x:c>
      <x:c r="W72" t="str">
        <x:v>sazali.mokhtar@petronas.com</x:v>
      </x:c>
      <x:c r="X72" t="str">
        <x:v>approved</x:v>
      </x:c>
      <x:c r="Y72" t="str">
        <x:v>confirmed by haslan</x:v>
      </x:c>
      <x:c r="Z72" t="n">
        <x:v>46078.27793894676</x:v>
      </x:c>
      <x:c r="AA72" t="str">
        <x:v>norhayati.saad@petronas.com</x:v>
      </x:c>
      <x:c r="AB72" t="str">
        <x:v>approved</x:v>
      </x:c>
      <x:c r="AC72" t="str">
        <x:v>Repat. Common Cloud.</x:v>
      </x:c>
      <x:c r="AD72" t="n">
        <x:v>46078.288740474534</x:v>
      </x:c>
      <x:c r="AE72" t="str">
        <x:v>syazali.saad@petronas.com</x:v>
      </x:c>
      <x:c r="AF72" t="str">
        <x:v>approved</x:v>
      </x:c>
      <x:c r="AG72" t="str">
        <x:v>request already completed. closing on behalf of mhaslan.abuhassan@petronas.com
</x:v>
      </x:c>
      <x:c r="AH72" t="n">
        <x:v>46142.14744814815</x:v>
      </x:c>
      <x:c r="AI72" t="str">
        <x:v>syazali.saad@petronas.com</x:v>
      </x:c>
      <x:c r="AJ72" t="str">
        <x:v>approved</x:v>
      </x:c>
      <x:c r="AK72" t="str">
        <x:v>REQ000007893524</x:v>
      </x:c>
      <x:c r="AL72" t="str">
        <x:v>37299f6e-7a66-4e9b-be43-dc387a66f1ca</x:v>
      </x:c>
      <x:c r="AM72" s="23" t="str">
        <x:f>IF(E72="processing",IF(Z72="","",IF(ISNUMBER(Z72),INT(Z72),DATE(VALUE(LEFT(Z72,4)),VALUE(MID(Z72,6,2)),VALUE(MID(Z72,9,2))))),IF(OR(E72="executing",E72="pending"),IF(AD72="","",IF(ISNUMBER(AD72),INT(AD72),DATE(VALUE(LEFT(AD72,4)),VALUE(MID(AD72,6,2)),VALUE(MID(AD72,9,2))))),""))</x:f>
      </x:c>
      <x:c r="AN72" s="24" t="str">
        <x:f>IF(AM72="","",INT('Configuration'!$B$4)-AM72)</x:f>
      </x:c>
      <x:c r="AO72" s="25" t="str">
        <x:f>IF(AM72="","Missing Required Date",IF(AN72&lt;0,"Future Date",IF(AN72=0,"0 days",IF(AN72&lt;=2,"1-2 days",IF(AN72&lt;=7,"3-7 days",IF(AN72&lt;=14,"8-14 days",IF(AN72&lt;=30,"15-30 days",IF(AN72&lt;=60,"31-60 days",IF(AN72&lt;=70,"61-70 days","71+ days")))))))))</x:f>
        <x:v>Missing Required Date</x:v>
      </x:c>
      <x:c r="AP72" s="25" t="str">
        <x:f>IF(OR(E72="processing",E72="executing",E72="pending"),IF(AM72="","Required aging date missing",IF(AN72&gt;30,"Escalate &gt;30d",IF(AN72&gt;14,"Watch &gt;14d","Within 14d"))),"Out of scope")</x:f>
        <x:v>Out of scope</x:v>
      </x:c>
    </x:row>
    <x:row r="73" ht="24" customHeight="1">
      <x:c r="A73" t="str">
        <x:v>b0118029-5224-4da9-b529-9d375682b6c1</x:v>
      </x:c>
      <x:c r="B73" t="str">
        <x:v>CSSP10551255</x:v>
      </x:c>
      <x:c r="C73" t="str">
        <x:v>kianleng.geh@petronas.com</x:v>
      </x:c>
      <x:c r="D73" t="str">
        <x:v>provision-cloud-public</x:v>
      </x:c>
      <x:c r="E73" t="str">
        <x:v>completed</x:v>
      </x:c>
      <x:c r="F73" t="n">
        <x:v>46079.31732019676</x:v>
      </x:c>
      <x:c r="G73" t="n">
        <x:v>46079.31732019676</x:v>
      </x:c>
      <x:c r="H73" t="n">
        <x:v>46092.031580462964</x:v>
      </x:c>
      <x:c r="I73" t="str">
        <x:v>A-000558</x:v>
      </x:c>
      <x:c r="J73" t="str">
        <x:v>PETRONAS Global Website</x:v>
      </x:c>
      <x:c r="K73" t="str">
        <x:v>SR25012</x:v>
      </x:c>
      <x:c r="L73" t="str">
        <x:v>Mitigation of Cyber Security Risk &amp; Application Compatibility Issue for PETRONAS Global Website​</x:v>
      </x:c>
      <x:c r="M73" t="str">
        <x:v>mhaslan.abuhassan@petronas.com</x:v>
      </x:c>
      <x:c r="N73" t="str">
        <x:v>Petronas Global Website (Petronas.com)</x:v>
      </x:c>
      <x:c r="O73" t="str">
        <x:v>New</x:v>
      </x:c>
      <x:c r="P73" t="str">
        <x:v>Development</x:v>
      </x:c>
      <x:c r="Q73" t="str">
        <x:v>Please provision resources in Malaysia West region. OS=RHEL, MySQL=MySQL version 5.7</x:v>
      </x:c>
      <x:c r="R73" t="str">
        <x:v>M</x:v>
      </x:c>
      <x:c r="S73"/>
      <x:c r="T73"/>
      <x:c r="U73" t="str">
        <x:v>approved</x:v>
      </x:c>
      <x:c r="V73" t="n">
        <x:v>46079.34509091435</x:v>
      </x:c>
      <x:c r="W73" t="str">
        <x:v>mhaslan.abuhassan@petronas.com</x:v>
      </x:c>
      <x:c r="X73" t="str">
        <x:v>approved</x:v>
      </x:c>
      <x:c r="Y73" t="str">
        <x:v>Good to go</x:v>
      </x:c>
      <x:c r="Z73" t="n">
        <x:v>46080.089068125</x:v>
      </x:c>
      <x:c r="AA73" t="str">
        <x:v>samsuddin.jumbri@petronas.com</x:v>
      </x:c>
      <x:c r="AB73" t="str">
        <x:v>approved</x:v>
      </x:c>
      <x:c r="AC73" t="str">
        <x:v>.CSSP10551255 - CSSP10816410 </x:v>
      </x:c>
      <x:c r="AD73" t="n">
        <x:v>46080.12090996528</x:v>
      </x:c>
      <x:c r="AE73" t="str">
        <x:v>syazali.saad@petronas.com</x:v>
      </x:c>
      <x:c r="AF73" t="str">
        <x:v>approved</x:v>
      </x:c>
      <x:c r="AG73" t="str">
        <x:v>Completed</x:v>
      </x:c>
      <x:c r="AH73" t="n">
        <x:v>46092.03158047454</x:v>
      </x:c>
      <x:c r="AI73" t="str">
        <x:v>mfirdaus.fadlizam@petronas.com</x:v>
      </x:c>
      <x:c r="AJ73" t="str">
        <x:v>approved</x:v>
      </x:c>
      <x:c r="AK73" t="str">
        <x:v>REQ000007897689</x:v>
      </x:c>
      <x:c r="AL73" t="str">
        <x:v>65bb69e6-e2a4-4641-86ef-72c8f0b8f4a0</x:v>
      </x:c>
      <x:c r="AM73" s="23" t="str">
        <x:f>IF(E73="processing",IF(Z73="","",IF(ISNUMBER(Z73),INT(Z73),DATE(VALUE(LEFT(Z73,4)),VALUE(MID(Z73,6,2)),VALUE(MID(Z73,9,2))))),IF(OR(E73="executing",E73="pending"),IF(AD73="","",IF(ISNUMBER(AD73),INT(AD73),DATE(VALUE(LEFT(AD73,4)),VALUE(MID(AD73,6,2)),VALUE(MID(AD73,9,2))))),""))</x:f>
      </x:c>
      <x:c r="AN73" s="24" t="str">
        <x:f>IF(AM73="","",INT('Configuration'!$B$4)-AM73)</x:f>
      </x:c>
      <x:c r="AO73" s="25" t="str">
        <x:f>IF(AM73="","Missing Required Date",IF(AN73&lt;0,"Future Date",IF(AN73=0,"0 days",IF(AN73&lt;=2,"1-2 days",IF(AN73&lt;=7,"3-7 days",IF(AN73&lt;=14,"8-14 days",IF(AN73&lt;=30,"15-30 days",IF(AN73&lt;=60,"31-60 days",IF(AN73&lt;=70,"61-70 days","71+ days")))))))))</x:f>
        <x:v>Missing Required Date</x:v>
      </x:c>
      <x:c r="AP73" s="25" t="str">
        <x:f>IF(OR(E73="processing",E73="executing",E73="pending"),IF(AM73="","Required aging date missing",IF(AN73&gt;30,"Escalate &gt;30d",IF(AN73&gt;14,"Watch &gt;14d","Within 14d"))),"Out of scope")</x:f>
        <x:v>Out of scope</x:v>
      </x:c>
    </x:row>
    <x:row r="74" ht="24" customHeight="1">
      <x:c r="A74" t="str">
        <x:v>1f464361-26f7-4497-9e2c-07b5c2fe95d5</x:v>
      </x:c>
      <x:c r="B74" t="str">
        <x:v>CSSP10816410</x:v>
      </x:c>
      <x:c r="C74" t="str">
        <x:v>kianleng.geh@petronas.com</x:v>
      </x:c>
      <x:c r="D74" t="str">
        <x:v>provision-cloud-public</x:v>
      </x:c>
      <x:c r="E74" t="str">
        <x:v>completed</x:v>
      </x:c>
      <x:c r="F74" t="n">
        <x:v>46079.319074907406</x:v>
      </x:c>
      <x:c r="G74" t="n">
        <x:v>46079.319074907406</x:v>
      </x:c>
      <x:c r="H74" t="n">
        <x:v>46092.287532800925</x:v>
      </x:c>
      <x:c r="I74" t="str">
        <x:v>A-000558</x:v>
      </x:c>
      <x:c r="J74" t="str">
        <x:v>PETRONAS Global Website</x:v>
      </x:c>
      <x:c r="K74" t="str">
        <x:v>SR25012</x:v>
      </x:c>
      <x:c r="L74" t="str">
        <x:v>Mitigation of Cyber Security Risk &amp; Application Compatibility Issue for PETRONAS Global Website​</x:v>
      </x:c>
      <x:c r="M74" t="str">
        <x:v>mhaslan.abuhassan@petronas.com</x:v>
      </x:c>
      <x:c r="N74" t="str">
        <x:v>Petronas Global Website (Petronas.com)</x:v>
      </x:c>
      <x:c r="O74" t="str">
        <x:v>New</x:v>
      </x:c>
      <x:c r="P74" t="str">
        <x:v>Production</x:v>
      </x:c>
      <x:c r="Q74" t="str">
        <x:v>Please provision in Malaysia west region. OS=RHEL, MySQL=MySQL version 5.7</x:v>
      </x:c>
      <x:c r="R74" t="str">
        <x:v>M</x:v>
      </x:c>
      <x:c r="S74"/>
      <x:c r="T74"/>
      <x:c r="U74" t="str">
        <x:v>approve to deploy</x:v>
      </x:c>
      <x:c r="V74" t="n">
        <x:v>46079.34461987269</x:v>
      </x:c>
      <x:c r="W74" t="str">
        <x:v>mhaslan.abuhassan@petronas.com</x:v>
      </x:c>
      <x:c r="X74" t="str">
        <x:v>approved</x:v>
      </x:c>
      <x:c r="Y74" t="str">
        <x:v>Good to go</x:v>
      </x:c>
      <x:c r="Z74" t="n">
        <x:v>46080.08945478009</x:v>
      </x:c>
      <x:c r="AA74" t="str">
        <x:v>samsuddin.jumbri@petronas.com</x:v>
      </x:c>
      <x:c r="AB74" t="str">
        <x:v>approved</x:v>
      </x:c>
      <x:c r="AC74" t="str">
        <x:v>CSSP10551255 - CSSP10816410 </x:v>
      </x:c>
      <x:c r="AD74" t="n">
        <x:v>46080.121178009256</x:v>
      </x:c>
      <x:c r="AE74" t="str">
        <x:v>syazali.saad@petronas.com</x:v>
      </x:c>
      <x:c r="AF74" t="str">
        <x:v>approved</x:v>
      </x:c>
      <x:c r="AG74" t="str">
        <x:v>Completed</x:v>
      </x:c>
      <x:c r="AH74" t="n">
        <x:v>46092.28753282408</x:v>
      </x:c>
      <x:c r="AI74" t="str">
        <x:v>mfirdaus.fadlizam@petronas.com</x:v>
      </x:c>
      <x:c r="AJ74" t="str">
        <x:v>approved</x:v>
      </x:c>
      <x:c r="AK74" t="str">
        <x:v>REQ000007897690</x:v>
      </x:c>
      <x:c r="AL74" t="str">
        <x:v>65bb69e6-e2a4-4641-86ef-72c8f0b8f4a0</x:v>
      </x:c>
      <x:c r="AM74" s="23" t="str">
        <x:f>IF(E74="processing",IF(Z74="","",IF(ISNUMBER(Z74),INT(Z74),DATE(VALUE(LEFT(Z74,4)),VALUE(MID(Z74,6,2)),VALUE(MID(Z74,9,2))))),IF(OR(E74="executing",E74="pending"),IF(AD74="","",IF(ISNUMBER(AD74),INT(AD74),DATE(VALUE(LEFT(AD74,4)),VALUE(MID(AD74,6,2)),VALUE(MID(AD74,9,2))))),""))</x:f>
      </x:c>
      <x:c r="AN74" s="24" t="str">
        <x:f>IF(AM74="","",INT('Configuration'!$B$4)-AM74)</x:f>
      </x:c>
      <x:c r="AO74" s="25" t="str">
        <x:f>IF(AM74="","Missing Required Date",IF(AN74&lt;0,"Future Date",IF(AN74=0,"0 days",IF(AN74&lt;=2,"1-2 days",IF(AN74&lt;=7,"3-7 days",IF(AN74&lt;=14,"8-14 days",IF(AN74&lt;=30,"15-30 days",IF(AN74&lt;=60,"31-60 days",IF(AN74&lt;=70,"61-70 days","71+ days")))))))))</x:f>
        <x:v>Missing Required Date</x:v>
      </x:c>
      <x:c r="AP74" s="25" t="str">
        <x:f>IF(OR(E74="processing",E74="executing",E74="pending"),IF(AM74="","Required aging date missing",IF(AN74&gt;30,"Escalate &gt;30d",IF(AN74&gt;14,"Watch &gt;14d","Within 14d"))),"Out of scope")</x:f>
        <x:v>Out of scope</x:v>
      </x:c>
    </x:row>
    <x:row r="75" ht="24" customHeight="1">
      <x:c r="A75" t="str">
        <x:v>677a1d80-45ea-4879-92f5-3ba20754373a</x:v>
      </x:c>
      <x:c r="B75" t="str">
        <x:v>CSSP10789839</x:v>
      </x:c>
      <x:c r="C75" t="str">
        <x:v>sharonie.loris@petronas.com</x:v>
      </x:c>
      <x:c r="D75" t="str">
        <x:v>provision-cloud-public</x:v>
      </x:c>
      <x:c r="E75" t="str">
        <x:v>completed</x:v>
      </x:c>
      <x:c r="F75" t="n">
        <x:v>46080.18392519676</x:v>
      </x:c>
      <x:c r="G75" t="n">
        <x:v>46080.18392519676</x:v>
      </x:c>
      <x:c r="H75" t="n">
        <x:v>46094.59160650463</x:v>
      </x:c>
      <x:c r="I75" t="str">
        <x:v>A-001322</x:v>
      </x:c>
      <x:c r="J75" t="str">
        <x:v>RADIAN</x:v>
      </x:c>
      <x:c r="K75" t="str">
        <x:v>SR10734</x:v>
      </x:c>
      <x:c r="L75" t="str">
        <x:v>Real-Time Advisory &amp; Drilling Insight via Artificial Neural Intelligence (RADIAN) for 
Wells formerly known HSPM</x:v>
      </x:c>
      <x:c r="M75" t="str">
        <x:v>nurshida.czakaria@petronas.com.my</x:v>
      </x:c>
      <x:c r="N75" t="str">
        <x:v>RADIAN</x:v>
      </x:c>
      <x:c r="O75" t="str">
        <x:v>New</x:v>
      </x:c>
      <x:c r="P75" t="str">
        <x:v>StagingUat</x:v>
      </x:c>
      <x:c r="Q75" t="str">
        <x:v>Request to provision cloud infrastructure</x:v>
      </x:c>
      <x:c r="R75" t="str">
        <x:v>L</x:v>
      </x:c>
      <x:c r="S75"/>
      <x:c r="T75"/>
      <x:c r="U75" t="str">
        <x:v>Approved.</x:v>
      </x:c>
      <x:c r="V75" t="n">
        <x:v>46080.19163763889</x:v>
      </x:c>
      <x:c r="W75" t="str">
        <x:v>nurshida.czakaria@petronas.com</x:v>
      </x:c>
      <x:c r="X75" t="str">
        <x:v>approved</x:v>
      </x:c>
      <x:c r="Y75" t="str">
        <x:v>Good to go. Provisioned in Azure Malaysia West</x:v>
      </x:c>
      <x:c r="Z75" t="n">
        <x:v>46080.329951238426</x:v>
      </x:c>
      <x:c r="AA75" t="str">
        <x:v>samsuddin.jumbri@petronas.com</x:v>
      </x:c>
      <x:c r="AB75" t="str">
        <x:v>approved</x:v>
      </x:c>
      <x:c r="AC75" t="str">
        <x:v>AKS, west malaysia</x:v>
      </x:c>
      <x:c r="AD75" t="n">
        <x:v>46084.084973703706</x:v>
      </x:c>
      <x:c r="AE75" t="str">
        <x:v>syazali.saad@petronas.com</x:v>
      </x:c>
      <x:c r="AF75" t="str">
        <x:v>approved</x:v>
      </x:c>
      <x:c r="AG75" t="str">
        <x:v>Completed</x:v>
      </x:c>
      <x:c r="AH75" t="n">
        <x:v>46094.5916065162</x:v>
      </x:c>
      <x:c r="AI75" t="str">
        <x:v>badri.shaharudin@petronas.com</x:v>
      </x:c>
      <x:c r="AJ75" t="str">
        <x:v>approved</x:v>
      </x:c>
      <x:c r="AK75" t="str">
        <x:v>REQ000007909917</x:v>
      </x:c>
      <x:c r="AL75" t="str">
        <x:v>4e9ba02b-45f5-40b0-8fda-a54588d5903e</x:v>
      </x:c>
      <x:c r="AM75" s="23" t="str">
        <x:f>IF(E75="processing",IF(Z75="","",IF(ISNUMBER(Z75),INT(Z75),DATE(VALUE(LEFT(Z75,4)),VALUE(MID(Z75,6,2)),VALUE(MID(Z75,9,2))))),IF(OR(E75="executing",E75="pending"),IF(AD75="","",IF(ISNUMBER(AD75),INT(AD75),DATE(VALUE(LEFT(AD75,4)),VALUE(MID(AD75,6,2)),VALUE(MID(AD75,9,2))))),""))</x:f>
      </x:c>
      <x:c r="AN75" s="24" t="str">
        <x:f>IF(AM75="","",INT('Configuration'!$B$4)-AM75)</x:f>
      </x:c>
      <x:c r="AO75" s="25" t="str">
        <x:f>IF(AM75="","Missing Required Date",IF(AN75&lt;0,"Future Date",IF(AN75=0,"0 days",IF(AN75&lt;=2,"1-2 days",IF(AN75&lt;=7,"3-7 days",IF(AN75&lt;=14,"8-14 days",IF(AN75&lt;=30,"15-30 days",IF(AN75&lt;=60,"31-60 days",IF(AN75&lt;=70,"61-70 days","71+ days")))))))))</x:f>
        <x:v>Missing Required Date</x:v>
      </x:c>
      <x:c r="AP75" s="25" t="str">
        <x:f>IF(OR(E75="processing",E75="executing",E75="pending"),IF(AM75="","Required aging date missing",IF(AN75&gt;30,"Escalate &gt;30d",IF(AN75&gt;14,"Watch &gt;14d","Within 14d"))),"Out of scope")</x:f>
        <x:v>Out of scope</x:v>
      </x:c>
    </x:row>
    <x:row r="76" ht="24" customHeight="1">
      <x:c r="A76" t="str">
        <x:v>549ea1ee-3470-4df0-8809-b9825d7db38b</x:v>
      </x:c>
      <x:c r="B76" t="str">
        <x:v>CSSP10722868</x:v>
      </x:c>
      <x:c r="C76" t="str">
        <x:v>sharonie.loris@petronas.com</x:v>
      </x:c>
      <x:c r="D76" t="str">
        <x:v>provision-cloud-public</x:v>
      </x:c>
      <x:c r="E76" t="str">
        <x:v>completed</x:v>
      </x:c>
      <x:c r="F76" t="n">
        <x:v>46083.17626547454</x:v>
      </x:c>
      <x:c r="G76" t="n">
        <x:v>46083.17626547454</x:v>
      </x:c>
      <x:c r="H76" t="n">
        <x:v>46163.05790170139</x:v>
      </x:c>
      <x:c r="I76" t="str">
        <x:v>A-001322</x:v>
      </x:c>
      <x:c r="J76" t="str">
        <x:v>RADIAN</x:v>
      </x:c>
      <x:c r="K76" t="str">
        <x:v>SR10734</x:v>
      </x:c>
      <x:c r="L76" t="str">
        <x:v>Real-Time Advisory &amp; Drilling Insight via Artificial Neural Intelligence (RADIAN) for 
Wells formerly known HSPM</x:v>
      </x:c>
      <x:c r="M76" t="str">
        <x:v>nurshida.czakaria@petronas.com.my</x:v>
      </x:c>
      <x:c r="N76" t="str">
        <x:v>RADIAN</x:v>
      </x:c>
      <x:c r="O76" t="str">
        <x:v>New</x:v>
      </x:c>
      <x:c r="P76" t="str">
        <x:v>Production</x:v>
      </x:c>
      <x:c r="Q76" t="str">
        <x:v>Request to provision cloud infrastructure for production environment </x:v>
      </x:c>
      <x:c r="R76" t="str">
        <x:v>L</x:v>
      </x:c>
      <x:c r="S76"/>
      <x:c r="T76"/>
      <x:c r="U76" t="str">
        <x:v>Approved. </x:v>
      </x:c>
      <x:c r="V76" t="n">
        <x:v>46083.180361516206</x:v>
      </x:c>
      <x:c r="W76" t="str">
        <x:v>nurshida.czakaria@petronas.com</x:v>
      </x:c>
      <x:c r="X76" t="str">
        <x:v>approved</x:v>
      </x:c>
      <x:c r="Y76" t="str">
        <x:v>Good to go</x:v>
      </x:c>
      <x:c r="Z76" t="n">
        <x:v>46084.040450486114</x:v>
      </x:c>
      <x:c r="AA76" t="str">
        <x:v>samsuddin.jumbri@petronas.com</x:v>
      </x:c>
      <x:c r="AB76" t="str">
        <x:v>approved</x:v>
      </x:c>
      <x:c r="AC76" t="str">
        <x:v>AKS</x:v>
      </x:c>
      <x:c r="AD76" t="n">
        <x:v>46084.18799097222</x:v>
      </x:c>
      <x:c r="AE76" t="str">
        <x:v>syazali.saad@petronas.com</x:v>
      </x:c>
      <x:c r="AF76" t="str">
        <x:v>approved</x:v>
      </x:c>
      <x:c r="AG76" t="str">
        <x:v>Has created the resources in PTAZMY-IAC-PROD-RADIAN-RG:
ptazmy-1radianaks01
ptazmy-1radiansvr01
ptazmy1radstrg1
ptazmy-1radiankv01
ptazmy1radianacr01
ptazmy-1radian-disk01
ptazmy-1radian-disk02
ptazmy-1radian-disk03
ptazmy-1radian-disk04
ptazmy-1radian-disk05</x:v>
      </x:c>
      <x:c r="AH76" t="n">
        <x:v>46163.05790170139</x:v>
      </x:c>
      <x:c r="AI76" t="str">
        <x:v>yeonghunn.ho@petronas.com</x:v>
      </x:c>
      <x:c r="AJ76" t="str">
        <x:v>approved</x:v>
      </x:c>
      <x:c r="AK76" t="str">
        <x:v>REQ000007910453</x:v>
      </x:c>
      <x:c r="AL76" t="str">
        <x:v>4e9ba02b-45f5-40b0-8fda-a54588d5903e</x:v>
      </x:c>
      <x:c r="AM76" s="23" t="str">
        <x:f>IF(E76="processing",IF(Z76="","",IF(ISNUMBER(Z76),INT(Z76),DATE(VALUE(LEFT(Z76,4)),VALUE(MID(Z76,6,2)),VALUE(MID(Z76,9,2))))),IF(OR(E76="executing",E76="pending"),IF(AD76="","",IF(ISNUMBER(AD76),INT(AD76),DATE(VALUE(LEFT(AD76,4)),VALUE(MID(AD76,6,2)),VALUE(MID(AD76,9,2))))),""))</x:f>
      </x:c>
      <x:c r="AN76" s="24" t="str">
        <x:f>IF(AM76="","",INT('Configuration'!$B$4)-AM76)</x:f>
      </x:c>
      <x:c r="AO76" s="25" t="str">
        <x:f>IF(AM76="","Missing Required Date",IF(AN76&lt;0,"Future Date",IF(AN76=0,"0 days",IF(AN76&lt;=2,"1-2 days",IF(AN76&lt;=7,"3-7 days",IF(AN76&lt;=14,"8-14 days",IF(AN76&lt;=30,"15-30 days",IF(AN76&lt;=60,"31-60 days",IF(AN76&lt;=70,"61-70 days","71+ days")))))))))</x:f>
        <x:v>Missing Required Date</x:v>
      </x:c>
      <x:c r="AP76" s="25" t="str">
        <x:f>IF(OR(E76="processing",E76="executing",E76="pending"),IF(AM76="","Required aging date missing",IF(AN76&gt;30,"Escalate &gt;30d",IF(AN76&gt;14,"Watch &gt;14d","Within 14d"))),"Out of scope")</x:f>
        <x:v>Out of scope</x:v>
      </x:c>
    </x:row>
    <x:row r="77" ht="24" customHeight="1">
      <x:c r="A77" t="str">
        <x:v>f58b87f5-3a93-4b5b-95bf-ce91e892ebdd</x:v>
      </x:c>
      <x:c r="B77" t="str">
        <x:v>CSSP10120195</x:v>
      </x:c>
      <x:c r="C77" t="str">
        <x:v>tarun.shar@petronas.com</x:v>
      </x:c>
      <x:c r="D77" t="str">
        <x:v>provision-cloud-public</x:v>
      </x:c>
      <x:c r="E77" t="str">
        <x:v>completed</x:v>
      </x:c>
      <x:c r="F77" t="n">
        <x:v>46083.20441600694</x:v>
      </x:c>
      <x:c r="G77" t="n">
        <x:v>46083.20441600694</x:v>
      </x:c>
      <x:c r="H77" t="n">
        <x:v>46112.11971087963</x:v>
      </x:c>
      <x:c r="I77" t="str">
        <x:v>C-000011</x:v>
      </x:c>
      <x:c r="J77" t="str">
        <x:v>Common IAC Landing Zone</x:v>
      </x:c>
      <x:c r="K77" t="str">
        <x:v>00915_120</x:v>
      </x:c>
      <x:c r="L77" t="str">
        <x:v>Cloud Migration Azure Infrastructure for New Landing Zone</x:v>
      </x:c>
      <x:c r="M77" t="str">
        <x:v>sazali.mokhtar@petronas.com.my</x:v>
      </x:c>
      <x:c r="N77" t="str">
        <x:v>PETRONAS Cloud Repatriation for Azure</x:v>
      </x:c>
      <x:c r="O77" t="str">
        <x:v>New</x:v>
      </x:c>
      <x:c r="P77" t="str">
        <x:v>Production</x:v>
      </x:c>
      <x:c r="Q77" t="str">
        <x:v>Cloud Repatriation for UPSTREAM (Azure Migration) - Need 1 shared VM with Domain Join to copy the data from Singapore region to Malaysia Region.</x:v>
      </x:c>
      <x:c r="R77" t="str">
        <x:v>M</x:v>
      </x:c>
      <x:c r="S77"/>
      <x:c r="T77"/>
      <x:c r="U77" t="str">
        <x:v>For repat program.</x:v>
      </x:c>
      <x:c r="V77" t="n">
        <x:v>46085.05723582176</x:v>
      </x:c>
      <x:c r="W77" t="str">
        <x:v>sazali.mokhtar@petronas.com</x:v>
      </x:c>
      <x:c r="X77" t="str">
        <x:v>approved</x:v>
      </x:c>
      <x:c r="Y77" t="str">
        <x:v>Good to go</x:v>
      </x:c>
      <x:c r="Z77" t="n">
        <x:v>46090.11404564815</x:v>
      </x:c>
      <x:c r="AA77" t="str">
        <x:v>samsuddin.jumbri@petronas.com</x:v>
      </x:c>
      <x:c r="AB77" t="str">
        <x:v>approved</x:v>
      </x:c>
      <x:c r="AC77" t="str">
        <x:v>CSSP10931399 CSSP10120195</x:v>
      </x:c>
      <x:c r="AD77" t="n">
        <x:v>46092.32641216435</x:v>
      </x:c>
      <x:c r="AE77" t="str">
        <x:v>syazali.saad@petronas.com</x:v>
      </x:c>
      <x:c r="AF77" t="str">
        <x:v>approved</x:v>
      </x:c>
      <x:c r="AG77" t="str">
        <x:v>Completed</x:v>
      </x:c>
      <x:c r="AH77" t="n">
        <x:v>46112.1197108912</x:v>
      </x:c>
      <x:c r="AI77" t="str">
        <x:v>fathulrahman.misba@petronas.com</x:v>
      </x:c>
      <x:c r="AJ77" t="str">
        <x:v>approved</x:v>
      </x:c>
      <x:c r="AK77" t="str">
        <x:v>REQ000007927316</x:v>
      </x:c>
      <x:c r="AL77" t="str">
        <x:v>37299f6e-7a66-4e9b-be43-dc387a66f1ca</x:v>
      </x:c>
      <x:c r="AM77" s="23" t="str">
        <x:f>IF(E77="processing",IF(Z77="","",IF(ISNUMBER(Z77),INT(Z77),DATE(VALUE(LEFT(Z77,4)),VALUE(MID(Z77,6,2)),VALUE(MID(Z77,9,2))))),IF(OR(E77="executing",E77="pending"),IF(AD77="","",IF(ISNUMBER(AD77),INT(AD77),DATE(VALUE(LEFT(AD77,4)),VALUE(MID(AD77,6,2)),VALUE(MID(AD77,9,2))))),""))</x:f>
      </x:c>
      <x:c r="AN77" s="24" t="str">
        <x:f>IF(AM77="","",INT('Configuration'!$B$4)-AM77)</x:f>
      </x:c>
      <x:c r="AO77" s="25" t="str">
        <x:f>IF(AM77="","Missing Required Date",IF(AN77&lt;0,"Future Date",IF(AN77=0,"0 days",IF(AN77&lt;=2,"1-2 days",IF(AN77&lt;=7,"3-7 days",IF(AN77&lt;=14,"8-14 days",IF(AN77&lt;=30,"15-30 days",IF(AN77&lt;=60,"31-60 days",IF(AN77&lt;=70,"61-70 days","71+ days")))))))))</x:f>
        <x:v>Missing Required Date</x:v>
      </x:c>
      <x:c r="AP77" s="25" t="str">
        <x:f>IF(OR(E77="processing",E77="executing",E77="pending"),IF(AM77="","Required aging date missing",IF(AN77&gt;30,"Escalate &gt;30d",IF(AN77&gt;14,"Watch &gt;14d","Within 14d"))),"Out of scope")</x:f>
        <x:v>Out of scope</x:v>
      </x:c>
    </x:row>
    <x:row r="78" ht="24" customHeight="1">
      <x:c r="A78" t="str">
        <x:v>1e43c1cc-e547-4092-bfca-30d6f3f4a679</x:v>
      </x:c>
      <x:c r="B78" t="str">
        <x:v>CSSP10940354</x:v>
      </x:c>
      <x:c r="C78" t="str">
        <x:v>amit.manchanda@petronas.com</x:v>
      </x:c>
      <x:c r="D78" t="str">
        <x:v>provision-cloud-public</x:v>
      </x:c>
      <x:c r="E78" t="str">
        <x:v>completed</x:v>
      </x:c>
      <x:c r="F78" t="n">
        <x:v>46083.20457517361</x:v>
      </x:c>
      <x:c r="G78" t="n">
        <x:v>46083.20457517361</x:v>
      </x:c>
      <x:c r="H78" t="n">
        <x:v>46112.11983229167</x:v>
      </x:c>
      <x:c r="I78" t="str">
        <x:v>C-000011</x:v>
      </x:c>
      <x:c r="J78" t="str">
        <x:v>Common IAC Landing Zone</x:v>
      </x:c>
      <x:c r="K78" t="str">
        <x:v>00915_120</x:v>
      </x:c>
      <x:c r="L78" t="str">
        <x:v>Cloud Migration Azure Infrastructure for New Landing Zone</x:v>
      </x:c>
      <x:c r="M78" t="str">
        <x:v>sazali.mokhtar@petronas.com.my</x:v>
      </x:c>
      <x:c r="N78" t="str">
        <x:v>PETRONAS Cloud Repatriation for Azure</x:v>
      </x:c>
      <x:c r="O78" t="str">
        <x:v>New</x:v>
      </x:c>
      <x:c r="P78" t="str">
        <x:v>StagingUat</x:v>
      </x:c>
      <x:c r="Q78" t="str">
        <x:v>Cloud Repatriation for Corporate (Azure Migration) - Need 1 shared VM with Domain Join to copy the data from Singapore region to Malaysia Region.</x:v>
      </x:c>
      <x:c r="R78" t="str">
        <x:v>M</x:v>
      </x:c>
      <x:c r="S78"/>
      <x:c r="T78"/>
      <x:c r="U78" t="str">
        <x:v>For repat program.</x:v>
      </x:c>
      <x:c r="V78" t="n">
        <x:v>46085.056509664355</x:v>
      </x:c>
      <x:c r="W78" t="str">
        <x:v>sazali.mokhtar@petronas.com</x:v>
      </x:c>
      <x:c r="X78" t="str">
        <x:v>approved</x:v>
      </x:c>
      <x:c r="Y78" t="str">
        <x:v>Good to go</x:v>
      </x:c>
      <x:c r="Z78" t="n">
        <x:v>46091.28116539352</x:v>
      </x:c>
      <x:c r="AA78" t="str">
        <x:v>samsuddin.jumbri@petronas.com</x:v>
      </x:c>
      <x:c r="AB78" t="str">
        <x:v>approved</x:v>
      </x:c>
      <x:c r="AC78" t="str">
        <x:v>CSSP10940354 CSSP10940354</x:v>
      </x:c>
      <x:c r="AD78" t="n">
        <x:v>46092.327011747686</x:v>
      </x:c>
      <x:c r="AE78" t="str">
        <x:v>syazali.saad@petronas.com</x:v>
      </x:c>
      <x:c r="AF78" t="str">
        <x:v>approved</x:v>
      </x:c>
      <x:c r="AG78" t="str">
        <x:v>Completed</x:v>
      </x:c>
      <x:c r="AH78" t="n">
        <x:v>46112.11983229167</x:v>
      </x:c>
      <x:c r="AI78" t="str">
        <x:v>fathulrahman.misba@petronas.com</x:v>
      </x:c>
      <x:c r="AJ78" t="str">
        <x:v>approved</x:v>
      </x:c>
      <x:c r="AK78" t="str">
        <x:v>REQ000007928317</x:v>
      </x:c>
      <x:c r="AL78" t="str">
        <x:v>37299f6e-7a66-4e9b-be43-dc387a66f1ca</x:v>
      </x:c>
      <x:c r="AM78" s="23" t="str">
        <x:f>IF(E78="processing",IF(Z78="","",IF(ISNUMBER(Z78),INT(Z78),DATE(VALUE(LEFT(Z78,4)),VALUE(MID(Z78,6,2)),VALUE(MID(Z78,9,2))))),IF(OR(E78="executing",E78="pending"),IF(AD78="","",IF(ISNUMBER(AD78),INT(AD78),DATE(VALUE(LEFT(AD78,4)),VALUE(MID(AD78,6,2)),VALUE(MID(AD78,9,2))))),""))</x:f>
      </x:c>
      <x:c r="AN78" s="24" t="str">
        <x:f>IF(AM78="","",INT('Configuration'!$B$4)-AM78)</x:f>
      </x:c>
      <x:c r="AO78" s="25" t="str">
        <x:f>IF(AM78="","Missing Required Date",IF(AN78&lt;0,"Future Date",IF(AN78=0,"0 days",IF(AN78&lt;=2,"1-2 days",IF(AN78&lt;=7,"3-7 days",IF(AN78&lt;=14,"8-14 days",IF(AN78&lt;=30,"15-30 days",IF(AN78&lt;=60,"31-60 days",IF(AN78&lt;=70,"61-70 days","71+ days")))))))))</x:f>
        <x:v>Missing Required Date</x:v>
      </x:c>
      <x:c r="AP78" s="25" t="str">
        <x:f>IF(OR(E78="processing",E78="executing",E78="pending"),IF(AM78="","Required aging date missing",IF(AN78&gt;30,"Escalate &gt;30d",IF(AN78&gt;14,"Watch &gt;14d","Within 14d"))),"Out of scope")</x:f>
        <x:v>Out of scope</x:v>
      </x:c>
    </x:row>
    <x:row r="79" ht="24" customHeight="1">
      <x:c r="A79" t="str">
        <x:v>f84dddd5-2959-43e0-a2fd-1963a4aa4506</x:v>
      </x:c>
      <x:c r="B79" t="str">
        <x:v>CSSP10297682</x:v>
      </x:c>
      <x:c r="C79" t="str">
        <x:v>mohamadsyafiq.mnoor@petronas.com</x:v>
      </x:c>
      <x:c r="D79" t="str">
        <x:v>provision-cloud-public</x:v>
      </x:c>
      <x:c r="E79" t="str">
        <x:v>completed</x:v>
      </x:c>
      <x:c r="F79" t="n">
        <x:v>46083.205160763886</x:v>
      </x:c>
      <x:c r="G79" t="n">
        <x:v>46083.205160763886</x:v>
      </x:c>
      <x:c r="H79" t="n">
        <x:v>46093.17662170139</x:v>
      </x:c>
      <x:c r="I79" t="str">
        <x:v>A-001307</x:v>
      </x:c>
      <x:c r="J79" t="str">
        <x:v>Azure Machine Learning - PRPC</x:v>
      </x:c>
      <x:c r="K79" t="n">
        <x:v>4739</x:v>
      </x:c>
      <x:c r="L79" t="str">
        <x:v>Run &amp; Maintain Citizen Analytics Use Cases for PRPC</x:v>
      </x:c>
      <x:c r="M79" t="str">
        <x:v>khairulnizam.bahari@petronas.com.my</x:v>
      </x:c>
      <x:c r="N79" t="str">
        <x:v>Citizen-Analytics</x:v>
      </x:c>
      <x:c r="O79" t="str">
        <x:v>New</x:v>
      </x:c>
      <x:c r="P79" t="str">
        <x:v>Production</x:v>
      </x:c>
      <x:c r="Q79" t="str">
        <x:v>Request to provision two compute instances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M Rafiq Ramlee (POCM/PRPC) - rafiq.ramlee@petronas.com.my  </x:v>
      </x:c>
      <x:c r="R79" t="str">
        <x:v>S</x:v>
      </x:c>
      <x:c r="S79"/>
      <x:c r="T79"/>
      <x:c r="U79" t="str">
        <x:v>to provision compute instance for the new member from PRPC M Rafiq Ramlee</x:v>
      </x:c>
      <x:c r="V79" t="n">
        <x:v>46083.31226313658</x:v>
      </x:c>
      <x:c r="W79" t="str">
        <x:v>khairulnizam.bahari@petronas.com</x:v>
      </x:c>
      <x:c r="X79" t="str">
        <x:v>approved</x:v>
      </x:c>
      <x:c r="Y79" t="str">
        <x:v>Good to go</x:v>
      </x:c>
      <x:c r="Z79" t="n">
        <x:v>46084.04147596065</x:v>
      </x:c>
      <x:c r="AA79" t="str">
        <x:v>samsuddin.jumbri@petronas.com</x:v>
      </x:c>
      <x:c r="AB79" t="str">
        <x:v>approved</x:v>
      </x:c>
      <x:c r="AC79" t="str">
        <x:v>ML Compute. DAA.</x:v>
      </x:c>
      <x:c r="AD79" t="n">
        <x:v>46085.198255972224</x:v>
      </x:c>
      <x:c r="AE79" t="str">
        <x:v>syazali.saad@petronas.com</x:v>
      </x:c>
      <x:c r="AF79" t="str">
        <x:v>approved</x:v>
      </x:c>
      <x:c r="AG79" t="str">
        <x:v>ETP-Rafiq - PTAZSG-1CA-ETP-AERATION
CWP-Rafiq - PTAZSG-1CA-COOL-WTR-PUMP
ODOR-Rafiq - PTAZSG-1CA-ODOR-PRED</x:v>
      </x:c>
      <x:c r="AH79" t="n">
        <x:v>46093.17662171296</x:v>
      </x:c>
      <x:c r="AI79" t="str">
        <x:v>norhamizah.hasni@petronas.com</x:v>
      </x:c>
      <x:c r="AJ79" t="str">
        <x:v>approved</x:v>
      </x:c>
      <x:c r="AK79" t="str">
        <x:v>REQ000007913362</x:v>
      </x:c>
      <x:c r="AL79" t="str">
        <x:v>175979a6-0134-4d4e-b3f1-5ff77e1fdf7f</x:v>
      </x:c>
      <x:c r="AM79" s="23" t="str">
        <x:f>IF(E79="processing",IF(Z79="","",IF(ISNUMBER(Z79),INT(Z79),DATE(VALUE(LEFT(Z79,4)),VALUE(MID(Z79,6,2)),VALUE(MID(Z79,9,2))))),IF(OR(E79="executing",E79="pending"),IF(AD79="","",IF(ISNUMBER(AD79),INT(AD79),DATE(VALUE(LEFT(AD79,4)),VALUE(MID(AD79,6,2)),VALUE(MID(AD79,9,2))))),""))</x:f>
      </x:c>
      <x:c r="AN79" s="24" t="str">
        <x:f>IF(AM79="","",INT('Configuration'!$B$4)-AM79)</x:f>
      </x:c>
      <x:c r="AO79" s="25" t="str">
        <x:f>IF(AM79="","Missing Required Date",IF(AN79&lt;0,"Future Date",IF(AN79=0,"0 days",IF(AN79&lt;=2,"1-2 days",IF(AN79&lt;=7,"3-7 days",IF(AN79&lt;=14,"8-14 days",IF(AN79&lt;=30,"15-30 days",IF(AN79&lt;=60,"31-60 days",IF(AN79&lt;=70,"61-70 days","71+ days")))))))))</x:f>
        <x:v>Missing Required Date</x:v>
      </x:c>
      <x:c r="AP79" s="25" t="str">
        <x:f>IF(OR(E79="processing",E79="executing",E79="pending"),IF(AM79="","Required aging date missing",IF(AN79&gt;30,"Escalate &gt;30d",IF(AN79&gt;14,"Watch &gt;14d","Within 14d"))),"Out of scope")</x:f>
        <x:v>Out of scope</x:v>
      </x:c>
    </x:row>
    <x:row r="80" ht="24" customHeight="1">
      <x:c r="A80" t="str">
        <x:v>c58436d1-93f3-4853-b557-138f409babe1</x:v>
      </x:c>
      <x:c r="B80" t="str">
        <x:v>CSSP10328144</x:v>
      </x:c>
      <x:c r="C80" t="str">
        <x:v>marash.pakhrurraz@petronas.com</x:v>
      </x:c>
      <x:c r="D80" t="str">
        <x:v>provision-cloud-public</x:v>
      </x:c>
      <x:c r="E80" t="str">
        <x:v>completed</x:v>
      </x:c>
      <x:c r="F80" t="n">
        <x:v>46083.205393171294</x:v>
      </x:c>
      <x:c r="G80" t="n">
        <x:v>46085.315212430556</x:v>
      </x:c>
      <x:c r="H80" t="n">
        <x:v>46092.37002739583</x:v>
      </x:c>
      <x:c r="I80" t="str">
        <x:v>A-000804</x:v>
      </x:c>
      <x:c r="J80" t="str">
        <x:v>TEA  </x:v>
      </x:c>
      <x:c r="K80" t="str">
        <x:v>00971_2</x:v>
      </x:c>
      <x:c r="L80" t="str">
        <x:v>PDB landing zone TEA Application</x:v>
      </x:c>
      <x:c r="M80" t="str">
        <x:v>noraini.abdjalil@petronas.com.my</x:v>
      </x:c>
      <x:c r="N80" t="str">
        <x:v>PETRONAS_AWS_Cloud_LandingZone</x:v>
      </x:c>
      <x:c r="O80" t="str">
        <x:v>New</x:v>
      </x:c>
      <x:c r="P80" t="str">
        <x:v>StagingUat</x:v>
      </x:c>
      <x:c r="Q80" t="str">
        <x:v>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x:v>
      </x:c>
      <x:c r="R80" t="str">
        <x:v>L</x:v>
      </x:c>
      <x:c r="S80"/>
      <x:c r="T80"/>
      <x:c r="U80" t="str">
        <x:v>Approved. Please proceed. </x:v>
      </x:c>
      <x:c r="V80" t="n">
        <x:v>46085.315914039355</x:v>
      </x:c>
      <x:c r="W80" t="str">
        <x:v>noraini.abdjalil@petronas.com</x:v>
      </x:c>
      <x:c r="X80" t="str">
        <x:v>approved</x:v>
      </x:c>
      <x:c r="Y80" t="str">
        <x:v>Approved. Provision 2 EC2 instance with Ubuntu 24.04 and 2 load balancers</x:v>
      </x:c>
      <x:c r="Z80" t="n">
        <x:v>46086.0998940625</x:v>
      </x:c>
      <x:c r="AA80" t="str">
        <x:v>kianleng.geh@petronas.com</x:v>
      </x:c>
      <x:c r="AB80" t="str">
        <x:v>approved</x:v>
      </x:c>
      <x:c r="AC80" t="str">
        <x:v>deploy aws and ec2 resource. may refer existing code for ec2 and lb configuration.</x:v>
      </x:c>
      <x:c r="AD80" t="n">
        <x:v>46090.32443974537</x:v>
      </x:c>
      <x:c r="AE80" t="str">
        <x:v>syazali.saad@petronas.com</x:v>
      </x:c>
      <x:c r="AF80" t="str">
        <x:v>approved</x:v>
      </x:c>
      <x:c r="AG80" t="str">
        <x:v>resource provisioned</x:v>
      </x:c>
      <x:c r="AH80" t="n">
        <x:v>46092.37002740741</x:v>
      </x:c>
      <x:c r="AI80" t="str">
        <x:v>mhafizi.madnan@petronas.com</x:v>
      </x:c>
      <x:c r="AJ80" t="str">
        <x:v>approved</x:v>
      </x:c>
      <x:c r="AK80" t="str">
        <x:v>REQ000007921958</x:v>
      </x:c>
      <x:c r="AL80" t="str">
        <x:v>8c439d80-c07f-4823-acc0-f1852d6b6218</x:v>
      </x:c>
      <x:c r="AM80" s="23" t="str">
        <x:f>IF(E80="processing",IF(Z80="","",IF(ISNUMBER(Z80),INT(Z80),DATE(VALUE(LEFT(Z80,4)),VALUE(MID(Z80,6,2)),VALUE(MID(Z80,9,2))))),IF(OR(E80="executing",E80="pending"),IF(AD80="","",IF(ISNUMBER(AD80),INT(AD80),DATE(VALUE(LEFT(AD80,4)),VALUE(MID(AD80,6,2)),VALUE(MID(AD80,9,2))))),""))</x:f>
      </x:c>
      <x:c r="AN80" s="24" t="str">
        <x:f>IF(AM80="","",INT('Configuration'!$B$4)-AM80)</x:f>
      </x:c>
      <x:c r="AO80" s="25" t="str">
        <x:f>IF(AM80="","Missing Required Date",IF(AN80&lt;0,"Future Date",IF(AN80=0,"0 days",IF(AN80&lt;=2,"1-2 days",IF(AN80&lt;=7,"3-7 days",IF(AN80&lt;=14,"8-14 days",IF(AN80&lt;=30,"15-30 days",IF(AN80&lt;=60,"31-60 days",IF(AN80&lt;=70,"61-70 days","71+ days")))))))))</x:f>
        <x:v>Missing Required Date</x:v>
      </x:c>
      <x:c r="AP80" s="25" t="str">
        <x:f>IF(OR(E80="processing",E80="executing",E80="pending"),IF(AM80="","Required aging date missing",IF(AN80&gt;30,"Escalate &gt;30d",IF(AN80&gt;14,"Watch &gt;14d","Within 14d"))),"Out of scope")</x:f>
        <x:v>Out of scope</x:v>
      </x:c>
    </x:row>
    <x:row r="81" ht="24" customHeight="1">
      <x:c r="A81" t="str">
        <x:v>fd805707-8c2f-4024-8fa1-3922b9448344</x:v>
      </x:c>
      <x:c r="B81" t="str">
        <x:v>CSSP10931399</x:v>
      </x:c>
      <x:c r="C81" t="str">
        <x:v>tarun.shar@petronas.com</x:v>
      </x:c>
      <x:c r="D81" t="str">
        <x:v>provision-cloud-public</x:v>
      </x:c>
      <x:c r="E81" t="str">
        <x:v>completed</x:v>
      </x:c>
      <x:c r="F81" t="n">
        <x:v>46083.20585806713</x:v>
      </x:c>
      <x:c r="G81" t="n">
        <x:v>46083.205858078705</x:v>
      </x:c>
      <x:c r="H81" t="n">
        <x:v>46112.12000188657</x:v>
      </x:c>
      <x:c r="I81" t="str">
        <x:v>C-000011</x:v>
      </x:c>
      <x:c r="J81" t="str">
        <x:v>Common IAC Landing Zone</x:v>
      </x:c>
      <x:c r="K81" t="str">
        <x:v>00915_120</x:v>
      </x:c>
      <x:c r="L81" t="str">
        <x:v>Cloud Migration Azure Infrastructure for New Landing Zone</x:v>
      </x:c>
      <x:c r="M81" t="str">
        <x:v>sazali.mokhtar@petronas.com.my</x:v>
      </x:c>
      <x:c r="N81" t="str">
        <x:v>PETRONAS Cloud Repatriation for Azure</x:v>
      </x:c>
      <x:c r="O81" t="str">
        <x:v>New</x:v>
      </x:c>
      <x:c r="P81" t="str">
        <x:v>StagingUat</x:v>
      </x:c>
      <x:c r="Q81" t="str">
        <x:v>Cloud Repatriation for UPSTREAM (Azure Migration) - Need 1 shared VM with Domain Join to copy the data from Singapore region to Malaysia Region.</x:v>
      </x:c>
      <x:c r="R81" t="str">
        <x:v>M</x:v>
      </x:c>
      <x:c r="S81"/>
      <x:c r="T81"/>
      <x:c r="U81" t="str">
        <x:v>For repat program.</x:v>
      </x:c>
      <x:c r="V81" t="n">
        <x:v>46085.05515219907</x:v>
      </x:c>
      <x:c r="W81" t="str">
        <x:v>sazali.mokhtar@petronas.com</x:v>
      </x:c>
      <x:c r="X81" t="str">
        <x:v>approved</x:v>
      </x:c>
      <x:c r="Y81" t="str">
        <x:v>Good to go</x:v>
      </x:c>
      <x:c r="Z81" t="n">
        <x:v>46091.28147699074</x:v>
      </x:c>
      <x:c r="AA81" t="str">
        <x:v>samsuddin.jumbri@petronas.com</x:v>
      </x:c>
      <x:c r="AB81" t="str">
        <x:v>approved</x:v>
      </x:c>
      <x:c r="AC81" t="str">
        <x:v>CSSP10931399 CSSP10120195</x:v>
      </x:c>
      <x:c r="AD81" t="n">
        <x:v>46092.326269895835</x:v>
      </x:c>
      <x:c r="AE81" t="str">
        <x:v>syazali.saad@petronas.com</x:v>
      </x:c>
      <x:c r="AF81" t="str">
        <x:v>approved</x:v>
      </x:c>
      <x:c r="AG81" t="str">
        <x:v>Completed</x:v>
      </x:c>
      <x:c r="AH81" t="n">
        <x:v>46112.12000188657</x:v>
      </x:c>
      <x:c r="AI81" t="str">
        <x:v>fathulrahman.misba@petronas.com</x:v>
      </x:c>
      <x:c r="AJ81" t="str">
        <x:v>approved</x:v>
      </x:c>
      <x:c r="AK81" t="str">
        <x:v>REQ000007927315</x:v>
      </x:c>
      <x:c r="AL81" t="str">
        <x:v>37299f6e-7a66-4e9b-be43-dc387a66f1ca</x:v>
      </x:c>
      <x:c r="AM81" s="23" t="str">
        <x:f>IF(E81="processing",IF(Z81="","",IF(ISNUMBER(Z81),INT(Z81),DATE(VALUE(LEFT(Z81,4)),VALUE(MID(Z81,6,2)),VALUE(MID(Z81,9,2))))),IF(OR(E81="executing",E81="pending"),IF(AD81="","",IF(ISNUMBER(AD81),INT(AD81),DATE(VALUE(LEFT(AD81,4)),VALUE(MID(AD81,6,2)),VALUE(MID(AD81,9,2))))),""))</x:f>
      </x:c>
      <x:c r="AN81" s="24" t="str">
        <x:f>IF(AM81="","",INT('Configuration'!$B$4)-AM81)</x:f>
      </x:c>
      <x:c r="AO81" s="25" t="str">
        <x:f>IF(AM81="","Missing Required Date",IF(AN81&lt;0,"Future Date",IF(AN81=0,"0 days",IF(AN81&lt;=2,"1-2 days",IF(AN81&lt;=7,"3-7 days",IF(AN81&lt;=14,"8-14 days",IF(AN81&lt;=30,"15-30 days",IF(AN81&lt;=60,"31-60 days",IF(AN81&lt;=70,"61-70 days","71+ days")))))))))</x:f>
        <x:v>Missing Required Date</x:v>
      </x:c>
      <x:c r="AP81" s="25" t="str">
        <x:f>IF(OR(E81="processing",E81="executing",E81="pending"),IF(AM81="","Required aging date missing",IF(AN81&gt;30,"Escalate &gt;30d",IF(AN81&gt;14,"Watch &gt;14d","Within 14d"))),"Out of scope")</x:f>
        <x:v>Out of scope</x:v>
      </x:c>
    </x:row>
    <x:row r="82" ht="24" customHeight="1">
      <x:c r="A82" t="str">
        <x:v>43616fc9-592e-426c-a9bf-c7cffd8a944a</x:v>
      </x:c>
      <x:c r="B82" t="str">
        <x:v>CSSP10391617</x:v>
      </x:c>
      <x:c r="C82" t="str">
        <x:v>amit.manchanda@petronas.com</x:v>
      </x:c>
      <x:c r="D82" t="str">
        <x:v>provision-cloud-public</x:v>
      </x:c>
      <x:c r="E82" t="str">
        <x:v>completed</x:v>
      </x:c>
      <x:c r="F82" t="n">
        <x:v>46083.20594104167</x:v>
      </x:c>
      <x:c r="G82" t="n">
        <x:v>46083.20594104167</x:v>
      </x:c>
      <x:c r="H82" t="n">
        <x:v>46112.12061932871</x:v>
      </x:c>
      <x:c r="I82" t="str">
        <x:v>C-000011</x:v>
      </x:c>
      <x:c r="J82" t="str">
        <x:v>Common IAC Landing Zone</x:v>
      </x:c>
      <x:c r="K82" t="str">
        <x:v>00915_120</x:v>
      </x:c>
      <x:c r="L82" t="str">
        <x:v>Cloud Migration Azure Infrastructure for New Landing Zone</x:v>
      </x:c>
      <x:c r="M82" t="str">
        <x:v>sazali.mokhtar@petronas.com.my</x:v>
      </x:c>
      <x:c r="N82" t="str">
        <x:v>PETRONAS Cloud Repatriation for Azure</x:v>
      </x:c>
      <x:c r="O82" t="str">
        <x:v>New</x:v>
      </x:c>
      <x:c r="P82" t="str">
        <x:v>Production</x:v>
      </x:c>
      <x:c r="Q82" t="str">
        <x:v>Cloud Repatriation for CORPORATE (Azure Migration) - For PROD - Need 1 shared VM with Domain Join to copy the data from Singapore region to Malaysia Region</x:v>
      </x:c>
      <x:c r="R82" t="str">
        <x:v>M</x:v>
      </x:c>
      <x:c r="S82"/>
      <x:c r="T82"/>
      <x:c r="U82" t="str">
        <x:v>For repat program.</x:v>
      </x:c>
      <x:c r="V82" t="n">
        <x:v>46085.05444893519</x:v>
      </x:c>
      <x:c r="W82" t="str">
        <x:v>sazali.mokhtar@petronas.com</x:v>
      </x:c>
      <x:c r="X82" t="str">
        <x:v>approved</x:v>
      </x:c>
      <x:c r="Y82" t="str">
        <x:v>Good to go</x:v>
      </x:c>
      <x:c r="Z82" t="n">
        <x:v>46091.28175354167</x:v>
      </x:c>
      <x:c r="AA82" t="str">
        <x:v>samsuddin.jumbri@petronas.com</x:v>
      </x:c>
      <x:c r="AB82" t="str">
        <x:v>approved</x:v>
      </x:c>
      <x:c r="AC82" t="str">
        <x:v>CSSP10940354 CSSP10940354</x:v>
      </x:c>
      <x:c r="AD82" t="n">
        <x:v>46092.32721797454</x:v>
      </x:c>
      <x:c r="AE82" t="str">
        <x:v>syazali.saad@petronas.com</x:v>
      </x:c>
      <x:c r="AF82" t="str">
        <x:v>approved</x:v>
      </x:c>
      <x:c r="AG82" t="str">
        <x:v>Completed</x:v>
      </x:c>
      <x:c r="AH82" t="n">
        <x:v>46112.12061932871</x:v>
      </x:c>
      <x:c r="AI82" t="str">
        <x:v>fathulrahman.misba@petronas.com</x:v>
      </x:c>
      <x:c r="AJ82" t="str">
        <x:v>approved</x:v>
      </x:c>
      <x:c r="AK82" t="str">
        <x:v>REQ000007928248</x:v>
      </x:c>
      <x:c r="AL82" t="str">
        <x:v>37299f6e-7a66-4e9b-be43-dc387a66f1ca</x:v>
      </x:c>
      <x:c r="AM82" s="23" t="str">
        <x:f>IF(E82="processing",IF(Z82="","",IF(ISNUMBER(Z82),INT(Z82),DATE(VALUE(LEFT(Z82,4)),VALUE(MID(Z82,6,2)),VALUE(MID(Z82,9,2))))),IF(OR(E82="executing",E82="pending"),IF(AD82="","",IF(ISNUMBER(AD82),INT(AD82),DATE(VALUE(LEFT(AD82,4)),VALUE(MID(AD82,6,2)),VALUE(MID(AD82,9,2))))),""))</x:f>
      </x:c>
      <x:c r="AN82" s="24" t="str">
        <x:f>IF(AM82="","",INT('Configuration'!$B$4)-AM82)</x:f>
      </x:c>
      <x:c r="AO82" s="25" t="str">
        <x:f>IF(AM82="","Missing Required Date",IF(AN82&lt;0,"Future Date",IF(AN82=0,"0 days",IF(AN82&lt;=2,"1-2 days",IF(AN82&lt;=7,"3-7 days",IF(AN82&lt;=14,"8-14 days",IF(AN82&lt;=30,"15-30 days",IF(AN82&lt;=60,"31-60 days",IF(AN82&lt;=70,"61-70 days","71+ days")))))))))</x:f>
        <x:v>Missing Required Date</x:v>
      </x:c>
      <x:c r="AP82" s="25" t="str">
        <x:f>IF(OR(E82="processing",E82="executing",E82="pending"),IF(AM82="","Required aging date missing",IF(AN82&gt;30,"Escalate &gt;30d",IF(AN82&gt;14,"Watch &gt;14d","Within 14d"))),"Out of scope")</x:f>
        <x:v>Out of scope</x:v>
      </x:c>
    </x:row>
    <x:row r="83" ht="24" customHeight="1">
      <x:c r="A83" t="str">
        <x:v>53e088bd-0315-4c06-9c35-dec15452a29f</x:v>
      </x:c>
      <x:c r="B83" t="str">
        <x:v>CSSP10196936</x:v>
      </x:c>
      <x:c r="C83" t="str">
        <x:v>nursalikeen.saparai@petronas.com</x:v>
      </x:c>
      <x:c r="D83" t="str">
        <x:v>provision-cloud-public</x:v>
      </x:c>
      <x:c r="E83" t="str">
        <x:v>completed</x:v>
      </x:c>
      <x:c r="F83" t="n">
        <x:v>46083.27134497685</x:v>
      </x:c>
      <x:c r="G83" t="n">
        <x:v>46083.27134497685</x:v>
      </x:c>
      <x:c r="H83" t="n">
        <x:v>46092.126240081016</x:v>
      </x:c>
      <x:c r="I83" t="str">
        <x:v>A-000045</x:v>
      </x:c>
      <x:c r="J83" t="str">
        <x:v>Alpha Oil</x:v>
      </x:c>
      <x:c r="K83" t="n">
        <x:v>3948</x:v>
      </x:c>
      <x:c r="L83" t="str">
        <x:v>Support Services of Alpha Oil – WS2 DevSecOps for Malaysia Petroleum Management (MPM)</x:v>
      </x:c>
      <x:c r="M83" t="str">
        <x:v>sharulazlan.ahmad@petronas.com</x:v>
      </x:c>
      <x:c r="N83" t="str">
        <x:v>Alpha Oil</x:v>
      </x:c>
      <x:c r="O83" t="str">
        <x:v>New</x:v>
      </x:c>
      <x:c r="P83" t="str">
        <x:v>Development</x:v>
      </x:c>
      <x:c r="Q83" t="str">
        <x:v>To provision 1 VM for (Azure Data Factory) ADF integration run time for data loading, transformation and ingestion. Alpha Oil required to setup ADF to replace Talend for their data processor.</x:v>
      </x:c>
      <x:c r="R83" t="str">
        <x:v>S</x:v>
      </x:c>
      <x:c r="S83"/>
      <x:c r="T83"/>
      <x:c r="U83" t="str">
        <x:v>Approved</x:v>
      </x:c>
      <x:c r="V83" t="n">
        <x:v>46085.04826513889</x:v>
      </x:c>
      <x:c r="W83" t="str">
        <x:v>sharulazlan.ahmad@petronas.com</x:v>
      </x:c>
      <x:c r="X83" t="str">
        <x:v>approved</x:v>
      </x:c>
      <x:c r="Y83" t="str">
        <x:v>Approved. Provision VM under PTAZSG-IAC-DEV-ALPHA-OIL-RG</x:v>
      </x:c>
      <x:c r="Z83" t="n">
        <x:v>46086.327214386576</x:v>
      </x:c>
      <x:c r="AA83" t="str">
        <x:v>kianleng.geh@petronas.com</x:v>
      </x:c>
      <x:c r="AB83" t="str">
        <x:v>approved</x:v>
      </x:c>
      <x:c r="AC83" t="str">
        <x:v>1x VM</x:v>
      </x:c>
      <x:c r="AD83" t="n">
        <x:v>46086.340543356484</x:v>
      </x:c>
      <x:c r="AE83" t="str">
        <x:v>syazali.saad@petronas.com</x:v>
      </x:c>
      <x:c r="AF83" t="str">
        <x:v>approved</x:v>
      </x:c>
      <x:c r="AG83" t="str">
        <x:v>Completed</x:v>
      </x:c>
      <x:c r="AH83" t="n">
        <x:v>46092.12624009259</x:v>
      </x:c>
      <x:c r="AI83" t="str">
        <x:v>amin.manshor@petronas.com</x:v>
      </x:c>
      <x:c r="AJ83" t="str">
        <x:v>approved</x:v>
      </x:c>
      <x:c r="AK83" t="str">
        <x:v>REQ000007917534</x:v>
      </x:c>
      <x:c r="AL83" t="str">
        <x:v>068bb9e2-7634-4ac4-b94c-0a9bb274301b</x:v>
      </x:c>
      <x:c r="AM83" s="23" t="str">
        <x:f>IF(E83="processing",IF(Z83="","",IF(ISNUMBER(Z83),INT(Z83),DATE(VALUE(LEFT(Z83,4)),VALUE(MID(Z83,6,2)),VALUE(MID(Z83,9,2))))),IF(OR(E83="executing",E83="pending"),IF(AD83="","",IF(ISNUMBER(AD83),INT(AD83),DATE(VALUE(LEFT(AD83,4)),VALUE(MID(AD83,6,2)),VALUE(MID(AD83,9,2))))),""))</x:f>
      </x:c>
      <x:c r="AN83" s="24" t="str">
        <x:f>IF(AM83="","",INT('Configuration'!$B$4)-AM83)</x:f>
      </x:c>
      <x:c r="AO83" s="25" t="str">
        <x:f>IF(AM83="","Missing Required Date",IF(AN83&lt;0,"Future Date",IF(AN83=0,"0 days",IF(AN83&lt;=2,"1-2 days",IF(AN83&lt;=7,"3-7 days",IF(AN83&lt;=14,"8-14 days",IF(AN83&lt;=30,"15-30 days",IF(AN83&lt;=60,"31-60 days",IF(AN83&lt;=70,"61-70 days","71+ days")))))))))</x:f>
        <x:v>Missing Required Date</x:v>
      </x:c>
      <x:c r="AP83" s="25" t="str">
        <x:f>IF(OR(E83="processing",E83="executing",E83="pending"),IF(AM83="","Required aging date missing",IF(AN83&gt;30,"Escalate &gt;30d",IF(AN83&gt;14,"Watch &gt;14d","Within 14d"))),"Out of scope")</x:f>
        <x:v>Out of scope</x:v>
      </x:c>
    </x:row>
    <x:row r="84" ht="24" customHeight="1">
      <x:c r="A84" t="str">
        <x:v>e1de3770-b2a1-4489-85af-04ac4a4c581a</x:v>
      </x:c>
      <x:c r="B84" t="str">
        <x:v>CSSP10535228</x:v>
      </x:c>
      <x:c r="C84" t="str">
        <x:v>mohamadsyafiq.mnoor@petronas.com</x:v>
      </x:c>
      <x:c r="D84" t="str">
        <x:v>provision-cloud-public</x:v>
      </x:c>
      <x:c r="E84" t="str">
        <x:v>completed</x:v>
      </x:c>
      <x:c r="F84" t="n">
        <x:v>46086.09832063657</x:v>
      </x:c>
      <x:c r="G84" t="n">
        <x:v>46086.09832063657</x:v>
      </x:c>
      <x:c r="H84" t="n">
        <x:v>46098.008077199076</x:v>
      </x:c>
      <x:c r="I84" t="str">
        <x:v>A-001307</x:v>
      </x:c>
      <x:c r="J84" t="str">
        <x:v>Azure Machine Learning - PRPC</x:v>
      </x:c>
      <x:c r="K84" t="n">
        <x:v>4739</x:v>
      </x:c>
      <x:c r="L84" t="str">
        <x:v>Run &amp; Maintain Citizen Analytics Use Cases for PRPC</x:v>
      </x:c>
      <x:c r="M84" t="str">
        <x:v>khairulnizam.bahari@petronas.com.my</x:v>
      </x:c>
      <x:c r="N84" t="str">
        <x:v>Citizen-Analytics</x:v>
      </x:c>
      <x:c r="O84" t="str">
        <x:v>New</x:v>
      </x:c>
      <x:c r="P84" t="str">
        <x:v>Production</x:v>
      </x:c>
      <x:c r="Q84" t="str">
        <x:v>Request to provision compute instance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Nur Fara Nabila Mohamad Firdaus Yong (POCM/PRPC) - nurfaranabila.mohama@petronas.com.my </x:v>
      </x:c>
      <x:c r="R84" t="str">
        <x:v>S</x:v>
      </x:c>
      <x:c r="S84"/>
      <x:c r="T84"/>
      <x:c r="U84" t="str">
        <x:v>compute instance for the new resource under En Azman's team.</x:v>
      </x:c>
      <x:c r="V84" t="n">
        <x:v>46086.11244523148</x:v>
      </x:c>
      <x:c r="W84" t="str">
        <x:v>khairulnizam.bahari@petronas.com</x:v>
      </x:c>
      <x:c r="X84" t="str">
        <x:v>approved</x:v>
      </x:c>
      <x:c r="Y84" t="str">
        <x:v>Good to go</x:v>
      </x:c>
      <x:c r="Z84" t="n">
        <x:v>46091.28288141204</x:v>
      </x:c>
      <x:c r="AA84" t="str">
        <x:v>samsuddin.jumbri@petronas.com</x:v>
      </x:c>
      <x:c r="AB84" t="str">
        <x:v>approved</x:v>
      </x:c>
      <x:c r="AC84" t="str">
        <x:v>ML</x:v>
      </x:c>
      <x:c r="AD84" t="n">
        <x:v>46092.40185959491</x:v>
      </x:c>
      <x:c r="AE84" t="str">
        <x:v>syazali.saad@petronas.com</x:v>
      </x:c>
      <x:c r="AF84" t="str">
        <x:v>approved</x:v>
      </x:c>
      <x:c r="AG84" t="str">
        <x:v>Compute created. </x:v>
      </x:c>
      <x:c r="AH84" t="n">
        <x:v>46098.008077210645</x:v>
      </x:c>
      <x:c r="AI84" t="str">
        <x:v>azhan.shazeli@petronas.com</x:v>
      </x:c>
      <x:c r="AJ84" t="str">
        <x:v>approved</x:v>
      </x:c>
      <x:c r="AK84" t="str">
        <x:v>REQ000007928353</x:v>
      </x:c>
      <x:c r="AL84" t="str">
        <x:v>175979a6-0134-4d4e-b3f1-5ff77e1fdf7f</x:v>
      </x:c>
      <x:c r="AM84" s="23" t="str">
        <x:f>IF(E84="processing",IF(Z84="","",IF(ISNUMBER(Z84),INT(Z84),DATE(VALUE(LEFT(Z84,4)),VALUE(MID(Z84,6,2)),VALUE(MID(Z84,9,2))))),IF(OR(E84="executing",E84="pending"),IF(AD84="","",IF(ISNUMBER(AD84),INT(AD84),DATE(VALUE(LEFT(AD84,4)),VALUE(MID(AD84,6,2)),VALUE(MID(AD84,9,2))))),""))</x:f>
      </x:c>
      <x:c r="AN84" s="24" t="str">
        <x:f>IF(AM84="","",INT('Configuration'!$B$4)-AM84)</x:f>
      </x:c>
      <x:c r="AO84" s="25" t="str">
        <x:f>IF(AM84="","Missing Required Date",IF(AN84&lt;0,"Future Date",IF(AN84=0,"0 days",IF(AN84&lt;=2,"1-2 days",IF(AN84&lt;=7,"3-7 days",IF(AN84&lt;=14,"8-14 days",IF(AN84&lt;=30,"15-30 days",IF(AN84&lt;=60,"31-60 days",IF(AN84&lt;=70,"61-70 days","71+ days")))))))))</x:f>
        <x:v>Missing Required Date</x:v>
      </x:c>
      <x:c r="AP84" s="25" t="str">
        <x:f>IF(OR(E84="processing",E84="executing",E84="pending"),IF(AM84="","Required aging date missing",IF(AN84&gt;30,"Escalate &gt;30d",IF(AN84&gt;14,"Watch &gt;14d","Within 14d"))),"Out of scope")</x:f>
        <x:v>Out of scope</x:v>
      </x:c>
    </x:row>
    <x:row r="85" ht="24" customHeight="1">
      <x:c r="A85" t="str">
        <x:v>b532da1e-5ea3-4c5b-ad1b-50e3455fdab1</x:v>
      </x:c>
      <x:c r="B85" t="str">
        <x:v>CSSP10447421</x:v>
      </x:c>
      <x:c r="C85" t="str">
        <x:v>mizzudin.manuar@petronas.com</x:v>
      </x:c>
      <x:c r="D85" t="str">
        <x:v>provision-cloud-public</x:v>
      </x:c>
      <x:c r="E85" t="str">
        <x:v>completed</x:v>
      </x:c>
      <x:c r="F85" t="n">
        <x:v>46086.26346570602</x:v>
      </x:c>
      <x:c r="G85" t="n">
        <x:v>46086.363029988424</x:v>
      </x:c>
      <x:c r="H85" t="n">
        <x:v>46097.12368866898</x:v>
      </x:c>
      <x:c r="I85" t="str">
        <x:v>A-000605</x:v>
      </x:c>
      <x:c r="J85" t="str">
        <x:v>Plant Information - PI Vestigo</x:v>
      </x:c>
      <x:c r="K85" t="str">
        <x:v>02421_64</x:v>
      </x:c>
      <x:c r="L85" t="str">
        <x:v>Cloud Migration Program - PI Vestigo</x:v>
      </x:c>
      <x:c r="M85" t="str">
        <x:v>mohammadsani.johari@petronas.com.my</x:v>
      </x:c>
      <x:c r="N85" t="str">
        <x:v>Migration of PI System for Vestigo Operatorship Transfer</x:v>
      </x:c>
      <x:c r="O85" t="str">
        <x:v>Modify</x:v>
      </x:c>
      <x:c r="P85" t="str">
        <x:v>Production</x:v>
      </x:c>
      <x:c r="Q85" t="str">
        <x:v>ESTRELLA: Migration of Plant Information (PI) System for Vestigo Operatorship Transfer, PI Server Hard Drive Upgrade</x:v>
      </x:c>
      <x:c r="R85" t="str">
        <x:v>M</x:v>
      </x:c>
      <x:c r="S85" t="str">
        <x:v>ICT_RFC00219906</x:v>
      </x:c>
      <x:c r="T85"/>
      <x:c r="U85" t="str">
        <x:v>Project requirement.</x:v>
      </x:c>
      <x:c r="V85" t="n">
        <x:v>46090.04989353009</x:v>
      </x:c>
      <x:c r="W85" t="str">
        <x:v>mohammadsani.johari@petronas.com</x:v>
      </x:c>
      <x:c r="X85" t="str">
        <x:v>approved</x:v>
      </x:c>
      <x:c r="Y85" t="str">
        <x:v>Good to go</x:v>
      </x:c>
      <x:c r="Z85" t="n">
        <x:v>46091.28526193287</x:v>
      </x:c>
      <x:c r="AA85" t="str">
        <x:v>samsuddin.jumbri@petronas.com</x:v>
      </x:c>
      <x:c r="AB85" t="str">
        <x:v>approved</x:v>
      </x:c>
      <x:c r="AC85" t="str">
        <x:v>rfc, 03/16/2026 10:00:00 PM. AWS.</x:v>
      </x:c>
      <x:c r="AD85" t="n">
        <x:v>46091.36869584491</x:v>
      </x:c>
      <x:c r="AE85" t="str">
        <x:v>syazali.saad@petronas.com</x:v>
      </x:c>
      <x:c r="AF85" t="str">
        <x:v>approved</x:v>
      </x:c>
      <x:c r="AG85" t="str">
        <x:v>requestor cancelled due to change in plan and spec.</x:v>
      </x:c>
      <x:c r="AH85" t="n">
        <x:v>46097.12368868056</x:v>
      </x:c>
      <x:c r="AI85" t="str">
        <x:v>syazali.saad@petronas.com</x:v>
      </x:c>
      <x:c r="AJ85" t="str">
        <x:v>approved</x:v>
      </x:c>
      <x:c r="AK85" t="str">
        <x:v>REQ000007925432</x:v>
      </x:c>
      <x:c r="AL85" t="str">
        <x:v>5d3fb87b-9d92-4201-8beb-3a6b20d59907</x:v>
      </x:c>
      <x:c r="AM85" s="23" t="str">
        <x:f>IF(E85="processing",IF(Z85="","",IF(ISNUMBER(Z85),INT(Z85),DATE(VALUE(LEFT(Z85,4)),VALUE(MID(Z85,6,2)),VALUE(MID(Z85,9,2))))),IF(OR(E85="executing",E85="pending"),IF(AD85="","",IF(ISNUMBER(AD85),INT(AD85),DATE(VALUE(LEFT(AD85,4)),VALUE(MID(AD85,6,2)),VALUE(MID(AD85,9,2))))),""))</x:f>
      </x:c>
      <x:c r="AN85" s="24" t="str">
        <x:f>IF(AM85="","",INT('Configuration'!$B$4)-AM85)</x:f>
      </x:c>
      <x:c r="AO85" s="25" t="str">
        <x:f>IF(AM85="","Missing Required Date",IF(AN85&lt;0,"Future Date",IF(AN85=0,"0 days",IF(AN85&lt;=2,"1-2 days",IF(AN85&lt;=7,"3-7 days",IF(AN85&lt;=14,"8-14 days",IF(AN85&lt;=30,"15-30 days",IF(AN85&lt;=60,"31-60 days",IF(AN85&lt;=70,"61-70 days","71+ days")))))))))</x:f>
        <x:v>Missing Required Date</x:v>
      </x:c>
      <x:c r="AP85" s="25" t="str">
        <x:f>IF(OR(E85="processing",E85="executing",E85="pending"),IF(AM85="","Required aging date missing",IF(AN85&gt;30,"Escalate &gt;30d",IF(AN85&gt;14,"Watch &gt;14d","Within 14d"))),"Out of scope")</x:f>
        <x:v>Out of scope</x:v>
      </x:c>
    </x:row>
    <x:row r="86" ht="24" customHeight="1">
      <x:c r="A86" t="str">
        <x:v>5b7bbbc1-4eda-4abb-b3a0-6d660db246a8</x:v>
      </x:c>
      <x:c r="B86" t="str">
        <x:v>CSSP10489794</x:v>
      </x:c>
      <x:c r="C86" t="str">
        <x:v>mahzan.musa@petronas.com</x:v>
      </x:c>
      <x:c r="D86" t="str">
        <x:v>provision-cloud-public</x:v>
      </x:c>
      <x:c r="E86" t="str">
        <x:v>completed</x:v>
      </x:c>
      <x:c r="F86" t="n">
        <x:v>46086.30530608796</x:v>
      </x:c>
      <x:c r="G86" t="n">
        <x:v>46086.30530608796</x:v>
      </x:c>
      <x:c r="H86" t="n">
        <x:v>46100.39461304398</x:v>
      </x:c>
      <x:c r="I86" t="str">
        <x:v>P-000007</x:v>
      </x:c>
      <x:c r="J86" t="str">
        <x:v>Outsystem - Citizen Developer Program</x:v>
      </x:c>
      <x:c r="K86" t="str">
        <x:v>PC-00034</x:v>
      </x:c>
      <x:c r="L86" t="str">
        <x:v>Citizen Developer Program - OutSystems Standard edition (150 AOs)</x:v>
      </x:c>
      <x:c r="M86" t="str">
        <x:v>amirshazlan.mshah@petronas.com.my</x:v>
      </x:c>
      <x:c r="N86" t="str">
        <x:v>Citizen Developer Program</x:v>
      </x:c>
      <x:c r="O86" t="str">
        <x:v>New</x:v>
      </x:c>
      <x:c r="P86" t="str">
        <x:v>Development</x:v>
      </x:c>
      <x:c r="Q86" t="str">
        <x:v>Dashboard for cost recovery. Amazon EC2 1 instance. Windows Server. t3.2xlarge. EBS Storage 10 GB</x:v>
      </x:c>
      <x:c r="R86" t="str">
        <x:v>M</x:v>
      </x:c>
      <x:c r="S86"/>
      <x:c r="T86"/>
      <x:c r="U86" t="str">
        <x:v>approved</x:v>
      </x:c>
      <x:c r="V86" t="n">
        <x:v>46086.31136861111</x:v>
      </x:c>
      <x:c r="W86" t="str">
        <x:v>amirshazlan.mshah@petronas.com</x:v>
      </x:c>
      <x:c r="X86" t="str">
        <x:v>approved</x:v>
      </x:c>
      <x:c r="Y86" t="str">
        <x:v>Good to go</x:v>
      </x:c>
      <x:c r="Z86" t="n">
        <x:v>46091.284103136575</x:v>
      </x:c>
      <x:c r="AA86" t="str">
        <x:v>samsuddin.jumbri@petronas.com</x:v>
      </x:c>
      <x:c r="AB86" t="str">
        <x:v>approved</x:v>
      </x:c>
      <x:c r="AC86" t="str">
        <x:v>ec2 x1. new.</x:v>
      </x:c>
      <x:c r="AD86" t="n">
        <x:v>46092.16742255787</x:v>
      </x:c>
      <x:c r="AE86" t="str">
        <x:v>syazali.saad@petronas.com</x:v>
      </x:c>
      <x:c r="AF86" t="str">
        <x:v>approved</x:v>
      </x:c>
      <x:c r="AG86" t="str">
        <x:v>Request completed and email has been sent for verification.</x:v>
      </x:c>
      <x:c r="AH86" t="n">
        <x:v>46100.394613055556</x:v>
      </x:c>
      <x:c r="AI86" t="str">
        <x:v>faiz.noorhasim@petronas.com</x:v>
      </x:c>
      <x:c r="AJ86" t="str">
        <x:v>approved</x:v>
      </x:c>
      <x:c r="AK86" t="str">
        <x:v>REQ000007927046</x:v>
      </x:c>
      <x:c r="AL86" t="str">
        <x:v>d06714b8-6137-414d-b0ca-dc58ccfe404a</x:v>
      </x:c>
      <x:c r="AM86" s="23" t="str">
        <x:f>IF(E86="processing",IF(Z86="","",IF(ISNUMBER(Z86),INT(Z86),DATE(VALUE(LEFT(Z86,4)),VALUE(MID(Z86,6,2)),VALUE(MID(Z86,9,2))))),IF(OR(E86="executing",E86="pending"),IF(AD86="","",IF(ISNUMBER(AD86),INT(AD86),DATE(VALUE(LEFT(AD86,4)),VALUE(MID(AD86,6,2)),VALUE(MID(AD86,9,2))))),""))</x:f>
      </x:c>
      <x:c r="AN86" s="24" t="str">
        <x:f>IF(AM86="","",INT('Configuration'!$B$4)-AM86)</x:f>
      </x:c>
      <x:c r="AO86" s="25" t="str">
        <x:f>IF(AM86="","Missing Required Date",IF(AN86&lt;0,"Future Date",IF(AN86=0,"0 days",IF(AN86&lt;=2,"1-2 days",IF(AN86&lt;=7,"3-7 days",IF(AN86&lt;=14,"8-14 days",IF(AN86&lt;=30,"15-30 days",IF(AN86&lt;=60,"31-60 days",IF(AN86&lt;=70,"61-70 days","71+ days")))))))))</x:f>
        <x:v>Missing Required Date</x:v>
      </x:c>
      <x:c r="AP86" s="25" t="str">
        <x:f>IF(OR(E86="processing",E86="executing",E86="pending"),IF(AM86="","Required aging date missing",IF(AN86&gt;30,"Escalate &gt;30d",IF(AN86&gt;14,"Watch &gt;14d","Within 14d"))),"Out of scope")</x:f>
        <x:v>Out of scope</x:v>
      </x:c>
    </x:row>
    <x:row r="87" ht="24" customHeight="1">
      <x:c r="A87" t="str">
        <x:v>52b36a76-7e00-49d6-a9da-5b10a07aeda5</x:v>
      </x:c>
      <x:c r="B87" t="str">
        <x:v>CSSP10732023</x:v>
      </x:c>
      <x:c r="C87" t="str">
        <x:v>hari.amirchow@petronas.com</x:v>
      </x:c>
      <x:c r="D87" t="str">
        <x:v>provision-cloud-public</x:v>
      </x:c>
      <x:c r="E87" t="str">
        <x:v>completed</x:v>
      </x:c>
      <x:c r="F87" t="n">
        <x:v>46087.00287318287</x:v>
      </x:c>
      <x:c r="G87" t="n">
        <x:v>46087.00287318287</x:v>
      </x:c>
      <x:c r="H87" t="n">
        <x:v>46088.708198900466</x:v>
      </x:c>
      <x:c r="I87" t="str">
        <x:v>A-000726</x:v>
      </x:c>
      <x:c r="J87" t="str">
        <x:v>SAP 50 ECC6</x:v>
      </x:c>
      <x:c r="K87" t="str">
        <x:v>OSR00410_1</x:v>
      </x:c>
      <x:c r="L87" t="str">
        <x:v>S/4HANA Technical Conversion and Migration of SAP Systems P30 and P50</x:v>
      </x:c>
      <x:c r="M87" t="str">
        <x:v>safura.ibadullah@petronas.com</x:v>
      </x:c>
      <x:c r="N87" t="str">
        <x:v>PHOENIX Technology Modernisation</x:v>
      </x:c>
      <x:c r="O87" t="str">
        <x:v>Modify</x:v>
      </x:c>
      <x:c r="P87" t="str">
        <x:v>Production</x:v>
      </x:c>
      <x:c r="Q87" t="str">
        <x:v>Phoenix Tech mod P50 DB VM upgrade</x:v>
      </x:c>
      <x:c r="R87" t="str">
        <x:v>S</x:v>
      </x:c>
      <x:c r="S87" t="str">
        <x:v>ICT_RFC00219889 </x:v>
      </x:c>
      <x:c r="T87"/>
      <x:c r="U87" t="str">
        <x:v>Phoenix Dress Rehersal</x:v>
      </x:c>
      <x:c r="V87" t="n">
        <x:v>46087.0100359375</x:v>
      </x:c>
      <x:c r="W87" t="str">
        <x:v>safura.ibadullah@petronas.com</x:v>
      </x:c>
      <x:c r="X87" t="str">
        <x:v>approved</x:v>
      </x:c>
      <x:c r="Y87" t="str">
        <x:v>Approved for P50</x:v>
      </x:c>
      <x:c r="Z87" t="n">
        <x:v>46087.12910643518</x:v>
      </x:c>
      <x:c r="AA87" t="str">
        <x:v>fathulrahman.misba@petronas.com</x:v>
      </x:c>
      <x:c r="AB87" t="str">
        <x:v>approved</x:v>
      </x:c>
      <x:c r="AC87" t="str">
        <x:v>VM upgrade to E96ds. clickops.</x:v>
      </x:c>
      <x:c r="AD87" t="n">
        <x:v>46087.174869710645</x:v>
      </x:c>
      <x:c r="AE87" t="str">
        <x:v>syazali.saad@petronas.com</x:v>
      </x:c>
      <x:c r="AF87" t="str">
        <x:v>approved</x:v>
      </x:c>
      <x:c r="AG87" t="str">
        <x:v>PTSG-1PDBdb01 and PTSG-1PDBdb02 have been upgraded to Standard E96ds v5 (96 vCPU and 672 GiB memory). It is the highest available E series class available.</x:v>
      </x:c>
      <x:c r="AH87" t="n">
        <x:v>46088.708198912034</x:v>
      </x:c>
      <x:c r="AI87" t="str">
        <x:v>faiz.noorhasim@petronas.com</x:v>
      </x:c>
      <x:c r="AJ87" t="str">
        <x:v>approved</x:v>
      </x:c>
      <x:c r="AK87" t="str">
        <x:v>REQ000007918425</x:v>
      </x:c>
      <x:c r="AL87" t="str">
        <x:v>23f8d636-6c6b-4ae6-97b1-490b7f9db028</x:v>
      </x:c>
      <x:c r="AM87" s="23" t="str">
        <x:f>IF(E87="processing",IF(Z87="","",IF(ISNUMBER(Z87),INT(Z87),DATE(VALUE(LEFT(Z87,4)),VALUE(MID(Z87,6,2)),VALUE(MID(Z87,9,2))))),IF(OR(E87="executing",E87="pending"),IF(AD87="","",IF(ISNUMBER(AD87),INT(AD87),DATE(VALUE(LEFT(AD87,4)),VALUE(MID(AD87,6,2)),VALUE(MID(AD87,9,2))))),""))</x:f>
      </x:c>
      <x:c r="AN87" s="24" t="str">
        <x:f>IF(AM87="","",INT('Configuration'!$B$4)-AM87)</x:f>
      </x:c>
      <x:c r="AO87" s="25" t="str">
        <x:f>IF(AM87="","Missing Required Date",IF(AN87&lt;0,"Future Date",IF(AN87=0,"0 days",IF(AN87&lt;=2,"1-2 days",IF(AN87&lt;=7,"3-7 days",IF(AN87&lt;=14,"8-14 days",IF(AN87&lt;=30,"15-30 days",IF(AN87&lt;=60,"31-60 days",IF(AN87&lt;=70,"61-70 days","71+ days")))))))))</x:f>
        <x:v>Missing Required Date</x:v>
      </x:c>
      <x:c r="AP87" s="25" t="str">
        <x:f>IF(OR(E87="processing",E87="executing",E87="pending"),IF(AM87="","Required aging date missing",IF(AN87&gt;30,"Escalate &gt;30d",IF(AN87&gt;14,"Watch &gt;14d","Within 14d"))),"Out of scope")</x:f>
        <x:v>Out of scope</x:v>
      </x:c>
    </x:row>
    <x:row r="88" ht="24" customHeight="1">
      <x:c r="A88" t="str">
        <x:v>012e7efc-80f7-4b03-9717-1a9c6a3b4ee2</x:v>
      </x:c>
      <x:c r="B88" t="str">
        <x:v>CSSP10398565</x:v>
      </x:c>
      <x:c r="C88" t="str">
        <x:v>manas.dutta@petronas.com</x:v>
      </x:c>
      <x:c r="D88" t="str">
        <x:v>provision-cloud-public</x:v>
      </x:c>
      <x:c r="E88" t="str">
        <x:v>completed</x:v>
      </x:c>
      <x:c r="F88" t="n">
        <x:v>46090.168200092594</x:v>
      </x:c>
      <x:c r="G88" t="n">
        <x:v>46090.168200092594</x:v>
      </x:c>
      <x:c r="H88" t="n">
        <x:v>46129.086684988426</x:v>
      </x:c>
      <x:c r="I88" t="str">
        <x:v>A-001315</x:v>
      </x:c>
      <x:c r="J88" t="str">
        <x:v>PDB Data &amp; Intelligence Platform</x:v>
      </x:c>
      <x:c r="K88" t="str">
        <x:v>SR25023</x:v>
      </x:c>
      <x:c r="L88" t="str">
        <x:v>PDB Data &amp; Intelligence Platform</x:v>
      </x:c>
      <x:c r="M88" t="str">
        <x:v>manas.dutta@petronas.com</x:v>
      </x:c>
      <x:c r="N88" t="str">
        <x:v>PDB Data and Intelligence Platform</x:v>
      </x:c>
      <x:c r="O88" t="str">
        <x:v>New</x:v>
      </x:c>
      <x:c r="P88" t="str">
        <x:v>StagingUat</x:v>
      </x:c>
      <x:c r="Q88" t="str">
        <x:v>The dev resources are already provisioned so this request is to provision the UAT resources</x:v>
      </x:c>
      <x:c r="R88" t="str">
        <x:v>L</x:v>
      </x:c>
      <x:c r="S88"/>
      <x:c r="T88"/>
      <x:c r="U88" t="str">
        <x:v>Same as Dev so COC can proceed to provision for UAT/Prod</x:v>
      </x:c>
      <x:c r="V88" t="n">
        <x:v>46090.17315674768</x:v>
      </x:c>
      <x:c r="W88" t="str">
        <x:v>manas.dutta@petronas.com</x:v>
      </x:c>
      <x:c r="X88" t="str">
        <x:v>approved</x:v>
      </x:c>
      <x:c r="Y88" t="str">
        <x:v>Good to go</x:v>
      </x:c>
      <x:c r="Z88" t="n">
        <x:v>46091.28703550926</x:v>
      </x:c>
      <x:c r="AA88" t="str">
        <x:v>samsuddin.jumbri@petronas.com</x:v>
      </x:c>
      <x:c r="AB88" t="str">
        <x:v>approved</x:v>
      </x:c>
      <x:c r="AC88" t="str">
        <x:v>databricks.</x:v>
      </x:c>
      <x:c r="AD88" t="n">
        <x:v>46092.16290703704</x:v>
      </x:c>
      <x:c r="AE88" t="str">
        <x:v>syazali.saad@petronas.com</x:v>
      </x:c>
      <x:c r="AF88" t="str">
        <x:v>approved</x:v>
      </x:c>
      <x:c r="AG88" t="str">
        <x:v>completed</x:v>
      </x:c>
      <x:c r="AH88" t="n">
        <x:v>46129.086685</x:v>
      </x:c>
      <x:c r="AI88" t="str">
        <x:v>amin.manshor@petronas.com</x:v>
      </x:c>
      <x:c r="AJ88" t="str">
        <x:v>approved</x:v>
      </x:c>
      <x:c r="AK88" t="str">
        <x:v>REQ000007927043</x:v>
      </x:c>
      <x:c r="AL88" t="str">
        <x:v>b4e60f9a-b7c8-4e1d-8847-6f2e75534143</x:v>
      </x:c>
      <x:c r="AM88" s="23" t="str">
        <x:f>IF(E88="processing",IF(Z88="","",IF(ISNUMBER(Z88),INT(Z88),DATE(VALUE(LEFT(Z88,4)),VALUE(MID(Z88,6,2)),VALUE(MID(Z88,9,2))))),IF(OR(E88="executing",E88="pending"),IF(AD88="","",IF(ISNUMBER(AD88),INT(AD88),DATE(VALUE(LEFT(AD88,4)),VALUE(MID(AD88,6,2)),VALUE(MID(AD88,9,2))))),""))</x:f>
      </x:c>
      <x:c r="AN88" s="24" t="str">
        <x:f>IF(AM88="","",INT('Configuration'!$B$4)-AM88)</x:f>
      </x:c>
      <x:c r="AO88" s="25" t="str">
        <x:f>IF(AM88="","Missing Required Date",IF(AN88&lt;0,"Future Date",IF(AN88=0,"0 days",IF(AN88&lt;=2,"1-2 days",IF(AN88&lt;=7,"3-7 days",IF(AN88&lt;=14,"8-14 days",IF(AN88&lt;=30,"15-30 days",IF(AN88&lt;=60,"31-60 days",IF(AN88&lt;=70,"61-70 days","71+ days")))))))))</x:f>
        <x:v>Missing Required Date</x:v>
      </x:c>
      <x:c r="AP88" s="25" t="str">
        <x:f>IF(OR(E88="processing",E88="executing",E88="pending"),IF(AM88="","Required aging date missing",IF(AN88&gt;30,"Escalate &gt;30d",IF(AN88&gt;14,"Watch &gt;14d","Within 14d"))),"Out of scope")</x:f>
        <x:v>Out of scope</x:v>
      </x:c>
    </x:row>
    <x:row r="89" ht="24" customHeight="1">
      <x:c r="A89" t="str">
        <x:v>df1258b4-cf59-4e94-9341-daa35a947f0b</x:v>
      </x:c>
      <x:c r="B89" t="str">
        <x:v>CSSP10114358</x:v>
      </x:c>
      <x:c r="C89" t="str">
        <x:v>manas.dutta@petronas.com</x:v>
      </x:c>
      <x:c r="D89" t="str">
        <x:v>provision-cloud-public</x:v>
      </x:c>
      <x:c r="E89" t="str">
        <x:v>completed</x:v>
      </x:c>
      <x:c r="F89" t="n">
        <x:v>46090.16904212963</x:v>
      </x:c>
      <x:c r="G89" t="n">
        <x:v>46090.16904212963</x:v>
      </x:c>
      <x:c r="H89" t="n">
        <x:v>46129.087061631944</x:v>
      </x:c>
      <x:c r="I89" t="str">
        <x:v>A-001315</x:v>
      </x:c>
      <x:c r="J89" t="str">
        <x:v>PDB Data &amp; Intelligence Platform</x:v>
      </x:c>
      <x:c r="K89" t="str">
        <x:v>SR25023</x:v>
      </x:c>
      <x:c r="L89" t="str">
        <x:v>PDB Data &amp; Intelligence Platform</x:v>
      </x:c>
      <x:c r="M89" t="str">
        <x:v>manas.dutta@petronas.com</x:v>
      </x:c>
      <x:c r="N89" t="str">
        <x:v>PDB Data and Intelligence Platform</x:v>
      </x:c>
      <x:c r="O89" t="str">
        <x:v>New</x:v>
      </x:c>
      <x:c r="P89" t="str">
        <x:v>Production</x:v>
      </x:c>
      <x:c r="Q89" t="str">
        <x:v>The dev resources are already provisioned so this request is to provision the PROD resources</x:v>
      </x:c>
      <x:c r="R89" t="str">
        <x:v>L</x:v>
      </x:c>
      <x:c r="S89"/>
      <x:c r="T89"/>
      <x:c r="U89" t="str">
        <x:v>Same as Dev so COC can proceed to provision for UAT/Prod</x:v>
      </x:c>
      <x:c r="V89" t="n">
        <x:v>46090.17282449074</x:v>
      </x:c>
      <x:c r="W89" t="str">
        <x:v>manas.dutta@petronas.com</x:v>
      </x:c>
      <x:c r="X89" t="str">
        <x:v>approved</x:v>
      </x:c>
      <x:c r="Y89" t="str">
        <x:v>Good to go</x:v>
      </x:c>
      <x:c r="Z89" t="n">
        <x:v>46091.28732181713</x:v>
      </x:c>
      <x:c r="AA89" t="str">
        <x:v>samsuddin.jumbri@petronas.com</x:v>
      </x:c>
      <x:c r="AB89" t="str">
        <x:v>approved</x:v>
      </x:c>
      <x:c r="AC89" t="str">
        <x:v>databricks.</x:v>
      </x:c>
      <x:c r="AD89" t="n">
        <x:v>46092.16267140046</x:v>
      </x:c>
      <x:c r="AE89" t="str">
        <x:v>syazali.saad@petronas.com</x:v>
      </x:c>
      <x:c r="AF89" t="str">
        <x:v>approved</x:v>
      </x:c>
      <x:c r="AG89" t="str">
        <x:v>completed</x:v>
      </x:c>
      <x:c r="AH89" t="n">
        <x:v>46129.087061631944</x:v>
      </x:c>
      <x:c r="AI89" t="str">
        <x:v>amin.manshor@petronas.com</x:v>
      </x:c>
      <x:c r="AJ89" t="str">
        <x:v>approved</x:v>
      </x:c>
      <x:c r="AK89" t="str">
        <x:v>REQ000007927042</x:v>
      </x:c>
      <x:c r="AL89" t="str">
        <x:v>b4e60f9a-b7c8-4e1d-8847-6f2e75534143</x:v>
      </x:c>
      <x:c r="AM89" s="23" t="str">
        <x:f>IF(E89="processing",IF(Z89="","",IF(ISNUMBER(Z89),INT(Z89),DATE(VALUE(LEFT(Z89,4)),VALUE(MID(Z89,6,2)),VALUE(MID(Z89,9,2))))),IF(OR(E89="executing",E89="pending"),IF(AD89="","",IF(ISNUMBER(AD89),INT(AD89),DATE(VALUE(LEFT(AD89,4)),VALUE(MID(AD89,6,2)),VALUE(MID(AD89,9,2))))),""))</x:f>
      </x:c>
      <x:c r="AN89" s="24" t="str">
        <x:f>IF(AM89="","",INT('Configuration'!$B$4)-AM89)</x:f>
      </x:c>
      <x:c r="AO89" s="25" t="str">
        <x:f>IF(AM89="","Missing Required Date",IF(AN89&lt;0,"Future Date",IF(AN89=0,"0 days",IF(AN89&lt;=2,"1-2 days",IF(AN89&lt;=7,"3-7 days",IF(AN89&lt;=14,"8-14 days",IF(AN89&lt;=30,"15-30 days",IF(AN89&lt;=60,"31-60 days",IF(AN89&lt;=70,"61-70 days","71+ days")))))))))</x:f>
        <x:v>Missing Required Date</x:v>
      </x:c>
      <x:c r="AP89" s="25" t="str">
        <x:f>IF(OR(E89="processing",E89="executing",E89="pending"),IF(AM89="","Required aging date missing",IF(AN89&gt;30,"Escalate &gt;30d",IF(AN89&gt;14,"Watch &gt;14d","Within 14d"))),"Out of scope")</x:f>
        <x:v>Out of scope</x:v>
      </x:c>
    </x:row>
    <x:row r="90" ht="24" customHeight="1">
      <x:c r="A90" t="str">
        <x:v>c770e32d-5625-43af-a7fb-d5258685d9f4</x:v>
      </x:c>
      <x:c r="B90" t="str">
        <x:v>CSSP10448286</x:v>
      </x:c>
      <x:c r="C90" t="str">
        <x:v>ahmadaimanhakim.nora@petronas.com</x:v>
      </x:c>
      <x:c r="D90" t="str">
        <x:v>provision-cloud-public</x:v>
      </x:c>
      <x:c r="E90" t="str">
        <x:v>rejected</x:v>
      </x:c>
      <x:c r="F90" t="n">
        <x:v>46090.28968721065</x:v>
      </x:c>
      <x:c r="G90" t="n">
        <x:v>46091.08421974537</x:v>
      </x:c>
      <x:c r="H90" t="n">
        <x:v>46125.279041932874</x:v>
      </x:c>
      <x:c r="I90" t="str">
        <x:v>A-000361</x:v>
      </x:c>
      <x:c r="J90" t="str">
        <x:v>Integrated Asset Modelling - IAM</x:v>
      </x:c>
      <x:c r="K90" t="n">
        <x:v>859</x:v>
      </x:c>
      <x:c r="L90" t="str">
        <x:v>Implementation of development, testing and production server for Integrated Asset Modelling (IAM) for COE, PCSB</x:v>
      </x:c>
      <x:c r="M90" t="str">
        <x:v>halim.matnoh@petronas.com.my</x:v>
      </x:c>
      <x:c r="N90" t="str">
        <x:v>Project IAM</x:v>
      </x:c>
      <x:c r="O90" t="str">
        <x:v>Modify</x:v>
      </x:c>
      <x:c r="P90" t="str">
        <x:v>Production</x:v>
      </x:c>
      <x:c r="Q90" t="str">
        <x:v>Refer previous approved CSSP10479891, re-raised to update sku and estimate. 
To upgrade these servers resources PTSG-1IVMDMAP01 &amp; PTSG-1IVMDMAP02:
Current -  Standard E8ds v4
Upgrade to - E16s v3</x:v>
      </x:c>
      <x:c r="R90"/>
      <x:c r="S90" t="str">
        <x:v>ICT_RFC00220099</x:v>
      </x:c>
      <x:c r="T90"/>
      <x:c r="U90" t="str">
        <x:v>rejected</x:v>
      </x:c>
      <x:c r="V90" t="n">
        <x:v>46125.27904194444</x:v>
      </x:c>
      <x:c r="W90" t="str">
        <x:v>halim.matnoh@petronas.com</x:v>
      </x:c>
      <x:c r="X90" t="str">
        <x:v>rejected</x:v>
      </x:c>
      <x:c r="Y90"/>
      <x:c r="Z90"/>
      <x:c r="AA90" t="str">
        <x:v>CCoE Demand</x:v>
      </x:c>
      <x:c r="AB90"/>
      <x:c r="AC90"/>
      <x:c r="AD90"/>
      <x:c r="AE90" t="str">
        <x:v>CCoE Business</x:v>
      </x:c>
      <x:c r="AF90"/>
      <x:c r="AG90"/>
      <x:c r="AH90"/>
      <x:c r="AI90" t="str">
        <x:v>CCoE Core Services (Public)</x:v>
      </x:c>
      <x:c r="AJ90"/>
      <x:c r="AK90"/>
      <x:c r="AL90" t="str">
        <x:v>fe80e76e-a9eb-4430-8940-992f48d3788e</x:v>
      </x:c>
      <x:c r="AM90" s="23" t="str">
        <x:f>IF(E90="processing",IF(Z90="","",IF(ISNUMBER(Z90),INT(Z90),DATE(VALUE(LEFT(Z90,4)),VALUE(MID(Z90,6,2)),VALUE(MID(Z90,9,2))))),IF(OR(E90="executing",E90="pending"),IF(AD90="","",IF(ISNUMBER(AD90),INT(AD90),DATE(VALUE(LEFT(AD90,4)),VALUE(MID(AD90,6,2)),VALUE(MID(AD90,9,2))))),""))</x:f>
      </x:c>
      <x:c r="AN90" s="24" t="str">
        <x:f>IF(AM90="","",INT('Configuration'!$B$4)-AM90)</x:f>
      </x:c>
      <x:c r="AO90" s="25" t="str">
        <x:f>IF(AM90="","Missing Required Date",IF(AN90&lt;0,"Future Date",IF(AN90=0,"0 days",IF(AN90&lt;=2,"1-2 days",IF(AN90&lt;=7,"3-7 days",IF(AN90&lt;=14,"8-14 days",IF(AN90&lt;=30,"15-30 days",IF(AN90&lt;=60,"31-60 days",IF(AN90&lt;=70,"61-70 days","71+ days")))))))))</x:f>
        <x:v>Missing Required Date</x:v>
      </x:c>
      <x:c r="AP90" s="25" t="str">
        <x:f>IF(OR(E90="processing",E90="executing",E90="pending"),IF(AM90="","Required aging date missing",IF(AN90&gt;30,"Escalate &gt;30d",IF(AN90&gt;14,"Watch &gt;14d","Within 14d"))),"Out of scope")</x:f>
        <x:v>Out of scope</x:v>
      </x:c>
    </x:row>
    <x:row r="91" ht="24" customHeight="1">
      <x:c r="A91" t="str">
        <x:v>cc9cf246-3e93-466f-953c-a2886069963a</x:v>
      </x:c>
      <x:c r="B91" t="str">
        <x:v>CSSP10683664</x:v>
      </x:c>
      <x:c r="C91" t="str">
        <x:v>rusnani.mamat@petronas.com</x:v>
      </x:c>
      <x:c r="D91" t="str">
        <x:v>provision-cloud-public</x:v>
      </x:c>
      <x:c r="E91" t="str">
        <x:v>rejected</x:v>
      </x:c>
      <x:c r="F91" t="n">
        <x:v>46090.31258621528</x:v>
      </x:c>
      <x:c r="G91" t="n">
        <x:v>46090.31258621528</x:v>
      </x:c>
      <x:c r="H91" t="n">
        <x:v>46091.28956038194</x:v>
      </x:c>
      <x:c r="I91" t="str">
        <x:v>A-000031</x:v>
      </x:c>
      <x:c r="J91" t="str">
        <x:v>Augmented Gas Nomination Ecosystem - AGNES</x:v>
      </x:c>
      <x:c r="K91" t="n">
        <x:v>209</x:v>
      </x:c>
      <x:c r="L91" t="str">
        <x:v>Establishment of Augmented Gas Nomination EcoSystem (AGNES) DevSecOps for Malaysia Petroleum Management (MPM)</x:v>
      </x:c>
      <x:c r="M91" t="str">
        <x:v>faradina.mohamed@petronas.com.my</x:v>
      </x:c>
      <x:c r="N91" t="str">
        <x:v>Establishment of AGNES DevSecOps for MPM</x:v>
      </x:c>
      <x:c r="O91" t="str">
        <x:v>New</x:v>
      </x:c>
      <x:c r="P91" t="str">
        <x:v>Development</x:v>
      </x:c>
      <x:c r="Q91" t="str">
        <x:v>AGNES is an existing system application. This request is for new provisioning for AGNES Run&amp;Maintain.
</x:v>
      </x:c>
      <x:c r="R91"/>
      <x:c r="S91"/>
      <x:c r="T91"/>
      <x:c r="U91" t="str">
        <x:v>approved to provision</x:v>
      </x:c>
      <x:c r="V91" t="n">
        <x:v>46090.33718398148</x:v>
      </x:c>
      <x:c r="W91" t="str">
        <x:v>faradina.mohamed@petronas.com</x:v>
      </x:c>
      <x:c r="X91" t="str">
        <x:v>approved</x:v>
      </x:c>
      <x:c r="Y91" t="str">
        <x:v>Kindly provide the estimated cost in Excel format (including the required SKU specifications), downloaded from the Azure/AWS calculator website.</x:v>
      </x:c>
      <x:c r="Z91" t="n">
        <x:v>46091.289560405094</x:v>
      </x:c>
      <x:c r="AA91" t="str">
        <x:v>samsuddin.jumbri@petronas.com</x:v>
      </x:c>
      <x:c r="AB91" t="str">
        <x:v>rejected</x:v>
      </x:c>
      <x:c r="AC91"/>
      <x:c r="AD91"/>
      <x:c r="AE91" t="str">
        <x:v>CCoE Business</x:v>
      </x:c>
      <x:c r="AF91"/>
      <x:c r="AG91"/>
      <x:c r="AH91"/>
      <x:c r="AI91" t="str">
        <x:v>CCoE Core Services (Public)</x:v>
      </x:c>
      <x:c r="AJ91"/>
      <x:c r="AK91"/>
      <x:c r="AL91" t="str">
        <x:v>a3f54c5f-6942-4740-96ec-b35604ec2ace</x:v>
      </x:c>
      <x:c r="AM91" s="23" t="str">
        <x:f>IF(E91="processing",IF(Z91="","",IF(ISNUMBER(Z91),INT(Z91),DATE(VALUE(LEFT(Z91,4)),VALUE(MID(Z91,6,2)),VALUE(MID(Z91,9,2))))),IF(OR(E91="executing",E91="pending"),IF(AD91="","",IF(ISNUMBER(AD91),INT(AD91),DATE(VALUE(LEFT(AD91,4)),VALUE(MID(AD91,6,2)),VALUE(MID(AD91,9,2))))),""))</x:f>
      </x:c>
      <x:c r="AN91" s="24" t="str">
        <x:f>IF(AM91="","",INT('Configuration'!$B$4)-AM91)</x:f>
      </x:c>
      <x:c r="AO91" s="25" t="str">
        <x:f>IF(AM91="","Missing Required Date",IF(AN91&lt;0,"Future Date",IF(AN91=0,"0 days",IF(AN91&lt;=2,"1-2 days",IF(AN91&lt;=7,"3-7 days",IF(AN91&lt;=14,"8-14 days",IF(AN91&lt;=30,"15-30 days",IF(AN91&lt;=60,"31-60 days",IF(AN91&lt;=70,"61-70 days","71+ days")))))))))</x:f>
        <x:v>Missing Required Date</x:v>
      </x:c>
      <x:c r="AP91" s="25" t="str">
        <x:f>IF(OR(E91="processing",E91="executing",E91="pending"),IF(AM91="","Required aging date missing",IF(AN91&gt;30,"Escalate &gt;30d",IF(AN91&gt;14,"Watch &gt;14d","Within 14d"))),"Out of scope")</x:f>
        <x:v>Out of scope</x:v>
      </x:c>
    </x:row>
    <x:row r="92" ht="24" customHeight="1">
      <x:c r="A92" t="str">
        <x:v>0fbb821f-d649-401a-bd3e-295f0eab46bc</x:v>
      </x:c>
      <x:c r="B92" t="str">
        <x:v>CSSP10958937</x:v>
      </x:c>
      <x:c r="C92" t="str">
        <x:v>ahmadaizuddin.badry@petronas.com</x:v>
      </x:c>
      <x:c r="D92" t="str">
        <x:v>provision-cloud-public</x:v>
      </x:c>
      <x:c r="E92" t="str">
        <x:v>completed</x:v>
      </x:c>
      <x:c r="F92" t="n">
        <x:v>46090.330007094904</x:v>
      </x:c>
      <x:c r="G92" t="n">
        <x:v>46090.330007094904</x:v>
      </x:c>
      <x:c r="H92" t="n">
        <x:v>46135.33716791667</x:v>
      </x:c>
      <x:c r="I92" t="str">
        <x:v>A-000490</x:v>
      </x:c>
      <x:c r="J92" t="str">
        <x:v>MyProcure</x:v>
      </x:c>
      <x:c r="K92" t="n">
        <x:v>4343</x:v>
      </x:c>
      <x:c r="L92" t="str">
        <x:v>Procurement Innovation Through Automation And Procurement Marketplace</x:v>
      </x:c>
      <x:c r="M92" t="str">
        <x:v>amirshazlan.mshah@petronas.com.my</x:v>
      </x:c>
      <x:c r="N92" t="str">
        <x:v>myProcure DevOps - Support</x:v>
      </x:c>
      <x:c r="O92" t="str">
        <x:v>New</x:v>
      </x:c>
      <x:c r="P92" t="str">
        <x:v>Development</x:v>
      </x:c>
      <x:c r="Q92" t="str">
        <x:v>Resources group : PTAZSG-IAC-DEV-GPDATA-RG
Security Group : GP_POC_SG</x:v>
      </x:c>
      <x:c r="R92" t="str">
        <x:v>L</x:v>
      </x:c>
      <x:c r="S92"/>
      <x:c r="T92"/>
      <x:c r="U92" t="str">
        <x:v>approved</x:v>
      </x:c>
      <x:c r="V92" t="n">
        <x:v>46090.34498179398</x:v>
      </x:c>
      <x:c r="W92" t="str">
        <x:v>amirshazlan.mshah@petronas.com</x:v>
      </x:c>
      <x:c r="X92" t="str">
        <x:v>approved</x:v>
      </x:c>
      <x:c r="Y92" t="str">
        <x:v>Good to go</x:v>
      </x:c>
      <x:c r="Z92" t="n">
        <x:v>46091.291307708336</x:v>
      </x:c>
      <x:c r="AA92" t="str">
        <x:v>samsuddin.jumbri@petronas.com</x:v>
      </x:c>
      <x:c r="AB92" t="str">
        <x:v>approved</x:v>
      </x:c>
      <x:c r="AC92" t="str">
        <x:v>.</x:v>
      </x:c>
      <x:c r="AD92" t="n">
        <x:v>46094.33116689815</x:v>
      </x:c>
      <x:c r="AE92" t="str">
        <x:v>syazali.saad@petronas.com</x:v>
      </x:c>
      <x:c r="AF92" t="str">
        <x:v>approved</x:v>
      </x:c>
      <x:c r="AG92" t="str">
        <x:v>to close request first while waiting for another resource to completed</x:v>
      </x:c>
      <x:c r="AH92" t="n">
        <x:v>46135.33716792824</x:v>
      </x:c>
      <x:c r="AI92" t="str">
        <x:v>akhmal.roslan@petronas.com</x:v>
      </x:c>
      <x:c r="AJ92" t="str">
        <x:v>approved</x:v>
      </x:c>
      <x:c r="AK92" t="str">
        <x:v>REQ000007933192</x:v>
      </x:c>
      <x:c r="AL92" t="str">
        <x:v>b5606a96-441e-48fe-ab6e-881a6eb72c27</x:v>
      </x:c>
      <x:c r="AM92" s="23" t="str">
        <x:f>IF(E92="processing",IF(Z92="","",IF(ISNUMBER(Z92),INT(Z92),DATE(VALUE(LEFT(Z92,4)),VALUE(MID(Z92,6,2)),VALUE(MID(Z92,9,2))))),IF(OR(E92="executing",E92="pending"),IF(AD92="","",IF(ISNUMBER(AD92),INT(AD92),DATE(VALUE(LEFT(AD92,4)),VALUE(MID(AD92,6,2)),VALUE(MID(AD92,9,2))))),""))</x:f>
      </x:c>
      <x:c r="AN92" s="24" t="str">
        <x:f>IF(AM92="","",INT('Configuration'!$B$4)-AM92)</x:f>
      </x:c>
      <x:c r="AO92" s="25" t="str">
        <x:f>IF(AM92="","Missing Required Date",IF(AN92&lt;0,"Future Date",IF(AN92=0,"0 days",IF(AN92&lt;=2,"1-2 days",IF(AN92&lt;=7,"3-7 days",IF(AN92&lt;=14,"8-14 days",IF(AN92&lt;=30,"15-30 days",IF(AN92&lt;=60,"31-60 days",IF(AN92&lt;=70,"61-70 days","71+ days")))))))))</x:f>
        <x:v>Missing Required Date</x:v>
      </x:c>
      <x:c r="AP92" s="25" t="str">
        <x:f>IF(OR(E92="processing",E92="executing",E92="pending"),IF(AM92="","Required aging date missing",IF(AN92&gt;30,"Escalate &gt;30d",IF(AN92&gt;14,"Watch &gt;14d","Within 14d"))),"Out of scope")</x:f>
        <x:v>Out of scope</x:v>
      </x:c>
    </x:row>
    <x:row r="93" ht="24" customHeight="1">
      <x:c r="A93" t="str">
        <x:v>de291346-4740-49d5-bbbb-9700eee39b66</x:v>
      </x:c>
      <x:c r="B93" t="str">
        <x:v>CSSP10354764</x:v>
      </x:c>
      <x:c r="C93" t="str">
        <x:v>rusnani.mamat@petronas.com</x:v>
      </x:c>
      <x:c r="D93" t="str">
        <x:v>provision-cloud-public</x:v>
      </x:c>
      <x:c r="E93" t="str">
        <x:v>completed</x:v>
      </x:c>
      <x:c r="F93" t="n">
        <x:v>46091.11752489583</x:v>
      </x:c>
      <x:c r="G93" t="n">
        <x:v>46093.210536053244</x:v>
      </x:c>
      <x:c r="H93" t="n">
        <x:v>46121.26929103009</x:v>
      </x:c>
      <x:c r="I93" t="str">
        <x:v>A-000031</x:v>
      </x:c>
      <x:c r="J93" t="str">
        <x:v>Augmented Gas Nomination Ecosystem - AGNES</x:v>
      </x:c>
      <x:c r="K93" t="n">
        <x:v>209</x:v>
      </x:c>
      <x:c r="L93" t="str">
        <x:v>Establishment of Augmented Gas Nomination EcoSystem (AGNES) DevSecOps for Malaysia Petroleum Management (MPM)</x:v>
      </x:c>
      <x:c r="M93" t="str">
        <x:v>faradina.mohamed@petronas.com.my</x:v>
      </x:c>
      <x:c r="N93" t="str">
        <x:v>Establishment of AGNES DevSecOps for MPM</x:v>
      </x:c>
      <x:c r="O93" t="str">
        <x:v>New</x:v>
      </x:c>
      <x:c r="P93" t="str">
        <x:v>StagingUat</x:v>
      </x:c>
      <x:c r="Q93" t="str">
        <x:v>Request for new server for existing application</x:v>
      </x:c>
      <x:c r="R93" t="str">
        <x:v>M</x:v>
      </x:c>
      <x:c r="S93"/>
      <x:c r="T93"/>
      <x:c r="U93" t="str">
        <x:v>Request for StagingUat DB environment for AGNES</x:v>
      </x:c>
      <x:c r="V93" t="n">
        <x:v>46093.218172719906</x:v>
      </x:c>
      <x:c r="W93" t="str">
        <x:v>faradina.mohamed@petronas.com</x:v>
      </x:c>
      <x:c r="X93" t="str">
        <x:v>approved</x:v>
      </x:c>
      <x:c r="Y93" t="str">
        <x:v>Good to go</x:v>
      </x:c>
      <x:c r="Z93" t="n">
        <x:v>46112.076636261576</x:v>
      </x:c>
      <x:c r="AA93" t="str">
        <x:v>samsuddin.jumbri@petronas.com</x:v>
      </x:c>
      <x:c r="AB93" t="str">
        <x:v>approved</x:v>
      </x:c>
      <x:c r="AC93" t="str">
        <x:v>database</x:v>
      </x:c>
      <x:c r="AD93" t="n">
        <x:v>46113.110919212966</x:v>
      </x:c>
      <x:c r="AE93" t="str">
        <x:v>syazali.saad@petronas.com</x:v>
      </x:c>
      <x:c r="AF93" t="str">
        <x:v>approved</x:v>
      </x:c>
      <x:c r="AG93" t="str">
        <x:v>resource provisioned</x:v>
      </x:c>
      <x:c r="AH93" t="n">
        <x:v>46121.26929105324</x:v>
      </x:c>
      <x:c r="AI93" t="str">
        <x:v>mhafizi.madnan@petronas.com</x:v>
      </x:c>
      <x:c r="AJ93" t="str">
        <x:v>approved</x:v>
      </x:c>
      <x:c r="AK93" t="str">
        <x:v>REQ000007960183</x:v>
      </x:c>
      <x:c r="AL93" t="str">
        <x:v>a3f54c5f-6942-4740-96ec-b35604ec2ace</x:v>
      </x:c>
      <x:c r="AM93" s="23" t="str">
        <x:f>IF(E93="processing",IF(Z93="","",IF(ISNUMBER(Z93),INT(Z93),DATE(VALUE(LEFT(Z93,4)),VALUE(MID(Z93,6,2)),VALUE(MID(Z93,9,2))))),IF(OR(E93="executing",E93="pending"),IF(AD93="","",IF(ISNUMBER(AD93),INT(AD93),DATE(VALUE(LEFT(AD93,4)),VALUE(MID(AD93,6,2)),VALUE(MID(AD93,9,2))))),""))</x:f>
      </x:c>
      <x:c r="AN93" s="24" t="str">
        <x:f>IF(AM93="","",INT('Configuration'!$B$4)-AM93)</x:f>
      </x:c>
      <x:c r="AO93" s="25" t="str">
        <x:f>IF(AM93="","Missing Required Date",IF(AN93&lt;0,"Future Date",IF(AN93=0,"0 days",IF(AN93&lt;=2,"1-2 days",IF(AN93&lt;=7,"3-7 days",IF(AN93&lt;=14,"8-14 days",IF(AN93&lt;=30,"15-30 days",IF(AN93&lt;=60,"31-60 days",IF(AN93&lt;=70,"61-70 days","71+ days")))))))))</x:f>
        <x:v>Missing Required Date</x:v>
      </x:c>
      <x:c r="AP93" s="25" t="str">
        <x:f>IF(OR(E93="processing",E93="executing",E93="pending"),IF(AM93="","Required aging date missing",IF(AN93&gt;30,"Escalate &gt;30d",IF(AN93&gt;14,"Watch &gt;14d","Within 14d"))),"Out of scope")</x:f>
        <x:v>Out of scope</x:v>
      </x:c>
    </x:row>
    <x:row r="94" ht="24" customHeight="1">
      <x:c r="A94" t="str">
        <x:v>fe4c57d6-dd6d-4392-8b5b-c2f3c85bb18d</x:v>
      </x:c>
      <x:c r="B94" t="str">
        <x:v>CSSP10205245</x:v>
      </x:c>
      <x:c r="C94" t="str">
        <x:v>ahmadaimanhakim.nora@petronas.com</x:v>
      </x:c>
      <x:c r="D94" t="str">
        <x:v>provision-cloud-public</x:v>
      </x:c>
      <x:c r="E94" t="str">
        <x:v>completed</x:v>
      </x:c>
      <x:c r="F94" t="n">
        <x:v>46091.181582453704</x:v>
      </x:c>
      <x:c r="G94" t="n">
        <x:v>46091.181582453704</x:v>
      </x:c>
      <x:c r="H94" t="n">
        <x:v>46094.59188033565</x:v>
      </x:c>
      <x:c r="I94" t="str">
        <x:v>A-000361</x:v>
      </x:c>
      <x:c r="J94" t="str">
        <x:v>Integrated Asset Modelling - IAM</x:v>
      </x:c>
      <x:c r="K94" t="n">
        <x:v>859</x:v>
      </x:c>
      <x:c r="L94" t="str">
        <x:v>Implementation of development, testing and production server for Integrated Asset Modelling (IAM) for COE, PCSB</x:v>
      </x:c>
      <x:c r="M94" t="str">
        <x:v>nurshida.czakaria@petronas.com.my</x:v>
      </x:c>
      <x:c r="N94" t="str">
        <x:v>Project IAM</x:v>
      </x:c>
      <x:c r="O94" t="str">
        <x:v>Modify</x:v>
      </x:c>
      <x:c r="P94" t="str">
        <x:v>Production</x:v>
      </x:c>
      <x:c r="Q94" t="str">
        <x:v>Refer previous approved CSSP10479891, re-raised to update sku and estimate. To upgrade these servers resources PTSG-1IVMDMAP01 &amp; PTSG-1IVMDMAP02. Current -  Standard E8ds v4. Upgrade to - E16s v3.</x:v>
      </x:c>
      <x:c r="R94" t="str">
        <x:v>M</x:v>
      </x:c>
      <x:c r="S94" t="str">
        <x:v>ICT_RFC00220099</x:v>
      </x:c>
      <x:c r="T94"/>
      <x:c r="U94" t="str">
        <x:v>Approved for the upgrade.</x:v>
      </x:c>
      <x:c r="V94" t="n">
        <x:v>46091.256324560185</x:v>
      </x:c>
      <x:c r="W94" t="str">
        <x:v>nurshida.czakaria@petronas.com</x:v>
      </x:c>
      <x:c r="X94" t="str">
        <x:v>approved</x:v>
      </x:c>
      <x:c r="Y94" t="str">
        <x:v>Good to go</x:v>
      </x:c>
      <x:c r="Z94" t="n">
        <x:v>46091.293950879626</x:v>
      </x:c>
      <x:c r="AA94" t="str">
        <x:v>samsuddin.jumbri@petronas.com</x:v>
      </x:c>
      <x:c r="AB94" t="str">
        <x:v>approved</x:v>
      </x:c>
      <x:c r="AC94" t="str">
        <x:v>RFC, OLZ, 13 March 2026</x:v>
      </x:c>
      <x:c r="AD94" t="n">
        <x:v>46091.34012508102</x:v>
      </x:c>
      <x:c r="AE94" t="str">
        <x:v>syazali.saad@petronas.com</x:v>
      </x:c>
      <x:c r="AF94" t="str">
        <x:v>approved</x:v>
      </x:c>
      <x:c r="AG94" t="str">
        <x:v>Completed</x:v>
      </x:c>
      <x:c r="AH94" t="n">
        <x:v>46094.59188034722</x:v>
      </x:c>
      <x:c r="AI94" t="str">
        <x:v>badri.shaharudin@petronas.com</x:v>
      </x:c>
      <x:c r="AJ94" t="str">
        <x:v>approved</x:v>
      </x:c>
      <x:c r="AK94" t="str">
        <x:v>REQ000007925112</x:v>
      </x:c>
      <x:c r="AL94" t="str">
        <x:v>fe80e76e-a9eb-4430-8940-992f48d3788e</x:v>
      </x:c>
      <x:c r="AM94" s="23" t="str">
        <x:f>IF(E94="processing",IF(Z94="","",IF(ISNUMBER(Z94),INT(Z94),DATE(VALUE(LEFT(Z94,4)),VALUE(MID(Z94,6,2)),VALUE(MID(Z94,9,2))))),IF(OR(E94="executing",E94="pending"),IF(AD94="","",IF(ISNUMBER(AD94),INT(AD94),DATE(VALUE(LEFT(AD94,4)),VALUE(MID(AD94,6,2)),VALUE(MID(AD94,9,2))))),""))</x:f>
      </x:c>
      <x:c r="AN94" s="24" t="str">
        <x:f>IF(AM94="","",INT('Configuration'!$B$4)-AM94)</x:f>
      </x:c>
      <x:c r="AO94" s="25" t="str">
        <x:f>IF(AM94="","Missing Required Date",IF(AN94&lt;0,"Future Date",IF(AN94=0,"0 days",IF(AN94&lt;=2,"1-2 days",IF(AN94&lt;=7,"3-7 days",IF(AN94&lt;=14,"8-14 days",IF(AN94&lt;=30,"15-30 days",IF(AN94&lt;=60,"31-60 days",IF(AN94&lt;=70,"61-70 days","71+ days")))))))))</x:f>
        <x:v>Missing Required Date</x:v>
      </x:c>
      <x:c r="AP94" s="25" t="str">
        <x:f>IF(OR(E94="processing",E94="executing",E94="pending"),IF(AM94="","Required aging date missing",IF(AN94&gt;30,"Escalate &gt;30d",IF(AN94&gt;14,"Watch &gt;14d","Within 14d"))),"Out of scope")</x:f>
        <x:v>Out of scope</x:v>
      </x:c>
    </x:row>
    <x:row r="95" ht="24" customHeight="1">
      <x:c r="A95" t="str">
        <x:v>f27582cc-2e87-4f13-b755-daf66667a8e4</x:v>
      </x:c>
      <x:c r="B95" t="str">
        <x:v>CSSP10900651</x:v>
      </x:c>
      <x:c r="C95" t="str">
        <x:v>nurulemira.jalaluddi@petronas.com</x:v>
      </x:c>
      <x:c r="D95" t="str">
        <x:v>provision-cloud-public</x:v>
      </x:c>
      <x:c r="E95" t="str">
        <x:v>completed</x:v>
      </x:c>
      <x:c r="F95" t="n">
        <x:v>46091.35896886574</x:v>
      </x:c>
      <x:c r="G95" t="n">
        <x:v>46091.37932467592</x:v>
      </x:c>
      <x:c r="H95" t="n">
        <x:v>46132.1585028125</x:v>
      </x:c>
      <x:c r="I95" t="str">
        <x:v>A-000361</x:v>
      </x:c>
      <x:c r="J95" t="str">
        <x:v>Integrated Asset Modelling - IAM</x:v>
      </x:c>
      <x:c r="K95" t="str">
        <x:v>00859_1</x:v>
      </x:c>
      <x:c r="L95" t="str">
        <x:v>Upstream Model Management</x:v>
      </x:c>
      <x:c r="M95" t="str">
        <x:v>nurshida.czakaria@petronas.com.my</x:v>
      </x:c>
      <x:c r="N95" t="str">
        <x:v>Project IAM</x:v>
      </x:c>
      <x:c r="O95" t="str">
        <x:v>Modify</x:v>
      </x:c>
      <x:c r="P95" t="str">
        <x:v>Production</x:v>
      </x:c>
      <x:c r="Q95" t="str">
        <x:v>To upgrade the server resource PTSG-1IVMDMAP03. Current - Standard E8ds v4. Upgrade to - E16s v3.</x:v>
      </x:c>
      <x:c r="R95" t="str">
        <x:v>M</x:v>
      </x:c>
      <x:c r="S95" t="str">
        <x:v>ICT_RFC00220099</x:v>
      </x:c>
      <x:c r="T95"/>
      <x:c r="U95" t="str">
        <x:v>Approved as part of operational requirement to Upgrade the server resource.</x:v>
      </x:c>
      <x:c r="V95" t="n">
        <x:v>46119.164511041665</x:v>
      </x:c>
      <x:c r="W95" t="str">
        <x:v>nurshida.czakaria@petronas.com</x:v>
      </x:c>
      <x:c r="X95" t="str">
        <x:v>approved</x:v>
      </x:c>
      <x:c r="Y95" t="str">
        <x:v>Good to go</x:v>
      </x:c>
      <x:c r="Z95" t="n">
        <x:v>46122.288105162035</x:v>
      </x:c>
      <x:c r="AA95" t="str">
        <x:v>samsuddin.jumbri@petronas.com</x:v>
      </x:c>
      <x:c r="AB95" t="str">
        <x:v>approved</x:v>
      </x:c>
      <x:c r="AC95" t="str">
        <x:v>olz</x:v>
      </x:c>
      <x:c r="AD95" t="n">
        <x:v>46125.075407951386</x:v>
      </x:c>
      <x:c r="AE95" t="str">
        <x:v>syazali.saad@petronas.com</x:v>
      </x:c>
      <x:c r="AF95" t="str">
        <x:v>approved</x:v>
      </x:c>
      <x:c r="AG95" t="str">
        <x:v>Pending RFC, will proceed once approve</x:v>
      </x:c>
      <x:c r="AH95" t="n">
        <x:v>46132.1585028125</x:v>
      </x:c>
      <x:c r="AI95" t="str">
        <x:v>badri.shaharudin@petronas.com</x:v>
      </x:c>
      <x:c r="AJ95" t="str">
        <x:v>approved</x:v>
      </x:c>
      <x:c r="AK95" t="str">
        <x:v>REQ000007984507</x:v>
      </x:c>
      <x:c r="AL95" t="str">
        <x:v>963ea52f-6351-4b1a-96d8-a8442114967a</x:v>
      </x:c>
      <x:c r="AM95" s="23" t="str">
        <x:f>IF(E95="processing",IF(Z95="","",IF(ISNUMBER(Z95),INT(Z95),DATE(VALUE(LEFT(Z95,4)),VALUE(MID(Z95,6,2)),VALUE(MID(Z95,9,2))))),IF(OR(E95="executing",E95="pending"),IF(AD95="","",IF(ISNUMBER(AD95),INT(AD95),DATE(VALUE(LEFT(AD95,4)),VALUE(MID(AD95,6,2)),VALUE(MID(AD95,9,2))))),""))</x:f>
      </x:c>
      <x:c r="AN95" s="24" t="str">
        <x:f>IF(AM95="","",INT('Configuration'!$B$4)-AM95)</x:f>
      </x:c>
      <x:c r="AO95" s="25" t="str">
        <x:f>IF(AM95="","Missing Required Date",IF(AN95&lt;0,"Future Date",IF(AN95=0,"0 days",IF(AN95&lt;=2,"1-2 days",IF(AN95&lt;=7,"3-7 days",IF(AN95&lt;=14,"8-14 days",IF(AN95&lt;=30,"15-30 days",IF(AN95&lt;=60,"31-60 days",IF(AN95&lt;=70,"61-70 days","71+ days")))))))))</x:f>
        <x:v>Missing Required Date</x:v>
      </x:c>
      <x:c r="AP95" s="25" t="str">
        <x:f>IF(OR(E95="processing",E95="executing",E95="pending"),IF(AM95="","Required aging date missing",IF(AN95&gt;30,"Escalate &gt;30d",IF(AN95&gt;14,"Watch &gt;14d","Within 14d"))),"Out of scope")</x:f>
        <x:v>Out of scope</x:v>
      </x:c>
    </x:row>
    <x:row r="96" ht="24" customHeight="1">
      <x:c r="A96" t="str">
        <x:v>cff5a88b-5a77-4daa-acd1-7d599baa23e8</x:v>
      </x:c>
      <x:c r="B96" t="str">
        <x:v>CSSP10573691</x:v>
      </x:c>
      <x:c r="C96" t="str">
        <x:v>mengsiang.ta@petronas.com</x:v>
      </x:c>
      <x:c r="D96" t="str">
        <x:v>provision-cloud-public</x:v>
      </x:c>
      <x:c r="E96" t="str">
        <x:v>completed</x:v>
      </x:c>
      <x:c r="F96" t="n">
        <x:v>46092.10369614583</x:v>
      </x:c>
      <x:c r="G96" t="n">
        <x:v>46092.10369614583</x:v>
      </x:c>
      <x:c r="H96" t="n">
        <x:v>46105.024373622684</x:v>
      </x:c>
      <x:c r="I96" t="str">
        <x:v>A-001273</x:v>
      </x:c>
      <x:c r="J96" t="str">
        <x:v>Meeting Experience System - MEET</x:v>
      </x:c>
      <x:c r="K96" t="n">
        <x:v>4682</x:v>
      </x:c>
      <x:c r="L96" t="str">
        <x:v>Meeting Experience System (MEET) Enhancement</x:v>
      </x:c>
      <x:c r="M96" t="str">
        <x:v>bryan.dewitt@petronas.com.my</x:v>
      </x:c>
      <x:c r="N96" t="str">
        <x:v>Petronas Visitor Management System</x:v>
      </x:c>
      <x:c r="O96" t="str">
        <x:v>New</x:v>
      </x:c>
      <x:c r="P96" t="str">
        <x:v>Production</x:v>
      </x:c>
      <x:c r="Q96" t="str">
        <x:v>to provision new Azure Front Door for REAL Applications to connect to the Private Azure Storage</x:v>
      </x:c>
      <x:c r="R96" t="str">
        <x:v>S</x:v>
      </x:c>
      <x:c r="S96"/>
      <x:c r="T96"/>
      <x:c r="U96" t="str">
        <x:v>ok</x:v>
      </x:c>
      <x:c r="V96" t="n">
        <x:v>46092.11291575232</x:v>
      </x:c>
      <x:c r="W96" t="str">
        <x:v>bryan.dewitt@petronas.com</x:v>
      </x:c>
      <x:c r="X96" t="str">
        <x:v>approved</x:v>
      </x:c>
      <x:c r="Y96" t="str">
        <x:v>Good to go</x:v>
      </x:c>
      <x:c r="Z96" t="n">
        <x:v>46098.082760729165</x:v>
      </x:c>
      <x:c r="AA96" t="str">
        <x:v>samsuddin.jumbri@petronas.com</x:v>
      </x:c>
      <x:c r="AB96" t="str">
        <x:v>approved</x:v>
      </x:c>
      <x:c r="AC96" t="str">
        <x:v>small.</x:v>
      </x:c>
      <x:c r="AD96" t="n">
        <x:v>46099.165236875</x:v>
      </x:c>
      <x:c r="AE96" t="str">
        <x:v>syazali.saad@petronas.com</x:v>
      </x:c>
      <x:c r="AF96" t="str">
        <x:v>approved</x:v>
      </x:c>
      <x:c r="AG96" t="str">
        <x:v>Completed.</x:v>
      </x:c>
      <x:c r="AH96" t="n">
        <x:v>46105.02437363426</x:v>
      </x:c>
      <x:c r="AI96" t="str">
        <x:v>afnanfarhan.dzaharud@petronas.com</x:v>
      </x:c>
      <x:c r="AJ96" t="str">
        <x:v>approved</x:v>
      </x:c>
      <x:c r="AK96" t="str">
        <x:v>REQ000007943240</x:v>
      </x:c>
      <x:c r="AL96" t="str">
        <x:v>c2d31433-d14e-4d91-90d2-b63326245a43</x:v>
      </x:c>
      <x:c r="AM96" s="23" t="str">
        <x:f>IF(E96="processing",IF(Z96="","",IF(ISNUMBER(Z96),INT(Z96),DATE(VALUE(LEFT(Z96,4)),VALUE(MID(Z96,6,2)),VALUE(MID(Z96,9,2))))),IF(OR(E96="executing",E96="pending"),IF(AD96="","",IF(ISNUMBER(AD96),INT(AD96),DATE(VALUE(LEFT(AD96,4)),VALUE(MID(AD96,6,2)),VALUE(MID(AD96,9,2))))),""))</x:f>
      </x:c>
      <x:c r="AN96" s="24" t="str">
        <x:f>IF(AM96="","",INT('Configuration'!$B$4)-AM96)</x:f>
      </x:c>
      <x:c r="AO96" s="25" t="str">
        <x:f>IF(AM96="","Missing Required Date",IF(AN96&lt;0,"Future Date",IF(AN96=0,"0 days",IF(AN96&lt;=2,"1-2 days",IF(AN96&lt;=7,"3-7 days",IF(AN96&lt;=14,"8-14 days",IF(AN96&lt;=30,"15-30 days",IF(AN96&lt;=60,"31-60 days",IF(AN96&lt;=70,"61-70 days","71+ days")))))))))</x:f>
        <x:v>Missing Required Date</x:v>
      </x:c>
      <x:c r="AP96" s="25" t="str">
        <x:f>IF(OR(E96="processing",E96="executing",E96="pending"),IF(AM96="","Required aging date missing",IF(AN96&gt;30,"Escalate &gt;30d",IF(AN96&gt;14,"Watch &gt;14d","Within 14d"))),"Out of scope")</x:f>
        <x:v>Out of scope</x:v>
      </x:c>
    </x:row>
    <x:row r="97" ht="24" customHeight="1">
      <x:c r="A97" t="str">
        <x:v>0af23e8c-a3c7-40e1-b02b-fc911499979f</x:v>
      </x:c>
      <x:c r="B97" t="str">
        <x:v>CSSP10418243</x:v>
      </x:c>
      <x:c r="C97" t="str">
        <x:v>keanseng.lim@petronas.com</x:v>
      </x:c>
      <x:c r="D97" t="str">
        <x:v>provision-cloud-public</x:v>
      </x:c>
      <x:c r="E97" t="str">
        <x:v>completed</x:v>
      </x:c>
      <x:c r="F97" t="n">
        <x:v>46092.15468086806</x:v>
      </x:c>
      <x:c r="G97" t="n">
        <x:v>46099.073301585646</x:v>
      </x:c>
      <x:c r="H97" t="n">
        <x:v>46119.168626921295</x:v>
      </x:c>
      <x:c r="I97" t="str">
        <x:v>A-000486</x:v>
      </x:c>
      <x:c r="J97" t="str">
        <x:v>MyMILLORA</x:v>
      </x:c>
      <x:c r="K97" t="n">
        <x:v>4464</x:v>
      </x:c>
      <x:c r="L97" t="str">
        <x:v>myMILLORA ‐ PD&amp;T One Stop Solution Offerings Platform (MVP 1) For Petroliam Nasional Berhad</x:v>
      </x:c>
      <x:c r="M97" t="str">
        <x:v>sarkunan.tigarajan@petronas.com</x:v>
      </x:c>
      <x:c r="N97" t="str">
        <x:v>MyMILLORA</x:v>
      </x:c>
      <x:c r="O97" t="str">
        <x:v>Modify</x:v>
      </x:c>
      <x:c r="P97" t="str">
        <x:v>Production</x:v>
      </x:c>
      <x:c r="Q97" t="str">
        <x:v> Request increase SQL Pool Size &amp; DB Size for myMILLORA Production DB to 1TB. Scale for upcoming bulk data migration requirement.</x:v>
      </x:c>
      <x:c r="R97" t="str">
        <x:v>M</x:v>
      </x:c>
      <x:c r="S97" t="str">
        <x:v>ICT_RFC00220719</x:v>
      </x:c>
      <x:c r="T97"/>
      <x:c r="U97" t="str">
        <x:v>Reviewed and approved</x:v>
      </x:c>
      <x:c r="V97" t="n">
        <x:v>46099.08539240741</x:v>
      </x:c>
      <x:c r="W97" t="str">
        <x:v>sarkunan.tigarajan@petronas.com</x:v>
      </x:c>
      <x:c r="X97" t="str">
        <x:v>approved</x:v>
      </x:c>
      <x:c r="Y97" t="str">
        <x:v>Good to go</x:v>
      </x:c>
      <x:c r="Z97" t="n">
        <x:v>46112.36661358796</x:v>
      </x:c>
      <x:c r="AA97" t="str">
        <x:v>samsuddin.jumbri@petronas.com</x:v>
      </x:c>
      <x:c r="AB97" t="str">
        <x:v>approved</x:v>
      </x:c>
      <x:c r="AC97" t="str">
        <x:v>upsize db</x:v>
      </x:c>
      <x:c r="AD97" t="n">
        <x:v>46114.31767320602</x:v>
      </x:c>
      <x:c r="AE97" t="str">
        <x:v>syazali.saad@petronas.com</x:v>
      </x:c>
      <x:c r="AF97" t="str">
        <x:v>approved</x:v>
      </x:c>
      <x:c r="AG97" t="str">
        <x:v>completed</x:v>
      </x:c>
      <x:c r="AH97" t="n">
        <x:v>46119.168626921295</x:v>
      </x:c>
      <x:c r="AI97" t="str">
        <x:v>akhmal.roslan@petronas.com</x:v>
      </x:c>
      <x:c r="AJ97" t="str">
        <x:v>approved</x:v>
      </x:c>
      <x:c r="AK97" t="str">
        <x:v>REQ000007965931</x:v>
      </x:c>
      <x:c r="AL97" t="str">
        <x:v>4e368d05-0609-4182-8d84-58829c78a96d</x:v>
      </x:c>
      <x:c r="AM97" s="23" t="str">
        <x:f>IF(E97="processing",IF(Z97="","",IF(ISNUMBER(Z97),INT(Z97),DATE(VALUE(LEFT(Z97,4)),VALUE(MID(Z97,6,2)),VALUE(MID(Z97,9,2))))),IF(OR(E97="executing",E97="pending"),IF(AD97="","",IF(ISNUMBER(AD97),INT(AD97),DATE(VALUE(LEFT(AD97,4)),VALUE(MID(AD97,6,2)),VALUE(MID(AD97,9,2))))),""))</x:f>
      </x:c>
      <x:c r="AN97" s="24" t="str">
        <x:f>IF(AM97="","",INT('Configuration'!$B$4)-AM97)</x:f>
      </x:c>
      <x:c r="AO97" s="25" t="str">
        <x:f>IF(AM97="","Missing Required Date",IF(AN97&lt;0,"Future Date",IF(AN97=0,"0 days",IF(AN97&lt;=2,"1-2 days",IF(AN97&lt;=7,"3-7 days",IF(AN97&lt;=14,"8-14 days",IF(AN97&lt;=30,"15-30 days",IF(AN97&lt;=60,"31-60 days",IF(AN97&lt;=70,"61-70 days","71+ days")))))))))</x:f>
        <x:v>Missing Required Date</x:v>
      </x:c>
      <x:c r="AP97" s="25" t="str">
        <x:f>IF(OR(E97="processing",E97="executing",E97="pending"),IF(AM97="","Required aging date missing",IF(AN97&gt;30,"Escalate &gt;30d",IF(AN97&gt;14,"Watch &gt;14d","Within 14d"))),"Out of scope")</x:f>
        <x:v>Out of scope</x:v>
      </x:c>
    </x:row>
    <x:row r="98" ht="24" customHeight="1">
      <x:c r="A98" t="str">
        <x:v>186d91fc-61b1-4c73-9bcd-916d468eb9d1</x:v>
      </x:c>
      <x:c r="B98" t="str">
        <x:v>CSSP10906743</x:v>
      </x:c>
      <x:c r="C98" t="str">
        <x:v>suliza.sumari@petronas.com</x:v>
      </x:c>
      <x:c r="D98" t="str">
        <x:v>provision-cloud-public</x:v>
      </x:c>
      <x:c r="E98" t="str">
        <x:v>completed</x:v>
      </x:c>
      <x:c r="F98" t="n">
        <x:v>46092.41585387731</x:v>
      </x:c>
      <x:c r="G98" t="n">
        <x:v>46092.41585387731</x:v>
      </x:c>
      <x:c r="H98" t="n">
        <x:v>46098.19408023148</x:v>
      </x:c>
      <x:c r="I98" t="str">
        <x:v>A-000491</x:v>
      </x:c>
      <x:c r="J98" t="str">
        <x:v>MyPROData</x:v>
      </x:c>
      <x:c r="K98" t="n">
        <x:v>4583</x:v>
      </x:c>
      <x:c r="L98" t="str">
        <x:v>Shared Support Services (SecOps) myPROdata FY2025 for Malaysia Petroleum Management (MPM)</x:v>
      </x:c>
      <x:c r="M98" t="str">
        <x:v>wadiah.rusli@petronas.com.my</x:v>
      </x:c>
      <x:c r="N98" t="str">
        <x:v>myPROdata</x:v>
      </x:c>
      <x:c r="O98" t="str">
        <x:v>New</x:v>
      </x:c>
      <x:c r="P98" t="str">
        <x:v>Production</x:v>
      </x:c>
      <x:c r="Q98" t="str">
        <x:v>This request is based on the incident ticket raise by CS - incident call, server: ip-10-85-156-179.petronas.petronet.dir (i-06c2c501f555159e1 (PTAWSG-1MBRWB01)).
At the moment, server: ip-10-85-156-179.petronas.petronet.dir (i-06c2c501f555159e1 (PTAWSG-1MBRWB01)) which hosting ebid.malaysiabidround.com will remain isolated. Vendor (Fishermen) will redeploy the application into new AWS EC2 instance.</x:v>
      </x:c>
      <x:c r="R98" t="str">
        <x:v>S</x:v>
      </x:c>
      <x:c r="S98"/>
      <x:c r="T98"/>
      <x:c r="U98" t="str">
        <x:v>This request is urgent as a remediation to address a cyber security incident happened on 10 March 2026. Please review and quickly assign to the PIC. We are targeting for the provision of the server before the Hari Raya Holiday, please. Thank you. </x:v>
      </x:c>
      <x:c r="V98" t="n">
        <x:v>46092.434311192126</x:v>
      </x:c>
      <x:c r="W98" t="str">
        <x:v>wadiah.rusli@petronas.com</x:v>
      </x:c>
      <x:c r="X98" t="str">
        <x:v>approved</x:v>
      </x:c>
      <x:c r="Y98" t="str">
        <x:v>Approved. Reprovsioning of EC2 to fix CS issue </x:v>
      </x:c>
      <x:c r="Z98" t="n">
        <x:v>46094.11639263889</x:v>
      </x:c>
      <x:c r="AA98" t="str">
        <x:v>kianleng.geh@petronas.com</x:v>
      </x:c>
      <x:c r="AB98" t="str">
        <x:v>approved</x:v>
      </x:c>
      <x:c r="AC98" t="str">
        <x:v>Provision 1 EC2 in Production AWS as requested.</x:v>
      </x:c>
      <x:c r="AD98" t="n">
        <x:v>46094.19116899306</x:v>
      </x:c>
      <x:c r="AE98" t="str">
        <x:v>azwan.badari@petronas.com</x:v>
      </x:c>
      <x:c r="AF98" t="str">
        <x:v>approved</x:v>
      </x:c>
      <x:c r="AG98" t="str">
        <x:v>The ec2 has provisioned as below:
Hostname : PTAWSG-1MBRWB02
IP Address : 10.85.156.74</x:v>
      </x:c>
      <x:c r="AH98" t="n">
        <x:v>46098.19408025463</x:v>
      </x:c>
      <x:c r="AI98" t="str">
        <x:v>muhdfirdaus.muhamad@petronas.com</x:v>
      </x:c>
      <x:c r="AJ98" t="str">
        <x:v>approved</x:v>
      </x:c>
      <x:c r="AK98" t="str">
        <x:v>REQ000007933139</x:v>
      </x:c>
      <x:c r="AL98" t="str">
        <x:v>ebc92a57-efcb-4ea1-91f3-f2e35a11c936</x:v>
      </x:c>
      <x:c r="AM98" s="23" t="str">
        <x:f>IF(E98="processing",IF(Z98="","",IF(ISNUMBER(Z98),INT(Z98),DATE(VALUE(LEFT(Z98,4)),VALUE(MID(Z98,6,2)),VALUE(MID(Z98,9,2))))),IF(OR(E98="executing",E98="pending"),IF(AD98="","",IF(ISNUMBER(AD98),INT(AD98),DATE(VALUE(LEFT(AD98,4)),VALUE(MID(AD98,6,2)),VALUE(MID(AD98,9,2))))),""))</x:f>
      </x:c>
      <x:c r="AN98" s="24" t="str">
        <x:f>IF(AM98="","",INT('Configuration'!$B$4)-AM98)</x:f>
      </x:c>
      <x:c r="AO98" s="25" t="str">
        <x:f>IF(AM98="","Missing Required Date",IF(AN98&lt;0,"Future Date",IF(AN98=0,"0 days",IF(AN98&lt;=2,"1-2 days",IF(AN98&lt;=7,"3-7 days",IF(AN98&lt;=14,"8-14 days",IF(AN98&lt;=30,"15-30 days",IF(AN98&lt;=60,"31-60 days",IF(AN98&lt;=70,"61-70 days","71+ days")))))))))</x:f>
        <x:v>Missing Required Date</x:v>
      </x:c>
      <x:c r="AP98" s="25" t="str">
        <x:f>IF(OR(E98="processing",E98="executing",E98="pending"),IF(AM98="","Required aging date missing",IF(AN98&gt;30,"Escalate &gt;30d",IF(AN98&gt;14,"Watch &gt;14d","Within 14d"))),"Out of scope")</x:f>
        <x:v>Out of scope</x:v>
      </x:c>
    </x:row>
    <x:row r="99" ht="24" customHeight="1">
      <x:c r="A99" t="str">
        <x:v>bc270a39-b0da-4dc4-b818-0ce70900a1bd</x:v>
      </x:c>
      <x:c r="B99" t="str">
        <x:v>CSSP10219795</x:v>
      </x:c>
      <x:c r="C99" t="str">
        <x:v>msyahir.mohamadzak@petronas.com</x:v>
      </x:c>
      <x:c r="D99" t="str">
        <x:v>provision-cloud-public</x:v>
      </x:c>
      <x:c r="E99" t="str">
        <x:v>completed</x:v>
      </x:c>
      <x:c r="F99" t="n">
        <x:v>46093.239640486114</x:v>
      </x:c>
      <x:c r="G99" t="n">
        <x:v>46097.10090011574</x:v>
      </x:c>
      <x:c r="H99" t="n">
        <x:v>46132.01783788195</x:v>
      </x:c>
      <x:c r="I99" t="str">
        <x:v>A-001329</x:v>
      </x:c>
      <x:c r="J99" t="str">
        <x:v>Azure Machine Learning - PCIHBV</x:v>
      </x:c>
      <x:c r="K99" t="str">
        <x:v>SR25052</x:v>
      </x:c>
      <x:c r="L99" t="str">
        <x:v>Support, Services &amp; Subscription of Azure Machine Learning for Pipeline Pigging Frequency Prediction at PCIHBV</x:v>
      </x:c>
      <x:c r="M99" t="str">
        <x:v>khairulnizam.bahari@petronas.com</x:v>
      </x:c>
      <x:c r="N99" t="str">
        <x:v>Citizen-Analytics</x:v>
      </x:c>
      <x:c r="O99" t="str">
        <x:v>New</x:v>
      </x:c>
      <x:c r="P99" t="str">
        <x:v>Production</x:v>
      </x:c>
      <x:c r="Q99" t="str">
        <x:v>Request to create Resource Group named "PTAZSG-IAC-DAA-PROD-UPSTREAM-PCIHBV-RG" in Production (PTAZSG-IAC-PROD-DAA ENVIRONMENT). Resources to be provisioned under this Resource Group: 
1. Azure Machine Learning Workspace named "PTAZSG-1CA-PIG-FREQ-PRED"
2. Compute cluster: 3 nodes</x:v>
      </x:c>
      <x:c r="R99" t="str">
        <x:v>M</x:v>
      </x:c>
      <x:c r="S99"/>
      <x:c r="T99"/>
      <x:c r="U99" t="str">
        <x:v>Move Citizen Analytics solution to Production environment via SR25052</x:v>
      </x:c>
      <x:c r="V99" t="n">
        <x:v>46097.147276145835</x:v>
      </x:c>
      <x:c r="W99" t="str">
        <x:v>khairulnizam.bahari@petronas.com</x:v>
      </x:c>
      <x:c r="X99" t="str">
        <x:v>approved</x:v>
      </x:c>
      <x:c r="Y99" t="str">
        <x:v>Good to go</x:v>
      </x:c>
      <x:c r="Z99" t="n">
        <x:v>46111.07811524306</x:v>
      </x:c>
      <x:c r="AA99" t="str">
        <x:v>samsuddin.jumbri@petronas.com</x:v>
      </x:c>
      <x:c r="AB99" t="str">
        <x:v>approved</x:v>
      </x:c>
      <x:c r="AC99" t="str">
        <x:v>DAA</x:v>
      </x:c>
      <x:c r="AD99" t="n">
        <x:v>46113.105562083336</x:v>
      </x:c>
      <x:c r="AE99" t="str">
        <x:v>syazali.saad@petronas.com</x:v>
      </x:c>
      <x:c r="AF99" t="str">
        <x:v>approved</x:v>
      </x:c>
      <x:c r="AG99" t="str">
        <x:v>Done. </x:v>
      </x:c>
      <x:c r="AH99" t="n">
        <x:v>46132.01783788195</x:v>
      </x:c>
      <x:c r="AI99" t="str">
        <x:v>azhan.shazeli@petronas.com</x:v>
      </x:c>
      <x:c r="AJ99" t="str">
        <x:v>approved</x:v>
      </x:c>
      <x:c r="AK99" t="str">
        <x:v>REQ000007960432</x:v>
      </x:c>
      <x:c r="AL99" t="str">
        <x:v>d00550b3-7e5b-4f4a-b353-b0c5441a4fc7</x:v>
      </x:c>
      <x:c r="AM99" s="23" t="str">
        <x:f>IF(E99="processing",IF(Z99="","",IF(ISNUMBER(Z99),INT(Z99),DATE(VALUE(LEFT(Z99,4)),VALUE(MID(Z99,6,2)),VALUE(MID(Z99,9,2))))),IF(OR(E99="executing",E99="pending"),IF(AD99="","",IF(ISNUMBER(AD99),INT(AD99),DATE(VALUE(LEFT(AD99,4)),VALUE(MID(AD99,6,2)),VALUE(MID(AD99,9,2))))),""))</x:f>
      </x:c>
      <x:c r="AN99" s="24" t="str">
        <x:f>IF(AM99="","",INT('Configuration'!$B$4)-AM99)</x:f>
      </x:c>
      <x:c r="AO99" s="25" t="str">
        <x:f>IF(AM99="","Missing Required Date",IF(AN99&lt;0,"Future Date",IF(AN99=0,"0 days",IF(AN99&lt;=2,"1-2 days",IF(AN99&lt;=7,"3-7 days",IF(AN99&lt;=14,"8-14 days",IF(AN99&lt;=30,"15-30 days",IF(AN99&lt;=60,"31-60 days",IF(AN99&lt;=70,"61-70 days","71+ days")))))))))</x:f>
        <x:v>Missing Required Date</x:v>
      </x:c>
      <x:c r="AP99" s="25" t="str">
        <x:f>IF(OR(E99="processing",E99="executing",E99="pending"),IF(AM99="","Required aging date missing",IF(AN99&gt;30,"Escalate &gt;30d",IF(AN99&gt;14,"Watch &gt;14d","Within 14d"))),"Out of scope")</x:f>
        <x:v>Out of scope</x:v>
      </x:c>
    </x:row>
    <x:row r="100" ht="24" customHeight="1">
      <x:c r="A100" t="str">
        <x:v>bb1dbd31-109d-4f86-a2f2-d6de4d90103b</x:v>
      </x:c>
      <x:c r="B100" t="str">
        <x:v>CSSP10488606</x:v>
      </x:c>
      <x:c r="C100" t="str">
        <x:v>rusnani.mamat@petronas.com</x:v>
      </x:c>
      <x:c r="D100" t="str">
        <x:v>provision-cloud-public</x:v>
      </x:c>
      <x:c r="E100" t="str">
        <x:v>completed</x:v>
      </x:c>
      <x:c r="F100" t="n">
        <x:v>46094.093478622686</x:v>
      </x:c>
      <x:c r="G100" t="n">
        <x:v>46094.093478622686</x:v>
      </x:c>
      <x:c r="H100" t="n">
        <x:v>46121.268734606485</x:v>
      </x:c>
      <x:c r="I100" t="str">
        <x:v>A-000031</x:v>
      </x:c>
      <x:c r="J100" t="str">
        <x:v>Augmented Gas Nomination Ecosystem - AGNES</x:v>
      </x:c>
      <x:c r="K100" t="n">
        <x:v>209</x:v>
      </x:c>
      <x:c r="L100" t="str">
        <x:v>Establishment of Augmented Gas Nomination EcoSystem (AGNES) DevSecOps for Malaysia Petroleum Management (MPM)</x:v>
      </x:c>
      <x:c r="M100" t="str">
        <x:v>faradina.mohamed@petronas.com.my</x:v>
      </x:c>
      <x:c r="N100" t="str">
        <x:v>Establishment of AGNES DevSecOps for MPM</x:v>
      </x:c>
      <x:c r="O100" t="str">
        <x:v>New</x:v>
      </x:c>
      <x:c r="P100" t="str">
        <x:v>Development</x:v>
      </x:c>
      <x:c r="Q100" t="str">
        <x:v>Request to provision a new  development server for AGNES Database as part of AGNES Run &amp; Maintain scope, to support USDB to AGNES DB data migration.</x:v>
      </x:c>
      <x:c r="R100" t="str">
        <x:v>M</x:v>
      </x:c>
      <x:c r="S100"/>
      <x:c r="T100"/>
      <x:c r="U100" t="str">
        <x:v>provisioning for DB Dev server, TQ </x:v>
      </x:c>
      <x:c r="V100" t="n">
        <x:v>46094.10796525463</x:v>
      </x:c>
      <x:c r="W100" t="str">
        <x:v>faradina.mohamed@petronas.com</x:v>
      </x:c>
      <x:c r="X100" t="str">
        <x:v>approved</x:v>
      </x:c>
      <x:c r="Y100" t="str">
        <x:v>Good to go</x:v>
      </x:c>
      <x:c r="Z100" t="n">
        <x:v>46112.370966180555</x:v>
      </x:c>
      <x:c r="AA100" t="str">
        <x:v>samsuddin.jumbri@petronas.com</x:v>
      </x:c>
      <x:c r="AB100" t="str">
        <x:v>approved</x:v>
      </x:c>
      <x:c r="AC100" t="str">
        <x:v>CSSP10354764 - CSSP10488606 - AGNES</x:v>
      </x:c>
      <x:c r="AD100" t="n">
        <x:v>46113.17840273148</x:v>
      </x:c>
      <x:c r="AE100" t="str">
        <x:v>syazali.saad@petronas.com</x:v>
      </x:c>
      <x:c r="AF100" t="str">
        <x:v>approved</x:v>
      </x:c>
      <x:c r="AG100" t="str">
        <x:v>resource provisioned</x:v>
      </x:c>
      <x:c r="AH100" t="n">
        <x:v>46121.268734618054</x:v>
      </x:c>
      <x:c r="AI100" t="str">
        <x:v>mhafizi.madnan@petronas.com</x:v>
      </x:c>
      <x:c r="AJ100" t="str">
        <x:v>approved</x:v>
      </x:c>
      <x:c r="AK100" t="str">
        <x:v>REQ000007960492</x:v>
      </x:c>
      <x:c r="AL100" t="str">
        <x:v>a3f54c5f-6942-4740-96ec-b35604ec2ace</x:v>
      </x:c>
      <x:c r="AM100" s="23" t="str">
        <x:f>IF(E100="processing",IF(Z100="","",IF(ISNUMBER(Z100),INT(Z100),DATE(VALUE(LEFT(Z100,4)),VALUE(MID(Z100,6,2)),VALUE(MID(Z100,9,2))))),IF(OR(E100="executing",E100="pending"),IF(AD100="","",IF(ISNUMBER(AD100),INT(AD100),DATE(VALUE(LEFT(AD100,4)),VALUE(MID(AD100,6,2)),VALUE(MID(AD100,9,2))))),""))</x:f>
      </x:c>
      <x:c r="AN100" s="24" t="str">
        <x:f>IF(AM100="","",INT('Configuration'!$B$4)-AM100)</x:f>
      </x:c>
      <x:c r="AO100" s="25" t="str">
        <x:f>IF(AM100="","Missing Required Date",IF(AN100&lt;0,"Future Date",IF(AN100=0,"0 days",IF(AN100&lt;=2,"1-2 days",IF(AN100&lt;=7,"3-7 days",IF(AN100&lt;=14,"8-14 days",IF(AN100&lt;=30,"15-30 days",IF(AN100&lt;=60,"31-60 days",IF(AN100&lt;=70,"61-70 days","71+ days")))))))))</x:f>
        <x:v>Missing Required Date</x:v>
      </x:c>
      <x:c r="AP100" s="25" t="str">
        <x:f>IF(OR(E100="processing",E100="executing",E100="pending"),IF(AM100="","Required aging date missing",IF(AN100&gt;30,"Escalate &gt;30d",IF(AN100&gt;14,"Watch &gt;14d","Within 14d"))),"Out of scope")</x:f>
        <x:v>Out of scope</x:v>
      </x:c>
    </x:row>
    <x:row r="101" ht="24" customHeight="1">
      <x:c r="A101" t="str">
        <x:v>7090b274-ccb3-4900-b54a-776ee31f763f</x:v>
      </x:c>
      <x:c r="B101" t="str">
        <x:v>CSSP10900243</x:v>
      </x:c>
      <x:c r="C101" t="str">
        <x:v>ishwandi.akadir@petronas.com</x:v>
      </x:c>
      <x:c r="D101" t="str">
        <x:v>provision-cloud-public</x:v>
      </x:c>
      <x:c r="E101" t="str">
        <x:v>pending</x:v>
      </x:c>
      <x:c r="F101" t="n">
        <x:v>46094.44255471065</x:v>
      </x:c>
      <x:c r="G101" t="n">
        <x:v>46094.44255471065</x:v>
      </x:c>
      <x:c r="H101" t="n">
        <x:v>46219.26860325231</x:v>
      </x:c>
      <x:c r="I101" t="str">
        <x:v>A-000493</x:v>
      </x:c>
      <x:c r="J101" t="str">
        <x:v>MyRISK</x:v>
      </x:c>
      <x:c r="K101" t="n">
        <x:v>3297</x:v>
      </x:c>
      <x:c r="L101" t="str">
        <x:v>[myRISK] Implementation of Integrated Risk Management System for Group Risk Management</x:v>
      </x:c>
      <x:c r="M101" t="str">
        <x:v>lena.boey@petronas.com.my</x:v>
      </x:c>
      <x:c r="N101" t="str">
        <x:v>myRisk Project</x:v>
      </x:c>
      <x:c r="O101" t="str">
        <x:v>Repat</x:v>
      </x:c>
      <x:c r="P101" t="str">
        <x:v>StagingUat</x:v>
      </x:c>
      <x:c r="Q101" t="str">
        <x:v>Azure Repat Requirement, to provision a Keyvault in RG PTAZMY-IAC-UAT-MYRISK-RG</x:v>
      </x:c>
      <x:c r="R101" t="str">
        <x:v>M</x:v>
      </x:c>
      <x:c r="S101"/>
      <x:c r="T101"/>
      <x:c r="U101" t="str">
        <x:v>[System] Stage pre-approved for Cloud Repatriation project</x:v>
      </x:c>
      <x:c r="V101" t="n">
        <x:v>46094.44255471065</x:v>
      </x:c>
      <x:c r="W101" t="str">
        <x:v>lena.boey@petronas.com</x:v>
      </x:c>
      <x:c r="X101" t="str">
        <x:v>approved</x:v>
      </x:c>
      <x:c r="Y101" t="str">
        <x:v>[System] Stage pre-approved for Cloud Repatriation project</x:v>
      </x:c>
      <x:c r="Z101" t="n">
        <x:v>46094.44255471065</x:v>
      </x:c>
      <x:c r="AA101" t="str">
        <x:v>CCoE Demand</x:v>
      </x:c>
      <x:c r="AB101" t="str">
        <x:v>approved</x:v>
      </x:c>
      <x:c r="AC101"/>
      <x:c r="AD101"/>
      <x:c r="AE101" t="str">
        <x:v>IMS - CLOUD CSSP REVIEWER</x:v>
      </x:c>
      <x:c r="AF101"/>
      <x:c r="AG101"/>
      <x:c r="AH101"/>
      <x:c r="AI101" t="str">
        <x:v>CCoE Core Services (Public)</x:v>
      </x:c>
      <x:c r="AJ101"/>
      <x:c r="AK101"/>
      <x:c r="AL101" t="str">
        <x:v>be2b68e2-08ed-42b3-8760-aceba00d470c</x:v>
      </x:c>
      <x:c r="AM101" s="23" t="str">
        <x:f>IF(E101="processing",IF(Z101="","",IF(ISNUMBER(Z101),INT(Z101),DATE(VALUE(LEFT(Z101,4)),VALUE(MID(Z101,6,2)),VALUE(MID(Z101,9,2))))),IF(OR(E101="executing",E101="pending"),IF(AD101="","",IF(ISNUMBER(AD101),INT(AD101),DATE(VALUE(LEFT(AD101,4)),VALUE(MID(AD101,6,2)),VALUE(MID(AD101,9,2))))),""))</x:f>
      </x:c>
      <x:c r="AN101" s="24" t="str">
        <x:f>IF(AM101="","",INT('Configuration'!$B$4)-AM101)</x:f>
      </x:c>
      <x:c r="AO101" s="25" t="str">
        <x:f>IF(AM101="","Missing Required Date",IF(AN101&lt;0,"Future Date",IF(AN101=0,"0 days",IF(AN101&lt;=2,"1-2 days",IF(AN101&lt;=7,"3-7 days",IF(AN101&lt;=14,"8-14 days",IF(AN101&lt;=30,"15-30 days",IF(AN101&lt;=60,"31-60 days",IF(AN101&lt;=70,"61-70 days","71+ days")))))))))</x:f>
        <x:v>Missing Required Date</x:v>
      </x:c>
      <x:c r="AP101" s="25" t="str">
        <x:f>IF(OR(E101="processing",E101="executing",E101="pending"),IF(AM101="","Required aging date missing",IF(AN101&gt;30,"Escalate &gt;30d",IF(AN101&gt;14,"Watch &gt;14d","Within 14d"))),"Out of scope")</x:f>
        <x:v>Required aging date missing</x:v>
      </x:c>
    </x:row>
    <x:row r="102" ht="24" customHeight="1">
      <x:c r="A102" t="str">
        <x:v>ddcdce05-f015-4f58-8d9c-4294428fe27e</x:v>
      </x:c>
      <x:c r="B102" t="str">
        <x:v>CSSP10732948</x:v>
      </x:c>
      <x:c r="C102" t="str">
        <x:v>sitisazreena.myusof@petronas.com</x:v>
      </x:c>
      <x:c r="D102" t="str">
        <x:v>provision-cloud-public</x:v>
      </x:c>
      <x:c r="E102" t="str">
        <x:v>completed</x:v>
      </x:c>
      <x:c r="F102" t="n">
        <x:v>46098.36659048611</x:v>
      </x:c>
      <x:c r="G102" t="n">
        <x:v>46114.14491650463</x:v>
      </x:c>
      <x:c r="H102" t="n">
        <x:v>46127.06642403935</x:v>
      </x:c>
      <x:c r="I102" t="str">
        <x:v>A-001331</x:v>
      </x:c>
      <x:c r="J102" t="str">
        <x:v>Process Director for BRB</x:v>
      </x:c>
      <x:c r="K102" t="str">
        <x:v>SR00585</x:v>
      </x:c>
      <x:c r="L102" t="str">
        <x:v>Implementation of Invoice Processing for BRB</x:v>
      </x:c>
      <x:c r="M102" t="str">
        <x:v>sarabjeetsingh.meha@petronas.com.my</x:v>
      </x:c>
      <x:c r="N102" t="str">
        <x:v>SAP Project BRB</x:v>
      </x:c>
      <x:c r="O102" t="str">
        <x:v>New</x:v>
      </x:c>
      <x:c r="P102" t="str">
        <x:v>Development</x:v>
      </x:c>
      <x:c r="Q102" t="str">
        <x:v>PD Web Development Server for Invoice Processing implementation for BRB International.</x:v>
      </x:c>
      <x:c r="R102" t="str">
        <x:v>M</x:v>
      </x:c>
      <x:c r="S102"/>
      <x:c r="T102"/>
      <x:c r="U102" t="str">
        <x:v>Approved for BRB Process Invoicing </x:v>
      </x:c>
      <x:c r="V102" t="n">
        <x:v>46114.16385370371</x:v>
      </x:c>
      <x:c r="W102" t="str">
        <x:v>sarabjeetsingh.meha@petronas.com</x:v>
      </x:c>
      <x:c r="X102" t="str">
        <x:v>approved</x:v>
      </x:c>
      <x:c r="Y102" t="str">
        <x:v>Good to go</x:v>
      </x:c>
      <x:c r="Z102" t="n">
        <x:v>46114.18567934028</x:v>
      </x:c>
      <x:c r="AA102" t="str">
        <x:v>samsuddin.jumbri@petronas.com</x:v>
      </x:c>
      <x:c r="AB102" t="str">
        <x:v>approved</x:v>
      </x:c>
      <x:c r="AC102" t="str">
        <x:v>vm x2</x:v>
      </x:c>
      <x:c r="AD102" t="n">
        <x:v>46115.11874888889</x:v>
      </x:c>
      <x:c r="AE102" t="str">
        <x:v>syazali.saad@petronas.com</x:v>
      </x:c>
      <x:c r="AF102" t="str">
        <x:v>approved</x:v>
      </x:c>
      <x:c r="AG102" t="str">
        <x:v>Completed</x:v>
      </x:c>
      <x:c r="AH102" t="n">
        <x:v>46127.06642405093</x:v>
      </x:c>
      <x:c r="AI102" t="str">
        <x:v>darliz.zainol@petronas.com</x:v>
      </x:c>
      <x:c r="AJ102" t="str">
        <x:v>approved</x:v>
      </x:c>
      <x:c r="AK102" t="str">
        <x:v>REQ000007966984</x:v>
      </x:c>
      <x:c r="AL102" t="str">
        <x:v>32bf3704-001f-4f9d-bbfa-7974a79e112d</x:v>
      </x:c>
      <x:c r="AM102" s="23" t="str">
        <x:f>IF(E102="processing",IF(Z102="","",IF(ISNUMBER(Z102),INT(Z102),DATE(VALUE(LEFT(Z102,4)),VALUE(MID(Z102,6,2)),VALUE(MID(Z102,9,2))))),IF(OR(E102="executing",E102="pending"),IF(AD102="","",IF(ISNUMBER(AD102),INT(AD102),DATE(VALUE(LEFT(AD102,4)),VALUE(MID(AD102,6,2)),VALUE(MID(AD102,9,2))))),""))</x:f>
      </x:c>
      <x:c r="AN102" s="24" t="str">
        <x:f>IF(AM102="","",INT('Configuration'!$B$4)-AM102)</x:f>
      </x:c>
      <x:c r="AO102" s="25" t="str">
        <x:f>IF(AM102="","Missing Required Date",IF(AN102&lt;0,"Future Date",IF(AN102=0,"0 days",IF(AN102&lt;=2,"1-2 days",IF(AN102&lt;=7,"3-7 days",IF(AN102&lt;=14,"8-14 days",IF(AN102&lt;=30,"15-30 days",IF(AN102&lt;=60,"31-60 days",IF(AN102&lt;=70,"61-70 days","71+ days")))))))))</x:f>
        <x:v>Missing Required Date</x:v>
      </x:c>
      <x:c r="AP102" s="25" t="str">
        <x:f>IF(OR(E102="processing",E102="executing",E102="pending"),IF(AM102="","Required aging date missing",IF(AN102&gt;30,"Escalate &gt;30d",IF(AN102&gt;14,"Watch &gt;14d","Within 14d"))),"Out of scope")</x:f>
        <x:v>Out of scope</x:v>
      </x:c>
    </x:row>
    <x:row r="103" ht="24" customHeight="1">
      <x:c r="A103" t="str">
        <x:v>190def84-4f5f-4f52-8c1b-a97229db3008</x:v>
      </x:c>
      <x:c r="B103" t="str">
        <x:v>CSSP10264005</x:v>
      </x:c>
      <x:c r="C103" t="str">
        <x:v>ahmadtarmezee.sham@petronas.com</x:v>
      </x:c>
      <x:c r="D103" t="str">
        <x:v>provision-cloud-public</x:v>
      </x:c>
      <x:c r="E103" t="str">
        <x:v>rejected</x:v>
      </x:c>
      <x:c r="F103" t="n">
        <x:v>46106.04699793981</x:v>
      </x:c>
      <x:c r="G103" t="n">
        <x:v>46106.15859086806</x:v>
      </x:c>
      <x:c r="H103" t="n">
        <x:v>46126.32882079861</x:v>
      </x:c>
      <x:c r="I103" t="str">
        <x:v>A-001315</x:v>
      </x:c>
      <x:c r="J103" t="str">
        <x:v>PDB Data &amp; Intelligence Platform</x:v>
      </x:c>
      <x:c r="K103" t="str">
        <x:v>SR25023</x:v>
      </x:c>
      <x:c r="L103" t="str">
        <x:v>PDB Data &amp; Intelligence Platform</x:v>
      </x:c>
      <x:c r="M103" t="str">
        <x:v>nuruddin.mansor@petronas.com.my</x:v>
      </x:c>
      <x:c r="N103" t="str">
        <x:v>PDB Data and Intelligence Platform</x:v>
      </x:c>
      <x:c r="O103" t="str">
        <x:v>New</x:v>
      </x:c>
      <x:c r="P103" t="str">
        <x:v>Development</x:v>
      </x:c>
      <x:c r="Q103" t="str">
        <x:v>request for 4 service principal for 
# Azure Databricks (ptsg-5pdbedhdatabrick - /subscriptions/2be5068f-e0ac-4d57-aedc-96bc9798a265/resourceGroups/PTAZSG-IAC-DEV-PDB-EDH-RG/providers/Microsoft.Databricks/workspaces/ptsg-5pdbedhdatabrick ), 
# role PTAZ-DE-CUSTOMROLE (/subscriptions/2be5068f-e0ac-4d57-aedc-96bc9798a265/providers/Microsoft.Authorization/roleDefinitions/a8518860-2f5f-49c9-a0a6-818d5169f33d)
service.sp_bi_dev - SPN for Power BI's On-Premises Data Gateway (Dev)
serviec.sp_pa_dev - SPN for Microsoft PowerApp (Dev)
service.sp_etl_dev - SPN for Azure DevOps running DE (Data Engineering) Pipelines (Dev)
service.sp_ml_dev - SPN for Azure DevOps running ML Pipelines (Dev)</x:v>
      </x:c>
      <x:c r="R103" t="str">
        <x:v>M</x:v>
      </x:c>
      <x:c r="S103"/>
      <x:c r="T103"/>
      <x:c r="U103" t="str">
        <x:v>Approved </x:v>
      </x:c>
      <x:c r="V103" t="n">
        <x:v>46106.165745625</x:v>
      </x:c>
      <x:c r="W103" t="str">
        <x:v>nuruddin.mansor@petronas.com</x:v>
      </x:c>
      <x:c r="X103" t="str">
        <x:v>approved</x:v>
      </x:c>
      <x:c r="Y103" t="str">
        <x:v>Good to go</x:v>
      </x:c>
      <x:c r="Z103" t="n">
        <x:v>46112.36803770834</x:v>
      </x:c>
      <x:c r="AA103" t="str">
        <x:v>samsuddin.jumbri@petronas.com</x:v>
      </x:c>
      <x:c r="AB103" t="str">
        <x:v>approved</x:v>
      </x:c>
      <x:c r="AC103" t="str">
        <x:v>SPN request</x:v>
      </x:c>
      <x:c r="AD103" t="n">
        <x:v>46113.315484074075</x:v>
      </x:c>
      <x:c r="AE103" t="str">
        <x:v>syazali.saad@petronas.com</x:v>
      </x:c>
      <x:c r="AF103" t="str">
        <x:v>approved</x:v>
      </x:c>
      <x:c r="AG103" t="str">
        <x:v>Refer to AD team for Service Principal provisioning.</x:v>
      </x:c>
      <x:c r="AH103" t="n">
        <x:v>46126.32882081019</x:v>
      </x:c>
      <x:c r="AI103" t="str">
        <x:v>afnanfarhan.dzaharud@petronas.com</x:v>
      </x:c>
      <x:c r="AJ103" t="str">
        <x:v>rejected</x:v>
      </x:c>
      <x:c r="AK103" t="str">
        <x:v>REQ000007961468</x:v>
      </x:c>
      <x:c r="AL103" t="str">
        <x:v>b4e60f9a-b7c8-4e1d-8847-6f2e75534143</x:v>
      </x:c>
      <x:c r="AM103" s="23" t="str">
        <x:f>IF(E103="processing",IF(Z103="","",IF(ISNUMBER(Z103),INT(Z103),DATE(VALUE(LEFT(Z103,4)),VALUE(MID(Z103,6,2)),VALUE(MID(Z103,9,2))))),IF(OR(E103="executing",E103="pending"),IF(AD103="","",IF(ISNUMBER(AD103),INT(AD103),DATE(VALUE(LEFT(AD103,4)),VALUE(MID(AD103,6,2)),VALUE(MID(AD103,9,2))))),""))</x:f>
      </x:c>
      <x:c r="AN103" s="24" t="str">
        <x:f>IF(AM103="","",INT('Configuration'!$B$4)-AM103)</x:f>
      </x:c>
      <x:c r="AO103" s="25" t="str">
        <x:f>IF(AM103="","Missing Required Date",IF(AN103&lt;0,"Future Date",IF(AN103=0,"0 days",IF(AN103&lt;=2,"1-2 days",IF(AN103&lt;=7,"3-7 days",IF(AN103&lt;=14,"8-14 days",IF(AN103&lt;=30,"15-30 days",IF(AN103&lt;=60,"31-60 days",IF(AN103&lt;=70,"61-70 days","71+ days")))))))))</x:f>
        <x:v>Missing Required Date</x:v>
      </x:c>
      <x:c r="AP103" s="25" t="str">
        <x:f>IF(OR(E103="processing",E103="executing",E103="pending"),IF(AM103="","Required aging date missing",IF(AN103&gt;30,"Escalate &gt;30d",IF(AN103&gt;14,"Watch &gt;14d","Within 14d"))),"Out of scope")</x:f>
        <x:v>Out of scope</x:v>
      </x:c>
    </x:row>
    <x:row r="104" ht="24" customHeight="1">
      <x:c r="A104" t="str">
        <x:v>2dc49972-cd40-43e3-80cf-8883b7a278df</x:v>
      </x:c>
      <x:c r="B104" t="str">
        <x:v>CSSP10308393</x:v>
      </x:c>
      <x:c r="C104" t="str">
        <x:v>yannchang.tan@petronas.com</x:v>
      </x:c>
      <x:c r="D104" t="str">
        <x:v>provision-cloud-public</x:v>
      </x:c>
      <x:c r="E104" t="str">
        <x:v>completed</x:v>
      </x:c>
      <x:c r="F104" t="n">
        <x:v>46111.12135234954</x:v>
      </x:c>
      <x:c r="G104" t="n">
        <x:v>46111.12135234954</x:v>
      </x:c>
      <x:c r="H104" t="n">
        <x:v>46114.187422511575</x:v>
      </x:c>
      <x:c r="I104" t="str">
        <x:v>A-000037</x:v>
      </x:c>
      <x:c r="J104" t="str">
        <x:v>AI Enablement Framework</x:v>
      </x:c>
      <x:c r="K104" t="n">
        <x:v>3437</x:v>
      </x:c>
      <x:c r="L104" t="str">
        <x:v>Support and Maintenance for AI Enablement Framework 2023-2024 for PDB</x:v>
      </x:c>
      <x:c r="M104" t="str">
        <x:v>debjani.sambasivam@petronas.com.my</x:v>
      </x:c>
      <x:c r="N104" t="str">
        <x:v>PDB_AI_Enablement</x:v>
      </x:c>
      <x:c r="O104" t="str">
        <x:v>Modify</x:v>
      </x:c>
      <x:c r="P104" t="str">
        <x:v>Development</x:v>
      </x:c>
      <x:c r="Q104" t="str">
        <x:v>Compute Name: PDB-CAD-IRYAN Assign To: Iryan Syauqi Azhar (CAD/PDB) (iryan.syauqiazhar@petronas.com.my) Virtual Machine Size: Standard_DS15_v2 (20 cores, 140 GB RAM, 280 GB disk) Scheduling Auto Shut Down: 60 minute
Compute Name: PDB-CAD-ANA Assign To: Nur Ana Mardiana M Shukri (nuranamardiana.mshuk@petronas.com) Virtual Machine Size: Standard_DS15_v2 (20 cores, 140 GB RAM, 280 GB disk) Scheduling Auto Shut Down: 60 minute</x:v>
      </x:c>
      <x:c r="R104" t="str">
        <x:v>S</x:v>
      </x:c>
      <x:c r="S104"/>
      <x:c r="T104"/>
      <x:c r="U104" t="str">
        <x:v>Please proceed</x:v>
      </x:c>
      <x:c r="V104" t="n">
        <x:v>46111.12793230324</x:v>
      </x:c>
      <x:c r="W104" t="str">
        <x:v>debjani.sambasivam@petronas.com</x:v>
      </x:c>
      <x:c r="X104" t="str">
        <x:v>approved</x:v>
      </x:c>
      <x:c r="Y104" t="str">
        <x:v>Good to go</x:v>
      </x:c>
      <x:c r="Z104" t="n">
        <x:v>46112.37011332176</x:v>
      </x:c>
      <x:c r="AA104" t="str">
        <x:v>samsuddin.jumbri@petronas.com</x:v>
      </x:c>
      <x:c r="AB104" t="str">
        <x:v>approved</x:v>
      </x:c>
      <x:c r="AC104" t="str">
        <x:v>ML</x:v>
      </x:c>
      <x:c r="AD104" t="n">
        <x:v>46113.138615104166</x:v>
      </x:c>
      <x:c r="AE104" t="str">
        <x:v>syazali.saad@petronas.com</x:v>
      </x:c>
      <x:c r="AF104" t="str">
        <x:v>approved</x:v>
      </x:c>
      <x:c r="AG104" t="str">
        <x:v>done</x:v>
      </x:c>
      <x:c r="AH104" t="n">
        <x:v>46114.187422511575</x:v>
      </x:c>
      <x:c r="AI104" t="str">
        <x:v>izham.ajmaan@petronas.com</x:v>
      </x:c>
      <x:c r="AJ104" t="str">
        <x:v>approved</x:v>
      </x:c>
      <x:c r="AK104" t="str">
        <x:v>REQ000007960479</x:v>
      </x:c>
      <x:c r="AL104" t="str">
        <x:v>f99ec12f-a075-40d0-8957-15cd4e72ddb4</x:v>
      </x:c>
      <x:c r="AM104" s="23" t="str">
        <x:f>IF(E104="processing",IF(Z104="","",IF(ISNUMBER(Z104),INT(Z104),DATE(VALUE(LEFT(Z104,4)),VALUE(MID(Z104,6,2)),VALUE(MID(Z104,9,2))))),IF(OR(E104="executing",E104="pending"),IF(AD104="","",IF(ISNUMBER(AD104),INT(AD104),DATE(VALUE(LEFT(AD104,4)),VALUE(MID(AD104,6,2)),VALUE(MID(AD104,9,2))))),""))</x:f>
      </x:c>
      <x:c r="AN104" s="24" t="str">
        <x:f>IF(AM104="","",INT('Configuration'!$B$4)-AM104)</x:f>
      </x:c>
      <x:c r="AO104" s="25" t="str">
        <x:f>IF(AM104="","Missing Required Date",IF(AN104&lt;0,"Future Date",IF(AN104=0,"0 days",IF(AN104&lt;=2,"1-2 days",IF(AN104&lt;=7,"3-7 days",IF(AN104&lt;=14,"8-14 days",IF(AN104&lt;=30,"15-30 days",IF(AN104&lt;=60,"31-60 days",IF(AN104&lt;=70,"61-70 days","71+ days")))))))))</x:f>
        <x:v>Missing Required Date</x:v>
      </x:c>
      <x:c r="AP104" s="25" t="str">
        <x:f>IF(OR(E104="processing",E104="executing",E104="pending"),IF(AM104="","Required aging date missing",IF(AN104&gt;30,"Escalate &gt;30d",IF(AN104&gt;14,"Watch &gt;14d","Within 14d"))),"Out of scope")</x:f>
        <x:v>Out of scope</x:v>
      </x:c>
    </x:row>
    <x:row r="105" ht="24" customHeight="1">
      <x:c r="A105" t="str">
        <x:v>bb58609c-14ab-443c-bedf-6a50c6e8f18a</x:v>
      </x:c>
      <x:c r="B105" t="str">
        <x:v>CSSP10944972</x:v>
      </x:c>
      <x:c r="C105" t="str">
        <x:v>bob.jaliu@petronas.com</x:v>
      </x:c>
      <x:c r="D105" t="str">
        <x:v>provision-cloud-public</x:v>
      </x:c>
      <x:c r="E105" t="str">
        <x:v>completed</x:v>
      </x:c>
      <x:c r="F105" t="n">
        <x:v>46111.15700936343</x:v>
      </x:c>
      <x:c r="G105" t="n">
        <x:v>46115.16194181713</x:v>
      </x:c>
      <x:c r="H105" t="n">
        <x:v>46141.63561224537</x:v>
      </x:c>
      <x:c r="I105" t="str">
        <x:v>A-001332</x:v>
      </x:c>
      <x:c r="J105" t="str">
        <x:v>Authorization For Expenditure Management System - AFEMS VESTIGO</x:v>
      </x:c>
      <x:c r="K105" t="n">
        <x:v>315</x:v>
      </x:c>
      <x:c r="L105" t="str">
        <x:v>Estrella OT Vestigo AFEMS Implementation</x:v>
      </x:c>
      <x:c r="M105" t="str">
        <x:v>eanand.ehambaram@petronas.com</x:v>
      </x:c>
      <x:c r="N105" t="str">
        <x:v>AFEMS</x:v>
      </x:c>
      <x:c r="O105" t="str">
        <x:v>New</x:v>
      </x:c>
      <x:c r="P105" t="str">
        <x:v>Production</x:v>
      </x:c>
      <x:c r="Q105" t="str">
        <x:v>Creating a replication of AFEMS for VPSB in MY data centre</x:v>
      </x:c>
      <x:c r="R105" t="str">
        <x:v>M</x:v>
      </x:c>
      <x:c r="S105"/>
      <x:c r="T105"/>
      <x:c r="U105" t="str">
        <x:v>Approved</x:v>
      </x:c>
      <x:c r="V105" t="n">
        <x:v>46119.08920876157</x:v>
      </x:c>
      <x:c r="W105" t="str">
        <x:v>eanand.ehambaram@petronas.com</x:v>
      </x:c>
      <x:c r="X105" t="str">
        <x:v>approved</x:v>
      </x:c>
      <x:c r="Y105" t="str">
        <x:v>Approved</x:v>
      </x:c>
      <x:c r="Z105" t="n">
        <x:v>46129.08586164352</x:v>
      </x:c>
      <x:c r="AA105" t="str">
        <x:v>kianleng.geh@petronas.com</x:v>
      </x:c>
      <x:c r="AB105" t="str">
        <x:v>approved</x:v>
      </x:c>
      <x:c r="AC105" t="str">
        <x:v>.</x:v>
      </x:c>
      <x:c r="AD105" t="n">
        <x:v>46134.11655412037</x:v>
      </x:c>
      <x:c r="AE105" t="str">
        <x:v>syazali.saad@petronas.com</x:v>
      </x:c>
      <x:c r="AF105" t="str">
        <x:v>approved</x:v>
      </x:c>
      <x:c r="AG105" t="str">
        <x:v>completed</x:v>
      </x:c>
      <x:c r="AH105" t="n">
        <x:v>46141.63561225694</x:v>
      </x:c>
      <x:c r="AI105" t="str">
        <x:v>akhmal.roslan@petronas.com</x:v>
      </x:c>
      <x:c r="AJ105" t="str">
        <x:v>approved</x:v>
      </x:c>
      <x:c r="AK105" t="str">
        <x:v>REQ000008004292</x:v>
      </x:c>
      <x:c r="AL105" t="str">
        <x:v>86c503ed-3326-410f-be77-d501f00c226c</x:v>
      </x:c>
      <x:c r="AM105" s="23" t="str">
        <x:f>IF(E105="processing",IF(Z105="","",IF(ISNUMBER(Z105),INT(Z105),DATE(VALUE(LEFT(Z105,4)),VALUE(MID(Z105,6,2)),VALUE(MID(Z105,9,2))))),IF(OR(E105="executing",E105="pending"),IF(AD105="","",IF(ISNUMBER(AD105),INT(AD105),DATE(VALUE(LEFT(AD105,4)),VALUE(MID(AD105,6,2)),VALUE(MID(AD105,9,2))))),""))</x:f>
      </x:c>
      <x:c r="AN105" s="24" t="str">
        <x:f>IF(AM105="","",INT('Configuration'!$B$4)-AM105)</x:f>
      </x:c>
      <x:c r="AO105" s="25" t="str">
        <x:f>IF(AM105="","Missing Required Date",IF(AN105&lt;0,"Future Date",IF(AN105=0,"0 days",IF(AN105&lt;=2,"1-2 days",IF(AN105&lt;=7,"3-7 days",IF(AN105&lt;=14,"8-14 days",IF(AN105&lt;=30,"15-30 days",IF(AN105&lt;=60,"31-60 days",IF(AN105&lt;=70,"61-70 days","71+ days")))))))))</x:f>
        <x:v>Missing Required Date</x:v>
      </x:c>
      <x:c r="AP105" s="25" t="str">
        <x:f>IF(OR(E105="processing",E105="executing",E105="pending"),IF(AM105="","Required aging date missing",IF(AN105&gt;30,"Escalate &gt;30d",IF(AN105&gt;14,"Watch &gt;14d","Within 14d"))),"Out of scope")</x:f>
        <x:v>Out of scope</x:v>
      </x:c>
    </x:row>
    <x:row r="106" ht="24" customHeight="1">
      <x:c r="A106" t="str">
        <x:v>381cefdb-8e2a-47e7-8923-9777c25f6934</x:v>
      </x:c>
      <x:c r="B106" t="str">
        <x:v>CSSP10903969</x:v>
      </x:c>
      <x:c r="C106" t="str">
        <x:v>bob.jaliu@petronas.com</x:v>
      </x:c>
      <x:c r="D106" t="str">
        <x:v>provision-cloud-public</x:v>
      </x:c>
      <x:c r="E106" t="str">
        <x:v>completed</x:v>
      </x:c>
      <x:c r="F106" t="n">
        <x:v>46111.158345578704</x:v>
      </x:c>
      <x:c r="G106" t="n">
        <x:v>46115.16245295139</x:v>
      </x:c>
      <x:c r="H106" t="n">
        <x:v>46135.33755108796</x:v>
      </x:c>
      <x:c r="I106" t="str">
        <x:v>A-001332</x:v>
      </x:c>
      <x:c r="J106" t="str">
        <x:v>Authorization For Expenditure Management System - AFEMS VESTIGO</x:v>
      </x:c>
      <x:c r="K106" t="n">
        <x:v>315</x:v>
      </x:c>
      <x:c r="L106" t="str">
        <x:v>Estrella OT Vestigo AFEMS Implementation</x:v>
      </x:c>
      <x:c r="M106" t="str">
        <x:v>eanand.ehambaram@petronas.com</x:v>
      </x:c>
      <x:c r="N106" t="str">
        <x:v>AFEMS</x:v>
      </x:c>
      <x:c r="O106" t="str">
        <x:v>New</x:v>
      </x:c>
      <x:c r="P106" t="str">
        <x:v>StagingUat</x:v>
      </x:c>
      <x:c r="Q106" t="str">
        <x:v>Creating a replication of AFEMS for VPSB in MY data centre (UAT/Staging environment)</x:v>
      </x:c>
      <x:c r="R106" t="str">
        <x:v>L</x:v>
      </x:c>
      <x:c r="S106"/>
      <x:c r="T106"/>
      <x:c r="U106" t="str">
        <x:v>Approve</x:v>
      </x:c>
      <x:c r="V106" t="n">
        <x:v>46119.088802708335</x:v>
      </x:c>
      <x:c r="W106" t="str">
        <x:v>eanand.ehambaram@petronas.com</x:v>
      </x:c>
      <x:c r="X106" t="str">
        <x:v>approved</x:v>
      </x:c>
      <x:c r="Y106" t="str">
        <x:v>Approved</x:v>
      </x:c>
      <x:c r="Z106" t="n">
        <x:v>46128.290990208334</x:v>
      </x:c>
      <x:c r="AA106" t="str">
        <x:v>kianleng.geh@petronas.com</x:v>
      </x:c>
      <x:c r="AB106" t="str">
        <x:v>approved</x:v>
      </x:c>
      <x:c r="AC106" t="str">
        <x:v>provision new env.
CSSP10903969 - Staging
CSSP10944972 - Production</x:v>
      </x:c>
      <x:c r="AD106" t="n">
        <x:v>46128.38457751158</x:v>
      </x:c>
      <x:c r="AE106" t="str">
        <x:v>syazali.saad@petronas.com</x:v>
      </x:c>
      <x:c r="AF106" t="str">
        <x:v>approved</x:v>
      </x:c>
      <x:c r="AG106" t="str">
        <x:v>completed</x:v>
      </x:c>
      <x:c r="AH106" t="n">
        <x:v>46135.33755109954</x:v>
      </x:c>
      <x:c r="AI106" t="str">
        <x:v>akhmal.roslan@petronas.com</x:v>
      </x:c>
      <x:c r="AJ106" t="str">
        <x:v>approved</x:v>
      </x:c>
      <x:c r="AK106" t="str">
        <x:v>REQ000007994604</x:v>
      </x:c>
      <x:c r="AL106" t="str">
        <x:v>86c503ed-3326-410f-be77-d501f00c226c</x:v>
      </x:c>
      <x:c r="AM106" s="23" t="str">
        <x:f>IF(E106="processing",IF(Z106="","",IF(ISNUMBER(Z106),INT(Z106),DATE(VALUE(LEFT(Z106,4)),VALUE(MID(Z106,6,2)),VALUE(MID(Z106,9,2))))),IF(OR(E106="executing",E106="pending"),IF(AD106="","",IF(ISNUMBER(AD106),INT(AD106),DATE(VALUE(LEFT(AD106,4)),VALUE(MID(AD106,6,2)),VALUE(MID(AD106,9,2))))),""))</x:f>
      </x:c>
      <x:c r="AN106" s="24" t="str">
        <x:f>IF(AM106="","",INT('Configuration'!$B$4)-AM106)</x:f>
      </x:c>
      <x:c r="AO106" s="25" t="str">
        <x:f>IF(AM106="","Missing Required Date",IF(AN106&lt;0,"Future Date",IF(AN106=0,"0 days",IF(AN106&lt;=2,"1-2 days",IF(AN106&lt;=7,"3-7 days",IF(AN106&lt;=14,"8-14 days",IF(AN106&lt;=30,"15-30 days",IF(AN106&lt;=60,"31-60 days",IF(AN106&lt;=70,"61-70 days","71+ days")))))))))</x:f>
        <x:v>Missing Required Date</x:v>
      </x:c>
      <x:c r="AP106" s="25" t="str">
        <x:f>IF(OR(E106="processing",E106="executing",E106="pending"),IF(AM106="","Required aging date missing",IF(AN106&gt;30,"Escalate &gt;30d",IF(AN106&gt;14,"Watch &gt;14d","Within 14d"))),"Out of scope")</x:f>
        <x:v>Out of scope</x:v>
      </x:c>
    </x:row>
    <x:row r="107" ht="24" customHeight="1">
      <x:c r="A107" t="str">
        <x:v>d837bcd4-9dd5-4b8e-8e54-9d9750002938</x:v>
      </x:c>
      <x:c r="B107" t="str">
        <x:v>CSSP10561171</x:v>
      </x:c>
      <x:c r="C107" t="str">
        <x:v>mizzudin.manuar@petronas.com</x:v>
      </x:c>
      <x:c r="D107" t="str">
        <x:v>provision-cloud-public</x:v>
      </x:c>
      <x:c r="E107" t="str">
        <x:v>completed</x:v>
      </x:c>
      <x:c r="F107" t="n">
        <x:v>46112.095105243054</x:v>
      </x:c>
      <x:c r="G107" t="n">
        <x:v>46112.17669716435</x:v>
      </x:c>
      <x:c r="H107" t="n">
        <x:v>46219.07059761574</x:v>
      </x:c>
      <x:c r="I107" t="str">
        <x:v>A-000605</x:v>
      </x:c>
      <x:c r="J107" t="str">
        <x:v>Plant Information - PI Vestigo</x:v>
      </x:c>
      <x:c r="K107" t="str">
        <x:v>02421_64</x:v>
      </x:c>
      <x:c r="L107" t="str">
        <x:v>Cloud Migration Program - PI Vestigo</x:v>
      </x:c>
      <x:c r="M107" t="str">
        <x:v>mohammadsani.johari@petronas.com</x:v>
      </x:c>
      <x:c r="N107" t="str">
        <x:v>Migration of PI System for Vestigo Operatorship Transfer</x:v>
      </x:c>
      <x:c r="O107" t="str">
        <x:v>New</x:v>
      </x:c>
      <x:c r="P107" t="str">
        <x:v>Production</x:v>
      </x:c>
      <x:c r="Q107" t="str">
        <x:v>Provisioning of AWS Malaysia server.
Project - ESTRELLA: Migration of Plant Information (PI) System for Vestigo Operatorship Transfer</x:v>
      </x:c>
      <x:c r="R107" t="str">
        <x:v>S</x:v>
      </x:c>
      <x:c r="S107"/>
      <x:c r="T107"/>
      <x:c r="U107" t="str">
        <x:v>As per project scope.</x:v>
      </x:c>
      <x:c r="V107" t="n">
        <x:v>46112.211288136576</x:v>
      </x:c>
      <x:c r="W107" t="str">
        <x:v>mohammadsani.johari@petronas.com</x:v>
      </x:c>
      <x:c r="X107" t="str">
        <x:v>approved</x:v>
      </x:c>
      <x:c r="Y107" t="str">
        <x:v>Good to go</x:v>
      </x:c>
      <x:c r="Z107" t="n">
        <x:v>46112.27567695602</x:v>
      </x:c>
      <x:c r="AA107" t="str">
        <x:v>samsuddin.jumbri@petronas.com</x:v>
      </x:c>
      <x:c r="AB107" t="str">
        <x:v>approved</x:v>
      </x:c>
      <x:c r="AC107" t="str">
        <x:v>1x EC2</x:v>
      </x:c>
      <x:c r="AD107" t="n">
        <x:v>46112.29751635416</x:v>
      </x:c>
      <x:c r="AE107" t="str">
        <x:v>syazali.saad@petronas.com</x:v>
      </x:c>
      <x:c r="AF107" t="str">
        <x:v>approved</x:v>
      </x:c>
      <x:c r="AG107" t="str">
        <x:v>The ec2 has provision as detail here : 
AWS Account : PTAW-IAC-PROD-UpStream-Environment-01
Server name : PTAWMY-1VTGDB1
IP Address : 10.80.116.120</x:v>
      </x:c>
      <x:c r="AH107" t="n">
        <x:v>46219.07059762732</x:v>
      </x:c>
      <x:c r="AI107" t="str">
        <x:v>muhdfirdaus.muhamad@petronas.com</x:v>
      </x:c>
      <x:c r="AJ107" t="str">
        <x:v>approved</x:v>
      </x:c>
      <x:c r="AK107" t="str">
        <x:v>REQ000007957440</x:v>
      </x:c>
      <x:c r="AL107" t="str">
        <x:v>5d3fb87b-9d92-4201-8beb-3a6b20d59907</x:v>
      </x:c>
      <x:c r="AM107" s="23" t="str">
        <x:f>IF(E107="processing",IF(Z107="","",IF(ISNUMBER(Z107),INT(Z107),DATE(VALUE(LEFT(Z107,4)),VALUE(MID(Z107,6,2)),VALUE(MID(Z107,9,2))))),IF(OR(E107="executing",E107="pending"),IF(AD107="","",IF(ISNUMBER(AD107),INT(AD107),DATE(VALUE(LEFT(AD107,4)),VALUE(MID(AD107,6,2)),VALUE(MID(AD107,9,2))))),""))</x:f>
      </x:c>
      <x:c r="AN107" s="24" t="str">
        <x:f>IF(AM107="","",INT('Configuration'!$B$4)-AM107)</x:f>
      </x:c>
      <x:c r="AO107" s="25" t="str">
        <x:f>IF(AM107="","Missing Required Date",IF(AN107&lt;0,"Future Date",IF(AN107=0,"0 days",IF(AN107&lt;=2,"1-2 days",IF(AN107&lt;=7,"3-7 days",IF(AN107&lt;=14,"8-14 days",IF(AN107&lt;=30,"15-30 days",IF(AN107&lt;=60,"31-60 days",IF(AN107&lt;=70,"61-70 days","71+ days")))))))))</x:f>
        <x:v>Missing Required Date</x:v>
      </x:c>
      <x:c r="AP107" s="25" t="str">
        <x:f>IF(OR(E107="processing",E107="executing",E107="pending"),IF(AM107="","Required aging date missing",IF(AN107&gt;30,"Escalate &gt;30d",IF(AN107&gt;14,"Watch &gt;14d","Within 14d"))),"Out of scope")</x:f>
        <x:v>Out of scope</x:v>
      </x:c>
    </x:row>
    <x:row r="108" ht="24" customHeight="1">
      <x:c r="A108" t="str">
        <x:v>c0e8071a-6acb-4e58-953c-17df2bd7c66a</x:v>
      </x:c>
      <x:c r="B108" t="str">
        <x:v>CSSP10524027</x:v>
      </x:c>
      <x:c r="C108" t="str">
        <x:v>rusnani.mamat@petronas.com</x:v>
      </x:c>
      <x:c r="D108" t="str">
        <x:v>provision-cloud-public</x:v>
      </x:c>
      <x:c r="E108" t="str">
        <x:v>completed</x:v>
      </x:c>
      <x:c r="F108" t="n">
        <x:v>46113.1400465625</x:v>
      </x:c>
      <x:c r="G108" t="n">
        <x:v>46113.1400465625</x:v>
      </x:c>
      <x:c r="H108" t="n">
        <x:v>46126.08062800926</x:v>
      </x:c>
      <x:c r="I108" t="str">
        <x:v>A-000031</x:v>
      </x:c>
      <x:c r="J108" t="str">
        <x:v>Augmented Gas Nomination Ecosystem - AGNES</x:v>
      </x:c>
      <x:c r="K108" t="n">
        <x:v>209</x:v>
      </x:c>
      <x:c r="L108" t="str">
        <x:v>Establishment of Augmented Gas Nomination EcoSystem (AGNES) DevSecOps for Malaysia Petroleum Management (MPM)</x:v>
      </x:c>
      <x:c r="M108" t="str">
        <x:v>faradina.mohamed@petronas.com.my</x:v>
      </x:c>
      <x:c r="N108" t="str">
        <x:v>Establishment of AGNES DevSecOps for MPM</x:v>
      </x:c>
      <x:c r="O108" t="str">
        <x:v>New</x:v>
      </x:c>
      <x:c r="P108" t="str">
        <x:v>Production</x:v>
      </x:c>
      <x:c r="Q108" t="str">
        <x:v>Provisioning for DB production server.</x:v>
      </x:c>
      <x:c r="R108" t="str">
        <x:v>M</x:v>
      </x:c>
      <x:c r="S108"/>
      <x:c r="T108"/>
      <x:c r="U108" t="str">
        <x:v>to proceed obtaining PROD DB server for AGNES SKA (MPM-GT&amp;C)</x:v>
      </x:c>
      <x:c r="V108" t="n">
        <x:v>46113.15228436342</x:v>
      </x:c>
      <x:c r="W108" t="str">
        <x:v>faradina.mohamed@petronas.com</x:v>
      </x:c>
      <x:c r="X108" t="str">
        <x:v>approved</x:v>
      </x:c>
      <x:c r="Y108" t="str">
        <x:v>Good to go</x:v>
      </x:c>
      <x:c r="Z108" t="n">
        <x:v>46118.09867449074</x:v>
      </x:c>
      <x:c r="AA108" t="str">
        <x:v>samsuddin.jumbri@petronas.com</x:v>
      </x:c>
      <x:c r="AB108" t="str">
        <x:v>approved</x:v>
      </x:c>
      <x:c r="AC108" t="str">
        <x:v>sql server x2.</x:v>
      </x:c>
      <x:c r="AD108" t="n">
        <x:v>46119.08142818287</x:v>
      </x:c>
      <x:c r="AE108" t="str">
        <x:v>syazali.saad@petronas.com</x:v>
      </x:c>
      <x:c r="AF108" t="str">
        <x:v>approved</x:v>
      </x:c>
      <x:c r="AG108" t="str">
        <x:v>db prod server provisioned in prod rg</x:v>
      </x:c>
      <x:c r="AH108" t="n">
        <x:v>46126.080628020834</x:v>
      </x:c>
      <x:c r="AI108" t="str">
        <x:v>mhafizi.madnan@petronas.com</x:v>
      </x:c>
      <x:c r="AJ108" t="str">
        <x:v>approved</x:v>
      </x:c>
      <x:c r="AK108" t="str">
        <x:v>REQ000007973461</x:v>
      </x:c>
      <x:c r="AL108" t="str">
        <x:v>a3f54c5f-6942-4740-96ec-b35604ec2ace</x:v>
      </x:c>
      <x:c r="AM108" s="23" t="str">
        <x:f>IF(E108="processing",IF(Z108="","",IF(ISNUMBER(Z108),INT(Z108),DATE(VALUE(LEFT(Z108,4)),VALUE(MID(Z108,6,2)),VALUE(MID(Z108,9,2))))),IF(OR(E108="executing",E108="pending"),IF(AD108="","",IF(ISNUMBER(AD108),INT(AD108),DATE(VALUE(LEFT(AD108,4)),VALUE(MID(AD108,6,2)),VALUE(MID(AD108,9,2))))),""))</x:f>
      </x:c>
      <x:c r="AN108" s="24" t="str">
        <x:f>IF(AM108="","",INT('Configuration'!$B$4)-AM108)</x:f>
      </x:c>
      <x:c r="AO108" s="25" t="str">
        <x:f>IF(AM108="","Missing Required Date",IF(AN108&lt;0,"Future Date",IF(AN108=0,"0 days",IF(AN108&lt;=2,"1-2 days",IF(AN108&lt;=7,"3-7 days",IF(AN108&lt;=14,"8-14 days",IF(AN108&lt;=30,"15-30 days",IF(AN108&lt;=60,"31-60 days",IF(AN108&lt;=70,"61-70 days","71+ days")))))))))</x:f>
        <x:v>Missing Required Date</x:v>
      </x:c>
      <x:c r="AP108" s="25" t="str">
        <x:f>IF(OR(E108="processing",E108="executing",E108="pending"),IF(AM108="","Required aging date missing",IF(AN108&gt;30,"Escalate &gt;30d",IF(AN108&gt;14,"Watch &gt;14d","Within 14d"))),"Out of scope")</x:f>
        <x:v>Out of scope</x:v>
      </x:c>
    </x:row>
    <x:row r="109" ht="24" customHeight="1">
      <x:c r="A109" t="str">
        <x:v>6ee44ecb-7c51-459e-82aa-e1ad65286ce9</x:v>
      </x:c>
      <x:c r="B109" t="str">
        <x:v>CSSP10922302</x:v>
      </x:c>
      <x:c r="C109" t="str">
        <x:v>nurainnasiha.ibrahi@petronas.com</x:v>
      </x:c>
      <x:c r="D109" t="str">
        <x:v>provision-cloud-public</x:v>
      </x:c>
      <x:c r="E109" t="str">
        <x:v>completed</x:v>
      </x:c>
      <x:c r="F109" t="n">
        <x:v>46113.251506597226</x:v>
      </x:c>
      <x:c r="G109" t="n">
        <x:v>46113.251506597226</x:v>
      </x:c>
      <x:c r="H109" t="n">
        <x:v>46149.26341049768</x:v>
      </x:c>
      <x:c r="I109" t="str">
        <x:v>A-000622</x:v>
      </x:c>
      <x:c r="J109" t="str">
        <x:v>PlanningSpace</x:v>
      </x:c>
      <x:c r="K109" t="str">
        <x:v>00915_249</x:v>
      </x:c>
      <x:c r="L109" t="str">
        <x:v>Cloud Migration-Planning Space</x:v>
      </x:c>
      <x:c r="M109" t="str">
        <x:v>eanand.ehambaram@petronas.com.my</x:v>
      </x:c>
      <x:c r="N109" t="str">
        <x:v>Upstream Development Group Of Apps 2</x:v>
      </x:c>
      <x:c r="O109" t="str">
        <x:v>New</x:v>
      </x:c>
      <x:c r="P109" t="str">
        <x:v>Development</x:v>
      </x:c>
      <x:c r="Q109" t="str">
        <x:v>Require to provision Azure SQL DB for Planning Space 2.0 in this Resource Group: PTAZSG-IAC-DEV-PLAN-RG</x:v>
      </x:c>
      <x:c r="R109" t="str">
        <x:v>M</x:v>
      </x:c>
      <x:c r="S109"/>
      <x:c r="T109"/>
      <x:c r="U109" t="str">
        <x:v>Approved</x:v>
      </x:c>
      <x:c r="V109" t="n">
        <x:v>46113.2725321875</x:v>
      </x:c>
      <x:c r="W109" t="str">
        <x:v>eanand.ehambaram@petronas.com</x:v>
      </x:c>
      <x:c r="X109" t="str">
        <x:v>approved</x:v>
      </x:c>
      <x:c r="Y109" t="str">
        <x:v>Good to go</x:v>
      </x:c>
      <x:c r="Z109" t="n">
        <x:v>46118.09956407407</x:v>
      </x:c>
      <x:c r="AA109" t="str">
        <x:v>samsuddin.jumbri@petronas.com</x:v>
      </x:c>
      <x:c r="AB109" t="str">
        <x:v>approved</x:v>
      </x:c>
      <x:c r="AC109" t="str">
        <x:v>dev. sql single database,  sql server.</x:v>
      </x:c>
      <x:c r="AD109" t="n">
        <x:v>46119.083436469904</x:v>
      </x:c>
      <x:c r="AE109" t="str">
        <x:v>syazali.saad@petronas.com</x:v>
      </x:c>
      <x:c r="AF109" t="str">
        <x:v>approved</x:v>
      </x:c>
      <x:c r="AG109" t="str">
        <x:v>done</x:v>
      </x:c>
      <x:c r="AH109" t="n">
        <x:v>46149.26341049768</x:v>
      </x:c>
      <x:c r="AI109" t="str">
        <x:v>izham.ajmaan@petronas.com</x:v>
      </x:c>
      <x:c r="AJ109" t="str">
        <x:v>approved</x:v>
      </x:c>
      <x:c r="AK109" t="str">
        <x:v>REQ000007973465</x:v>
      </x:c>
      <x:c r="AL109" t="str">
        <x:v>4f36fdd8-8a97-43a9-a559-a2d958b5285f</x:v>
      </x:c>
      <x:c r="AM109" s="23" t="str">
        <x:f>IF(E109="processing",IF(Z109="","",IF(ISNUMBER(Z109),INT(Z109),DATE(VALUE(LEFT(Z109,4)),VALUE(MID(Z109,6,2)),VALUE(MID(Z109,9,2))))),IF(OR(E109="executing",E109="pending"),IF(AD109="","",IF(ISNUMBER(AD109),INT(AD109),DATE(VALUE(LEFT(AD109,4)),VALUE(MID(AD109,6,2)),VALUE(MID(AD109,9,2))))),""))</x:f>
      </x:c>
      <x:c r="AN109" s="24" t="str">
        <x:f>IF(AM109="","",INT('Configuration'!$B$4)-AM109)</x:f>
      </x:c>
      <x:c r="AO109" s="25" t="str">
        <x:f>IF(AM109="","Missing Required Date",IF(AN109&lt;0,"Future Date",IF(AN109=0,"0 days",IF(AN109&lt;=2,"1-2 days",IF(AN109&lt;=7,"3-7 days",IF(AN109&lt;=14,"8-14 days",IF(AN109&lt;=30,"15-30 days",IF(AN109&lt;=60,"31-60 days",IF(AN109&lt;=70,"61-70 days","71+ days")))))))))</x:f>
        <x:v>Missing Required Date</x:v>
      </x:c>
      <x:c r="AP109" s="25" t="str">
        <x:f>IF(OR(E109="processing",E109="executing",E109="pending"),IF(AM109="","Required aging date missing",IF(AN109&gt;30,"Escalate &gt;30d",IF(AN109&gt;14,"Watch &gt;14d","Within 14d"))),"Out of scope")</x:f>
        <x:v>Out of scope</x:v>
      </x:c>
    </x:row>
    <x:row r="110" ht="24" customHeight="1">
      <x:c r="A110" t="str">
        <x:v>74b739bc-65d6-4731-87f4-7181c8a1f9a9</x:v>
      </x:c>
      <x:c r="B110" t="str">
        <x:v>CSSP10479593</x:v>
      </x:c>
      <x:c r="C110" t="str">
        <x:v>mammarhaziq.amra@petronas.com</x:v>
      </x:c>
      <x:c r="D110" t="str">
        <x:v>provision-cloud-public</x:v>
      </x:c>
      <x:c r="E110" t="str">
        <x:v>pending</x:v>
      </x:c>
      <x:c r="F110" t="n">
        <x:v>46114.15745918982</x:v>
      </x:c>
      <x:c r="G110" t="n">
        <x:v>46114.15745918982</x:v>
      </x:c>
      <x:c r="H110" t="n">
        <x:v>46114.15745918982</x:v>
      </x:c>
      <x:c r="I110" t="str">
        <x:v>A-000782</x:v>
      </x:c>
      <x:c r="J110" t="str">
        <x:v>Subsurface Sand Management and Rock Mechanics - SMRM</x:v>
      </x:c>
      <x:c r="K110" t="n">
        <x:v>192</x:v>
      </x:c>
      <x:c r="L110" t="str">
        <x:v>Intelligent Sand Management System (iSAND) Enhancement for Malaysia Petroleum Management (MPM)</x:v>
      </x:c>
      <x:c r="M110" t="str">
        <x:v>ng.kokwan@petronas.com</x:v>
      </x:c>
      <x:c r="N110" t="str">
        <x:v>iSAND (Intelligent Sand Management System)</x:v>
      </x:c>
      <x:c r="O110" t="str">
        <x:v>Modify</x:v>
      </x:c>
      <x:c r="P110" t="str">
        <x:v>Production</x:v>
      </x:c>
      <x:c r="Q110" t="str">
        <x:v>1. Request to upgrade VM PTSG-1SMRMap01 in PTAZSG-IAC-DAA-PROD-SMRM-RG from B2s to D2s_v5 due to higher spec computing requirements.
2. Request to increase datadisk PTSG-1SMRMap01_DataDisk01 from 32gb to 64gb to accommodate storage.</x:v>
      </x:c>
      <x:c r="R110"/>
      <x:c r="S110" t="str">
        <x:v>N/A</x:v>
      </x:c>
      <x:c r="T110"/>
      <x:c r="U110"/>
      <x:c r="V110"/>
      <x:c r="W110" t="str">
        <x:v>ng.kokwan@petronas.com</x:v>
      </x:c>
      <x:c r="X110"/>
      <x:c r="Y110"/>
      <x:c r="Z110"/>
      <x:c r="AA110" t="str">
        <x:v>CCoE Demand</x:v>
      </x:c>
      <x:c r="AB110"/>
      <x:c r="AC110"/>
      <x:c r="AD110"/>
      <x:c r="AE110" t="str">
        <x:v>CCoE Business</x:v>
      </x:c>
      <x:c r="AF110"/>
      <x:c r="AG110"/>
      <x:c r="AH110"/>
      <x:c r="AI110" t="str">
        <x:v>CCoE Core Services (Public)</x:v>
      </x:c>
      <x:c r="AJ110"/>
      <x:c r="AK110"/>
      <x:c r="AL110" t="str">
        <x:v>f9928342-9ca0-4aff-90a3-8216880b8e69</x:v>
      </x:c>
      <x:c r="AM110" s="23" t="str">
        <x:f>IF(E110="processing",IF(Z110="","",IF(ISNUMBER(Z110),INT(Z110),DATE(VALUE(LEFT(Z110,4)),VALUE(MID(Z110,6,2)),VALUE(MID(Z110,9,2))))),IF(OR(E110="executing",E110="pending"),IF(AD110="","",IF(ISNUMBER(AD110),INT(AD110),DATE(VALUE(LEFT(AD110,4)),VALUE(MID(AD110,6,2)),VALUE(MID(AD110,9,2))))),""))</x:f>
      </x:c>
      <x:c r="AN110" s="24" t="str">
        <x:f>IF(AM110="","",INT('Configuration'!$B$4)-AM110)</x:f>
      </x:c>
      <x:c r="AO110" s="25" t="str">
        <x:f>IF(AM110="","Missing Required Date",IF(AN110&lt;0,"Future Date",IF(AN110=0,"0 days",IF(AN110&lt;=2,"1-2 days",IF(AN110&lt;=7,"3-7 days",IF(AN110&lt;=14,"8-14 days",IF(AN110&lt;=30,"15-30 days",IF(AN110&lt;=60,"31-60 days",IF(AN110&lt;=70,"61-70 days","71+ days")))))))))</x:f>
        <x:v>Missing Required Date</x:v>
      </x:c>
      <x:c r="AP110" s="25" t="str">
        <x:f>IF(OR(E110="processing",E110="executing",E110="pending"),IF(AM110="","Required aging date missing",IF(AN110&gt;30,"Escalate &gt;30d",IF(AN110&gt;14,"Watch &gt;14d","Within 14d"))),"Out of scope")</x:f>
        <x:v>Required aging date missing</x:v>
      </x:c>
    </x:row>
    <x:row r="111" ht="24" customHeight="1">
      <x:c r="A111" t="str">
        <x:v>58da446a-3d64-4f4b-ae14-dfead1fee681</x:v>
      </x:c>
      <x:c r="B111" t="str">
        <x:v>CSSP10339640</x:v>
      </x:c>
      <x:c r="C111" t="str">
        <x:v>abdullahnaqib.hassa@petronas.com</x:v>
      </x:c>
      <x:c r="D111" t="str">
        <x:v>provision-cloud-public</x:v>
      </x:c>
      <x:c r="E111" t="str">
        <x:v>completed</x:v>
      </x:c>
      <x:c r="F111" t="n">
        <x:v>46114.19464947917</x:v>
      </x:c>
      <x:c r="G111" t="n">
        <x:v>46114.19464947917</x:v>
      </x:c>
      <x:c r="H111" t="n">
        <x:v>46219.137729918984</x:v>
      </x:c>
      <x:c r="I111" t="str">
        <x:v>A-000714</x:v>
      </x:c>
      <x:c r="J111" t="str">
        <x:v>SAP 30 ECC6</x:v>
      </x:c>
      <x:c r="K111" t="str">
        <x:v>OSR00410</x:v>
      </x:c>
      <x:c r="L111" t="str">
        <x:v>S/4HANA Technical Conversion and Migration of SAP Systems P30 and P50</x:v>
      </x:c>
      <x:c r="M111" t="str">
        <x:v>safura.ibadullah@petronas.com</x:v>
      </x:c>
      <x:c r="N111" t="str">
        <x:v>PHOENIX Technology Modernisation</x:v>
      </x:c>
      <x:c r="O111" t="str">
        <x:v>Modify</x:v>
      </x:c>
      <x:c r="P111" t="str">
        <x:v>Production</x:v>
      </x:c>
      <x:c r="Q111" t="str">
        <x:v>Phoenix Tech mod P30 DB VM upgrade</x:v>
      </x:c>
      <x:c r="R111" t="str">
        <x:v>M</x:v>
      </x:c>
      <x:c r="S111" t="str">
        <x:v>ICT_RFC00220127</x:v>
      </x:c>
      <x:c r="T111"/>
      <x:c r="U111" t="str">
        <x:v>for S4HANA readiness</x:v>
      </x:c>
      <x:c r="V111" t="n">
        <x:v>46114.269312662036</x:v>
      </x:c>
      <x:c r="W111" t="str">
        <x:v>safura.ibadullah@petronas.com</x:v>
      </x:c>
      <x:c r="X111" t="str">
        <x:v>approved</x:v>
      </x:c>
      <x:c r="Y111" t="str">
        <x:v>Good to go</x:v>
      </x:c>
      <x:c r="Z111" t="n">
        <x:v>46114.37433520833</x:v>
      </x:c>
      <x:c r="AA111" t="str">
        <x:v>samsuddin.jumbri@petronas.com</x:v>
      </x:c>
      <x:c r="AB111" t="str">
        <x:v>approved</x:v>
      </x:c>
      <x:c r="AC111" t="str">
        <x:v>rfc</x:v>
      </x:c>
      <x:c r="AD111" t="n">
        <x:v>46114.40865491898</x:v>
      </x:c>
      <x:c r="AE111" t="str">
        <x:v>syazali.saad@petronas.com</x:v>
      </x:c>
      <x:c r="AF111" t="str">
        <x:v>approved</x:v>
      </x:c>
      <x:c r="AG111" t="str">
        <x:v>completed </x:v>
      </x:c>
      <x:c r="AH111" t="n">
        <x:v>46219.137729918984</x:v>
      </x:c>
      <x:c r="AI111" t="str">
        <x:v>ahmadfirdaus.adnan@petronas.com</x:v>
      </x:c>
      <x:c r="AJ111" t="str">
        <x:v>approved</x:v>
      </x:c>
      <x:c r="AK111" t="str">
        <x:v>REQ000007965989</x:v>
      </x:c>
      <x:c r="AL111" t="str">
        <x:v>cc1bad82-c5d9-409e-b5f0-e231f3f4551d</x:v>
      </x:c>
      <x:c r="AM111" s="23" t="str">
        <x:f>IF(E111="processing",IF(Z111="","",IF(ISNUMBER(Z111),INT(Z111),DATE(VALUE(LEFT(Z111,4)),VALUE(MID(Z111,6,2)),VALUE(MID(Z111,9,2))))),IF(OR(E111="executing",E111="pending"),IF(AD111="","",IF(ISNUMBER(AD111),INT(AD111),DATE(VALUE(LEFT(AD111,4)),VALUE(MID(AD111,6,2)),VALUE(MID(AD111,9,2))))),""))</x:f>
      </x:c>
      <x:c r="AN111" s="24" t="str">
        <x:f>IF(AM111="","",INT('Configuration'!$B$4)-AM111)</x:f>
      </x:c>
      <x:c r="AO111" s="25" t="str">
        <x:f>IF(AM111="","Missing Required Date",IF(AN111&lt;0,"Future Date",IF(AN111=0,"0 days",IF(AN111&lt;=2,"1-2 days",IF(AN111&lt;=7,"3-7 days",IF(AN111&lt;=14,"8-14 days",IF(AN111&lt;=30,"15-30 days",IF(AN111&lt;=60,"31-60 days",IF(AN111&lt;=70,"61-70 days","71+ days")))))))))</x:f>
        <x:v>Missing Required Date</x:v>
      </x:c>
      <x:c r="AP111" s="25" t="str">
        <x:f>IF(OR(E111="processing",E111="executing",E111="pending"),IF(AM111="","Required aging date missing",IF(AN111&gt;30,"Escalate &gt;30d",IF(AN111&gt;14,"Watch &gt;14d","Within 14d"))),"Out of scope")</x:f>
        <x:v>Out of scope</x:v>
      </x:c>
    </x:row>
    <x:row r="112" ht="24" customHeight="1">
      <x:c r="A112" t="str">
        <x:v>6d8c86a9-eab7-4698-a876-34c81cf2b1bb</x:v>
      </x:c>
      <x:c r="B112" t="str">
        <x:v>CSSP10902778</x:v>
      </x:c>
      <x:c r="C112" t="str">
        <x:v>sharonie.loris@petronas.com</x:v>
      </x:c>
      <x:c r="D112" t="str">
        <x:v>provision-cloud-public</x:v>
      </x:c>
      <x:c r="E112" t="str">
        <x:v>completed</x:v>
      </x:c>
      <x:c r="F112" t="n">
        <x:v>46114.26833974537</x:v>
      </x:c>
      <x:c r="G112" t="n">
        <x:v>46119.17310021991</x:v>
      </x:c>
      <x:c r="H112" t="n">
        <x:v>46129.08733767361</x:v>
      </x:c>
      <x:c r="I112" t="str">
        <x:v>A-001322</x:v>
      </x:c>
      <x:c r="J112" t="str">
        <x:v>RADIAN</x:v>
      </x:c>
      <x:c r="K112" t="str">
        <x:v>SR10734</x:v>
      </x:c>
      <x:c r="L112" t="str">
        <x:v>Real-Time Advisory &amp; Drilling Insight via Artificial Neural Intelligence (RADIAN) for 
Wells formerly known HSPM</x:v>
      </x:c>
      <x:c r="M112" t="str">
        <x:v>nurshida.czakaria@petronas.com.my</x:v>
      </x:c>
      <x:c r="N112" t="str">
        <x:v>RADIAN</x:v>
      </x:c>
      <x:c r="O112" t="str">
        <x:v>Modify</x:v>
      </x:c>
      <x:c r="P112" t="str">
        <x:v>StagingUat</x:v>
      </x:c>
      <x:c r="Q112" t="str">
        <x:v>Request to add new item in provision cloud infrastructure</x:v>
      </x:c>
      <x:c r="R112" t="str">
        <x:v>S</x:v>
      </x:c>
      <x:c r="S112"/>
      <x:c r="T112"/>
      <x:c r="U112" t="str">
        <x:v>Approved for RADIAN project.</x:v>
      </x:c>
      <x:c r="V112" t="n">
        <x:v>46119.1794497338</x:v>
      </x:c>
      <x:c r="W112" t="str">
        <x:v>nurshida.czakaria@petronas.com</x:v>
      </x:c>
      <x:c r="X112" t="str">
        <x:v>approved</x:v>
      </x:c>
      <x:c r="Y112" t="str">
        <x:v>Good to go</x:v>
      </x:c>
      <x:c r="Z112" t="n">
        <x:v>46119.28890380787</x:v>
      </x:c>
      <x:c r="AA112" t="str">
        <x:v>samsuddin.jumbri@petronas.com</x:v>
      </x:c>
      <x:c r="AB112" t="str">
        <x:v>approved</x:v>
      </x:c>
      <x:c r="AC112" t="str">
        <x:v>.</x:v>
      </x:c>
      <x:c r="AD112" t="n">
        <x:v>46121.38287260417</x:v>
      </x:c>
      <x:c r="AE112" t="str">
        <x:v>syazali.saad@petronas.com</x:v>
      </x:c>
      <x:c r="AF112" t="str">
        <x:v>approved</x:v>
      </x:c>
      <x:c r="AG112" t="str">
        <x:v>completed</x:v>
      </x:c>
      <x:c r="AH112" t="n">
        <x:v>46129.08733767361</x:v>
      </x:c>
      <x:c r="AI112" t="str">
        <x:v>amin.manshor@petronas.com</x:v>
      </x:c>
      <x:c r="AJ112" t="str">
        <x:v>approved</x:v>
      </x:c>
      <x:c r="AK112" t="str">
        <x:v>REQ000007980589</x:v>
      </x:c>
      <x:c r="AL112" t="str">
        <x:v>4e9ba02b-45f5-40b0-8fda-a54588d5903e</x:v>
      </x:c>
      <x:c r="AM112" s="23" t="str">
        <x:f>IF(E112="processing",IF(Z112="","",IF(ISNUMBER(Z112),INT(Z112),DATE(VALUE(LEFT(Z112,4)),VALUE(MID(Z112,6,2)),VALUE(MID(Z112,9,2))))),IF(OR(E112="executing",E112="pending"),IF(AD112="","",IF(ISNUMBER(AD112),INT(AD112),DATE(VALUE(LEFT(AD112,4)),VALUE(MID(AD112,6,2)),VALUE(MID(AD112,9,2))))),""))</x:f>
      </x:c>
      <x:c r="AN112" s="24" t="str">
        <x:f>IF(AM112="","",INT('Configuration'!$B$4)-AM112)</x:f>
      </x:c>
      <x:c r="AO112" s="25" t="str">
        <x:f>IF(AM112="","Missing Required Date",IF(AN112&lt;0,"Future Date",IF(AN112=0,"0 days",IF(AN112&lt;=2,"1-2 days",IF(AN112&lt;=7,"3-7 days",IF(AN112&lt;=14,"8-14 days",IF(AN112&lt;=30,"15-30 days",IF(AN112&lt;=60,"31-60 days",IF(AN112&lt;=70,"61-70 days","71+ days")))))))))</x:f>
        <x:v>Missing Required Date</x:v>
      </x:c>
      <x:c r="AP112" s="25" t="str">
        <x:f>IF(OR(E112="processing",E112="executing",E112="pending"),IF(AM112="","Required aging date missing",IF(AN112&gt;30,"Escalate &gt;30d",IF(AN112&gt;14,"Watch &gt;14d","Within 14d"))),"Out of scope")</x:f>
        <x:v>Out of scope</x:v>
      </x:c>
    </x:row>
    <x:row r="113" ht="24" customHeight="1">
      <x:c r="A113" t="str">
        <x:v>20865d57-7c57-47da-9d3d-198bd8815b99</x:v>
      </x:c>
      <x:c r="B113" t="str">
        <x:v>CSSP10769881</x:v>
      </x:c>
      <x:c r="C113" t="str">
        <x:v>harsukhvir.godrei@petronas.com</x:v>
      </x:c>
      <x:c r="D113" t="str">
        <x:v>provision-cloud-public</x:v>
      </x:c>
      <x:c r="E113" t="str">
        <x:v>completed</x:v>
      </x:c>
      <x:c r="F113" t="n">
        <x:v>46114.36075008102</x:v>
      </x:c>
      <x:c r="G113" t="n">
        <x:v>46114.36075008102</x:v>
      </x:c>
      <x:c r="H113" t="n">
        <x:v>46122.131456944444</x:v>
      </x:c>
      <x:c r="I113" t="str">
        <x:v>A-001334</x:v>
      </x:c>
      <x:c r="J113" t="str">
        <x:v>PETRONAS360 PRO</x:v>
      </x:c>
      <x:c r="K113" t="str">
        <x:v>PC-00087</x:v>
      </x:c>
      <x:c r="L113" t="str">
        <x:v>MS Fabric License for PETRONAS360 PRO POC</x:v>
      </x:c>
      <x:c r="M113" t="str">
        <x:v>yong.laiming@petronas.com.my</x:v>
      </x:c>
      <x:c r="N113" t="str">
        <x:v>PETRONAS360</x:v>
      </x:c>
      <x:c r="O113" t="str">
        <x:v>New</x:v>
      </x:c>
      <x:c r="P113" t="str">
        <x:v>Development</x:v>
      </x:c>
      <x:c r="Q113" t="str">
        <x:v>Require Fabric F2 license for POC to get Data agent </x:v>
      </x:c>
      <x:c r="R113" t="str">
        <x:v>S</x:v>
      </x:c>
      <x:c r="S113"/>
      <x:c r="T113"/>
      <x:c r="U113" t="str">
        <x:v>POC on Microsoft co-pilot &amp; PETRONAS360</x:v>
      </x:c>
      <x:c r="V113" t="n">
        <x:v>46114.41490079861</x:v>
      </x:c>
      <x:c r="W113" t="str">
        <x:v>yong.laiming@petronas.com</x:v>
      </x:c>
      <x:c r="X113" t="str">
        <x:v>approved</x:v>
      </x:c>
      <x:c r="Y113" t="str">
        <x:v>Good to go</x:v>
      </x:c>
      <x:c r="Z113" t="n">
        <x:v>46118.09563318287</x:v>
      </x:c>
      <x:c r="AA113" t="str">
        <x:v>samsuddin.jumbri@petronas.com</x:v>
      </x:c>
      <x:c r="AB113" t="str">
        <x:v>approved</x:v>
      </x:c>
      <x:c r="AC113" t="str">
        <x:v>deploy fabric license</x:v>
      </x:c>
      <x:c r="AD113" t="n">
        <x:v>46119.0858241088</x:v>
      </x:c>
      <x:c r="AE113" t="str">
        <x:v>syazali.saad@petronas.com</x:v>
      </x:c>
      <x:c r="AF113" t="str">
        <x:v>approved</x:v>
      </x:c>
      <x:c r="AG113" t="str">
        <x:v>The fabric ptazsg5ptpropocfabric01 has been provisioned and assigned with F2 license</x:v>
      </x:c>
      <x:c r="AH113" t="n">
        <x:v>46122.13145695602</x:v>
      </x:c>
      <x:c r="AI113" t="str">
        <x:v>muhdfirdaus.muhamad@petronas.com</x:v>
      </x:c>
      <x:c r="AJ113" t="str">
        <x:v>approved</x:v>
      </x:c>
      <x:c r="AK113" t="str">
        <x:v>REQ000007973305</x:v>
      </x:c>
      <x:c r="AL113" t="str">
        <x:v>c4fec439-0b2c-4ce2-b258-61a1ee373d09</x:v>
      </x:c>
      <x:c r="AM113" s="23" t="str">
        <x:f>IF(E113="processing",IF(Z113="","",IF(ISNUMBER(Z113),INT(Z113),DATE(VALUE(LEFT(Z113,4)),VALUE(MID(Z113,6,2)),VALUE(MID(Z113,9,2))))),IF(OR(E113="executing",E113="pending"),IF(AD113="","",IF(ISNUMBER(AD113),INT(AD113),DATE(VALUE(LEFT(AD113,4)),VALUE(MID(AD113,6,2)),VALUE(MID(AD113,9,2))))),""))</x:f>
      </x:c>
      <x:c r="AN113" s="24" t="str">
        <x:f>IF(AM113="","",INT('Configuration'!$B$4)-AM113)</x:f>
      </x:c>
      <x:c r="AO113" s="25" t="str">
        <x:f>IF(AM113="","Missing Required Date",IF(AN113&lt;0,"Future Date",IF(AN113=0,"0 days",IF(AN113&lt;=2,"1-2 days",IF(AN113&lt;=7,"3-7 days",IF(AN113&lt;=14,"8-14 days",IF(AN113&lt;=30,"15-30 days",IF(AN113&lt;=60,"31-60 days",IF(AN113&lt;=70,"61-70 days","71+ days")))))))))</x:f>
        <x:v>Missing Required Date</x:v>
      </x:c>
      <x:c r="AP113" s="25" t="str">
        <x:f>IF(OR(E113="processing",E113="executing",E113="pending"),IF(AM113="","Required aging date missing",IF(AN113&gt;30,"Escalate &gt;30d",IF(AN113&gt;14,"Watch &gt;14d","Within 14d"))),"Out of scope")</x:f>
        <x:v>Out of scope</x:v>
      </x:c>
    </x:row>
    <x:row r="114" ht="24" customHeight="1">
      <x:c r="A114" t="str">
        <x:v>4cfe86bc-f194-45f0-b422-3afa92653756</x:v>
      </x:c>
      <x:c r="B114" t="str">
        <x:v>CSSP10237634</x:v>
      </x:c>
      <x:c r="C114" t="str">
        <x:v>rusnani.mamat@petronas.com</x:v>
      </x:c>
      <x:c r="D114" t="str">
        <x:v>provision-cloud-public</x:v>
      </x:c>
      <x:c r="E114" t="str">
        <x:v>completed</x:v>
      </x:c>
      <x:c r="F114" t="n">
        <x:v>46115.106471527775</x:v>
      </x:c>
      <x:c r="G114" t="n">
        <x:v>46115.106471527775</x:v>
      </x:c>
      <x:c r="H114" t="n">
        <x:v>46126.07633645833</x:v>
      </x:c>
      <x:c r="I114" t="str">
        <x:v>A-000031</x:v>
      </x:c>
      <x:c r="J114" t="str">
        <x:v>Augmented Gas Nomination Ecosystem - AGNES</x:v>
      </x:c>
      <x:c r="K114" t="n">
        <x:v>209</x:v>
      </x:c>
      <x:c r="L114" t="str">
        <x:v>Establishment of Augmented Gas Nomination EcoSystem (AGNES) DevSecOps for Malaysia Petroleum Management (MPM)</x:v>
      </x:c>
      <x:c r="M114" t="str">
        <x:v>faradina.mohamed@petronas.com.my</x:v>
      </x:c>
      <x:c r="N114" t="str">
        <x:v>Establishment of AGNES DevSecOps for MPM</x:v>
      </x:c>
      <x:c r="O114" t="str">
        <x:v>New</x:v>
      </x:c>
      <x:c r="P114" t="str">
        <x:v>StagingUat</x:v>
      </x:c>
      <x:c r="Q114" t="str">
        <x:v>Request for Azure Data Factory (ADF) provisioning. ADF is needed to migrate the data from 1 SQL server to another SQL server. TQ</x:v>
      </x:c>
      <x:c r="R114" t="str">
        <x:v>M</x:v>
      </x:c>
      <x:c r="S114"/>
      <x:c r="T114"/>
      <x:c r="U114" t="str">
        <x:v>require for temp data migration </x:v>
      </x:c>
      <x:c r="V114" t="n">
        <x:v>46115.15099962963</x:v>
      </x:c>
      <x:c r="W114" t="str">
        <x:v>faradina.mohamed@petronas.com</x:v>
      </x:c>
      <x:c r="X114" t="str">
        <x:v>approved</x:v>
      </x:c>
      <x:c r="Y114" t="str">
        <x:v>Good to go</x:v>
      </x:c>
      <x:c r="Z114" t="n">
        <x:v>46118.0973315625</x:v>
      </x:c>
      <x:c r="AA114" t="str">
        <x:v>samsuddin.jumbri@petronas.com</x:v>
      </x:c>
      <x:c r="AB114" t="str">
        <x:v>approved</x:v>
      </x:c>
      <x:c r="AC114" t="str">
        <x:v>staging. + ADF and storage account.
</x:v>
      </x:c>
      <x:c r="AD114" t="n">
        <x:v>46119.0798672338</x:v>
      </x:c>
      <x:c r="AE114" t="str">
        <x:v>syazali.saad@petronas.com</x:v>
      </x:c>
      <x:c r="AF114" t="str">
        <x:v>approved</x:v>
      </x:c>
      <x:c r="AG114" t="str">
        <x:v>data factory provisioned</x:v>
      </x:c>
      <x:c r="AH114" t="n">
        <x:v>46126.07633646991</x:v>
      </x:c>
      <x:c r="AI114" t="str">
        <x:v>mhafizi.madnan@petronas.com</x:v>
      </x:c>
      <x:c r="AJ114" t="str">
        <x:v>approved</x:v>
      </x:c>
      <x:c r="AK114" t="str">
        <x:v>REQ000007973298</x:v>
      </x:c>
      <x:c r="AL114" t="str">
        <x:v>a3f54c5f-6942-4740-96ec-b35604ec2ace</x:v>
      </x:c>
      <x:c r="AM114" s="23" t="str">
        <x:f>IF(E114="processing",IF(Z114="","",IF(ISNUMBER(Z114),INT(Z114),DATE(VALUE(LEFT(Z114,4)),VALUE(MID(Z114,6,2)),VALUE(MID(Z114,9,2))))),IF(OR(E114="executing",E114="pending"),IF(AD114="","",IF(ISNUMBER(AD114),INT(AD114),DATE(VALUE(LEFT(AD114,4)),VALUE(MID(AD114,6,2)),VALUE(MID(AD114,9,2))))),""))</x:f>
      </x:c>
      <x:c r="AN114" s="24" t="str">
        <x:f>IF(AM114="","",INT('Configuration'!$B$4)-AM114)</x:f>
      </x:c>
      <x:c r="AO114" s="25" t="str">
        <x:f>IF(AM114="","Missing Required Date",IF(AN114&lt;0,"Future Date",IF(AN114=0,"0 days",IF(AN114&lt;=2,"1-2 days",IF(AN114&lt;=7,"3-7 days",IF(AN114&lt;=14,"8-14 days",IF(AN114&lt;=30,"15-30 days",IF(AN114&lt;=60,"31-60 days",IF(AN114&lt;=70,"61-70 days","71+ days")))))))))</x:f>
        <x:v>Missing Required Date</x:v>
      </x:c>
      <x:c r="AP114" s="25" t="str">
        <x:f>IF(OR(E114="processing",E114="executing",E114="pending"),IF(AM114="","Required aging date missing",IF(AN114&gt;30,"Escalate &gt;30d",IF(AN114&gt;14,"Watch &gt;14d","Within 14d"))),"Out of scope")</x:f>
        <x:v>Out of scope</x:v>
      </x:c>
    </x:row>
    <x:row r="115" ht="24" customHeight="1">
      <x:c r="A115" t="str">
        <x:v>606cae02-87cc-435a-a299-bc2ea55f8ff8</x:v>
      </x:c>
      <x:c r="B115" t="str">
        <x:v>CSSP10397504</x:v>
      </x:c>
      <x:c r="C115" t="str">
        <x:v>ettonnarimah@petronas.com</x:v>
      </x:c>
      <x:c r="D115" t="str">
        <x:v>provision-cloud-public</x:v>
      </x:c>
      <x:c r="E115" t="str">
        <x:v>completed</x:v>
      </x:c>
      <x:c r="F115" t="n">
        <x:v>46119.088592939814</x:v>
      </x:c>
      <x:c r="G115" t="n">
        <x:v>46119.088592939814</x:v>
      </x:c>
      <x:c r="H115" t="n">
        <x:v>46132.018281979166</x:v>
      </x:c>
      <x:c r="I115" t="str">
        <x:v>A-000037</x:v>
      </x:c>
      <x:c r="J115" t="str">
        <x:v>AI Enablement Framework</x:v>
      </x:c>
      <x:c r="K115" t="n">
        <x:v>3437</x:v>
      </x:c>
      <x:c r="L115" t="str">
        <x:v>Support and Maintenance for AI Enablement Framework 2023-2024 for PDB</x:v>
      </x:c>
      <x:c r="M115" t="str">
        <x:v>mariful.islam@petronas.com.my</x:v>
      </x:c>
      <x:c r="N115" t="str">
        <x:v>AI Enablement for PDB</x:v>
      </x:c>
      <x:c r="O115" t="str">
        <x:v>Modify</x:v>
      </x:c>
      <x:c r="P115" t="str">
        <x:v>Development</x:v>
      </x:c>
      <x:c r="Q115" t="str">
        <x:v>Compute Name: PDB CAD - ALIYAH Assign to: Nur Aina Aliyah Yusry Effendy (nurainaaliyah.yusrye@petronas.com.my) Virtual Machine Size: Standard_DS15_v2 20 cores, 140 GB RAM, 280 GB disk) Scheduling Auto Shut Down: 60 minutes</x:v>
      </x:c>
      <x:c r="R115" t="str">
        <x:v>S</x:v>
      </x:c>
      <x:c r="S115"/>
      <x:c r="T115"/>
      <x:c r="U115" t="str">
        <x:v>Ok </x:v>
      </x:c>
      <x:c r="V115" t="n">
        <x:v>46119.12889222222</x:v>
      </x:c>
      <x:c r="W115" t="str">
        <x:v>mariful.islam@petronas.com</x:v>
      </x:c>
      <x:c r="X115" t="str">
        <x:v>approved</x:v>
      </x:c>
      <x:c r="Y115" t="str">
        <x:v>Good to go</x:v>
      </x:c>
      <x:c r="Z115" t="n">
        <x:v>46120.37012378472</x:v>
      </x:c>
      <x:c r="AA115" t="str">
        <x:v>samsuddin.jumbri@petronas.com</x:v>
      </x:c>
      <x:c r="AB115" t="str">
        <x:v>approved</x:v>
      </x:c>
      <x:c r="AC115" t="str">
        <x:v>ML</x:v>
      </x:c>
      <x:c r="AD115" t="n">
        <x:v>46121.384109502316</x:v>
      </x:c>
      <x:c r="AE115" t="str">
        <x:v>syazali.saad@petronas.com</x:v>
      </x:c>
      <x:c r="AF115" t="str">
        <x:v>approved</x:v>
      </x:c>
      <x:c r="AG115" t="str">
        <x:v>done. </x:v>
      </x:c>
      <x:c r="AH115" t="n">
        <x:v>46132.01828199074</x:v>
      </x:c>
      <x:c r="AI115" t="str">
        <x:v>azhan.shazeli@petronas.com</x:v>
      </x:c>
      <x:c r="AJ115" t="str">
        <x:v>approved</x:v>
      </x:c>
      <x:c r="AK115" t="str">
        <x:v>REQ000007980833</x:v>
      </x:c>
      <x:c r="AL115" t="str">
        <x:v>f99ec12f-a075-40d0-8957-15cd4e72ddb4</x:v>
      </x:c>
      <x:c r="AM115" s="23" t="str">
        <x:f>IF(E115="processing",IF(Z115="","",IF(ISNUMBER(Z115),INT(Z115),DATE(VALUE(LEFT(Z115,4)),VALUE(MID(Z115,6,2)),VALUE(MID(Z115,9,2))))),IF(OR(E115="executing",E115="pending"),IF(AD115="","",IF(ISNUMBER(AD115),INT(AD115),DATE(VALUE(LEFT(AD115,4)),VALUE(MID(AD115,6,2)),VALUE(MID(AD115,9,2))))),""))</x:f>
      </x:c>
      <x:c r="AN115" s="24" t="str">
        <x:f>IF(AM115="","",INT('Configuration'!$B$4)-AM115)</x:f>
      </x:c>
      <x:c r="AO115" s="25" t="str">
        <x:f>IF(AM115="","Missing Required Date",IF(AN115&lt;0,"Future Date",IF(AN115=0,"0 days",IF(AN115&lt;=2,"1-2 days",IF(AN115&lt;=7,"3-7 days",IF(AN115&lt;=14,"8-14 days",IF(AN115&lt;=30,"15-30 days",IF(AN115&lt;=60,"31-60 days",IF(AN115&lt;=70,"61-70 days","71+ days")))))))))</x:f>
        <x:v>Missing Required Date</x:v>
      </x:c>
      <x:c r="AP115" s="25" t="str">
        <x:f>IF(OR(E115="processing",E115="executing",E115="pending"),IF(AM115="","Required aging date missing",IF(AN115&gt;30,"Escalate &gt;30d",IF(AN115&gt;14,"Watch &gt;14d","Within 14d"))),"Out of scope")</x:f>
        <x:v>Out of scope</x:v>
      </x:c>
    </x:row>
    <x:row r="116" ht="24" customHeight="1">
      <x:c r="A116" t="str">
        <x:v>7f738736-12b5-42c4-ba07-2a384bbbfd9c</x:v>
      </x:c>
      <x:c r="B116" t="str">
        <x:v>CSSP10104844</x:v>
      </x:c>
      <x:c r="C116" t="str">
        <x:v>suliza.sumari@petronas.com</x:v>
      </x:c>
      <x:c r="D116" t="str">
        <x:v>provision-cloud-public</x:v>
      </x:c>
      <x:c r="E116" t="str">
        <x:v>completed</x:v>
      </x:c>
      <x:c r="F116" t="n">
        <x:v>46119.153086701386</x:v>
      </x:c>
      <x:c r="G116" t="n">
        <x:v>46119.153086701386</x:v>
      </x:c>
      <x:c r="H116" t="n">
        <x:v>46126.10800678241</x:v>
      </x:c>
      <x:c r="I116" t="str">
        <x:v>A-000491</x:v>
      </x:c>
      <x:c r="J116" t="str">
        <x:v>MyPROData</x:v>
      </x:c>
      <x:c r="K116" t="n">
        <x:v>4583</x:v>
      </x:c>
      <x:c r="L116" t="str">
        <x:v>Shared Support Services (SecOps) myPROdata FY2025 for Malaysia Petroleum Management (MPM)</x:v>
      </x:c>
      <x:c r="M116" t="str">
        <x:v>wadiah.rusli@petronas.com.my</x:v>
      </x:c>
      <x:c r="N116" t="str">
        <x:v>myPROdata</x:v>
      </x:c>
      <x:c r="O116" t="str">
        <x:v>Modify</x:v>
      </x:c>
      <x:c r="P116" t="str">
        <x:v>StagingUat</x:v>
      </x:c>
      <x:c r="Q116" t="str">
        <x:v>Request for RAM upgrade for the myPROdata staging server from 32GB to 64 GB. Detail of server is as below;
Server environment: Staging App	
Server Name: PTSG-4ArcGisap1.PETRONAS.PETRONET.DIR	
IP Address: 172.25.52.193	
Hostname: PTSG-4ArcGisap1
</x:v>
      </x:c>
      <x:c r="R116" t="str">
        <x:v>M</x:v>
      </x:c>
      <x:c r="S116"/>
      <x:c r="T116"/>
      <x:c r="U116" t="str">
        <x:v>Please expedite to ensure operations are optimal.</x:v>
      </x:c>
      <x:c r="V116" t="n">
        <x:v>46119.31971751157</x:v>
      </x:c>
      <x:c r="W116" t="str">
        <x:v>wadiah.rusli@petronas.com</x:v>
      </x:c>
      <x:c r="X116" t="str">
        <x:v>approved</x:v>
      </x:c>
      <x:c r="Y116" t="str">
        <x:v>Approved. Upgrade RAM for only 1 server: PTSG-4ArcGisap1.PETRONAS.PETRONET.DIR in PTAZSG-UAT-ARCGIS-RG</x:v>
      </x:c>
      <x:c r="Z116" t="n">
        <x:v>46120.097572094906</x:v>
      </x:c>
      <x:c r="AA116" t="str">
        <x:v>kianleng.geh@petronas.com</x:v>
      </x:c>
      <x:c r="AB116" t="str">
        <x:v>approved</x:v>
      </x:c>
      <x:c r="AC116" t="str">
        <x:v>nonprod OLZ upgrade</x:v>
      </x:c>
      <x:c r="AD116" t="n">
        <x:v>46121.11392928241</x:v>
      </x:c>
      <x:c r="AE116" t="str">
        <x:v>syazali.saad@petronas.com</x:v>
      </x:c>
      <x:c r="AF116" t="str">
        <x:v>approved</x:v>
      </x:c>
      <x:c r="AG116" t="str">
        <x:v>done</x:v>
      </x:c>
      <x:c r="AH116" t="n">
        <x:v>46126.10800678241</x:v>
      </x:c>
      <x:c r="AI116" t="str">
        <x:v>izham.ajmaan@petronas.com</x:v>
      </x:c>
      <x:c r="AJ116" t="str">
        <x:v>approved</x:v>
      </x:c>
      <x:c r="AK116" t="str">
        <x:v>REQ000007978815</x:v>
      </x:c>
      <x:c r="AL116" t="str">
        <x:v>ebc92a57-efcb-4ea1-91f3-f2e35a11c936</x:v>
      </x:c>
      <x:c r="AM116" s="23" t="str">
        <x:f>IF(E116="processing",IF(Z116="","",IF(ISNUMBER(Z116),INT(Z116),DATE(VALUE(LEFT(Z116,4)),VALUE(MID(Z116,6,2)),VALUE(MID(Z116,9,2))))),IF(OR(E116="executing",E116="pending"),IF(AD116="","",IF(ISNUMBER(AD116),INT(AD116),DATE(VALUE(LEFT(AD116,4)),VALUE(MID(AD116,6,2)),VALUE(MID(AD116,9,2))))),""))</x:f>
      </x:c>
      <x:c r="AN116" s="24" t="str">
        <x:f>IF(AM116="","",INT('Configuration'!$B$4)-AM116)</x:f>
      </x:c>
      <x:c r="AO116" s="25" t="str">
        <x:f>IF(AM116="","Missing Required Date",IF(AN116&lt;0,"Future Date",IF(AN116=0,"0 days",IF(AN116&lt;=2,"1-2 days",IF(AN116&lt;=7,"3-7 days",IF(AN116&lt;=14,"8-14 days",IF(AN116&lt;=30,"15-30 days",IF(AN116&lt;=60,"31-60 days",IF(AN116&lt;=70,"61-70 days","71+ days")))))))))</x:f>
        <x:v>Missing Required Date</x:v>
      </x:c>
      <x:c r="AP116" s="25" t="str">
        <x:f>IF(OR(E116="processing",E116="executing",E116="pending"),IF(AM116="","Required aging date missing",IF(AN116&gt;30,"Escalate &gt;30d",IF(AN116&gt;14,"Watch &gt;14d","Within 14d"))),"Out of scope")</x:f>
        <x:v>Out of scope</x:v>
      </x:c>
    </x:row>
    <x:row r="117" ht="24" customHeight="1">
      <x:c r="A117" t="str">
        <x:v>e1f6d44d-4da1-47b2-b9e3-ad9012f64cba</x:v>
      </x:c>
      <x:c r="B117" t="str">
        <x:v>CSSP10326926</x:v>
      </x:c>
      <x:c r="C117" t="str">
        <x:v>mhelmi.abdaziz@petronas.com</x:v>
      </x:c>
      <x:c r="D117" t="str">
        <x:v>provision-cloud-public</x:v>
      </x:c>
      <x:c r="E117" t="str">
        <x:v>completed</x:v>
      </x:c>
      <x:c r="F117" t="n">
        <x:v>46119.32990670139</x:v>
      </x:c>
      <x:c r="G117" t="n">
        <x:v>46120.31125886574</x:v>
      </x:c>
      <x:c r="H117" t="n">
        <x:v>46128.38205564815</x:v>
      </x:c>
      <x:c r="I117" t="str">
        <x:v>A-000510</x:v>
      </x:c>
      <x:c r="J117" t="str">
        <x:v>OASIS Infra provisioning</x:v>
      </x:c>
      <x:c r="K117" t="n">
        <x:v>4495</x:v>
      </x:c>
      <x:c r="L117" t="str">
        <x:v>OASIS Infra provisioning</x:v>
      </x:c>
      <x:c r="M117" t="str">
        <x:v>izayu.ismail@petronas.com</x:v>
      </x:c>
      <x:c r="N117" t="str">
        <x:v>Provision of Infra for OASIS Modernization for PDB</x:v>
      </x:c>
      <x:c r="O117" t="str">
        <x:v>Modify</x:v>
      </x:c>
      <x:c r="P117" t="str">
        <x:v>Production</x:v>
      </x:c>
      <x:c r="Q117" t="str">
        <x:v>Azure Front Door is required as a public entry point to handle external eDM click‑tracking traffic, ensuring proper SSL termination and transparent forwarding to downstream services (SendGrid/Braze) to resolve current link unwrapping issues.</x:v>
      </x:c>
      <x:c r="R117" t="str">
        <x:v>S</x:v>
      </x:c>
      <x:c r="S117" t="str">
        <x:v>N/A</x:v>
      </x:c>
      <x:c r="T117"/>
      <x:c r="U117" t="str">
        <x:v>Approved as per business confirmation email.</x:v>
      </x:c>
      <x:c r="V117" t="n">
        <x:v>46120.313588958335</x:v>
      </x:c>
      <x:c r="W117" t="str">
        <x:v>izayu.ismail@petronas.com</x:v>
      </x:c>
      <x:c r="X117" t="str">
        <x:v>approved</x:v>
      </x:c>
      <x:c r="Y117" t="str">
        <x:v>Good to go</x:v>
      </x:c>
      <x:c r="Z117" t="n">
        <x:v>46120.317961712964</x:v>
      </x:c>
      <x:c r="AA117" t="str">
        <x:v>samsuddin.jumbri@petronas.com</x:v>
      </x:c>
      <x:c r="AB117" t="str">
        <x:v>approved</x:v>
      </x:c>
      <x:c r="AC117" t="str">
        <x:v>frontdoor</x:v>
      </x:c>
      <x:c r="AD117" t="n">
        <x:v>46121.38051613426</x:v>
      </x:c>
      <x:c r="AE117" t="str">
        <x:v>syazali.saad@petronas.com</x:v>
      </x:c>
      <x:c r="AF117" t="str">
        <x:v>approved</x:v>
      </x:c>
      <x:c r="AG117" t="str">
        <x:v>completed</x:v>
      </x:c>
      <x:c r="AH117" t="n">
        <x:v>46128.38205565972</x:v>
      </x:c>
      <x:c r="AI117" t="str">
        <x:v>akhmal.roslan@petronas.com</x:v>
      </x:c>
      <x:c r="AJ117" t="str">
        <x:v>approved</x:v>
      </x:c>
      <x:c r="AK117" t="str">
        <x:v>REQ000007980584</x:v>
      </x:c>
      <x:c r="AL117" t="str">
        <x:v>613431ac-fd85-4e43-891e-042bf980fe35</x:v>
      </x:c>
      <x:c r="AM117" s="23" t="str">
        <x:f>IF(E117="processing",IF(Z117="","",IF(ISNUMBER(Z117),INT(Z117),DATE(VALUE(LEFT(Z117,4)),VALUE(MID(Z117,6,2)),VALUE(MID(Z117,9,2))))),IF(OR(E117="executing",E117="pending"),IF(AD117="","",IF(ISNUMBER(AD117),INT(AD117),DATE(VALUE(LEFT(AD117,4)),VALUE(MID(AD117,6,2)),VALUE(MID(AD117,9,2))))),""))</x:f>
      </x:c>
      <x:c r="AN117" s="24" t="str">
        <x:f>IF(AM117="","",INT('Configuration'!$B$4)-AM117)</x:f>
      </x:c>
      <x:c r="AO117" s="25" t="str">
        <x:f>IF(AM117="","Missing Required Date",IF(AN117&lt;0,"Future Date",IF(AN117=0,"0 days",IF(AN117&lt;=2,"1-2 days",IF(AN117&lt;=7,"3-7 days",IF(AN117&lt;=14,"8-14 days",IF(AN117&lt;=30,"15-30 days",IF(AN117&lt;=60,"31-60 days",IF(AN117&lt;=70,"61-70 days","71+ days")))))))))</x:f>
        <x:v>Missing Required Date</x:v>
      </x:c>
      <x:c r="AP117" s="25" t="str">
        <x:f>IF(OR(E117="processing",E117="executing",E117="pending"),IF(AM117="","Required aging date missing",IF(AN117&gt;30,"Escalate &gt;30d",IF(AN117&gt;14,"Watch &gt;14d","Within 14d"))),"Out of scope")</x:f>
        <x:v>Out of scope</x:v>
      </x:c>
    </x:row>
    <x:row r="118" ht="24" customHeight="1">
      <x:c r="A118" t="str">
        <x:v>b2e0ff9c-eddc-4f40-b416-6a04a3120c8d</x:v>
      </x:c>
      <x:c r="B118" t="str">
        <x:v>CSSP10441441</x:v>
      </x:c>
      <x:c r="C118" t="str">
        <x:v>sitisazreena.myusof@petronas.com</x:v>
      </x:c>
      <x:c r="D118" t="str">
        <x:v>provision-cloud-public</x:v>
      </x:c>
      <x:c r="E118" t="str">
        <x:v>completed</x:v>
      </x:c>
      <x:c r="F118" t="n">
        <x:v>46122.211081284724</x:v>
      </x:c>
      <x:c r="G118" t="n">
        <x:v>46122.2129500463</x:v>
      </x:c>
      <x:c r="H118" t="n">
        <x:v>46133.11610574074</x:v>
      </x:c>
      <x:c r="I118" t="str">
        <x:v>A-001331</x:v>
      </x:c>
      <x:c r="J118" t="str">
        <x:v>Process Director for BRB</x:v>
      </x:c>
      <x:c r="K118" t="str">
        <x:v>SR00585</x:v>
      </x:c>
      <x:c r="L118" t="str">
        <x:v>Implementation of Invoice Processing for BRB</x:v>
      </x:c>
      <x:c r="M118" t="str">
        <x:v>sarabjeetsingh.meha@petronas.com.my</x:v>
      </x:c>
      <x:c r="N118" t="str">
        <x:v>SAP Project BRB</x:v>
      </x:c>
      <x:c r="O118" t="str">
        <x:v>New</x:v>
      </x:c>
      <x:c r="P118" t="str">
        <x:v>Production</x:v>
      </x:c>
      <x:c r="Q118" t="str">
        <x:v>Add-on to CSSP10732948</x:v>
      </x:c>
      <x:c r="R118" t="str">
        <x:v>S</x:v>
      </x:c>
      <x:c r="S118"/>
      <x:c r="T118"/>
      <x:c r="U118" t="str">
        <x:v>Approved as requirement</x:v>
      </x:c>
      <x:c r="V118" t="n">
        <x:v>46122.21395942129</x:v>
      </x:c>
      <x:c r="W118" t="str">
        <x:v>sarabjeetsingh.meha@petronas.com</x:v>
      </x:c>
      <x:c r="X118" t="str">
        <x:v>approved</x:v>
      </x:c>
      <x:c r="Y118" t="str">
        <x:v>Good to go</x:v>
      </x:c>
      <x:c r="Z118" t="n">
        <x:v>46122.27692712963</x:v>
      </x:c>
      <x:c r="AA118" t="str">
        <x:v>samsuddin.jumbri@petronas.com</x:v>
      </x:c>
      <x:c r="AB118" t="str">
        <x:v>approved</x:v>
      </x:c>
      <x:c r="AC118" t="str">
        <x:v>CSSP10732948 (dev)
CSSP10441441 (prod)</x:v>
      </x:c>
      <x:c r="AD118" t="n">
        <x:v>46124.99815086806</x:v>
      </x:c>
      <x:c r="AE118" t="str">
        <x:v>syazali.saad@petronas.com</x:v>
      </x:c>
      <x:c r="AF118" t="str">
        <x:v>approved</x:v>
      </x:c>
      <x:c r="AG118" t="str">
        <x:v>completed</x:v>
      </x:c>
      <x:c r="AH118" t="n">
        <x:v>46133.11610574074</x:v>
      </x:c>
      <x:c r="AI118" t="str">
        <x:v>darliz.zainol@petronas.com</x:v>
      </x:c>
      <x:c r="AJ118" t="str">
        <x:v>approved</x:v>
      </x:c>
      <x:c r="AK118" t="str">
        <x:v>REQ000007984390</x:v>
      </x:c>
      <x:c r="AL118" t="str">
        <x:v>32bf3704-001f-4f9d-bbfa-7974a79e112d</x:v>
      </x:c>
      <x:c r="AM118" s="23" t="str">
        <x:f>IF(E118="processing",IF(Z118="","",IF(ISNUMBER(Z118),INT(Z118),DATE(VALUE(LEFT(Z118,4)),VALUE(MID(Z118,6,2)),VALUE(MID(Z118,9,2))))),IF(OR(E118="executing",E118="pending"),IF(AD118="","",IF(ISNUMBER(AD118),INT(AD118),DATE(VALUE(LEFT(AD118,4)),VALUE(MID(AD118,6,2)),VALUE(MID(AD118,9,2))))),""))</x:f>
      </x:c>
      <x:c r="AN118" s="24" t="str">
        <x:f>IF(AM118="","",INT('Configuration'!$B$4)-AM118)</x:f>
      </x:c>
      <x:c r="AO118" s="25" t="str">
        <x:f>IF(AM118="","Missing Required Date",IF(AN118&lt;0,"Future Date",IF(AN118=0,"0 days",IF(AN118&lt;=2,"1-2 days",IF(AN118&lt;=7,"3-7 days",IF(AN118&lt;=14,"8-14 days",IF(AN118&lt;=30,"15-30 days",IF(AN118&lt;=60,"31-60 days",IF(AN118&lt;=70,"61-70 days","71+ days")))))))))</x:f>
        <x:v>Missing Required Date</x:v>
      </x:c>
      <x:c r="AP118" s="25" t="str">
        <x:f>IF(OR(E118="processing",E118="executing",E118="pending"),IF(AM118="","Required aging date missing",IF(AN118&gt;30,"Escalate &gt;30d",IF(AN118&gt;14,"Watch &gt;14d","Within 14d"))),"Out of scope")</x:f>
        <x:v>Out of scope</x:v>
      </x:c>
    </x:row>
    <x:row r="119" ht="24" customHeight="1">
      <x:c r="A119" t="str">
        <x:v>4f7bc192-9e81-4a7a-8ee6-5a64c64cb158</x:v>
      </x:c>
      <x:c r="B119" t="str">
        <x:v>CSSP10663979</x:v>
      </x:c>
      <x:c r="C119" t="str">
        <x:v>arul.britto@petronas.com</x:v>
      </x:c>
      <x:c r="D119" t="str">
        <x:v>provision-cloud-public</x:v>
      </x:c>
      <x:c r="E119" t="str">
        <x:v>completed</x:v>
      </x:c>
      <x:c r="F119" t="n">
        <x:v>46122.41706356481</x:v>
      </x:c>
      <x:c r="G119" t="n">
        <x:v>46132.27437856481</x:v>
      </x:c>
      <x:c r="H119" t="n">
        <x:v>46140.43065508102</x:v>
      </x:c>
      <x:c r="I119" t="str">
        <x:v>A-000064</x:v>
      </x:c>
      <x:c r="J119" t="str">
        <x:v>Zidane OVC</x:v>
      </x:c>
      <x:c r="K119" t="n">
        <x:v>4569</x:v>
      </x:c>
      <x:c r="L119" t="str">
        <x:v>Provision of Professional Service, Software License and Infra for ArBiTra (OVC &amp; LVC) 2025 for PTLCL</x:v>
      </x:c>
      <x:c r="M119" t="str">
        <x:v>yap.winhong@petronas.com.my</x:v>
      </x:c>
      <x:c r="N119" t="str">
        <x:v>ArBiTra Phase 3 - IT Sub Modules</x:v>
      </x:c>
      <x:c r="O119" t="str">
        <x:v>New</x:v>
      </x:c>
      <x:c r="P119" t="str">
        <x:v>Development</x:v>
      </x:c>
      <x:c r="Q119" t="str">
        <x:v>Request Azure Document Intelligence subscription, to extract content from PDF for market data</x:v>
      </x:c>
      <x:c r="R119" t="str">
        <x:v>L</x:v>
      </x:c>
      <x:c r="S119"/>
      <x:c r="T119"/>
      <x:c r="U119" t="str">
        <x:v>Approve</x:v>
      </x:c>
      <x:c r="V119" t="n">
        <x:v>46132.63048954861</x:v>
      </x:c>
      <x:c r="W119" t="str">
        <x:v>yap.winhong@petronas.com</x:v>
      </x:c>
      <x:c r="X119" t="str">
        <x:v>approved</x:v>
      </x:c>
      <x:c r="Y119" t="str">
        <x:v>To configure AWS Databrick workspace /26 per subnet</x:v>
      </x:c>
      <x:c r="Z119" t="n">
        <x:v>46139.10971408565</x:v>
      </x:c>
      <x:c r="AA119" t="str">
        <x:v>fathulrahman.misba@petronas.com</x:v>
      </x:c>
      <x:c r="AB119" t="str">
        <x:v>approved</x:v>
      </x:c>
      <x:c r="AC119" t="str">
        <x:v>Proceed</x:v>
      </x:c>
      <x:c r="AD119" t="n">
        <x:v>46139.149759872686</x:v>
      </x:c>
      <x:c r="AE119" t="str">
        <x:v>azwan.badari@petronas.com</x:v>
      </x:c>
      <x:c r="AF119" t="str">
        <x:v>approved</x:v>
      </x:c>
      <x:c r="AG119" t="str">
        <x:v>Completed</x:v>
      </x:c>
      <x:c r="AH119" t="n">
        <x:v>46140.43065508102</x:v>
      </x:c>
      <x:c r="AI119" t="str">
        <x:v>badri.shaharudin@petronas.com</x:v>
      </x:c>
      <x:c r="AJ119" t="str">
        <x:v>approved</x:v>
      </x:c>
      <x:c r="AK119" t="str">
        <x:v>REQ000008013554</x:v>
      </x:c>
      <x:c r="AL119" t="str">
        <x:v>866cd81d-011e-424b-b696-e232f59deeb1</x:v>
      </x:c>
      <x:c r="AM119" s="23" t="str">
        <x:f>IF(E119="processing",IF(Z119="","",IF(ISNUMBER(Z119),INT(Z119),DATE(VALUE(LEFT(Z119,4)),VALUE(MID(Z119,6,2)),VALUE(MID(Z119,9,2))))),IF(OR(E119="executing",E119="pending"),IF(AD119="","",IF(ISNUMBER(AD119),INT(AD119),DATE(VALUE(LEFT(AD119,4)),VALUE(MID(AD119,6,2)),VALUE(MID(AD119,9,2))))),""))</x:f>
      </x:c>
      <x:c r="AN119" s="24" t="str">
        <x:f>IF(AM119="","",INT('Configuration'!$B$4)-AM119)</x:f>
      </x:c>
      <x:c r="AO119" s="25" t="str">
        <x:f>IF(AM119="","Missing Required Date",IF(AN119&lt;0,"Future Date",IF(AN119=0,"0 days",IF(AN119&lt;=2,"1-2 days",IF(AN119&lt;=7,"3-7 days",IF(AN119&lt;=14,"8-14 days",IF(AN119&lt;=30,"15-30 days",IF(AN119&lt;=60,"31-60 days",IF(AN119&lt;=70,"61-70 days","71+ days")))))))))</x:f>
        <x:v>Missing Required Date</x:v>
      </x:c>
      <x:c r="AP119" s="25" t="str">
        <x:f>IF(OR(E119="processing",E119="executing",E119="pending"),IF(AM119="","Required aging date missing",IF(AN119&gt;30,"Escalate &gt;30d",IF(AN119&gt;14,"Watch &gt;14d","Within 14d"))),"Out of scope")</x:f>
        <x:v>Out of scope</x:v>
      </x:c>
    </x:row>
    <x:row r="120" ht="24" customHeight="1">
      <x:c r="A120" t="str">
        <x:v>49eac9a9-80ed-42e0-9861-487e2db4c669</x:v>
      </x:c>
      <x:c r="B120" t="str">
        <x:v>CSSP10882869</x:v>
      </x:c>
      <x:c r="C120" t="str">
        <x:v>mibrahim.sulaima@petronas.com</x:v>
      </x:c>
      <x:c r="D120" t="str">
        <x:v>provision-cloud-public</x:v>
      </x:c>
      <x:c r="E120" t="str">
        <x:v>completed</x:v>
      </x:c>
      <x:c r="F120" t="n">
        <x:v>46125.19915158565</x:v>
      </x:c>
      <x:c r="G120" t="n">
        <x:v>46125.19915158565</x:v>
      </x:c>
      <x:c r="H120" t="n">
        <x:v>46197.109712777776</x:v>
      </x:c>
      <x:c r="I120" t="str">
        <x:v>A-000303</x:v>
      </x:c>
      <x:c r="J120" t="str">
        <x:v>Enhancement of Enhanced Resource Monetization by Artificial Intelligence - ERMAI Phase 3 for Malaysia Petroleum Management - MPM</x:v>
      </x:c>
      <x:c r="K120" t="n">
        <x:v>100</x:v>
      </x:c>
      <x:c r="L120" t="str">
        <x:v>Enhancement of Enhanced Resource Monetization by Artificial Intelligence (ERMAI) Phase 4 </x:v>
      </x:c>
      <x:c r="M120" t="str">
        <x:v>limeng.tan@petronas.com.my</x:v>
      </x:c>
      <x:c r="N120" t="str">
        <x:v>ERMAI</x:v>
      </x:c>
      <x:c r="O120" t="str">
        <x:v>New</x:v>
      </x:c>
      <x:c r="P120" t="str">
        <x:v>StagingUat</x:v>
      </x:c>
      <x:c r="Q120" t="str">
        <x:v>To provision Azure Container App &amp; Azure Managed Redis for enhancement of module of Rapid Scale Up in ERMAI. Please allow security group ERMAIDevTeam to access both Container App and Redis inside Staging environment.</x:v>
      </x:c>
      <x:c r="R120" t="str">
        <x:v>M</x:v>
      </x:c>
      <x:c r="S120"/>
      <x:c r="T120"/>
      <x:c r="U120" t="str">
        <x:v>approved as discussed.</x:v>
      </x:c>
      <x:c r="V120" t="n">
        <x:v>46125.27377576389</x:v>
      </x:c>
      <x:c r="W120" t="str">
        <x:v>limeng.tan@petronas.com</x:v>
      </x:c>
      <x:c r="X120" t="str">
        <x:v>approved</x:v>
      </x:c>
      <x:c r="Y120" t="str">
        <x:v>Good to go</x:v>
      </x:c>
      <x:c r="Z120" t="n">
        <x:v>46133.11279994213</x:v>
      </x:c>
      <x:c r="AA120" t="str">
        <x:v>samsuddin.jumbri@petronas.com</x:v>
      </x:c>
      <x:c r="AB120" t="str">
        <x:v>approved</x:v>
      </x:c>
      <x:c r="AC120" t="str">
        <x:v>CSSP10114358 &amp; CSSP10882869</x:v>
      </x:c>
      <x:c r="AD120" t="n">
        <x:v>46133.16556650463</x:v>
      </x:c>
      <x:c r="AE120" t="str">
        <x:v>syazali.saad@petronas.com</x:v>
      </x:c>
      <x:c r="AF120" t="str">
        <x:v>approved</x:v>
      </x:c>
      <x:c r="AG120" t="str">
        <x:v>Complete provisioning</x:v>
      </x:c>
      <x:c r="AH120" t="n">
        <x:v>46197.10971278935</x:v>
      </x:c>
      <x:c r="AI120" t="str">
        <x:v>amin.manshor@petronas.com</x:v>
      </x:c>
      <x:c r="AJ120" t="str">
        <x:v>approved</x:v>
      </x:c>
      <x:c r="AK120" t="str">
        <x:v>REQ000008001687</x:v>
      </x:c>
      <x:c r="AL120" t="str">
        <x:v>5863a8c2-1f97-4aab-9158-0ada19ce8b61</x:v>
      </x:c>
      <x:c r="AM120" s="23" t="str">
        <x:f>IF(E120="processing",IF(Z120="","",IF(ISNUMBER(Z120),INT(Z120),DATE(VALUE(LEFT(Z120,4)),VALUE(MID(Z120,6,2)),VALUE(MID(Z120,9,2))))),IF(OR(E120="executing",E120="pending"),IF(AD120="","",IF(ISNUMBER(AD120),INT(AD120),DATE(VALUE(LEFT(AD120,4)),VALUE(MID(AD120,6,2)),VALUE(MID(AD120,9,2))))),""))</x:f>
      </x:c>
      <x:c r="AN120" s="24" t="str">
        <x:f>IF(AM120="","",INT('Configuration'!$B$4)-AM120)</x:f>
      </x:c>
      <x:c r="AO120" s="25" t="str">
        <x:f>IF(AM120="","Missing Required Date",IF(AN120&lt;0,"Future Date",IF(AN120=0,"0 days",IF(AN120&lt;=2,"1-2 days",IF(AN120&lt;=7,"3-7 days",IF(AN120&lt;=14,"8-14 days",IF(AN120&lt;=30,"15-30 days",IF(AN120&lt;=60,"31-60 days",IF(AN120&lt;=70,"61-70 days","71+ days")))))))))</x:f>
        <x:v>Missing Required Date</x:v>
      </x:c>
      <x:c r="AP120" s="25" t="str">
        <x:f>IF(OR(E120="processing",E120="executing",E120="pending"),IF(AM120="","Required aging date missing",IF(AN120&gt;30,"Escalate &gt;30d",IF(AN120&gt;14,"Watch &gt;14d","Within 14d"))),"Out of scope")</x:f>
        <x:v>Out of scope</x:v>
      </x:c>
    </x:row>
    <x:row r="121" ht="24" customHeight="1">
      <x:c r="A121" t="str">
        <x:v>845993d7-d9a9-4675-ab49-df8f20699553</x:v>
      </x:c>
      <x:c r="B121" t="str">
        <x:v>CSSP10114358</x:v>
      </x:c>
      <x:c r="C121" t="str">
        <x:v>mibrahim.sulaima@petronas.com</x:v>
      </x:c>
      <x:c r="D121" t="str">
        <x:v>provision-cloud-public</x:v>
      </x:c>
      <x:c r="E121" t="str">
        <x:v>completed</x:v>
      </x:c>
      <x:c r="F121" t="n">
        <x:v>46125.20157803241</x:v>
      </x:c>
      <x:c r="G121" t="n">
        <x:v>46125.20157803241</x:v>
      </x:c>
      <x:c r="H121" t="n">
        <x:v>46197.109078877314</x:v>
      </x:c>
      <x:c r="I121" t="str">
        <x:v>A-000303</x:v>
      </x:c>
      <x:c r="J121" t="str">
        <x:v>Enhancement of Enhanced Resource Monetization by Artificial Intelligence - ERMAI Phase 3 for Malaysia Petroleum Management - MPM</x:v>
      </x:c>
      <x:c r="K121" t="n">
        <x:v>100</x:v>
      </x:c>
      <x:c r="L121" t="str">
        <x:v>Enhancement of Enhanced Resource Monetization by Artificial Intelligence (ERMAI) Phase 4 </x:v>
      </x:c>
      <x:c r="M121" t="str">
        <x:v>limeng.tan@petronas.com.my</x:v>
      </x:c>
      <x:c r="N121" t="str">
        <x:v>ERMAI</x:v>
      </x:c>
      <x:c r="O121" t="str">
        <x:v>New</x:v>
      </x:c>
      <x:c r="P121" t="str">
        <x:v>Production</x:v>
      </x:c>
      <x:c r="Q121" t="str">
        <x:v>To provision Azure Container App &amp; Azure Managed Redis for enhancement of module of Rapid Scale Up in ERMAI. Please allow security group ERMAIDevTeam to access both Container App and Redis inside Production environment.</x:v>
      </x:c>
      <x:c r="R121" t="str">
        <x:v>M</x:v>
      </x:c>
      <x:c r="S121"/>
      <x:c r="T121"/>
      <x:c r="U121" t="str">
        <x:v>approved as discussed.</x:v>
      </x:c>
      <x:c r="V121" t="n">
        <x:v>46125.27334891204</x:v>
      </x:c>
      <x:c r="W121" t="str">
        <x:v>limeng.tan@petronas.com</x:v>
      </x:c>
      <x:c r="X121" t="str">
        <x:v>approved</x:v>
      </x:c>
      <x:c r="Y121" t="str">
        <x:v>Good to go</x:v>
      </x:c>
      <x:c r="Z121" t="n">
        <x:v>46133.11345645833</x:v>
      </x:c>
      <x:c r="AA121" t="str">
        <x:v>samsuddin.jumbri@petronas.com</x:v>
      </x:c>
      <x:c r="AB121" t="str">
        <x:v>approved</x:v>
      </x:c>
      <x:c r="AC121" t="str">
        <x:v>Container App / Redis</x:v>
      </x:c>
      <x:c r="AD121" t="n">
        <x:v>46133.16529226852</x:v>
      </x:c>
      <x:c r="AE121" t="str">
        <x:v>syazali.saad@petronas.com</x:v>
      </x:c>
      <x:c r="AF121" t="str">
        <x:v>approved</x:v>
      </x:c>
      <x:c r="AG121" t="str">
        <x:v>Complete provisioning</x:v>
      </x:c>
      <x:c r="AH121" t="n">
        <x:v>46197.109078877314</x:v>
      </x:c>
      <x:c r="AI121" t="str">
        <x:v>amin.manshor@petronas.com</x:v>
      </x:c>
      <x:c r="AJ121" t="str">
        <x:v>approved</x:v>
      </x:c>
      <x:c r="AK121" t="str">
        <x:v>REQ000008001685</x:v>
      </x:c>
      <x:c r="AL121" t="str">
        <x:v>5863a8c2-1f97-4aab-9158-0ada19ce8b61</x:v>
      </x:c>
      <x:c r="AM121" s="23" t="str">
        <x:f>IF(E121="processing",IF(Z121="","",IF(ISNUMBER(Z121),INT(Z121),DATE(VALUE(LEFT(Z121,4)),VALUE(MID(Z121,6,2)),VALUE(MID(Z121,9,2))))),IF(OR(E121="executing",E121="pending"),IF(AD121="","",IF(ISNUMBER(AD121),INT(AD121),DATE(VALUE(LEFT(AD121,4)),VALUE(MID(AD121,6,2)),VALUE(MID(AD121,9,2))))),""))</x:f>
      </x:c>
      <x:c r="AN121" s="24" t="str">
        <x:f>IF(AM121="","",INT('Configuration'!$B$4)-AM121)</x:f>
      </x:c>
      <x:c r="AO121" s="25" t="str">
        <x:f>IF(AM121="","Missing Required Date",IF(AN121&lt;0,"Future Date",IF(AN121=0,"0 days",IF(AN121&lt;=2,"1-2 days",IF(AN121&lt;=7,"3-7 days",IF(AN121&lt;=14,"8-14 days",IF(AN121&lt;=30,"15-30 days",IF(AN121&lt;=60,"31-60 days",IF(AN121&lt;=70,"61-70 days","71+ days")))))))))</x:f>
        <x:v>Missing Required Date</x:v>
      </x:c>
      <x:c r="AP121" s="25" t="str">
        <x:f>IF(OR(E121="processing",E121="executing",E121="pending"),IF(AM121="","Required aging date missing",IF(AN121&gt;30,"Escalate &gt;30d",IF(AN121&gt;14,"Watch &gt;14d","Within 14d"))),"Out of scope")</x:f>
        <x:v>Out of scope</x:v>
      </x:c>
    </x:row>
    <x:row r="122" ht="24" customHeight="1">
      <x:c r="A122" t="str">
        <x:v>a86ffe31-d8c1-4c22-af8c-14a5919ab9d8</x:v>
      </x:c>
      <x:c r="B122" t="str">
        <x:v>CSSP10357340</x:v>
      </x:c>
      <x:c r="C122" t="str">
        <x:v>mhashimi.aris@petronas.com</x:v>
      </x:c>
      <x:c r="D122" t="str">
        <x:v>provision-cloud-public</x:v>
      </x:c>
      <x:c r="E122" t="str">
        <x:v>completed</x:v>
      </x:c>
      <x:c r="F122" t="n">
        <x:v>46125.32927065972</x:v>
      </x:c>
      <x:c r="G122" t="n">
        <x:v>46126.37283287037</x:v>
      </x:c>
      <x:c r="H122" t="n">
        <x:v>46128.07968361111</x:v>
      </x:c>
      <x:c r="I122" t="str">
        <x:v>A-000092</x:v>
      </x:c>
      <x:c r="J122" t="str">
        <x:v>Business Intelligence Reporting and Analytic - BIRA</x:v>
      </x:c>
      <x:c r="K122" t="str">
        <x:v>02421_15</x:v>
      </x:c>
      <x:c r="L122" t="str">
        <x:v>Cloud Migration- BIRA (Business Intelligence Reporting &amp; Analytic)</x:v>
      </x:c>
      <x:c r="M122" t="str">
        <x:v>ananddutt.pande@petronas.com.my</x:v>
      </x:c>
      <x:c r="N122" t="str">
        <x:v>BIRA</x:v>
      </x:c>
      <x:c r="O122" t="str">
        <x:v>Modify</x:v>
      </x:c>
      <x:c r="P122" t="str">
        <x:v>Production</x:v>
      </x:c>
      <x:c r="Q122" t="str">
        <x:v>Kindly assist to perform storage expansion from 8TB to 10TB  BIRA storage for TRMS above threshold and impacting Prod Environment. Urgent request  Server type : Windows 2019 Server Server name : PTSG-1BIRADB01 IP Address : 172.25.204.22 Volume : F: Label:SQLVMDATA 068342FC </x:v>
      </x:c>
      <x:c r="R122" t="str">
        <x:v>M</x:v>
      </x:c>
      <x:c r="S122" t="str">
        <x:v>ICT_RFC00221663</x:v>
      </x:c>
      <x:c r="T122"/>
      <x:c r="U122" t="str">
        <x:v>Approved, as this is critical for Production env to work.</x:v>
      </x:c>
      <x:c r="V122" t="n">
        <x:v>46127.26303032407</x:v>
      </x:c>
      <x:c r="W122" t="str">
        <x:v>ananddutt.pande@petronas.com</x:v>
      </x:c>
      <x:c r="X122" t="str">
        <x:v>approved</x:v>
      </x:c>
      <x:c r="Y122" t="str">
        <x:v>Approved. Upgrade disk for server at PTAZSG-IAC-PROD-BIRA-RG. Please note that RFC is currently still in draft mode and not approved yet.</x:v>
      </x:c>
      <x:c r="Z122" t="n">
        <x:v>46127.2754444213</x:v>
      </x:c>
      <x:c r="AA122" t="str">
        <x:v>kianleng.geh@petronas.com</x:v>
      </x:c>
      <x:c r="AB122" t="str">
        <x:v>approved</x:v>
      </x:c>
      <x:c r="AC122" t="str">
        <x:v>execute storage</x:v>
      </x:c>
      <x:c r="AD122" t="n">
        <x:v>46127.32105846065</x:v>
      </x:c>
      <x:c r="AE122" t="str">
        <x:v>syazali.saad@petronas.com</x:v>
      </x:c>
      <x:c r="AF122" t="str">
        <x:v>approved</x:v>
      </x:c>
      <x:c r="AG122" t="str">
        <x:v>Completed</x:v>
      </x:c>
      <x:c r="AH122" t="n">
        <x:v>46128.07968362269</x:v>
      </x:c>
      <x:c r="AI122" t="str">
        <x:v>badri.shaharudin@petronas.com</x:v>
      </x:c>
      <x:c r="AJ122" t="str">
        <x:v>approved</x:v>
      </x:c>
      <x:c r="AK122" t="str">
        <x:v>REQ000007990812</x:v>
      </x:c>
      <x:c r="AL122" t="str">
        <x:v>8f88cbcf-d8f7-44bc-bc09-e51d40ce3c7e</x:v>
      </x:c>
      <x:c r="AM122" s="23" t="str">
        <x:f>IF(E122="processing",IF(Z122="","",IF(ISNUMBER(Z122),INT(Z122),DATE(VALUE(LEFT(Z122,4)),VALUE(MID(Z122,6,2)),VALUE(MID(Z122,9,2))))),IF(OR(E122="executing",E122="pending"),IF(AD122="","",IF(ISNUMBER(AD122),INT(AD122),DATE(VALUE(LEFT(AD122,4)),VALUE(MID(AD122,6,2)),VALUE(MID(AD122,9,2))))),""))</x:f>
      </x:c>
      <x:c r="AN122" s="24" t="str">
        <x:f>IF(AM122="","",INT('Configuration'!$B$4)-AM122)</x:f>
      </x:c>
      <x:c r="AO122" s="25" t="str">
        <x:f>IF(AM122="","Missing Required Date",IF(AN122&lt;0,"Future Date",IF(AN122=0,"0 days",IF(AN122&lt;=2,"1-2 days",IF(AN122&lt;=7,"3-7 days",IF(AN122&lt;=14,"8-14 days",IF(AN122&lt;=30,"15-30 days",IF(AN122&lt;=60,"31-60 days",IF(AN122&lt;=70,"61-70 days","71+ days")))))))))</x:f>
        <x:v>Missing Required Date</x:v>
      </x:c>
      <x:c r="AP122" s="25" t="str">
        <x:f>IF(OR(E122="processing",E122="executing",E122="pending"),IF(AM122="","Required aging date missing",IF(AN122&gt;30,"Escalate &gt;30d",IF(AN122&gt;14,"Watch &gt;14d","Within 14d"))),"Out of scope")</x:f>
        <x:v>Out of scope</x:v>
      </x:c>
    </x:row>
    <x:row r="123" ht="24" customHeight="1">
      <x:c r="A123" t="str">
        <x:v>791c8989-9231-45d0-b8d1-de14722402d6</x:v>
      </x:c>
      <x:c r="B123" t="str">
        <x:v>CSSP10542659</x:v>
      </x:c>
      <x:c r="C123" t="str">
        <x:v>mkhairulazhar.jamil@petronas.com</x:v>
      </x:c>
      <x:c r="D123" t="str">
        <x:v>provision-cloud-public</x:v>
      </x:c>
      <x:c r="E123" t="str">
        <x:v>completed</x:v>
      </x:c>
      <x:c r="F123" t="n">
        <x:v>46126.30799417824</x:v>
      </x:c>
      <x:c r="G123" t="n">
        <x:v>46126.30799417824</x:v>
      </x:c>
      <x:c r="H123" t="n">
        <x:v>46133.48180388889</x:v>
      </x:c>
      <x:c r="I123" t="str">
        <x:v>A-000124</x:v>
      </x:c>
      <x:c r="J123" t="str">
        <x:v>COMPASS</x:v>
      </x:c>
      <x:c r="K123" t="n">
        <x:v>1709</x:v>
      </x:c>
      <x:c r="L123" t="str">
        <x:v>COMPASS Phase 2</x:v>
      </x:c>
      <x:c r="M123" t="str">
        <x:v>amirshazlan.mshah@petronas.com.my</x:v>
      </x:c>
      <x:c r="N123" t="str">
        <x:v>COMPASS</x:v>
      </x:c>
      <x:c r="O123" t="str">
        <x:v>Modify</x:v>
      </x:c>
      <x:c r="P123" t="str">
        <x:v>Production</x:v>
      </x:c>
      <x:c r="Q123" t="str">
        <x:v>This request to enable the 'Database Auto Grow' option for:
Subscription: PTAZSG-IAC-PROD ENVIRONMENT
Resource group: PTAZSG-IAC-PROD-COMPASS-RG
Server name: ptazsg-1compass-psql02
Endpoint: ptazsg-1compass-psql02.postgres.database.azure.com
End date (to disable after): 15th July 2026</x:v>
      </x:c>
      <x:c r="R123" t="str">
        <x:v>M</x:v>
      </x:c>
      <x:c r="S123" t="str">
        <x:v>-</x:v>
      </x:c>
      <x:c r="T123"/>
      <x:c r="U123" t="str">
        <x:v>for setting up autogrow - approved</x:v>
      </x:c>
      <x:c r="V123" t="n">
        <x:v>46126.383045925926</x:v>
      </x:c>
      <x:c r="W123" t="str">
        <x:v>amirshazlan.mshah@petronas.com</x:v>
      </x:c>
      <x:c r="X123" t="str">
        <x:v>approved</x:v>
      </x:c>
      <x:c r="Y123" t="str">
        <x:v>Good to go</x:v>
      </x:c>
      <x:c r="Z123" t="n">
        <x:v>46133.11428292824</x:v>
      </x:c>
      <x:c r="AA123" t="str">
        <x:v>samsuddin.jumbri@petronas.com</x:v>
      </x:c>
      <x:c r="AB123" t="str">
        <x:v>approved</x:v>
      </x:c>
      <x:c r="AC123" t="str">
        <x:v>enable config</x:v>
      </x:c>
      <x:c r="AD123" t="n">
        <x:v>46133.30273228009</x:v>
      </x:c>
      <x:c r="AE123" t="str">
        <x:v>syazali.saad@petronas.com</x:v>
      </x:c>
      <x:c r="AF123" t="str">
        <x:v>approved</x:v>
      </x:c>
      <x:c r="AG123" t="str">
        <x:v>Completed - autogrow is enabled for ptazsg-1compass-psql02 and the server has updated successfully.</x:v>
      </x:c>
      <x:c r="AH123" t="n">
        <x:v>46133.48180390046</x:v>
      </x:c>
      <x:c r="AI123" t="str">
        <x:v>afnanfarhan.dzaharud@petronas.com</x:v>
      </x:c>
      <x:c r="AJ123" t="str">
        <x:v>approved</x:v>
      </x:c>
      <x:c r="AK123" t="str">
        <x:v>REQ000008001893</x:v>
      </x:c>
      <x:c r="AL123" t="str">
        <x:v>90296959-c21f-48ac-8658-df869ee75354</x:v>
      </x:c>
      <x:c r="AM123" s="23" t="str">
        <x:f>IF(E123="processing",IF(Z123="","",IF(ISNUMBER(Z123),INT(Z123),DATE(VALUE(LEFT(Z123,4)),VALUE(MID(Z123,6,2)),VALUE(MID(Z123,9,2))))),IF(OR(E123="executing",E123="pending"),IF(AD123="","",IF(ISNUMBER(AD123),INT(AD123),DATE(VALUE(LEFT(AD123,4)),VALUE(MID(AD123,6,2)),VALUE(MID(AD123,9,2))))),""))</x:f>
      </x:c>
      <x:c r="AN123" s="24" t="str">
        <x:f>IF(AM123="","",INT('Configuration'!$B$4)-AM123)</x:f>
      </x:c>
      <x:c r="AO123" s="25" t="str">
        <x:f>IF(AM123="","Missing Required Date",IF(AN123&lt;0,"Future Date",IF(AN123=0,"0 days",IF(AN123&lt;=2,"1-2 days",IF(AN123&lt;=7,"3-7 days",IF(AN123&lt;=14,"8-14 days",IF(AN123&lt;=30,"15-30 days",IF(AN123&lt;=60,"31-60 days",IF(AN123&lt;=70,"61-70 days","71+ days")))))))))</x:f>
        <x:v>Missing Required Date</x:v>
      </x:c>
      <x:c r="AP123" s="25" t="str">
        <x:f>IF(OR(E123="processing",E123="executing",E123="pending"),IF(AM123="","Required aging date missing",IF(AN123&gt;30,"Escalate &gt;30d",IF(AN123&gt;14,"Watch &gt;14d","Within 14d"))),"Out of scope")</x:f>
        <x:v>Out of scope</x:v>
      </x:c>
    </x:row>
    <x:row r="124" ht="24" customHeight="1">
      <x:c r="A124" t="str">
        <x:v>641df817-64a4-4b73-9b09-40860cd695fb</x:v>
      </x:c>
      <x:c r="B124" t="str">
        <x:v>CSSP10399247</x:v>
      </x:c>
      <x:c r="C124" t="str">
        <x:v>mammarhaziq.amra@petronas.com</x:v>
      </x:c>
      <x:c r="D124" t="str">
        <x:v>provision-cloud-public</x:v>
      </x:c>
      <x:c r="E124" t="str">
        <x:v>rejected</x:v>
      </x:c>
      <x:c r="F124" t="n">
        <x:v>46127.109772222226</x:v>
      </x:c>
      <x:c r="G124" t="n">
        <x:v>46127.109772222226</x:v>
      </x:c>
      <x:c r="H124" t="n">
        <x:v>46133.16098832176</x:v>
      </x:c>
      <x:c r="I124" t="str">
        <x:v>A-000782</x:v>
      </x:c>
      <x:c r="J124" t="str">
        <x:v>Subsurface Sand Management and Rock Mechanics - SMRM</x:v>
      </x:c>
      <x:c r="K124" t="n">
        <x:v>192</x:v>
      </x:c>
      <x:c r="L124" t="str">
        <x:v>Intelligent Sand Management System (iSAND) Enhancement for Malaysia Petroleum Management (MPM)</x:v>
      </x:c>
      <x:c r="M124" t="str">
        <x:v>ng.kokkwan@petronas.com.my</x:v>
      </x:c>
      <x:c r="N124" t="str">
        <x:v>iSAND (Intelligent Sand Management System)</x:v>
      </x:c>
      <x:c r="O124" t="str">
        <x:v>Modify</x:v>
      </x:c>
      <x:c r="P124" t="str">
        <x:v>Production</x:v>
      </x:c>
      <x:c r="Q124" t="str">
        <x:v>1. Request to upgrade VM PTSG-1SMRMap01 in PTAZSG-IAC-DAA-PROD-SMRM-RG from B2s to D2s_v5 due to higher spec computing requirements. 
2. Request to increase datadisk PTSG-1SMRMap01_DataDisk01 from 32gb to 64gb to accommodate storage.</x:v>
      </x:c>
      <x:c r="R124"/>
      <x:c r="S124" t="str">
        <x:v>N/A</x:v>
      </x:c>
      <x:c r="T124"/>
      <x:c r="U124" t="str">
        <x:v>Increase resources due to increase in scope and workloads</x:v>
      </x:c>
      <x:c r="V124" t="n">
        <x:v>46127.12662412037</x:v>
      </x:c>
      <x:c r="W124" t="str">
        <x:v>ng.kokkwan@petronas.com</x:v>
      </x:c>
      <x:c r="X124" t="str">
        <x:v>approved</x:v>
      </x:c>
      <x:c r="Y124" t="str">
        <x:v>(1) For a server upgrade (Production), please raise an RFC and include the RFC number in this service request.
(2) Kindly provide the estimated cost in Excel format, including the required SKU specifications, generated from the Azure Pricing Calculator website.</x:v>
      </x:c>
      <x:c r="Z124" t="n">
        <x:v>46133.16098833334</x:v>
      </x:c>
      <x:c r="AA124" t="str">
        <x:v>samsuddin.jumbri@petronas.com</x:v>
      </x:c>
      <x:c r="AB124" t="str">
        <x:v>rejected</x:v>
      </x:c>
      <x:c r="AC124"/>
      <x:c r="AD124"/>
      <x:c r="AE124" t="str">
        <x:v>CCoE Business</x:v>
      </x:c>
      <x:c r="AF124"/>
      <x:c r="AG124"/>
      <x:c r="AH124"/>
      <x:c r="AI124" t="str">
        <x:v>CCoE Core Services (Public)</x:v>
      </x:c>
      <x:c r="AJ124"/>
      <x:c r="AK124"/>
      <x:c r="AL124" t="str">
        <x:v>f9928342-9ca0-4aff-90a3-8216880b8e69</x:v>
      </x:c>
      <x:c r="AM124" s="23" t="str">
        <x:f>IF(E124="processing",IF(Z124="","",IF(ISNUMBER(Z124),INT(Z124),DATE(VALUE(LEFT(Z124,4)),VALUE(MID(Z124,6,2)),VALUE(MID(Z124,9,2))))),IF(OR(E124="executing",E124="pending"),IF(AD124="","",IF(ISNUMBER(AD124),INT(AD124),DATE(VALUE(LEFT(AD124,4)),VALUE(MID(AD124,6,2)),VALUE(MID(AD124,9,2))))),""))</x:f>
      </x:c>
      <x:c r="AN124" s="24" t="str">
        <x:f>IF(AM124="","",INT('Configuration'!$B$4)-AM124)</x:f>
      </x:c>
      <x:c r="AO124" s="25" t="str">
        <x:f>IF(AM124="","Missing Required Date",IF(AN124&lt;0,"Future Date",IF(AN124=0,"0 days",IF(AN124&lt;=2,"1-2 days",IF(AN124&lt;=7,"3-7 days",IF(AN124&lt;=14,"8-14 days",IF(AN124&lt;=30,"15-30 days",IF(AN124&lt;=60,"31-60 days",IF(AN124&lt;=70,"61-70 days","71+ days")))))))))</x:f>
        <x:v>Missing Required Date</x:v>
      </x:c>
      <x:c r="AP124" s="25" t="str">
        <x:f>IF(OR(E124="processing",E124="executing",E124="pending"),IF(AM124="","Required aging date missing",IF(AN124&gt;30,"Escalate &gt;30d",IF(AN124&gt;14,"Watch &gt;14d","Within 14d"))),"Out of scope")</x:f>
        <x:v>Out of scope</x:v>
      </x:c>
    </x:row>
    <x:row r="125" ht="24" customHeight="1">
      <x:c r="A125" t="str">
        <x:v>0b89befe-7846-4028-a3b0-771ce105c8f8</x:v>
      </x:c>
      <x:c r="B125" t="str">
        <x:v>CSSP10486910</x:v>
      </x:c>
      <x:c r="C125" t="str">
        <x:v>afnanfarhan.dzaharud@petronas.com</x:v>
      </x:c>
      <x:c r="D125" t="str">
        <x:v>provision-cloud-public</x:v>
      </x:c>
      <x:c r="E125" t="str">
        <x:v>rejected</x:v>
      </x:c>
      <x:c r="F125" t="n">
        <x:v>46127.32310712963</x:v>
      </x:c>
      <x:c r="G125" t="n">
        <x:v>46127.32310712963</x:v>
      </x:c>
      <x:c r="H125" t="n">
        <x:v>46176.04978674769</x:v>
      </x:c>
      <x:c r="I125" t="str">
        <x:v>C-000040</x:v>
      </x:c>
      <x:c r="J125" t="str">
        <x:v>Cloud Self Service Portal - CSSP</x:v>
      </x:c>
      <x:c r="K125" t="str">
        <x:v>01824_1</x:v>
      </x:c>
      <x:c r="L125" t="str">
        <x:v>CloudSSP</x:v>
      </x:c>
      <x:c r="M125" t="str">
        <x:v>ismail.azman@petronas.com.my</x:v>
      </x:c>
      <x:c r="N125" t="str">
        <x:v>CloudSSP</x:v>
      </x:c>
      <x:c r="O125" t="str">
        <x:v>New</x:v>
      </x:c>
      <x:c r="P125" t="str">
        <x:v>Development</x:v>
      </x:c>
      <x:c r="Q125" t="str">
        <x:v>Test</x:v>
      </x:c>
      <x:c r="R125"/>
      <x:c r="S125"/>
      <x:c r="T125"/>
      <x:c r="U125"/>
      <x:c r="V125" t="n">
        <x:v>46176.04978675926</x:v>
      </x:c>
      <x:c r="W125" t="str">
        <x:v>ismail.azman@petronas.com</x:v>
      </x:c>
      <x:c r="X125" t="str">
        <x:v>rejected</x:v>
      </x:c>
      <x:c r="Y125"/>
      <x:c r="Z125"/>
      <x:c r="AA125" t="str">
        <x:v>CCoE Demand</x:v>
      </x:c>
      <x:c r="AB125"/>
      <x:c r="AC125"/>
      <x:c r="AD125"/>
      <x:c r="AE125" t="str">
        <x:v>CCoE Business</x:v>
      </x:c>
      <x:c r="AF125"/>
      <x:c r="AG125"/>
      <x:c r="AH125"/>
      <x:c r="AI125" t="str">
        <x:v>CCoE Core Services (Public)</x:v>
      </x:c>
      <x:c r="AJ125"/>
      <x:c r="AK125"/>
      <x:c r="AL125" t="str">
        <x:v>721a9131-21b0-4e6a-873f-fbc67d1f7a35</x:v>
      </x:c>
      <x:c r="AM125" s="23" t="str">
        <x:f>IF(E125="processing",IF(Z125="","",IF(ISNUMBER(Z125),INT(Z125),DATE(VALUE(LEFT(Z125,4)),VALUE(MID(Z125,6,2)),VALUE(MID(Z125,9,2))))),IF(OR(E125="executing",E125="pending"),IF(AD125="","",IF(ISNUMBER(AD125),INT(AD125),DATE(VALUE(LEFT(AD125,4)),VALUE(MID(AD125,6,2)),VALUE(MID(AD125,9,2))))),""))</x:f>
      </x:c>
      <x:c r="AN125" s="24" t="str">
        <x:f>IF(AM125="","",INT('Configuration'!$B$4)-AM125)</x:f>
      </x:c>
      <x:c r="AO125" s="25" t="str">
        <x:f>IF(AM125="","Missing Required Date",IF(AN125&lt;0,"Future Date",IF(AN125=0,"0 days",IF(AN125&lt;=2,"1-2 days",IF(AN125&lt;=7,"3-7 days",IF(AN125&lt;=14,"8-14 days",IF(AN125&lt;=30,"15-30 days",IF(AN125&lt;=60,"31-60 days",IF(AN125&lt;=70,"61-70 days","71+ days")))))))))</x:f>
        <x:v>Missing Required Date</x:v>
      </x:c>
      <x:c r="AP125" s="25" t="str">
        <x:f>IF(OR(E125="processing",E125="executing",E125="pending"),IF(AM125="","Required aging date missing",IF(AN125&gt;30,"Escalate &gt;30d",IF(AN125&gt;14,"Watch &gt;14d","Within 14d"))),"Out of scope")</x:f>
        <x:v>Out of scope</x:v>
      </x:c>
    </x:row>
    <x:row r="126" ht="24" customHeight="1">
      <x:c r="A126" t="str">
        <x:v>0aac1bfa-a95b-42b3-b323-bc26a2c4fd0e</x:v>
      </x:c>
      <x:c r="B126" t="str">
        <x:v>CSSP10502441</x:v>
      </x:c>
      <x:c r="C126" t="str">
        <x:v>rabiatul.mohamad@petronas.com</x:v>
      </x:c>
      <x:c r="D126" t="str">
        <x:v>provision-cloud-public</x:v>
      </x:c>
      <x:c r="E126" t="str">
        <x:v>completed</x:v>
      </x:c>
      <x:c r="F126" t="n">
        <x:v>46127.57784291667</x:v>
      </x:c>
      <x:c r="G126" t="n">
        <x:v>46127.57784291667</x:v>
      </x:c>
      <x:c r="H126" t="n">
        <x:v>46141.11018185185</x:v>
      </x:c>
      <x:c r="I126" t="str">
        <x:v>A-000031</x:v>
      </x:c>
      <x:c r="J126" t="str">
        <x:v>Augmented Gas Nomination Ecosystem - AGNES</x:v>
      </x:c>
      <x:c r="K126" t="str">
        <x:v>SR26593</x:v>
      </x:c>
      <x:c r="L126" t="str">
        <x:v>Procurement for Deployment of Augmented Gas Nomination Ecosystem (AGNES) at PMA</x:v>
      </x:c>
      <x:c r="M126" t="str">
        <x:v>zuhairi.zubir@petronas.com</x:v>
      </x:c>
      <x:c r="N126" t="str">
        <x:v>AGNES</x:v>
      </x:c>
      <x:c r="O126" t="str">
        <x:v>New</x:v>
      </x:c>
      <x:c r="P126" t="str">
        <x:v>StagingUat</x:v>
      </x:c>
      <x:c r="Q126" t="str">
        <x:v>Provisional server for AGNES-PMA Enhancement of Module 1-5</x:v>
      </x:c>
      <x:c r="R126" t="str">
        <x:v>M</x:v>
      </x:c>
      <x:c r="S126"/>
      <x:c r="T126"/>
      <x:c r="U126" t="str">
        <x:v>Approved</x:v>
      </x:c>
      <x:c r="V126" t="n">
        <x:v>46127.953664849534</x:v>
      </x:c>
      <x:c r="W126" t="str">
        <x:v>zuhairi.zubir@petronas.com</x:v>
      </x:c>
      <x:c r="X126" t="str">
        <x:v>approved</x:v>
      </x:c>
      <x:c r="Y126" t="str">
        <x:v>Approved. For staging, please provision VM SKU of D8ds v5 instead of D64ds v5.</x:v>
      </x:c>
      <x:c r="Z126" t="n">
        <x:v>46129.09998688658</x:v>
      </x:c>
      <x:c r="AA126" t="str">
        <x:v>kianleng.geh@petronas.com</x:v>
      </x:c>
      <x:c r="AB126" t="str">
        <x:v>approved</x:v>
      </x:c>
      <x:c r="AC126" t="str">
        <x:v>CSSP10814403 CSSP10502441 </x:v>
      </x:c>
      <x:c r="AD126" t="n">
        <x:v>46129.109916215275</x:v>
      </x:c>
      <x:c r="AE126" t="str">
        <x:v>syazali.saad@petronas.com</x:v>
      </x:c>
      <x:c r="AF126" t="str">
        <x:v>approved</x:v>
      </x:c>
      <x:c r="AG126" t="str">
        <x:v>Resource group: PTAZMY-IAC-UAT-AGNES-PMA-RG
VM name: ptmy-4agnespma1
VM IP: 10.176.48.6
OS: Windows server 2022
Domain: PETRONAS
</x:v>
      </x:c>
      <x:c r="AH126" t="n">
        <x:v>46141.11018185185</x:v>
      </x:c>
      <x:c r="AI126" t="str">
        <x:v>yeonghunn.ho@petronas.com</x:v>
      </x:c>
      <x:c r="AJ126" t="str">
        <x:v>approved</x:v>
      </x:c>
      <x:c r="AK126" t="str">
        <x:v>REQ000007995955</x:v>
      </x:c>
      <x:c r="AL126" t="str">
        <x:v>ce102e4f-11e3-4336-af66-3c380cafe022</x:v>
      </x:c>
      <x:c r="AM126" s="23" t="str">
        <x:f>IF(E126="processing",IF(Z126="","",IF(ISNUMBER(Z126),INT(Z126),DATE(VALUE(LEFT(Z126,4)),VALUE(MID(Z126,6,2)),VALUE(MID(Z126,9,2))))),IF(OR(E126="executing",E126="pending"),IF(AD126="","",IF(ISNUMBER(AD126),INT(AD126),DATE(VALUE(LEFT(AD126,4)),VALUE(MID(AD126,6,2)),VALUE(MID(AD126,9,2))))),""))</x:f>
      </x:c>
      <x:c r="AN126" s="24" t="str">
        <x:f>IF(AM126="","",INT('Configuration'!$B$4)-AM126)</x:f>
      </x:c>
      <x:c r="AO126" s="25" t="str">
        <x:f>IF(AM126="","Missing Required Date",IF(AN126&lt;0,"Future Date",IF(AN126=0,"0 days",IF(AN126&lt;=2,"1-2 days",IF(AN126&lt;=7,"3-7 days",IF(AN126&lt;=14,"8-14 days",IF(AN126&lt;=30,"15-30 days",IF(AN126&lt;=60,"31-60 days",IF(AN126&lt;=70,"61-70 days","71+ days")))))))))</x:f>
        <x:v>Missing Required Date</x:v>
      </x:c>
      <x:c r="AP126" s="25" t="str">
        <x:f>IF(OR(E126="processing",E126="executing",E126="pending"),IF(AM126="","Required aging date missing",IF(AN126&gt;30,"Escalate &gt;30d",IF(AN126&gt;14,"Watch &gt;14d","Within 14d"))),"Out of scope")</x:f>
        <x:v>Out of scope</x:v>
      </x:c>
    </x:row>
    <x:row r="127" ht="24" customHeight="1">
      <x:c r="A127" t="str">
        <x:v>04166769-2fdc-4eb5-80eb-bac8157cab75</x:v>
      </x:c>
      <x:c r="B127" t="str">
        <x:v>CSSP10814403</x:v>
      </x:c>
      <x:c r="C127" t="str">
        <x:v>rabiatul.mohamad@petronas.com</x:v>
      </x:c>
      <x:c r="D127" t="str">
        <x:v>provision-cloud-public</x:v>
      </x:c>
      <x:c r="E127" t="str">
        <x:v>completed</x:v>
      </x:c>
      <x:c r="F127" t="n">
        <x:v>46127.580483530095</x:v>
      </x:c>
      <x:c r="G127" t="n">
        <x:v>46127.580483530095</x:v>
      </x:c>
      <x:c r="H127" t="n">
        <x:v>46141.11061059028</x:v>
      </x:c>
      <x:c r="I127" t="str">
        <x:v>A-000031</x:v>
      </x:c>
      <x:c r="J127" t="str">
        <x:v>Augmented Gas Nomination Ecosystem - AGNES</x:v>
      </x:c>
      <x:c r="K127" t="str">
        <x:v>SR26593</x:v>
      </x:c>
      <x:c r="L127" t="str">
        <x:v>Procurement for Deployment of Augmented Gas Nomination Ecosystem (AGNES) at PMA</x:v>
      </x:c>
      <x:c r="M127" t="str">
        <x:v>zuhairi.zubir@petronas.com</x:v>
      </x:c>
      <x:c r="N127" t="str">
        <x:v>AGNES</x:v>
      </x:c>
      <x:c r="O127" t="str">
        <x:v>New</x:v>
      </x:c>
      <x:c r="P127" t="str">
        <x:v>Production</x:v>
      </x:c>
      <x:c r="Q127" t="str">
        <x:v>Provisional server for AGNES-PMA Enhancement of Module 1-5</x:v>
      </x:c>
      <x:c r="R127" t="str">
        <x:v>M</x:v>
      </x:c>
      <x:c r="S127"/>
      <x:c r="T127"/>
      <x:c r="U127" t="str">
        <x:v>Approved</x:v>
      </x:c>
      <x:c r="V127" t="n">
        <x:v>46127.95401447917</x:v>
      </x:c>
      <x:c r="W127" t="str">
        <x:v>zuhairi.zubir@petronas.com</x:v>
      </x:c>
      <x:c r="X127" t="str">
        <x:v>approved</x:v>
      </x:c>
      <x:c r="Y127" t="str">
        <x:v>Approved</x:v>
      </x:c>
      <x:c r="Z127" t="n">
        <x:v>46129.100153287036</x:v>
      </x:c>
      <x:c r="AA127" t="str">
        <x:v>kianleng.geh@petronas.com</x:v>
      </x:c>
      <x:c r="AB127" t="str">
        <x:v>approved</x:v>
      </x:c>
      <x:c r="AC127" t="str">
        <x:v>CSSP10814403 CSSP10502441 </x:v>
      </x:c>
      <x:c r="AD127" t="n">
        <x:v>46129.10980186343</x:v>
      </x:c>
      <x:c r="AE127" t="str">
        <x:v>syazali.saad@petronas.com</x:v>
      </x:c>
      <x:c r="AF127" t="str">
        <x:v>approved</x:v>
      </x:c>
      <x:c r="AG127" t="str">
        <x:v>Resource group: PTAZMY-IAC-PROD-AGNES-PMA-RG
VM name: ptmy-1agnespma1
VM IP: 10.176.120.6
OS: Windows server 2022
Domain: PETRONAS
</x:v>
      </x:c>
      <x:c r="AH127" t="n">
        <x:v>46141.11061060185</x:v>
      </x:c>
      <x:c r="AI127" t="str">
        <x:v>yeonghunn.ho@petronas.com</x:v>
      </x:c>
      <x:c r="AJ127" t="str">
        <x:v>approved</x:v>
      </x:c>
      <x:c r="AK127" t="str">
        <x:v>REQ000007995606</x:v>
      </x:c>
      <x:c r="AL127" t="str">
        <x:v>ce102e4f-11e3-4336-af66-3c380cafe022</x:v>
      </x:c>
      <x:c r="AM127" s="23" t="str">
        <x:f>IF(E127="processing",IF(Z127="","",IF(ISNUMBER(Z127),INT(Z127),DATE(VALUE(LEFT(Z127,4)),VALUE(MID(Z127,6,2)),VALUE(MID(Z127,9,2))))),IF(OR(E127="executing",E127="pending"),IF(AD127="","",IF(ISNUMBER(AD127),INT(AD127),DATE(VALUE(LEFT(AD127,4)),VALUE(MID(AD127,6,2)),VALUE(MID(AD127,9,2))))),""))</x:f>
      </x:c>
      <x:c r="AN127" s="24" t="str">
        <x:f>IF(AM127="","",INT('Configuration'!$B$4)-AM127)</x:f>
      </x:c>
      <x:c r="AO127" s="25" t="str">
        <x:f>IF(AM127="","Missing Required Date",IF(AN127&lt;0,"Future Date",IF(AN127=0,"0 days",IF(AN127&lt;=2,"1-2 days",IF(AN127&lt;=7,"3-7 days",IF(AN127&lt;=14,"8-14 days",IF(AN127&lt;=30,"15-30 days",IF(AN127&lt;=60,"31-60 days",IF(AN127&lt;=70,"61-70 days","71+ days")))))))))</x:f>
        <x:v>Missing Required Date</x:v>
      </x:c>
      <x:c r="AP127" s="25" t="str">
        <x:f>IF(OR(E127="processing",E127="executing",E127="pending"),IF(AM127="","Required aging date missing",IF(AN127&gt;30,"Escalate &gt;30d",IF(AN127&gt;14,"Watch &gt;14d","Within 14d"))),"Out of scope")</x:f>
        <x:v>Out of scope</x:v>
      </x:c>
    </x:row>
    <x:row r="128" ht="24" customHeight="1">
      <x:c r="A128" t="str">
        <x:v>38459830-a915-44c8-91f1-939930127be0</x:v>
      </x:c>
      <x:c r="B128" t="str">
        <x:v>CSSP10775394</x:v>
      </x:c>
      <x:c r="C128" t="str">
        <x:v>mohd.azri@petronas.com</x:v>
      </x:c>
      <x:c r="D128" t="str">
        <x:v>provision-cloud-public</x:v>
      </x:c>
      <x:c r="E128" t="str">
        <x:v>completed</x:v>
      </x:c>
      <x:c r="F128" t="n">
        <x:v>46129.332351655095</x:v>
      </x:c>
      <x:c r="G128" t="n">
        <x:v>46129.332351655095</x:v>
      </x:c>
      <x:c r="H128" t="n">
        <x:v>46133.40220747685</x:v>
      </x:c>
      <x:c r="I128" t="str">
        <x:v>A-000510</x:v>
      </x:c>
      <x:c r="J128" t="str">
        <x:v>OASIS Infra provisioning</x:v>
      </x:c>
      <x:c r="K128" t="n">
        <x:v>4495</x:v>
      </x:c>
      <x:c r="L128" t="str">
        <x:v>OASIS Infra provisioning</x:v>
      </x:c>
      <x:c r="M128" t="str">
        <x:v>ng.cheekeong@petronas.com.my</x:v>
      </x:c>
      <x:c r="N128" t="str">
        <x:v>Provision of Infra for OASIS Modernization for PDB</x:v>
      </x:c>
      <x:c r="O128" t="str">
        <x:v>New</x:v>
      </x:c>
      <x:c r="P128" t="str">
        <x:v>StagingUat</x:v>
      </x:c>
      <x:c r="Q128" t="str">
        <x:v>to clone hostname to clone ptsg-1oasisap04 (FleetOps 2) into our UAT Azure environment</x:v>
      </x:c>
      <x:c r="R128" t="str">
        <x:v>M</x:v>
      </x:c>
      <x:c r="S128"/>
      <x:c r="T128"/>
      <x:c r="U128" t="str">
        <x:v>please proceed</x:v>
      </x:c>
      <x:c r="V128" t="n">
        <x:v>46129.33982115741</x:v>
      </x:c>
      <x:c r="W128" t="str">
        <x:v>ng.cheekeong@petronas.com</x:v>
      </x:c>
      <x:c r="X128" t="str">
        <x:v>approved</x:v>
      </x:c>
      <x:c r="Y128" t="str">
        <x:v>Good to go</x:v>
      </x:c>
      <x:c r="Z128" t="n">
        <x:v>46133.16274826389</x:v>
      </x:c>
      <x:c r="AA128" t="str">
        <x:v>samsuddin.jumbri@petronas.com</x:v>
      </x:c>
      <x:c r="AB128" t="str">
        <x:v>approved</x:v>
      </x:c>
      <x:c r="AC128" t="str">
        <x:v>.</x:v>
      </x:c>
      <x:c r="AD128" t="n">
        <x:v>46133.16704059028</x:v>
      </x:c>
      <x:c r="AE128" t="str">
        <x:v>syazali.saad@petronas.com</x:v>
      </x:c>
      <x:c r="AF128" t="str">
        <x:v>approved</x:v>
      </x:c>
      <x:c r="AG128" t="str">
        <x:v>Completed</x:v>
      </x:c>
      <x:c r="AH128" t="n">
        <x:v>46133.40220747685</x:v>
      </x:c>
      <x:c r="AI128" t="str">
        <x:v>badri.shaharudin@petronas.com</x:v>
      </x:c>
      <x:c r="AJ128" t="str">
        <x:v>approved</x:v>
      </x:c>
      <x:c r="AK128" t="str">
        <x:v>REQ000008001689</x:v>
      </x:c>
      <x:c r="AL128" t="str">
        <x:v>613431ac-fd85-4e43-891e-042bf980fe35</x:v>
      </x:c>
      <x:c r="AM128" s="23" t="str">
        <x:f>IF(E128="processing",IF(Z128="","",IF(ISNUMBER(Z128),INT(Z128),DATE(VALUE(LEFT(Z128,4)),VALUE(MID(Z128,6,2)),VALUE(MID(Z128,9,2))))),IF(OR(E128="executing",E128="pending"),IF(AD128="","",IF(ISNUMBER(AD128),INT(AD128),DATE(VALUE(LEFT(AD128,4)),VALUE(MID(AD128,6,2)),VALUE(MID(AD128,9,2))))),""))</x:f>
      </x:c>
      <x:c r="AN128" s="24" t="str">
        <x:f>IF(AM128="","",INT('Configuration'!$B$4)-AM128)</x:f>
      </x:c>
      <x:c r="AO128" s="25" t="str">
        <x:f>IF(AM128="","Missing Required Date",IF(AN128&lt;0,"Future Date",IF(AN128=0,"0 days",IF(AN128&lt;=2,"1-2 days",IF(AN128&lt;=7,"3-7 days",IF(AN128&lt;=14,"8-14 days",IF(AN128&lt;=30,"15-30 days",IF(AN128&lt;=60,"31-60 days",IF(AN128&lt;=70,"61-70 days","71+ days")))))))))</x:f>
        <x:v>Missing Required Date</x:v>
      </x:c>
      <x:c r="AP128" s="25" t="str">
        <x:f>IF(OR(E128="processing",E128="executing",E128="pending"),IF(AM128="","Required aging date missing",IF(AN128&gt;30,"Escalate &gt;30d",IF(AN128&gt;14,"Watch &gt;14d","Within 14d"))),"Out of scope")</x:f>
        <x:v>Out of scope</x:v>
      </x:c>
    </x:row>
    <x:row r="129" ht="24" customHeight="1">
      <x:c r="A129" t="str">
        <x:v>2fffdeca-fe16-4105-b6c8-993a9ff35042</x:v>
      </x:c>
      <x:c r="B129" t="str">
        <x:v>CSSP10474051</x:v>
      </x:c>
      <x:c r="C129" t="str">
        <x:v>zakwan.zulkifli@petronas.com</x:v>
      </x:c>
      <x:c r="D129" t="str">
        <x:v>provision-cloud-public</x:v>
      </x:c>
      <x:c r="E129" t="str">
        <x:v>completed</x:v>
      </x:c>
      <x:c r="F129" t="n">
        <x:v>46129.339125914354</x:v>
      </x:c>
      <x:c r="G129" t="n">
        <x:v>46129.339125914354</x:v>
      </x:c>
      <x:c r="H129" t="n">
        <x:v>46198.124934976855</x:v>
      </x:c>
      <x:c r="I129" t="str">
        <x:v>A-000552</x:v>
      </x:c>
      <x:c r="J129" t="str">
        <x:v>PETRONAS Engineering Data Management System - P-EDMS GTS</x:v>
      </x:c>
      <x:c r="K129" t="str">
        <x:v>00915_238</x:v>
      </x:c>
      <x:c r="L129" t="str">
        <x:v>Cloud Migration Program - P-EDMS</x:v>
      </x:c>
      <x:c r="M129" t="str">
        <x:v>sitizakiah.sulaiman@petronas.com.my</x:v>
      </x:c>
      <x:c r="N129" t="str">
        <x:v>PETRONAS Engineering Data Management System (P-EDMS)</x:v>
      </x:c>
      <x:c r="O129" t="str">
        <x:v>Modify</x:v>
      </x:c>
      <x:c r="P129" t="str">
        <x:v>Production</x:v>
      </x:c>
      <x:c r="Q129" t="str">
        <x:v>1. We have received a request from the business to repurpose one of our existing AWS web servers to host a new P-EDMS functionality, namely P-EDMS AI, which is scheduled to go live soon.
2. To mitigate additional costs, we propose to repurpose the current P-EDMS AWS web server by upgrading its server specifications to include a Graphics Processing Unit (GPU) to support the AI tools.
3. The cost of this VM will be charged to the same cost center as the existing P-EDMS GTS server: 001PCT-410, under the Run and Maintain scope. 
4. The server quotation, prepared using the AWS Pricing Calculator, was calculated by Tuan Samsuddin B. Jumbri (IS/DIGITAL). The server specifications are as follows: Instance Type: AWS EC2 g6.4xlarge (16 vCPU, 64 GB Memory, GPU: 1 × NVIDIA L4 – 24 GB VRAM)</x:v>
      </x:c>
      <x:c r="R129" t="str">
        <x:v>M</x:v>
      </x:c>
      <x:c r="S129" t="str">
        <x:v>ICT_RFC00221716</x:v>
      </x:c>
      <x:c r="T129"/>
      <x:c r="U129" t="str">
        <x:v>Please proceed.</x:v>
      </x:c>
      <x:c r="V129" t="n">
        <x:v>46133.07656214121</x:v>
      </x:c>
      <x:c r="W129" t="str">
        <x:v>sitizakiah.sulaiman@petronas.com</x:v>
      </x:c>
      <x:c r="X129" t="str">
        <x:v>approved</x:v>
      </x:c>
      <x:c r="Y129" t="str">
        <x:v>Good to go</x:v>
      </x:c>
      <x:c r="Z129" t="n">
        <x:v>46133.083509814816</x:v>
      </x:c>
      <x:c r="AA129" t="str">
        <x:v>samsuddin.jumbri@petronas.com</x:v>
      </x:c>
      <x:c r="AB129" t="str">
        <x:v>approved</x:v>
      </x:c>
      <x:c r="AC129" t="str">
        <x:v>r5.4xlarge (16 vCPU, 128 GB Memory) &gt; g6.4xlarge (16 vCPU, 64 GB Memory, GPU: 1 × NVIDIA L4 – 24 GB VRAM).
04/24/2026 10:00:00 PM - 04/25/2026 12:00:00 AM</x:v>
      </x:c>
      <x:c r="AD129" t="n">
        <x:v>46133.29245207176</x:v>
      </x:c>
      <x:c r="AE129" t="str">
        <x:v>syazali.saad@petronas.com</x:v>
      </x:c>
      <x:c r="AF129" t="str">
        <x:v>approved</x:v>
      </x:c>
      <x:c r="AG129" t="str">
        <x:v>request has been completed.</x:v>
      </x:c>
      <x:c r="AH129" t="n">
        <x:v>46198.124934976855</x:v>
      </x:c>
      <x:c r="AI129" t="str">
        <x:v>ahmadfirdaus.adnan@petronas.com</x:v>
      </x:c>
      <x:c r="AJ129" t="str">
        <x:v>approved</x:v>
      </x:c>
      <x:c r="AK129" t="str">
        <x:v>REQ000008002623</x:v>
      </x:c>
      <x:c r="AL129" t="str">
        <x:v>e1b324dc-c83c-4236-a989-0ba174653cd6</x:v>
      </x:c>
      <x:c r="AM129" s="23" t="str">
        <x:f>IF(E129="processing",IF(Z129="","",IF(ISNUMBER(Z129),INT(Z129),DATE(VALUE(LEFT(Z129,4)),VALUE(MID(Z129,6,2)),VALUE(MID(Z129,9,2))))),IF(OR(E129="executing",E129="pending"),IF(AD129="","",IF(ISNUMBER(AD129),INT(AD129),DATE(VALUE(LEFT(AD129,4)),VALUE(MID(AD129,6,2)),VALUE(MID(AD129,9,2))))),""))</x:f>
      </x:c>
      <x:c r="AN129" s="24" t="str">
        <x:f>IF(AM129="","",INT('Configuration'!$B$4)-AM129)</x:f>
      </x:c>
      <x:c r="AO129" s="25" t="str">
        <x:f>IF(AM129="","Missing Required Date",IF(AN129&lt;0,"Future Date",IF(AN129=0,"0 days",IF(AN129&lt;=2,"1-2 days",IF(AN129&lt;=7,"3-7 days",IF(AN129&lt;=14,"8-14 days",IF(AN129&lt;=30,"15-30 days",IF(AN129&lt;=60,"31-60 days",IF(AN129&lt;=70,"61-70 days","71+ days")))))))))</x:f>
        <x:v>Missing Required Date</x:v>
      </x:c>
      <x:c r="AP129" s="25" t="str">
        <x:f>IF(OR(E129="processing",E129="executing",E129="pending"),IF(AM129="","Required aging date missing",IF(AN129&gt;30,"Escalate &gt;30d",IF(AN129&gt;14,"Watch &gt;14d","Within 14d"))),"Out of scope")</x:f>
        <x:v>Out of scope</x:v>
      </x:c>
    </x:row>
    <x:row r="130" ht="24" customHeight="1">
      <x:c r="A130" t="str">
        <x:v>24214abf-5ddd-43bb-a7c0-2db30cb657c8</x:v>
      </x:c>
      <x:c r="B130" t="str">
        <x:v>CSSP10945611</x:v>
      </x:c>
      <x:c r="C130" t="str">
        <x:v>norashikin.hasna@petronas.com</x:v>
      </x:c>
      <x:c r="D130" t="str">
        <x:v>provision-cloud-public</x:v>
      </x:c>
      <x:c r="E130" t="str">
        <x:v>completed</x:v>
      </x:c>
      <x:c r="F130" t="n">
        <x:v>46129.35443363426</x:v>
      </x:c>
      <x:c r="G130" t="n">
        <x:v>46129.35443363426</x:v>
      </x:c>
      <x:c r="H130" t="n">
        <x:v>46140.25402273148</x:v>
      </x:c>
      <x:c r="I130" t="str">
        <x:v>A-000480</x:v>
      </x:c>
      <x:c r="J130" t="str">
        <x:v>Mygenie</x:v>
      </x:c>
      <x:c r="K130" t="str">
        <x:v>02421_83</x:v>
      </x:c>
      <x:c r="L130" t="str">
        <x:v>Cloud Migration Program - Mygenie+ Admin Portal</x:v>
      </x:c>
      <x:c r="M130" t="str">
        <x:v>saniza.ismail@petronas.com.my</x:v>
      </x:c>
      <x:c r="N130" t="str">
        <x:v>MyGenie Admin Portal</x:v>
      </x:c>
      <x:c r="O130" t="str">
        <x:v>New</x:v>
      </x:c>
      <x:c r="P130" t="str">
        <x:v>Development</x:v>
      </x:c>
      <x:c r="Q130" t="str">
        <x:v>To request new resource to be use for MSP transition &amp; knowledge transfer. 
Spec: the same as existing PTSG-5MYGENAP01
 D4as v4 (4 vCPUs &amp; 16 GB RAM)
New resource Name: PTSG-5MYGENAP02
</x:v>
      </x:c>
      <x:c r="R130" t="str">
        <x:v>S</x:v>
      </x:c>
      <x:c r="S130"/>
      <x:c r="T130"/>
      <x:c r="U130" t="str">
        <x:v>Servicedesk team required to use Dev environment for MSP Training. We required gateway server to run data import tool to export Production Product category and support group to Development </x:v>
      </x:c>
      <x:c r="V130" t="n">
        <x:v>46129.43884387732</x:v>
      </x:c>
      <x:c r="W130" t="str">
        <x:v>saniza.ismail@petronas.com</x:v>
      </x:c>
      <x:c r="X130" t="str">
        <x:v>approved</x:v>
      </x:c>
      <x:c r="Y130" t="str">
        <x:v>Good to go</x:v>
      </x:c>
      <x:c r="Z130" t="n">
        <x:v>46133.165400694445</x:v>
      </x:c>
      <x:c r="AA130" t="str">
        <x:v>samsuddin.jumbri@petronas.com</x:v>
      </x:c>
      <x:c r="AB130" t="str">
        <x:v>approved</x:v>
      </x:c>
      <x:c r="AC130" t="str">
        <x:v>1x VM</x:v>
      </x:c>
      <x:c r="AD130" t="n">
        <x:v>46134.11807222222</x:v>
      </x:c>
      <x:c r="AE130" t="str">
        <x:v>syazali.saad@petronas.com</x:v>
      </x:c>
      <x:c r="AF130" t="str">
        <x:v>approved</x:v>
      </x:c>
      <x:c r="AG130" t="str">
        <x:v>The new vm PTSG-5MYGENAP02 has been provisioned</x:v>
      </x:c>
      <x:c r="AH130" t="n">
        <x:v>46140.25402274306</x:v>
      </x:c>
      <x:c r="AI130" t="str">
        <x:v>muhdfirdaus.muhamad@petronas.com</x:v>
      </x:c>
      <x:c r="AJ130" t="str">
        <x:v>approved</x:v>
      </x:c>
      <x:c r="AK130" t="str">
        <x:v>REQ000008004739</x:v>
      </x:c>
      <x:c r="AL130" t="str">
        <x:v>c6a63b47-bf9e-4308-9a85-4fcd7d745577</x:v>
      </x:c>
      <x:c r="AM130" s="23" t="str">
        <x:f>IF(E130="processing",IF(Z130="","",IF(ISNUMBER(Z130),INT(Z130),DATE(VALUE(LEFT(Z130,4)),VALUE(MID(Z130,6,2)),VALUE(MID(Z130,9,2))))),IF(OR(E130="executing",E130="pending"),IF(AD130="","",IF(ISNUMBER(AD130),INT(AD130),DATE(VALUE(LEFT(AD130,4)),VALUE(MID(AD130,6,2)),VALUE(MID(AD130,9,2))))),""))</x:f>
      </x:c>
      <x:c r="AN130" s="24" t="str">
        <x:f>IF(AM130="","",INT('Configuration'!$B$4)-AM130)</x:f>
      </x:c>
      <x:c r="AO130" s="25" t="str">
        <x:f>IF(AM130="","Missing Required Date",IF(AN130&lt;0,"Future Date",IF(AN130=0,"0 days",IF(AN130&lt;=2,"1-2 days",IF(AN130&lt;=7,"3-7 days",IF(AN130&lt;=14,"8-14 days",IF(AN130&lt;=30,"15-30 days",IF(AN130&lt;=60,"31-60 days",IF(AN130&lt;=70,"61-70 days","71+ days")))))))))</x:f>
        <x:v>Missing Required Date</x:v>
      </x:c>
      <x:c r="AP130" s="25" t="str">
        <x:f>IF(OR(E130="processing",E130="executing",E130="pending"),IF(AM130="","Required aging date missing",IF(AN130&gt;30,"Escalate &gt;30d",IF(AN130&gt;14,"Watch &gt;14d","Within 14d"))),"Out of scope")</x:f>
        <x:v>Out of scope</x:v>
      </x:c>
    </x:row>
    <x:row r="131" ht="24" customHeight="1">
      <x:c r="A131" t="str">
        <x:v>181855dc-7118-4c89-9352-0b11596d10cc</x:v>
      </x:c>
      <x:c r="B131" t="str">
        <x:v>CSSP10433585</x:v>
      </x:c>
      <x:c r="C131" t="str">
        <x:v>azmi.mohd.noor@petronas.com</x:v>
      </x:c>
      <x:c r="D131" t="str">
        <x:v>provision-cloud-public</x:v>
      </x:c>
      <x:c r="E131" t="str">
        <x:v>completed</x:v>
      </x:c>
      <x:c r="F131" t="n">
        <x:v>46132.20935846065</x:v>
      </x:c>
      <x:c r="G131" t="n">
        <x:v>46132.20935846065</x:v>
      </x:c>
      <x:c r="H131" t="n">
        <x:v>46149.03722005787</x:v>
      </x:c>
      <x:c r="I131" t="str">
        <x:v>A-000446</x:v>
      </x:c>
      <x:c r="J131" t="str">
        <x:v>M365 Provisioning Engine - PE</x:v>
      </x:c>
      <x:c r="K131" t="str">
        <x:v>00916_6</x:v>
      </x:c>
      <x:c r="L131" t="str">
        <x:v>Productivity Platform Hub</x:v>
      </x:c>
      <x:c r="M131" t="str">
        <x:v>faylynn.chua@petronas.com</x:v>
      </x:c>
      <x:c r="N131" t="str">
        <x:v>M365</x:v>
      </x:c>
      <x:c r="O131" t="str">
        <x:v>New</x:v>
      </x:c>
      <x:c r="P131" t="str">
        <x:v>Production</x:v>
      </x:c>
      <x:c r="Q131" t="str">
        <x:v>Preferred RG : PTAZSG-PROD-PP-HUB-RG
Note on Azure DevOps Project Name, This resources for this request to be provisioned under the same repo as per Parent Project Code : 00916_1 </x:v>
      </x:c>
      <x:c r="R131" t="str">
        <x:v>S</x:v>
      </x:c>
      <x:c r="S131"/>
      <x:c r="T131"/>
      <x:c r="U131" t="str">
        <x:v>Approved </x:v>
      </x:c>
      <x:c r="V131" t="n">
        <x:v>46133.12614846065</x:v>
      </x:c>
      <x:c r="W131" t="str">
        <x:v>faylynn.chua@petronas.com</x:v>
      </x:c>
      <x:c r="X131" t="str">
        <x:v>approved</x:v>
      </x:c>
      <x:c r="Y131" t="str">
        <x:v>This request is only to create a new RG.</x:v>
      </x:c>
      <x:c r="Z131" t="n">
        <x:v>46135.16724795139</x:v>
      </x:c>
      <x:c r="AA131" t="str">
        <x:v>samsuddin.jumbri@petronas.com</x:v>
      </x:c>
      <x:c r="AB131" t="str">
        <x:v>approved</x:v>
      </x:c>
      <x:c r="AC131" t="str">
        <x:v>to create in PTAZSG-PROD-COPILOT-ENVIRONMENT subscription.</x:v>
      </x:c>
      <x:c r="AD131" t="n">
        <x:v>46135.19690449074</x:v>
      </x:c>
      <x:c r="AE131" t="str">
        <x:v>syazali.saad@petronas.com</x:v>
      </x:c>
      <x:c r="AF131" t="str">
        <x:v>approved</x:v>
      </x:c>
      <x:c r="AG131" t="str">
        <x:v>Done. </x:v>
      </x:c>
      <x:c r="AH131" t="n">
        <x:v>46149.03722006945</x:v>
      </x:c>
      <x:c r="AI131" t="str">
        <x:v>azhan.shazeli@petronas.com</x:v>
      </x:c>
      <x:c r="AJ131" t="str">
        <x:v>approved</x:v>
      </x:c>
      <x:c r="AK131" t="str">
        <x:v>REQ000008007394</x:v>
      </x:c>
      <x:c r="AL131" t="str">
        <x:v>c0acc46f-c9c3-4203-9c5f-6ae7551aeff1</x:v>
      </x:c>
      <x:c r="AM131" s="23" t="str">
        <x:f>IF(E131="processing",IF(Z131="","",IF(ISNUMBER(Z131),INT(Z131),DATE(VALUE(LEFT(Z131,4)),VALUE(MID(Z131,6,2)),VALUE(MID(Z131,9,2))))),IF(OR(E131="executing",E131="pending"),IF(AD131="","",IF(ISNUMBER(AD131),INT(AD131),DATE(VALUE(LEFT(AD131,4)),VALUE(MID(AD131,6,2)),VALUE(MID(AD131,9,2))))),""))</x:f>
      </x:c>
      <x:c r="AN131" s="24" t="str">
        <x:f>IF(AM131="","",INT('Configuration'!$B$4)-AM131)</x:f>
      </x:c>
      <x:c r="AO131" s="25" t="str">
        <x:f>IF(AM131="","Missing Required Date",IF(AN131&lt;0,"Future Date",IF(AN131=0,"0 days",IF(AN131&lt;=2,"1-2 days",IF(AN131&lt;=7,"3-7 days",IF(AN131&lt;=14,"8-14 days",IF(AN131&lt;=30,"15-30 days",IF(AN131&lt;=60,"31-60 days",IF(AN131&lt;=70,"61-70 days","71+ days")))))))))</x:f>
        <x:v>Missing Required Date</x:v>
      </x:c>
      <x:c r="AP131" s="25" t="str">
        <x:f>IF(OR(E131="processing",E131="executing",E131="pending"),IF(AM131="","Required aging date missing",IF(AN131&gt;30,"Escalate &gt;30d",IF(AN131&gt;14,"Watch &gt;14d","Within 14d"))),"Out of scope")</x:f>
        <x:v>Out of scope</x:v>
      </x:c>
    </x:row>
    <x:row r="132" ht="24" customHeight="1">
      <x:c r="A132" t="str">
        <x:v>64828225-b4a6-4b8d-bd66-9667bf7e5fbd</x:v>
      </x:c>
      <x:c r="B132" t="str">
        <x:v>CSSP10186972</x:v>
      </x:c>
      <x:c r="C132" t="str">
        <x:v>wanmiqbal.wanmhdnoor@petronas.com</x:v>
      </x:c>
      <x:c r="D132" t="str">
        <x:v>provision-cloud-public</x:v>
      </x:c>
      <x:c r="E132" t="str">
        <x:v>completed</x:v>
      </x:c>
      <x:c r="F132" t="n">
        <x:v>46133.093222627314</x:v>
      </x:c>
      <x:c r="G132" t="n">
        <x:v>46133.093222627314</x:v>
      </x:c>
      <x:c r="H132" t="n">
        <x:v>46167.356639641206</x:v>
      </x:c>
      <x:c r="I132" t="str">
        <x:v>A-001296</x:v>
      </x:c>
      <x:c r="J132" t="str">
        <x:v> Predictive Rotating Equipment Analytics - PROTEAN BRMC</x:v>
      </x:c>
      <x:c r="K132" t="str">
        <x:v>SR10961</x:v>
      </x:c>
      <x:c r="L132" t="str">
        <x:v>PROTEAN BRMC SI</x:v>
      </x:c>
      <x:c r="M132" t="str">
        <x:v>mohammadsani.johari@petronas.com</x:v>
      </x:c>
      <x:c r="N132" t="str">
        <x:v>PROTEAN BRMC SI</x:v>
      </x:c>
      <x:c r="O132" t="str">
        <x:v>New</x:v>
      </x:c>
      <x:c r="P132" t="str">
        <x:v>Production</x:v>
      </x:c>
      <x:c r="Q132" t="str">
        <x:v>Provisioning Azure Communication Services (ACS)</x:v>
      </x:c>
      <x:c r="R132" t="str">
        <x:v>S</x:v>
      </x:c>
      <x:c r="S132"/>
      <x:c r="T132"/>
      <x:c r="U132" t="str">
        <x:v>Proceed as per project requirement</x:v>
      </x:c>
      <x:c r="V132" t="n">
        <x:v>46133.10111179398</x:v>
      </x:c>
      <x:c r="W132" t="str">
        <x:v>mohammadsani.johari@petronas.com</x:v>
      </x:c>
      <x:c r="X132" t="str">
        <x:v>approved</x:v>
      </x:c>
      <x:c r="Y132" t="str">
        <x:v>Good to go</x:v>
      </x:c>
      <x:c r="Z132" t="n">
        <x:v>46136.417900127315</x:v>
      </x:c>
      <x:c r="AA132" t="str">
        <x:v>samsuddin.jumbri@petronas.com</x:v>
      </x:c>
      <x:c r="AB132" t="str">
        <x:v>approved</x:v>
      </x:c>
      <x:c r="AC132" t="str">
        <x:v>.</x:v>
      </x:c>
      <x:c r="AD132" t="n">
        <x:v>46146.30350314815</x:v>
      </x:c>
      <x:c r="AE132" t="str">
        <x:v>syazali.saad@petronas.com</x:v>
      </x:c>
      <x:c r="AF132" t="str">
        <x:v>approved</x:v>
      </x:c>
      <x:c r="AG132" t="str">
        <x:v>The Azure Communication Services (ACS) has been provisioned</x:v>
      </x:c>
      <x:c r="AH132" t="n">
        <x:v>46167.356639652775</x:v>
      </x:c>
      <x:c r="AI132" t="str">
        <x:v>muhdfirdaus.muhamad@petronas.com</x:v>
      </x:c>
      <x:c r="AJ132" t="str">
        <x:v>approved</x:v>
      </x:c>
      <x:c r="AK132" t="str">
        <x:v>REQ000008026483</x:v>
      </x:c>
      <x:c r="AL132" t="str">
        <x:v>d5fabeea-472b-4beb-bd0b-7c60661c9643</x:v>
      </x:c>
      <x:c r="AM132" s="23" t="str">
        <x:f>IF(E132="processing",IF(Z132="","",IF(ISNUMBER(Z132),INT(Z132),DATE(VALUE(LEFT(Z132,4)),VALUE(MID(Z132,6,2)),VALUE(MID(Z132,9,2))))),IF(OR(E132="executing",E132="pending"),IF(AD132="","",IF(ISNUMBER(AD132),INT(AD132),DATE(VALUE(LEFT(AD132,4)),VALUE(MID(AD132,6,2)),VALUE(MID(AD132,9,2))))),""))</x:f>
      </x:c>
      <x:c r="AN132" s="24" t="str">
        <x:f>IF(AM132="","",INT('Configuration'!$B$4)-AM132)</x:f>
      </x:c>
      <x:c r="AO132" s="25" t="str">
        <x:f>IF(AM132="","Missing Required Date",IF(AN132&lt;0,"Future Date",IF(AN132=0,"0 days",IF(AN132&lt;=2,"1-2 days",IF(AN132&lt;=7,"3-7 days",IF(AN132&lt;=14,"8-14 days",IF(AN132&lt;=30,"15-30 days",IF(AN132&lt;=60,"31-60 days",IF(AN132&lt;=70,"61-70 days","71+ days")))))))))</x:f>
        <x:v>Missing Required Date</x:v>
      </x:c>
      <x:c r="AP132" s="25" t="str">
        <x:f>IF(OR(E132="processing",E132="executing",E132="pending"),IF(AM132="","Required aging date missing",IF(AN132&gt;30,"Escalate &gt;30d",IF(AN132&gt;14,"Watch &gt;14d","Within 14d"))),"Out of scope")</x:f>
        <x:v>Out of scope</x:v>
      </x:c>
    </x:row>
    <x:row r="133" ht="24" customHeight="1">
      <x:c r="A133" t="str">
        <x:v>87d1c6a0-2046-4f47-ac6d-41c1941b87f8</x:v>
      </x:c>
      <x:c r="B133" t="str">
        <x:v>CSSP10335168</x:v>
      </x:c>
      <x:c r="C133" t="str">
        <x:v>sharonie.loris@petronas.com</x:v>
      </x:c>
      <x:c r="D133" t="str">
        <x:v>provision-cloud-public</x:v>
      </x:c>
      <x:c r="E133" t="str">
        <x:v>completed</x:v>
      </x:c>
      <x:c r="F133" t="n">
        <x:v>46133.10650270833</x:v>
      </x:c>
      <x:c r="G133" t="n">
        <x:v>46133.10650270833</x:v>
      </x:c>
      <x:c r="H133" t="n">
        <x:v>46135.31911398148</x:v>
      </x:c>
      <x:c r="I133" t="str">
        <x:v>A-001322</x:v>
      </x:c>
      <x:c r="J133" t="str">
        <x:v>RADIAN</x:v>
      </x:c>
      <x:c r="K133" t="str">
        <x:v>SR10734</x:v>
      </x:c>
      <x:c r="L133" t="str">
        <x:v>Real-Time Advisory &amp; Drilling Insight via Artificial Neural Intelligence (RADIAN) for 
Wells formerly known HSPM</x:v>
      </x:c>
      <x:c r="M133" t="str">
        <x:v>nurshida.czakaria@petronas.com.my</x:v>
      </x:c>
      <x:c r="N133" t="str">
        <x:v>RADIAN</x:v>
      </x:c>
      <x:c r="O133" t="str">
        <x:v>Modify</x:v>
      </x:c>
      <x:c r="P133" t="str">
        <x:v>Production</x:v>
      </x:c>
      <x:c r="Q133" t="str">
        <x:v>Request to add new item in provision cloud infrastructure</x:v>
      </x:c>
      <x:c r="R133" t="str">
        <x:v>S</x:v>
      </x:c>
      <x:c r="S133" t="str">
        <x:v>-</x:v>
      </x:c>
      <x:c r="T133"/>
      <x:c r="U133" t="str">
        <x:v>Approved for RADIAN project</x:v>
      </x:c>
      <x:c r="V133" t="n">
        <x:v>46133.11176965278</x:v>
      </x:c>
      <x:c r="W133" t="str">
        <x:v>nurshida.czakaria@petronas.com</x:v>
      </x:c>
      <x:c r="X133" t="str">
        <x:v>approved</x:v>
      </x:c>
      <x:c r="Y133" t="str">
        <x:v>Good to go</x:v>
      </x:c>
      <x:c r="Z133" t="n">
        <x:v>46135.092228773145</x:v>
      </x:c>
      <x:c r="AA133" t="str">
        <x:v>samsuddin.jumbri@petronas.com</x:v>
      </x:c>
      <x:c r="AB133" t="str">
        <x:v>approved</x:v>
      </x:c>
      <x:c r="AC133" t="str">
        <x:v>.</x:v>
      </x:c>
      <x:c r="AD133" t="n">
        <x:v>46135.10366664352</x:v>
      </x:c>
      <x:c r="AE133" t="str">
        <x:v>syazali.saad@petronas.com</x:v>
      </x:c>
      <x:c r="AF133" t="str">
        <x:v>approved</x:v>
      </x:c>
      <x:c r="AG133" t="str">
        <x:v>provisioned in PTAZMY-IAC-PROD-RADIAN-RG</x:v>
      </x:c>
      <x:c r="AH133" t="n">
        <x:v>46135.31911400463</x:v>
      </x:c>
      <x:c r="AI133" t="str">
        <x:v>chunwu.lim@petronas.com</x:v>
      </x:c>
      <x:c r="AJ133" t="str">
        <x:v>approved</x:v>
      </x:c>
      <x:c r="AK133" t="str">
        <x:v>REQ000008007292</x:v>
      </x:c>
      <x:c r="AL133" t="str">
        <x:v>4e9ba02b-45f5-40b0-8fda-a54588d5903e</x:v>
      </x:c>
      <x:c r="AM133" s="23" t="str">
        <x:f>IF(E133="processing",IF(Z133="","",IF(ISNUMBER(Z133),INT(Z133),DATE(VALUE(LEFT(Z133,4)),VALUE(MID(Z133,6,2)),VALUE(MID(Z133,9,2))))),IF(OR(E133="executing",E133="pending"),IF(AD133="","",IF(ISNUMBER(AD133),INT(AD133),DATE(VALUE(LEFT(AD133,4)),VALUE(MID(AD133,6,2)),VALUE(MID(AD133,9,2))))),""))</x:f>
      </x:c>
      <x:c r="AN133" s="24" t="str">
        <x:f>IF(AM133="","",INT('Configuration'!$B$4)-AM133)</x:f>
      </x:c>
      <x:c r="AO133" s="25" t="str">
        <x:f>IF(AM133="","Missing Required Date",IF(AN133&lt;0,"Future Date",IF(AN133=0,"0 days",IF(AN133&lt;=2,"1-2 days",IF(AN133&lt;=7,"3-7 days",IF(AN133&lt;=14,"8-14 days",IF(AN133&lt;=30,"15-30 days",IF(AN133&lt;=60,"31-60 days",IF(AN133&lt;=70,"61-70 days","71+ days")))))))))</x:f>
        <x:v>Missing Required Date</x:v>
      </x:c>
      <x:c r="AP133" s="25" t="str">
        <x:f>IF(OR(E133="processing",E133="executing",E133="pending"),IF(AM133="","Required aging date missing",IF(AN133&gt;30,"Escalate &gt;30d",IF(AN133&gt;14,"Watch &gt;14d","Within 14d"))),"Out of scope")</x:f>
        <x:v>Out of scope</x:v>
      </x:c>
    </x:row>
    <x:row r="134" ht="24" customHeight="1">
      <x:c r="A134" t="str">
        <x:v>c9daca31-1afb-4521-abd6-2570b2df97e6</x:v>
      </x:c>
      <x:c r="B134" t="str">
        <x:v>CSSP10489931</x:v>
      </x:c>
      <x:c r="C134" t="str">
        <x:v>ivanlim.choonkit@petronas.com</x:v>
      </x:c>
      <x:c r="D134" t="str">
        <x:v>provision-cloud-public</x:v>
      </x:c>
      <x:c r="E134" t="str">
        <x:v>completed</x:v>
      </x:c>
      <x:c r="F134" t="n">
        <x:v>46133.152506990744</x:v>
      </x:c>
      <x:c r="G134" t="n">
        <x:v>46133.181214826385</x:v>
      </x:c>
      <x:c r="H134" t="n">
        <x:v>46141.121513425926</x:v>
      </x:c>
      <x:c r="I134" t="str">
        <x:v>A-001241</x:v>
      </x:c>
      <x:c r="J134" t="str">
        <x:v>Digital Intelligence Center - DIC</x:v>
      </x:c>
      <x:c r="K134" t="n">
        <x:v>4712</x:v>
      </x:c>
      <x:c r="L134" t="str">
        <x:v>Deployment of Digital Intelligence Center (DIC) for Malaysia Petroleum Management (MPM)</x:v>
      </x:c>
      <x:c r="M134" t="str">
        <x:v>wadiah.rusli@petronas.com.my</x:v>
      </x:c>
      <x:c r="N134" t="str">
        <x:v>Deployment of Digital Intelligence Center (DIC) for MPM</x:v>
      </x:c>
      <x:c r="O134" t="str">
        <x:v>New</x:v>
      </x:c>
      <x:c r="P134" t="str">
        <x:v>Development</x:v>
      </x:c>
      <x:c r="Q134"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
</x:v>
      </x:c>
      <x:c r="R134" t="str">
        <x:v>S</x:v>
      </x:c>
      <x:c r="S134"/>
      <x:c r="T134"/>
      <x:c r="U134" t="str">
        <x:v>Approved for DIC project requirement.</x:v>
      </x:c>
      <x:c r="V134" t="n">
        <x:v>46133.182958530095</x:v>
      </x:c>
      <x:c r="W134" t="str">
        <x:v>wadiah.rusli@petronas.com</x:v>
      </x:c>
      <x:c r="X134" t="str">
        <x:v>approved</x:v>
      </x:c>
      <x:c r="Y134" t="str">
        <x:v>Approved for the provisioning of EC2. User need to contact helpdesk for Microsoft Office installation.</x:v>
      </x:c>
      <x:c r="Z134" t="n">
        <x:v>46134.30960886574</x:v>
      </x:c>
      <x:c r="AA134" t="str">
        <x:v>kianleng.geh@petronas.com</x:v>
      </x:c>
      <x:c r="AB134" t="str">
        <x:v>approved</x:v>
      </x:c>
      <x:c r="AC134" t="str">
        <x:v>ec2</x:v>
      </x:c>
      <x:c r="AD134" t="n">
        <x:v>46134.35859128472</x:v>
      </x:c>
      <x:c r="AE134" t="str">
        <x:v>syazali.saad@petronas.com</x:v>
      </x:c>
      <x:c r="AF134" t="str">
        <x:v>approved</x:v>
      </x:c>
      <x:c r="AG134" t="str">
        <x:v>ec2 provisioned</x:v>
      </x:c>
      <x:c r="AH134" t="n">
        <x:v>46141.121513425926</x:v>
      </x:c>
      <x:c r="AI134" t="str">
        <x:v>mhafizi.madnan@petronas.com</x:v>
      </x:c>
      <x:c r="AJ134" t="str">
        <x:v>approved</x:v>
      </x:c>
      <x:c r="AK134" t="str">
        <x:v>REQ000008006244</x:v>
      </x:c>
      <x:c r="AL134" t="str">
        <x:v>cc71964c-37e4-4a55-80e9-353ad3690f75</x:v>
      </x:c>
      <x:c r="AM134" s="23" t="str">
        <x:f>IF(E134="processing",IF(Z134="","",IF(ISNUMBER(Z134),INT(Z134),DATE(VALUE(LEFT(Z134,4)),VALUE(MID(Z134,6,2)),VALUE(MID(Z134,9,2))))),IF(OR(E134="executing",E134="pending"),IF(AD134="","",IF(ISNUMBER(AD134),INT(AD134),DATE(VALUE(LEFT(AD134,4)),VALUE(MID(AD134,6,2)),VALUE(MID(AD134,9,2))))),""))</x:f>
      </x:c>
      <x:c r="AN134" s="24" t="str">
        <x:f>IF(AM134="","",INT('Configuration'!$B$4)-AM134)</x:f>
      </x:c>
      <x:c r="AO134" s="25" t="str">
        <x:f>IF(AM134="","Missing Required Date",IF(AN134&lt;0,"Future Date",IF(AN134=0,"0 days",IF(AN134&lt;=2,"1-2 days",IF(AN134&lt;=7,"3-7 days",IF(AN134&lt;=14,"8-14 days",IF(AN134&lt;=30,"15-30 days",IF(AN134&lt;=60,"31-60 days",IF(AN134&lt;=70,"61-70 days","71+ days")))))))))</x:f>
        <x:v>Missing Required Date</x:v>
      </x:c>
      <x:c r="AP134" s="25" t="str">
        <x:f>IF(OR(E134="processing",E134="executing",E134="pending"),IF(AM134="","Required aging date missing",IF(AN134&gt;30,"Escalate &gt;30d",IF(AN134&gt;14,"Watch &gt;14d","Within 14d"))),"Out of scope")</x:f>
        <x:v>Out of scope</x:v>
      </x:c>
    </x:row>
    <x:row r="135" ht="24" customHeight="1">
      <x:c r="A135" t="str">
        <x:v>e3931116-b96b-4e5e-833f-dfb0c8d4f537</x:v>
      </x:c>
      <x:c r="B135" t="str">
        <x:v>CSSP10547846</x:v>
      </x:c>
      <x:c r="C135" t="str">
        <x:v>ahmadaizuddin.badry@petronas.com</x:v>
      </x:c>
      <x:c r="D135" t="str">
        <x:v>provision-cloud-public</x:v>
      </x:c>
      <x:c r="E135" t="str">
        <x:v>completed</x:v>
      </x:c>
      <x:c r="F135" t="n">
        <x:v>46134.11422584491</x:v>
      </x:c>
      <x:c r="G135" t="n">
        <x:v>46134.11422584491</x:v>
      </x:c>
      <x:c r="H135" t="n">
        <x:v>46155.17787675926</x:v>
      </x:c>
      <x:c r="I135" t="str">
        <x:v>A-000490</x:v>
      </x:c>
      <x:c r="J135" t="str">
        <x:v>MyProcure</x:v>
      </x:c>
      <x:c r="K135" t="n">
        <x:v>4343</x:v>
      </x:c>
      <x:c r="L135" t="str">
        <x:v>Procurement Innovation Through Automation And Procurement Marketplace</x:v>
      </x:c>
      <x:c r="M135" t="str">
        <x:v>amirshazlan.mshah@petronas.com.my</x:v>
      </x:c>
      <x:c r="N135" t="str">
        <x:v>Procurement AI</x:v>
      </x:c>
      <x:c r="O135" t="str">
        <x:v>New</x:v>
      </x:c>
      <x:c r="P135" t="str">
        <x:v>Development</x:v>
      </x:c>
      <x:c r="Q135" t="str">
        <x:v>Add to resource group PTAZSG-IAC-DEV-GPDATA-RG</x:v>
      </x:c>
      <x:c r="R135" t="str">
        <x:v>L</x:v>
      </x:c>
      <x:c r="S135"/>
      <x:c r="T135"/>
      <x:c r="U135" t="str">
        <x:v>approved for dev purpose</x:v>
      </x:c>
      <x:c r="V135" t="n">
        <x:v>46134.26364800926</x:v>
      </x:c>
      <x:c r="W135" t="str">
        <x:v>amirshazlan.mshah@petronas.com</x:v>
      </x:c>
      <x:c r="X135" t="str">
        <x:v>approved</x:v>
      </x:c>
      <x:c r="Y135" t="str">
        <x:v>Good to go</x:v>
      </x:c>
      <x:c r="Z135" t="n">
        <x:v>46136.41965225695</x:v>
      </x:c>
      <x:c r="AA135" t="str">
        <x:v>samsuddin.jumbri@petronas.com</x:v>
      </x:c>
      <x:c r="AB135" t="str">
        <x:v>approved</x:v>
      </x:c>
      <x:c r="AC135" t="str">
        <x:v>work with badri / luis on the databricks.
</x:v>
      </x:c>
      <x:c r="AD135" t="n">
        <x:v>46141.333839618055</x:v>
      </x:c>
      <x:c r="AE135" t="str">
        <x:v>syazali.saad@petronas.com</x:v>
      </x:c>
      <x:c r="AF135" t="str">
        <x:v>approved</x:v>
      </x:c>
      <x:c r="AG135" t="str">
        <x:v>completed</x:v>
      </x:c>
      <x:c r="AH135" t="n">
        <x:v>46155.17787675926</x:v>
      </x:c>
      <x:c r="AI135" t="str">
        <x:v>akhmal.roslan@petronas.com</x:v>
      </x:c>
      <x:c r="AJ135" t="str">
        <x:v>approved</x:v>
      </x:c>
      <x:c r="AK135" t="str">
        <x:v>REQ000008019447</x:v>
      </x:c>
      <x:c r="AL135" t="str">
        <x:v>e1827a6c-e18c-4500-94be-16de9cbb9e7c</x:v>
      </x:c>
      <x:c r="AM135" s="23" t="str">
        <x:f>IF(E135="processing",IF(Z135="","",IF(ISNUMBER(Z135),INT(Z135),DATE(VALUE(LEFT(Z135,4)),VALUE(MID(Z135,6,2)),VALUE(MID(Z135,9,2))))),IF(OR(E135="executing",E135="pending"),IF(AD135="","",IF(ISNUMBER(AD135),INT(AD135),DATE(VALUE(LEFT(AD135,4)),VALUE(MID(AD135,6,2)),VALUE(MID(AD135,9,2))))),""))</x:f>
      </x:c>
      <x:c r="AN135" s="24" t="str">
        <x:f>IF(AM135="","",INT('Configuration'!$B$4)-AM135)</x:f>
      </x:c>
      <x:c r="AO135" s="25" t="str">
        <x:f>IF(AM135="","Missing Required Date",IF(AN135&lt;0,"Future Date",IF(AN135=0,"0 days",IF(AN135&lt;=2,"1-2 days",IF(AN135&lt;=7,"3-7 days",IF(AN135&lt;=14,"8-14 days",IF(AN135&lt;=30,"15-30 days",IF(AN135&lt;=60,"31-60 days",IF(AN135&lt;=70,"61-70 days","71+ days")))))))))</x:f>
        <x:v>Missing Required Date</x:v>
      </x:c>
      <x:c r="AP135" s="25" t="str">
        <x:f>IF(OR(E135="processing",E135="executing",E135="pending"),IF(AM135="","Required aging date missing",IF(AN135&gt;30,"Escalate &gt;30d",IF(AN135&gt;14,"Watch &gt;14d","Within 14d"))),"Out of scope")</x:f>
        <x:v>Out of scope</x:v>
      </x:c>
    </x:row>
    <x:row r="136" ht="24" customHeight="1">
      <x:c r="A136" t="str">
        <x:v>1618794a-db69-462e-9559-41e3b603d54e</x:v>
      </x:c>
      <x:c r="B136" t="str">
        <x:v>CSSP10697511</x:v>
      </x:c>
      <x:c r="C136" t="str">
        <x:v>azad.johari@petronas.com</x:v>
      </x:c>
      <x:c r="D136" t="str">
        <x:v>provision-cloud-public</x:v>
      </x:c>
      <x:c r="E136" t="str">
        <x:v>completed</x:v>
      </x:c>
      <x:c r="F136" t="n">
        <x:v>46135.11258994213</x:v>
      </x:c>
      <x:c r="G136" t="n">
        <x:v>46135.11258994213</x:v>
      </x:c>
      <x:c r="H136" t="n">
        <x:v>46204.25907130787</x:v>
      </x:c>
      <x:c r="I136" t="str">
        <x:v>A-000271</x:v>
      </x:c>
      <x:c r="J136" t="str">
        <x:v>PETRONAS Education Sponsorship Programme Web</x:v>
      </x:c>
      <x:c r="K136" t="str">
        <x:v>00915_83</x:v>
      </x:c>
      <x:c r="L136" t="str">
        <x:v>Cloud Migration Program - PETRONAS Education Sponsorship Programme ESMS.NET 2.0</x:v>
      </x:c>
      <x:c r="M136" t="str">
        <x:v>amirshazlan.mshah@petronas.com</x:v>
      </x:c>
      <x:c r="N136" t="str">
        <x:v>EducationSponsorship</x:v>
      </x:c>
      <x:c r="O136" t="str">
        <x:v>New</x:v>
      </x:c>
      <x:c r="P136" t="str">
        <x:v>Production</x:v>
      </x:c>
      <x:c r="Q136" t="str">
        <x:v>add KV and FD</x:v>
      </x:c>
      <x:c r="R136" t="str">
        <x:v>S</x:v>
      </x:c>
      <x:c r="S136"/>
      <x:c r="T136"/>
      <x:c r="U136" t="str">
        <x:v>approved but need to see whether other CDN besides Front Door is available with lower cost</x:v>
      </x:c>
      <x:c r="V136" t="n">
        <x:v>46135.119771921294</x:v>
      </x:c>
      <x:c r="W136" t="str">
        <x:v>amirshazlan.mshah@petronas.com</x:v>
      </x:c>
      <x:c r="X136" t="str">
        <x:v>approved</x:v>
      </x:c>
      <x:c r="Y136" t="str">
        <x:v>Good to go</x:v>
      </x:c>
      <x:c r="Z136" t="n">
        <x:v>46136.42029297454</x:v>
      </x:c>
      <x:c r="AA136" t="str">
        <x:v>samsuddin.jumbri@petronas.com</x:v>
      </x:c>
      <x:c r="AB136" t="str">
        <x:v>approved</x:v>
      </x:c>
      <x:c r="AC136" t="str">
        <x:v>dev and prod. olz. PTAZSG-PROD-ESMS-RG, PTAZSG-DEV-ESMS-RG
</x:v>
      </x:c>
      <x:c r="AD136" t="n">
        <x:v>46142.315312025465</x:v>
      </x:c>
      <x:c r="AE136" t="str">
        <x:v>syazali.saad@petronas.com</x:v>
      </x:c>
      <x:c r="AF136" t="str">
        <x:v>approved</x:v>
      </x:c>
      <x:c r="AG136" t="str">
        <x:v>done;</x:v>
      </x:c>
      <x:c r="AH136" t="n">
        <x:v>46204.259071319444</x:v>
      </x:c>
      <x:c r="AI136" t="str">
        <x:v>izham.ajmaan@petronas.com</x:v>
      </x:c>
      <x:c r="AJ136" t="str">
        <x:v>approved</x:v>
      </x:c>
      <x:c r="AK136" t="str">
        <x:v>REQ000008021758</x:v>
      </x:c>
      <x:c r="AL136" t="str">
        <x:v>29a27bbf-d3a1-4b49-8c7a-d475a28d955c</x:v>
      </x:c>
      <x:c r="AM136" s="23" t="str">
        <x:f>IF(E136="processing",IF(Z136="","",IF(ISNUMBER(Z136),INT(Z136),DATE(VALUE(LEFT(Z136,4)),VALUE(MID(Z136,6,2)),VALUE(MID(Z136,9,2))))),IF(OR(E136="executing",E136="pending"),IF(AD136="","",IF(ISNUMBER(AD136),INT(AD136),DATE(VALUE(LEFT(AD136,4)),VALUE(MID(AD136,6,2)),VALUE(MID(AD136,9,2))))),""))</x:f>
      </x:c>
      <x:c r="AN136" s="24" t="str">
        <x:f>IF(AM136="","",INT('Configuration'!$B$4)-AM136)</x:f>
      </x:c>
      <x:c r="AO136" s="25" t="str">
        <x:f>IF(AM136="","Missing Required Date",IF(AN136&lt;0,"Future Date",IF(AN136=0,"0 days",IF(AN136&lt;=2,"1-2 days",IF(AN136&lt;=7,"3-7 days",IF(AN136&lt;=14,"8-14 days",IF(AN136&lt;=30,"15-30 days",IF(AN136&lt;=60,"31-60 days",IF(AN136&lt;=70,"61-70 days","71+ days")))))))))</x:f>
        <x:v>Missing Required Date</x:v>
      </x:c>
      <x:c r="AP136" s="25" t="str">
        <x:f>IF(OR(E136="processing",E136="executing",E136="pending"),IF(AM136="","Required aging date missing",IF(AN136&gt;30,"Escalate &gt;30d",IF(AN136&gt;14,"Watch &gt;14d","Within 14d"))),"Out of scope")</x:f>
        <x:v>Out of scope</x:v>
      </x:c>
    </x:row>
    <x:row r="137" ht="24" customHeight="1">
      <x:c r="A137" t="str">
        <x:v>5f53e6fc-eecd-4fcb-9bfd-77eb5aee6542</x:v>
      </x:c>
      <x:c r="B137" t="str">
        <x:v>CSSP10594123</x:v>
      </x:c>
      <x:c r="C137" t="str">
        <x:v>mohamadsyafiq.mnoor@petronas.com</x:v>
      </x:c>
      <x:c r="D137" t="str">
        <x:v>provision-cloud-public</x:v>
      </x:c>
      <x:c r="E137" t="str">
        <x:v>completed</x:v>
      </x:c>
      <x:c r="F137" t="n">
        <x:v>46135.350320335645</x:v>
      </x:c>
      <x:c r="G137" t="n">
        <x:v>46135.350320335645</x:v>
      </x:c>
      <x:c r="H137" t="n">
        <x:v>46153.10953412037</x:v>
      </x:c>
      <x:c r="I137" t="str">
        <x:v>A-001307</x:v>
      </x:c>
      <x:c r="J137" t="str">
        <x:v>Azure Machine Learning - PRPC</x:v>
      </x:c>
      <x:c r="K137" t="n">
        <x:v>4739</x:v>
      </x:c>
      <x:c r="L137" t="str">
        <x:v>Run &amp; Maintain Citizen Analytics Use Cases for PRPC</x:v>
      </x:c>
      <x:c r="M137" t="str">
        <x:v>khairulnizam.bahari@petronas.com.my</x:v>
      </x:c>
      <x:c r="N137" t="str">
        <x:v>Citizen-Analytics</x:v>
      </x:c>
      <x:c r="O137" t="str">
        <x:v>New</x:v>
      </x:c>
      <x:c r="P137" t="str">
        <x:v>Production</x:v>
      </x:c>
      <x:c r="Q137" t="str">
        <x:v>Request to provision compute instance (with virtual network enabled) for each of the following Azure ML workspaces:
1(a). Workspace Name: PTAZSG-1CA-COOL-WTR-PUMP
2(b). Workspace URL: https://ml.azure.com/?tid=3b2e8941-7948-4131-978a-b2dfc7295091&amp;wsid=/subscriptions/7003ae80-02ed-43c8-9c84-c16f3d931f2f/resourcegroups/PTAZSG-IAC-DAA-PROD-DOWNSTREAM-PRPC-RG/providers/Microsoft.MachineLearningServices/workspaces/PTAZSG-1CA-COOL-WTR-PUMP
Assigned New User:
1. Kamelia Izzati Rozaini (POCM/PRPC) - kameliaizzati.rozain@petronas.com.my
2.Farah Fuaad (OEf/PRPC) - farah.fuaad@petronas.com.my</x:v>
      </x:c>
      <x:c r="R137" t="str">
        <x:v>S</x:v>
      </x:c>
      <x:c r="S137"/>
      <x:c r="T137"/>
      <x:c r="U137" t="str">
        <x:v>Add 2 new users from PRPC for Cooling Water Pump Workspace use case</x:v>
      </x:c>
      <x:c r="V137" t="n">
        <x:v>46135.358594398145</x:v>
      </x:c>
      <x:c r="W137" t="str">
        <x:v>khairulnizam.bahari@petronas.com</x:v>
      </x:c>
      <x:c r="X137" t="str">
        <x:v>approved</x:v>
      </x:c>
      <x:c r="Y137" t="str">
        <x:v>Good to go</x:v>
      </x:c>
      <x:c r="Z137" t="n">
        <x:v>46136.42092960648</x:v>
      </x:c>
      <x:c r="AA137" t="str">
        <x:v>samsuddin.jumbri@petronas.com</x:v>
      </x:c>
      <x:c r="AB137" t="str">
        <x:v>approved</x:v>
      </x:c>
      <x:c r="AC137" t="str">
        <x:v>create ML compute.
workspace PTAZSG-1CA-COOL-WTR-PUMP</x:v>
      </x:c>
      <x:c r="AD137" t="n">
        <x:v>46141.32842100695</x:v>
      </x:c>
      <x:c r="AE137" t="str">
        <x:v>syazali.saad@petronas.com</x:v>
      </x:c>
      <x:c r="AF137" t="str">
        <x:v>approved</x:v>
      </x:c>
      <x:c r="AG137" t="str">
        <x:v>provision done. </x:v>
      </x:c>
      <x:c r="AH137" t="n">
        <x:v>46153.10953414352</x:v>
      </x:c>
      <x:c r="AI137" t="str">
        <x:v>azhan.shazeli@petronas.com</x:v>
      </x:c>
      <x:c r="AJ137" t="str">
        <x:v>approved</x:v>
      </x:c>
      <x:c r="AK137" t="str">
        <x:v>REQ000008019830</x:v>
      </x:c>
      <x:c r="AL137" t="str">
        <x:v>175979a6-0134-4d4e-b3f1-5ff77e1fdf7f</x:v>
      </x:c>
      <x:c r="AM137" s="23" t="str">
        <x:f>IF(E137="processing",IF(Z137="","",IF(ISNUMBER(Z137),INT(Z137),DATE(VALUE(LEFT(Z137,4)),VALUE(MID(Z137,6,2)),VALUE(MID(Z137,9,2))))),IF(OR(E137="executing",E137="pending"),IF(AD137="","",IF(ISNUMBER(AD137),INT(AD137),DATE(VALUE(LEFT(AD137,4)),VALUE(MID(AD137,6,2)),VALUE(MID(AD137,9,2))))),""))</x:f>
      </x:c>
      <x:c r="AN137" s="24" t="str">
        <x:f>IF(AM137="","",INT('Configuration'!$B$4)-AM137)</x:f>
      </x:c>
      <x:c r="AO137" s="25" t="str">
        <x:f>IF(AM137="","Missing Required Date",IF(AN137&lt;0,"Future Date",IF(AN137=0,"0 days",IF(AN137&lt;=2,"1-2 days",IF(AN137&lt;=7,"3-7 days",IF(AN137&lt;=14,"8-14 days",IF(AN137&lt;=30,"15-30 days",IF(AN137&lt;=60,"31-60 days",IF(AN137&lt;=70,"61-70 days","71+ days")))))))))</x:f>
        <x:v>Missing Required Date</x:v>
      </x:c>
      <x:c r="AP137" s="25" t="str">
        <x:f>IF(OR(E137="processing",E137="executing",E137="pending"),IF(AM137="","Required aging date missing",IF(AN137&gt;30,"Escalate &gt;30d",IF(AN137&gt;14,"Watch &gt;14d","Within 14d"))),"Out of scope")</x:f>
        <x:v>Out of scope</x:v>
      </x:c>
    </x:row>
    <x:row r="138" ht="24" customHeight="1">
      <x:c r="A138" t="str">
        <x:v>a58ff428-eda6-4919-8a1e-bbefb91806fe</x:v>
      </x:c>
      <x:c r="B138" t="str">
        <x:v>CSSP10893583</x:v>
      </x:c>
      <x:c r="C138" t="str">
        <x:v>amarsyafiq.azma@petronas.com</x:v>
      </x:c>
      <x:c r="D138" t="str">
        <x:v>provision-cloud-public</x:v>
      </x:c>
      <x:c r="E138" t="str">
        <x:v>rejected</x:v>
      </x:c>
      <x:c r="F138" t="n">
        <x:v>46138.6525341088</x:v>
      </x:c>
      <x:c r="G138" t="n">
        <x:v>46138.6525341088</x:v>
      </x:c>
      <x:c r="H138" t="n">
        <x:v>46147.16422601852</x:v>
      </x:c>
      <x:c r="I138" t="str">
        <x:v>A-000285</x:v>
      </x:c>
      <x:c r="J138" t="str">
        <x:v>Enterprise Application Observability</x:v>
      </x:c>
      <x:c r="K138" t="str">
        <x:v>PC-00002</x:v>
      </x:c>
      <x:c r="L138" t="str">
        <x:v>Enterprise Application Observability</x:v>
      </x:c>
      <x:c r="M138" t="str">
        <x:v>chewjian.shin@petronas.com</x:v>
      </x:c>
      <x:c r="N138" t="str">
        <x:v>Enterprise Observability</x:v>
      </x:c>
      <x:c r="O138" t="str">
        <x:v>Repat</x:v>
      </x:c>
      <x:c r="P138" t="str">
        <x:v>StagingUat</x:v>
      </x:c>
      <x:c r="Q138" t="str">
        <x:v>Enterprise Application Observability (Elastic Stack) Repatriation &amp; Modernization - Staging Environment</x:v>
      </x:c>
      <x:c r="R138"/>
      <x:c r="S138"/>
      <x:c r="T138"/>
      <x:c r="U138" t="str">
        <x:v>[System] Stage pre-approved for Cloud Repatriation project</x:v>
      </x:c>
      <x:c r="V138" t="n">
        <x:v>46138.6525341088</x:v>
      </x:c>
      <x:c r="W138" t="str">
        <x:v>chewjian.shin@petronas.com</x:v>
      </x:c>
      <x:c r="X138" t="str">
        <x:v>approved</x:v>
      </x:c>
      <x:c r="Y138" t="str">
        <x:v>[System] Stage pre-approved for Cloud Repatriation project</x:v>
      </x:c>
      <x:c r="Z138" t="n">
        <x:v>46138.6525341088</x:v>
      </x:c>
      <x:c r="AA138" t="str">
        <x:v>CCoE Demand</x:v>
      </x:c>
      <x:c r="AB138" t="str">
        <x:v>approved</x:v>
      </x:c>
      <x:c r="AC138" t="str">
        <x:v>This is not under Cloud Repartriation list, instead owned by Application team. please submit normal CSSP provisioning request as this form is used for record only of Cloud team's repartriation program.
https://cssp.petronas.com/request/provisioning/cloud/public/new
in addition,
kindly attach relevant opsr/memo/dac approval for confirming the compliance and chargeback for the additional resource cost for the new deployment.
i'm not able to approve both technical and commercial without these documents in place, especially since this application was originally deployed as POC tagged resources.</x:v>
      </x:c>
      <x:c r="AD138" t="n">
        <x:v>46147.164226030094</x:v>
      </x:c>
      <x:c r="AE138" t="str">
        <x:v>syazali.saad@petronas.com</x:v>
      </x:c>
      <x:c r="AF138" t="str">
        <x:v>rejected</x:v>
      </x:c>
      <x:c r="AG138"/>
      <x:c r="AH138"/>
      <x:c r="AI138" t="str">
        <x:v>CCoE Core Services (Public)</x:v>
      </x:c>
      <x:c r="AJ138"/>
      <x:c r="AK138"/>
      <x:c r="AL138" t="str">
        <x:v>66d4ebcb-ad48-4d93-a2d3-c759ef6af5c8</x:v>
      </x:c>
      <x:c r="AM138" s="23" t="str">
        <x:f>IF(E138="processing",IF(Z138="","",IF(ISNUMBER(Z138),INT(Z138),DATE(VALUE(LEFT(Z138,4)),VALUE(MID(Z138,6,2)),VALUE(MID(Z138,9,2))))),IF(OR(E138="executing",E138="pending"),IF(AD138="","",IF(ISNUMBER(AD138),INT(AD138),DATE(VALUE(LEFT(AD138,4)),VALUE(MID(AD138,6,2)),VALUE(MID(AD138,9,2))))),""))</x:f>
      </x:c>
      <x:c r="AN138" s="24" t="str">
        <x:f>IF(AM138="","",INT('Configuration'!$B$4)-AM138)</x:f>
      </x:c>
      <x:c r="AO138" s="25" t="str">
        <x:f>IF(AM138="","Missing Required Date",IF(AN138&lt;0,"Future Date",IF(AN138=0,"0 days",IF(AN138&lt;=2,"1-2 days",IF(AN138&lt;=7,"3-7 days",IF(AN138&lt;=14,"8-14 days",IF(AN138&lt;=30,"15-30 days",IF(AN138&lt;=60,"31-60 days",IF(AN138&lt;=70,"61-70 days","71+ days")))))))))</x:f>
        <x:v>Missing Required Date</x:v>
      </x:c>
      <x:c r="AP138" s="25" t="str">
        <x:f>IF(OR(E138="processing",E138="executing",E138="pending"),IF(AM138="","Required aging date missing",IF(AN138&gt;30,"Escalate &gt;30d",IF(AN138&gt;14,"Watch &gt;14d","Within 14d"))),"Out of scope")</x:f>
        <x:v>Out of scope</x:v>
      </x:c>
    </x:row>
    <x:row r="139" ht="24" customHeight="1">
      <x:c r="A139" t="str">
        <x:v>ff430273-3df7-4d39-9972-76ff3721e71e</x:v>
      </x:c>
      <x:c r="B139" t="str">
        <x:v>CSSP10407326</x:v>
      </x:c>
      <x:c r="C139" t="str">
        <x:v>suliza.sumari@petronas.com</x:v>
      </x:c>
      <x:c r="D139" t="str">
        <x:v>provision-cloud-public</x:v>
      </x:c>
      <x:c r="E139" t="str">
        <x:v>completed</x:v>
      </x:c>
      <x:c r="F139" t="n">
        <x:v>46139.954115381945</x:v>
      </x:c>
      <x:c r="G139" t="n">
        <x:v>46140.07003325231</x:v>
      </x:c>
      <x:c r="H139" t="n">
        <x:v>46167.07282755787</x:v>
      </x:c>
      <x:c r="I139" t="str">
        <x:v>A-000491</x:v>
      </x:c>
      <x:c r="J139" t="str">
        <x:v>MyPROData</x:v>
      </x:c>
      <x:c r="K139" t="n">
        <x:v>4583</x:v>
      </x:c>
      <x:c r="L139" t="str">
        <x:v>Shared Support Services (SecOps) myPROdata FY2025 for Malaysia Petroleum Management (MPM)</x:v>
      </x:c>
      <x:c r="M139" t="str">
        <x:v>wadiah.rusli@petronas.com.my</x:v>
      </x:c>
      <x:c r="N139" t="str">
        <x:v>myPROdata</x:v>
      </x:c>
      <x:c r="O139" t="str">
        <x:v>Modify</x:v>
      </x:c>
      <x:c r="P139" t="str">
        <x:v>StagingUat</x:v>
      </x:c>
      <x:c r="Q139" t="str">
        <x:v>Upgrading staging server for myPRODATA to a latest version (from PTAWSG-3COC-RHEL8.6-20230608 to
PTAWSG-3COC-RHEL9.0-20250428). Refer to file MBR-_AWS_EstimateCost_v32 for spec in staging. </x:v>
      </x:c>
      <x:c r="R139" t="str">
        <x:v>M</x:v>
      </x:c>
      <x:c r="S139"/>
      <x:c r="T139"/>
      <x:c r="U139" t="str">
        <x:v>Approved. Please expedite the provisioning.</x:v>
      </x:c>
      <x:c r="V139" t="n">
        <x:v>46140.070940578706</x:v>
      </x:c>
      <x:c r="W139" t="str">
        <x:v>wadiah.rusli@petronas.com</x:v>
      </x:c>
      <x:c r="X139" t="str">
        <x:v>approved</x:v>
      </x:c>
      <x:c r="Y139" t="str">
        <x:v>Approved. Server to upgrade is PTASWG-4MBRDB01 (10.84.47.252)</x:v>
      </x:c>
      <x:c r="Z139" t="n">
        <x:v>46140.10923364583</x:v>
      </x:c>
      <x:c r="AA139" t="str">
        <x:v>kianleng.geh@petronas.com</x:v>
      </x:c>
      <x:c r="AB139" t="str">
        <x:v>approved</x:v>
      </x:c>
      <x:c r="AC139" t="str">
        <x:v>just deploy new vm with new os.
if upgrade work only then backup and upgrade only but require RFC. 
looping in unix team to work on this.</x:v>
      </x:c>
      <x:c r="AD139" t="n">
        <x:v>46141.335422986114</x:v>
      </x:c>
      <x:c r="AE139" t="str">
        <x:v>syazali.saad@petronas.com</x:v>
      </x:c>
      <x:c r="AF139" t="str">
        <x:v>approved</x:v>
      </x:c>
      <x:c r="AG139" t="str">
        <x:v>Completed</x:v>
      </x:c>
      <x:c r="AH139" t="n">
        <x:v>46167.07282755787</x:v>
      </x:c>
      <x:c r="AI139" t="str">
        <x:v>badri.shaharudin@petronas.com</x:v>
      </x:c>
      <x:c r="AJ139" t="str">
        <x:v>approved</x:v>
      </x:c>
      <x:c r="AK139" t="str">
        <x:v>REQ000008019833</x:v>
      </x:c>
      <x:c r="AL139" t="str">
        <x:v>ebc92a57-efcb-4ea1-91f3-f2e35a11c936</x:v>
      </x:c>
      <x:c r="AM139" s="23" t="str">
        <x:f>IF(E139="processing",IF(Z139="","",IF(ISNUMBER(Z139),INT(Z139),DATE(VALUE(LEFT(Z139,4)),VALUE(MID(Z139,6,2)),VALUE(MID(Z139,9,2))))),IF(OR(E139="executing",E139="pending"),IF(AD139="","",IF(ISNUMBER(AD139),INT(AD139),DATE(VALUE(LEFT(AD139,4)),VALUE(MID(AD139,6,2)),VALUE(MID(AD139,9,2))))),""))</x:f>
      </x:c>
      <x:c r="AN139" s="24" t="str">
        <x:f>IF(AM139="","",INT('Configuration'!$B$4)-AM139)</x:f>
      </x:c>
      <x:c r="AO139" s="25" t="str">
        <x:f>IF(AM139="","Missing Required Date",IF(AN139&lt;0,"Future Date",IF(AN139=0,"0 days",IF(AN139&lt;=2,"1-2 days",IF(AN139&lt;=7,"3-7 days",IF(AN139&lt;=14,"8-14 days",IF(AN139&lt;=30,"15-30 days",IF(AN139&lt;=60,"31-60 days",IF(AN139&lt;=70,"61-70 days","71+ days")))))))))</x:f>
        <x:v>Missing Required Date</x:v>
      </x:c>
      <x:c r="AP139" s="25" t="str">
        <x:f>IF(OR(E139="processing",E139="executing",E139="pending"),IF(AM139="","Required aging date missing",IF(AN139&gt;30,"Escalate &gt;30d",IF(AN139&gt;14,"Watch &gt;14d","Within 14d"))),"Out of scope")</x:f>
        <x:v>Out of scope</x:v>
      </x:c>
    </x:row>
    <x:row r="140" ht="24" customHeight="1">
      <x:c r="A140" t="str">
        <x:v>cf7bcefb-51ff-41a3-93ab-18cf4f29b645</x:v>
      </x:c>
      <x:c r="B140" t="str">
        <x:v>CSSP10574214</x:v>
      </x:c>
      <x:c r="C140" t="str">
        <x:v>azad.johari@petronas.com</x:v>
      </x:c>
      <x:c r="D140" t="str">
        <x:v>provision-cloud-public</x:v>
      </x:c>
      <x:c r="E140" t="str">
        <x:v>completed</x:v>
      </x:c>
      <x:c r="F140" t="n">
        <x:v>46140.07837681713</x:v>
      </x:c>
      <x:c r="G140" t="n">
        <x:v>46140.07837681713</x:v>
      </x:c>
      <x:c r="H140" t="n">
        <x:v>46167.027652372686</x:v>
      </x:c>
      <x:c r="I140" t="str">
        <x:v>A-000775</x:v>
      </x:c>
      <x:c r="J140" t="str">
        <x:v>Sharing Knowledge Information and Lesson Learnt - SKILL</x:v>
      </x:c>
      <x:c r="K140" t="n">
        <x:v>617</x:v>
      </x:c>
      <x:c r="L140" t="str">
        <x:v>Enhancement of Sharing Knowledge Information &amp; Lessons Learnt (SKILL) System for PD&amp;T</x:v>
      </x:c>
      <x:c r="M140" t="str">
        <x:v>amirshazlan.mshah@petronas.com</x:v>
      </x:c>
      <x:c r="N140" t="str">
        <x:v>SKILL</x:v>
      </x:c>
      <x:c r="O140" t="str">
        <x:v>New</x:v>
      </x:c>
      <x:c r="P140" t="str">
        <x:v>Production</x:v>
      </x:c>
      <x:c r="Q140" t="str">
        <x:v>The new resource is for business to migrate their data to Sharepoint. The app going to be decom after the migration.</x:v>
      </x:c>
      <x:c r="R140" t="str">
        <x:v>L</x:v>
      </x:c>
      <x:c r="S140"/>
      <x:c r="T140"/>
      <x:c r="U140" t="str">
        <x:v>approved</x:v>
      </x:c>
      <x:c r="V140" t="n">
        <x:v>46140.24601982639</x:v>
      </x:c>
      <x:c r="W140" t="str">
        <x:v>amirshazlan.mshah@petronas.com</x:v>
      </x:c>
      <x:c r="X140" t="str">
        <x:v>approved</x:v>
      </x:c>
      <x:c r="Y140" t="str">
        <x:v>Good to go</x:v>
      </x:c>
      <x:c r="Z140" t="n">
        <x:v>46146.09180310185</x:v>
      </x:c>
      <x:c r="AA140" t="str">
        <x:v>samsuddin.jumbri@petronas.com</x:v>
      </x:c>
      <x:c r="AB140" t="str">
        <x:v>approved</x:v>
      </x:c>
      <x:c r="AC140" t="str">
        <x:v>OLZ, DF and Databricks.</x:v>
      </x:c>
      <x:c r="AD140" t="n">
        <x:v>46146.30136952546</x:v>
      </x:c>
      <x:c r="AE140" t="str">
        <x:v>syazali.saad@petronas.com</x:v>
      </x:c>
      <x:c r="AF140" t="str">
        <x:v>approved</x:v>
      </x:c>
      <x:c r="AG140" t="str">
        <x:v>Resource created in the below RG: 
RG: PTAZSG-PROD-SKILL-RG 
1) Azure data Factory created - ptsg1skilldf01
2) Azure Databricks - ptsg-1skilldbrick01</x:v>
      </x:c>
      <x:c r="AH140" t="n">
        <x:v>46167.02765238426</x:v>
      </x:c>
      <x:c r="AI140" t="str">
        <x:v>yeonghunn.ho@petronas.com</x:v>
      </x:c>
      <x:c r="AJ140" t="str">
        <x:v>approved</x:v>
      </x:c>
      <x:c r="AK140" t="str">
        <x:v>REQ000008026198</x:v>
      </x:c>
      <x:c r="AL140" t="str">
        <x:v>0f87d419-86fa-46c0-b215-d9598f824f7f</x:v>
      </x:c>
      <x:c r="AM140" s="23" t="str">
        <x:f>IF(E140="processing",IF(Z140="","",IF(ISNUMBER(Z140),INT(Z140),DATE(VALUE(LEFT(Z140,4)),VALUE(MID(Z140,6,2)),VALUE(MID(Z140,9,2))))),IF(OR(E140="executing",E140="pending"),IF(AD140="","",IF(ISNUMBER(AD140),INT(AD140),DATE(VALUE(LEFT(AD140,4)),VALUE(MID(AD140,6,2)),VALUE(MID(AD140,9,2))))),""))</x:f>
      </x:c>
      <x:c r="AN140" s="24" t="str">
        <x:f>IF(AM140="","",INT('Configuration'!$B$4)-AM140)</x:f>
      </x:c>
      <x:c r="AO140" s="25" t="str">
        <x:f>IF(AM140="","Missing Required Date",IF(AN140&lt;0,"Future Date",IF(AN140=0,"0 days",IF(AN140&lt;=2,"1-2 days",IF(AN140&lt;=7,"3-7 days",IF(AN140&lt;=14,"8-14 days",IF(AN140&lt;=30,"15-30 days",IF(AN140&lt;=60,"31-60 days",IF(AN140&lt;=70,"61-70 days","71+ days")))))))))</x:f>
        <x:v>Missing Required Date</x:v>
      </x:c>
      <x:c r="AP140" s="25" t="str">
        <x:f>IF(OR(E140="processing",E140="executing",E140="pending"),IF(AM140="","Required aging date missing",IF(AN140&gt;30,"Escalate &gt;30d",IF(AN140&gt;14,"Watch &gt;14d","Within 14d"))),"Out of scope")</x:f>
        <x:v>Out of scope</x:v>
      </x:c>
    </x:row>
    <x:row r="141" ht="24" customHeight="1">
      <x:c r="A141" t="str">
        <x:v>43438d06-9dec-4b14-a3a0-c9a99d8e9c0e</x:v>
      </x:c>
      <x:c r="B141" t="str">
        <x:v>CSSP10698884</x:v>
      </x:c>
      <x:c r="C141" t="str">
        <x:v>mariffirdaus.mkhaidz@petronas.com</x:v>
      </x:c>
      <x:c r="D141" t="str">
        <x:v>provision-cloud-public</x:v>
      </x:c>
      <x:c r="E141" t="str">
        <x:v>completed</x:v>
      </x:c>
      <x:c r="F141" t="n">
        <x:v>46140.2778531713</x:v>
      </x:c>
      <x:c r="G141" t="n">
        <x:v>46141.28870592592</x:v>
      </x:c>
      <x:c r="H141" t="n">
        <x:v>46219.10640052083</x:v>
      </x:c>
      <x:c r="I141" t="str">
        <x:v>A-001346</x:v>
      </x:c>
      <x:c r="J141" t="str">
        <x:v>GPE Digital Platform</x:v>
      </x:c>
      <x:c r="K141" t="str">
        <x:v>SR00331</x:v>
      </x:c>
      <x:c r="L141" t="str">
        <x:v>Quality Suite</x:v>
      </x:c>
      <x:c r="M141" t="str">
        <x:v>msufian.hussein@petronas.com</x:v>
      </x:c>
      <x:c r="N141" t="str">
        <x:v>Quality Suite</x:v>
      </x:c>
      <x:c r="O141" t="str">
        <x:v>New</x:v>
      </x:c>
      <x:c r="P141" t="str">
        <x:v>Development</x:v>
      </x:c>
      <x:c r="Q141" t="str">
        <x:v>The resources listed in the Excel document are crucial for the development team to initiate their work. Please reach out to me via Teams if you need any clarifications on the documents provided</x:v>
      </x:c>
      <x:c r="R141" t="str">
        <x:v>L</x:v>
      </x:c>
      <x:c r="S141"/>
      <x:c r="T141"/>
      <x:c r="U141" t="str">
        <x:v>Approved</x:v>
      </x:c>
      <x:c r="V141" t="n">
        <x:v>46141.31670783565</x:v>
      </x:c>
      <x:c r="W141" t="str">
        <x:v>msufian.hussein@petronas.com</x:v>
      </x:c>
      <x:c r="X141" t="str">
        <x:v>approved</x:v>
      </x:c>
      <x:c r="Y141" t="str">
        <x:v>Good to go for the Dev environment. For Prod and Stg, please raise separate SR.</x:v>
      </x:c>
      <x:c r="Z141" t="n">
        <x:v>46141.351565474535</x:v>
      </x:c>
      <x:c r="AA141" t="str">
        <x:v>samsuddin.jumbri@petronas.com</x:v>
      </x:c>
      <x:c r="AB141" t="str">
        <x:v>approved</x:v>
      </x:c>
      <x:c r="AC141" t="str">
        <x:v>EKS. deploy DEV resource only. Stg and Prod resource will require another CSSP</x:v>
      </x:c>
      <x:c r="AD141" t="n">
        <x:v>46142.321688958335</x:v>
      </x:c>
      <x:c r="AE141" t="str">
        <x:v>syazali.saad@petronas.com</x:v>
      </x:c>
      <x:c r="AF141" t="str">
        <x:v>approved</x:v>
      </x:c>
      <x:c r="AG141" t="str">
        <x:v>provisioning completed. user confirmation on the request</x:v>
      </x:c>
      <x:c r="AH141" t="n">
        <x:v>46219.10640053241</x:v>
      </x:c>
      <x:c r="AI141" t="str">
        <x:v>mhafizi.madnan@petronas.com</x:v>
      </x:c>
      <x:c r="AJ141" t="str">
        <x:v>approved</x:v>
      </x:c>
      <x:c r="AK141" t="str">
        <x:v>REQ000008021766</x:v>
      </x:c>
      <x:c r="AL141" t="str">
        <x:v>868b1bbc-b9be-43ba-8175-d6ca35843984</x:v>
      </x:c>
      <x:c r="AM141" s="23" t="str">
        <x:f>IF(E141="processing",IF(Z141="","",IF(ISNUMBER(Z141),INT(Z141),DATE(VALUE(LEFT(Z141,4)),VALUE(MID(Z141,6,2)),VALUE(MID(Z141,9,2))))),IF(OR(E141="executing",E141="pending"),IF(AD141="","",IF(ISNUMBER(AD141),INT(AD141),DATE(VALUE(LEFT(AD141,4)),VALUE(MID(AD141,6,2)),VALUE(MID(AD141,9,2))))),""))</x:f>
      </x:c>
      <x:c r="AN141" s="24" t="str">
        <x:f>IF(AM141="","",INT('Configuration'!$B$4)-AM141)</x:f>
      </x:c>
      <x:c r="AO141" s="25" t="str">
        <x:f>IF(AM141="","Missing Required Date",IF(AN141&lt;0,"Future Date",IF(AN141=0,"0 days",IF(AN141&lt;=2,"1-2 days",IF(AN141&lt;=7,"3-7 days",IF(AN141&lt;=14,"8-14 days",IF(AN141&lt;=30,"15-30 days",IF(AN141&lt;=60,"31-60 days",IF(AN141&lt;=70,"61-70 days","71+ days")))))))))</x:f>
        <x:v>Missing Required Date</x:v>
      </x:c>
      <x:c r="AP141" s="25" t="str">
        <x:f>IF(OR(E141="processing",E141="executing",E141="pending"),IF(AM141="","Required aging date missing",IF(AN141&gt;30,"Escalate &gt;30d",IF(AN141&gt;14,"Watch &gt;14d","Within 14d"))),"Out of scope")</x:f>
        <x:v>Out of scope</x:v>
      </x:c>
    </x:row>
    <x:row r="142" ht="24" customHeight="1">
      <x:c r="A142" t="str">
        <x:v>7b215cdb-7ad4-4167-9bf1-b1412d34f95f</x:v>
      </x:c>
      <x:c r="B142" t="str">
        <x:v>CSSP10673286</x:v>
      </x:c>
      <x:c r="C142" t="str">
        <x:v>norfazillah.awahab@petronas.com</x:v>
      </x:c>
      <x:c r="D142" t="str">
        <x:v>provision-cloud-public</x:v>
      </x:c>
      <x:c r="E142" t="str">
        <x:v>completed</x:v>
      </x:c>
      <x:c r="F142" t="n">
        <x:v>46142.28472123843</x:v>
      </x:c>
      <x:c r="G142" t="n">
        <x:v>46142.287063599535</x:v>
      </x:c>
      <x:c r="H142" t="n">
        <x:v>46150.09196381945</x:v>
      </x:c>
      <x:c r="I142" t="str">
        <x:v>A-001339</x:v>
      </x:c>
      <x:c r="J142" t="str">
        <x:v>Wells DROID for ENIGMA</x:v>
      </x:c>
      <x:c r="K142" t="str">
        <x:v>SR26947_DROID</x:v>
      </x:c>
      <x:c r="L142" t="str">
        <x:v>ENIGMA JV: Implementation of Wells System and Data for MacCo - DROIDS</x:v>
      </x:c>
      <x:c r="M142" t="str">
        <x:v>nurshida.czakaria@petronas.com.my</x:v>
      </x:c>
      <x:c r="N142" t="str">
        <x:v>ENIgma_DROID</x:v>
      </x:c>
      <x:c r="O142" t="str">
        <x:v>Modify</x:v>
      </x:c>
      <x:c r="P142" t="str">
        <x:v>Development</x:v>
      </x:c>
      <x:c r="Q142" t="str">
        <x:v>SR26947: ENIGMA JV: Implementation of Wells System and Data for MacCo
HLD link : https://myea.petronas.com/HLD/HLDDetails?StatusId=2&amp;LandscapePlatformId=2&amp;IsInfrastructureRequiredInput=true&amp;HLDTypeId=2&amp;LandscapeTypeId=1&amp;HLDId=1766
to increase the existing DROID DB storage + 770GB for enigma testing purposes
Server	ptmy-npupstrm-sqlmi01.2d150e86ba6e.database.windows.net
</x:v>
      </x:c>
      <x:c r="R142" t="str">
        <x:v>M</x:v>
      </x:c>
      <x:c r="S142"/>
      <x:c r="T142"/>
      <x:c r="U142" t="str">
        <x:v>Approved for Enigma implementation </x:v>
      </x:c>
      <x:c r="V142" t="n">
        <x:v>46142.33447068287</x:v>
      </x:c>
      <x:c r="W142" t="str">
        <x:v>nurshida.czakaria@petronas.com</x:v>
      </x:c>
      <x:c r="X142" t="str">
        <x:v>approved</x:v>
      </x:c>
      <x:c r="Y142" t="str">
        <x:v>Approved. Upgrade disk size by additional 768GB for ptmy-npupstrm-sqlmi01. PTAZMY-IAC-NONPROD-UPSTREAM-SQLMI-RG</x:v>
      </x:c>
      <x:c r="Z142" t="n">
        <x:v>46148.06999321759</x:v>
      </x:c>
      <x:c r="AA142" t="str">
        <x:v>kianleng.geh@petronas.com</x:v>
      </x:c>
      <x:c r="AB142" t="str">
        <x:v>approved</x:v>
      </x:c>
      <x:c r="AC142" t="str">
        <x:v>ENIGMA app.</x:v>
      </x:c>
      <x:c r="AD142" t="n">
        <x:v>46148.08325672454</x:v>
      </x:c>
      <x:c r="AE142" t="str">
        <x:v>syazali.saad@petronas.com</x:v>
      </x:c>
      <x:c r="AF142" t="str">
        <x:v>approved</x:v>
      </x:c>
      <x:c r="AG142" t="str">
        <x:v>Completed</x:v>
      </x:c>
      <x:c r="AH142" t="n">
        <x:v>46150.09196381945</x:v>
      </x:c>
      <x:c r="AI142" t="str">
        <x:v>badri.shaharudin@petronas.com</x:v>
      </x:c>
      <x:c r="AJ142" t="str">
        <x:v>approved</x:v>
      </x:c>
      <x:c r="AK142" t="str">
        <x:v>REQ000008031184</x:v>
      </x:c>
      <x:c r="AL142"/>
      <x:c r="AM142" s="23" t="str">
        <x:f>IF(E142="processing",IF(Z142="","",IF(ISNUMBER(Z142),INT(Z142),DATE(VALUE(LEFT(Z142,4)),VALUE(MID(Z142,6,2)),VALUE(MID(Z142,9,2))))),IF(OR(E142="executing",E142="pending"),IF(AD142="","",IF(ISNUMBER(AD142),INT(AD142),DATE(VALUE(LEFT(AD142,4)),VALUE(MID(AD142,6,2)),VALUE(MID(AD142,9,2))))),""))</x:f>
      </x:c>
      <x:c r="AN142" s="24" t="str">
        <x:f>IF(AM142="","",INT('Configuration'!$B$4)-AM142)</x:f>
      </x:c>
      <x:c r="AO142" s="25" t="str">
        <x:f>IF(AM142="","Missing Required Date",IF(AN142&lt;0,"Future Date",IF(AN142=0,"0 days",IF(AN142&lt;=2,"1-2 days",IF(AN142&lt;=7,"3-7 days",IF(AN142&lt;=14,"8-14 days",IF(AN142&lt;=30,"15-30 days",IF(AN142&lt;=60,"31-60 days",IF(AN142&lt;=70,"61-70 days","71+ days")))))))))</x:f>
        <x:v>Missing Required Date</x:v>
      </x:c>
      <x:c r="AP142" s="25" t="str">
        <x:f>IF(OR(E142="processing",E142="executing",E142="pending"),IF(AM142="","Required aging date missing",IF(AN142&gt;30,"Escalate &gt;30d",IF(AN142&gt;14,"Watch &gt;14d","Within 14d"))),"Out of scope")</x:f>
        <x:v>Out of scope</x:v>
      </x:c>
    </x:row>
    <x:row r="143" ht="24" customHeight="1">
      <x:c r="A143" t="str">
        <x:v>662ddf7f-7aa1-4f4c-8804-11c0855e9276</x:v>
      </x:c>
      <x:c r="B143" t="str">
        <x:v>CSSP10771558</x:v>
      </x:c>
      <x:c r="C143" t="str">
        <x:v>theebban.tamizarasu@petronas.com</x:v>
      </x:c>
      <x:c r="D143" t="str">
        <x:v>provision-cloud-public</x:v>
      </x:c>
      <x:c r="E143" t="str">
        <x:v>rejected</x:v>
      </x:c>
      <x:c r="F143" t="n">
        <x:v>46147.08069387732</x:v>
      </x:c>
      <x:c r="G143" t="n">
        <x:v>46147.08069387732</x:v>
      </x:c>
      <x:c r="H143" t="n">
        <x:v>46155.39030363426</x:v>
      </x:c>
      <x:c r="I143" t="str">
        <x:v>A-000491</x:v>
      </x:c>
      <x:c r="J143" t="str">
        <x:v>MyPROData</x:v>
      </x:c>
      <x:c r="K143" t="n">
        <x:v>4583</x:v>
      </x:c>
      <x:c r="L143" t="str">
        <x:v>Shared Support Services (SecOps) myPROdata FY2025 for Malaysia Petroleum Management (MPM)</x:v>
      </x:c>
      <x:c r="M143" t="str">
        <x:v>wadiah.rusli@petronas.com.my</x:v>
      </x:c>
      <x:c r="N143" t="str">
        <x:v>myPROdata</x:v>
      </x:c>
      <x:c r="O143" t="str">
        <x:v>Modify</x:v>
      </x:c>
      <x:c r="P143" t="str">
        <x:v>StagingUat</x:v>
      </x:c>
      <x:c r="Q143" t="str">
        <x:v>Request to provision private (Internal Facing) - IP for the following app services in PTAZSG-UAT-ARCGIS-RG - myPROdata Staging
</x:v>
      </x:c>
      <x:c r="R143"/>
      <x:c r="S143"/>
      <x:c r="T143"/>
      <x:c r="U143" t="str">
        <x:v>Approved. please expedite.</x:v>
      </x:c>
      <x:c r="V143" t="n">
        <x:v>46147.081335891206</x:v>
      </x:c>
      <x:c r="W143" t="str">
        <x:v>wadiah.rusli@petronas.com</x:v>
      </x:c>
      <x:c r="X143" t="str">
        <x:v>approved</x:v>
      </x:c>
      <x:c r="Y143" t="str">
        <x:v>There is no app service in PTAZSG-UAT-ARCGIS-RG. All VMs are running on private IPs</x:v>
      </x:c>
      <x:c r="Z143" t="n">
        <x:v>46155.39030363426</x:v>
      </x:c>
      <x:c r="AA143" t="str">
        <x:v>kianleng.geh@petronas.com</x:v>
      </x:c>
      <x:c r="AB143" t="str">
        <x:v>rejected</x:v>
      </x:c>
      <x:c r="AC143"/>
      <x:c r="AD143"/>
      <x:c r="AE143" t="str">
        <x:v>CCoE Business</x:v>
      </x:c>
      <x:c r="AF143"/>
      <x:c r="AG143"/>
      <x:c r="AH143"/>
      <x:c r="AI143" t="str">
        <x:v>CCoE Core Services (Public)</x:v>
      </x:c>
      <x:c r="AJ143"/>
      <x:c r="AK143"/>
      <x:c r="AL143" t="str">
        <x:v>ebc92a57-efcb-4ea1-91f3-f2e35a11c936</x:v>
      </x:c>
      <x:c r="AM143" s="23" t="str">
        <x:f>IF(E143="processing",IF(Z143="","",IF(ISNUMBER(Z143),INT(Z143),DATE(VALUE(LEFT(Z143,4)),VALUE(MID(Z143,6,2)),VALUE(MID(Z143,9,2))))),IF(OR(E143="executing",E143="pending"),IF(AD143="","",IF(ISNUMBER(AD143),INT(AD143),DATE(VALUE(LEFT(AD143,4)),VALUE(MID(AD143,6,2)),VALUE(MID(AD143,9,2))))),""))</x:f>
      </x:c>
      <x:c r="AN143" s="24" t="str">
        <x:f>IF(AM143="","",INT('Configuration'!$B$4)-AM143)</x:f>
      </x:c>
      <x:c r="AO143" s="25" t="str">
        <x:f>IF(AM143="","Missing Required Date",IF(AN143&lt;0,"Future Date",IF(AN143=0,"0 days",IF(AN143&lt;=2,"1-2 days",IF(AN143&lt;=7,"3-7 days",IF(AN143&lt;=14,"8-14 days",IF(AN143&lt;=30,"15-30 days",IF(AN143&lt;=60,"31-60 days",IF(AN143&lt;=70,"61-70 days","71+ days")))))))))</x:f>
        <x:v>Missing Required Date</x:v>
      </x:c>
      <x:c r="AP143" s="25" t="str">
        <x:f>IF(OR(E143="processing",E143="executing",E143="pending"),IF(AM143="","Required aging date missing",IF(AN143&gt;30,"Escalate &gt;30d",IF(AN143&gt;14,"Watch &gt;14d","Within 14d"))),"Out of scope")</x:f>
        <x:v>Out of scope</x:v>
      </x:c>
    </x:row>
    <x:row r="144" ht="24" customHeight="1">
      <x:c r="A144" t="str">
        <x:v>95a48abc-914c-40a4-8497-0356caac99ea</x:v>
      </x:c>
      <x:c r="B144" t="str">
        <x:v>CSSP10718591</x:v>
      </x:c>
      <x:c r="C144" t="str">
        <x:v>mibrahim.sulaima@petronas.com</x:v>
      </x:c>
      <x:c r="D144" t="str">
        <x:v>provision-cloud-public</x:v>
      </x:c>
      <x:c r="E144" t="str">
        <x:v>pending</x:v>
      </x:c>
      <x:c r="F144" t="n">
        <x:v>46147.12077461806</x:v>
      </x:c>
      <x:c r="G144" t="n">
        <x:v>46147.12077461806</x:v>
      </x:c>
      <x:c r="H144" t="n">
        <x:v>46147.12077461806</x:v>
      </x:c>
      <x:c r="I144" t="str">
        <x:v>A-000524</x:v>
      </x:c>
      <x:c r="J144" t="str">
        <x:v>Offshore Logistics Venture - OLV</x:v>
      </x:c>
      <x:c r="K144" t="n">
        <x:v>1808</x:v>
      </x:c>
      <x:c r="L144" t="str">
        <x:v>Offshore Logistics Venture (OLV) Incubation</x:v>
      </x:c>
      <x:c r="M144" t="str">
        <x:v>ghimyee.tang@petronas.com.my</x:v>
      </x:c>
      <x:c r="N144" t="str">
        <x:v>Petronas GP_ULCT</x:v>
      </x:c>
      <x:c r="O144" t="str">
        <x:v>New</x:v>
      </x:c>
      <x:c r="P144" t="str">
        <x:v>StagingUat</x:v>
      </x:c>
      <x:c r="Q144" t="str">
        <x:v>Request to provision private IP for the following Amazon S3 in PTAW-IAC-NonPROD-STAGING-STEAR-Environment-01. This is to follow Cybersecurity direction to remove external access for non production environment. Eventually staging.stear.co need to be remove from external dns</x:v>
      </x:c>
      <x:c r="R144"/>
      <x:c r="S144"/>
      <x:c r="T144"/>
      <x:c r="U144"/>
      <x:c r="V144"/>
      <x:c r="W144" t="str">
        <x:v>ghimyee.tang@petronas.com</x:v>
      </x:c>
      <x:c r="X144"/>
      <x:c r="Y144"/>
      <x:c r="Z144"/>
      <x:c r="AA144" t="str">
        <x:v>CCoE Demand</x:v>
      </x:c>
      <x:c r="AB144"/>
      <x:c r="AC144"/>
      <x:c r="AD144"/>
      <x:c r="AE144" t="str">
        <x:v>CCoE Business</x:v>
      </x:c>
      <x:c r="AF144"/>
      <x:c r="AG144"/>
      <x:c r="AH144"/>
      <x:c r="AI144" t="str">
        <x:v>CCoE Core Services (Public)</x:v>
      </x:c>
      <x:c r="AJ144"/>
      <x:c r="AK144"/>
      <x:c r="AL144" t="str">
        <x:v>8d2e855a-2ae6-49cd-856a-9f23a5e5ac86</x:v>
      </x:c>
      <x:c r="AM144" s="23" t="str">
        <x:f>IF(E144="processing",IF(Z144="","",IF(ISNUMBER(Z144),INT(Z144),DATE(VALUE(LEFT(Z144,4)),VALUE(MID(Z144,6,2)),VALUE(MID(Z144,9,2))))),IF(OR(E144="executing",E144="pending"),IF(AD144="","",IF(ISNUMBER(AD144),INT(AD144),DATE(VALUE(LEFT(AD144,4)),VALUE(MID(AD144,6,2)),VALUE(MID(AD144,9,2))))),""))</x:f>
      </x:c>
      <x:c r="AN144" s="24" t="str">
        <x:f>IF(AM144="","",INT('Configuration'!$B$4)-AM144)</x:f>
      </x:c>
      <x:c r="AO144" s="25" t="str">
        <x:f>IF(AM144="","Missing Required Date",IF(AN144&lt;0,"Future Date",IF(AN144=0,"0 days",IF(AN144&lt;=2,"1-2 days",IF(AN144&lt;=7,"3-7 days",IF(AN144&lt;=14,"8-14 days",IF(AN144&lt;=30,"15-30 days",IF(AN144&lt;=60,"31-60 days",IF(AN144&lt;=70,"61-70 days","71+ days")))))))))</x:f>
        <x:v>Missing Required Date</x:v>
      </x:c>
      <x:c r="AP144" s="25" t="str">
        <x:f>IF(OR(E144="processing",E144="executing",E144="pending"),IF(AM144="","Required aging date missing",IF(AN144&gt;30,"Escalate &gt;30d",IF(AN144&gt;14,"Watch &gt;14d","Within 14d"))),"Out of scope")</x:f>
        <x:v>Required aging date missing</x:v>
      </x:c>
    </x:row>
    <x:row r="145" ht="24" customHeight="1">
      <x:c r="A145" t="str">
        <x:v>f284b03b-9af1-47d5-bb4d-1cef28a2194d</x:v>
      </x:c>
      <x:c r="B145" t="str">
        <x:v>CSSP10206240</x:v>
      </x:c>
      <x:c r="C145" t="str">
        <x:v>ahmadaizuddin.badry@petronas.com</x:v>
      </x:c>
      <x:c r="D145" t="str">
        <x:v>provision-cloud-public</x:v>
      </x:c>
      <x:c r="E145" t="str">
        <x:v>rejected</x:v>
      </x:c>
      <x:c r="F145" t="n">
        <x:v>46147.192312928244</x:v>
      </x:c>
      <x:c r="G145" t="n">
        <x:v>46147.192312928244</x:v>
      </x:c>
      <x:c r="H145" t="n">
        <x:v>46162.06632479167</x:v>
      </x:c>
      <x:c r="I145" t="str">
        <x:v>A-000490</x:v>
      </x:c>
      <x:c r="J145" t="str">
        <x:v>MyProcure</x:v>
      </x:c>
      <x:c r="K145" t="n">
        <x:v>4343</x:v>
      </x:c>
      <x:c r="L145" t="str">
        <x:v>Procurement Innovation Through Automation And Procurement Marketplace</x:v>
      </x:c>
      <x:c r="M145" t="str">
        <x:v>amirshazlan.mshah@petronas.com.my</x:v>
      </x:c>
      <x:c r="N145" t="str">
        <x:v>Procurement AI</x:v>
      </x:c>
      <x:c r="O145" t="str">
        <x:v>New</x:v>
      </x:c>
      <x:c r="P145" t="str">
        <x:v>Development</x:v>
      </x:c>
      <x:c r="Q145" t="str">
        <x:v>Provisioning of Azure Fabric and Azure Function</x:v>
      </x:c>
      <x:c r="R145"/>
      <x:c r="S145"/>
      <x:c r="T145"/>
      <x:c r="U145" t="str">
        <x:v>approved</x:v>
      </x:c>
      <x:c r="V145" t="n">
        <x:v>46147.22252372685</x:v>
      </x:c>
      <x:c r="W145" t="str">
        <x:v>amirshazlan.mshah@petronas.com</x:v>
      </x:c>
      <x:c r="X145" t="str">
        <x:v>approved</x:v>
      </x:c>
      <x:c r="Y145" t="str">
        <x:v>To comply with the Cloud Service Request and Provisioning Guideline v4.0, kindly provide the approved CS BIA and SOW/HLD as supporting evidence. </x:v>
      </x:c>
      <x:c r="Z145" t="n">
        <x:v>46162.06632480324</x:v>
      </x:c>
      <x:c r="AA145" t="str">
        <x:v>samsuddin.jumbri@petronas.com</x:v>
      </x:c>
      <x:c r="AB145" t="str">
        <x:v>rejected</x:v>
      </x:c>
      <x:c r="AC145"/>
      <x:c r="AD145"/>
      <x:c r="AE145" t="str">
        <x:v>CCoE Business</x:v>
      </x:c>
      <x:c r="AF145"/>
      <x:c r="AG145"/>
      <x:c r="AH145"/>
      <x:c r="AI145" t="str">
        <x:v>CCoE Core Services (Public)</x:v>
      </x:c>
      <x:c r="AJ145"/>
      <x:c r="AK145"/>
      <x:c r="AL145" t="str">
        <x:v>e1827a6c-e18c-4500-94be-16de9cbb9e7c</x:v>
      </x:c>
      <x:c r="AM145" s="23" t="str">
        <x:f>IF(E145="processing",IF(Z145="","",IF(ISNUMBER(Z145),INT(Z145),DATE(VALUE(LEFT(Z145,4)),VALUE(MID(Z145,6,2)),VALUE(MID(Z145,9,2))))),IF(OR(E145="executing",E145="pending"),IF(AD145="","",IF(ISNUMBER(AD145),INT(AD145),DATE(VALUE(LEFT(AD145,4)),VALUE(MID(AD145,6,2)),VALUE(MID(AD145,9,2))))),""))</x:f>
      </x:c>
      <x:c r="AN145" s="24" t="str">
        <x:f>IF(AM145="","",INT('Configuration'!$B$4)-AM145)</x:f>
      </x:c>
      <x:c r="AO145" s="25" t="str">
        <x:f>IF(AM145="","Missing Required Date",IF(AN145&lt;0,"Future Date",IF(AN145=0,"0 days",IF(AN145&lt;=2,"1-2 days",IF(AN145&lt;=7,"3-7 days",IF(AN145&lt;=14,"8-14 days",IF(AN145&lt;=30,"15-30 days",IF(AN145&lt;=60,"31-60 days",IF(AN145&lt;=70,"61-70 days","71+ days")))))))))</x:f>
        <x:v>Missing Required Date</x:v>
      </x:c>
      <x:c r="AP145" s="25" t="str">
        <x:f>IF(OR(E145="processing",E145="executing",E145="pending"),IF(AM145="","Required aging date missing",IF(AN145&gt;30,"Escalate &gt;30d",IF(AN145&gt;14,"Watch &gt;14d","Within 14d"))),"Out of scope")</x:f>
        <x:v>Out of scope</x:v>
      </x:c>
    </x:row>
    <x:row r="146" ht="24" customHeight="1">
      <x:c r="A146" t="str">
        <x:v>c039eb44-3f65-40cb-8238-4f3f542caded</x:v>
      </x:c>
      <x:c r="B146" t="str">
        <x:v>CSSP10825599</x:v>
      </x:c>
      <x:c r="C146" t="str">
        <x:v>ahmadaizuddin.badry@petronas.com</x:v>
      </x:c>
      <x:c r="D146" t="str">
        <x:v>provision-cloud-public</x:v>
      </x:c>
      <x:c r="E146" t="str">
        <x:v>completed</x:v>
      </x:c>
      <x:c r="F146" t="n">
        <x:v>46147.1952871875</x:v>
      </x:c>
      <x:c r="G146" t="n">
        <x:v>46168.1992855787</x:v>
      </x:c>
      <x:c r="H146" t="n">
        <x:v>46230.12594078704</x:v>
      </x:c>
      <x:c r="I146" t="str">
        <x:v>A-000490</x:v>
      </x:c>
      <x:c r="J146" t="str">
        <x:v>MyProcure</x:v>
      </x:c>
      <x:c r="K146" t="n">
        <x:v>4343</x:v>
      </x:c>
      <x:c r="L146" t="str">
        <x:v>Procurement Innovation Through Automation And Procurement Marketplace</x:v>
      </x:c>
      <x:c r="M146" t="str">
        <x:v>amirshazlan.mshah@petronas.com.my</x:v>
      </x:c>
      <x:c r="N146" t="str">
        <x:v>myProcure DevOps - Support</x:v>
      </x:c>
      <x:c r="O146" t="str">
        <x:v>New</x:v>
      </x:c>
      <x:c r="P146" t="str">
        <x:v>Production</x:v>
      </x:c>
      <x:c r="Q146" t="str">
        <x:v>Provisioning new resources databrick for myProcure</x:v>
      </x:c>
      <x:c r="R146" t="str">
        <x:v>L</x:v>
      </x:c>
      <x:c r="S146"/>
      <x:c r="T146"/>
      <x:c r="U146" t="str">
        <x:v>approval</x:v>
      </x:c>
      <x:c r="V146" t="n">
        <x:v>46168.205742418984</x:v>
      </x:c>
      <x:c r="W146" t="str">
        <x:v>amirshazlan.mshah@petronas.com</x:v>
      </x:c>
      <x:c r="X146" t="str">
        <x:v>approved</x:v>
      </x:c>
      <x:c r="Y146" t="str">
        <x:v>Good to go</x:v>
      </x:c>
      <x:c r="Z146" t="n">
        <x:v>46178.37977452546</x:v>
      </x:c>
      <x:c r="AA146" t="str">
        <x:v>samsuddin.jumbri@petronas.com</x:v>
      </x:c>
      <x:c r="AB146" t="str">
        <x:v>approved</x:v>
      </x:c>
      <x:c r="AC146" t="str">
        <x:v>https://dev.azure.com/Digital-Delivery/Procurement%20AI
to reprovision Databricks instance with VNET configured in its initial setup (instead of using Managed VNET), and to upgrade the instance tier to Premium, instead of standard.
Production</x:v>
      </x:c>
      <x:c r="AD146" t="n">
        <x:v>46189.342141574074</x:v>
      </x:c>
      <x:c r="AE146" t="str">
        <x:v>syazali.saad@petronas.com</x:v>
      </x:c>
      <x:c r="AF146" t="str">
        <x:v>approved</x:v>
      </x:c>
      <x:c r="AG146" t="str">
        <x:v>closed</x:v>
      </x:c>
      <x:c r="AH146" t="n">
        <x:v>46230.12594078704</x:v>
      </x:c>
      <x:c r="AI146" t="str">
        <x:v>mhafizi.madnan@petronas.com</x:v>
      </x:c>
      <x:c r="AJ146" t="str">
        <x:v>approved</x:v>
      </x:c>
      <x:c r="AK146" t="str">
        <x:v>REQ000008104444</x:v>
      </x:c>
      <x:c r="AL146" t="str">
        <x:v>e1827a6c-e18c-4500-94be-16de9cbb9e7c</x:v>
      </x:c>
      <x:c r="AM146" s="23" t="str">
        <x:f>IF(E146="processing",IF(Z146="","",IF(ISNUMBER(Z146),INT(Z146),DATE(VALUE(LEFT(Z146,4)),VALUE(MID(Z146,6,2)),VALUE(MID(Z146,9,2))))),IF(OR(E146="executing",E146="pending"),IF(AD146="","",IF(ISNUMBER(AD146),INT(AD146),DATE(VALUE(LEFT(AD146,4)),VALUE(MID(AD146,6,2)),VALUE(MID(AD146,9,2))))),""))</x:f>
      </x:c>
      <x:c r="AN146" s="24" t="str">
        <x:f>IF(AM146="","",INT('Configuration'!$B$4)-AM146)</x:f>
      </x:c>
      <x:c r="AO146" s="25" t="str">
        <x:f>IF(AM146="","Missing Required Date",IF(AN146&lt;0,"Future Date",IF(AN146=0,"0 days",IF(AN146&lt;=2,"1-2 days",IF(AN146&lt;=7,"3-7 days",IF(AN146&lt;=14,"8-14 days",IF(AN146&lt;=30,"15-30 days",IF(AN146&lt;=60,"31-60 days",IF(AN146&lt;=70,"61-70 days","71+ days")))))))))</x:f>
        <x:v>Missing Required Date</x:v>
      </x:c>
      <x:c r="AP146" s="25" t="str">
        <x:f>IF(OR(E146="processing",E146="executing",E146="pending"),IF(AM146="","Required aging date missing",IF(AN146&gt;30,"Escalate &gt;30d",IF(AN146&gt;14,"Watch &gt;14d","Within 14d"))),"Out of scope")</x:f>
        <x:v>Out of scope</x:v>
      </x:c>
    </x:row>
    <x:row r="147" ht="24" customHeight="1">
      <x:c r="A147" t="str">
        <x:v>b35f57c0-f149-4c7b-9e4e-b2b20b7c64d9</x:v>
      </x:c>
      <x:c r="B147" t="str">
        <x:v>CSSP10903999</x:v>
      </x:c>
      <x:c r="C147" t="str">
        <x:v>ahmadaizuddin.badry@petronas.com</x:v>
      </x:c>
      <x:c r="D147" t="str">
        <x:v>provision-cloud-public</x:v>
      </x:c>
      <x:c r="E147" t="str">
        <x:v>completed</x:v>
      </x:c>
      <x:c r="F147" t="n">
        <x:v>46147.19608101852</x:v>
      </x:c>
      <x:c r="G147" t="n">
        <x:v>46168.199700300924</x:v>
      </x:c>
      <x:c r="H147" t="n">
        <x:v>46230.12553769676</x:v>
      </x:c>
      <x:c r="I147" t="str">
        <x:v>A-000490</x:v>
      </x:c>
      <x:c r="J147" t="str">
        <x:v>MyProcure</x:v>
      </x:c>
      <x:c r="K147" t="n">
        <x:v>4343</x:v>
      </x:c>
      <x:c r="L147" t="str">
        <x:v>Procurement Innovation Through Automation And Procurement Marketplace</x:v>
      </x:c>
      <x:c r="M147" t="str">
        <x:v>amirshazlan.mshah@petronas.com.my</x:v>
      </x:c>
      <x:c r="N147" t="str">
        <x:v>myProcure DevOps - Support</x:v>
      </x:c>
      <x:c r="O147" t="str">
        <x:v>New</x:v>
      </x:c>
      <x:c r="P147" t="str">
        <x:v>StagingUat</x:v>
      </x:c>
      <x:c r="Q147" t="str">
        <x:v>Provisioning databrick for Staging env myProcure</x:v>
      </x:c>
      <x:c r="R147" t="str">
        <x:v>L</x:v>
      </x:c>
      <x:c r="S147"/>
      <x:c r="T147"/>
      <x:c r="U147" t="str">
        <x:v>approved</x:v>
      </x:c>
      <x:c r="V147" t="n">
        <x:v>46168.20705001157</x:v>
      </x:c>
      <x:c r="W147" t="str">
        <x:v>amirshazlan.mshah@petronas.com</x:v>
      </x:c>
      <x:c r="X147" t="str">
        <x:v>approved</x:v>
      </x:c>
      <x:c r="Y147" t="str">
        <x:v>Good to go</x:v>
      </x:c>
      <x:c r="Z147" t="n">
        <x:v>46178.380208773146</x:v>
      </x:c>
      <x:c r="AA147" t="str">
        <x:v>samsuddin.jumbri@petronas.com</x:v>
      </x:c>
      <x:c r="AB147" t="str">
        <x:v>approved</x:v>
      </x:c>
      <x:c r="AC147" t="str">
        <x:v>https://dev.azure.com/Digital-Delivery/Procurement%20AI
to reprovision Databricks instance with VNET configured in its initial setup (instead of using Managed VNET), and to upgrade the instance tier to Premium, instead of standard.
Staging
</x:v>
      </x:c>
      <x:c r="AD147" t="n">
        <x:v>46189.342088854166</x:v>
      </x:c>
      <x:c r="AE147" t="str">
        <x:v>syazali.saad@petronas.com</x:v>
      </x:c>
      <x:c r="AF147" t="str">
        <x:v>approved</x:v>
      </x:c>
      <x:c r="AG147" t="str">
        <x:v>closed</x:v>
      </x:c>
      <x:c r="AH147" t="n">
        <x:v>46230.12553769676</x:v>
      </x:c>
      <x:c r="AI147" t="str">
        <x:v>mhafizi.madnan@petronas.com</x:v>
      </x:c>
      <x:c r="AJ147" t="str">
        <x:v>approved</x:v>
      </x:c>
      <x:c r="AK147" t="str">
        <x:v>REQ000008104340</x:v>
      </x:c>
      <x:c r="AL147" t="str">
        <x:v>e1827a6c-e18c-4500-94be-16de9cbb9e7c</x:v>
      </x:c>
      <x:c r="AM147" s="23" t="str">
        <x:f>IF(E147="processing",IF(Z147="","",IF(ISNUMBER(Z147),INT(Z147),DATE(VALUE(LEFT(Z147,4)),VALUE(MID(Z147,6,2)),VALUE(MID(Z147,9,2))))),IF(OR(E147="executing",E147="pending"),IF(AD147="","",IF(ISNUMBER(AD147),INT(AD147),DATE(VALUE(LEFT(AD147,4)),VALUE(MID(AD147,6,2)),VALUE(MID(AD147,9,2))))),""))</x:f>
      </x:c>
      <x:c r="AN147" s="24" t="str">
        <x:f>IF(AM147="","",INT('Configuration'!$B$4)-AM147)</x:f>
      </x:c>
      <x:c r="AO147" s="25" t="str">
        <x:f>IF(AM147="","Missing Required Date",IF(AN147&lt;0,"Future Date",IF(AN147=0,"0 days",IF(AN147&lt;=2,"1-2 days",IF(AN147&lt;=7,"3-7 days",IF(AN147&lt;=14,"8-14 days",IF(AN147&lt;=30,"15-30 days",IF(AN147&lt;=60,"31-60 days",IF(AN147&lt;=70,"61-70 days","71+ days")))))))))</x:f>
        <x:v>Missing Required Date</x:v>
      </x:c>
      <x:c r="AP147" s="25" t="str">
        <x:f>IF(OR(E147="processing",E147="executing",E147="pending"),IF(AM147="","Required aging date missing",IF(AN147&gt;30,"Escalate &gt;30d",IF(AN147&gt;14,"Watch &gt;14d","Within 14d"))),"Out of scope")</x:f>
        <x:v>Out of scope</x:v>
      </x:c>
    </x:row>
    <x:row r="148" ht="24" customHeight="1">
      <x:c r="A148" t="str">
        <x:v>808ee078-6567-4285-82a0-4811b167490a</x:v>
      </x:c>
      <x:c r="B148" t="str">
        <x:v>CSSP10807730</x:v>
      </x:c>
      <x:c r="C148" t="str">
        <x:v>ahmadaizuddin.badry@petronas.com</x:v>
      </x:c>
      <x:c r="D148" t="str">
        <x:v>provision-cloud-public</x:v>
      </x:c>
      <x:c r="E148" t="str">
        <x:v>completed</x:v>
      </x:c>
      <x:c r="F148" t="n">
        <x:v>46147.196865115744</x:v>
      </x:c>
      <x:c r="G148" t="n">
        <x:v>46168.19999758102</x:v>
      </x:c>
      <x:c r="H148" t="n">
        <x:v>46224.104881458334</x:v>
      </x:c>
      <x:c r="I148" t="str">
        <x:v>A-000490</x:v>
      </x:c>
      <x:c r="J148" t="str">
        <x:v>MyProcure</x:v>
      </x:c>
      <x:c r="K148" t="n">
        <x:v>4343</x:v>
      </x:c>
      <x:c r="L148" t="str">
        <x:v>Procurement Innovation Through Automation And Procurement Marketplace</x:v>
      </x:c>
      <x:c r="M148" t="str">
        <x:v>amirshazlan.mshah@petronas.com.my</x:v>
      </x:c>
      <x:c r="N148" t="str">
        <x:v>myProcure DevOps - Support</x:v>
      </x:c>
      <x:c r="O148" t="str">
        <x:v>New</x:v>
      </x:c>
      <x:c r="P148" t="str">
        <x:v>Development</x:v>
      </x:c>
      <x:c r="Q148" t="str">
        <x:v>Provisioning of Databrick for dev env myProcure</x:v>
      </x:c>
      <x:c r="R148" t="str">
        <x:v>L</x:v>
      </x:c>
      <x:c r="S148"/>
      <x:c r="T148"/>
      <x:c r="U148" t="str">
        <x:v>approval</x:v>
      </x:c>
      <x:c r="V148" t="n">
        <x:v>46168.2072652662</x:v>
      </x:c>
      <x:c r="W148" t="str">
        <x:v>amirshazlan.mshah@petronas.com</x:v>
      </x:c>
      <x:c r="X148" t="str">
        <x:v>approved</x:v>
      </x:c>
      <x:c r="Y148" t="str">
        <x:v>approved</x:v>
      </x:c>
      <x:c r="Z148" t="n">
        <x:v>46168.20769195602</x:v>
      </x:c>
      <x:c r="AA148" t="str">
        <x:v>amirshazlan.mshah@petronas.com</x:v>
      </x:c>
      <x:c r="AB148" t="str">
        <x:v>approved</x:v>
      </x:c>
      <x:c r="AC148" t="str">
        <x:v>https://dev.azure.com/Digital-Delivery/Procurement%20AI
to reprovision Databricks instance with VNET configured in its initial setup (instead of using Managed VNET), and to upgrade the instance tier to Premium, instead of standard.
Dev
</x:v>
      </x:c>
      <x:c r="AD148" t="n">
        <x:v>46189.34201101852</x:v>
      </x:c>
      <x:c r="AE148" t="str">
        <x:v>syazali.saad@petronas.com</x:v>
      </x:c>
      <x:c r="AF148" t="str">
        <x:v>approved</x:v>
      </x:c>
      <x:c r="AG148" t="str">
        <x:v>resource provisioned</x:v>
      </x:c>
      <x:c r="AH148" t="n">
        <x:v>46224.10488148148</x:v>
      </x:c>
      <x:c r="AI148" t="str">
        <x:v>mhafizi.madnan@petronas.com</x:v>
      </x:c>
      <x:c r="AJ148" t="str">
        <x:v>approved</x:v>
      </x:c>
      <x:c r="AK148" t="str">
        <x:v>REQ000008104339</x:v>
      </x:c>
      <x:c r="AL148" t="str">
        <x:v>e1827a6c-e18c-4500-94be-16de9cbb9e7c</x:v>
      </x:c>
      <x:c r="AM148" s="23" t="str">
        <x:f>IF(E148="processing",IF(Z148="","",IF(ISNUMBER(Z148),INT(Z148),DATE(VALUE(LEFT(Z148,4)),VALUE(MID(Z148,6,2)),VALUE(MID(Z148,9,2))))),IF(OR(E148="executing",E148="pending"),IF(AD148="","",IF(ISNUMBER(AD148),INT(AD148),DATE(VALUE(LEFT(AD148,4)),VALUE(MID(AD148,6,2)),VALUE(MID(AD148,9,2))))),""))</x:f>
      </x:c>
      <x:c r="AN148" s="24" t="str">
        <x:f>IF(AM148="","",INT('Configuration'!$B$4)-AM148)</x:f>
      </x:c>
      <x:c r="AO148" s="25" t="str">
        <x:f>IF(AM148="","Missing Required Date",IF(AN148&lt;0,"Future Date",IF(AN148=0,"0 days",IF(AN148&lt;=2,"1-2 days",IF(AN148&lt;=7,"3-7 days",IF(AN148&lt;=14,"8-14 days",IF(AN148&lt;=30,"15-30 days",IF(AN148&lt;=60,"31-60 days",IF(AN148&lt;=70,"61-70 days","71+ days")))))))))</x:f>
        <x:v>Missing Required Date</x:v>
      </x:c>
      <x:c r="AP148" s="25" t="str">
        <x:f>IF(OR(E148="processing",E148="executing",E148="pending"),IF(AM148="","Required aging date missing",IF(AN148&gt;30,"Escalate &gt;30d",IF(AN148&gt;14,"Watch &gt;14d","Within 14d"))),"Out of scope")</x:f>
        <x:v>Out of scope</x:v>
      </x:c>
    </x:row>
    <x:row r="149" ht="24" customHeight="1">
      <x:c r="A149" t="str">
        <x:v>9882c863-1079-40d3-a6a7-511fe1e9085b</x:v>
      </x:c>
      <x:c r="B149" t="str">
        <x:v>CSSP10229026</x:v>
      </x:c>
      <x:c r="C149" t="str">
        <x:v>nurulaida.ngadiso@petronas.com</x:v>
      </x:c>
      <x:c r="D149" t="str">
        <x:v>provision-cloud-public</x:v>
      </x:c>
      <x:c r="E149" t="str">
        <x:v>completed</x:v>
      </x:c>
      <x:c r="F149" t="n">
        <x:v>46148.071698900465</x:v>
      </x:c>
      <x:c r="G149" t="n">
        <x:v>46148.071698900465</x:v>
      </x:c>
      <x:c r="H149" t="n">
        <x:v>46197.10533356482</x:v>
      </x:c>
      <x:c r="I149" t="str">
        <x:v>A-001368</x:v>
      </x:c>
      <x:c r="J149" t="str">
        <x:v>myMesra</x:v>
      </x:c>
      <x:c r="K149" t="str">
        <x:v>SR26950</x:v>
      </x:c>
      <x:c r="L149" t="str">
        <x:v>MyMesra Platform Stabilisation &amp; Infrastructure Carve‑Out</x:v>
      </x:c>
      <x:c r="M149" t="str">
        <x:v>izayu.ismail@petronas.com</x:v>
      </x:c>
      <x:c r="N149" t="str">
        <x:v>MyMesra Platform Stabilisation and Infrastructure Carve‑Out</x:v>
      </x:c>
      <x:c r="O149" t="str">
        <x:v>New</x:v>
      </x:c>
      <x:c r="P149" t="str">
        <x:v>Development</x:v>
      </x:c>
      <x:c r="Q149" t="str">
        <x:v>Provisioning for development environment: myMesra Platform Stabilization &amp; Infra Carve Out</x:v>
      </x:c>
      <x:c r="R149" t="str">
        <x:v>M</x:v>
      </x:c>
      <x:c r="S149"/>
      <x:c r="T149"/>
      <x:c r="U149" t="str">
        <x:v>As per Project Scope &amp; Requirement.</x:v>
      </x:c>
      <x:c r="V149" t="n">
        <x:v>46148.382807662034</x:v>
      </x:c>
      <x:c r="W149" t="str">
        <x:v>izayu.ismail@petronas.com</x:v>
      </x:c>
      <x:c r="X149" t="str">
        <x:v>approved</x:v>
      </x:c>
      <x:c r="Y149" t="str">
        <x:v>Approved. Same infra setup as PETRONAS Global Website</x:v>
      </x:c>
      <x:c r="Z149" t="n">
        <x:v>46148.38892449074</x:v>
      </x:c>
      <x:c r="AA149" t="str">
        <x:v>kianleng.geh@petronas.com</x:v>
      </x:c>
      <x:c r="AB149" t="str">
        <x:v>approved</x:v>
      </x:c>
      <x:c r="AC149" t="str">
        <x:v>CSSP10470896 - Production
CSSP10229026 - Development
</x:v>
      </x:c>
      <x:c r="AD149" t="n">
        <x:v>46149.45693238426</x:v>
      </x:c>
      <x:c r="AE149" t="str">
        <x:v>syazali.saad@petronas.com</x:v>
      </x:c>
      <x:c r="AF149" t="str">
        <x:v>approved</x:v>
      </x:c>
      <x:c r="AG149" t="str">
        <x:v>done</x:v>
      </x:c>
      <x:c r="AH149" t="n">
        <x:v>46197.105333576386</x:v>
      </x:c>
      <x:c r="AI149" t="str">
        <x:v>izham.ajmaan@petronas.com</x:v>
      </x:c>
      <x:c r="AJ149" t="str">
        <x:v>approved</x:v>
      </x:c>
      <x:c r="AK149" t="str">
        <x:v>REQ000008035845</x:v>
      </x:c>
      <x:c r="AL149" t="str">
        <x:v>cf5e4ef3-b398-4879-84c9-3963537a4cdc</x:v>
      </x:c>
      <x:c r="AM149" s="23" t="str">
        <x:f>IF(E149="processing",IF(Z149="","",IF(ISNUMBER(Z149),INT(Z149),DATE(VALUE(LEFT(Z149,4)),VALUE(MID(Z149,6,2)),VALUE(MID(Z149,9,2))))),IF(OR(E149="executing",E149="pending"),IF(AD149="","",IF(ISNUMBER(AD149),INT(AD149),DATE(VALUE(LEFT(AD149,4)),VALUE(MID(AD149,6,2)),VALUE(MID(AD149,9,2))))),""))</x:f>
      </x:c>
      <x:c r="AN149" s="24" t="str">
        <x:f>IF(AM149="","",INT('Configuration'!$B$4)-AM149)</x:f>
      </x:c>
      <x:c r="AO149" s="25" t="str">
        <x:f>IF(AM149="","Missing Required Date",IF(AN149&lt;0,"Future Date",IF(AN149=0,"0 days",IF(AN149&lt;=2,"1-2 days",IF(AN149&lt;=7,"3-7 days",IF(AN149&lt;=14,"8-14 days",IF(AN149&lt;=30,"15-30 days",IF(AN149&lt;=60,"31-60 days",IF(AN149&lt;=70,"61-70 days","71+ days")))))))))</x:f>
        <x:v>Missing Required Date</x:v>
      </x:c>
      <x:c r="AP149" s="25" t="str">
        <x:f>IF(OR(E149="processing",E149="executing",E149="pending"),IF(AM149="","Required aging date missing",IF(AN149&gt;30,"Escalate &gt;30d",IF(AN149&gt;14,"Watch &gt;14d","Within 14d"))),"Out of scope")</x:f>
        <x:v>Out of scope</x:v>
      </x:c>
    </x:row>
    <x:row r="150" ht="24" customHeight="1">
      <x:c r="A150" t="str">
        <x:v>e1af4bf2-8927-47c0-baab-29d775491bc8</x:v>
      </x:c>
      <x:c r="B150" t="str">
        <x:v>CSSP10470896</x:v>
      </x:c>
      <x:c r="C150" t="str">
        <x:v>nurulaida.ngadiso@petronas.com</x:v>
      </x:c>
      <x:c r="D150" t="str">
        <x:v>provision-cloud-public</x:v>
      </x:c>
      <x:c r="E150" t="str">
        <x:v>completed</x:v>
      </x:c>
      <x:c r="F150" t="n">
        <x:v>46148.07356416667</x:v>
      </x:c>
      <x:c r="G150" t="n">
        <x:v>46148.07356416667</x:v>
      </x:c>
      <x:c r="H150" t="n">
        <x:v>46212.24296023148</x:v>
      </x:c>
      <x:c r="I150" t="str">
        <x:v>A-001368</x:v>
      </x:c>
      <x:c r="J150" t="str">
        <x:v>myMesra</x:v>
      </x:c>
      <x:c r="K150" t="str">
        <x:v>SR26950</x:v>
      </x:c>
      <x:c r="L150" t="str">
        <x:v>MyMesra Platform Stabilisation &amp; Infrastructure Carve‑Out</x:v>
      </x:c>
      <x:c r="M150" t="str">
        <x:v>izayu.ismail@petronas.com</x:v>
      </x:c>
      <x:c r="N150" t="str">
        <x:v>MyMesra Platform Stabilisation and Infrastructure Carve‑Out</x:v>
      </x:c>
      <x:c r="O150" t="str">
        <x:v>New</x:v>
      </x:c>
      <x:c r="P150" t="str">
        <x:v>Production</x:v>
      </x:c>
      <x:c r="Q150" t="str">
        <x:v>Provisioning for production environment: myMesra Platform Stabilization &amp; Infra Carve Out</x:v>
      </x:c>
      <x:c r="R150" t="str">
        <x:v>M</x:v>
      </x:c>
      <x:c r="S150"/>
      <x:c r="T150"/>
      <x:c r="U150" t="str">
        <x:v>As per Project Scope &amp; Requirement.</x:v>
      </x:c>
      <x:c r="V150" t="n">
        <x:v>46148.38241608796</x:v>
      </x:c>
      <x:c r="W150" t="str">
        <x:v>izayu.ismail@petronas.com</x:v>
      </x:c>
      <x:c r="X150" t="str">
        <x:v>approved</x:v>
      </x:c>
      <x:c r="Y150" t="str">
        <x:v>Approved. Same infra setup as PETRONAS Global Website</x:v>
      </x:c>
      <x:c r="Z150" t="n">
        <x:v>46148.38830057871</x:v>
      </x:c>
      <x:c r="AA150" t="str">
        <x:v>kianleng.geh@petronas.com</x:v>
      </x:c>
      <x:c r="AB150" t="str">
        <x:v>approved</x:v>
      </x:c>
      <x:c r="AC150" t="str">
        <x:v>CSSP10470896 - Production
CSSP10229026 - Development
</x:v>
      </x:c>
      <x:c r="AD150" t="n">
        <x:v>46149.456799583335</x:v>
      </x:c>
      <x:c r="AE150" t="str">
        <x:v>syazali.saad@petronas.com</x:v>
      </x:c>
      <x:c r="AF150" t="str">
        <x:v>approved</x:v>
      </x:c>
      <x:c r="AG150" t="str">
        <x:v>done</x:v>
      </x:c>
      <x:c r="AH150" t="n">
        <x:v>46212.24296024306</x:v>
      </x:c>
      <x:c r="AI150" t="str">
        <x:v>izham.ajmaan@petronas.com</x:v>
      </x:c>
      <x:c r="AJ150" t="str">
        <x:v>approved</x:v>
      </x:c>
      <x:c r="AK150" t="str">
        <x:v>REQ000008035749</x:v>
      </x:c>
      <x:c r="AL150" t="str">
        <x:v>cf5e4ef3-b398-4879-84c9-3963537a4cdc</x:v>
      </x:c>
      <x:c r="AM150" s="23" t="str">
        <x:f>IF(E150="processing",IF(Z150="","",IF(ISNUMBER(Z150),INT(Z150),DATE(VALUE(LEFT(Z150,4)),VALUE(MID(Z150,6,2)),VALUE(MID(Z150,9,2))))),IF(OR(E150="executing",E150="pending"),IF(AD150="","",IF(ISNUMBER(AD150),INT(AD150),DATE(VALUE(LEFT(AD150,4)),VALUE(MID(AD150,6,2)),VALUE(MID(AD150,9,2))))),""))</x:f>
      </x:c>
      <x:c r="AN150" s="24" t="str">
        <x:f>IF(AM150="","",INT('Configuration'!$B$4)-AM150)</x:f>
      </x:c>
      <x:c r="AO150" s="25" t="str">
        <x:f>IF(AM150="","Missing Required Date",IF(AN150&lt;0,"Future Date",IF(AN150=0,"0 days",IF(AN150&lt;=2,"1-2 days",IF(AN150&lt;=7,"3-7 days",IF(AN150&lt;=14,"8-14 days",IF(AN150&lt;=30,"15-30 days",IF(AN150&lt;=60,"31-60 days",IF(AN150&lt;=70,"61-70 days","71+ days")))))))))</x:f>
        <x:v>Missing Required Date</x:v>
      </x:c>
      <x:c r="AP150" s="25" t="str">
        <x:f>IF(OR(E150="processing",E150="executing",E150="pending"),IF(AM150="","Required aging date missing",IF(AN150&gt;30,"Escalate &gt;30d",IF(AN150&gt;14,"Watch &gt;14d","Within 14d"))),"Out of scope")</x:f>
        <x:v>Out of scope</x:v>
      </x:c>
    </x:row>
    <x:row r="151" ht="24" customHeight="1">
      <x:c r="A151" t="str">
        <x:v>888bd06c-5588-4511-9769-605a362cd255</x:v>
      </x:c>
      <x:c r="B151" t="str">
        <x:v>CSSP10941412</x:v>
      </x:c>
      <x:c r="C151" t="str">
        <x:v>mengsiang.ta@petronas.com</x:v>
      </x:c>
      <x:c r="D151" t="str">
        <x:v>provision-cloud-public</x:v>
      </x:c>
      <x:c r="E151" t="str">
        <x:v>completed</x:v>
      </x:c>
      <x:c r="F151" t="n">
        <x:v>46148.089793900464</x:v>
      </x:c>
      <x:c r="G151" t="n">
        <x:v>46148.089793900464</x:v>
      </x:c>
      <x:c r="H151" t="n">
        <x:v>46167.34860997685</x:v>
      </x:c>
      <x:c r="I151" t="str">
        <x:v>A-001245</x:v>
      </x:c>
      <x:c r="J151" t="str">
        <x:v>PETRONAS Unified Search and Personal Assistant - PUSPA for REAL</x:v>
      </x:c>
      <x:c r="K151" t="n">
        <x:v>1478</x:v>
      </x:c>
      <x:c r="L151" t="str">
        <x:v>PETRONAS Unified Search and Personal Assistant (PUSPA) EPIC 1 and EPIC 2 Development</x:v>
      </x:c>
      <x:c r="M151" t="str">
        <x:v>bryan.dewitt@petronas.com</x:v>
      </x:c>
      <x:c r="N151" t="str">
        <x:v>Harmonization of People Tracking Solution</x:v>
      </x:c>
      <x:c r="O151" t="str">
        <x:v>Modify</x:v>
      </x:c>
      <x:c r="P151" t="str">
        <x:v>Production</x:v>
      </x:c>
      <x:c r="Q151" t="str">
        <x:v> Request to provision private IP for the following app services in 
ptsg-1pusparealap01.azurewebsites.net
RG Name: ptazsg-prod-puspa-real-rg</x:v>
      </x:c>
      <x:c r="R151" t="str">
        <x:v>S</x:v>
      </x:c>
      <x:c r="S151" t="str">
        <x:v>ICT_RFC00222322</x:v>
      </x:c>
      <x:c r="T151"/>
      <x:c r="U151" t="str">
        <x:v>Dns change to private access. Cyber security compliance.</x:v>
      </x:c>
      <x:c r="V151" t="n">
        <x:v>46148.09656358796</x:v>
      </x:c>
      <x:c r="W151" t="str">
        <x:v>bryan.dewitt@petronas.com</x:v>
      </x:c>
      <x:c r="X151" t="str">
        <x:v>approved</x:v>
      </x:c>
      <x:c r="Y151" t="str">
        <x:v>Good to go</x:v>
      </x:c>
      <x:c r="Z151" t="n">
        <x:v>46162.06915405093</x:v>
      </x:c>
      <x:c r="AA151" t="str">
        <x:v>samsuddin.jumbri@petronas.com</x:v>
      </x:c>
      <x:c r="AB151" t="str">
        <x:v>approved</x:v>
      </x:c>
      <x:c r="AC151" t="str">
        <x:v>OLZ. please perform this from portal.</x:v>
      </x:c>
      <x:c r="AD151" t="n">
        <x:v>46162.29322284722</x:v>
      </x:c>
      <x:c r="AE151" t="str">
        <x:v>syazali.saad@petronas.com</x:v>
      </x:c>
      <x:c r="AF151" t="str">
        <x:v>approved</x:v>
      </x:c>
      <x:c r="AG151" t="str">
        <x:v>The private endpoint (ptsg-1pusparealap01-pep) has been provisioned</x:v>
      </x:c>
      <x:c r="AH151" t="n">
        <x:v>46167.348609988425</x:v>
      </x:c>
      <x:c r="AI151" t="str">
        <x:v>muhdfirdaus.muhamad@petronas.com</x:v>
      </x:c>
      <x:c r="AJ151" t="str">
        <x:v>approved</x:v>
      </x:c>
      <x:c r="AK151" t="str">
        <x:v>REQ000008059450</x:v>
      </x:c>
      <x:c r="AL151" t="str">
        <x:v>ef0ab3a4-3c9b-43f4-95d4-f94a0b719434</x:v>
      </x:c>
      <x:c r="AM151" s="23" t="str">
        <x:f>IF(E151="processing",IF(Z151="","",IF(ISNUMBER(Z151),INT(Z151),DATE(VALUE(LEFT(Z151,4)),VALUE(MID(Z151,6,2)),VALUE(MID(Z151,9,2))))),IF(OR(E151="executing",E151="pending"),IF(AD151="","",IF(ISNUMBER(AD151),INT(AD151),DATE(VALUE(LEFT(AD151,4)),VALUE(MID(AD151,6,2)),VALUE(MID(AD151,9,2))))),""))</x:f>
      </x:c>
      <x:c r="AN151" s="24" t="str">
        <x:f>IF(AM151="","",INT('Configuration'!$B$4)-AM151)</x:f>
      </x:c>
      <x:c r="AO151" s="25" t="str">
        <x:f>IF(AM151="","Missing Required Date",IF(AN151&lt;0,"Future Date",IF(AN151=0,"0 days",IF(AN151&lt;=2,"1-2 days",IF(AN151&lt;=7,"3-7 days",IF(AN151&lt;=14,"8-14 days",IF(AN151&lt;=30,"15-30 days",IF(AN151&lt;=60,"31-60 days",IF(AN151&lt;=70,"61-70 days","71+ days")))))))))</x:f>
        <x:v>Missing Required Date</x:v>
      </x:c>
      <x:c r="AP151" s="25" t="str">
        <x:f>IF(OR(E151="processing",E151="executing",E151="pending"),IF(AM151="","Required aging date missing",IF(AN151&gt;30,"Escalate &gt;30d",IF(AN151&gt;14,"Watch &gt;14d","Within 14d"))),"Out of scope")</x:f>
        <x:v>Out of scope</x:v>
      </x:c>
    </x:row>
    <x:row r="152" ht="24" customHeight="1">
      <x:c r="A152" t="str">
        <x:v>ba71dbc2-700f-4c14-acbc-79d1f2c8dfcc</x:v>
      </x:c>
      <x:c r="B152" t="str">
        <x:v>CSSP10759375</x:v>
      </x:c>
      <x:c r="C152" t="str">
        <x:v>shahrulrizal.said@petronas.com</x:v>
      </x:c>
      <x:c r="D152" t="str">
        <x:v>provision-cloud-public</x:v>
      </x:c>
      <x:c r="E152" t="str">
        <x:v>completed</x:v>
      </x:c>
      <x:c r="F152" t="n">
        <x:v>46148.29802596065</x:v>
      </x:c>
      <x:c r="G152" t="n">
        <x:v>46148.30408204861</x:v>
      </x:c>
      <x:c r="H152" t="n">
        <x:v>46188.33211322917</x:v>
      </x:c>
      <x:c r="I152" t="str">
        <x:v>A-000354</x:v>
      </x:c>
      <x:c r="J152" t="str">
        <x:v>HSE Intelligence Pod - Smart Advisor - HIP SA</x:v>
      </x:c>
      <x:c r="K152" t="n">
        <x:v>4007</x:v>
      </x:c>
      <x:c r="L152" t="str">
        <x:v>HSE Intelligence Pod - Smart Advisor</x:v>
      </x:c>
      <x:c r="M152" t="str">
        <x:v>bryan.dewitt@petronas.com</x:v>
      </x:c>
      <x:c r="N152" t="str">
        <x:v>HIP.AI</x:v>
      </x:c>
      <x:c r="O152" t="str">
        <x:v>New</x:v>
      </x:c>
      <x:c r="P152" t="str">
        <x:v>Production</x:v>
      </x:c>
      <x:c r="Q152" t="str">
        <x:v>Request to provision private IP for the following app services in PTAZSG-IAC-PROD-HIPAI-AIIRA-RG: ptsg-1hipsawb01, ptsg-1hipsawbapi01</x:v>
      </x:c>
      <x:c r="R152" t="str">
        <x:v>S</x:v>
      </x:c>
      <x:c r="S152"/>
      <x:c r="T152"/>
      <x:c r="U152" t="str">
        <x:v>approved</x:v>
      </x:c>
      <x:c r="V152" t="n">
        <x:v>46148.35187752315</x:v>
      </x:c>
      <x:c r="W152" t="str">
        <x:v>bryan.dewitt@petronas.com</x:v>
      </x:c>
      <x:c r="X152" t="str">
        <x:v>approved</x:v>
      </x:c>
      <x:c r="Y152" t="str">
        <x:v>Good to go</x:v>
      </x:c>
      <x:c r="Z152" t="n">
        <x:v>46162.070313425924</x:v>
      </x:c>
      <x:c r="AA152" t="str">
        <x:v>samsuddin.jumbri@petronas.com</x:v>
      </x:c>
      <x:c r="AB152" t="str">
        <x:v>approved</x:v>
      </x:c>
      <x:c r="AC152" t="str">
        <x:v>pep.</x:v>
      </x:c>
      <x:c r="AD152" t="n">
        <x:v>46162.368698935185</x:v>
      </x:c>
      <x:c r="AE152" t="str">
        <x:v>syazali.saad@petronas.com</x:v>
      </x:c>
      <x:c r="AF152" t="str">
        <x:v>approved</x:v>
      </x:c>
      <x:c r="AG152" t="str">
        <x:v>completed</x:v>
      </x:c>
      <x:c r="AH152" t="n">
        <x:v>46188.332113240744</x:v>
      </x:c>
      <x:c r="AI152" t="str">
        <x:v>akhmal.roslan@petronas.com</x:v>
      </x:c>
      <x:c r="AJ152" t="str">
        <x:v>approved</x:v>
      </x:c>
      <x:c r="AK152" t="str">
        <x:v>REQ000008059672</x:v>
      </x:c>
      <x:c r="AL152" t="str">
        <x:v>dffc798b-8629-447b-9c6c-13563df2b5ac</x:v>
      </x:c>
      <x:c r="AM152" s="23" t="str">
        <x:f>IF(E152="processing",IF(Z152="","",IF(ISNUMBER(Z152),INT(Z152),DATE(VALUE(LEFT(Z152,4)),VALUE(MID(Z152,6,2)),VALUE(MID(Z152,9,2))))),IF(OR(E152="executing",E152="pending"),IF(AD152="","",IF(ISNUMBER(AD152),INT(AD152),DATE(VALUE(LEFT(AD152,4)),VALUE(MID(AD152,6,2)),VALUE(MID(AD152,9,2))))),""))</x:f>
      </x:c>
      <x:c r="AN152" s="24" t="str">
        <x:f>IF(AM152="","",INT('Configuration'!$B$4)-AM152)</x:f>
      </x:c>
      <x:c r="AO152" s="25" t="str">
        <x:f>IF(AM152="","Missing Required Date",IF(AN152&lt;0,"Future Date",IF(AN152=0,"0 days",IF(AN152&lt;=2,"1-2 days",IF(AN152&lt;=7,"3-7 days",IF(AN152&lt;=14,"8-14 days",IF(AN152&lt;=30,"15-30 days",IF(AN152&lt;=60,"31-60 days",IF(AN152&lt;=70,"61-70 days","71+ days")))))))))</x:f>
        <x:v>Missing Required Date</x:v>
      </x:c>
      <x:c r="AP152" s="25" t="str">
        <x:f>IF(OR(E152="processing",E152="executing",E152="pending"),IF(AM152="","Required aging date missing",IF(AN152&gt;30,"Escalate &gt;30d",IF(AN152&gt;14,"Watch &gt;14d","Within 14d"))),"Out of scope")</x:f>
        <x:v>Out of scope</x:v>
      </x:c>
    </x:row>
    <x:row r="153" ht="24" customHeight="1">
      <x:c r="A153" t="str">
        <x:v>07f7434c-c661-4f1b-a140-aea98d7cacf0</x:v>
      </x:c>
      <x:c r="B153" t="str">
        <x:v>CSSP10455927</x:v>
      </x:c>
      <x:c r="C153" t="str">
        <x:v>theebban.tamizarasu@petronas.com</x:v>
      </x:c>
      <x:c r="D153" t="str">
        <x:v>provision-cloud-public</x:v>
      </x:c>
      <x:c r="E153" t="str">
        <x:v>rejected</x:v>
      </x:c>
      <x:c r="F153" t="n">
        <x:v>46149.07433380787</x:v>
      </x:c>
      <x:c r="G153" t="n">
        <x:v>46149.07433380787</x:v>
      </x:c>
      <x:c r="H153" t="n">
        <x:v>46155.39281039352</x:v>
      </x:c>
      <x:c r="I153" t="str">
        <x:v>A-000453</x:v>
      </x:c>
      <x:c r="J153" t="str">
        <x:v>Malaysia Bid Round Online Portal</x:v>
      </x:c>
      <x:c r="K153" t="n">
        <x:v>3559</x:v>
      </x:c>
      <x:c r="L153" t="str">
        <x:v>Malaysia Bid Round Online Portal</x:v>
      </x:c>
      <x:c r="M153" t="str">
        <x:v>wadiah.rusli@petronas.com.my</x:v>
      </x:c>
      <x:c r="N153" t="str">
        <x:v>Malaysia Bid Round Online Portal</x:v>
      </x:c>
      <x:c r="O153" t="str">
        <x:v>Modify</x:v>
      </x:c>
      <x:c r="P153" t="str">
        <x:v>Production</x:v>
      </x:c>
      <x:c r="Q153" t="str">
        <x:v>Require provisioning of External IP for new/upgrade server details below :
URL : ebid.malaysiabidround.com
Instance ID : i-0e037c5701cbc55e3
Hostname : PTAWSG-1MBRWB02
We already have Internal IP for this server,
Hence,  this CSSP is requested for provisioning of External IP for this server, as MBR Online Portal is for both internal/external facing users by business (MPM).
</x:v>
      </x:c>
      <x:c r="R153"/>
      <x:c r="S153" t="str">
        <x:v>RFC00222219</x:v>
      </x:c>
      <x:c r="T153"/>
      <x:c r="U153" t="str">
        <x:v>Approved. Please expedite this as business has requested that the application needs to be ready by next week.</x:v>
      </x:c>
      <x:c r="V153" t="n">
        <x:v>46149.097481550925</x:v>
      </x:c>
      <x:c r="W153" t="str">
        <x:v>wadiah.rusli@petronas.com</x:v>
      </x:c>
      <x:c r="X153" t="str">
        <x:v>approved</x:v>
      </x:c>
      <x:c r="Y153" t="str">
        <x:v>Requests for External IP is via AppCenter and not CSSP</x:v>
      </x:c>
      <x:c r="Z153" t="n">
        <x:v>46155.392810405094</x:v>
      </x:c>
      <x:c r="AA153" t="str">
        <x:v>kianleng.geh@petronas.com</x:v>
      </x:c>
      <x:c r="AB153" t="str">
        <x:v>rejected</x:v>
      </x:c>
      <x:c r="AC153"/>
      <x:c r="AD153"/>
      <x:c r="AE153" t="str">
        <x:v>CCoE Business</x:v>
      </x:c>
      <x:c r="AF153"/>
      <x:c r="AG153"/>
      <x:c r="AH153"/>
      <x:c r="AI153" t="str">
        <x:v>CCoE Core Services (Public)</x:v>
      </x:c>
      <x:c r="AJ153"/>
      <x:c r="AK153"/>
      <x:c r="AL153" t="str">
        <x:v>83f3493c-fdee-48cf-93b2-6fd9f419adde</x:v>
      </x:c>
      <x:c r="AM153" s="23" t="str">
        <x:f>IF(E153="processing",IF(Z153="","",IF(ISNUMBER(Z153),INT(Z153),DATE(VALUE(LEFT(Z153,4)),VALUE(MID(Z153,6,2)),VALUE(MID(Z153,9,2))))),IF(OR(E153="executing",E153="pending"),IF(AD153="","",IF(ISNUMBER(AD153),INT(AD153),DATE(VALUE(LEFT(AD153,4)),VALUE(MID(AD153,6,2)),VALUE(MID(AD153,9,2))))),""))</x:f>
      </x:c>
      <x:c r="AN153" s="24" t="str">
        <x:f>IF(AM153="","",INT('Configuration'!$B$4)-AM153)</x:f>
      </x:c>
      <x:c r="AO153" s="25" t="str">
        <x:f>IF(AM153="","Missing Required Date",IF(AN153&lt;0,"Future Date",IF(AN153=0,"0 days",IF(AN153&lt;=2,"1-2 days",IF(AN153&lt;=7,"3-7 days",IF(AN153&lt;=14,"8-14 days",IF(AN153&lt;=30,"15-30 days",IF(AN153&lt;=60,"31-60 days",IF(AN153&lt;=70,"61-70 days","71+ days")))))))))</x:f>
        <x:v>Missing Required Date</x:v>
      </x:c>
      <x:c r="AP153" s="25" t="str">
        <x:f>IF(OR(E153="processing",E153="executing",E153="pending"),IF(AM153="","Required aging date missing",IF(AN153&gt;30,"Escalate &gt;30d",IF(AN153&gt;14,"Watch &gt;14d","Within 14d"))),"Out of scope")</x:f>
        <x:v>Out of scope</x:v>
      </x:c>
    </x:row>
    <x:row r="154" ht="24" customHeight="1">
      <x:c r="A154" t="str">
        <x:v>dfdb9f50-3001-4dcd-b566-f0b92010ddc9</x:v>
      </x:c>
      <x:c r="B154" t="str">
        <x:v>CSSP10470481</x:v>
      </x:c>
      <x:c r="C154" t="str">
        <x:v>shilpakasture.joshi@petronas.com</x:v>
      </x:c>
      <x:c r="D154" t="str">
        <x:v>provision-cloud-public</x:v>
      </x:c>
      <x:c r="E154" t="str">
        <x:v>rejected</x:v>
      </x:c>
      <x:c r="F154" t="n">
        <x:v>46149.138175520835</x:v>
      </x:c>
      <x:c r="G154" t="n">
        <x:v>46149.138175520835</x:v>
      </x:c>
      <x:c r="H154" t="n">
        <x:v>46162.3536346875</x:v>
      </x:c>
      <x:c r="I154" t="str">
        <x:v>A-000045</x:v>
      </x:c>
      <x:c r="J154" t="str">
        <x:v>Alpha Oil</x:v>
      </x:c>
      <x:c r="K154" t="n">
        <x:v>3948</x:v>
      </x:c>
      <x:c r="L154" t="str">
        <x:v>Support Services of Alpha Oil – WS2 DevSecOps for Malaysia Petroleum Management (MPM)</x:v>
      </x:c>
      <x:c r="M154" t="str">
        <x:v>sharulazlan.ahmad@petronas.com</x:v>
      </x:c>
      <x:c r="N154" t="str">
        <x:v>Alpha Oil</x:v>
      </x:c>
      <x:c r="O154" t="str">
        <x:v>New</x:v>
      </x:c>
      <x:c r="P154" t="str">
        <x:v>Production</x:v>
      </x:c>
      <x:c r="Q154" t="str">
        <x:v>Need these resources for migrating existing Talent ETL to AlphaOil ADF</x:v>
      </x:c>
      <x:c r="R154"/>
      <x:c r="S154"/>
      <x:c r="T154"/>
      <x:c r="U154" t="str">
        <x:v>Approved</x:v>
      </x:c>
      <x:c r="V154" t="n">
        <x:v>46149.553193402775</x:v>
      </x:c>
      <x:c r="W154" t="str">
        <x:v>sharulazlan.ahmad@petronas.com</x:v>
      </x:c>
      <x:c r="X154" t="str">
        <x:v>approved</x:v>
      </x:c>
      <x:c r="Y154" t="str">
        <x:v>Good to go</x:v>
      </x:c>
      <x:c r="Z154" t="n">
        <x:v>46162.07098322917</x:v>
      </x:c>
      <x:c r="AA154" t="str">
        <x:v>samsuddin.jumbri@petronas.com</x:v>
      </x:c>
      <x:c r="AB154" t="str">
        <x:v>approved</x:v>
      </x:c>
      <x:c r="AC154" t="str">
        <x:v>please attach cost estimate for resources to be provisioned. the attached email trail did not include the estimate file.</x:v>
      </x:c>
      <x:c r="AD154" t="n">
        <x:v>46162.35363469907</x:v>
      </x:c>
      <x:c r="AE154" t="str">
        <x:v>syazali.saad@petronas.com</x:v>
      </x:c>
      <x:c r="AF154" t="str">
        <x:v>rejected</x:v>
      </x:c>
      <x:c r="AG154"/>
      <x:c r="AH154"/>
      <x:c r="AI154" t="str">
        <x:v>CCoE Core Services (Public)</x:v>
      </x:c>
      <x:c r="AJ154"/>
      <x:c r="AK154"/>
      <x:c r="AL154" t="str">
        <x:v>068bb9e2-7634-4ac4-b94c-0a9bb274301b</x:v>
      </x:c>
      <x:c r="AM154" s="23" t="str">
        <x:f>IF(E154="processing",IF(Z154="","",IF(ISNUMBER(Z154),INT(Z154),DATE(VALUE(LEFT(Z154,4)),VALUE(MID(Z154,6,2)),VALUE(MID(Z154,9,2))))),IF(OR(E154="executing",E154="pending"),IF(AD154="","",IF(ISNUMBER(AD154),INT(AD154),DATE(VALUE(LEFT(AD154,4)),VALUE(MID(AD154,6,2)),VALUE(MID(AD154,9,2))))),""))</x:f>
      </x:c>
      <x:c r="AN154" s="24" t="str">
        <x:f>IF(AM154="","",INT('Configuration'!$B$4)-AM154)</x:f>
      </x:c>
      <x:c r="AO154" s="25" t="str">
        <x:f>IF(AM154="","Missing Required Date",IF(AN154&lt;0,"Future Date",IF(AN154=0,"0 days",IF(AN154&lt;=2,"1-2 days",IF(AN154&lt;=7,"3-7 days",IF(AN154&lt;=14,"8-14 days",IF(AN154&lt;=30,"15-30 days",IF(AN154&lt;=60,"31-60 days",IF(AN154&lt;=70,"61-70 days","71+ days")))))))))</x:f>
        <x:v>Missing Required Date</x:v>
      </x:c>
      <x:c r="AP154" s="25" t="str">
        <x:f>IF(OR(E154="processing",E154="executing",E154="pending"),IF(AM154="","Required aging date missing",IF(AN154&gt;30,"Escalate &gt;30d",IF(AN154&gt;14,"Watch &gt;14d","Within 14d"))),"Out of scope")</x:f>
        <x:v>Out of scope</x:v>
      </x:c>
    </x:row>
    <x:row r="155" ht="24" customHeight="1">
      <x:c r="A155" t="str">
        <x:v>73658ccd-3a69-4e62-a958-2048745052d1</x:v>
      </x:c>
      <x:c r="B155" t="str">
        <x:v>CSSP10338172</x:v>
      </x:c>
      <x:c r="C155" t="str">
        <x:v>shilpakasture.joshi@petronas.com</x:v>
      </x:c>
      <x:c r="D155" t="str">
        <x:v>provision-cloud-public</x:v>
      </x:c>
      <x:c r="E155" t="str">
        <x:v>rejected</x:v>
      </x:c>
      <x:c r="F155" t="n">
        <x:v>46149.27571039352</x:v>
      </x:c>
      <x:c r="G155" t="n">
        <x:v>46149.27571039352</x:v>
      </x:c>
      <x:c r="H155" t="n">
        <x:v>46149.30199493055</x:v>
      </x:c>
      <x:c r="I155" t="str">
        <x:v>A-000045</x:v>
      </x:c>
      <x:c r="J155" t="str">
        <x:v>Alpha Oil</x:v>
      </x:c>
      <x:c r="K155" t="n">
        <x:v>3948</x:v>
      </x:c>
      <x:c r="L155" t="str">
        <x:v>Support Services of Alpha Oil – WS2 DevSecOps for Malaysia Petroleum Management (MPM)</x:v>
      </x:c>
      <x:c r="M155" t="str">
        <x:v>yngsheng.toh@petronas.com.my</x:v>
      </x:c>
      <x:c r="N155" t="str">
        <x:v>Alpha Oil</x:v>
      </x:c>
      <x:c r="O155" t="str">
        <x:v>New</x:v>
      </x:c>
      <x:c r="P155" t="str">
        <x:v>Production</x:v>
      </x:c>
      <x:c r="Q155" t="str">
        <x:v>Need these resources for migrating existing Talent ETL to AlphaOil ADF</x:v>
      </x:c>
      <x:c r="R155"/>
      <x:c r="S155"/>
      <x:c r="T155"/>
      <x:c r="U155" t="str">
        <x:v>Please attached the specifications of the requested resources.</x:v>
      </x:c>
      <x:c r="V155" t="n">
        <x:v>46149.30199494213</x:v>
      </x:c>
      <x:c r="W155" t="str">
        <x:v>yngsheng.toh@petronas.com</x:v>
      </x:c>
      <x:c r="X155" t="str">
        <x:v>rejected</x:v>
      </x:c>
      <x:c r="Y155"/>
      <x:c r="Z155"/>
      <x:c r="AA155" t="str">
        <x:v>CCoE Demand</x:v>
      </x:c>
      <x:c r="AB155"/>
      <x:c r="AC155"/>
      <x:c r="AD155"/>
      <x:c r="AE155" t="str">
        <x:v>CCoE Business</x:v>
      </x:c>
      <x:c r="AF155"/>
      <x:c r="AG155"/>
      <x:c r="AH155"/>
      <x:c r="AI155" t="str">
        <x:v>CCoE Core Services (Public)</x:v>
      </x:c>
      <x:c r="AJ155"/>
      <x:c r="AK155"/>
      <x:c r="AL155" t="str">
        <x:v>068bb9e2-7634-4ac4-b94c-0a9bb274301b</x:v>
      </x:c>
      <x:c r="AM155" s="23" t="str">
        <x:f>IF(E155="processing",IF(Z155="","",IF(ISNUMBER(Z155),INT(Z155),DATE(VALUE(LEFT(Z155,4)),VALUE(MID(Z155,6,2)),VALUE(MID(Z155,9,2))))),IF(OR(E155="executing",E155="pending"),IF(AD155="","",IF(ISNUMBER(AD155),INT(AD155),DATE(VALUE(LEFT(AD155,4)),VALUE(MID(AD155,6,2)),VALUE(MID(AD155,9,2))))),""))</x:f>
      </x:c>
      <x:c r="AN155" s="24" t="str">
        <x:f>IF(AM155="","",INT('Configuration'!$B$4)-AM155)</x:f>
      </x:c>
      <x:c r="AO155" s="25" t="str">
        <x:f>IF(AM155="","Missing Required Date",IF(AN155&lt;0,"Future Date",IF(AN155=0,"0 days",IF(AN155&lt;=2,"1-2 days",IF(AN155&lt;=7,"3-7 days",IF(AN155&lt;=14,"8-14 days",IF(AN155&lt;=30,"15-30 days",IF(AN155&lt;=60,"31-60 days",IF(AN155&lt;=70,"61-70 days","71+ days")))))))))</x:f>
        <x:v>Missing Required Date</x:v>
      </x:c>
      <x:c r="AP155" s="25" t="str">
        <x:f>IF(OR(E155="processing",E155="executing",E155="pending"),IF(AM155="","Required aging date missing",IF(AN155&gt;30,"Escalate &gt;30d",IF(AN155&gt;14,"Watch &gt;14d","Within 14d"))),"Out of scope")</x:f>
        <x:v>Out of scope</x:v>
      </x:c>
    </x:row>
    <x:row r="156" ht="24" customHeight="1">
      <x:c r="A156" t="str">
        <x:v>7aebf8a0-421a-4b6e-92ba-4d8e10531fbb</x:v>
      </x:c>
      <x:c r="B156" t="str">
        <x:v>CSSP10151727</x:v>
      </x:c>
      <x:c r="C156" t="str">
        <x:v>shilpakasture.joshi@petronas.com</x:v>
      </x:c>
      <x:c r="D156" t="str">
        <x:v>provision-cloud-public</x:v>
      </x:c>
      <x:c r="E156" t="str">
        <x:v>completed</x:v>
      </x:c>
      <x:c r="F156" t="n">
        <x:v>46149.32829445602</x:v>
      </x:c>
      <x:c r="G156" t="n">
        <x:v>46149.32829445602</x:v>
      </x:c>
      <x:c r="H156" t="n">
        <x:v>46176.03193304398</x:v>
      </x:c>
      <x:c r="I156" t="str">
        <x:v>A-000045</x:v>
      </x:c>
      <x:c r="J156" t="str">
        <x:v>Alpha Oil</x:v>
      </x:c>
      <x:c r="K156" t="n">
        <x:v>3948</x:v>
      </x:c>
      <x:c r="L156" t="str">
        <x:v>Support Services of Alpha Oil – WS2 DevSecOps for Malaysia Petroleum Management (MPM)</x:v>
      </x:c>
      <x:c r="M156" t="str">
        <x:v>yngsheng.toh@petronas.com.my</x:v>
      </x:c>
      <x:c r="N156" t="str">
        <x:v>Alpha Oil</x:v>
      </x:c>
      <x:c r="O156" t="str">
        <x:v>New</x:v>
      </x:c>
      <x:c r="P156" t="str">
        <x:v>Production</x:v>
      </x:c>
      <x:c r="Q156" t="str">
        <x:v>SR010707
Need these resources for migrating existing Talent ETL to AlphaOil ADF</x:v>
      </x:c>
      <x:c r="R156" t="str">
        <x:v>M</x:v>
      </x:c>
      <x:c r="S156"/>
      <x:c r="T156"/>
      <x:c r="U156" t="str">
        <x:v>Reviewed. </x:v>
      </x:c>
      <x:c r="V156" t="n">
        <x:v>46149.33131533565</x:v>
      </x:c>
      <x:c r="W156" t="str">
        <x:v>yngsheng.toh@petronas.com</x:v>
      </x:c>
      <x:c r="X156" t="str">
        <x:v>approved</x:v>
      </x:c>
      <x:c r="Y156" t="str">
        <x:v>Approved. User is in the midst of raising RFC for the upgrade</x:v>
      </x:c>
      <x:c r="Z156" t="n">
        <x:v>46154.13634513889</x:v>
      </x:c>
      <x:c r="AA156" t="str">
        <x:v>kianleng.geh@petronas.com</x:v>
      </x:c>
      <x:c r="AB156" t="str">
        <x:v>approved</x:v>
      </x:c>
      <x:c r="AC156" t="str">
        <x:v>DF and Azfunctions.</x:v>
      </x:c>
      <x:c r="AD156" t="n">
        <x:v>46154.28941424769</x:v>
      </x:c>
      <x:c r="AE156" t="str">
        <x:v>syazali.saad@petronas.com</x:v>
      </x:c>
      <x:c r="AF156" t="str">
        <x:v>approved</x:v>
      </x:c>
      <x:c r="AG156" t="str">
        <x:v>done</x:v>
      </x:c>
      <x:c r="AH156" t="n">
        <x:v>46176.03193306713</x:v>
      </x:c>
      <x:c r="AI156" t="str">
        <x:v>azhan.shazeli@petronas.com</x:v>
      </x:c>
      <x:c r="AJ156" t="str">
        <x:v>approved</x:v>
      </x:c>
      <x:c r="AK156" t="str">
        <x:v>REQ000008042697</x:v>
      </x:c>
      <x:c r="AL156" t="str">
        <x:v>068bb9e2-7634-4ac4-b94c-0a9bb274301b</x:v>
      </x:c>
      <x:c r="AM156" s="23" t="str">
        <x:f>IF(E156="processing",IF(Z156="","",IF(ISNUMBER(Z156),INT(Z156),DATE(VALUE(LEFT(Z156,4)),VALUE(MID(Z156,6,2)),VALUE(MID(Z156,9,2))))),IF(OR(E156="executing",E156="pending"),IF(AD156="","",IF(ISNUMBER(AD156),INT(AD156),DATE(VALUE(LEFT(AD156,4)),VALUE(MID(AD156,6,2)),VALUE(MID(AD156,9,2))))),""))</x:f>
      </x:c>
      <x:c r="AN156" s="24" t="str">
        <x:f>IF(AM156="","",INT('Configuration'!$B$4)-AM156)</x:f>
      </x:c>
      <x:c r="AO156" s="25" t="str">
        <x:f>IF(AM156="","Missing Required Date",IF(AN156&lt;0,"Future Date",IF(AN156=0,"0 days",IF(AN156&lt;=2,"1-2 days",IF(AN156&lt;=7,"3-7 days",IF(AN156&lt;=14,"8-14 days",IF(AN156&lt;=30,"15-30 days",IF(AN156&lt;=60,"31-60 days",IF(AN156&lt;=70,"61-70 days","71+ days")))))))))</x:f>
        <x:v>Missing Required Date</x:v>
      </x:c>
      <x:c r="AP156" s="25" t="str">
        <x:f>IF(OR(E156="processing",E156="executing",E156="pending"),IF(AM156="","Required aging date missing",IF(AN156&gt;30,"Escalate &gt;30d",IF(AN156&gt;14,"Watch &gt;14d","Within 14d"))),"Out of scope")</x:f>
        <x:v>Out of scope</x:v>
      </x:c>
    </x:row>
    <x:row r="157" ht="24" customHeight="1">
      <x:c r="A157" t="str">
        <x:v>15c89c49-98ab-4d09-b4b8-c15f562be311</x:v>
      </x:c>
      <x:c r="B157" t="str">
        <x:v>CSSP10591107</x:v>
      </x:c>
      <x:c r="C157" t="str">
        <x:v>amarsyafiq.azma@petronas.com</x:v>
      </x:c>
      <x:c r="D157" t="str">
        <x:v>provision-cloud-public</x:v>
      </x:c>
      <x:c r="E157" t="str">
        <x:v>completed</x:v>
      </x:c>
      <x:c r="F157" t="n">
        <x:v>46150.06564219907</x:v>
      </x:c>
      <x:c r="G157" t="n">
        <x:v>46150.06564219907</x:v>
      </x:c>
      <x:c r="H157" t="n">
        <x:v>46191.31970961805</x:v>
      </x:c>
      <x:c r="I157" t="str">
        <x:v>A-000285</x:v>
      </x:c>
      <x:c r="J157" t="str">
        <x:v>Enterprise Application Observability</x:v>
      </x:c>
      <x:c r="K157" t="str">
        <x:v>PC-00002</x:v>
      </x:c>
      <x:c r="L157" t="str">
        <x:v>Enterprise Application Observability</x:v>
      </x:c>
      <x:c r="M157" t="str">
        <x:v>chewjian.shin@petronas.com</x:v>
      </x:c>
      <x:c r="N157" t="str">
        <x:v>Enterprise Observability</x:v>
      </x:c>
      <x:c r="O157" t="str">
        <x:v>New</x:v>
      </x:c>
      <x:c r="P157" t="str">
        <x:v>StagingUat</x:v>
      </x:c>
      <x:c r="Q157" t="str">
        <x:v>Cost/Bill category = DISSC (formerly known as Indirect Cost)
Understand that this project is not considered as/not in the list of Repatriation program, how do we provision this into Malaysia West Region?
Appreciate the team to assist on this. We are happy to jump into a call/discussion if needed to. Thank you.</x:v>
      </x:c>
      <x:c r="R157" t="str">
        <x:v>L</x:v>
      </x:c>
      <x:c r="S157"/>
      <x:c r="T157"/>
      <x:c r="U157" t="str">
        <x:v>As part of the Elasticsearch platform modernization, we are rebuilding the existing deployment from an IaaS-based model to a Kubernetes-based architecture. This initiative is required to align the platform with PETRONAS 2.0 objectives, particularly in strengthening enterprise observability, improving platform scalability, and ensuring that the environment is designed with compliance and data governance requirements from the outset.
A key driver for deploying the new Kubernetes-based Elasticsearch cluster in Malaysia is to support PDPA compliance and data residency expectations. Elasticsearch is used to process and store observability data such as application logs, operational events, system telemetry, and compliance-related monitoring information. These datasets may contain sensitive information or data patterns that require proper governance, locality control, access control, and auditability. Hosting the target environment in Malaysia provides better alignment with local regulatory expectations and reduces the risk of sensitive operational data being processed or retained outside the intended jurisdiction.
This initiative is not related to any repatriation exercise. The deployment is driven by the need to modernize the Elasticsearch platform into a more secure, scalable, and compliance-ready architecture. The current IaaS-based setup has served its purpose, but it is less suitable for the future operating model required to support increasing observability demand, PDPA-driven controls, data residency requirements, and structured platform lifecycle management.
The new Kubernetes-based architecture will provide a more fit-for-purpose foundation for Elasticsearch by enabling improved resource orchestration, deployment consistency, resiliency, and operational control. More importantly, it allows the platform to be designed around compliance requirements from the beginning, including data locality, controlled access, secure operations, and better governance over how observability data is managed across the environment.
The new Malaysia-based Elasticsearch cluster will serve as the target-state environment for the modernized platform. It will allow the team to validate the architecture, security configuration, integration points, operational readiness, and migration approach in a controlled manner before production cutover. By designing the environment with production reuse in mind, the deployment avoids unnecessary duplication of infrastructure and supports a more efficient transition from validation to live operations.
Once the new Kubernetes-based environment has been validated, the team can proceed with a controlled data migration from the legacy IaaS servers. After successful migration and operational acceptance, the existing servers can be progressively decommissioned in a structured and auditable manner. This will reduce technical debt, simplify platform operations, and establish a cleaner foundation for future observability and compliance needs.
Overall, the deployment of new Kubernetes servers in Malaysia is necessary to support the Elasticsearch modernization roadmap. It is a platform modernization and compliance enablement initiative, not a repatriation exercise. The new environment will provide the required foundation to support PDPA compliance, Malaysia data residency, secure observability operations, controlled migration, and the eventual retirement of legacy IaaS-based infrastructure.</x:v>
      </x:c>
      <x:c r="V157" t="n">
        <x:v>46150.09734905093</x:v>
      </x:c>
      <x:c r="W157" t="str">
        <x:v>chewjian.shin@petronas.com</x:v>
      </x:c>
      <x:c r="X157" t="str">
        <x:v>approved</x:v>
      </x:c>
      <x:c r="Y157" t="str">
        <x:v>Good to go</x:v>
      </x:c>
      <x:c r="Z157" t="n">
        <x:v>46162.07477172454</x:v>
      </x:c>
      <x:c r="AA157" t="str">
        <x:v>samsuddin.jumbri@petronas.com</x:v>
      </x:c>
      <x:c r="AB157" t="str">
        <x:v>approved</x:v>
      </x:c>
      <x:c r="AC157" t="str">
        <x:v>OLZ</x:v>
      </x:c>
      <x:c r="AD157" t="n">
        <x:v>46162.28468052083</x:v>
      </x:c>
      <x:c r="AE157" t="str">
        <x:v>syazali.saad@petronas.com</x:v>
      </x:c>
      <x:c r="AF157" t="str">
        <x:v>approved</x:v>
      </x:c>
      <x:c r="AG157" t="str">
        <x:v>Will proceed offline.</x:v>
      </x:c>
      <x:c r="AH157" t="n">
        <x:v>46191.31970961805</x:v>
      </x:c>
      <x:c r="AI157" t="str">
        <x:v>badri.shaharudin@petronas.com</x:v>
      </x:c>
      <x:c r="AJ157" t="str">
        <x:v>approved</x:v>
      </x:c>
      <x:c r="AK157" t="str">
        <x:v>REQ000008059443</x:v>
      </x:c>
      <x:c r="AL157" t="str">
        <x:v>66d4ebcb-ad48-4d93-a2d3-c759ef6af5c8</x:v>
      </x:c>
      <x:c r="AM157" s="23" t="str">
        <x:f>IF(E157="processing",IF(Z157="","",IF(ISNUMBER(Z157),INT(Z157),DATE(VALUE(LEFT(Z157,4)),VALUE(MID(Z157,6,2)),VALUE(MID(Z157,9,2))))),IF(OR(E157="executing",E157="pending"),IF(AD157="","",IF(ISNUMBER(AD157),INT(AD157),DATE(VALUE(LEFT(AD157,4)),VALUE(MID(AD157,6,2)),VALUE(MID(AD157,9,2))))),""))</x:f>
      </x:c>
      <x:c r="AN157" s="24" t="str">
        <x:f>IF(AM157="","",INT('Configuration'!$B$4)-AM157)</x:f>
      </x:c>
      <x:c r="AO157" s="25" t="str">
        <x:f>IF(AM157="","Missing Required Date",IF(AN157&lt;0,"Future Date",IF(AN157=0,"0 days",IF(AN157&lt;=2,"1-2 days",IF(AN157&lt;=7,"3-7 days",IF(AN157&lt;=14,"8-14 days",IF(AN157&lt;=30,"15-30 days",IF(AN157&lt;=60,"31-60 days",IF(AN157&lt;=70,"61-70 days","71+ days")))))))))</x:f>
        <x:v>Missing Required Date</x:v>
      </x:c>
      <x:c r="AP157" s="25" t="str">
        <x:f>IF(OR(E157="processing",E157="executing",E157="pending"),IF(AM157="","Required aging date missing",IF(AN157&gt;30,"Escalate &gt;30d",IF(AN157&gt;14,"Watch &gt;14d","Within 14d"))),"Out of scope")</x:f>
        <x:v>Out of scope</x:v>
      </x:c>
    </x:row>
    <x:row r="158" ht="24" customHeight="1">
      <x:c r="A158" t="str">
        <x:v>f67b3f48-36c4-4596-8b77-b45d0d2d62e4</x:v>
      </x:c>
      <x:c r="B158" t="str">
        <x:v>CSSP10434143</x:v>
      </x:c>
      <x:c r="C158" t="str">
        <x:v>mkhairulazhar.jamil@petronas.com</x:v>
      </x:c>
      <x:c r="D158" t="str">
        <x:v>provision-cloud-public</x:v>
      </x:c>
      <x:c r="E158" t="str">
        <x:v>completed</x:v>
      </x:c>
      <x:c r="F158" t="n">
        <x:v>46153.28205913195</x:v>
      </x:c>
      <x:c r="G158" t="n">
        <x:v>46168.193916805554</x:v>
      </x:c>
      <x:c r="H158" t="n">
        <x:v>46182.321829560184</x:v>
      </x:c>
      <x:c r="I158" t="str">
        <x:v>A-000124</x:v>
      </x:c>
      <x:c r="J158" t="str">
        <x:v>COMPASS</x:v>
      </x:c>
      <x:c r="K158" t="n">
        <x:v>1709</x:v>
      </x:c>
      <x:c r="L158" t="str">
        <x:v>COMPASS Phase 2</x:v>
      </x:c>
      <x:c r="M158" t="str">
        <x:v>amirshazlan.mshah@petronas.com.my</x:v>
      </x:c>
      <x:c r="N158" t="str">
        <x:v>COMPASS</x:v>
      </x:c>
      <x:c r="O158" t="str">
        <x:v>New</x:v>
      </x:c>
      <x:c r="P158" t="str">
        <x:v>Production</x:v>
      </x:c>
      <x:c r="Q158" t="str">
        <x:v>Subscription Name: PTAZSG-IAC-PROD ENVIRONMENT
RG: PTAZSG-IAC-PROD-COMPASS-RG
To provision new Azure Cache for Redis in production environment</x:v>
      </x:c>
      <x:c r="R158" t="str">
        <x:v>S</x:v>
      </x:c>
      <x:c r="S158"/>
      <x:c r="T158"/>
      <x:c r="U158" t="str">
        <x:v>approved</x:v>
      </x:c>
      <x:c r="V158" t="n">
        <x:v>46168.20458564815</x:v>
      </x:c>
      <x:c r="W158" t="str">
        <x:v>amirshazlan.mshah@petronas.com</x:v>
      </x:c>
      <x:c r="X158" t="str">
        <x:v>approved</x:v>
      </x:c>
      <x:c r="Y158" t="str">
        <x:v>approval</x:v>
      </x:c>
      <x:c r="Z158" t="n">
        <x:v>46168.20501384259</x:v>
      </x:c>
      <x:c r="AA158" t="str">
        <x:v>amirshazlan.mshah@petronas.com</x:v>
      </x:c>
      <x:c r="AB158" t="str">
        <x:v>approved</x:v>
      </x:c>
      <x:c r="AC158" t="str">
        <x:v>small</x:v>
      </x:c>
      <x:c r="AD158" t="n">
        <x:v>46171.3133296875</x:v>
      </x:c>
      <x:c r="AE158" t="str">
        <x:v>syazali.saad@petronas.com</x:v>
      </x:c>
      <x:c r="AF158" t="str">
        <x:v>approved</x:v>
      </x:c>
      <x:c r="AG158" t="str">
        <x:v>completed</x:v>
      </x:c>
      <x:c r="AH158" t="n">
        <x:v>46182.32182957176</x:v>
      </x:c>
      <x:c r="AI158" t="str">
        <x:v>akhmal.roslan@petronas.com</x:v>
      </x:c>
      <x:c r="AJ158" t="str">
        <x:v>approved</x:v>
      </x:c>
      <x:c r="AK158" t="str">
        <x:v>REQ000008073332</x:v>
      </x:c>
      <x:c r="AL158" t="str">
        <x:v>90296959-c21f-48ac-8658-df869ee75354</x:v>
      </x:c>
      <x:c r="AM158" s="23" t="str">
        <x:f>IF(E158="processing",IF(Z158="","",IF(ISNUMBER(Z158),INT(Z158),DATE(VALUE(LEFT(Z158,4)),VALUE(MID(Z158,6,2)),VALUE(MID(Z158,9,2))))),IF(OR(E158="executing",E158="pending"),IF(AD158="","",IF(ISNUMBER(AD158),INT(AD158),DATE(VALUE(LEFT(AD158,4)),VALUE(MID(AD158,6,2)),VALUE(MID(AD158,9,2))))),""))</x:f>
      </x:c>
      <x:c r="AN158" s="24" t="str">
        <x:f>IF(AM158="","",INT('Configuration'!$B$4)-AM158)</x:f>
      </x:c>
      <x:c r="AO158" s="25" t="str">
        <x:f>IF(AM158="","Missing Required Date",IF(AN158&lt;0,"Future Date",IF(AN158=0,"0 days",IF(AN158&lt;=2,"1-2 days",IF(AN158&lt;=7,"3-7 days",IF(AN158&lt;=14,"8-14 days",IF(AN158&lt;=30,"15-30 days",IF(AN158&lt;=60,"31-60 days",IF(AN158&lt;=70,"61-70 days","71+ days")))))))))</x:f>
        <x:v>Missing Required Date</x:v>
      </x:c>
      <x:c r="AP158" s="25" t="str">
        <x:f>IF(OR(E158="processing",E158="executing",E158="pending"),IF(AM158="","Required aging date missing",IF(AN158&gt;30,"Escalate &gt;30d",IF(AN158&gt;14,"Watch &gt;14d","Within 14d"))),"Out of scope")</x:f>
        <x:v>Out of scope</x:v>
      </x:c>
    </x:row>
    <x:row r="159" ht="24" customHeight="1">
      <x:c r="A159" t="str">
        <x:v>cf7c1568-9465-478e-a212-1d033ab6fe72</x:v>
      </x:c>
      <x:c r="B159" t="str">
        <x:v>CSSP10714552</x:v>
      </x:c>
      <x:c r="C159" t="str">
        <x:v>ahmadaizuddin.badry@petronas.com</x:v>
      </x:c>
      <x:c r="D159" t="str">
        <x:v>provision-cloud-public</x:v>
      </x:c>
      <x:c r="E159" t="str">
        <x:v>completed</x:v>
      </x:c>
      <x:c r="F159" t="n">
        <x:v>46154.131849537036</x:v>
      </x:c>
      <x:c r="G159" t="n">
        <x:v>46154.131849537036</x:v>
      </x:c>
      <x:c r="H159" t="n">
        <x:v>46204.255536550925</x:v>
      </x:c>
      <x:c r="I159" t="str">
        <x:v>A-000490</x:v>
      </x:c>
      <x:c r="J159" t="str">
        <x:v>MyProcure</x:v>
      </x:c>
      <x:c r="K159" t="n">
        <x:v>4343</x:v>
      </x:c>
      <x:c r="L159" t="str">
        <x:v>Procurement Innovation Through Automation And Procurement Marketplace</x:v>
      </x:c>
      <x:c r="M159" t="str">
        <x:v>amirshazlan.mshah@petronas.com.my</x:v>
      </x:c>
      <x:c r="N159" t="str">
        <x:v>Procurement AI</x:v>
      </x:c>
      <x:c r="O159" t="str">
        <x:v>Modify</x:v>
      </x:c>
      <x:c r="P159" t="str">
        <x:v>Development</x:v>
      </x:c>
      <x:c r="Q159" t="str">
        <x:v>RG ptazsg-iac-dev-gpdata-rg, Procurement AI Azure Functions and Fabric Upgrade (F8 =&gt; F16)</x:v>
      </x:c>
      <x:c r="R159" t="str">
        <x:v>S</x:v>
      </x:c>
      <x:c r="S159"/>
      <x:c r="T159"/>
      <x:c r="U159" t="str">
        <x:v>approved</x:v>
      </x:c>
      <x:c r="V159" t="n">
        <x:v>46154.156020069444</x:v>
      </x:c>
      <x:c r="W159" t="str">
        <x:v>amirshazlan.mshah@petronas.com</x:v>
      </x:c>
      <x:c r="X159" t="str">
        <x:v>approved</x:v>
      </x:c>
      <x:c r="Y159" t="str">
        <x:v>Good to go</x:v>
      </x:c>
      <x:c r="Z159" t="n">
        <x:v>46162.07617756944</x:v>
      </x:c>
      <x:c r="AA159" t="str">
        <x:v>samsuddin.jumbri@petronas.com</x:v>
      </x:c>
      <x:c r="AB159" t="str">
        <x:v>approved</x:v>
      </x:c>
      <x:c r="AC159" t="str">
        <x:v>clickops</x:v>
      </x:c>
      <x:c r="AD159" t="n">
        <x:v>46162.35442686343</x:v>
      </x:c>
      <x:c r="AE159" t="str">
        <x:v>syazali.saad@petronas.com</x:v>
      </x:c>
      <x:c r="AF159" t="str">
        <x:v>approved</x:v>
      </x:c>
      <x:c r="AG159" t="str">
        <x:v>done.</x:v>
      </x:c>
      <x:c r="AH159" t="n">
        <x:v>46204.2555365625</x:v>
      </x:c>
      <x:c r="AI159" t="str">
        <x:v>izham.ajmaan@petronas.com</x:v>
      </x:c>
      <x:c r="AJ159" t="str">
        <x:v>approved</x:v>
      </x:c>
      <x:c r="AK159" t="str">
        <x:v>REQ000008059659</x:v>
      </x:c>
      <x:c r="AL159" t="str">
        <x:v>e1827a6c-e18c-4500-94be-16de9cbb9e7c</x:v>
      </x:c>
      <x:c r="AM159" s="23" t="str">
        <x:f>IF(E159="processing",IF(Z159="","",IF(ISNUMBER(Z159),INT(Z159),DATE(VALUE(LEFT(Z159,4)),VALUE(MID(Z159,6,2)),VALUE(MID(Z159,9,2))))),IF(OR(E159="executing",E159="pending"),IF(AD159="","",IF(ISNUMBER(AD159),INT(AD159),DATE(VALUE(LEFT(AD159,4)),VALUE(MID(AD159,6,2)),VALUE(MID(AD159,9,2))))),""))</x:f>
      </x:c>
      <x:c r="AN159" s="24" t="str">
        <x:f>IF(AM159="","",INT('Configuration'!$B$4)-AM159)</x:f>
      </x:c>
      <x:c r="AO159" s="25" t="str">
        <x:f>IF(AM159="","Missing Required Date",IF(AN159&lt;0,"Future Date",IF(AN159=0,"0 days",IF(AN159&lt;=2,"1-2 days",IF(AN159&lt;=7,"3-7 days",IF(AN159&lt;=14,"8-14 days",IF(AN159&lt;=30,"15-30 days",IF(AN159&lt;=60,"31-60 days",IF(AN159&lt;=70,"61-70 days","71+ days")))))))))</x:f>
        <x:v>Missing Required Date</x:v>
      </x:c>
      <x:c r="AP159" s="25" t="str">
        <x:f>IF(OR(E159="processing",E159="executing",E159="pending"),IF(AM159="","Required aging date missing",IF(AN159&gt;30,"Escalate &gt;30d",IF(AN159&gt;14,"Watch &gt;14d","Within 14d"))),"Out of scope")</x:f>
        <x:v>Out of scope</x:v>
      </x:c>
    </x:row>
    <x:row r="160" ht="24" customHeight="1">
      <x:c r="A160" t="str">
        <x:v>9d360c06-88c7-47e9-83ad-4911ecbaa9d1</x:v>
      </x:c>
      <x:c r="B160" t="str">
        <x:v>CSSP10825896</x:v>
      </x:c>
      <x:c r="C160" t="str">
        <x:v>ahmadaizuddin.badry@petronas.com</x:v>
      </x:c>
      <x:c r="D160" t="str">
        <x:v>provision-cloud-public</x:v>
      </x:c>
      <x:c r="E160" t="str">
        <x:v>completed</x:v>
      </x:c>
      <x:c r="F160" t="n">
        <x:v>46154.1345971875</x:v>
      </x:c>
      <x:c r="G160" t="n">
        <x:v>46168.197797789355</x:v>
      </x:c>
      <x:c r="H160" t="n">
        <x:v>46219.072681157406</x:v>
      </x:c>
      <x:c r="I160" t="str">
        <x:v>A-000490</x:v>
      </x:c>
      <x:c r="J160" t="str">
        <x:v>MyProcure</x:v>
      </x:c>
      <x:c r="K160" t="n">
        <x:v>4343</x:v>
      </x:c>
      <x:c r="L160" t="str">
        <x:v>Procurement Innovation Through Automation And Procurement Marketplace</x:v>
      </x:c>
      <x:c r="M160" t="str">
        <x:v>amirshazlan.mshah@petronas.com.my</x:v>
      </x:c>
      <x:c r="N160" t="str">
        <x:v>Procurement AI</x:v>
      </x:c>
      <x:c r="O160" t="str">
        <x:v>New</x:v>
      </x:c>
      <x:c r="P160" t="str">
        <x:v>Development</x:v>
      </x:c>
      <x:c r="Q160" t="str">
        <x:v>1. Azure Functions Premium EP2
2. App Service Free F1 - 4x
3. App Service Basic B1 - 1x
4. Storage Account Standard General Purpose V2 (Blob, Tables, Queues) - 1x
RG ptazsg-iac-dev-gpdata-rg
</x:v>
      </x:c>
      <x:c r="R160" t="str">
        <x:v>M</x:v>
      </x:c>
      <x:c r="S160"/>
      <x:c r="T160"/>
      <x:c r="U160" t="str">
        <x:v>approved</x:v>
      </x:c>
      <x:c r="V160" t="n">
        <x:v>46168.20543670139</x:v>
      </x:c>
      <x:c r="W160" t="str">
        <x:v>amirshazlan.mshah@petronas.com</x:v>
      </x:c>
      <x:c r="X160" t="str">
        <x:v>approved</x:v>
      </x:c>
      <x:c r="Y160" t="str">
        <x:v>Good to go</x:v>
      </x:c>
      <x:c r="Z160" t="n">
        <x:v>46178.37921600694</x:v>
      </x:c>
      <x:c r="AA160" t="str">
        <x:v>samsuddin.jumbri@petronas.com</x:v>
      </x:c>
      <x:c r="AB160" t="str">
        <x:v>approved</x:v>
      </x:c>
      <x:c r="AC160" t="str">
        <x:v>additional resources
https://dev.azure.com/Digital-Delivery/Group%20Procurement%20EDH%20Data%20Enablement/_git/app-iac-azure-gpdata</x:v>
      </x:c>
      <x:c r="AD160" t="n">
        <x:v>46189.29641688657</x:v>
      </x:c>
      <x:c r="AE160" t="str">
        <x:v>syazali.saad@petronas.com</x:v>
      </x:c>
      <x:c r="AF160" t="str">
        <x:v>approved</x:v>
      </x:c>
      <x:c r="AG160" t="str">
        <x:v>All resources have been provisioned. Detail resources name as below:
Azure Functions	ptazsg-5gpdatafunc02
App Service	ptazsg-5gpdatawb03
App Service	ptazsg-5gpdatawb04
Storage Accounts	ptazsg5gpdatastr03
Storage Accounts	ptazsg5gpdatastr04
App Service	ptazsg-5gpdatawb02
App Service	ptazsg-5gpdatawb05
App Service	ptazsg-5gpdatawb06
</x:v>
      </x:c>
      <x:c r="AH160" t="n">
        <x:v>46219.072681157406</x:v>
      </x:c>
      <x:c r="AI160" t="str">
        <x:v>muhdfirdaus.muhamad@petronas.com</x:v>
      </x:c>
      <x:c r="AJ160" t="str">
        <x:v>approved</x:v>
      </x:c>
      <x:c r="AK160" t="str">
        <x:v>REQ000008103506</x:v>
      </x:c>
      <x:c r="AL160" t="str">
        <x:v>e1827a6c-e18c-4500-94be-16de9cbb9e7c</x:v>
      </x:c>
      <x:c r="AM160" s="23" t="str">
        <x:f>IF(E160="processing",IF(Z160="","",IF(ISNUMBER(Z160),INT(Z160),DATE(VALUE(LEFT(Z160,4)),VALUE(MID(Z160,6,2)),VALUE(MID(Z160,9,2))))),IF(OR(E160="executing",E160="pending"),IF(AD160="","",IF(ISNUMBER(AD160),INT(AD160),DATE(VALUE(LEFT(AD160,4)),VALUE(MID(AD160,6,2)),VALUE(MID(AD160,9,2))))),""))</x:f>
      </x:c>
      <x:c r="AN160" s="24" t="str">
        <x:f>IF(AM160="","",INT('Configuration'!$B$4)-AM160)</x:f>
      </x:c>
      <x:c r="AO160" s="25" t="str">
        <x:f>IF(AM160="","Missing Required Date",IF(AN160&lt;0,"Future Date",IF(AN160=0,"0 days",IF(AN160&lt;=2,"1-2 days",IF(AN160&lt;=7,"3-7 days",IF(AN160&lt;=14,"8-14 days",IF(AN160&lt;=30,"15-30 days",IF(AN160&lt;=60,"31-60 days",IF(AN160&lt;=70,"61-70 days","71+ days")))))))))</x:f>
        <x:v>Missing Required Date</x:v>
      </x:c>
      <x:c r="AP160" s="25" t="str">
        <x:f>IF(OR(E160="processing",E160="executing",E160="pending"),IF(AM160="","Required aging date missing",IF(AN160&gt;30,"Escalate &gt;30d",IF(AN160&gt;14,"Watch &gt;14d","Within 14d"))),"Out of scope")</x:f>
        <x:v>Out of scope</x:v>
      </x:c>
    </x:row>
    <x:row r="161" ht="24" customHeight="1">
      <x:c r="A161" t="str">
        <x:v>d6180edd-9eee-4a81-afa8-3a8cdfc15074</x:v>
      </x:c>
      <x:c r="B161" t="str">
        <x:v>CSSP10600937</x:v>
      </x:c>
      <x:c r="C161" t="str">
        <x:v>amarsyafiq.azma@petronas.com</x:v>
      </x:c>
      <x:c r="D161" t="str">
        <x:v>provision-cloud-public</x:v>
      </x:c>
      <x:c r="E161" t="str">
        <x:v>completed</x:v>
      </x:c>
      <x:c r="F161" t="n">
        <x:v>46154.27303761574</x:v>
      </x:c>
      <x:c r="G161" t="n">
        <x:v>46154.27303761574</x:v>
      </x:c>
      <x:c r="H161" t="n">
        <x:v>46181.06187644676</x:v>
      </x:c>
      <x:c r="I161" t="str">
        <x:v>A-000285</x:v>
      </x:c>
      <x:c r="J161" t="str">
        <x:v>Enterprise Application Observability</x:v>
      </x:c>
      <x:c r="K161" t="str">
        <x:v>PC-00002</x:v>
      </x:c>
      <x:c r="L161" t="str">
        <x:v>Enterprise Application Observability</x:v>
      </x:c>
      <x:c r="M161" t="str">
        <x:v>chewjian.shin@petronas.com</x:v>
      </x:c>
      <x:c r="N161" t="str">
        <x:v>Enterprise Observability</x:v>
      </x:c>
      <x:c r="O161" t="str">
        <x:v>New</x:v>
      </x:c>
      <x:c r="P161" t="str">
        <x:v>Production</x:v>
      </x:c>
      <x:c r="Q161" t="str">
        <x:v>To upgrade current Production Elastic Stack (ELK) to support PII data detection for PDPA/GDPR data compliancy as well as to cater data growth in Elastic APM.</x:v>
      </x:c>
      <x:c r="R161" t="str">
        <x:v>L</x:v>
      </x:c>
      <x:c r="S161"/>
      <x:c r="T161"/>
      <x:c r="U161" t="str">
        <x:v>Yes we need this asap, already budgeted in OE</x:v>
      </x:c>
      <x:c r="V161" t="n">
        <x:v>46155.18993219907</x:v>
      </x:c>
      <x:c r="W161" t="str">
        <x:v>chewjian.shin@petronas.com</x:v>
      </x:c>
      <x:c r="X161" t="str">
        <x:v>approved</x:v>
      </x:c>
      <x:c r="Y161" t="str">
        <x:v>approve</x:v>
      </x:c>
      <x:c r="Z161" t="n">
        <x:v>46155.19467657407</x:v>
      </x:c>
      <x:c r="AA161" t="str">
        <x:v>chewjian.shin@petronas.com</x:v>
      </x:c>
      <x:c r="AB161" t="str">
        <x:v>approved</x:v>
      </x:c>
      <x:c r="AC161" t="str">
        <x:v>OLZ</x:v>
      </x:c>
      <x:c r="AD161" t="n">
        <x:v>46162.28482608796</x:v>
      </x:c>
      <x:c r="AE161" t="str">
        <x:v>syazali.saad@petronas.com</x:v>
      </x:c>
      <x:c r="AF161" t="str">
        <x:v>approved</x:v>
      </x:c>
      <x:c r="AG161" t="str">
        <x:v>Completed</x:v>
      </x:c>
      <x:c r="AH161" t="n">
        <x:v>46181.061876458334</x:v>
      </x:c>
      <x:c r="AI161" t="str">
        <x:v>badri.shaharudin@petronas.com</x:v>
      </x:c>
      <x:c r="AJ161" t="str">
        <x:v>approved</x:v>
      </x:c>
      <x:c r="AK161" t="str">
        <x:v>REQ000008059629</x:v>
      </x:c>
      <x:c r="AL161" t="str">
        <x:v>66d4ebcb-ad48-4d93-a2d3-c759ef6af5c8</x:v>
      </x:c>
      <x:c r="AM161" s="23" t="str">
        <x:f>IF(E161="processing",IF(Z161="","",IF(ISNUMBER(Z161),INT(Z161),DATE(VALUE(LEFT(Z161,4)),VALUE(MID(Z161,6,2)),VALUE(MID(Z161,9,2))))),IF(OR(E161="executing",E161="pending"),IF(AD161="","",IF(ISNUMBER(AD161),INT(AD161),DATE(VALUE(LEFT(AD161,4)),VALUE(MID(AD161,6,2)),VALUE(MID(AD161,9,2))))),""))</x:f>
      </x:c>
      <x:c r="AN161" s="24" t="str">
        <x:f>IF(AM161="","",INT('Configuration'!$B$4)-AM161)</x:f>
      </x:c>
      <x:c r="AO161" s="25" t="str">
        <x:f>IF(AM161="","Missing Required Date",IF(AN161&lt;0,"Future Date",IF(AN161=0,"0 days",IF(AN161&lt;=2,"1-2 days",IF(AN161&lt;=7,"3-7 days",IF(AN161&lt;=14,"8-14 days",IF(AN161&lt;=30,"15-30 days",IF(AN161&lt;=60,"31-60 days",IF(AN161&lt;=70,"61-70 days","71+ days")))))))))</x:f>
        <x:v>Missing Required Date</x:v>
      </x:c>
      <x:c r="AP161" s="25" t="str">
        <x:f>IF(OR(E161="processing",E161="executing",E161="pending"),IF(AM161="","Required aging date missing",IF(AN161&gt;30,"Escalate &gt;30d",IF(AN161&gt;14,"Watch &gt;14d","Within 14d"))),"Out of scope")</x:f>
        <x:v>Out of scope</x:v>
      </x:c>
    </x:row>
    <x:row r="162" ht="24" customHeight="1">
      <x:c r="A162" t="str">
        <x:v>d5452d0f-8e90-4728-9ffc-f7ff20529111</x:v>
      </x:c>
      <x:c r="B162" t="str">
        <x:v>CSSP10511275</x:v>
      </x:c>
      <x:c r="C162" t="str">
        <x:v>mfaizal.suriyat@petronas.com</x:v>
      </x:c>
      <x:c r="D162" t="str">
        <x:v>provision-cloud-public</x:v>
      </x:c>
      <x:c r="E162" t="str">
        <x:v>rejected</x:v>
      </x:c>
      <x:c r="F162" t="n">
        <x:v>46154.56921577546</x:v>
      </x:c>
      <x:c r="G162" t="n">
        <x:v>46154.56921577546</x:v>
      </x:c>
      <x:c r="H162" t="n">
        <x:v>46162.36776028935</x:v>
      </x:c>
      <x:c r="I162" t="str">
        <x:v>A-000396</x:v>
      </x:c>
      <x:c r="J162" t="str">
        <x:v>PETRONAS Integrated Pipeline Integrity Assurance Solutions - i-PIMS</x:v>
      </x:c>
      <x:c r="K162" t="n">
        <x:v>3421</x:v>
      </x:c>
      <x:c r="L162" t="str">
        <x:v>Implementation of PETRONAS Integrated Pipeline Integrity Assurance Solutions (i-PIMS) Open System at MPM for GTS</x:v>
      </x:c>
      <x:c r="M162" t="str">
        <x:v>sarkunan.tigarajan@petronas.com.my</x:v>
      </x:c>
      <x:c r="N162" t="str">
        <x:v>POTF Commercialization</x:v>
      </x:c>
      <x:c r="O162" t="str">
        <x:v>New</x:v>
      </x:c>
      <x:c r="P162" t="str">
        <x:v>Production</x:v>
      </x:c>
      <x:c r="Q162" t="str">
        <x:v>PostgreSQL obsolete, need to provision new DB Server</x:v>
      </x:c>
      <x:c r="R162" t="str">
        <x:v>M</x:v>
      </x:c>
      <x:c r="S162"/>
      <x:c r="T162"/>
      <x:c r="U162" t="str">
        <x:v>Reviewed &amp; Approved.</x:v>
      </x:c>
      <x:c r="V162" t="n">
        <x:v>46154.89312798611</x:v>
      </x:c>
      <x:c r="W162" t="str">
        <x:v>sarkunan.tigarajan@petronas.com</x:v>
      </x:c>
      <x:c r="X162" t="str">
        <x:v>approved</x:v>
      </x:c>
      <x:c r="Y162" t="str">
        <x:v>Good to go</x:v>
      </x:c>
      <x:c r="Z162" t="n">
        <x:v>46162.07843376158</x:v>
      </x:c>
      <x:c r="AA162" t="str">
        <x:v>samsuddin.jumbri@petronas.com</x:v>
      </x:c>
      <x:c r="AB162" t="str">
        <x:v>approved</x:v>
      </x:c>
      <x:c r="AC162" t="str">
        <x:v>.</x:v>
      </x:c>
      <x:c r="AD162" t="n">
        <x:v>46162.367532523145</x:v>
      </x:c>
      <x:c r="AE162" t="str">
        <x:v>syazali.saad@petronas.com</x:v>
      </x:c>
      <x:c r="AF162" t="str">
        <x:v>approved</x:v>
      </x:c>
      <x:c r="AG162" t="str">
        <x:v>requested cancel on 20th  May 2026 due to no team members not available (end of contract).</x:v>
      </x:c>
      <x:c r="AH162" t="n">
        <x:v>46162.36776030093</x:v>
      </x:c>
      <x:c r="AI162" t="str">
        <x:v>syazali.saad@petronas.com</x:v>
      </x:c>
      <x:c r="AJ162" t="str">
        <x:v>rejected</x:v>
      </x:c>
      <x:c r="AK162" t="str">
        <x:v>REQ000008059479</x:v>
      </x:c>
      <x:c r="AL162" t="str">
        <x:v>01f46ba0-6305-42ba-af71-4e5a242ff182</x:v>
      </x:c>
      <x:c r="AM162" s="23" t="str">
        <x:f>IF(E162="processing",IF(Z162="","",IF(ISNUMBER(Z162),INT(Z162),DATE(VALUE(LEFT(Z162,4)),VALUE(MID(Z162,6,2)),VALUE(MID(Z162,9,2))))),IF(OR(E162="executing",E162="pending"),IF(AD162="","",IF(ISNUMBER(AD162),INT(AD162),DATE(VALUE(LEFT(AD162,4)),VALUE(MID(AD162,6,2)),VALUE(MID(AD162,9,2))))),""))</x:f>
      </x:c>
      <x:c r="AN162" s="24" t="str">
        <x:f>IF(AM162="","",INT('Configuration'!$B$4)-AM162)</x:f>
      </x:c>
      <x:c r="AO162" s="25" t="str">
        <x:f>IF(AM162="","Missing Required Date",IF(AN162&lt;0,"Future Date",IF(AN162=0,"0 days",IF(AN162&lt;=2,"1-2 days",IF(AN162&lt;=7,"3-7 days",IF(AN162&lt;=14,"8-14 days",IF(AN162&lt;=30,"15-30 days",IF(AN162&lt;=60,"31-60 days",IF(AN162&lt;=70,"61-70 days","71+ days")))))))))</x:f>
        <x:v>Missing Required Date</x:v>
      </x:c>
      <x:c r="AP162" s="25" t="str">
        <x:f>IF(OR(E162="processing",E162="executing",E162="pending"),IF(AM162="","Required aging date missing",IF(AN162&gt;30,"Escalate &gt;30d",IF(AN162&gt;14,"Watch &gt;14d","Within 14d"))),"Out of scope")</x:f>
        <x:v>Out of scope</x:v>
      </x:c>
    </x:row>
    <x:row r="163" ht="24" customHeight="1">
      <x:c r="A163" t="str">
        <x:v>4efe5a2b-499a-4e07-a71a-a79946dc9495</x:v>
      </x:c>
      <x:c r="B163" t="str">
        <x:v>CSSP10328365</x:v>
      </x:c>
      <x:c r="C163" t="str">
        <x:v>mibrahim.sulaima@petronas.com</x:v>
      </x:c>
      <x:c r="D163" t="str">
        <x:v>provision-cloud-public</x:v>
      </x:c>
      <x:c r="E163" t="str">
        <x:v>completed</x:v>
      </x:c>
      <x:c r="F163" t="n">
        <x:v>46157.185893912036</x:v>
      </x:c>
      <x:c r="G163" t="n">
        <x:v>46157.185893912036</x:v>
      </x:c>
      <x:c r="H163" t="n">
        <x:v>46178.42855795139</x:v>
      </x:c>
      <x:c r="I163" t="str">
        <x:v>A-000303</x:v>
      </x:c>
      <x:c r="J163" t="str">
        <x:v>Enhancement of Enhanced Resource Monetization by Artificial Intelligence - ERMAI Phase 3 for Malaysia Petroleum Management - MPM</x:v>
      </x:c>
      <x:c r="K163" t="n">
        <x:v>100</x:v>
      </x:c>
      <x:c r="L163" t="str">
        <x:v>Enhancement of Enhanced Resource Monetization by Artificial Intelligence (ERMAI) Phase 4 </x:v>
      </x:c>
      <x:c r="M163" t="str">
        <x:v>limeng.tan@petronas.com.my</x:v>
      </x:c>
      <x:c r="N163" t="str">
        <x:v>ERMAI</x:v>
      </x:c>
      <x:c r="O163" t="str">
        <x:v>New</x:v>
      </x:c>
      <x:c r="P163" t="str">
        <x:v>Development</x:v>
      </x:c>
      <x:c r="Q163" t="str">
        <x:v>This request is to provision Azure API management &amp; App Service to host Rapid scale up module for ERMAI phase 4.
Both APIM and App Service will have their own Private End Point to secure access inbound. For outbound access, please use existing VNet for dev environment.
Please allow security group ERMAIDevTeam to access the resources/services.</x:v>
      </x:c>
      <x:c r="R163" t="str">
        <x:v>M</x:v>
      </x:c>
      <x:c r="S163"/>
      <x:c r="T163"/>
      <x:c r="U163" t="str">
        <x:v>required as part of project scope. </x:v>
      </x:c>
      <x:c r="V163" t="n">
        <x:v>46157.30229762731</x:v>
      </x:c>
      <x:c r="W163" t="str">
        <x:v>limeng.tan@petronas.com</x:v>
      </x:c>
      <x:c r="X163" t="str">
        <x:v>approved</x:v>
      </x:c>
      <x:c r="Y163" t="str">
        <x:v>Good to go</x:v>
      </x:c>
      <x:c r="Z163" t="n">
        <x:v>46164.40448246528</x:v>
      </x:c>
      <x:c r="AA163" t="str">
        <x:v>samsuddin.jumbri@petronas.com</x:v>
      </x:c>
      <x:c r="AB163" t="str">
        <x:v>approved</x:v>
      </x:c>
      <x:c r="AC163" t="str">
        <x:v>Proceed</x:v>
      </x:c>
      <x:c r="AD163" t="n">
        <x:v>46167.09831981482</x:v>
      </x:c>
      <x:c r="AE163" t="str">
        <x:v>azwan.badari@petronas.com</x:v>
      </x:c>
      <x:c r="AF163" t="str">
        <x:v>approved</x:v>
      </x:c>
      <x:c r="AG163" t="str">
        <x:v>completed</x:v>
      </x:c>
      <x:c r="AH163" t="n">
        <x:v>46178.42855795139</x:v>
      </x:c>
      <x:c r="AI163" t="str">
        <x:v>akhmal.roslan@petronas.com</x:v>
      </x:c>
      <x:c r="AJ163" t="str">
        <x:v>approved</x:v>
      </x:c>
      <x:c r="AK163" t="str">
        <x:v>REQ000008067221</x:v>
      </x:c>
      <x:c r="AL163" t="str">
        <x:v>5863a8c2-1f97-4aab-9158-0ada19ce8b61</x:v>
      </x:c>
      <x:c r="AM163" s="23" t="str">
        <x:f>IF(E163="processing",IF(Z163="","",IF(ISNUMBER(Z163),INT(Z163),DATE(VALUE(LEFT(Z163,4)),VALUE(MID(Z163,6,2)),VALUE(MID(Z163,9,2))))),IF(OR(E163="executing",E163="pending"),IF(AD163="","",IF(ISNUMBER(AD163),INT(AD163),DATE(VALUE(LEFT(AD163,4)),VALUE(MID(AD163,6,2)),VALUE(MID(AD163,9,2))))),""))</x:f>
      </x:c>
      <x:c r="AN163" s="24" t="str">
        <x:f>IF(AM163="","",INT('Configuration'!$B$4)-AM163)</x:f>
      </x:c>
      <x:c r="AO163" s="25" t="str">
        <x:f>IF(AM163="","Missing Required Date",IF(AN163&lt;0,"Future Date",IF(AN163=0,"0 days",IF(AN163&lt;=2,"1-2 days",IF(AN163&lt;=7,"3-7 days",IF(AN163&lt;=14,"8-14 days",IF(AN163&lt;=30,"15-30 days",IF(AN163&lt;=60,"31-60 days",IF(AN163&lt;=70,"61-70 days","71+ days")))))))))</x:f>
        <x:v>Missing Required Date</x:v>
      </x:c>
      <x:c r="AP163" s="25" t="str">
        <x:f>IF(OR(E163="processing",E163="executing",E163="pending"),IF(AM163="","Required aging date missing",IF(AN163&gt;30,"Escalate &gt;30d",IF(AN163&gt;14,"Watch &gt;14d","Within 14d"))),"Out of scope")</x:f>
        <x:v>Out of scope</x:v>
      </x:c>
    </x:row>
    <x:row r="164" ht="24" customHeight="1">
      <x:c r="A164" t="str">
        <x:v>4b2eade0-0dc5-4b2c-b02c-e3928b54a06b</x:v>
      </x:c>
      <x:c r="B164" t="str">
        <x:v>CSSP10330561</x:v>
      </x:c>
      <x:c r="C164" t="str">
        <x:v>ang.hooichen@petronas.com</x:v>
      </x:c>
      <x:c r="D164" t="str">
        <x:v>provision-cloud-public</x:v>
      </x:c>
      <x:c r="E164" t="str">
        <x:v>completed</x:v>
      </x:c>
      <x:c r="F164" t="n">
        <x:v>46157.340464444445</x:v>
      </x:c>
      <x:c r="G164" t="n">
        <x:v>46157.34726862269</x:v>
      </x:c>
      <x:c r="H164" t="n">
        <x:v>46188.060327569445</x:v>
      </x:c>
      <x:c r="I164" t="str">
        <x:v>A-000064</x:v>
      </x:c>
      <x:c r="J164" t="str">
        <x:v>Zidane OVC</x:v>
      </x:c>
      <x:c r="K164" t="n">
        <x:v>4569</x:v>
      </x:c>
      <x:c r="L164" t="str">
        <x:v>Provision of Professional Service, Software License and Infra for ArBiTra (OVC &amp; LVC) 2025 for PTLCL</x:v>
      </x:c>
      <x:c r="M164" t="str">
        <x:v>yap.winhong@petronas.com.my</x:v>
      </x:c>
      <x:c r="N164" t="str">
        <x:v>ArBiTra Phase 3 - IT Sub Modules</x:v>
      </x:c>
      <x:c r="O164" t="str">
        <x:v>New</x:v>
      </x:c>
      <x:c r="P164"/>
      <x:c r="Q164" t="str">
        <x:v>Provision new workspace for UAT and Prod. BOM please refer to datathon_infratemplate.xlsx.</x:v>
      </x:c>
      <x:c r="R164" t="str">
        <x:v>L</x:v>
      </x:c>
      <x:c r="S164"/>
      <x:c r="T164"/>
      <x:c r="U164" t="str">
        <x:v>Approve</x:v>
      </x:c>
      <x:c r="V164" t="n">
        <x:v>46157.35254876158</x:v>
      </x:c>
      <x:c r="W164" t="str">
        <x:v>yap.winhong@petronas.com</x:v>
      </x:c>
      <x:c r="X164" t="str">
        <x:v>approved</x:v>
      </x:c>
      <x:c r="Y164" t="str">
        <x:v>Good to go</x:v>
      </x:c>
      <x:c r="Z164" t="n">
        <x:v>46162.0802100463</x:v>
      </x:c>
      <x:c r="AA164" t="str">
        <x:v>samsuddin.jumbri@petronas.com</x:v>
      </x:c>
      <x:c r="AB164" t="str">
        <x:v>approved</x:v>
      </x:c>
      <x:c r="AC164" t="str">
        <x:v>need another CSSP for one more environment.</x:v>
      </x:c>
      <x:c r="AD164" t="n">
        <x:v>46162.53864284722</x:v>
      </x:c>
      <x:c r="AE164" t="str">
        <x:v>syazali.saad@petronas.com</x:v>
      </x:c>
      <x:c r="AF164" t="str">
        <x:v>approved</x:v>
      </x:c>
      <x:c r="AG164" t="str">
        <x:v>The DEV databricks is ready https://dbc-348a4064-1a0b.cloud.databricks.com</x:v>
      </x:c>
      <x:c r="AH164" t="n">
        <x:v>46188.06032758102</x:v>
      </x:c>
      <x:c r="AI164" t="str">
        <x:v>yeonghunn.ho@petronas.com</x:v>
      </x:c>
      <x:c r="AJ164" t="str">
        <x:v>approved</x:v>
      </x:c>
      <x:c r="AK164" t="str">
        <x:v>REQ000008060446</x:v>
      </x:c>
      <x:c r="AL164" t="str">
        <x:v>e843491d-275f-4046-ad6d-5830963ba204</x:v>
      </x:c>
      <x:c r="AM164" s="23" t="str">
        <x:f>IF(E164="processing",IF(Z164="","",IF(ISNUMBER(Z164),INT(Z164),DATE(VALUE(LEFT(Z164,4)),VALUE(MID(Z164,6,2)),VALUE(MID(Z164,9,2))))),IF(OR(E164="executing",E164="pending"),IF(AD164="","",IF(ISNUMBER(AD164),INT(AD164),DATE(VALUE(LEFT(AD164,4)),VALUE(MID(AD164,6,2)),VALUE(MID(AD164,9,2))))),""))</x:f>
      </x:c>
      <x:c r="AN164" s="24" t="str">
        <x:f>IF(AM164="","",INT('Configuration'!$B$4)-AM164)</x:f>
      </x:c>
      <x:c r="AO164" s="25" t="str">
        <x:f>IF(AM164="","Missing Required Date",IF(AN164&lt;0,"Future Date",IF(AN164=0,"0 days",IF(AN164&lt;=2,"1-2 days",IF(AN164&lt;=7,"3-7 days",IF(AN164&lt;=14,"8-14 days",IF(AN164&lt;=30,"15-30 days",IF(AN164&lt;=60,"31-60 days",IF(AN164&lt;=70,"61-70 days","71+ days")))))))))</x:f>
        <x:v>Missing Required Date</x:v>
      </x:c>
      <x:c r="AP164" s="25" t="str">
        <x:f>IF(OR(E164="processing",E164="executing",E164="pending"),IF(AM164="","Required aging date missing",IF(AN164&gt;30,"Escalate &gt;30d",IF(AN164&gt;14,"Watch &gt;14d","Within 14d"))),"Out of scope")</x:f>
        <x:v>Out of scope</x:v>
      </x:c>
    </x:row>
    <x:row r="165" ht="24" customHeight="1">
      <x:c r="A165" t="str">
        <x:v>babd5907-1c00-4297-9d58-87f5408c6776</x:v>
      </x:c>
      <x:c r="B165" t="str">
        <x:v>CSSP10350529</x:v>
      </x:c>
      <x:c r="C165" t="str">
        <x:v>mariffirdaus.mkhaidz@petronas.com</x:v>
      </x:c>
      <x:c r="D165" t="str">
        <x:v>provision-cloud-public</x:v>
      </x:c>
      <x:c r="E165" t="str">
        <x:v>completed</x:v>
      </x:c>
      <x:c r="F165" t="n">
        <x:v>46160.313517650466</x:v>
      </x:c>
      <x:c r="G165" t="n">
        <x:v>46160.313517650466</x:v>
      </x:c>
      <x:c r="H165" t="n">
        <x:v>46219.10674065972</x:v>
      </x:c>
      <x:c r="I165" t="str">
        <x:v>A-001346</x:v>
      </x:c>
      <x:c r="J165" t="str">
        <x:v>GPE Digital Platform</x:v>
      </x:c>
      <x:c r="K165" t="str">
        <x:v>SR00331</x:v>
      </x:c>
      <x:c r="L165" t="str">
        <x:v>Quality Suite</x:v>
      </x:c>
      <x:c r="M165" t="str">
        <x:v>msufian.hussein@petronas.com</x:v>
      </x:c>
      <x:c r="N165" t="str">
        <x:v>Quality Suite</x:v>
      </x:c>
      <x:c r="O165" t="str">
        <x:v>New</x:v>
      </x:c>
      <x:c r="P165" t="str">
        <x:v>StagingUat</x:v>
      </x:c>
      <x:c r="Q165" t="str">
        <x:v>Please proceed with the resources provisioning for Staging environment.</x:v>
      </x:c>
      <x:c r="R165" t="str">
        <x:v>L</x:v>
      </x:c>
      <x:c r="S165"/>
      <x:c r="T165"/>
      <x:c r="U165" t="str">
        <x:v>Approved.</x:v>
      </x:c>
      <x:c r="V165" t="n">
        <x:v>46160.321127222225</x:v>
      </x:c>
      <x:c r="W165" t="str">
        <x:v>msufian.hussein@petronas.com</x:v>
      </x:c>
      <x:c r="X165" t="str">
        <x:v>approved</x:v>
      </x:c>
      <x:c r="Y165" t="str">
        <x:v>Good to go</x:v>
      </x:c>
      <x:c r="Z165" t="n">
        <x:v>46162.07932163194</x:v>
      </x:c>
      <x:c r="AA165" t="str">
        <x:v>samsuddin.jumbri@petronas.com</x:v>
      </x:c>
      <x:c r="AB165" t="str">
        <x:v>approved</x:v>
      </x:c>
      <x:c r="AC165" t="str">
        <x:v>same ADO as CSSP10698884.</x:v>
      </x:c>
      <x:c r="AD165" t="n">
        <x:v>46162.3601008912</x:v>
      </x:c>
      <x:c r="AE165" t="str">
        <x:v>syazali.saad@petronas.com</x:v>
      </x:c>
      <x:c r="AF165" t="str">
        <x:v>approved</x:v>
      </x:c>
      <x:c r="AG165" t="str">
        <x:v>provisioning completed. </x:v>
      </x:c>
      <x:c r="AH165" t="n">
        <x:v>46219.1067406713</x:v>
      </x:c>
      <x:c r="AI165" t="str">
        <x:v>mhafizi.madnan@petronas.com</x:v>
      </x:c>
      <x:c r="AJ165" t="str">
        <x:v>approved</x:v>
      </x:c>
      <x:c r="AK165" t="str">
        <x:v>REQ000008059477</x:v>
      </x:c>
      <x:c r="AL165" t="str">
        <x:v>868b1bbc-b9be-43ba-8175-d6ca35843984</x:v>
      </x:c>
      <x:c r="AM165" s="23" t="str">
        <x:f>IF(E165="processing",IF(Z165="","",IF(ISNUMBER(Z165),INT(Z165),DATE(VALUE(LEFT(Z165,4)),VALUE(MID(Z165,6,2)),VALUE(MID(Z165,9,2))))),IF(OR(E165="executing",E165="pending"),IF(AD165="","",IF(ISNUMBER(AD165),INT(AD165),DATE(VALUE(LEFT(AD165,4)),VALUE(MID(AD165,6,2)),VALUE(MID(AD165,9,2))))),""))</x:f>
      </x:c>
      <x:c r="AN165" s="24" t="str">
        <x:f>IF(AM165="","",INT('Configuration'!$B$4)-AM165)</x:f>
      </x:c>
      <x:c r="AO165" s="25" t="str">
        <x:f>IF(AM165="","Missing Required Date",IF(AN165&lt;0,"Future Date",IF(AN165=0,"0 days",IF(AN165&lt;=2,"1-2 days",IF(AN165&lt;=7,"3-7 days",IF(AN165&lt;=14,"8-14 days",IF(AN165&lt;=30,"15-30 days",IF(AN165&lt;=60,"31-60 days",IF(AN165&lt;=70,"61-70 days","71+ days")))))))))</x:f>
        <x:v>Missing Required Date</x:v>
      </x:c>
      <x:c r="AP165" s="25" t="str">
        <x:f>IF(OR(E165="processing",E165="executing",E165="pending"),IF(AM165="","Required aging date missing",IF(AN165&gt;30,"Escalate &gt;30d",IF(AN165&gt;14,"Watch &gt;14d","Within 14d"))),"Out of scope")</x:f>
        <x:v>Out of scope</x:v>
      </x:c>
    </x:row>
    <x:row r="166" ht="24" customHeight="1">
      <x:c r="A166" t="str">
        <x:v>d6821929-4b9b-40d0-a464-da8275cbb72a</x:v>
      </x:c>
      <x:c r="B166" t="str">
        <x:v>CSSP10126897</x:v>
      </x:c>
      <x:c r="C166" t="str">
        <x:v>mariffirdaus.mkhaidz@petronas.com</x:v>
      </x:c>
      <x:c r="D166" t="str">
        <x:v>provision-cloud-public</x:v>
      </x:c>
      <x:c r="E166" t="str">
        <x:v>rejected</x:v>
      </x:c>
      <x:c r="F166" t="n">
        <x:v>46160.39625923611</x:v>
      </x:c>
      <x:c r="G166" t="n">
        <x:v>46160.39625923611</x:v>
      </x:c>
      <x:c r="H166" t="n">
        <x:v>46191.32429550926</x:v>
      </x:c>
      <x:c r="I166" t="str">
        <x:v>A-001346</x:v>
      </x:c>
      <x:c r="J166" t="str">
        <x:v>GPE Digital Platform</x:v>
      </x:c>
      <x:c r="K166" t="str">
        <x:v>SR00331</x:v>
      </x:c>
      <x:c r="L166" t="str">
        <x:v>Quality Suite</x:v>
      </x:c>
      <x:c r="M166" t="str">
        <x:v>msufian.hussein@petronas.com</x:v>
      </x:c>
      <x:c r="N166" t="str">
        <x:v>Quality Suite</x:v>
      </x:c>
      <x:c r="O166" t="str">
        <x:v>New</x:v>
      </x:c>
      <x:c r="P166" t="str">
        <x:v>Production</x:v>
      </x:c>
      <x:c r="Q166" t="str">
        <x:v>Please proceed with the resources provisioning for Production environment.</x:v>
      </x:c>
      <x:c r="R166"/>
      <x:c r="S166"/>
      <x:c r="T166"/>
      <x:c r="U166" t="str">
        <x:v>To include 2 additional RDS as requested for dev and staging.</x:v>
      </x:c>
      <x:c r="V166" t="n">
        <x:v>46191.32429550926</x:v>
      </x:c>
      <x:c r="W166" t="str">
        <x:v>msufian.hussein@petronas.com</x:v>
      </x:c>
      <x:c r="X166" t="str">
        <x:v>rejected</x:v>
      </x:c>
      <x:c r="Y166"/>
      <x:c r="Z166"/>
      <x:c r="AA166" t="str">
        <x:v>CCoE Demand</x:v>
      </x:c>
      <x:c r="AB166"/>
      <x:c r="AC166"/>
      <x:c r="AD166"/>
      <x:c r="AE166" t="str">
        <x:v>CCoE Business</x:v>
      </x:c>
      <x:c r="AF166"/>
      <x:c r="AG166"/>
      <x:c r="AH166"/>
      <x:c r="AI166" t="str">
        <x:v>CCoE Core Services (Public)</x:v>
      </x:c>
      <x:c r="AJ166"/>
      <x:c r="AK166"/>
      <x:c r="AL166" t="str">
        <x:v>868b1bbc-b9be-43ba-8175-d6ca35843984</x:v>
      </x:c>
      <x:c r="AM166" s="23" t="str">
        <x:f>IF(E166="processing",IF(Z166="","",IF(ISNUMBER(Z166),INT(Z166),DATE(VALUE(LEFT(Z166,4)),VALUE(MID(Z166,6,2)),VALUE(MID(Z166,9,2))))),IF(OR(E166="executing",E166="pending"),IF(AD166="","",IF(ISNUMBER(AD166),INT(AD166),DATE(VALUE(LEFT(AD166,4)),VALUE(MID(AD166,6,2)),VALUE(MID(AD166,9,2))))),""))</x:f>
      </x:c>
      <x:c r="AN166" s="24" t="str">
        <x:f>IF(AM166="","",INT('Configuration'!$B$4)-AM166)</x:f>
      </x:c>
      <x:c r="AO166" s="25" t="str">
        <x:f>IF(AM166="","Missing Required Date",IF(AN166&lt;0,"Future Date",IF(AN166=0,"0 days",IF(AN166&lt;=2,"1-2 days",IF(AN166&lt;=7,"3-7 days",IF(AN166&lt;=14,"8-14 days",IF(AN166&lt;=30,"15-30 days",IF(AN166&lt;=60,"31-60 days",IF(AN166&lt;=70,"61-70 days","71+ days")))))))))</x:f>
        <x:v>Missing Required Date</x:v>
      </x:c>
      <x:c r="AP166" s="25" t="str">
        <x:f>IF(OR(E166="processing",E166="executing",E166="pending"),IF(AM166="","Required aging date missing",IF(AN166&gt;30,"Escalate &gt;30d",IF(AN166&gt;14,"Watch &gt;14d","Within 14d"))),"Out of scope")</x:f>
        <x:v>Out of scope</x:v>
      </x:c>
    </x:row>
    <x:row r="167" ht="24" customHeight="1">
      <x:c r="A167" t="str">
        <x:v>279afb2e-4c74-4354-a0dd-310b35b2fd6f</x:v>
      </x:c>
      <x:c r="B167" t="str">
        <x:v>CSSP10318437</x:v>
      </x:c>
      <x:c r="C167" t="str">
        <x:v>mkhairulazhar.jamil@petronas.com</x:v>
      </x:c>
      <x:c r="D167" t="str">
        <x:v>provision-cloud-public</x:v>
      </x:c>
      <x:c r="E167" t="str">
        <x:v>completed</x:v>
      </x:c>
      <x:c r="F167" t="n">
        <x:v>46162.40427259259</x:v>
      </x:c>
      <x:c r="G167" t="n">
        <x:v>46164.35207018519</x:v>
      </x:c>
      <x:c r="H167" t="n">
        <x:v>46188.06188896991</x:v>
      </x:c>
      <x:c r="I167" t="str">
        <x:v>A-000124</x:v>
      </x:c>
      <x:c r="J167" t="str">
        <x:v>COMPASS</x:v>
      </x:c>
      <x:c r="K167" t="n">
        <x:v>1709</x:v>
      </x:c>
      <x:c r="L167" t="str">
        <x:v>COMPASS Phase 2</x:v>
      </x:c>
      <x:c r="M167" t="str">
        <x:v>amirshazlan.mshah@petronas.com.my</x:v>
      </x:c>
      <x:c r="N167" t="str">
        <x:v>COMPASS</x:v>
      </x:c>
      <x:c r="O167" t="str">
        <x:v>New</x:v>
      </x:c>
      <x:c r="P167" t="str">
        <x:v>StagingUat</x:v>
      </x:c>
      <x:c r="Q167" t="str">
        <x:v>We have mistakenly decommissioned three resources in STAGING:
1) ptsg-4compasspgsql02-flexi
2) ptsg-4compasspgsql02-flexi-pep
3) ptsg-4compasspgsql02-flexi-pep-nic
To fix the issue, we would like to request for reprovisioning by REPLICATING the following resources:
1) ptsg-4compasspgsql-flexi
2) ptsg-4compasspgsql-flexi-pep
3) ptsg-4compasspgsql-flexi-pep-nic</x:v>
      </x:c>
      <x:c r="R167" t="str">
        <x:v>M</x:v>
      </x:c>
      <x:c r="S167"/>
      <x:c r="T167"/>
      <x:c r="U167" t="str">
        <x:v>approved</x:v>
      </x:c>
      <x:c r="V167" t="n">
        <x:v>46164.36610449074</x:v>
      </x:c>
      <x:c r="W167" t="str">
        <x:v>amirshazlan.mshah@petronas.com</x:v>
      </x:c>
      <x:c r="X167" t="str">
        <x:v>approved</x:v>
      </x:c>
      <x:c r="Y167" t="str">
        <x:v>Good to go</x:v>
      </x:c>
      <x:c r="Z167" t="n">
        <x:v>46164.4031475</x:v>
      </x:c>
      <x:c r="AA167" t="str">
        <x:v>samsuddin.jumbri@petronas.com</x:v>
      </x:c>
      <x:c r="AB167" t="str">
        <x:v>approved</x:v>
      </x:c>
      <x:c r="AC167" t="str">
        <x:v>Proceed to re-provision</x:v>
      </x:c>
      <x:c r="AD167" t="n">
        <x:v>46167.093022650464</x:v>
      </x:c>
      <x:c r="AE167" t="str">
        <x:v>azwan.badari@petronas.com</x:v>
      </x:c>
      <x:c r="AF167" t="str">
        <x:v>approved</x:v>
      </x:c>
      <x:c r="AG167" t="str">
        <x:v>The resource ptsg-4compasspgsql02-flexi is ready</x:v>
      </x:c>
      <x:c r="AH167" t="n">
        <x:v>46188.06188898148</x:v>
      </x:c>
      <x:c r="AI167" t="str">
        <x:v>yeonghunn.ho@petronas.com</x:v>
      </x:c>
      <x:c r="AJ167" t="str">
        <x:v>approved</x:v>
      </x:c>
      <x:c r="AK167" t="str">
        <x:v>REQ000008066616</x:v>
      </x:c>
      <x:c r="AL167" t="str">
        <x:v>90296959-c21f-48ac-8658-df869ee75354</x:v>
      </x:c>
      <x:c r="AM167" s="23" t="str">
        <x:f>IF(E167="processing",IF(Z167="","",IF(ISNUMBER(Z167),INT(Z167),DATE(VALUE(LEFT(Z167,4)),VALUE(MID(Z167,6,2)),VALUE(MID(Z167,9,2))))),IF(OR(E167="executing",E167="pending"),IF(AD167="","",IF(ISNUMBER(AD167),INT(AD167),DATE(VALUE(LEFT(AD167,4)),VALUE(MID(AD167,6,2)),VALUE(MID(AD167,9,2))))),""))</x:f>
      </x:c>
      <x:c r="AN167" s="24" t="str">
        <x:f>IF(AM167="","",INT('Configuration'!$B$4)-AM167)</x:f>
      </x:c>
      <x:c r="AO167" s="25" t="str">
        <x:f>IF(AM167="","Missing Required Date",IF(AN167&lt;0,"Future Date",IF(AN167=0,"0 days",IF(AN167&lt;=2,"1-2 days",IF(AN167&lt;=7,"3-7 days",IF(AN167&lt;=14,"8-14 days",IF(AN167&lt;=30,"15-30 days",IF(AN167&lt;=60,"31-60 days",IF(AN167&lt;=70,"61-70 days","71+ days")))))))))</x:f>
        <x:v>Missing Required Date</x:v>
      </x:c>
      <x:c r="AP167" s="25" t="str">
        <x:f>IF(OR(E167="processing",E167="executing",E167="pending"),IF(AM167="","Required aging date missing",IF(AN167&gt;30,"Escalate &gt;30d",IF(AN167&gt;14,"Watch &gt;14d","Within 14d"))),"Out of scope")</x:f>
        <x:v>Out of scope</x:v>
      </x:c>
    </x:row>
    <x:row r="168" ht="24" customHeight="1">
      <x:c r="A168" t="str">
        <x:v>3ed671eb-a970-47ba-bf94-49d3c4cb576c</x:v>
      </x:c>
      <x:c r="B168" t="str">
        <x:v>CSSP10835252</x:v>
      </x:c>
      <x:c r="C168" t="str">
        <x:v>ang.hooichen@petronas.com</x:v>
      </x:c>
      <x:c r="D168" t="str">
        <x:v>provision-cloud-public</x:v>
      </x:c>
      <x:c r="E168" t="str">
        <x:v>completed</x:v>
      </x:c>
      <x:c r="F168" t="n">
        <x:v>46167.12409084491</x:v>
      </x:c>
      <x:c r="G168" t="n">
        <x:v>46167.12409084491</x:v>
      </x:c>
      <x:c r="H168" t="n">
        <x:v>46196.152440439815</x:v>
      </x:c>
      <x:c r="I168" t="str">
        <x:v>A-000064</x:v>
      </x:c>
      <x:c r="J168" t="str">
        <x:v>Zidane OVC</x:v>
      </x:c>
      <x:c r="K168" t="n">
        <x:v>4569</x:v>
      </x:c>
      <x:c r="L168" t="str">
        <x:v>Provision of Professional Service, Software License and Infra for ArBiTra (OVC &amp; LVC) 2025 for PTLCL</x:v>
      </x:c>
      <x:c r="M168" t="str">
        <x:v>yap.winhong@petronas.com.my</x:v>
      </x:c>
      <x:c r="N168" t="str">
        <x:v>ArBiTra Phase 3 - IT Sub Modules</x:v>
      </x:c>
      <x:c r="O168" t="str">
        <x:v>New</x:v>
      </x:c>
      <x:c r="P168" t="str">
        <x:v>Production</x:v>
      </x:c>
      <x:c r="Q168" t="str">
        <x:v>Provision new workspace for Prod. BOM please refer to datathon_infratemplate.xlsx.
BOM-PROD sheet and Network Design-PROD</x:v>
      </x:c>
      <x:c r="R168" t="str">
        <x:v>L</x:v>
      </x:c>
      <x:c r="S168"/>
      <x:c r="T168"/>
      <x:c r="U168" t="str">
        <x:v>Approve</x:v>
      </x:c>
      <x:c r="V168" t="n">
        <x:v>46167.34198793981</x:v>
      </x:c>
      <x:c r="W168" t="str">
        <x:v>yap.winhong@petronas.com</x:v>
      </x:c>
      <x:c r="X168" t="str">
        <x:v>approved</x:v>
      </x:c>
      <x:c r="Y168" t="str">
        <x:v>Good to go</x:v>
      </x:c>
      <x:c r="Z168" t="n">
        <x:v>46168.109302916666</x:v>
      </x:c>
      <x:c r="AA168" t="str">
        <x:v>samsuddin.jumbri@petronas.com</x:v>
      </x:c>
      <x:c r="AB168" t="str">
        <x:v>approved</x:v>
      </x:c>
      <x:c r="AC168" t="str">
        <x:v>previous request CSSP10330561.
new Prod env.</x:v>
      </x:c>
      <x:c r="AD168" t="n">
        <x:v>46170.28981502315</x:v>
      </x:c>
      <x:c r="AE168" t="str">
        <x:v>syazali.saad@petronas.com</x:v>
      </x:c>
      <x:c r="AF168" t="str">
        <x:v>approved</x:v>
      </x:c>
      <x:c r="AG168" t="str">
        <x:v>PROD databricks is ready https://dbc-0d2794f8-e80b.cloud.databricks.com</x:v>
      </x:c>
      <x:c r="AH168" t="n">
        <x:v>46196.152440439815</x:v>
      </x:c>
      <x:c r="AI168" t="str">
        <x:v>yeonghunn.ho@petronas.com</x:v>
      </x:c>
      <x:c r="AJ168" t="str">
        <x:v>approved</x:v>
      </x:c>
      <x:c r="AK168" t="str">
        <x:v>REQ000008071669</x:v>
      </x:c>
      <x:c r="AL168" t="str">
        <x:v>866cd81d-011e-424b-b696-e232f59deeb1</x:v>
      </x:c>
      <x:c r="AM168" s="23" t="str">
        <x:f>IF(E168="processing",IF(Z168="","",IF(ISNUMBER(Z168),INT(Z168),DATE(VALUE(LEFT(Z168,4)),VALUE(MID(Z168,6,2)),VALUE(MID(Z168,9,2))))),IF(OR(E168="executing",E168="pending"),IF(AD168="","",IF(ISNUMBER(AD168),INT(AD168),DATE(VALUE(LEFT(AD168,4)),VALUE(MID(AD168,6,2)),VALUE(MID(AD168,9,2))))),""))</x:f>
      </x:c>
      <x:c r="AN168" s="24" t="str">
        <x:f>IF(AM168="","",INT('Configuration'!$B$4)-AM168)</x:f>
      </x:c>
      <x:c r="AO168" s="25" t="str">
        <x:f>IF(AM168="","Missing Required Date",IF(AN168&lt;0,"Future Date",IF(AN168=0,"0 days",IF(AN168&lt;=2,"1-2 days",IF(AN168&lt;=7,"3-7 days",IF(AN168&lt;=14,"8-14 days",IF(AN168&lt;=30,"15-30 days",IF(AN168&lt;=60,"31-60 days",IF(AN168&lt;=70,"61-70 days","71+ days")))))))))</x:f>
        <x:v>Missing Required Date</x:v>
      </x:c>
      <x:c r="AP168" s="25" t="str">
        <x:f>IF(OR(E168="processing",E168="executing",E168="pending"),IF(AM168="","Required aging date missing",IF(AN168&gt;30,"Escalate &gt;30d",IF(AN168&gt;14,"Watch &gt;14d","Within 14d"))),"Out of scope")</x:f>
        <x:v>Out of scope</x:v>
      </x:c>
    </x:row>
    <x:row r="169" ht="24" customHeight="1">
      <x:c r="A169" t="str">
        <x:v>e595741f-5776-4394-8e4d-1fbc92952e4b</x:v>
      </x:c>
      <x:c r="B169" t="str">
        <x:v>CSSP10509113</x:v>
      </x:c>
      <x:c r="C169" t="str">
        <x:v>mkhairulazhar.jamil@petronas.com</x:v>
      </x:c>
      <x:c r="D169" t="str">
        <x:v>provision-cloud-public</x:v>
      </x:c>
      <x:c r="E169" t="str">
        <x:v>completed</x:v>
      </x:c>
      <x:c r="F169" t="n">
        <x:v>46168.14363744213</x:v>
      </x:c>
      <x:c r="G169" t="n">
        <x:v>46168.14363744213</x:v>
      </x:c>
      <x:c r="H169" t="n">
        <x:v>46191.31937320602</x:v>
      </x:c>
      <x:c r="I169" t="str">
        <x:v>A-000470</x:v>
      </x:c>
      <x:c r="J169" t="str">
        <x:v>MyApproval</x:v>
      </x:c>
      <x:c r="K169" t="n">
        <x:v>3323</x:v>
      </x:c>
      <x:c r="L169" t="str">
        <x:v>myAPPROVAL</x:v>
      </x:c>
      <x:c r="M169" t="str">
        <x:v>amirshazlan.mshah@petronas.com</x:v>
      </x:c>
      <x:c r="N169" t="str">
        <x:v>myApproval</x:v>
      </x:c>
      <x:c r="O169" t="str">
        <x:v>New</x:v>
      </x:c>
      <x:c r="P169" t="str">
        <x:v>Production</x:v>
      </x:c>
      <x:c r="Q169" t="str">
        <x:v>Please set up Azure Backup for the myApproval Azure Storage Account as below:
1) Resource Group: ptazsg-iac-prod-myapproval-rg
2) Storage Account: ptazsg1myapprovalstrzrs
3) Backup Policy: Daily (14 days), Weekly (4 weeks), Monthly (3 months), Yearly (0 year)</x:v>
      </x:c>
      <x:c r="R169" t="str">
        <x:v>S</x:v>
      </x:c>
      <x:c r="S169"/>
      <x:c r="T169"/>
      <x:c r="U169" t="str">
        <x:v>apprved</x:v>
      </x:c>
      <x:c r="V169" t="n">
        <x:v>46168.1455397338</x:v>
      </x:c>
      <x:c r="W169" t="str">
        <x:v>amirshazlan.mshah@petronas.com</x:v>
      </x:c>
      <x:c r="X169" t="str">
        <x:v>approved</x:v>
      </x:c>
      <x:c r="Y169" t="str">
        <x:v>Good to go</x:v>
      </x:c>
      <x:c r="Z169" t="n">
        <x:v>46178.37768564815</x:v>
      </x:c>
      <x:c r="AA169" t="str">
        <x:v>samsuddin.jumbri@petronas.com</x:v>
      </x:c>
      <x:c r="AB169" t="str">
        <x:v>approved</x:v>
      </x:c>
      <x:c r="AC169" t="str">
        <x:v>backup config</x:v>
      </x:c>
      <x:c r="AD169" t="n">
        <x:v>46189.34128945602</x:v>
      </x:c>
      <x:c r="AE169" t="str">
        <x:v>syazali.saad@petronas.com</x:v>
      </x:c>
      <x:c r="AF169" t="str">
        <x:v>approved</x:v>
      </x:c>
      <x:c r="AG169" t="str">
        <x:v>Completed</x:v>
      </x:c>
      <x:c r="AH169" t="n">
        <x:v>46191.31937320602</x:v>
      </x:c>
      <x:c r="AI169" t="str">
        <x:v>badri.shaharudin@petronas.com</x:v>
      </x:c>
      <x:c r="AJ169" t="str">
        <x:v>approved</x:v>
      </x:c>
      <x:c r="AK169" t="str">
        <x:v>REQ000008104442</x:v>
      </x:c>
      <x:c r="AL169" t="str">
        <x:v>4f1d0d5f-66ce-487e-88c1-e23e3ab9f818</x:v>
      </x:c>
      <x:c r="AM169" s="23" t="str">
        <x:f>IF(E169="processing",IF(Z169="","",IF(ISNUMBER(Z169),INT(Z169),DATE(VALUE(LEFT(Z169,4)),VALUE(MID(Z169,6,2)),VALUE(MID(Z169,9,2))))),IF(OR(E169="executing",E169="pending"),IF(AD169="","",IF(ISNUMBER(AD169),INT(AD169),DATE(VALUE(LEFT(AD169,4)),VALUE(MID(AD169,6,2)),VALUE(MID(AD169,9,2))))),""))</x:f>
      </x:c>
      <x:c r="AN169" s="24" t="str">
        <x:f>IF(AM169="","",INT('Configuration'!$B$4)-AM169)</x:f>
      </x:c>
      <x:c r="AO169" s="25" t="str">
        <x:f>IF(AM169="","Missing Required Date",IF(AN169&lt;0,"Future Date",IF(AN169=0,"0 days",IF(AN169&lt;=2,"1-2 days",IF(AN169&lt;=7,"3-7 days",IF(AN169&lt;=14,"8-14 days",IF(AN169&lt;=30,"15-30 days",IF(AN169&lt;=60,"31-60 days",IF(AN169&lt;=70,"61-70 days","71+ days")))))))))</x:f>
        <x:v>Missing Required Date</x:v>
      </x:c>
      <x:c r="AP169" s="25" t="str">
        <x:f>IF(OR(E169="processing",E169="executing",E169="pending"),IF(AM169="","Required aging date missing",IF(AN169&gt;30,"Escalate &gt;30d",IF(AN169&gt;14,"Watch &gt;14d","Within 14d"))),"Out of scope")</x:f>
        <x:v>Out of scope</x:v>
      </x:c>
    </x:row>
    <x:row r="170" ht="24" customHeight="1">
      <x:c r="A170" t="str">
        <x:v>b4376cc2-ec01-4ebf-98a7-0f3e3f9614c8</x:v>
      </x:c>
      <x:c r="B170" t="str">
        <x:v>CSSP10314804</x:v>
      </x:c>
      <x:c r="C170" t="str">
        <x:v>mohamadfaisal.maasah@petronas.com</x:v>
      </x:c>
      <x:c r="D170" t="str">
        <x:v>provision-cloud-public</x:v>
      </x:c>
      <x:c r="E170" t="str">
        <x:v>completed</x:v>
      </x:c>
      <x:c r="F170" t="n">
        <x:v>46171.028300439815</x:v>
      </x:c>
      <x:c r="G170" t="n">
        <x:v>46171.028300439815</x:v>
      </x:c>
      <x:c r="H170" t="n">
        <x:v>46196.16739190972</x:v>
      </x:c>
      <x:c r="I170" t="str">
        <x:v>A-001354</x:v>
      </x:c>
      <x:c r="J170" t="str">
        <x:v>Plant Information - PI Enterprise for ENIGMA SEARAH</x:v>
      </x:c>
      <x:c r="K170" t="str">
        <x:v>SR26937_PI</x:v>
      </x:c>
      <x:c r="L170" t="str">
        <x:v>ENIGMA JV (Production): Implementing New Subscriptions for MacCo_PI</x:v>
      </x:c>
      <x:c r="M170" t="str">
        <x:v>mhafiz.samsudin@petronas.com</x:v>
      </x:c>
      <x:c r="N170" t="str">
        <x:v>Enigma</x:v>
      </x:c>
      <x:c r="O170" t="str">
        <x:v>New</x:v>
      </x:c>
      <x:c r="P170" t="str">
        <x:v>Production</x:v>
      </x:c>
      <x:c r="Q170" t="str">
        <x:v>cloud provisioning for PI application for ENIGMA SEARAH</x:v>
      </x:c>
      <x:c r="R170" t="str">
        <x:v>M</x:v>
      </x:c>
      <x:c r="S170"/>
      <x:c r="T170"/>
      <x:c r="U170" t="str">
        <x:v>Reviewed and Approved. Kindly expedite in order to meet 1st July deadline for Searah Go-Live.</x:v>
      </x:c>
      <x:c r="V170" t="n">
        <x:v>46171.03457275463</x:v>
      </x:c>
      <x:c r="W170" t="str">
        <x:v>mhafiz.samsudin@petronas.com</x:v>
      </x:c>
      <x:c r="X170" t="str">
        <x:v>approved</x:v>
      </x:c>
      <x:c r="Y170" t="str">
        <x:v>Good to go</x:v>
      </x:c>
      <x:c r="Z170" t="n">
        <x:v>46178.38200319444</x:v>
      </x:c>
      <x:c r="AA170" t="str">
        <x:v>samsuddin.jumbri@petronas.com</x:v>
      </x:c>
      <x:c r="AB170" t="str">
        <x:v>approved</x:v>
      </x:c>
      <x:c r="AC170" t="str">
        <x:v>multi vm + sql</x:v>
      </x:c>
      <x:c r="AD170" t="n">
        <x:v>46195.349988738424</x:v>
      </x:c>
      <x:c r="AE170" t="str">
        <x:v>syazali.saad@petronas.com</x:v>
      </x:c>
      <x:c r="AF170" t="str">
        <x:v>approved</x:v>
      </x:c>
      <x:c r="AG170" t="str">
        <x:v>Complete</x:v>
      </x:c>
      <x:c r="AH170" t="n">
        <x:v>46196.16739193287</x:v>
      </x:c>
      <x:c r="AI170" t="str">
        <x:v>afnanfarhan.dzaharud@petronas.com</x:v>
      </x:c>
      <x:c r="AJ170" t="str">
        <x:v>approved</x:v>
      </x:c>
      <x:c r="AK170" t="str">
        <x:v>REQ000008112899</x:v>
      </x:c>
      <x:c r="AL170" t="str">
        <x:v>f4480009-8078-4a46-b9cd-cd9e643b37c5</x:v>
      </x:c>
      <x:c r="AM170" s="23" t="str">
        <x:f>IF(E170="processing",IF(Z170="","",IF(ISNUMBER(Z170),INT(Z170),DATE(VALUE(LEFT(Z170,4)),VALUE(MID(Z170,6,2)),VALUE(MID(Z170,9,2))))),IF(OR(E170="executing",E170="pending"),IF(AD170="","",IF(ISNUMBER(AD170),INT(AD170),DATE(VALUE(LEFT(AD170,4)),VALUE(MID(AD170,6,2)),VALUE(MID(AD170,9,2))))),""))</x:f>
      </x:c>
      <x:c r="AN170" s="24" t="str">
        <x:f>IF(AM170="","",INT('Configuration'!$B$4)-AM170)</x:f>
      </x:c>
      <x:c r="AO170" s="25" t="str">
        <x:f>IF(AM170="","Missing Required Date",IF(AN170&lt;0,"Future Date",IF(AN170=0,"0 days",IF(AN170&lt;=2,"1-2 days",IF(AN170&lt;=7,"3-7 days",IF(AN170&lt;=14,"8-14 days",IF(AN170&lt;=30,"15-30 days",IF(AN170&lt;=60,"31-60 days",IF(AN170&lt;=70,"61-70 days","71+ days")))))))))</x:f>
        <x:v>Missing Required Date</x:v>
      </x:c>
      <x:c r="AP170" s="25" t="str">
        <x:f>IF(OR(E170="processing",E170="executing",E170="pending"),IF(AM170="","Required aging date missing",IF(AN170&gt;30,"Escalate &gt;30d",IF(AN170&gt;14,"Watch &gt;14d","Within 14d"))),"Out of scope")</x:f>
        <x:v>Out of scope</x:v>
      </x:c>
    </x:row>
    <x:row r="171" ht="24" customHeight="1">
      <x:c r="A171" t="str">
        <x:v>ed217ea3-c5cf-45d2-ae95-8d26d5e1f847</x:v>
      </x:c>
      <x:c r="B171" t="str">
        <x:v>CSSP10906858</x:v>
      </x:c>
      <x:c r="C171" t="str">
        <x:v>soo.cheahchoon@petronas.com</x:v>
      </x:c>
      <x:c r="D171" t="str">
        <x:v>provision-cloud-public</x:v>
      </x:c>
      <x:c r="E171" t="str">
        <x:v>rejected</x:v>
      </x:c>
      <x:c r="F171" t="n">
        <x:v>46171.364378032406</x:v>
      </x:c>
      <x:c r="G171" t="n">
        <x:v>46171.364378032406</x:v>
      </x:c>
      <x:c r="H171" t="n">
        <x:v>46183.31247135417</x:v>
      </x:c>
      <x:c r="I171" t="str">
        <x:v>A-000298</x:v>
      </x:c>
      <x:c r="J171" t="str">
        <x:v>Electronic Permit To Work Plus - ePTW+ GHSSE</x:v>
      </x:c>
      <x:c r="K171" t="n">
        <x:v>2427</x:v>
      </x:c>
      <x:c r="L171" t="str">
        <x:v>Implementation of Enterprise e-Permit to Work (e-PTW+) for GHSSE</x:v>
      </x:c>
      <x:c r="M171" t="str">
        <x:v>bryan.dewitt@petronas.com</x:v>
      </x:c>
      <x:c r="N171" t="str">
        <x:v>ePTW GHSE</x:v>
      </x:c>
      <x:c r="O171" t="str">
        <x:v>New</x:v>
      </x:c>
      <x:c r="P171" t="str">
        <x:v>StagingUat</x:v>
      </x:c>
      <x:c r="Q171" t="str">
        <x:v>Request to provision private IP for the following app services in testeptw.petronas.com RG Name: PTAZSG-IAC-UAT-EPTWGHSE-RG</x:v>
      </x:c>
      <x:c r="R171"/>
      <x:c r="S171"/>
      <x:c r="T171"/>
      <x:c r="U171" t="str">
        <x:v>eptw cs findings</x:v>
      </x:c>
      <x:c r="V171" t="n">
        <x:v>46177.1533403588</x:v>
      </x:c>
      <x:c r="W171" t="str">
        <x:v>bryan.dewitt@petronas.com</x:v>
      </x:c>
      <x:c r="X171" t="str">
        <x:v>approved</x:v>
      </x:c>
      <x:c r="Y171" t="str">
        <x:v>Is this request for updating the IP address of an existing App Service or for provisioning a new App Service? </x:v>
      </x:c>
      <x:c r="Z171" t="n">
        <x:v>46183.31247136574</x:v>
      </x:c>
      <x:c r="AA171" t="str">
        <x:v>samsuddin.jumbri@petronas.com</x:v>
      </x:c>
      <x:c r="AB171" t="str">
        <x:v>rejected</x:v>
      </x:c>
      <x:c r="AC171"/>
      <x:c r="AD171"/>
      <x:c r="AE171" t="str">
        <x:v>CCoE Business</x:v>
      </x:c>
      <x:c r="AF171"/>
      <x:c r="AG171"/>
      <x:c r="AH171"/>
      <x:c r="AI171" t="str">
        <x:v>CCoE Core Services (Public)</x:v>
      </x:c>
      <x:c r="AJ171"/>
      <x:c r="AK171"/>
      <x:c r="AL171" t="str">
        <x:v>6d6eb070-7de5-4fb1-9f0e-f90530401fbb</x:v>
      </x:c>
      <x:c r="AM171" s="23" t="str">
        <x:f>IF(E171="processing",IF(Z171="","",IF(ISNUMBER(Z171),INT(Z171),DATE(VALUE(LEFT(Z171,4)),VALUE(MID(Z171,6,2)),VALUE(MID(Z171,9,2))))),IF(OR(E171="executing",E171="pending"),IF(AD171="","",IF(ISNUMBER(AD171),INT(AD171),DATE(VALUE(LEFT(AD171,4)),VALUE(MID(AD171,6,2)),VALUE(MID(AD171,9,2))))),""))</x:f>
      </x:c>
      <x:c r="AN171" s="24" t="str">
        <x:f>IF(AM171="","",INT('Configuration'!$B$4)-AM171)</x:f>
      </x:c>
      <x:c r="AO171" s="25" t="str">
        <x:f>IF(AM171="","Missing Required Date",IF(AN171&lt;0,"Future Date",IF(AN171=0,"0 days",IF(AN171&lt;=2,"1-2 days",IF(AN171&lt;=7,"3-7 days",IF(AN171&lt;=14,"8-14 days",IF(AN171&lt;=30,"15-30 days",IF(AN171&lt;=60,"31-60 days",IF(AN171&lt;=70,"61-70 days","71+ days")))))))))</x:f>
        <x:v>Missing Required Date</x:v>
      </x:c>
      <x:c r="AP171" s="25" t="str">
        <x:f>IF(OR(E171="processing",E171="executing",E171="pending"),IF(AM171="","Required aging date missing",IF(AN171&gt;30,"Escalate &gt;30d",IF(AN171&gt;14,"Watch &gt;14d","Within 14d"))),"Out of scope")</x:f>
        <x:v>Out of scope</x:v>
      </x:c>
    </x:row>
    <x:row r="172" ht="24" customHeight="1">
      <x:c r="A172" t="str">
        <x:v>f0c90161-6027-4884-b7ec-8e30d2798958</x:v>
      </x:c>
      <x:c r="B172" t="str">
        <x:v>CSSP10975801</x:v>
      </x:c>
      <x:c r="C172" t="str">
        <x:v>soo.cheahchoon@petronas.com</x:v>
      </x:c>
      <x:c r="D172" t="str">
        <x:v>provision-cloud-public</x:v>
      </x:c>
      <x:c r="E172" t="str">
        <x:v>completed</x:v>
      </x:c>
      <x:c r="F172" t="n">
        <x:v>46171.367260231484</x:v>
      </x:c>
      <x:c r="G172" t="n">
        <x:v>46171.367260231484</x:v>
      </x:c>
      <x:c r="H172" t="n">
        <x:v>46204.24573246528</x:v>
      </x:c>
      <x:c r="I172" t="str">
        <x:v>A-000298</x:v>
      </x:c>
      <x:c r="J172" t="str">
        <x:v>Electronic Permit To Work Plus - ePTW+ GHSSE</x:v>
      </x:c>
      <x:c r="K172" t="n">
        <x:v>2427</x:v>
      </x:c>
      <x:c r="L172" t="str">
        <x:v>Implementation of Enterprise e-Permit to Work (e-PTW+) for GHSSE</x:v>
      </x:c>
      <x:c r="M172" t="str">
        <x:v>bryan.dewitt@petronas.com</x:v>
      </x:c>
      <x:c r="N172" t="str">
        <x:v>ePTW GHSE</x:v>
      </x:c>
      <x:c r="O172" t="str">
        <x:v>New</x:v>
      </x:c>
      <x:c r="P172" t="str">
        <x:v>StagingUat</x:v>
      </x:c>
      <x:c r="Q172" t="str">
        <x:v>Request to provision private IP for the following app services in testeptwghse.petronas.com RG Name: PTAZSG-IAC-UAT-EPTWGHSE-RG</x:v>
      </x:c>
      <x:c r="R172" t="str">
        <x:v>S</x:v>
      </x:c>
      <x:c r="S172"/>
      <x:c r="T172"/>
      <x:c r="U172" t="str">
        <x:v>eptw cs findings</x:v>
      </x:c>
      <x:c r="V172" t="n">
        <x:v>46177.15234340278</x:v>
      </x:c>
      <x:c r="W172" t="str">
        <x:v>bryan.dewitt@petronas.com</x:v>
      </x:c>
      <x:c r="X172" t="str">
        <x:v>approved</x:v>
      </x:c>
      <x:c r="Y172" t="str">
        <x:v>eptw cs findings</x:v>
      </x:c>
      <x:c r="Z172" t="n">
        <x:v>46177.15257146991</x:v>
      </x:c>
      <x:c r="AA172" t="str">
        <x:v>bryan.dewitt@petronas.com</x:v>
      </x:c>
      <x:c r="AB172" t="str">
        <x:v>approved</x:v>
      </x:c>
      <x:c r="AC172" t="str">
        <x:v>enable pep/private IP address
ptazsg-4eptwghsev3-wb01
ptazsg-4eptwghsev3-wb02
</x:v>
      </x:c>
      <x:c r="AD172" t="n">
        <x:v>46195.379177222225</x:v>
      </x:c>
      <x:c r="AE172" t="str">
        <x:v>syazali.saad@petronas.com</x:v>
      </x:c>
      <x:c r="AF172" t="str">
        <x:v>approved</x:v>
      </x:c>
      <x:c r="AG172" t="str">
        <x:v>done</x:v>
      </x:c>
      <x:c r="AH172" t="n">
        <x:v>46204.24573246528</x:v>
      </x:c>
      <x:c r="AI172" t="str">
        <x:v>izham.ajmaan@petronas.com</x:v>
      </x:c>
      <x:c r="AJ172" t="str">
        <x:v>approved</x:v>
      </x:c>
      <x:c r="AK172" t="str">
        <x:v>REQ000008113457</x:v>
      </x:c>
      <x:c r="AL172" t="str">
        <x:v>6d6eb070-7de5-4fb1-9f0e-f90530401fbb</x:v>
      </x:c>
      <x:c r="AM172" s="23" t="str">
        <x:f>IF(E172="processing",IF(Z172="","",IF(ISNUMBER(Z172),INT(Z172),DATE(VALUE(LEFT(Z172,4)),VALUE(MID(Z172,6,2)),VALUE(MID(Z172,9,2))))),IF(OR(E172="executing",E172="pending"),IF(AD172="","",IF(ISNUMBER(AD172),INT(AD172),DATE(VALUE(LEFT(AD172,4)),VALUE(MID(AD172,6,2)),VALUE(MID(AD172,9,2))))),""))</x:f>
      </x:c>
      <x:c r="AN172" s="24" t="str">
        <x:f>IF(AM172="","",INT('Configuration'!$B$4)-AM172)</x:f>
      </x:c>
      <x:c r="AO172" s="25" t="str">
        <x:f>IF(AM172="","Missing Required Date",IF(AN172&lt;0,"Future Date",IF(AN172=0,"0 days",IF(AN172&lt;=2,"1-2 days",IF(AN172&lt;=7,"3-7 days",IF(AN172&lt;=14,"8-14 days",IF(AN172&lt;=30,"15-30 days",IF(AN172&lt;=60,"31-60 days",IF(AN172&lt;=70,"61-70 days","71+ days")))))))))</x:f>
        <x:v>Missing Required Date</x:v>
      </x:c>
      <x:c r="AP172" s="25" t="str">
        <x:f>IF(OR(E172="processing",E172="executing",E172="pending"),IF(AM172="","Required aging date missing",IF(AN172&gt;30,"Escalate &gt;30d",IF(AN172&gt;14,"Watch &gt;14d","Within 14d"))),"Out of scope")</x:f>
        <x:v>Out of scope</x:v>
      </x:c>
    </x:row>
    <x:row r="173" ht="24" customHeight="1">
      <x:c r="A173" t="str">
        <x:v>88756eb0-7cbf-4aaf-8a2d-27ca3afc72ad</x:v>
      </x:c>
      <x:c r="B173" t="str">
        <x:v>CSSP10682219</x:v>
      </x:c>
      <x:c r="C173" t="str">
        <x:v>idwal.wali@petronas.com</x:v>
      </x:c>
      <x:c r="D173" t="str">
        <x:v>provision-cloud-public</x:v>
      </x:c>
      <x:c r="E173" t="str">
        <x:v>rejected</x:v>
      </x:c>
      <x:c r="F173" t="n">
        <x:v>46177.06789320602</x:v>
      </x:c>
      <x:c r="G173" t="n">
        <x:v>46177.06789320602</x:v>
      </x:c>
      <x:c r="H173" t="n">
        <x:v>46183.29246056713</x:v>
      </x:c>
      <x:c r="I173" t="str">
        <x:v>A-000599</x:v>
      </x:c>
      <x:c r="J173" t="str">
        <x:v>PiriGIS</x:v>
      </x:c>
      <x:c r="K173" t="n">
        <x:v>1799</x:v>
      </x:c>
      <x:c r="L173" t="str">
        <x:v>Provision of Geographic Information System Infrastructure in PETRONAS Azure Cloud for Exploration</x:v>
      </x:c>
      <x:c r="M173" t="str">
        <x:v>kartinisuriati@petronas.com.my</x:v>
      </x:c>
      <x:c r="N173" t="str">
        <x:v>PiriGIS</x:v>
      </x:c>
      <x:c r="O173" t="str">
        <x:v>New</x:v>
      </x:c>
      <x:c r="P173" t="str">
        <x:v>Production</x:v>
      </x:c>
      <x:c r="Q173" t="str">
        <x:v>to request for additional MSSQL Managed Instance in PTSG-1GISDB01 (172.25.40.117) for ENIGMA initiative.</x:v>
      </x:c>
      <x:c r="R173"/>
      <x:c r="S173"/>
      <x:c r="T173"/>
      <x:c r="U173" t="str">
        <x:v>Approved for SEARAH Operationalize 1 July 2026</x:v>
      </x:c>
      <x:c r="V173" t="n">
        <x:v>46177.07125303241</x:v>
      </x:c>
      <x:c r="W173" t="str">
        <x:v>kartinisuriati@petronas.com</x:v>
      </x:c>
      <x:c r="X173" t="str">
        <x:v>approved</x:v>
      </x:c>
      <x:c r="Y173" t="str">
        <x:v>To comply with the Cloud Service Request and Provisioning Guideline v4.0, kindly provide the approved CS BIA and SOW/HLD as supporting evidence. </x:v>
      </x:c>
      <x:c r="Z173" t="n">
        <x:v>46183.292460578705</x:v>
      </x:c>
      <x:c r="AA173" t="str">
        <x:v>samsuddin.jumbri@petronas.com</x:v>
      </x:c>
      <x:c r="AB173" t="str">
        <x:v>rejected</x:v>
      </x:c>
      <x:c r="AC173"/>
      <x:c r="AD173"/>
      <x:c r="AE173" t="str">
        <x:v>CCoE Business</x:v>
      </x:c>
      <x:c r="AF173"/>
      <x:c r="AG173"/>
      <x:c r="AH173"/>
      <x:c r="AI173" t="str">
        <x:v>CCoE Core Services (Public)</x:v>
      </x:c>
      <x:c r="AJ173"/>
      <x:c r="AK173"/>
      <x:c r="AL173" t="str">
        <x:v>e92b0512-824f-476b-b163-edd30c189714</x:v>
      </x:c>
      <x:c r="AM173" s="23" t="str">
        <x:f>IF(E173="processing",IF(Z173="","",IF(ISNUMBER(Z173),INT(Z173),DATE(VALUE(LEFT(Z173,4)),VALUE(MID(Z173,6,2)),VALUE(MID(Z173,9,2))))),IF(OR(E173="executing",E173="pending"),IF(AD173="","",IF(ISNUMBER(AD173),INT(AD173),DATE(VALUE(LEFT(AD173,4)),VALUE(MID(AD173,6,2)),VALUE(MID(AD173,9,2))))),""))</x:f>
      </x:c>
      <x:c r="AN173" s="24" t="str">
        <x:f>IF(AM173="","",INT('Configuration'!$B$4)-AM173)</x:f>
      </x:c>
      <x:c r="AO173" s="25" t="str">
        <x:f>IF(AM173="","Missing Required Date",IF(AN173&lt;0,"Future Date",IF(AN173=0,"0 days",IF(AN173&lt;=2,"1-2 days",IF(AN173&lt;=7,"3-7 days",IF(AN173&lt;=14,"8-14 days",IF(AN173&lt;=30,"15-30 days",IF(AN173&lt;=60,"31-60 days",IF(AN173&lt;=70,"61-70 days","71+ days")))))))))</x:f>
        <x:v>Missing Required Date</x:v>
      </x:c>
      <x:c r="AP173" s="25" t="str">
        <x:f>IF(OR(E173="processing",E173="executing",E173="pending"),IF(AM173="","Required aging date missing",IF(AN173&gt;30,"Escalate &gt;30d",IF(AN173&gt;14,"Watch &gt;14d","Within 14d"))),"Out of scope")</x:f>
        <x:v>Out of scope</x:v>
      </x:c>
    </x:row>
    <x:row r="174" ht="24" customHeight="1">
      <x:c r="A174" t="str">
        <x:v>8f30cf74-aae2-4af0-9c3f-e6c4f16643fe</x:v>
      </x:c>
      <x:c r="B174" t="str">
        <x:v>CSSP10367612</x:v>
      </x:c>
      <x:c r="C174" t="str">
        <x:v>mohamadsyafiq.mnoor@petronas.com</x:v>
      </x:c>
      <x:c r="D174" t="str">
        <x:v>provision-cloud-public</x:v>
      </x:c>
      <x:c r="E174" t="str">
        <x:v>rejected</x:v>
      </x:c>
      <x:c r="F174" t="n">
        <x:v>46177.28576237269</x:v>
      </x:c>
      <x:c r="G174" t="n">
        <x:v>46177.28576237269</x:v>
      </x:c>
      <x:c r="H174" t="n">
        <x:v>46183.29744427084</x:v>
      </x:c>
      <x:c r="I174" t="str">
        <x:v>A-001307</x:v>
      </x:c>
      <x:c r="J174" t="str">
        <x:v>Azure Machine Learning - PRPC</x:v>
      </x:c>
      <x:c r="K174" t="n">
        <x:v>4739</x:v>
      </x:c>
      <x:c r="L174" t="str">
        <x:v>Run &amp; Maintain Citizen Analytics Use Cases for PRPC</x:v>
      </x:c>
      <x:c r="M174" t="str">
        <x:v>khairulnizam.bahari@petronas.com.my</x:v>
      </x:c>
      <x:c r="N174" t="str">
        <x:v>Citizen-Analytics</x:v>
      </x:c>
      <x:c r="O174" t="str">
        <x:v>New</x:v>
      </x:c>
      <x:c r="P174" t="str">
        <x:v>Production</x:v>
      </x:c>
      <x:c r="Q174" t="str">
        <x:v>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Shahkaizan Shahari (POCM/PRPC) - shahkaizan.shahari@petronas.com.my</x:v>
      </x:c>
      <x:c r="R174"/>
      <x:c r="S174"/>
      <x:c r="T174"/>
      <x:c r="U174" t="str">
        <x:v>To provision compute instance to the 4 new users from PRPC for all 3 workspaces under PRPC. T</x:v>
      </x:c>
      <x:c r="V174" t="n">
        <x:v>46177.34574563657</x:v>
      </x:c>
      <x:c r="W174" t="str">
        <x:v>khairulnizam.bahari@petronas.com</x:v>
      </x:c>
      <x:c r="X174" t="str">
        <x:v>approved</x:v>
      </x:c>
      <x:c r="Y174" t="str">
        <x:v>To comply with the Cloud Service Request and Provisioning Guideline v4.0, kindly provide the approved CS BIA, Estimated Cost (in excel format generated from AWS/Azure website) and SOW/HLD as supporting evidence. </x:v>
      </x:c>
      <x:c r="Z174" t="n">
        <x:v>46183.297444282405</x:v>
      </x:c>
      <x:c r="AA174" t="str">
        <x:v>samsuddin.jumbri@petronas.com</x:v>
      </x:c>
      <x:c r="AB174" t="str">
        <x:v>rejected</x:v>
      </x:c>
      <x:c r="AC174"/>
      <x:c r="AD174"/>
      <x:c r="AE174" t="str">
        <x:v>CCoE Business</x:v>
      </x:c>
      <x:c r="AF174"/>
      <x:c r="AG174"/>
      <x:c r="AH174"/>
      <x:c r="AI174" t="str">
        <x:v>CCoE Core Services (Public)</x:v>
      </x:c>
      <x:c r="AJ174"/>
      <x:c r="AK174"/>
      <x:c r="AL174" t="str">
        <x:v>175979a6-0134-4d4e-b3f1-5ff77e1fdf7f</x:v>
      </x:c>
      <x:c r="AM174" s="23" t="str">
        <x:f>IF(E174="processing",IF(Z174="","",IF(ISNUMBER(Z174),INT(Z174),DATE(VALUE(LEFT(Z174,4)),VALUE(MID(Z174,6,2)),VALUE(MID(Z174,9,2))))),IF(OR(E174="executing",E174="pending"),IF(AD174="","",IF(ISNUMBER(AD174),INT(AD174),DATE(VALUE(LEFT(AD174,4)),VALUE(MID(AD174,6,2)),VALUE(MID(AD174,9,2))))),""))</x:f>
      </x:c>
      <x:c r="AN174" s="24" t="str">
        <x:f>IF(AM174="","",INT('Configuration'!$B$4)-AM174)</x:f>
      </x:c>
      <x:c r="AO174" s="25" t="str">
        <x:f>IF(AM174="","Missing Required Date",IF(AN174&lt;0,"Future Date",IF(AN174=0,"0 days",IF(AN174&lt;=2,"1-2 days",IF(AN174&lt;=7,"3-7 days",IF(AN174&lt;=14,"8-14 days",IF(AN174&lt;=30,"15-30 days",IF(AN174&lt;=60,"31-60 days",IF(AN174&lt;=70,"61-70 days","71+ days")))))))))</x:f>
        <x:v>Missing Required Date</x:v>
      </x:c>
      <x:c r="AP174" s="25" t="str">
        <x:f>IF(OR(E174="processing",E174="executing",E174="pending"),IF(AM174="","Required aging date missing",IF(AN174&gt;30,"Escalate &gt;30d",IF(AN174&gt;14,"Watch &gt;14d","Within 14d"))),"Out of scope")</x:f>
        <x:v>Out of scope</x:v>
      </x:c>
    </x:row>
    <x:row r="175" ht="24" customHeight="1">
      <x:c r="A175" t="str">
        <x:v>c0261b47-98bc-4430-b18c-0f1d3937f0c7</x:v>
      </x:c>
      <x:c r="B175" t="str">
        <x:v>CSSP10765617</x:v>
      </x:c>
      <x:c r="C175" t="str">
        <x:v>hairol.zainul@petronas.com</x:v>
      </x:c>
      <x:c r="D175" t="str">
        <x:v>provision-cloud-public</x:v>
      </x:c>
      <x:c r="E175" t="str">
        <x:v>completed</x:v>
      </x:c>
      <x:c r="F175" t="n">
        <x:v>46177.306300034725</x:v>
      </x:c>
      <x:c r="G175" t="n">
        <x:v>46177.37987604167</x:v>
      </x:c>
      <x:c r="H175" t="n">
        <x:v>46196.34123990741</x:v>
      </x:c>
      <x:c r="I175" t="str">
        <x:v>A-001366</x:v>
      </x:c>
      <x:c r="J175" t="str">
        <x:v>Instruments Asset Management - IAMS for ENIGMA SEARAH</x:v>
      </x:c>
      <x:c r="K175" t="str">
        <x:v>SR26937_IAMS</x:v>
      </x:c>
      <x:c r="L175" t="str">
        <x:v>ENIGMA JV (Production): Implementing New Subscriptions for MacCo_IAMS</x:v>
      </x:c>
      <x:c r="M175" t="str">
        <x:v>mhafiz.samsudin@petronas.com.my</x:v>
      </x:c>
      <x:c r="N175" t="str">
        <x:v>Enigma</x:v>
      </x:c>
      <x:c r="O175" t="str">
        <x:v>New</x:v>
      </x:c>
      <x:c r="P175" t="str">
        <x:v>Production</x:v>
      </x:c>
      <x:c r="Q175" t="str">
        <x:v>The server should be same specification as PTSG-1PWOwb02 (172.25.200.22) at PETRONAS Cloud</x:v>
      </x:c>
      <x:c r="R175" t="str">
        <x:v>S</x:v>
      </x:c>
      <x:c r="S175"/>
      <x:c r="T175"/>
      <x:c r="U175" t="str">
        <x:v>Critical for Searah onboarding. Kindly expedite to meet 1st July cutover.</x:v>
      </x:c>
      <x:c r="V175" t="n">
        <x:v>46177.38507042824</x:v>
      </x:c>
      <x:c r="W175" t="str">
        <x:v>mhafiz.samsudin@petronas.com</x:v>
      </x:c>
      <x:c r="X175" t="str">
        <x:v>approved</x:v>
      </x:c>
      <x:c r="Y175" t="str">
        <x:v>Good to go</x:v>
      </x:c>
      <x:c r="Z175" t="n">
        <x:v>46183.301091678244</x:v>
      </x:c>
      <x:c r="AA175" t="str">
        <x:v>samsuddin.jumbri@petronas.com</x:v>
      </x:c>
      <x:c r="AB175" t="str">
        <x:v>approved</x:v>
      </x:c>
      <x:c r="AC175" t="str">
        <x:v>pre-assigned.</x:v>
      </x:c>
      <x:c r="AD175" t="n">
        <x:v>46195.342208483795</x:v>
      </x:c>
      <x:c r="AE175" t="str">
        <x:v>syazali.saad@petronas.com</x:v>
      </x:c>
      <x:c r="AF175" t="str">
        <x:v>approved</x:v>
      </x:c>
      <x:c r="AG175" t="str">
        <x:v>Completed</x:v>
      </x:c>
      <x:c r="AH175" t="n">
        <x:v>46196.341239918984</x:v>
      </x:c>
      <x:c r="AI175" t="str">
        <x:v>mfirdaus.fadlizam@petronas.com</x:v>
      </x:c>
      <x:c r="AJ175" t="str">
        <x:v>approved</x:v>
      </x:c>
      <x:c r="AK175" t="str">
        <x:v>REQ000008112895</x:v>
      </x:c>
      <x:c r="AL175" t="str">
        <x:v>e9adc685-ea5d-42bf-aacf-1d085a9b4704</x:v>
      </x:c>
      <x:c r="AM175" s="23" t="str">
        <x:f>IF(E175="processing",IF(Z175="","",IF(ISNUMBER(Z175),INT(Z175),DATE(VALUE(LEFT(Z175,4)),VALUE(MID(Z175,6,2)),VALUE(MID(Z175,9,2))))),IF(OR(E175="executing",E175="pending"),IF(AD175="","",IF(ISNUMBER(AD175),INT(AD175),DATE(VALUE(LEFT(AD175,4)),VALUE(MID(AD175,6,2)),VALUE(MID(AD175,9,2))))),""))</x:f>
      </x:c>
      <x:c r="AN175" s="24" t="str">
        <x:f>IF(AM175="","",INT('Configuration'!$B$4)-AM175)</x:f>
      </x:c>
      <x:c r="AO175" s="25" t="str">
        <x:f>IF(AM175="","Missing Required Date",IF(AN175&lt;0,"Future Date",IF(AN175=0,"0 days",IF(AN175&lt;=2,"1-2 days",IF(AN175&lt;=7,"3-7 days",IF(AN175&lt;=14,"8-14 days",IF(AN175&lt;=30,"15-30 days",IF(AN175&lt;=60,"31-60 days",IF(AN175&lt;=70,"61-70 days","71+ days")))))))))</x:f>
        <x:v>Missing Required Date</x:v>
      </x:c>
      <x:c r="AP175" s="25" t="str">
        <x:f>IF(OR(E175="processing",E175="executing",E175="pending"),IF(AM175="","Required aging date missing",IF(AN175&gt;30,"Escalate &gt;30d",IF(AN175&gt;14,"Watch &gt;14d","Within 14d"))),"Out of scope")</x:f>
        <x:v>Out of scope</x:v>
      </x:c>
    </x:row>
    <x:row r="176" ht="24" customHeight="1">
      <x:c r="A176" t="str">
        <x:v>490a22b7-0256-40ee-aa08-bbcb9d6f9e27</x:v>
      </x:c>
      <x:c r="B176" t="str">
        <x:v>CSSP10340554</x:v>
      </x:c>
      <x:c r="C176" t="str">
        <x:v>mhizami.norsuhaimi@petronas.com</x:v>
      </x:c>
      <x:c r="D176" t="str">
        <x:v>provision-cloud-public</x:v>
      </x:c>
      <x:c r="E176" t="str">
        <x:v>completed</x:v>
      </x:c>
      <x:c r="F176" t="n">
        <x:v>46177.36093238426</x:v>
      </x:c>
      <x:c r="G176" t="n">
        <x:v>46177.39008239583</x:v>
      </x:c>
      <x:c r="H176" t="n">
        <x:v>46196.167311875</x:v>
      </x:c>
      <x:c r="I176" t="str">
        <x:v>A-001358</x:v>
      </x:c>
      <x:c r="J176" t="str">
        <x:v>System 1 for ENIGMA SEARAH</x:v>
      </x:c>
      <x:c r="K176" t="str">
        <x:v>SR26937_System1 </x:v>
      </x:c>
      <x:c r="L176" t="str">
        <x:v>ENIGMA JV (Production): Implementing New Subscriptions for MacCo_System1 </x:v>
      </x:c>
      <x:c r="M176" t="str">
        <x:v>mhafiz.samsudin@petronas.com.my</x:v>
      </x:c>
      <x:c r="N176" t="str">
        <x:v>Enigma</x:v>
      </x:c>
      <x:c r="O176" t="str">
        <x:v>New</x:v>
      </x:c>
      <x:c r="P176" t="str">
        <x:v>Production</x:v>
      </x:c>
      <x:c r="Q176" t="str">
        <x:v>Provisioning of System 1 cloud server for Enigma SEARAH</x:v>
      </x:c>
      <x:c r="R176" t="str">
        <x:v>S</x:v>
      </x:c>
      <x:c r="S176"/>
      <x:c r="T176"/>
      <x:c r="U176" t="str">
        <x:v>Critical for Searah onboarding. Kindly expedite to meet 1st July cutover.</x:v>
      </x:c>
      <x:c r="V176" t="n">
        <x:v>46177.39129506944</x:v>
      </x:c>
      <x:c r="W176" t="str">
        <x:v>mhafiz.samsudin@petronas.com</x:v>
      </x:c>
      <x:c r="X176" t="str">
        <x:v>approved</x:v>
      </x:c>
      <x:c r="Y176" t="str">
        <x:v>Good to go</x:v>
      </x:c>
      <x:c r="Z176" t="n">
        <x:v>46183.30176866898</x:v>
      </x:c>
      <x:c r="AA176" t="str">
        <x:v>samsuddin.jumbri@petronas.com</x:v>
      </x:c>
      <x:c r="AB176" t="str">
        <x:v>approved</x:v>
      </x:c>
      <x:c r="AC176" t="str">
        <x:v>vm</x:v>
      </x:c>
      <x:c r="AD176" t="n">
        <x:v>46195.34374255787</x:v>
      </x:c>
      <x:c r="AE176" t="str">
        <x:v>syazali.saad@petronas.com</x:v>
      </x:c>
      <x:c r="AF176" t="str">
        <x:v>approved</x:v>
      </x:c>
      <x:c r="AG176" t="str">
        <x:v>Complete</x:v>
      </x:c>
      <x:c r="AH176" t="n">
        <x:v>46196.16731189815</x:v>
      </x:c>
      <x:c r="AI176" t="str">
        <x:v>afnanfarhan.dzaharud@petronas.com</x:v>
      </x:c>
      <x:c r="AJ176" t="str">
        <x:v>approved</x:v>
      </x:c>
      <x:c r="AK176" t="str">
        <x:v>REQ000008112896</x:v>
      </x:c>
      <x:c r="AL176" t="str">
        <x:v>c01f7b4e-08d2-40f6-aed0-5b1979da0b79</x:v>
      </x:c>
      <x:c r="AM176" s="23" t="str">
        <x:f>IF(E176="processing",IF(Z176="","",IF(ISNUMBER(Z176),INT(Z176),DATE(VALUE(LEFT(Z176,4)),VALUE(MID(Z176,6,2)),VALUE(MID(Z176,9,2))))),IF(OR(E176="executing",E176="pending"),IF(AD176="","",IF(ISNUMBER(AD176),INT(AD176),DATE(VALUE(LEFT(AD176,4)),VALUE(MID(AD176,6,2)),VALUE(MID(AD176,9,2))))),""))</x:f>
      </x:c>
      <x:c r="AN176" s="24" t="str">
        <x:f>IF(AM176="","",INT('Configuration'!$B$4)-AM176)</x:f>
      </x:c>
      <x:c r="AO176" s="25" t="str">
        <x:f>IF(AM176="","Missing Required Date",IF(AN176&lt;0,"Future Date",IF(AN176=0,"0 days",IF(AN176&lt;=2,"1-2 days",IF(AN176&lt;=7,"3-7 days",IF(AN176&lt;=14,"8-14 days",IF(AN176&lt;=30,"15-30 days",IF(AN176&lt;=60,"31-60 days",IF(AN176&lt;=70,"61-70 days","71+ days")))))))))</x:f>
        <x:v>Missing Required Date</x:v>
      </x:c>
      <x:c r="AP176" s="25" t="str">
        <x:f>IF(OR(E176="processing",E176="executing",E176="pending"),IF(AM176="","Required aging date missing",IF(AN176&gt;30,"Escalate &gt;30d",IF(AN176&gt;14,"Watch &gt;14d","Within 14d"))),"Out of scope")</x:f>
        <x:v>Out of scope</x:v>
      </x:c>
    </x:row>
    <x:row r="177" ht="24" customHeight="1">
      <x:c r="A177" t="str">
        <x:v>68be25ca-9627-4a6f-9c50-424d721f17e6</x:v>
      </x:c>
      <x:c r="B177" t="str">
        <x:v>CSSP10132938</x:v>
      </x:c>
      <x:c r="C177" t="str">
        <x:v>zulfahmi.ibrahim@petronas.com</x:v>
      </x:c>
      <x:c r="D177" t="str">
        <x:v>provision-cloud-public</x:v>
      </x:c>
      <x:c r="E177" t="str">
        <x:v>completed</x:v>
      </x:c>
      <x:c r="F177" t="n">
        <x:v>46177.36156622685</x:v>
      </x:c>
      <x:c r="G177" t="n">
        <x:v>46177.37820197917</x:v>
      </x:c>
      <x:c r="H177" t="n">
        <x:v>46196.340316828704</x:v>
      </x:c>
      <x:c r="I177" t="str">
        <x:v>A-001361</x:v>
      </x:c>
      <x:c r="J177" t="str">
        <x:v>Predictive Revitalization of Instrumentation to Maximize Efficiency - PRIME for ENIGMA SEARAH</x:v>
      </x:c>
      <x:c r="K177" t="str">
        <x:v>SR26937_PRIME</x:v>
      </x:c>
      <x:c r="L177" t="str">
        <x:v>ENIGMA JV (Production): Implementing New Subscriptions for MacCo_PRIME</x:v>
      </x:c>
      <x:c r="M177" t="str">
        <x:v>mhafiz.samsudin@petronas.com.my</x:v>
      </x:c>
      <x:c r="N177" t="str">
        <x:v>Enigma</x:v>
      </x:c>
      <x:c r="O177" t="str">
        <x:v>New</x:v>
      </x:c>
      <x:c r="P177" t="str">
        <x:v>Production</x:v>
      </x:c>
      <x:c r="Q177" t="str">
        <x:v>provisioning of PRIME cloud Server for ENIGMA Searah</x:v>
      </x:c>
      <x:c r="R177" t="str">
        <x:v>M</x:v>
      </x:c>
      <x:c r="S177"/>
      <x:c r="T177"/>
      <x:c r="U177" t="str">
        <x:v>Critical for Searah onboarding. Kindly expedite to meet 1st July cutover.</x:v>
      </x:c>
      <x:c r="V177" t="n">
        <x:v>46177.38485627315</x:v>
      </x:c>
      <x:c r="W177" t="str">
        <x:v>mhafiz.samsudin@petronas.com</x:v>
      </x:c>
      <x:c r="X177" t="str">
        <x:v>approved</x:v>
      </x:c>
      <x:c r="Y177" t="str">
        <x:v>Good to go</x:v>
      </x:c>
      <x:c r="Z177" t="n">
        <x:v>46183.2988371875</x:v>
      </x:c>
      <x:c r="AA177" t="str">
        <x:v>samsuddin.jumbri@petronas.com</x:v>
      </x:c>
      <x:c r="AB177" t="str">
        <x:v>approved</x:v>
      </x:c>
      <x:c r="AC177" t="str">
        <x:v>vm&amp;sql.</x:v>
      </x:c>
      <x:c r="AD177" t="n">
        <x:v>46195.34306153935</x:v>
      </x:c>
      <x:c r="AE177" t="str">
        <x:v>syazali.saad@petronas.com</x:v>
      </x:c>
      <x:c r="AF177" t="str">
        <x:v>approved</x:v>
      </x:c>
      <x:c r="AG177" t="str">
        <x:v>Completed</x:v>
      </x:c>
      <x:c r="AH177" t="n">
        <x:v>46196.34031684028</x:v>
      </x:c>
      <x:c r="AI177" t="str">
        <x:v>mfirdaus.fadlizam@petronas.com</x:v>
      </x:c>
      <x:c r="AJ177" t="str">
        <x:v>approved</x:v>
      </x:c>
      <x:c r="AK177" t="str">
        <x:v>REQ000008113432</x:v>
      </x:c>
      <x:c r="AL177" t="str">
        <x:v>02a376be-a31b-41f5-9343-6a84938060c3</x:v>
      </x:c>
      <x:c r="AM177" s="23" t="str">
        <x:f>IF(E177="processing",IF(Z177="","",IF(ISNUMBER(Z177),INT(Z177),DATE(VALUE(LEFT(Z177,4)),VALUE(MID(Z177,6,2)),VALUE(MID(Z177,9,2))))),IF(OR(E177="executing",E177="pending"),IF(AD177="","",IF(ISNUMBER(AD177),INT(AD177),DATE(VALUE(LEFT(AD177,4)),VALUE(MID(AD177,6,2)),VALUE(MID(AD177,9,2))))),""))</x:f>
      </x:c>
      <x:c r="AN177" s="24" t="str">
        <x:f>IF(AM177="","",INT('Configuration'!$B$4)-AM177)</x:f>
      </x:c>
      <x:c r="AO177" s="25" t="str">
        <x:f>IF(AM177="","Missing Required Date",IF(AN177&lt;0,"Future Date",IF(AN177=0,"0 days",IF(AN177&lt;=2,"1-2 days",IF(AN177&lt;=7,"3-7 days",IF(AN177&lt;=14,"8-14 days",IF(AN177&lt;=30,"15-30 days",IF(AN177&lt;=60,"31-60 days",IF(AN177&lt;=70,"61-70 days","71+ days")))))))))</x:f>
        <x:v>Missing Required Date</x:v>
      </x:c>
      <x:c r="AP177" s="25" t="str">
        <x:f>IF(OR(E177="processing",E177="executing",E177="pending"),IF(AM177="","Required aging date missing",IF(AN177&gt;30,"Escalate &gt;30d",IF(AN177&gt;14,"Watch &gt;14d","Within 14d"))),"Out of scope")</x:f>
        <x:v>Out of scope</x:v>
      </x:c>
    </x:row>
    <x:row r="178" ht="24" customHeight="1">
      <x:c r="A178" t="str">
        <x:v>7efa880b-53c2-4cf4-aeb1-f17c6223b17c</x:v>
      </x:c>
      <x:c r="B178" t="str">
        <x:v>CSSP10867439</x:v>
      </x:c>
      <x:c r="C178" t="str">
        <x:v>suliza.sumari@petronas.com</x:v>
      </x:c>
      <x:c r="D178" t="str">
        <x:v>provision-cloud-public</x:v>
      </x:c>
      <x:c r="E178" t="str">
        <x:v>completed</x:v>
      </x:c>
      <x:c r="F178" t="n">
        <x:v>46177.406961203706</x:v>
      </x:c>
      <x:c r="G178" t="n">
        <x:v>46177.406961203706</x:v>
      </x:c>
      <x:c r="H178" t="n">
        <x:v>46196.341319328705</x:v>
      </x:c>
      <x:c r="I178" t="str">
        <x:v>A-001372</x:v>
      </x:c>
      <x:c r="J178" t="str">
        <x:v>Enterprise Document Management System - Power BI for ENIGMA SEARAH</x:v>
      </x:c>
      <x:c r="K178" t="str">
        <x:v>SR26965_POWERBI</x:v>
      </x:c>
      <x:c r="L178" t="str">
        <x:v>ENIGMA JV: Enterprise-Document Management (PowerBI) for MacCo</x:v>
      </x:c>
      <x:c r="M178" t="str">
        <x:v>rafedah.mdtap@petronas.com</x:v>
      </x:c>
      <x:c r="N178" t="str">
        <x:v>ENIGMA JV Enterprise-Document Management</x:v>
      </x:c>
      <x:c r="O178" t="str">
        <x:v>New</x:v>
      </x:c>
      <x:c r="P178" t="str">
        <x:v>Production</x:v>
      </x:c>
      <x:c r="Q178" t="str">
        <x:v>Subscription Details for Microsoft Fabric license :
•	Microsoft Fabric – SKU F64 Capacity Unit
•	Usage: 264 hours/month (based on 12 hours active usage daily for 22 days)
•	Estimated Cost: ~RM210,536 per year
Justification for Microsoft Fabric Subscription
The Fabric license will enable the following key capabilities to support SEARAH’s data and reporting needs:
•	Wells Data Quality (Power BI module)
To enhance visibility and monitoring of data quality metrics.
•	Data Strategy and Assurance Control Tower for SEARAH, including:
o	Establishment of Data Governance and Compliance Dashboards to ensure data quality, consistency, and adherence to regulatory standards
o	Enablement of an integrated data ecosystem leveraging Fabric components, such as: 
	Data Factory
	Data Engineering
	Data Warehouse
	OneLake
	Copilot capabilities integrated with Power BI
</x:v>
      </x:c>
      <x:c r="R178" t="str">
        <x:v>M</x:v>
      </x:c>
      <x:c r="S178"/>
      <x:c r="T178"/>
      <x:c r="U178" t="str">
        <x:v>Approved as discussed</x:v>
      </x:c>
      <x:c r="V178" t="n">
        <x:v>46177.41057907407</x:v>
      </x:c>
      <x:c r="W178" t="str">
        <x:v>rafedah.mdtap@petronas.com</x:v>
      </x:c>
      <x:c r="X178" t="str">
        <x:v>approved</x:v>
      </x:c>
      <x:c r="Y178" t="str">
        <x:v>Good to go</x:v>
      </x:c>
      <x:c r="Z178" t="n">
        <x:v>46183.30227789352</x:v>
      </x:c>
      <x:c r="AA178" t="str">
        <x:v>samsuddin.jumbri@petronas.com</x:v>
      </x:c>
      <x:c r="AB178" t="str">
        <x:v>approved</x:v>
      </x:c>
      <x:c r="AC178" t="str">
        <x:v>fabric. assigned to medium to include post deployment configuration/access.</x:v>
      </x:c>
      <x:c r="AD178" t="n">
        <x:v>46195.34482748843</x:v>
      </x:c>
      <x:c r="AE178" t="str">
        <x:v>syazali.saad@petronas.com</x:v>
      </x:c>
      <x:c r="AF178" t="str">
        <x:v>approved</x:v>
      </x:c>
      <x:c r="AG178" t="str">
        <x:v>Completed</x:v>
      </x:c>
      <x:c r="AH178" t="n">
        <x:v>46196.34131935185</x:v>
      </x:c>
      <x:c r="AI178" t="str">
        <x:v>mfirdaus.fadlizam@petronas.com</x:v>
      </x:c>
      <x:c r="AJ178" t="str">
        <x:v>approved</x:v>
      </x:c>
      <x:c r="AK178" t="str">
        <x:v>REQ000008113433</x:v>
      </x:c>
      <x:c r="AL178" t="str">
        <x:v>8473eb18-b858-466f-b18d-da424602c277</x:v>
      </x:c>
      <x:c r="AM178" s="23" t="str">
        <x:f>IF(E178="processing",IF(Z178="","",IF(ISNUMBER(Z178),INT(Z178),DATE(VALUE(LEFT(Z178,4)),VALUE(MID(Z178,6,2)),VALUE(MID(Z178,9,2))))),IF(OR(E178="executing",E178="pending"),IF(AD178="","",IF(ISNUMBER(AD178),INT(AD178),DATE(VALUE(LEFT(AD178,4)),VALUE(MID(AD178,6,2)),VALUE(MID(AD178,9,2))))),""))</x:f>
      </x:c>
      <x:c r="AN178" s="24" t="str">
        <x:f>IF(AM178="","",INT('Configuration'!$B$4)-AM178)</x:f>
      </x:c>
      <x:c r="AO178" s="25" t="str">
        <x:f>IF(AM178="","Missing Required Date",IF(AN178&lt;0,"Future Date",IF(AN178=0,"0 days",IF(AN178&lt;=2,"1-2 days",IF(AN178&lt;=7,"3-7 days",IF(AN178&lt;=14,"8-14 days",IF(AN178&lt;=30,"15-30 days",IF(AN178&lt;=60,"31-60 days",IF(AN178&lt;=70,"61-70 days","71+ days")))))))))</x:f>
        <x:v>Missing Required Date</x:v>
      </x:c>
      <x:c r="AP178" s="25" t="str">
        <x:f>IF(OR(E178="processing",E178="executing",E178="pending"),IF(AM178="","Required aging date missing",IF(AN178&gt;30,"Escalate &gt;30d",IF(AN178&gt;14,"Watch &gt;14d","Within 14d"))),"Out of scope")</x:f>
        <x:v>Out of scope</x:v>
      </x:c>
    </x:row>
    <x:row r="179" ht="24" customHeight="1">
      <x:c r="A179" t="str">
        <x:v>f92479e1-5424-4c64-886c-9036443b2214</x:v>
      </x:c>
      <x:c r="B179" t="str">
        <x:v>CSSP10533757</x:v>
      </x:c>
      <x:c r="C179" t="str">
        <x:v>hazmanhadi.mkhirola@petronas.com</x:v>
      </x:c>
      <x:c r="D179" t="str">
        <x:v>provision-cloud-public</x:v>
      </x:c>
      <x:c r="E179" t="str">
        <x:v>completed</x:v>
      </x:c>
      <x:c r="F179" t="n">
        <x:v>46178.05528262731</x:v>
      </x:c>
      <x:c r="G179" t="n">
        <x:v>46178.05528262731</x:v>
      </x:c>
      <x:c r="H179" t="n">
        <x:v>46189.10373012732</x:v>
      </x:c>
      <x:c r="I179" t="str">
        <x:v>A-000083</x:v>
      </x:c>
      <x:c r="J179" t="str">
        <x:v>Aveva</x:v>
      </x:c>
      <x:c r="K179" t="str">
        <x:v>00915_244</x:v>
      </x:c>
      <x:c r="L179" t="str">
        <x:v>Cloud Migration Program - Aveva</x:v>
      </x:c>
      <x:c r="M179" t="str">
        <x:v>nurdoriah.sarim@petronas.com.my</x:v>
      </x:c>
      <x:c r="N179" t="str">
        <x:v>Aveva</x:v>
      </x:c>
      <x:c r="O179" t="str">
        <x:v>Modify</x:v>
      </x:c>
      <x:c r="P179" t="str">
        <x:v>Production</x:v>
      </x:c>
      <x:c r="Q179" t="str">
        <x:v>ICT_RFC00222233</x:v>
      </x:c>
      <x:c r="R179" t="str">
        <x:v>M</x:v>
      </x:c>
      <x:c r="S179" t="str">
        <x:v>ICT_RFC00222233</x:v>
      </x:c>
      <x:c r="T179"/>
      <x:c r="U179" t="str">
        <x:v>Approved, please proceed</x:v>
      </x:c>
      <x:c r="V179" t="n">
        <x:v>46178.08157155092</x:v>
      </x:c>
      <x:c r="W179" t="str">
        <x:v>nurdoriah.sarim@petronas.com</x:v>
      </x:c>
      <x:c r="X179" t="str">
        <x:v>approved</x:v>
      </x:c>
      <x:c r="Y179" t="str">
        <x:v>Good to go</x:v>
      </x:c>
      <x:c r="Z179" t="n">
        <x:v>46178.368402789354</x:v>
      </x:c>
      <x:c r="AA179" t="str">
        <x:v>samsuddin.jumbri@petronas.com</x:v>
      </x:c>
      <x:c r="AB179" t="str">
        <x:v>approved</x:v>
      </x:c>
      <x:c r="AC179" t="str">
        <x:v>Proceed as mentioned in the request</x:v>
      </x:c>
      <x:c r="AD179" t="n">
        <x:v>46182.279199282406</x:v>
      </x:c>
      <x:c r="AE179" t="str">
        <x:v>azwan.badari@petronas.com</x:v>
      </x:c>
      <x:c r="AF179" t="str">
        <x:v>approved</x:v>
      </x:c>
      <x:c r="AG179" t="str">
        <x:v>Done. </x:v>
      </x:c>
      <x:c r="AH179" t="n">
        <x:v>46189.10373016204</x:v>
      </x:c>
      <x:c r="AI179" t="str">
        <x:v>azhan.shazeli@petronas.com</x:v>
      </x:c>
      <x:c r="AJ179" t="str">
        <x:v>approved</x:v>
      </x:c>
      <x:c r="AK179" t="str">
        <x:v>REQ000008089397</x:v>
      </x:c>
      <x:c r="AL179" t="str">
        <x:v>f57e22a1-0676-40e0-9658-4f70fbe49c4e</x:v>
      </x:c>
      <x:c r="AM179" s="23" t="str">
        <x:f>IF(E179="processing",IF(Z179="","",IF(ISNUMBER(Z179),INT(Z179),DATE(VALUE(LEFT(Z179,4)),VALUE(MID(Z179,6,2)),VALUE(MID(Z179,9,2))))),IF(OR(E179="executing",E179="pending"),IF(AD179="","",IF(ISNUMBER(AD179),INT(AD179),DATE(VALUE(LEFT(AD179,4)),VALUE(MID(AD179,6,2)),VALUE(MID(AD179,9,2))))),""))</x:f>
      </x:c>
      <x:c r="AN179" s="24" t="str">
        <x:f>IF(AM179="","",INT('Configuration'!$B$4)-AM179)</x:f>
      </x:c>
      <x:c r="AO179" s="25" t="str">
        <x:f>IF(AM179="","Missing Required Date",IF(AN179&lt;0,"Future Date",IF(AN179=0,"0 days",IF(AN179&lt;=2,"1-2 days",IF(AN179&lt;=7,"3-7 days",IF(AN179&lt;=14,"8-14 days",IF(AN179&lt;=30,"15-30 days",IF(AN179&lt;=60,"31-60 days",IF(AN179&lt;=70,"61-70 days","71+ days")))))))))</x:f>
        <x:v>Missing Required Date</x:v>
      </x:c>
      <x:c r="AP179" s="25" t="str">
        <x:f>IF(OR(E179="processing",E179="executing",E179="pending"),IF(AM179="","Required aging date missing",IF(AN179&gt;30,"Escalate &gt;30d",IF(AN179&gt;14,"Watch &gt;14d","Within 14d"))),"Out of scope")</x:f>
        <x:v>Out of scope</x:v>
      </x:c>
    </x:row>
    <x:row r="180" ht="24" customHeight="1">
      <x:c r="A180" t="str">
        <x:v>34c90753-1002-40a3-a112-d510d55f6d3e</x:v>
      </x:c>
      <x:c r="B180" t="str">
        <x:v>CSSP10881379</x:v>
      </x:c>
      <x:c r="C180" t="str">
        <x:v>wanmiqbal.wanmhdnoor@petronas.com</x:v>
      </x:c>
      <x:c r="D180" t="str">
        <x:v>provision-cloud-public</x:v>
      </x:c>
      <x:c r="E180" t="str">
        <x:v>completed</x:v>
      </x:c>
      <x:c r="F180" t="n">
        <x:v>46178.17505909722</x:v>
      </x:c>
      <x:c r="G180" t="n">
        <x:v>46178.17505909722</x:v>
      </x:c>
      <x:c r="H180" t="n">
        <x:v>46204.219643032404</x:v>
      </x:c>
      <x:c r="I180" t="str">
        <x:v>A-001362</x:v>
      </x:c>
      <x:c r="J180" t="str">
        <x:v>Predictive Rotating Equipment Analytics - PROTEAN for ENIGMA SEARAH</x:v>
      </x:c>
      <x:c r="K180" t="str">
        <x:v>SR26937_PROTEAN</x:v>
      </x:c>
      <x:c r="L180" t="str">
        <x:v>ENIGMA JV (Production): Implementing New Subscriptions for MacCo_PROTEAN</x:v>
      </x:c>
      <x:c r="M180" t="str">
        <x:v>mhafiz.samsudin@petronas.com.my</x:v>
      </x:c>
      <x:c r="N180" t="str">
        <x:v>Enigma</x:v>
      </x:c>
      <x:c r="O180" t="str">
        <x:v>New</x:v>
      </x:c>
      <x:c r="P180" t="str">
        <x:v>Production</x:v>
      </x:c>
      <x:c r="Q180" t="str">
        <x:v>Cloud Provisioning for PROTEAN SEARAH</x:v>
      </x:c>
      <x:c r="R180" t="str">
        <x:v>M</x:v>
      </x:c>
      <x:c r="S180"/>
      <x:c r="T180"/>
      <x:c r="U180" t="str">
        <x:v>Critical for Searah onboarding. Kindly expedite to meet 1st July cutover.</x:v>
      </x:c>
      <x:c r="V180" t="n">
        <x:v>46178.17643548611</x:v>
      </x:c>
      <x:c r="W180" t="str">
        <x:v>mhafiz.samsudin@petronas.com</x:v>
      </x:c>
      <x:c r="X180" t="str">
        <x:v>approved</x:v>
      </x:c>
      <x:c r="Y180" t="str">
        <x:v>Critical for Searah onboarding. Kindly expedite to meet 1st July cutover.</x:v>
      </x:c>
      <x:c r="Z180" t="n">
        <x:v>46178.17755206019</x:v>
      </x:c>
      <x:c r="AA180" t="str">
        <x:v>mhafiz.samsudin@petronas.com</x:v>
      </x:c>
      <x:c r="AB180" t="str">
        <x:v>approved</x:v>
      </x:c>
      <x:c r="AC180" t="str">
        <x:v>multi vm &amp; sql</x:v>
      </x:c>
      <x:c r="AD180" t="n">
        <x:v>46195.34600932871</x:v>
      </x:c>
      <x:c r="AE180" t="str">
        <x:v>syazali.saad@petronas.com</x:v>
      </x:c>
      <x:c r="AF180" t="str">
        <x:v>approved</x:v>
      </x:c>
      <x:c r="AG180" t="str">
        <x:v>previously completed</x:v>
      </x:c>
      <x:c r="AH180" t="n">
        <x:v>46204.21964304398</x:v>
      </x:c>
      <x:c r="AI180" t="str">
        <x:v>ismail.azman@petronas.com</x:v>
      </x:c>
      <x:c r="AJ180" t="str">
        <x:v>approved</x:v>
      </x:c>
      <x:c r="AK180" t="str">
        <x:v>REQ000008113434</x:v>
      </x:c>
      <x:c r="AL180" t="str">
        <x:v>fe29589c-031c-4b56-80df-4dfedf3c1975</x:v>
      </x:c>
      <x:c r="AM180" s="23" t="str">
        <x:f>IF(E180="processing",IF(Z180="","",IF(ISNUMBER(Z180),INT(Z180),DATE(VALUE(LEFT(Z180,4)),VALUE(MID(Z180,6,2)),VALUE(MID(Z180,9,2))))),IF(OR(E180="executing",E180="pending"),IF(AD180="","",IF(ISNUMBER(AD180),INT(AD180),DATE(VALUE(LEFT(AD180,4)),VALUE(MID(AD180,6,2)),VALUE(MID(AD180,9,2))))),""))</x:f>
      </x:c>
      <x:c r="AN180" s="24" t="str">
        <x:f>IF(AM180="","",INT('Configuration'!$B$4)-AM180)</x:f>
      </x:c>
      <x:c r="AO180" s="25" t="str">
        <x:f>IF(AM180="","Missing Required Date",IF(AN180&lt;0,"Future Date",IF(AN180=0,"0 days",IF(AN180&lt;=2,"1-2 days",IF(AN180&lt;=7,"3-7 days",IF(AN180&lt;=14,"8-14 days",IF(AN180&lt;=30,"15-30 days",IF(AN180&lt;=60,"31-60 days",IF(AN180&lt;=70,"61-70 days","71+ days")))))))))</x:f>
        <x:v>Missing Required Date</x:v>
      </x:c>
      <x:c r="AP180" s="25" t="str">
        <x:f>IF(OR(E180="processing",E180="executing",E180="pending"),IF(AM180="","Required aging date missing",IF(AN180&gt;30,"Escalate &gt;30d",IF(AN180&gt;14,"Watch &gt;14d","Within 14d"))),"Out of scope")</x:f>
        <x:v>Out of scope</x:v>
      </x:c>
    </x:row>
    <x:row r="181" ht="24" customHeight="1">
      <x:c r="A181" t="str">
        <x:v>eef26968-6541-4853-8660-127eeb2fa3e6</x:v>
      </x:c>
      <x:c r="B181" t="str">
        <x:v>CSSP10258689</x:v>
      </x:c>
      <x:c r="C181" t="str">
        <x:v>norfazillah.awahab@petronas.com</x:v>
      </x:c>
      <x:c r="D181" t="str">
        <x:v>provision-cloud-public</x:v>
      </x:c>
      <x:c r="E181" t="str">
        <x:v>completed</x:v>
      </x:c>
      <x:c r="F181" t="n">
        <x:v>46178.302326261575</x:v>
      </x:c>
      <x:c r="G181" t="n">
        <x:v>46178.302326261575</x:v>
      </x:c>
      <x:c r="H181" t="n">
        <x:v>46196.16723219908</x:v>
      </x:c>
      <x:c r="I181" t="str">
        <x:v>A-001347</x:v>
      </x:c>
      <x:c r="J181" t="str">
        <x:v>NeTool for ENIGMA SEARAH</x:v>
      </x:c>
      <x:c r="K181" t="str">
        <x:v>SR26947_NeTool</x:v>
      </x:c>
      <x:c r="L181" t="str">
        <x:v>ENIGMA JV: Implementation of Wells System and Data for MacCo - NeTool</x:v>
      </x:c>
      <x:c r="M181" t="str">
        <x:v>nurshida.czakaria@petronas.com.my</x:v>
      </x:c>
      <x:c r="N181" t="str">
        <x:v>Enigma</x:v>
      </x:c>
      <x:c r="O181" t="str">
        <x:v>New</x:v>
      </x:c>
      <x:c r="P181" t="str">
        <x:v>Production</x:v>
      </x:c>
      <x:c r="Q181" t="str">
        <x:v>To provision the enigma license server for Searah</x:v>
      </x:c>
      <x:c r="R181" t="str">
        <x:v>S</x:v>
      </x:c>
      <x:c r="S181"/>
      <x:c r="T181"/>
      <x:c r="U181" t="str">
        <x:v>Supported and approved. </x:v>
      </x:c>
      <x:c r="V181" t="n">
        <x:v>46178.30785506944</x:v>
      </x:c>
      <x:c r="W181" t="str">
        <x:v>nurshida.czakaria@petronas.com</x:v>
      </x:c>
      <x:c r="X181" t="str">
        <x:v>approved</x:v>
      </x:c>
      <x:c r="Y181" t="str">
        <x:v>Kindly proceed with deploying the Storage Account (Managed Disk) in Malaysia West, aligned with the other services. It is good to go.</x:v>
      </x:c>
      <x:c r="Z181" t="n">
        <x:v>46183.305741689815</x:v>
      </x:c>
      <x:c r="AA181" t="str">
        <x:v>samsuddin.jumbri@petronas.com</x:v>
      </x:c>
      <x:c r="AB181" t="str">
        <x:v>approved</x:v>
      </x:c>
      <x:c r="AC181" t="str">
        <x:v>1x VM</x:v>
      </x:c>
      <x:c r="AD181" t="n">
        <x:v>46195.34891552083</x:v>
      </x:c>
      <x:c r="AE181" t="str">
        <x:v>syazali.saad@petronas.com</x:v>
      </x:c>
      <x:c r="AF181" t="str">
        <x:v>approved</x:v>
      </x:c>
      <x:c r="AG181" t="str">
        <x:v>Complete</x:v>
      </x:c>
      <x:c r="AH181" t="n">
        <x:v>46196.167232210646</x:v>
      </x:c>
      <x:c r="AI181" t="str">
        <x:v>afnanfarhan.dzaharud@petronas.com</x:v>
      </x:c>
      <x:c r="AJ181" t="str">
        <x:v>approved</x:v>
      </x:c>
      <x:c r="AK181" t="str">
        <x:v>REQ000008113441</x:v>
      </x:c>
      <x:c r="AL181" t="str">
        <x:v>1746e1a0-c7b0-49c0-b93c-c7e83491f828</x:v>
      </x:c>
      <x:c r="AM181" s="23" t="str">
        <x:f>IF(E181="processing",IF(Z181="","",IF(ISNUMBER(Z181),INT(Z181),DATE(VALUE(LEFT(Z181,4)),VALUE(MID(Z181,6,2)),VALUE(MID(Z181,9,2))))),IF(OR(E181="executing",E181="pending"),IF(AD181="","",IF(ISNUMBER(AD181),INT(AD181),DATE(VALUE(LEFT(AD181,4)),VALUE(MID(AD181,6,2)),VALUE(MID(AD181,9,2))))),""))</x:f>
      </x:c>
      <x:c r="AN181" s="24" t="str">
        <x:f>IF(AM181="","",INT('Configuration'!$B$4)-AM181)</x:f>
      </x:c>
      <x:c r="AO181" s="25" t="str">
        <x:f>IF(AM181="","Missing Required Date",IF(AN181&lt;0,"Future Date",IF(AN181=0,"0 days",IF(AN181&lt;=2,"1-2 days",IF(AN181&lt;=7,"3-7 days",IF(AN181&lt;=14,"8-14 days",IF(AN181&lt;=30,"15-30 days",IF(AN181&lt;=60,"31-60 days",IF(AN181&lt;=70,"61-70 days","71+ days")))))))))</x:f>
        <x:v>Missing Required Date</x:v>
      </x:c>
      <x:c r="AP181" s="25" t="str">
        <x:f>IF(OR(E181="processing",E181="executing",E181="pending"),IF(AM181="","Required aging date missing",IF(AN181&gt;30,"Escalate &gt;30d",IF(AN181&gt;14,"Watch &gt;14d","Within 14d"))),"Out of scope")</x:f>
        <x:v>Out of scope</x:v>
      </x:c>
    </x:row>
    <x:row r="182" ht="24" customHeight="1">
      <x:c r="A182" t="str">
        <x:v>918c0a31-b911-4707-9a6b-69bfdb2eb0e6</x:v>
      </x:c>
      <x:c r="B182" t="str">
        <x:v>CSSP10240410</x:v>
      </x:c>
      <x:c r="C182" t="str">
        <x:v>josephine.danielbav@petronas.com</x:v>
      </x:c>
      <x:c r="D182" t="str">
        <x:v>provision-cloud-public</x:v>
      </x:c>
      <x:c r="E182" t="str">
        <x:v>completed</x:v>
      </x:c>
      <x:c r="F182" t="n">
        <x:v>46182.32776907407</x:v>
      </x:c>
      <x:c r="G182" t="n">
        <x:v>46184.290564282404</x:v>
      </x:c>
      <x:c r="H182" t="n">
        <x:v>46199.23307775463</x:v>
      </x:c>
      <x:c r="I182" t="str">
        <x:v>A-001373</x:v>
      </x:c>
      <x:c r="J182" t="str">
        <x:v>Right Asset Right Player </x:v>
      </x:c>
      <x:c r="K182" t="str">
        <x:v>SR00563</x:v>
      </x:c>
      <x:c r="L182" t="str">
        <x:v>[2026] Technology Consulting for MPM Right Asset Right Player (RARP) Development</x:v>
      </x:c>
      <x:c r="M182" t="str">
        <x:v>aishah.suhaidi@petronas.com.my</x:v>
      </x:c>
      <x:c r="N182" t="str">
        <x:v>Right Asset Right Player</x:v>
      </x:c>
      <x:c r="O182" t="str">
        <x:v>New</x:v>
      </x:c>
      <x:c r="P182" t="str">
        <x:v>Development</x:v>
      </x:c>
      <x:c r="Q182" t="str">
        <x:v>Need to Provision a new DEV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2" t="str">
        <x:v>L</x:v>
      </x:c>
      <x:c r="S182"/>
      <x:c r="T182"/>
      <x:c r="U182" t="str">
        <x:v>requested for rarp</x:v>
      </x:c>
      <x:c r="V182" t="n">
        <x:v>46184.303156539354</x:v>
      </x:c>
      <x:c r="W182" t="str">
        <x:v>aishah.suhaidi@petronas.com</x:v>
      </x:c>
      <x:c r="X182" t="str">
        <x:v>approved</x:v>
      </x:c>
      <x:c r="Y182" t="str">
        <x:v>Good to go</x:v>
      </x:c>
      <x:c r="Z182" t="n">
        <x:v>46188.134317951386</x:v>
      </x:c>
      <x:c r="AA182" t="str">
        <x:v>samsuddin.jumbri@petronas.com</x:v>
      </x:c>
      <x:c r="AB182" t="str">
        <x:v>approved</x:v>
      </x:c>
      <x:c r="AC182" t="str">
        <x:v>DEV CSSP10240410, 
UAT CSSP10814753, 
PROD CSSP10126389
AKS</x:v>
      </x:c>
      <x:c r="AD182" t="n">
        <x:v>46189.1154852662</x:v>
      </x:c>
      <x:c r="AE182" t="str">
        <x:v>syazali.saad@petronas.com</x:v>
      </x:c>
      <x:c r="AF182" t="str">
        <x:v>approved</x:v>
      </x:c>
      <x:c r="AG182" t="str">
        <x:v>completed</x:v>
      </x:c>
      <x:c r="AH182" t="n">
        <x:v>46199.23307776621</x:v>
      </x:c>
      <x:c r="AI182" t="str">
        <x:v>akhmal.roslan@petronas.com</x:v>
      </x:c>
      <x:c r="AJ182" t="str">
        <x:v>approved</x:v>
      </x:c>
      <x:c r="AK182" t="str">
        <x:v>REQ000008102709</x:v>
      </x:c>
      <x:c r="AL182" t="str">
        <x:v>ece45929-4baa-4791-be4e-f8c3b759e5a7</x:v>
      </x:c>
      <x:c r="AM182" s="23" t="str">
        <x:f>IF(E182="processing",IF(Z182="","",IF(ISNUMBER(Z182),INT(Z182),DATE(VALUE(LEFT(Z182,4)),VALUE(MID(Z182,6,2)),VALUE(MID(Z182,9,2))))),IF(OR(E182="executing",E182="pending"),IF(AD182="","",IF(ISNUMBER(AD182),INT(AD182),DATE(VALUE(LEFT(AD182,4)),VALUE(MID(AD182,6,2)),VALUE(MID(AD182,9,2))))),""))</x:f>
      </x:c>
      <x:c r="AN182" s="24" t="str">
        <x:f>IF(AM182="","",INT('Configuration'!$B$4)-AM182)</x:f>
      </x:c>
      <x:c r="AO182" s="25" t="str">
        <x:f>IF(AM182="","Missing Required Date",IF(AN182&lt;0,"Future Date",IF(AN182=0,"0 days",IF(AN182&lt;=2,"1-2 days",IF(AN182&lt;=7,"3-7 days",IF(AN182&lt;=14,"8-14 days",IF(AN182&lt;=30,"15-30 days",IF(AN182&lt;=60,"31-60 days",IF(AN182&lt;=70,"61-70 days","71+ days")))))))))</x:f>
        <x:v>Missing Required Date</x:v>
      </x:c>
      <x:c r="AP182" s="25" t="str">
        <x:f>IF(OR(E182="processing",E182="executing",E182="pending"),IF(AM182="","Required aging date missing",IF(AN182&gt;30,"Escalate &gt;30d",IF(AN182&gt;14,"Watch &gt;14d","Within 14d"))),"Out of scope")</x:f>
        <x:v>Out of scope</x:v>
      </x:c>
    </x:row>
    <x:row r="183" ht="24" customHeight="1">
      <x:c r="A183" t="str">
        <x:v>2f0d6952-fc56-49af-94e6-67c685a03b9b</x:v>
      </x:c>
      <x:c r="B183" t="str">
        <x:v>CSSP10814753</x:v>
      </x:c>
      <x:c r="C183" t="str">
        <x:v>josephine.danielbav@petronas.com</x:v>
      </x:c>
      <x:c r="D183" t="str">
        <x:v>provision-cloud-public</x:v>
      </x:c>
      <x:c r="E183" t="str">
        <x:v>completed</x:v>
      </x:c>
      <x:c r="F183" t="n">
        <x:v>46182.33003168982</x:v>
      </x:c>
      <x:c r="G183" t="n">
        <x:v>46184.289465092595</x:v>
      </x:c>
      <x:c r="H183" t="n">
        <x:v>46199.23329621528</x:v>
      </x:c>
      <x:c r="I183" t="str">
        <x:v>A-001373</x:v>
      </x:c>
      <x:c r="J183" t="str">
        <x:v>Right Asset Right Player </x:v>
      </x:c>
      <x:c r="K183" t="str">
        <x:v>SR00563</x:v>
      </x:c>
      <x:c r="L183" t="str">
        <x:v>[2026] Technology Consulting for MPM Right Asset Right Player (RARP) Development</x:v>
      </x:c>
      <x:c r="M183" t="str">
        <x:v>aishah.suhaidi@petronas.com.my</x:v>
      </x:c>
      <x:c r="N183" t="str">
        <x:v>Right Asset Right Player</x:v>
      </x:c>
      <x:c r="O183" t="str">
        <x:v>New</x:v>
      </x:c>
      <x:c r="P183" t="str">
        <x:v>StagingUat</x:v>
      </x:c>
      <x:c r="Q183" t="str">
        <x:v>Need to Provision a new Staging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3" t="str">
        <x:v>L</x:v>
      </x:c>
      <x:c r="S183"/>
      <x:c r="T183"/>
      <x:c r="U183" t="str">
        <x:v>required for rarp</x:v>
      </x:c>
      <x:c r="V183" t="n">
        <x:v>46184.29277922454</x:v>
      </x:c>
      <x:c r="W183" t="str">
        <x:v>aishah.suhaidi@petronas.com</x:v>
      </x:c>
      <x:c r="X183" t="str">
        <x:v>approved</x:v>
      </x:c>
      <x:c r="Y183" t="str">
        <x:v>Good to go</x:v>
      </x:c>
      <x:c r="Z183" t="n">
        <x:v>46188.13380236111</x:v>
      </x:c>
      <x:c r="AA183" t="str">
        <x:v>samsuddin.jumbri@petronas.com</x:v>
      </x:c>
      <x:c r="AB183" t="str">
        <x:v>approved</x:v>
      </x:c>
      <x:c r="AC183" t="str">
        <x:v>DEV CSSP10240410, 
UAT CSSP10814753, 
PROD CSSP10126389
AKS</x:v>
      </x:c>
      <x:c r="AD183" t="n">
        <x:v>46189.11557945602</x:v>
      </x:c>
      <x:c r="AE183" t="str">
        <x:v>syazali.saad@petronas.com</x:v>
      </x:c>
      <x:c r="AF183" t="str">
        <x:v>approved</x:v>
      </x:c>
      <x:c r="AG183" t="str">
        <x:v>completed</x:v>
      </x:c>
      <x:c r="AH183" t="n">
        <x:v>46199.23329622685</x:v>
      </x:c>
      <x:c r="AI183" t="str">
        <x:v>akhmal.roslan@petronas.com</x:v>
      </x:c>
      <x:c r="AJ183" t="str">
        <x:v>approved</x:v>
      </x:c>
      <x:c r="AK183" t="str">
        <x:v>REQ000008102710</x:v>
      </x:c>
      <x:c r="AL183" t="str">
        <x:v>ece45929-4baa-4791-be4e-f8c3b759e5a7</x:v>
      </x:c>
      <x:c r="AM183" s="23" t="str">
        <x:f>IF(E183="processing",IF(Z183="","",IF(ISNUMBER(Z183),INT(Z183),DATE(VALUE(LEFT(Z183,4)),VALUE(MID(Z183,6,2)),VALUE(MID(Z183,9,2))))),IF(OR(E183="executing",E183="pending"),IF(AD183="","",IF(ISNUMBER(AD183),INT(AD183),DATE(VALUE(LEFT(AD183,4)),VALUE(MID(AD183,6,2)),VALUE(MID(AD183,9,2))))),""))</x:f>
      </x:c>
      <x:c r="AN183" s="24" t="str">
        <x:f>IF(AM183="","",INT('Configuration'!$B$4)-AM183)</x:f>
      </x:c>
      <x:c r="AO183" s="25" t="str">
        <x:f>IF(AM183="","Missing Required Date",IF(AN183&lt;0,"Future Date",IF(AN183=0,"0 days",IF(AN183&lt;=2,"1-2 days",IF(AN183&lt;=7,"3-7 days",IF(AN183&lt;=14,"8-14 days",IF(AN183&lt;=30,"15-30 days",IF(AN183&lt;=60,"31-60 days",IF(AN183&lt;=70,"61-70 days","71+ days")))))))))</x:f>
        <x:v>Missing Required Date</x:v>
      </x:c>
      <x:c r="AP183" s="25" t="str">
        <x:f>IF(OR(E183="processing",E183="executing",E183="pending"),IF(AM183="","Required aging date missing",IF(AN183&gt;30,"Escalate &gt;30d",IF(AN183&gt;14,"Watch &gt;14d","Within 14d"))),"Out of scope")</x:f>
        <x:v>Out of scope</x:v>
      </x:c>
    </x:row>
    <x:row r="184" ht="24" customHeight="1">
      <x:c r="A184" t="str">
        <x:v>7baf90ba-ad7f-4550-9f4c-68fce509825a</x:v>
      </x:c>
      <x:c r="B184" t="str">
        <x:v>CSSP10126389</x:v>
      </x:c>
      <x:c r="C184" t="str">
        <x:v>josephine.danielbav@petronas.com</x:v>
      </x:c>
      <x:c r="D184" t="str">
        <x:v>provision-cloud-public</x:v>
      </x:c>
      <x:c r="E184" t="str">
        <x:v>completed</x:v>
      </x:c>
      <x:c r="F184" t="n">
        <x:v>46182.33086958333</x:v>
      </x:c>
      <x:c r="G184" t="n">
        <x:v>46184.28830862269</x:v>
      </x:c>
      <x:c r="H184" t="n">
        <x:v>46199.23362236111</x:v>
      </x:c>
      <x:c r="I184" t="str">
        <x:v>A-001373</x:v>
      </x:c>
      <x:c r="J184" t="str">
        <x:v>Right Asset Right Player </x:v>
      </x:c>
      <x:c r="K184" t="str">
        <x:v>SR00563</x:v>
      </x:c>
      <x:c r="L184" t="str">
        <x:v>[2026] Technology Consulting for MPM Right Asset Right Player (RARP) Development</x:v>
      </x:c>
      <x:c r="M184" t="str">
        <x:v>aishah.suhaidi@petronas.com.my</x:v>
      </x:c>
      <x:c r="N184" t="str">
        <x:v>Right Asset Right Player</x:v>
      </x:c>
      <x:c r="O184" t="str">
        <x:v>New</x:v>
      </x:c>
      <x:c r="P184" t="str">
        <x:v>Production</x:v>
      </x:c>
      <x:c r="Q184" t="str">
        <x:v>Need to Provision a new Production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4" t="str">
        <x:v>L</x:v>
      </x:c>
      <x:c r="S184"/>
      <x:c r="T184"/>
      <x:c r="U184" t="str">
        <x:v>required for rarp</x:v>
      </x:c>
      <x:c r="V184" t="n">
        <x:v>46184.292292164355</x:v>
      </x:c>
      <x:c r="W184" t="str">
        <x:v>aishah.suhaidi@petronas.com</x:v>
      </x:c>
      <x:c r="X184" t="str">
        <x:v>approved</x:v>
      </x:c>
      <x:c r="Y184" t="str">
        <x:v>required for rarp</x:v>
      </x:c>
      <x:c r="Z184" t="n">
        <x:v>46184.2935841088</x:v>
      </x:c>
      <x:c r="AA184" t="str">
        <x:v>aishah.suhaidi@petronas.com</x:v>
      </x:c>
      <x:c r="AB184" t="str">
        <x:v>approved</x:v>
      </x:c>
      <x:c r="AC184" t="str">
        <x:v>DEV CSSP10240410, 
UAT CSSP10814753, 
PROD CSSP10126389
AKS</x:v>
      </x:c>
      <x:c r="AD184" t="n">
        <x:v>46189.115711875</x:v>
      </x:c>
      <x:c r="AE184" t="str">
        <x:v>syazali.saad@petronas.com</x:v>
      </x:c>
      <x:c r="AF184" t="str">
        <x:v>approved</x:v>
      </x:c>
      <x:c r="AG184" t="str">
        <x:v>completed</x:v>
      </x:c>
      <x:c r="AH184" t="n">
        <x:v>46199.23362237268</x:v>
      </x:c>
      <x:c r="AI184" t="str">
        <x:v>akhmal.roslan@petronas.com</x:v>
      </x:c>
      <x:c r="AJ184" t="str">
        <x:v>approved</x:v>
      </x:c>
      <x:c r="AK184" t="str">
        <x:v>REQ000008102711</x:v>
      </x:c>
      <x:c r="AL184" t="str">
        <x:v>ece45929-4baa-4791-be4e-f8c3b759e5a7</x:v>
      </x:c>
      <x:c r="AM184" s="23" t="str">
        <x:f>IF(E184="processing",IF(Z184="","",IF(ISNUMBER(Z184),INT(Z184),DATE(VALUE(LEFT(Z184,4)),VALUE(MID(Z184,6,2)),VALUE(MID(Z184,9,2))))),IF(OR(E184="executing",E184="pending"),IF(AD184="","",IF(ISNUMBER(AD184),INT(AD184),DATE(VALUE(LEFT(AD184,4)),VALUE(MID(AD184,6,2)),VALUE(MID(AD184,9,2))))),""))</x:f>
      </x:c>
      <x:c r="AN184" s="24" t="str">
        <x:f>IF(AM184="","",INT('Configuration'!$B$4)-AM184)</x:f>
      </x:c>
      <x:c r="AO184" s="25" t="str">
        <x:f>IF(AM184="","Missing Required Date",IF(AN184&lt;0,"Future Date",IF(AN184=0,"0 days",IF(AN184&lt;=2,"1-2 days",IF(AN184&lt;=7,"3-7 days",IF(AN184&lt;=14,"8-14 days",IF(AN184&lt;=30,"15-30 days",IF(AN184&lt;=60,"31-60 days",IF(AN184&lt;=70,"61-70 days","71+ days")))))))))</x:f>
        <x:v>Missing Required Date</x:v>
      </x:c>
      <x:c r="AP184" s="25" t="str">
        <x:f>IF(OR(E184="processing",E184="executing",E184="pending"),IF(AM184="","Required aging date missing",IF(AN184&gt;30,"Escalate &gt;30d",IF(AN184&gt;14,"Watch &gt;14d","Within 14d"))),"Out of scope")</x:f>
        <x:v>Out of scope</x:v>
      </x:c>
    </x:row>
    <x:row r="185" ht="24" customHeight="1">
      <x:c r="A185" t="str">
        <x:v>b84b5a36-28cb-4f6d-8738-368f5f1baafd</x:v>
      </x:c>
      <x:c r="B185" t="str">
        <x:v>CSSP10689195</x:v>
      </x:c>
      <x:c r="C185" t="str">
        <x:v>mahmad.abdsamad@petronas.com</x:v>
      </x:c>
      <x:c r="D185" t="str">
        <x:v>provision-cloud-public</x:v>
      </x:c>
      <x:c r="E185" t="str">
        <x:v>completed</x:v>
      </x:c>
      <x:c r="F185" t="n">
        <x:v>46183.3854475</x:v>
      </x:c>
      <x:c r="G185" t="n">
        <x:v>46184.28976458334</x:v>
      </x:c>
      <x:c r="H185" t="n">
        <x:v>46196.34088435185</x:v>
      </x:c>
      <x:c r="I185" t="str">
        <x:v>A-001357</x:v>
      </x:c>
      <x:c r="J185" t="str">
        <x:v>Integrated Asset Modelling - IAM for ENIGMA SEARAH</x:v>
      </x:c>
      <x:c r="K185" t="str">
        <x:v>SR26937_IAM</x:v>
      </x:c>
      <x:c r="L185" t="str">
        <x:v>ENIGMA JV (Production): Implementing New Subscriptions for MacCo_IAM</x:v>
      </x:c>
      <x:c r="M185" t="str">
        <x:v>mhafiz.samsudin@petronas.com</x:v>
      </x:c>
      <x:c r="N185" t="str">
        <x:v>Enigma</x:v>
      </x:c>
      <x:c r="O185" t="str">
        <x:v>New</x:v>
      </x:c>
      <x:c r="P185" t="str">
        <x:v>Production</x:v>
      </x:c>
      <x:c r="Q185" t="str">
        <x:v>provisioning of IAM-DOFcloud Server for ENIGMA Searah</x:v>
      </x:c>
      <x:c r="R185" t="str">
        <x:v>M</x:v>
      </x:c>
      <x:c r="S185"/>
      <x:c r="T185"/>
      <x:c r="U185" t="str">
        <x:v>Approved as it is critical for Searah application onboarding. Kindly expedite to meet 1st July Go-Live timeline.</x:v>
      </x:c>
      <x:c r="V185" t="n">
        <x:v>46184.30217472222</x:v>
      </x:c>
      <x:c r="W185" t="str">
        <x:v>mhafiz.samsudin@petronas.com</x:v>
      </x:c>
      <x:c r="X185" t="str">
        <x:v>approved</x:v>
      </x:c>
      <x:c r="Y185" t="str">
        <x:v>Good to go</x:v>
      </x:c>
      <x:c r="Z185" t="n">
        <x:v>46188.137115972226</x:v>
      </x:c>
      <x:c r="AA185" t="str">
        <x:v>samsuddin.jumbri@petronas.com</x:v>
      </x:c>
      <x:c r="AB185" t="str">
        <x:v>approved</x:v>
      </x:c>
      <x:c r="AC185" t="str">
        <x:v>6x VM</x:v>
      </x:c>
      <x:c r="AD185" t="n">
        <x:v>46195.34751175926</x:v>
      </x:c>
      <x:c r="AE185" t="str">
        <x:v>syazali.saad@petronas.com</x:v>
      </x:c>
      <x:c r="AF185" t="str">
        <x:v>approved</x:v>
      </x:c>
      <x:c r="AG185" t="str">
        <x:v>Completed</x:v>
      </x:c>
      <x:c r="AH185" t="n">
        <x:v>46196.340884363424</x:v>
      </x:c>
      <x:c r="AI185" t="str">
        <x:v>mfirdaus.fadlizam@petronas.com</x:v>
      </x:c>
      <x:c r="AJ185" t="str">
        <x:v>approved</x:v>
      </x:c>
      <x:c r="AK185" t="str">
        <x:v>REQ000008113436</x:v>
      </x:c>
      <x:c r="AL185" t="str">
        <x:v>48d9dba8-fbe9-47fc-b41e-8f4bcd178425</x:v>
      </x:c>
      <x:c r="AM185" s="23" t="str">
        <x:f>IF(E185="processing",IF(Z185="","",IF(ISNUMBER(Z185),INT(Z185),DATE(VALUE(LEFT(Z185,4)),VALUE(MID(Z185,6,2)),VALUE(MID(Z185,9,2))))),IF(OR(E185="executing",E185="pending"),IF(AD185="","",IF(ISNUMBER(AD185),INT(AD185),DATE(VALUE(LEFT(AD185,4)),VALUE(MID(AD185,6,2)),VALUE(MID(AD185,9,2))))),""))</x:f>
      </x:c>
      <x:c r="AN185" s="24" t="str">
        <x:f>IF(AM185="","",INT('Configuration'!$B$4)-AM185)</x:f>
      </x:c>
      <x:c r="AO185" s="25" t="str">
        <x:f>IF(AM185="","Missing Required Date",IF(AN185&lt;0,"Future Date",IF(AN185=0,"0 days",IF(AN185&lt;=2,"1-2 days",IF(AN185&lt;=7,"3-7 days",IF(AN185&lt;=14,"8-14 days",IF(AN185&lt;=30,"15-30 days",IF(AN185&lt;=60,"31-60 days",IF(AN185&lt;=70,"61-70 days","71+ days")))))))))</x:f>
        <x:v>Missing Required Date</x:v>
      </x:c>
      <x:c r="AP185" s="25" t="str">
        <x:f>IF(OR(E185="processing",E185="executing",E185="pending"),IF(AM185="","Required aging date missing",IF(AN185&gt;30,"Escalate &gt;30d",IF(AN185&gt;14,"Watch &gt;14d","Within 14d"))),"Out of scope")</x:f>
        <x:v>Out of scope</x:v>
      </x:c>
    </x:row>
    <x:row r="186" ht="24" customHeight="1">
      <x:c r="A186" t="str">
        <x:v>e2a4626b-dce7-4551-8909-c37544ce5e13</x:v>
      </x:c>
      <x:c r="B186" t="str">
        <x:v>CSSP10679364</x:v>
      </x:c>
      <x:c r="C186" t="str">
        <x:v>liyana.arif@petronas.com</x:v>
      </x:c>
      <x:c r="D186" t="str">
        <x:v>provision-cloud-public</x:v>
      </x:c>
      <x:c r="E186" t="str">
        <x:v>completed</x:v>
      </x:c>
      <x:c r="F186" t="n">
        <x:v>46184.093361770836</x:v>
      </x:c>
      <x:c r="G186" t="n">
        <x:v>46184.172722256946</x:v>
      </x:c>
      <x:c r="H186" t="n">
        <x:v>46196.167159143515</x:v>
      </x:c>
      <x:c r="I186" t="str">
        <x:v>A-001351</x:v>
      </x:c>
      <x:c r="J186" t="str">
        <x:v>Lab Information Management System - LIMS for ENIGMA SEARAH</x:v>
      </x:c>
      <x:c r="K186" t="str">
        <x:v>SR26937_LIMS</x:v>
      </x:c>
      <x:c r="L186" t="str">
        <x:v>ENIGMA JV (Production): Implementing New Subscriptions for MacCo_LIMS</x:v>
      </x:c>
      <x:c r="M186" t="str">
        <x:v>mhafiz.samsudin@petronas.com</x:v>
      </x:c>
      <x:c r="N186" t="str">
        <x:v>Enigma</x:v>
      </x:c>
      <x:c r="O186" t="str">
        <x:v>New</x:v>
      </x:c>
      <x:c r="P186" t="str">
        <x:v>Production</x:v>
      </x:c>
      <x:c r="Q186" t="str">
        <x:v>To provision production and development server for SEARAH LIMS</x:v>
      </x:c>
      <x:c r="R186" t="str">
        <x:v>M</x:v>
      </x:c>
      <x:c r="S186"/>
      <x:c r="T186"/>
      <x:c r="U186" t="str">
        <x:v>Approved as request is critical for Searah onboarding. Kindly expedite to meet 1st July Go-Live.</x:v>
      </x:c>
      <x:c r="V186" t="n">
        <x:v>46184.17847092592</x:v>
      </x:c>
      <x:c r="W186" t="str">
        <x:v>mhafiz.samsudin@petronas.com</x:v>
      </x:c>
      <x:c r="X186" t="str">
        <x:v>approved</x:v>
      </x:c>
      <x:c r="Y186" t="str">
        <x:v>Good to go but Azure Key Vault, Defender, Azure Monitor and VNet Peering must be included in the estimation cost.</x:v>
      </x:c>
      <x:c r="Z186" t="n">
        <x:v>46191.28840175926</x:v>
      </x:c>
      <x:c r="AA186" t="str">
        <x:v>samsuddin.jumbri@petronas.com</x:v>
      </x:c>
      <x:c r="AB186" t="str">
        <x:v>approved</x:v>
      </x:c>
      <x:c r="AC186" t="str">
        <x:v>VM + SQL</x:v>
      </x:c>
      <x:c r="AD186" t="n">
        <x:v>46195.348289953705</x:v>
      </x:c>
      <x:c r="AE186" t="str">
        <x:v>syazali.saad@petronas.com</x:v>
      </x:c>
      <x:c r="AF186" t="str">
        <x:v>approved</x:v>
      </x:c>
      <x:c r="AG186" t="str">
        <x:v>Complete</x:v>
      </x:c>
      <x:c r="AH186" t="n">
        <x:v>46196.16669304398</x:v>
      </x:c>
      <x:c r="AI186" t="str">
        <x:v>afnanfarhan.dzaharud@petronas.com</x:v>
      </x:c>
      <x:c r="AJ186" t="str">
        <x:v>approved</x:v>
      </x:c>
      <x:c r="AK186" t="str">
        <x:v>REQ000008113440</x:v>
      </x:c>
      <x:c r="AL186" t="str">
        <x:v>da7770e1-8755-414e-aae7-12d17670bbc9</x:v>
      </x:c>
      <x:c r="AM186" s="23" t="str">
        <x:f>IF(E186="processing",IF(Z186="","",IF(ISNUMBER(Z186),INT(Z186),DATE(VALUE(LEFT(Z186,4)),VALUE(MID(Z186,6,2)),VALUE(MID(Z186,9,2))))),IF(OR(E186="executing",E186="pending"),IF(AD186="","",IF(ISNUMBER(AD186),INT(AD186),DATE(VALUE(LEFT(AD186,4)),VALUE(MID(AD186,6,2)),VALUE(MID(AD186,9,2))))),""))</x:f>
      </x:c>
      <x:c r="AN186" s="24" t="str">
        <x:f>IF(AM186="","",INT('Configuration'!$B$4)-AM186)</x:f>
      </x:c>
      <x:c r="AO186" s="25" t="str">
        <x:f>IF(AM186="","Missing Required Date",IF(AN186&lt;0,"Future Date",IF(AN186=0,"0 days",IF(AN186&lt;=2,"1-2 days",IF(AN186&lt;=7,"3-7 days",IF(AN186&lt;=14,"8-14 days",IF(AN186&lt;=30,"15-30 days",IF(AN186&lt;=60,"31-60 days",IF(AN186&lt;=70,"61-70 days","71+ days")))))))))</x:f>
        <x:v>Missing Required Date</x:v>
      </x:c>
      <x:c r="AP186" s="25" t="str">
        <x:f>IF(OR(E186="processing",E186="executing",E186="pending"),IF(AM186="","Required aging date missing",IF(AN186&gt;30,"Escalate &gt;30d",IF(AN186&gt;14,"Watch &gt;14d","Within 14d"))),"Out of scope")</x:f>
        <x:v>Out of scope</x:v>
      </x:c>
    </x:row>
    <x:row r="187" ht="24" customHeight="1">
      <x:c r="A187" t="str">
        <x:v>80075c55-97f9-4614-8c93-05457e89f4dd</x:v>
      </x:c>
      <x:c r="B187" t="str">
        <x:v>CSSP10856107</x:v>
      </x:c>
      <x:c r="C187" t="str">
        <x:v>mariffirdaus.mkhaidz@petronas.com</x:v>
      </x:c>
      <x:c r="D187" t="str">
        <x:v>provision-cloud-public</x:v>
      </x:c>
      <x:c r="E187" t="str">
        <x:v>completed</x:v>
      </x:c>
      <x:c r="F187" t="n">
        <x:v>46191.31653087963</x:v>
      </x:c>
      <x:c r="G187" t="n">
        <x:v>46191.31653087963</x:v>
      </x:c>
      <x:c r="H187" t="n">
        <x:v>46204.112240856484</x:v>
      </x:c>
      <x:c r="I187" t="str">
        <x:v>A-001346</x:v>
      </x:c>
      <x:c r="J187" t="str">
        <x:v>GPE Digital Platform</x:v>
      </x:c>
      <x:c r="K187" t="str">
        <x:v>SR00331</x:v>
      </x:c>
      <x:c r="L187" t="str">
        <x:v>Quality Suite</x:v>
      </x:c>
      <x:c r="M187" t="str">
        <x:v>msufian.hussein@petronas.com</x:v>
      </x:c>
      <x:c r="N187" t="str">
        <x:v>Quality Suite</x:v>
      </x:c>
      <x:c r="O187" t="str">
        <x:v>Modify</x:v>
      </x:c>
      <x:c r="P187" t="str">
        <x:v>Development</x:v>
      </x:c>
      <x:c r="Q187" t="str">
        <x:v>Please assist us to provision additional RDS in AWS for our application in DEV environment.</x:v>
      </x:c>
      <x:c r="R187" t="str">
        <x:v>M</x:v>
      </x:c>
      <x:c r="S187"/>
      <x:c r="T187"/>
      <x:c r="U187" t="str">
        <x:v>Approved</x:v>
      </x:c>
      <x:c r="V187" t="n">
        <x:v>46191.32281537037</x:v>
      </x:c>
      <x:c r="W187" t="str">
        <x:v>msufian.hussein@petronas.com</x:v>
      </x:c>
      <x:c r="X187" t="str">
        <x:v>approved</x:v>
      </x:c>
      <x:c r="Y187" t="str">
        <x:v>Good to go</x:v>
      </x:c>
      <x:c r="Z187" t="n">
        <x:v>46192.14175277778</x:v>
      </x:c>
      <x:c r="AA187" t="str">
        <x:v>samsuddin.jumbri@petronas.com</x:v>
      </x:c>
      <x:c r="AB187" t="str">
        <x:v>approved</x:v>
      </x:c>
      <x:c r="AC187" t="str">
        <x:v>CSSP10846792 - STG CSSP10856107 - DEV
</x:v>
      </x:c>
      <x:c r="AD187" t="n">
        <x:v>46195.36287935185</x:v>
      </x:c>
      <x:c r="AE187" t="str">
        <x:v>syazali.saad@petronas.com</x:v>
      </x:c>
      <x:c r="AF187" t="str">
        <x:v>approved</x:v>
      </x:c>
      <x:c r="AG187" t="str">
        <x:v>done.</x:v>
      </x:c>
      <x:c r="AH187" t="n">
        <x:v>46204.11224086805</x:v>
      </x:c>
      <x:c r="AI187" t="str">
        <x:v>azhan.shazeli@petronas.com</x:v>
      </x:c>
      <x:c r="AJ187" t="str">
        <x:v>approved</x:v>
      </x:c>
      <x:c r="AK187" t="str">
        <x:v>REQ000008113450</x:v>
      </x:c>
      <x:c r="AL187" t="str">
        <x:v>868b1bbc-b9be-43ba-8175-d6ca35843984</x:v>
      </x:c>
      <x:c r="AM187" s="23" t="str">
        <x:f>IF(E187="processing",IF(Z187="","",IF(ISNUMBER(Z187),INT(Z187),DATE(VALUE(LEFT(Z187,4)),VALUE(MID(Z187,6,2)),VALUE(MID(Z187,9,2))))),IF(OR(E187="executing",E187="pending"),IF(AD187="","",IF(ISNUMBER(AD187),INT(AD187),DATE(VALUE(LEFT(AD187,4)),VALUE(MID(AD187,6,2)),VALUE(MID(AD187,9,2))))),""))</x:f>
      </x:c>
      <x:c r="AN187" s="24" t="str">
        <x:f>IF(AM187="","",INT('Configuration'!$B$4)-AM187)</x:f>
      </x:c>
      <x:c r="AO187" s="25" t="str">
        <x:f>IF(AM187="","Missing Required Date",IF(AN187&lt;0,"Future Date",IF(AN187=0,"0 days",IF(AN187&lt;=2,"1-2 days",IF(AN187&lt;=7,"3-7 days",IF(AN187&lt;=14,"8-14 days",IF(AN187&lt;=30,"15-30 days",IF(AN187&lt;=60,"31-60 days",IF(AN187&lt;=70,"61-70 days","71+ days")))))))))</x:f>
        <x:v>Missing Required Date</x:v>
      </x:c>
      <x:c r="AP187" s="25" t="str">
        <x:f>IF(OR(E187="processing",E187="executing",E187="pending"),IF(AM187="","Required aging date missing",IF(AN187&gt;30,"Escalate &gt;30d",IF(AN187&gt;14,"Watch &gt;14d","Within 14d"))),"Out of scope")</x:f>
        <x:v>Out of scope</x:v>
      </x:c>
    </x:row>
    <x:row r="188" ht="24" customHeight="1">
      <x:c r="A188" t="str">
        <x:v>1169cf3b-7429-4187-9769-407331a521c9</x:v>
      </x:c>
      <x:c r="B188" t="str">
        <x:v>CSSP10846792</x:v>
      </x:c>
      <x:c r="C188" t="str">
        <x:v>mariffirdaus.mkhaidz@petronas.com</x:v>
      </x:c>
      <x:c r="D188" t="str">
        <x:v>provision-cloud-public</x:v>
      </x:c>
      <x:c r="E188" t="str">
        <x:v>completed</x:v>
      </x:c>
      <x:c r="F188" t="n">
        <x:v>46191.32075788194</x:v>
      </x:c>
      <x:c r="G188" t="n">
        <x:v>46191.32075788194</x:v>
      </x:c>
      <x:c r="H188" t="n">
        <x:v>46204.112013784725</x:v>
      </x:c>
      <x:c r="I188" t="str">
        <x:v>A-001346</x:v>
      </x:c>
      <x:c r="J188" t="str">
        <x:v>GPE Digital Platform</x:v>
      </x:c>
      <x:c r="K188" t="str">
        <x:v>SR00331</x:v>
      </x:c>
      <x:c r="L188" t="str">
        <x:v>Quality Suite</x:v>
      </x:c>
      <x:c r="M188" t="str">
        <x:v>msufian.hussein@petronas.com</x:v>
      </x:c>
      <x:c r="N188" t="str">
        <x:v>Quality Suite</x:v>
      </x:c>
      <x:c r="O188" t="str">
        <x:v>Modify</x:v>
      </x:c>
      <x:c r="P188" t="str">
        <x:v>StagingUat</x:v>
      </x:c>
      <x:c r="Q188" t="str">
        <x:v>Please assist us to provision additional RDS in AWS for our application in STG environment.</x:v>
      </x:c>
      <x:c r="R188" t="str">
        <x:v>M</x:v>
      </x:c>
      <x:c r="S188"/>
      <x:c r="T188"/>
      <x:c r="U188" t="str">
        <x:v>Approved</x:v>
      </x:c>
      <x:c r="V188" t="n">
        <x:v>46191.32333637732</x:v>
      </x:c>
      <x:c r="W188" t="str">
        <x:v>msufian.hussein@petronas.com</x:v>
      </x:c>
      <x:c r="X188" t="str">
        <x:v>approved</x:v>
      </x:c>
      <x:c r="Y188" t="str">
        <x:v>Good to go</x:v>
      </x:c>
      <x:c r="Z188" t="n">
        <x:v>46192.142148125</x:v>
      </x:c>
      <x:c r="AA188" t="str">
        <x:v>samsuddin.jumbri@petronas.com</x:v>
      </x:c>
      <x:c r="AB188" t="str">
        <x:v>approved</x:v>
      </x:c>
      <x:c r="AC188" t="str">
        <x:v>CSSP10846792 - STG
CSSP10856107 - DEV</x:v>
      </x:c>
      <x:c r="AD188" t="n">
        <x:v>46195.36250378472</x:v>
      </x:c>
      <x:c r="AE188" t="str">
        <x:v>syazali.saad@petronas.com</x:v>
      </x:c>
      <x:c r="AF188" t="str">
        <x:v>approved</x:v>
      </x:c>
      <x:c r="AG188" t="str">
        <x:v>created</x:v>
      </x:c>
      <x:c r="AH188" t="n">
        <x:v>46204.11201379629</x:v>
      </x:c>
      <x:c r="AI188" t="str">
        <x:v>azhan.shazeli@petronas.com</x:v>
      </x:c>
      <x:c r="AJ188" t="str">
        <x:v>approved</x:v>
      </x:c>
      <x:c r="AK188" t="str">
        <x:v>REQ000008112904</x:v>
      </x:c>
      <x:c r="AL188" t="str">
        <x:v>868b1bbc-b9be-43ba-8175-d6ca35843984</x:v>
      </x:c>
      <x:c r="AM188" s="23" t="str">
        <x:f>IF(E188="processing",IF(Z188="","",IF(ISNUMBER(Z188),INT(Z188),DATE(VALUE(LEFT(Z188,4)),VALUE(MID(Z188,6,2)),VALUE(MID(Z188,9,2))))),IF(OR(E188="executing",E188="pending"),IF(AD188="","",IF(ISNUMBER(AD188),INT(AD188),DATE(VALUE(LEFT(AD188,4)),VALUE(MID(AD188,6,2)),VALUE(MID(AD188,9,2))))),""))</x:f>
      </x:c>
      <x:c r="AN188" s="24" t="str">
        <x:f>IF(AM188="","",INT('Configuration'!$B$4)-AM188)</x:f>
      </x:c>
      <x:c r="AO188" s="25" t="str">
        <x:f>IF(AM188="","Missing Required Date",IF(AN188&lt;0,"Future Date",IF(AN188=0,"0 days",IF(AN188&lt;=2,"1-2 days",IF(AN188&lt;=7,"3-7 days",IF(AN188&lt;=14,"8-14 days",IF(AN188&lt;=30,"15-30 days",IF(AN188&lt;=60,"31-60 days",IF(AN188&lt;=70,"61-70 days","71+ days")))))))))</x:f>
        <x:v>Missing Required Date</x:v>
      </x:c>
      <x:c r="AP188" s="25" t="str">
        <x:f>IF(OR(E188="processing",E188="executing",E188="pending"),IF(AM188="","Required aging date missing",IF(AN188&gt;30,"Escalate &gt;30d",IF(AN188&gt;14,"Watch &gt;14d","Within 14d"))),"Out of scope")</x:f>
        <x:v>Out of scope</x:v>
      </x:c>
    </x:row>
    <x:row r="189" ht="24" customHeight="1">
      <x:c r="A189" t="str">
        <x:v>b2b76083-a0d5-49ca-b371-e2308e7baff5</x:v>
      </x:c>
      <x:c r="B189" t="str">
        <x:v>CSSP10346689</x:v>
      </x:c>
      <x:c r="C189" t="str">
        <x:v>ang.hooichen@petronas.com</x:v>
      </x:c>
      <x:c r="D189" t="str">
        <x:v>provision-cloud-public</x:v>
      </x:c>
      <x:c r="E189" t="str">
        <x:v>completed</x:v>
      </x:c>
      <x:c r="F189" t="n">
        <x:v>46191.41466510417</x:v>
      </x:c>
      <x:c r="G189" t="n">
        <x:v>46191.41466510417</x:v>
      </x:c>
      <x:c r="H189" t="n">
        <x:v>46218.1341944213</x:v>
      </x:c>
      <x:c r="I189" t="str">
        <x:v>A-000064</x:v>
      </x:c>
      <x:c r="J189" t="str">
        <x:v>Zidane OVC</x:v>
      </x:c>
      <x:c r="K189" t="n">
        <x:v>4569</x:v>
      </x:c>
      <x:c r="L189" t="str">
        <x:v>Provision of Professional Service, Software License and Infra for ArBiTra (OVC &amp; LVC) 2025 for PTLCL</x:v>
      </x:c>
      <x:c r="M189" t="str">
        <x:v>yap.winhong@petronas.com.my</x:v>
      </x:c>
      <x:c r="N189" t="str">
        <x:v>ArBiTra Phase 3 - IT Sub Modules</x:v>
      </x:c>
      <x:c r="O189" t="str">
        <x:v>New</x:v>
      </x:c>
      <x:c r="P189" t="str">
        <x:v>Production</x:v>
      </x:c>
      <x:c r="Q189" t="str">
        <x:v>Provision new workspace for Prod. BOM please refer to datathon_infratemplate.xlsx. BOM-SANDBOX sheet and Network Design-SANDBOX</x:v>
      </x:c>
      <x:c r="R189" t="str">
        <x:v>L</x:v>
      </x:c>
      <x:c r="S189"/>
      <x:c r="T189"/>
      <x:c r="U189" t="str">
        <x:v>Approve</x:v>
      </x:c>
      <x:c r="V189" t="n">
        <x:v>46192.30220091435</x:v>
      </x:c>
      <x:c r="W189" t="str">
        <x:v>yap.winhong@petronas.com</x:v>
      </x:c>
      <x:c r="X189" t="str">
        <x:v>approved</x:v>
      </x:c>
      <x:c r="Y189" t="str">
        <x:v>Good to go</x:v>
      </x:c>
      <x:c r="Z189" t="n">
        <x:v>46202.11779364583</x:v>
      </x:c>
      <x:c r="AA189" t="str">
        <x:v>samsuddin.jumbri@petronas.com</x:v>
      </x:c>
      <x:c r="AB189" t="str">
        <x:v>approved</x:v>
      </x:c>
      <x:c r="AC189" t="str">
        <x:v>Databricks workspace</x:v>
      </x:c>
      <x:c r="AD189" t="n">
        <x:v>46203.286255555555</x:v>
      </x:c>
      <x:c r="AE189" t="str">
        <x:v>syazali.saad@petronas.com</x:v>
      </x:c>
      <x:c r="AF189" t="str">
        <x:v>approved</x:v>
      </x:c>
      <x:c r="AG189" t="str">
        <x:v>deployment completed and successfully passed to user for usage</x:v>
      </x:c>
      <x:c r="AH189" t="n">
        <x:v>46218.13419443287</x:v>
      </x:c>
      <x:c r="AI189" t="str">
        <x:v>izzat.romainor@petronas.com</x:v>
      </x:c>
      <x:c r="AJ189" t="str">
        <x:v>approved</x:v>
      </x:c>
      <x:c r="AK189" t="str">
        <x:v>REQ000008129311</x:v>
      </x:c>
      <x:c r="AL189" t="str">
        <x:v>866cd81d-011e-424b-b696-e232f59deeb1</x:v>
      </x:c>
      <x:c r="AM189" s="23" t="str">
        <x:f>IF(E189="processing",IF(Z189="","",IF(ISNUMBER(Z189),INT(Z189),DATE(VALUE(LEFT(Z189,4)),VALUE(MID(Z189,6,2)),VALUE(MID(Z189,9,2))))),IF(OR(E189="executing",E189="pending"),IF(AD189="","",IF(ISNUMBER(AD189),INT(AD189),DATE(VALUE(LEFT(AD189,4)),VALUE(MID(AD189,6,2)),VALUE(MID(AD189,9,2))))),""))</x:f>
      </x:c>
      <x:c r="AN189" s="24" t="str">
        <x:f>IF(AM189="","",INT('Configuration'!$B$4)-AM189)</x:f>
      </x:c>
      <x:c r="AO189" s="25" t="str">
        <x:f>IF(AM189="","Missing Required Date",IF(AN189&lt;0,"Future Date",IF(AN189=0,"0 days",IF(AN189&lt;=2,"1-2 days",IF(AN189&lt;=7,"3-7 days",IF(AN189&lt;=14,"8-14 days",IF(AN189&lt;=30,"15-30 days",IF(AN189&lt;=60,"31-60 days",IF(AN189&lt;=70,"61-70 days","71+ days")))))))))</x:f>
        <x:v>Missing Required Date</x:v>
      </x:c>
      <x:c r="AP189" s="25" t="str">
        <x:f>IF(OR(E189="processing",E189="executing",E189="pending"),IF(AM189="","Required aging date missing",IF(AN189&gt;30,"Escalate &gt;30d",IF(AN189&gt;14,"Watch &gt;14d","Within 14d"))),"Out of scope")</x:f>
        <x:v>Out of scope</x:v>
      </x:c>
    </x:row>
    <x:row r="190" ht="24" customHeight="1">
      <x:c r="A190" t="str">
        <x:v>07e7c5b9-b52e-4b9d-83b1-d0a0d04a9047</x:v>
      </x:c>
      <x:c r="B190" t="str">
        <x:v>CSSP10156823</x:v>
      </x:c>
      <x:c r="C190" t="str">
        <x:v>kavya.ramamurthy@petronas.com</x:v>
      </x:c>
      <x:c r="D190" t="str">
        <x:v>provision-cloud-public</x:v>
      </x:c>
      <x:c r="E190" t="str">
        <x:v>rejected</x:v>
      </x:c>
      <x:c r="F190" t="n">
        <x:v>46196.243857685186</x:v>
      </x:c>
      <x:c r="G190" t="n">
        <x:v>46197.1863349537</x:v>
      </x:c>
      <x:c r="H190" t="n">
        <x:v>46197.22141547454</x:v>
      </x:c>
      <x:c r="I190" t="str">
        <x:v>A-000152</x:v>
      </x:c>
      <x:c r="J190" t="str">
        <x:v>Cyber Security Application Security Testing - ASTFortify</x:v>
      </x:c>
      <x:c r="K190" t="n">
        <x:v>3055</x:v>
      </x:c>
      <x:c r="L190" t="str">
        <x:v>Fortify AST (Application Security Testing) Tool deployment and integration to DevSecOps framework</x:v>
      </x:c>
      <x:c r="M190" t="str">
        <x:v>nurainil.m@petronas.com.my</x:v>
      </x:c>
      <x:c r="N190" t="str">
        <x:v>Fortify AST Tool</x:v>
      </x:c>
      <x:c r="O190" t="str">
        <x:v>New</x:v>
      </x:c>
      <x:c r="P190" t="str">
        <x:v>Production</x:v>
      </x:c>
      <x:c r="Q190" t="str">
        <x:v>The previous self hosted cloud agent used for DAST scan from devsecops pipeline was compromised and isolated. So we need to spawn new agent to keep scan running. Please refer to this link "https://learn.microsoft.com/en-us/azure/devops/pipelines/agents/windows-agent?view=azure-devops&amp;tabs=IP-V4" for agent requirements. PFA firewall requirements and HLD.</x:v>
      </x:c>
      <x:c r="R190"/>
      <x:c r="S190"/>
      <x:c r="T190"/>
      <x:c r="U190" t="str">
        <x:v>please upload the Azure Calculator for 2 new servers</x:v>
      </x:c>
      <x:c r="V190" t="n">
        <x:v>46197.22141549768</x:v>
      </x:c>
      <x:c r="W190" t="str">
        <x:v>nurainil.m@petronas.com</x:v>
      </x:c>
      <x:c r="X190" t="str">
        <x:v>rejected</x:v>
      </x:c>
      <x:c r="Y190"/>
      <x:c r="Z190"/>
      <x:c r="AA190" t="str">
        <x:v>CCoE Demand</x:v>
      </x:c>
      <x:c r="AB190"/>
      <x:c r="AC190"/>
      <x:c r="AD190"/>
      <x:c r="AE190" t="str">
        <x:v>CCoE Business</x:v>
      </x:c>
      <x:c r="AF190"/>
      <x:c r="AG190"/>
      <x:c r="AH190"/>
      <x:c r="AI190" t="str">
        <x:v>CCoE Core Services (Public)</x:v>
      </x:c>
      <x:c r="AJ190"/>
      <x:c r="AK190"/>
      <x:c r="AL190" t="str">
        <x:v>018866d2-6805-4206-9278-19021eb0ef40</x:v>
      </x:c>
      <x:c r="AM190" s="23" t="str">
        <x:f>IF(E190="processing",IF(Z190="","",IF(ISNUMBER(Z190),INT(Z190),DATE(VALUE(LEFT(Z190,4)),VALUE(MID(Z190,6,2)),VALUE(MID(Z190,9,2))))),IF(OR(E190="executing",E190="pending"),IF(AD190="","",IF(ISNUMBER(AD190),INT(AD190),DATE(VALUE(LEFT(AD190,4)),VALUE(MID(AD190,6,2)),VALUE(MID(AD190,9,2))))),""))</x:f>
      </x:c>
      <x:c r="AN190" s="24" t="str">
        <x:f>IF(AM190="","",INT('Configuration'!$B$4)-AM190)</x:f>
      </x:c>
      <x:c r="AO190" s="25" t="str">
        <x:f>IF(AM190="","Missing Required Date",IF(AN190&lt;0,"Future Date",IF(AN190=0,"0 days",IF(AN190&lt;=2,"1-2 days",IF(AN190&lt;=7,"3-7 days",IF(AN190&lt;=14,"8-14 days",IF(AN190&lt;=30,"15-30 days",IF(AN190&lt;=60,"31-60 days",IF(AN190&lt;=70,"61-70 days","71+ days")))))))))</x:f>
        <x:v>Missing Required Date</x:v>
      </x:c>
      <x:c r="AP190" s="25" t="str">
        <x:f>IF(OR(E190="processing",E190="executing",E190="pending"),IF(AM190="","Required aging date missing",IF(AN190&gt;30,"Escalate &gt;30d",IF(AN190&gt;14,"Watch &gt;14d","Within 14d"))),"Out of scope")</x:f>
        <x:v>Out of scope</x:v>
      </x:c>
    </x:row>
    <x:row r="191" ht="24" customHeight="1">
      <x:c r="A191" t="str">
        <x:v>fe745c87-39fa-457e-a6e4-0ead307871b9</x:v>
      </x:c>
      <x:c r="B191" t="str">
        <x:v>CSSP10408302</x:v>
      </x:c>
      <x:c r="C191" t="str">
        <x:v>ermanfitri.myasin@petronas.com</x:v>
      </x:c>
      <x:c r="D191" t="str">
        <x:v>provision-cloud-public</x:v>
      </x:c>
      <x:c r="E191" t="str">
        <x:v>rejected</x:v>
      </x:c>
      <x:c r="F191" t="n">
        <x:v>46197.117995706016</x:v>
      </x:c>
      <x:c r="G191" t="n">
        <x:v>46197.117995706016</x:v>
      </x:c>
      <x:c r="H191" t="n">
        <x:v>46202.13216947917</x:v>
      </x:c>
      <x:c r="I191" t="str">
        <x:v>A-000026</x:v>
      </x:c>
      <x:c r="J191" t="str">
        <x:v>Ansible Enterprise Configuration Management - AECM</x:v>
      </x:c>
      <x:c r="K191" t="str">
        <x:v>PC-00019</x:v>
      </x:c>
      <x:c r="L191" t="str">
        <x:v>Ansible Enterprise Configuration Management</x:v>
      </x:c>
      <x:c r="M191" t="str">
        <x:v>mfaizal.sidek@petronas.com</x:v>
      </x:c>
      <x:c r="N191" t="str">
        <x:v>Configuration_Management</x:v>
      </x:c>
      <x:c r="O191" t="str">
        <x:v>New</x:v>
      </x:c>
      <x:c r="P191" t="str">
        <x:v>Production</x:v>
      </x:c>
      <x:c r="Q191" t="str">
        <x:v>We would like to upgrade our servers within the existing resource group (PTAZSG-CORE-AECM-RG) to support the upgrade of our Red Hat Ansible Automation Platform. Kindly assist in provisioning three (3) servers running RHEL 9, following the specifications of 'PTSG-3AECMap01'.
The new server names are as follows:
1. PTAZSG-3AECMap01
2. PTAZSG-3AECMap02
3. PTAZSG-3AECMap03</x:v>
      </x:c>
      <x:c r="R191"/>
      <x:c r="S191"/>
      <x:c r="T191"/>
      <x:c r="U191" t="str">
        <x:v>Proceed</x:v>
      </x:c>
      <x:c r="V191" t="n">
        <x:v>46197.11861528935</x:v>
      </x:c>
      <x:c r="W191" t="str">
        <x:v>mfaizal.sidek@petronas.com</x:v>
      </x:c>
      <x:c r="X191" t="str">
        <x:v>approved</x:v>
      </x:c>
      <x:c r="Y191" t="str">
        <x:v>Kindly update the Request Category from New to Upgrade. As the resources are currently running in a Production environment, please also provide the RFC number for tracking and governance purposes.</x:v>
      </x:c>
      <x:c r="Z191" t="n">
        <x:v>46202.13216949074</x:v>
      </x:c>
      <x:c r="AA191" t="str">
        <x:v>samsuddin.jumbri@petronas.com</x:v>
      </x:c>
      <x:c r="AB191" t="str">
        <x:v>rejected</x:v>
      </x:c>
      <x:c r="AC191"/>
      <x:c r="AD191"/>
      <x:c r="AE191" t="str">
        <x:v>CCoE Business</x:v>
      </x:c>
      <x:c r="AF191"/>
      <x:c r="AG191"/>
      <x:c r="AH191"/>
      <x:c r="AI191" t="str">
        <x:v>CCoE Core Services (Public)</x:v>
      </x:c>
      <x:c r="AJ191"/>
      <x:c r="AK191"/>
      <x:c r="AL191" t="str">
        <x:v>7abf948a-6b31-4746-8daf-2698ab161815</x:v>
      </x:c>
      <x:c r="AM191" s="23" t="str">
        <x:f>IF(E191="processing",IF(Z191="","",IF(ISNUMBER(Z191),INT(Z191),DATE(VALUE(LEFT(Z191,4)),VALUE(MID(Z191,6,2)),VALUE(MID(Z191,9,2))))),IF(OR(E191="executing",E191="pending"),IF(AD191="","",IF(ISNUMBER(AD191),INT(AD191),DATE(VALUE(LEFT(AD191,4)),VALUE(MID(AD191,6,2)),VALUE(MID(AD191,9,2))))),""))</x:f>
      </x:c>
      <x:c r="AN191" s="24" t="str">
        <x:f>IF(AM191="","",INT('Configuration'!$B$4)-AM191)</x:f>
      </x:c>
      <x:c r="AO191" s="25" t="str">
        <x:f>IF(AM191="","Missing Required Date",IF(AN191&lt;0,"Future Date",IF(AN191=0,"0 days",IF(AN191&lt;=2,"1-2 days",IF(AN191&lt;=7,"3-7 days",IF(AN191&lt;=14,"8-14 days",IF(AN191&lt;=30,"15-30 days",IF(AN191&lt;=60,"31-60 days",IF(AN191&lt;=70,"61-70 days","71+ days")))))))))</x:f>
        <x:v>Missing Required Date</x:v>
      </x:c>
      <x:c r="AP191" s="25" t="str">
        <x:f>IF(OR(E191="processing",E191="executing",E191="pending"),IF(AM191="","Required aging date missing",IF(AN191&gt;30,"Escalate &gt;30d",IF(AN191&gt;14,"Watch &gt;14d","Within 14d"))),"Out of scope")</x:f>
        <x:v>Out of scope</x:v>
      </x:c>
    </x:row>
    <x:row r="192" ht="24" customHeight="1">
      <x:c r="A192" t="str">
        <x:v>5b71c260-c058-4ff2-aac6-aebd7824a8fe</x:v>
      </x:c>
      <x:c r="B192" t="str">
        <x:v>CSSP10577126</x:v>
      </x:c>
      <x:c r="C192" t="str">
        <x:v>amalina.arahman@petronas.com</x:v>
      </x:c>
      <x:c r="D192" t="str">
        <x:v>provision-cloud-public</x:v>
      </x:c>
      <x:c r="E192" t="str">
        <x:v>completed</x:v>
      </x:c>
      <x:c r="F192" t="n">
        <x:v>46198.136387604165</x:v>
      </x:c>
      <x:c r="G192" t="n">
        <x:v>46223.08939244213</x:v>
      </x:c>
      <x:c r="H192" t="n">
        <x:v>46250.900932233795</x:v>
      </x:c>
      <x:c r="I192" t="str">
        <x:v>A-001376</x:v>
      </x:c>
      <x:c r="J192" t="str">
        <x:v>Regional Service Management Experience Level Agreement - RSM XLA</x:v>
      </x:c>
      <x:c r="K192" t="str">
        <x:v>PC-00091</x:v>
      </x:c>
      <x:c r="L192" t="str">
        <x:v>Vanguard</x:v>
      </x:c>
      <x:c r="M192" t="str">
        <x:v>ashri.ariffin@petronas.com.my</x:v>
      </x:c>
      <x:c r="N192" t="str">
        <x:v>HRA_eForms</x:v>
      </x:c>
      <x:c r="O192" t="str">
        <x:v>New</x:v>
      </x:c>
      <x:c r="P192" t="str">
        <x:v>Production</x:v>
      </x:c>
      <x:c r="Q192" t="str">
        <x:v>To establish a sustainable AI ecosystem within Regional Service Management (RSM), enabling us to optimise MSP deliverables while aligning with the PETRONAS 2.0 agenda and broader digital transformation objectives.</x:v>
      </x:c>
      <x:c r="R192" t="str">
        <x:v>M</x:v>
      </x:c>
      <x:c r="S192"/>
      <x:c r="T192"/>
      <x:c r="U192" t="str">
        <x:v>Approved as essential tools ecosystem within RSM to generate XLA Dashboard (Vanguard) to orchestrate FS services by MSP to regional business operations</x:v>
      </x:c>
      <x:c r="V192" t="n">
        <x:v>46223.12824190972</x:v>
      </x:c>
      <x:c r="W192" t="str">
        <x:v>ashri.ariffin@petronas.com</x:v>
      </x:c>
      <x:c r="X192" t="str">
        <x:v>approved</x:v>
      </x:c>
      <x:c r="Y192" t="str">
        <x:v>Good to go</x:v>
      </x:c>
      <x:c r="Z192" t="n">
        <x:v>46231.35507060185</x:v>
      </x:c>
      <x:c r="AA192" t="str">
        <x:v>samsuddin.jumbri@petronas.com</x:v>
      </x:c>
      <x:c r="AB192" t="str">
        <x:v>approved</x:v>
      </x:c>
      <x:c r="AC192" t="str">
        <x:v>Approved</x:v>
      </x:c>
      <x:c r="AD192" t="n">
        <x:v>46233.83137886574</x:v>
      </x:c>
      <x:c r="AE192" t="str">
        <x:v>abhishek.bhowate@petronas.com</x:v>
      </x:c>
      <x:c r="AF192" t="str">
        <x:v>approved</x:v>
      </x:c>
      <x:c r="AG192" t="str">
        <x:v>completed</x:v>
      </x:c>
      <x:c r="AH192" t="n">
        <x:v>46250.90093224537</x:v>
      </x:c>
      <x:c r="AI192" t="str">
        <x:v>mardiansyah.rayasa@petronas.com</x:v>
      </x:c>
      <x:c r="AJ192" t="str">
        <x:v>approved</x:v>
      </x:c>
      <x:c r="AK192" t="str">
        <x:v>REQ000008205947</x:v>
      </x:c>
      <x:c r="AL192" t="str">
        <x:v>66d834b6-2e20-4e08-afb9-86b6af4b74bf</x:v>
      </x:c>
      <x:c r="AM192" s="23" t="str">
        <x:f>IF(E192="processing",IF(Z192="","",IF(ISNUMBER(Z192),INT(Z192),DATE(VALUE(LEFT(Z192,4)),VALUE(MID(Z192,6,2)),VALUE(MID(Z192,9,2))))),IF(OR(E192="executing",E192="pending"),IF(AD192="","",IF(ISNUMBER(AD192),INT(AD192),DATE(VALUE(LEFT(AD192,4)),VALUE(MID(AD192,6,2)),VALUE(MID(AD192,9,2))))),""))</x:f>
      </x:c>
      <x:c r="AN192" s="24" t="str">
        <x:f>IF(AM192="","",INT('Configuration'!$B$4)-AM192)</x:f>
      </x:c>
      <x:c r="AO192" s="25" t="str">
        <x:f>IF(AM192="","Missing Required Date",IF(AN192&lt;0,"Future Date",IF(AN192=0,"0 days",IF(AN192&lt;=2,"1-2 days",IF(AN192&lt;=7,"3-7 days",IF(AN192&lt;=14,"8-14 days",IF(AN192&lt;=30,"15-30 days",IF(AN192&lt;=60,"31-60 days",IF(AN192&lt;=70,"61-70 days","71+ days")))))))))</x:f>
        <x:v>Missing Required Date</x:v>
      </x:c>
      <x:c r="AP192" s="25" t="str">
        <x:f>IF(OR(E192="processing",E192="executing",E192="pending"),IF(AM192="","Required aging date missing",IF(AN192&gt;30,"Escalate &gt;30d",IF(AN192&gt;14,"Watch &gt;14d","Within 14d"))),"Out of scope")</x:f>
        <x:v>Out of scope</x:v>
      </x:c>
    </x:row>
    <x:row r="193" ht="24" customHeight="1">
      <x:c r="A193" t="str">
        <x:v>ecdfec65-7f82-42cb-9aba-850595e4b416</x:v>
      </x:c>
      <x:c r="B193" t="str">
        <x:v>CSSP10760217</x:v>
      </x:c>
      <x:c r="C193" t="str">
        <x:v>ivanlim.choonkit@petronas.com</x:v>
      </x:c>
      <x:c r="D193" t="str">
        <x:v>provision-cloud-public</x:v>
      </x:c>
      <x:c r="E193" t="str">
        <x:v>executing</x:v>
      </x:c>
      <x:c r="F193" t="n">
        <x:v>46198.15172267361</x:v>
      </x:c>
      <x:c r="G193" t="n">
        <x:v>46198.15172267361</x:v>
      </x:c>
      <x:c r="H193" t="n">
        <x:v>46203.28580130787</x:v>
      </x:c>
      <x:c r="I193" t="str">
        <x:v>A-001241</x:v>
      </x:c>
      <x:c r="J193" t="str">
        <x:v>Digital Intelligence Center - DIC</x:v>
      </x:c>
      <x:c r="K193" t="n">
        <x:v>4712</x:v>
      </x:c>
      <x:c r="L193" t="str">
        <x:v>Deployment of Digital Intelligence Center (DIC) for Malaysia Petroleum Management (MPM)</x:v>
      </x:c>
      <x:c r="M193" t="str">
        <x:v>wadiah.rusli@petronas.com.my</x:v>
      </x:c>
      <x:c r="N193" t="str">
        <x:v>Deployment of Digital Intelligence Center (DIC) for MPM</x:v>
      </x:c>
      <x:c r="O193" t="str">
        <x:v>Modify</x:v>
      </x:c>
      <x:c r="P193" t="str">
        <x:v>StagingUat</x:v>
      </x:c>
      <x:c r="Q193"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x:v>
      </x:c>
      <x:c r="R193" t="str">
        <x:v>M</x:v>
      </x:c>
      <x:c r="S193"/>
      <x:c r="T193"/>
      <x:c r="U193" t="str">
        <x:v>Approved. This is for the DIC application.</x:v>
      </x:c>
      <x:c r="V193" t="n">
        <x:v>46198.15985538194</x:v>
      </x:c>
      <x:c r="W193" t="str">
        <x:v>wadiah.rusli@petronas.com</x:v>
      </x:c>
      <x:c r="X193" t="str">
        <x:v>approved</x:v>
      </x:c>
      <x:c r="Y193" t="str">
        <x:v>Good to go</x:v>
      </x:c>
      <x:c r="Z193" t="n">
        <x:v>46203.13441302083</x:v>
      </x:c>
      <x:c r="AA193" t="str">
        <x:v>samsuddin.jumbri@petronas.com</x:v>
      </x:c>
      <x:c r="AB193" t="str">
        <x:v>approved</x:v>
      </x:c>
      <x:c r="AC193" t="str">
        <x:v>1x EC2 with outbound port 5432 allowed.</x:v>
      </x:c>
      <x:c r="AD193" t="n">
        <x:v>46203.28580131944</x:v>
      </x:c>
      <x:c r="AE193" t="str">
        <x:v>syazali.saad@petronas.com</x:v>
      </x:c>
      <x:c r="AF193" t="str">
        <x:v>approved</x:v>
      </x:c>
      <x:c r="AG193"/>
      <x:c r="AH193"/>
      <x:c r="AI193" t="str">
        <x:v>abdul.khoir@petronas.com</x:v>
      </x:c>
      <x:c r="AJ193"/>
      <x:c r="AK193" t="str">
        <x:v>REQ000008129680</x:v>
      </x:c>
      <x:c r="AL193" t="str">
        <x:v>cc71964c-37e4-4a55-80e9-353ad3690f75</x:v>
      </x:c>
      <x:c r="AM193" s="23" t="n">
        <x:f>IF(E193="processing",IF(Z193="","",IF(ISNUMBER(Z193),INT(Z193),DATE(VALUE(LEFT(Z193,4)),VALUE(MID(Z193,6,2)),VALUE(MID(Z193,9,2))))),IF(OR(E193="executing",E193="pending"),IF(AD193="","",IF(ISNUMBER(AD193),INT(AD193),DATE(VALUE(LEFT(AD193,4)),VALUE(MID(AD193,6,2)),VALUE(MID(AD193,9,2))))),""))</x:f>
        <x:v>46203</x:v>
      </x:c>
      <x:c r="AN193" s="24" t="n">
        <x:f>IF(AM193="","",INT('Configuration'!$B$4)-AM193)</x:f>
        <x:v>48</x:v>
      </x:c>
      <x:c r="AO193" s="25" t="str">
        <x:f>IF(AM193="","Missing Required Date",IF(AN193&lt;0,"Future Date",IF(AN193=0,"0 days",IF(AN193&lt;=2,"1-2 days",IF(AN193&lt;=7,"3-7 days",IF(AN193&lt;=14,"8-14 days",IF(AN193&lt;=30,"15-30 days",IF(AN193&lt;=60,"31-60 days",IF(AN193&lt;=70,"61-70 days","71+ days")))))))))</x:f>
        <x:v>31-60 days</x:v>
      </x:c>
      <x:c r="AP193" s="25" t="str">
        <x:f>IF(OR(E193="processing",E193="executing",E193="pending"),IF(AM193="","Required aging date missing",IF(AN193&gt;30,"Escalate &gt;30d",IF(AN193&gt;14,"Watch &gt;14d","Within 14d"))),"Out of scope")</x:f>
        <x:v>Escalate &gt;30d</x:v>
      </x:c>
    </x:row>
    <x:row r="194" ht="24" customHeight="1">
      <x:c r="A194" t="str">
        <x:v>6d7d884e-652e-41a2-8609-572a05d927dc</x:v>
      </x:c>
      <x:c r="B194" t="str">
        <x:v>CSSP10980096</x:v>
      </x:c>
      <x:c r="C194" t="str">
        <x:v>mohamadsyafiq.mnoor@petronas.com</x:v>
      </x:c>
      <x:c r="D194" t="str">
        <x:v>provision-cloud-public</x:v>
      </x:c>
      <x:c r="E194" t="str">
        <x:v>completed</x:v>
      </x:c>
      <x:c r="F194" t="n">
        <x:v>46199.03912863426</x:v>
      </x:c>
      <x:c r="G194" t="n">
        <x:v>46199.03912863426</x:v>
      </x:c>
      <x:c r="H194" t="n">
        <x:v>46210.41980679398</x:v>
      </x:c>
      <x:c r="I194" t="str">
        <x:v>A-001307</x:v>
      </x:c>
      <x:c r="J194" t="str">
        <x:v>Azure Machine Learning - PRPC</x:v>
      </x:c>
      <x:c r="K194" t="n">
        <x:v>4739</x:v>
      </x:c>
      <x:c r="L194" t="str">
        <x:v>Run &amp; Maintain Citizen Analytics Use Cases for PRPC</x:v>
      </x:c>
      <x:c r="M194" t="str">
        <x:v>khairulnizam.bahari@petronas.com.my</x:v>
      </x:c>
      <x:c r="N194" t="str">
        <x:v>Citizen-Analytics</x:v>
      </x:c>
      <x:c r="O194" t="str">
        <x:v>New</x:v>
      </x:c>
      <x:c r="P194" t="str">
        <x:v>Production</x:v>
      </x:c>
      <x:c r="Q194" t="str">
        <x:v>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4. Shahkaizan Shahari (POCM/PRPC) - shahkaizan.shahari@petronas.com.my</x:v>
      </x:c>
      <x:c r="R194" t="str">
        <x:v>S</x:v>
      </x:c>
      <x:c r="S194"/>
      <x:c r="T194"/>
      <x:c r="U194" t="str">
        <x:v>provision compute instance (with virtual network enabled) </x:v>
      </x:c>
      <x:c r="V194" t="n">
        <x:v>46199.052101967594</x:v>
      </x:c>
      <x:c r="W194" t="str">
        <x:v>khairulnizam.bahari@petronas.com</x:v>
      </x:c>
      <x:c r="X194" t="str">
        <x:v>approved</x:v>
      </x:c>
      <x:c r="Y194" t="str">
        <x:v>Good to go</x:v>
      </x:c>
      <x:c r="Z194" t="n">
        <x:v>46203.132790752315</x:v>
      </x:c>
      <x:c r="AA194" t="str">
        <x:v>samsuddin.jumbri@petronas.com</x:v>
      </x:c>
      <x:c r="AB194" t="str">
        <x:v>approved</x:v>
      </x:c>
      <x:c r="AC194" t="str">
        <x:v>ok</x:v>
      </x:c>
      <x:c r="AD194" t="n">
        <x:v>46210.40659909722</x:v>
      </x:c>
      <x:c r="AE194" t="str">
        <x:v>abhishek.bhowate@petronas.com</x:v>
      </x:c>
      <x:c r="AF194" t="str">
        <x:v>approved</x:v>
      </x:c>
      <x:c r="AG194" t="str">
        <x:v>We have added three Azure Machine Learning environments and provisioned the required compute instances. I have verified this with Mohamad Syafiq, and the user is able to access them successfully. Hence, the request is being closed.</x:v>
      </x:c>
      <x:c r="AH194" t="n">
        <x:v>46210.419806805556</x:v>
      </x:c>
      <x:c r="AI194" t="str">
        <x:v>venkatesh.kalikivayi@petronas.com</x:v>
      </x:c>
      <x:c r="AJ194" t="str">
        <x:v>approved</x:v>
      </x:c>
      <x:c r="AK194" t="str">
        <x:v>REQ000008152355</x:v>
      </x:c>
      <x:c r="AL194" t="str">
        <x:v>175979a6-0134-4d4e-b3f1-5ff77e1fdf7f</x:v>
      </x:c>
      <x:c r="AM194" s="23" t="str">
        <x:f>IF(E194="processing",IF(Z194="","",IF(ISNUMBER(Z194),INT(Z194),DATE(VALUE(LEFT(Z194,4)),VALUE(MID(Z194,6,2)),VALUE(MID(Z194,9,2))))),IF(OR(E194="executing",E194="pending"),IF(AD194="","",IF(ISNUMBER(AD194),INT(AD194),DATE(VALUE(LEFT(AD194,4)),VALUE(MID(AD194,6,2)),VALUE(MID(AD194,9,2))))),""))</x:f>
      </x:c>
      <x:c r="AN194" s="24" t="str">
        <x:f>IF(AM194="","",INT('Configuration'!$B$4)-AM194)</x:f>
      </x:c>
      <x:c r="AO194" s="25" t="str">
        <x:f>IF(AM194="","Missing Required Date",IF(AN194&lt;0,"Future Date",IF(AN194=0,"0 days",IF(AN194&lt;=2,"1-2 days",IF(AN194&lt;=7,"3-7 days",IF(AN194&lt;=14,"8-14 days",IF(AN194&lt;=30,"15-30 days",IF(AN194&lt;=60,"31-60 days",IF(AN194&lt;=70,"61-70 days","71+ days")))))))))</x:f>
        <x:v>Missing Required Date</x:v>
      </x:c>
      <x:c r="AP194" s="25" t="str">
        <x:f>IF(OR(E194="processing",E194="executing",E194="pending"),IF(AM194="","Required aging date missing",IF(AN194&gt;30,"Escalate &gt;30d",IF(AN194&gt;14,"Watch &gt;14d","Within 14d"))),"Out of scope")</x:f>
        <x:v>Out of scope</x:v>
      </x:c>
    </x:row>
    <x:row r="195" ht="24" customHeight="1">
      <x:c r="A195" t="str">
        <x:v>bbd14bb4-2b8c-426b-857a-0e9599551029</x:v>
      </x:c>
      <x:c r="B195" t="str">
        <x:v>CSSP10650272</x:v>
      </x:c>
      <x:c r="C195" t="str">
        <x:v>rinaaniza.mnazri@petronas.com</x:v>
      </x:c>
      <x:c r="D195" t="str">
        <x:v>provision-cloud-public</x:v>
      </x:c>
      <x:c r="E195" t="str">
        <x:v>completed</x:v>
      </x:c>
      <x:c r="F195" t="n">
        <x:v>46199.09891605324</x:v>
      </x:c>
      <x:c r="G195" t="n">
        <x:v>46204.154440046295</x:v>
      </x:c>
      <x:c r="H195" t="n">
        <x:v>46222.85736018518</x:v>
      </x:c>
      <x:c r="I195" t="str">
        <x:v>A-001377</x:v>
      </x:c>
      <x:c r="J195" t="str">
        <x:v>KLCC Data Hub</x:v>
      </x:c>
      <x:c r="K195" t="str">
        <x:v>SR26952</x:v>
      </x:c>
      <x:c r="L195" t="str">
        <x:v>Subscription of PETRONAS Microsoft Fabric for KLCCH</x:v>
      </x:c>
      <x:c r="M195" t="str">
        <x:v>jamie.kee@petronas.com.my</x:v>
      </x:c>
      <x:c r="N195" t="str">
        <x:v>KLCC Digital</x:v>
      </x:c>
      <x:c r="O195" t="str">
        <x:v>New</x:v>
      </x:c>
      <x:c r="P195" t="str">
        <x:v>Development</x:v>
      </x:c>
      <x:c r="Q195" t="str">
        <x:v>To create for all 3 environment
Development
UAT
Production</x:v>
      </x:c>
      <x:c r="R195" t="str">
        <x:v>S</x:v>
      </x:c>
      <x:c r="S195"/>
      <x:c r="T195"/>
      <x:c r="U195" t="str">
        <x:v>Approved in line with the stated business requirements and SA's confirmation.</x:v>
      </x:c>
      <x:c r="V195" t="n">
        <x:v>46204.34073456019</x:v>
      </x:c>
      <x:c r="W195" t="str">
        <x:v>jamie.kee@petronas.com</x:v>
      </x:c>
      <x:c r="X195" t="str">
        <x:v>approved</x:v>
      </x:c>
      <x:c r="Y195" t="str">
        <x:v>Good to go. We will create the Resource Group (RG) for Fabric in the Production environment.</x:v>
      </x:c>
      <x:c r="Z195" t="n">
        <x:v>46205.07119425926</x:v>
      </x:c>
      <x:c r="AA195" t="str">
        <x:v>samsuddin.jumbri@petronas.com</x:v>
      </x:c>
      <x:c r="AB195" t="str">
        <x:v>approved</x:v>
      </x:c>
      <x:c r="AC195" t="str">
        <x:v>approve</x:v>
      </x:c>
      <x:c r="AD195" t="n">
        <x:v>46222.85589510416</x:v>
      </x:c>
      <x:c r="AE195" t="str">
        <x:v>abhishek.bhowate@petronas.com</x:v>
      </x:c>
      <x:c r="AF195" t="str">
        <x:v>approved</x:v>
      </x:c>
      <x:c r="AG195" t="str">
        <x:v>Okay</x:v>
      </x:c>
      <x:c r="AH195" t="n">
        <x:v>46222.85736018518</x:v>
      </x:c>
      <x:c r="AI195" t="str">
        <x:v>abhishek.bhowate@petronas.com</x:v>
      </x:c>
      <x:c r="AJ195" t="str">
        <x:v>approved</x:v>
      </x:c>
      <x:c r="AK195" t="str">
        <x:v>REQ000008178969</x:v>
      </x:c>
      <x:c r="AL195" t="str">
        <x:v>9f4eb72f-c950-40b7-ad2f-809c8c432953</x:v>
      </x:c>
      <x:c r="AM195" s="23" t="str">
        <x:f>IF(E195="processing",IF(Z195="","",IF(ISNUMBER(Z195),INT(Z195),DATE(VALUE(LEFT(Z195,4)),VALUE(MID(Z195,6,2)),VALUE(MID(Z195,9,2))))),IF(OR(E195="executing",E195="pending"),IF(AD195="","",IF(ISNUMBER(AD195),INT(AD195),DATE(VALUE(LEFT(AD195,4)),VALUE(MID(AD195,6,2)),VALUE(MID(AD195,9,2))))),""))</x:f>
      </x:c>
      <x:c r="AN195" s="24" t="str">
        <x:f>IF(AM195="","",INT('Configuration'!$B$4)-AM195)</x:f>
      </x:c>
      <x:c r="AO195" s="25" t="str">
        <x:f>IF(AM195="","Missing Required Date",IF(AN195&lt;0,"Future Date",IF(AN195=0,"0 days",IF(AN195&lt;=2,"1-2 days",IF(AN195&lt;=7,"3-7 days",IF(AN195&lt;=14,"8-14 days",IF(AN195&lt;=30,"15-30 days",IF(AN195&lt;=60,"31-60 days",IF(AN195&lt;=70,"61-70 days","71+ days")))))))))</x:f>
        <x:v>Missing Required Date</x:v>
      </x:c>
      <x:c r="AP195" s="25" t="str">
        <x:f>IF(OR(E195="processing",E195="executing",E195="pending"),IF(AM195="","Required aging date missing",IF(AN195&gt;30,"Escalate &gt;30d",IF(AN195&gt;14,"Watch &gt;14d","Within 14d"))),"Out of scope")</x:f>
        <x:v>Out of scope</x:v>
      </x:c>
    </x:row>
    <x:row r="196" ht="24" customHeight="1">
      <x:c r="A196" t="str">
        <x:v>e8e49670-a7a1-4765-bdfb-232b52ba2b1d</x:v>
      </x:c>
      <x:c r="B196" t="str">
        <x:v>CSSP10626091</x:v>
      </x:c>
      <x:c r="C196" t="str">
        <x:v>tommy.pang@pli-petronas.com</x:v>
      </x:c>
      <x:c r="D196" t="str">
        <x:v>provision-cloud-public</x:v>
      </x:c>
      <x:c r="E196" t="str">
        <x:v>completed</x:v>
      </x:c>
      <x:c r="F196" t="n">
        <x:v>46202.241150497684</x:v>
      </x:c>
      <x:c r="G196" t="n">
        <x:v>46202.27309236111</x:v>
      </x:c>
      <x:c r="H196" t="n">
        <x:v>46251.06481107639</x:v>
      </x:c>
      <x:c r="I196" t="str">
        <x:v>A-000207</x:v>
      </x:c>
      <x:c r="J196" t="str">
        <x:v>Data Fabric Capacity</x:v>
      </x:c>
      <x:c r="K196" t="n">
        <x:v>2258</x:v>
      </x:c>
      <x:c r="L196" t="str">
        <x:v>Migration of SharePoint Phase 2 for PLISB</x:v>
      </x:c>
      <x:c r="M196" t="str">
        <x:v>gary.low@pli-petronas.com</x:v>
      </x:c>
      <x:c r="N196" t="str">
        <x:v>Migration of SharePoint Phase 2 for PLISB</x:v>
      </x:c>
      <x:c r="O196" t="str">
        <x:v>New</x:v>
      </x:c>
      <x:c r="P196" t="str">
        <x:v>Production</x:v>
      </x:c>
      <x:c r="Q196" t="str">
        <x:v>To request that our Power BI Workspaces be upgraded to Fabric Capacity in order to overcome current Power BI Pro license limitations. Please assign to Resource Group PTAZSG-IAC-UAT-SPPLI-BT-RG</x:v>
      </x:c>
      <x:c r="R196" t="str">
        <x:v>S</x:v>
      </x:c>
      <x:c r="S196"/>
      <x:c r="T196"/>
      <x:c r="U196" t="str">
        <x:v>Hi Tommy, as discussed, pls proceed.</x:v>
      </x:c>
      <x:c r="V196" t="n">
        <x:v>46216.107962372684</x:v>
      </x:c>
      <x:c r="W196" t="str">
        <x:v>gary.low@PLI-PETRONAS.COM</x:v>
      </x:c>
      <x:c r="X196" t="str">
        <x:v>approved</x:v>
      </x:c>
      <x:c r="Y196" t="str">
        <x:v>Good to go. Please assign to Resource Group PTAZSG-IAC-UAT-SPPLI-BT-RG</x:v>
      </x:c>
      <x:c r="Z196" t="n">
        <x:v>46216.29557915509</x:v>
      </x:c>
      <x:c r="AA196" t="str">
        <x:v>samsuddin.jumbri@petronas.com</x:v>
      </x:c>
      <x:c r="AB196" t="str">
        <x:v>approved</x:v>
      </x:c>
      <x:c r="AC196" t="str">
        <x:v>Approve</x:v>
      </x:c>
      <x:c r="AD196" t="n">
        <x:v>46230.06039731482</x:v>
      </x:c>
      <x:c r="AE196" t="str">
        <x:v>abhishek.bhowate@petronas.com</x:v>
      </x:c>
      <x:c r="AF196" t="str">
        <x:v>approved</x:v>
      </x:c>
      <x:c r="AG196" t="str">
        <x:v>provisioning has been completed hence closing the request</x:v>
      </x:c>
      <x:c r="AH196" t="n">
        <x:v>46251.06481108796</x:v>
      </x:c>
      <x:c r="AI196" t="str">
        <x:v>venkatesh.kalikivayi@petronas.com</x:v>
      </x:c>
      <x:c r="AJ196" t="str">
        <x:v>approved</x:v>
      </x:c>
      <x:c r="AK196" t="str">
        <x:v>REQ000008194633</x:v>
      </x:c>
      <x:c r="AL196" t="str">
        <x:v>4ebe31aa-25e2-4a51-9cf5-bec60f933cb8</x:v>
      </x:c>
      <x:c r="AM196" s="23" t="str">
        <x:f>IF(E196="processing",IF(Z196="","",IF(ISNUMBER(Z196),INT(Z196),DATE(VALUE(LEFT(Z196,4)),VALUE(MID(Z196,6,2)),VALUE(MID(Z196,9,2))))),IF(OR(E196="executing",E196="pending"),IF(AD196="","",IF(ISNUMBER(AD196),INT(AD196),DATE(VALUE(LEFT(AD196,4)),VALUE(MID(AD196,6,2)),VALUE(MID(AD196,9,2))))),""))</x:f>
      </x:c>
      <x:c r="AN196" s="24" t="str">
        <x:f>IF(AM196="","",INT('Configuration'!$B$4)-AM196)</x:f>
      </x:c>
      <x:c r="AO196" s="25" t="str">
        <x:f>IF(AM196="","Missing Required Date",IF(AN196&lt;0,"Future Date",IF(AN196=0,"0 days",IF(AN196&lt;=2,"1-2 days",IF(AN196&lt;=7,"3-7 days",IF(AN196&lt;=14,"8-14 days",IF(AN196&lt;=30,"15-30 days",IF(AN196&lt;=60,"31-60 days",IF(AN196&lt;=70,"61-70 days","71+ days")))))))))</x:f>
        <x:v>Missing Required Date</x:v>
      </x:c>
      <x:c r="AP196" s="25" t="str">
        <x:f>IF(OR(E196="processing",E196="executing",E196="pending"),IF(AM196="","Required aging date missing",IF(AN196&gt;30,"Escalate &gt;30d",IF(AN196&gt;14,"Watch &gt;14d","Within 14d"))),"Out of scope")</x:f>
        <x:v>Out of scope</x:v>
      </x:c>
    </x:row>
    <x:row r="197" ht="24" customHeight="1">
      <x:c r="A197" t="str">
        <x:v>e6fde82f-4d1d-44b4-8a89-5bff5c39d45b</x:v>
      </x:c>
      <x:c r="B197" t="str">
        <x:v>CSSP10600017</x:v>
      </x:c>
      <x:c r="C197" t="str">
        <x:v>roslilawati.samsu@petronas.com</x:v>
      </x:c>
      <x:c r="D197" t="str">
        <x:v>provision-cloud-public</x:v>
      </x:c>
      <x:c r="E197" t="str">
        <x:v>completed</x:v>
      </x:c>
      <x:c r="F197" t="n">
        <x:v>46202.26720173611</x:v>
      </x:c>
      <x:c r="G197" t="n">
        <x:v>46202.26720173611</x:v>
      </x:c>
      <x:c r="H197" t="n">
        <x:v>46234.146164247686</x:v>
      </x:c>
      <x:c r="I197" t="str">
        <x:v>A-000177</x:v>
      </x:c>
      <x:c r="J197" t="str">
        <x:v>Cyber Security SENTINEL</x:v>
      </x:c>
      <x:c r="K197" t="str">
        <x:v>SR26951</x:v>
      </x:c>
      <x:c r="L197" t="str">
        <x:v>Onboarding of Centralised Log Collector and Security Information &amp; Event Management (SIEM) for SETEL</x:v>
      </x:c>
      <x:c r="M197" t="str">
        <x:v>izayu.ismail@petronas.com.my</x:v>
      </x:c>
      <x:c r="N197" t="str">
        <x:v>SIEM for SETEL</x:v>
      </x:c>
      <x:c r="O197" t="str">
        <x:v>New</x:v>
      </x:c>
      <x:c r="P197" t="str">
        <x:v>Production</x:v>
      </x:c>
      <x:c r="Q197" t="str">
        <x:v>Centralised SIEM onboarding for SETEL Admin Portal and MongoD 
</x:v>
      </x:c>
      <x:c r="R197" t="str">
        <x:v>M</x:v>
      </x:c>
      <x:c r="S197"/>
      <x:c r="T197"/>
      <x:c r="U197" t="str">
        <x:v>As per project scope.</x:v>
      </x:c>
      <x:c r="V197" t="n">
        <x:v>46202.37800069444</x:v>
      </x:c>
      <x:c r="W197" t="str">
        <x:v>izayu.ismail@petronas.com</x:v>
      </x:c>
      <x:c r="X197" t="str">
        <x:v>approved</x:v>
      </x:c>
      <x:c r="Y197" t="str">
        <x:v>Good to go</x:v>
      </x:c>
      <x:c r="Z197" t="n">
        <x:v>46203.07139091435</x:v>
      </x:c>
      <x:c r="AA197" t="str">
        <x:v>samsuddin.jumbri@petronas.com</x:v>
      </x:c>
      <x:c r="AB197" t="str">
        <x:v>approved</x:v>
      </x:c>
      <x:c r="AC197" t="str">
        <x:v>Approve</x:v>
      </x:c>
      <x:c r="AD197" t="n">
        <x:v>46231.20193780093</x:v>
      </x:c>
      <x:c r="AE197" t="str">
        <x:v>abhishek.bhowate@petronas.com</x:v>
      </x:c>
      <x:c r="AF197" t="str">
        <x:v>approved</x:v>
      </x:c>
      <x:c r="AG197" t="str">
        <x:v>this request already completed and already check the resource by user</x:v>
      </x:c>
      <x:c r="AH197" t="n">
        <x:v>46234.14616425926</x:v>
      </x:c>
      <x:c r="AI197" t="str">
        <x:v>abdul.khoir@petronas.com</x:v>
      </x:c>
      <x:c r="AJ197" t="str">
        <x:v>approved</x:v>
      </x:c>
      <x:c r="AK197" t="str">
        <x:v>REQ000008198551</x:v>
      </x:c>
      <x:c r="AL197" t="str">
        <x:v>fcc5dfe6-9dcc-40fe-b4d4-3860a3180dfc</x:v>
      </x:c>
      <x:c r="AM197" s="23" t="str">
        <x:f>IF(E197="processing",IF(Z197="","",IF(ISNUMBER(Z197),INT(Z197),DATE(VALUE(LEFT(Z197,4)),VALUE(MID(Z197,6,2)),VALUE(MID(Z197,9,2))))),IF(OR(E197="executing",E197="pending"),IF(AD197="","",IF(ISNUMBER(AD197),INT(AD197),DATE(VALUE(LEFT(AD197,4)),VALUE(MID(AD197,6,2)),VALUE(MID(AD197,9,2))))),""))</x:f>
      </x:c>
      <x:c r="AN197" s="24" t="str">
        <x:f>IF(AM197="","",INT('Configuration'!$B$4)-AM197)</x:f>
      </x:c>
      <x:c r="AO197" s="25" t="str">
        <x:f>IF(AM197="","Missing Required Date",IF(AN197&lt;0,"Future Date",IF(AN197=0,"0 days",IF(AN197&lt;=2,"1-2 days",IF(AN197&lt;=7,"3-7 days",IF(AN197&lt;=14,"8-14 days",IF(AN197&lt;=30,"15-30 days",IF(AN197&lt;=60,"31-60 days",IF(AN197&lt;=70,"61-70 days","71+ days")))))))))</x:f>
        <x:v>Missing Required Date</x:v>
      </x:c>
      <x:c r="AP197" s="25" t="str">
        <x:f>IF(OR(E197="processing",E197="executing",E197="pending"),IF(AM197="","Required aging date missing",IF(AN197&gt;30,"Escalate &gt;30d",IF(AN197&gt;14,"Watch &gt;14d","Within 14d"))),"Out of scope")</x:f>
        <x:v>Out of scope</x:v>
      </x:c>
    </x:row>
    <x:row r="198" ht="24" customHeight="1">
      <x:c r="A198" t="str">
        <x:v>12b5d34b-de42-48ce-aff0-ad41155bbc79</x:v>
      </x:c>
      <x:c r="B198" t="str">
        <x:v>CSSP10131317</x:v>
      </x:c>
      <x:c r="C198" t="str">
        <x:v>ermanfitri.myasin@petronas.com</x:v>
      </x:c>
      <x:c r="D198" t="str">
        <x:v>provision-cloud-public</x:v>
      </x:c>
      <x:c r="E198" t="str">
        <x:v>completed</x:v>
      </x:c>
      <x:c r="F198" t="n">
        <x:v>46203.07579394676</x:v>
      </x:c>
      <x:c r="G198" t="n">
        <x:v>46203.07579394676</x:v>
      </x:c>
      <x:c r="H198" t="n">
        <x:v>46233.58587310185</x:v>
      </x:c>
      <x:c r="I198" t="str">
        <x:v>A-000026</x:v>
      </x:c>
      <x:c r="J198" t="str">
        <x:v>Ansible Enterprise Configuration Management - AECM</x:v>
      </x:c>
      <x:c r="K198" t="str">
        <x:v>PC-00019</x:v>
      </x:c>
      <x:c r="L198" t="str">
        <x:v>Ansible Enterprise Configuration Management</x:v>
      </x:c>
      <x:c r="M198" t="str">
        <x:v>mfaizal.sidek@petronas.com</x:v>
      </x:c>
      <x:c r="N198" t="str">
        <x:v>Configuration_Management</x:v>
      </x:c>
      <x:c r="O198" t="str">
        <x:v>New</x:v>
      </x:c>
      <x:c r="P198" t="str">
        <x:v>Production</x:v>
      </x:c>
      <x:c r="Q198" t="str">
        <x:v>Please assist in provisioning three (3) servers running RHEL 9 in the existing resource group (PTAZSG-CORE-AECM-RG) following the specifications of 'PTSG-3AECMap01'. The new server names are as follows: 
1. PTAZSG-3AECMap01 
2. PTAZSG-3AECMap02 
3. PTAZSG-3AECMap03</x:v>
      </x:c>
      <x:c r="R198" t="str">
        <x:v>S</x:v>
      </x:c>
      <x:c r="S198"/>
      <x:c r="T198"/>
      <x:c r="U198" t="str">
        <x:v>Proceed</x:v>
      </x:c>
      <x:c r="V198" t="n">
        <x:v>46203.08154688658</x:v>
      </x:c>
      <x:c r="W198" t="str">
        <x:v>mfaizal.sidek@petronas.com</x:v>
      </x:c>
      <x:c r="X198" t="str">
        <x:v>approved</x:v>
      </x:c>
      <x:c r="Y198" t="str">
        <x:v>Good to go</x:v>
      </x:c>
      <x:c r="Z198" t="n">
        <x:v>46203.15421655092</x:v>
      </x:c>
      <x:c r="AA198" t="str">
        <x:v>samsuddin.jumbri@petronas.com</x:v>
      </x:c>
      <x:c r="AB198" t="str">
        <x:v>approved</x:v>
      </x:c>
      <x:c r="AC198" t="str">
        <x:v>Approve</x:v>
      </x:c>
      <x:c r="AD198" t="n">
        <x:v>46231.20131556713</x:v>
      </x:c>
      <x:c r="AE198" t="str">
        <x:v>abhishek.bhowate@petronas.com</x:v>
      </x:c>
      <x:c r="AF198" t="str">
        <x:v>approved</x:v>
      </x:c>
      <x:c r="AG198" t="str">
        <x:v> new provisioning has been completed hence closing the request</x:v>
      </x:c>
      <x:c r="AH198" t="n">
        <x:v>46233.58587311343</x:v>
      </x:c>
      <x:c r="AI198" t="str">
        <x:v>venkatesh.kalikivayi@petronas.com</x:v>
      </x:c>
      <x:c r="AJ198" t="str">
        <x:v>approved</x:v>
      </x:c>
      <x:c r="AK198" t="str">
        <x:v>REQ000008198634</x:v>
      </x:c>
      <x:c r="AL198" t="str">
        <x:v>7abf948a-6b31-4746-8daf-2698ab161815</x:v>
      </x:c>
      <x:c r="AM198" s="23" t="str">
        <x:f>IF(E198="processing",IF(Z198="","",IF(ISNUMBER(Z198),INT(Z198),DATE(VALUE(LEFT(Z198,4)),VALUE(MID(Z198,6,2)),VALUE(MID(Z198,9,2))))),IF(OR(E198="executing",E198="pending"),IF(AD198="","",IF(ISNUMBER(AD198),INT(AD198),DATE(VALUE(LEFT(AD198,4)),VALUE(MID(AD198,6,2)),VALUE(MID(AD198,9,2))))),""))</x:f>
      </x:c>
      <x:c r="AN198" s="24" t="str">
        <x:f>IF(AM198="","",INT('Configuration'!$B$4)-AM198)</x:f>
      </x:c>
      <x:c r="AO198" s="25" t="str">
        <x:f>IF(AM198="","Missing Required Date",IF(AN198&lt;0,"Future Date",IF(AN198=0,"0 days",IF(AN198&lt;=2,"1-2 days",IF(AN198&lt;=7,"3-7 days",IF(AN198&lt;=14,"8-14 days",IF(AN198&lt;=30,"15-30 days",IF(AN198&lt;=60,"31-60 days",IF(AN198&lt;=70,"61-70 days","71+ days")))))))))</x:f>
        <x:v>Missing Required Date</x:v>
      </x:c>
      <x:c r="AP198" s="25" t="str">
        <x:f>IF(OR(E198="processing",E198="executing",E198="pending"),IF(AM198="","Required aging date missing",IF(AN198&gt;30,"Escalate &gt;30d",IF(AN198&gt;14,"Watch &gt;14d","Within 14d"))),"Out of scope")</x:f>
        <x:v>Out of scope</x:v>
      </x:c>
    </x:row>
    <x:row r="199" ht="24" customHeight="1">
      <x:c r="A199" t="str">
        <x:v>c2761cba-39e3-47ab-8992-8a7ba9972288</x:v>
      </x:c>
      <x:c r="B199" t="str">
        <x:v>CSSP10771930</x:v>
      </x:c>
      <x:c r="C199" t="str">
        <x:v>rinaaniza.mnazri@petronas.com</x:v>
      </x:c>
      <x:c r="D199" t="str">
        <x:v>provision-cloud-public</x:v>
      </x:c>
      <x:c r="E199" t="str">
        <x:v>executing</x:v>
      </x:c>
      <x:c r="F199" t="n">
        <x:v>46204.16299113426</x:v>
      </x:c>
      <x:c r="G199" t="n">
        <x:v>46204.16299113426</x:v>
      </x:c>
      <x:c r="H199" t="n">
        <x:v>46222.85543998842</x:v>
      </x:c>
      <x:c r="I199" t="str">
        <x:v>A-001377</x:v>
      </x:c>
      <x:c r="J199" t="str">
        <x:v>KLCC Data Hub</x:v>
      </x:c>
      <x:c r="K199" t="str">
        <x:v>SR26952</x:v>
      </x:c>
      <x:c r="L199" t="str">
        <x:v>Subscription of PETRONAS Microsoft Fabric for KLCCH</x:v>
      </x:c>
      <x:c r="M199" t="str">
        <x:v>jamie.kee@petronas.com.my</x:v>
      </x:c>
      <x:c r="N199" t="str">
        <x:v>KLCC Digital</x:v>
      </x:c>
      <x:c r="O199" t="str">
        <x:v>New</x:v>
      </x:c>
      <x:c r="P199" t="str">
        <x:v>Production</x:v>
      </x:c>
      <x:c r="Q199" t="str">
        <x:v>To create for all 3 environment Development UAT Production</x:v>
      </x:c>
      <x:c r="R199" t="str">
        <x:v>S</x:v>
      </x:c>
      <x:c r="S199"/>
      <x:c r="T199"/>
      <x:c r="U199" t="str">
        <x:v>Approved in line with the stated business requirements and SA's confirmation.</x:v>
      </x:c>
      <x:c r="V199" t="n">
        <x:v>46204.34100039352</x:v>
      </x:c>
      <x:c r="W199" t="str">
        <x:v>jamie.kee@petronas.com</x:v>
      </x:c>
      <x:c r="X199" t="str">
        <x:v>approved</x:v>
      </x:c>
      <x:c r="Y199" t="str">
        <x:v>Good to go. We will create the Resource Group (RG) for Fabric in the Production environment.</x:v>
      </x:c>
      <x:c r="Z199" t="n">
        <x:v>46205.066938888885</x:v>
      </x:c>
      <x:c r="AA199" t="str">
        <x:v>samsuddin.jumbri@petronas.com</x:v>
      </x:c>
      <x:c r="AB199" t="str">
        <x:v>approved</x:v>
      </x:c>
      <x:c r="AC199" t="str">
        <x:v>Approve</x:v>
      </x:c>
      <x:c r="AD199" t="n">
        <x:v>46222.855440011575</x:v>
      </x:c>
      <x:c r="AE199" t="str">
        <x:v>abhishek.bhowate@petronas.com</x:v>
      </x:c>
      <x:c r="AF199" t="str">
        <x:v>approved</x:v>
      </x:c>
      <x:c r="AG199"/>
      <x:c r="AH199"/>
      <x:c r="AI199" t="str">
        <x:v>K.saktivelu@petronas.com</x:v>
      </x:c>
      <x:c r="AJ199"/>
      <x:c r="AK199" t="str">
        <x:v>REQ000008178702</x:v>
      </x:c>
      <x:c r="AL199" t="str">
        <x:v>9f4eb72f-c950-40b7-ad2f-809c8c432953</x:v>
      </x:c>
      <x:c r="AM199" s="23" t="n">
        <x:f>IF(E199="processing",IF(Z199="","",IF(ISNUMBER(Z199),INT(Z199),DATE(VALUE(LEFT(Z199,4)),VALUE(MID(Z199,6,2)),VALUE(MID(Z199,9,2))))),IF(OR(E199="executing",E199="pending"),IF(AD199="","",IF(ISNUMBER(AD199),INT(AD199),DATE(VALUE(LEFT(AD199,4)),VALUE(MID(AD199,6,2)),VALUE(MID(AD199,9,2))))),""))</x:f>
        <x:v>46222</x:v>
      </x:c>
      <x:c r="AN199" s="24" t="n">
        <x:f>IF(AM199="","",INT('Configuration'!$B$4)-AM199)</x:f>
        <x:v>29</x:v>
      </x:c>
      <x:c r="AO199" s="25" t="str">
        <x:f>IF(AM199="","Missing Required Date",IF(AN199&lt;0,"Future Date",IF(AN199=0,"0 days",IF(AN199&lt;=2,"1-2 days",IF(AN199&lt;=7,"3-7 days",IF(AN199&lt;=14,"8-14 days",IF(AN199&lt;=30,"15-30 days",IF(AN199&lt;=60,"31-60 days",IF(AN199&lt;=70,"61-70 days","71+ days")))))))))</x:f>
        <x:v>15-30 days</x:v>
      </x:c>
      <x:c r="AP199" s="25" t="str">
        <x:f>IF(OR(E199="processing",E199="executing",E199="pending"),IF(AM199="","Required aging date missing",IF(AN199&gt;30,"Escalate &gt;30d",IF(AN199&gt;14,"Watch &gt;14d","Within 14d"))),"Out of scope")</x:f>
        <x:v>Watch &gt;14d</x:v>
      </x:c>
    </x:row>
    <x:row r="200" ht="24" customHeight="1">
      <x:c r="A200" t="str">
        <x:v>63bbf4a4-4fc1-44be-b52c-95c8e9dd50ea</x:v>
      </x:c>
      <x:c r="B200" t="str">
        <x:v>CSSP10166697</x:v>
      </x:c>
      <x:c r="C200" t="str">
        <x:v>rinaaniza.mnazri@petronas.com</x:v>
      </x:c>
      <x:c r="D200" t="str">
        <x:v>provision-cloud-public</x:v>
      </x:c>
      <x:c r="E200" t="str">
        <x:v>executing</x:v>
      </x:c>
      <x:c r="F200" t="n">
        <x:v>46204.16397262731</x:v>
      </x:c>
      <x:c r="G200" t="n">
        <x:v>46204.16397262731</x:v>
      </x:c>
      <x:c r="H200" t="n">
        <x:v>46222.85478372685</x:v>
      </x:c>
      <x:c r="I200" t="str">
        <x:v>A-001377</x:v>
      </x:c>
      <x:c r="J200" t="str">
        <x:v>KLCC Data Hub</x:v>
      </x:c>
      <x:c r="K200" t="str">
        <x:v>SR26952</x:v>
      </x:c>
      <x:c r="L200" t="str">
        <x:v>Subscription of PETRONAS Microsoft Fabric for KLCCH</x:v>
      </x:c>
      <x:c r="M200" t="str">
        <x:v>jamie.kee@petronas.com.my</x:v>
      </x:c>
      <x:c r="N200" t="str">
        <x:v>KLCC Digital</x:v>
      </x:c>
      <x:c r="O200" t="str">
        <x:v>New</x:v>
      </x:c>
      <x:c r="P200" t="str">
        <x:v>StagingUat</x:v>
      </x:c>
      <x:c r="Q200" t="str">
        <x:v>To create for all 3 environment Development UAT Production</x:v>
      </x:c>
      <x:c r="R200" t="str">
        <x:v>S</x:v>
      </x:c>
      <x:c r="S200"/>
      <x:c r="T200"/>
      <x:c r="U200" t="str">
        <x:v>Approved in line with the stated business requirements and SA's confirmation.</x:v>
      </x:c>
      <x:c r="V200" t="n">
        <x:v>46204.34119348379</x:v>
      </x:c>
      <x:c r="W200" t="str">
        <x:v>jamie.kee@petronas.com</x:v>
      </x:c>
      <x:c r="X200" t="str">
        <x:v>approved</x:v>
      </x:c>
      <x:c r="Y200" t="str">
        <x:v>Good to go. We will create the Resource Group (RG) for Fabric in the Production environment.</x:v>
      </x:c>
      <x:c r="Z200" t="n">
        <x:v>46205.07151015046</x:v>
      </x:c>
      <x:c r="AA200" t="str">
        <x:v>samsuddin.jumbri@petronas.com</x:v>
      </x:c>
      <x:c r="AB200" t="str">
        <x:v>approved</x:v>
      </x:c>
      <x:c r="AC200" t="str">
        <x:v>Okay</x:v>
      </x:c>
      <x:c r="AD200" t="n">
        <x:v>46222.854783738425</x:v>
      </x:c>
      <x:c r="AE200" t="str">
        <x:v>abhishek.bhowate@petronas.com</x:v>
      </x:c>
      <x:c r="AF200" t="str">
        <x:v>approved</x:v>
      </x:c>
      <x:c r="AG200"/>
      <x:c r="AH200"/>
      <x:c r="AI200" t="str">
        <x:v>K.saktivelu@petronas.com</x:v>
      </x:c>
      <x:c r="AJ200"/>
      <x:c r="AK200" t="str">
        <x:v>REQ000008178968</x:v>
      </x:c>
      <x:c r="AL200" t="str">
        <x:v>9f4eb72f-c950-40b7-ad2f-809c8c432953</x:v>
      </x:c>
      <x:c r="AM200" s="23" t="n">
        <x:f>IF(E200="processing",IF(Z200="","",IF(ISNUMBER(Z200),INT(Z200),DATE(VALUE(LEFT(Z200,4)),VALUE(MID(Z200,6,2)),VALUE(MID(Z200,9,2))))),IF(OR(E200="executing",E200="pending"),IF(AD200="","",IF(ISNUMBER(AD200),INT(AD200),DATE(VALUE(LEFT(AD200,4)),VALUE(MID(AD200,6,2)),VALUE(MID(AD200,9,2))))),""))</x:f>
        <x:v>46222</x:v>
      </x:c>
      <x:c r="AN200" s="24" t="n">
        <x:f>IF(AM200="","",INT('Configuration'!$B$4)-AM200)</x:f>
        <x:v>29</x:v>
      </x:c>
      <x:c r="AO200" s="25" t="str">
        <x:f>IF(AM200="","Missing Required Date",IF(AN200&lt;0,"Future Date",IF(AN200=0,"0 days",IF(AN200&lt;=2,"1-2 days",IF(AN200&lt;=7,"3-7 days",IF(AN200&lt;=14,"8-14 days",IF(AN200&lt;=30,"15-30 days",IF(AN200&lt;=60,"31-60 days",IF(AN200&lt;=70,"61-70 days","71+ days")))))))))</x:f>
        <x:v>15-30 days</x:v>
      </x:c>
      <x:c r="AP200" s="25" t="str">
        <x:f>IF(OR(E200="processing",E200="executing",E200="pending"),IF(AM200="","Required aging date missing",IF(AN200&gt;30,"Escalate &gt;30d",IF(AN200&gt;14,"Watch &gt;14d","Within 14d"))),"Out of scope")</x:f>
        <x:v>Watch &gt;14d</x:v>
      </x:c>
    </x:row>
    <x:row r="201" ht="24" customHeight="1">
      <x:c r="A201" t="str">
        <x:v>09ff0ec9-7c77-445c-bb90-fdea8f766cee</x:v>
      </x:c>
      <x:c r="B201" t="str">
        <x:v>CSSP10268716</x:v>
      </x:c>
      <x:c r="C201" t="str">
        <x:v>hadi.hairi@petronas.com</x:v>
      </x:c>
      <x:c r="D201" t="str">
        <x:v>provision-cloud-public</x:v>
      </x:c>
      <x:c r="E201" t="str">
        <x:v>completed</x:v>
      </x:c>
      <x:c r="F201" t="n">
        <x:v>46204.29265425926</x:v>
      </x:c>
      <x:c r="G201" t="n">
        <x:v>46204.29265425926</x:v>
      </x:c>
      <x:c r="H201" t="n">
        <x:v>46246.08997</x:v>
      </x:c>
      <x:c r="I201" t="str">
        <x:v>A-001374</x:v>
      </x:c>
      <x:c r="J201" t="str">
        <x:v>Frontier Firm</x:v>
      </x:c>
      <x:c r="K201" t="str">
        <x:v>SR26854</x:v>
      </x:c>
      <x:c r="L201" t="str">
        <x:v>PDSB Frontier Firm</x:v>
      </x:c>
      <x:c r="M201" t="str">
        <x:v>mazahari.ahmad@petronas.com.my</x:v>
      </x:c>
      <x:c r="N201" t="str">
        <x:v>PDSB Frontier Firm</x:v>
      </x:c>
      <x:c r="O201" t="str">
        <x:v>New</x:v>
      </x:c>
      <x:c r="P201" t="str">
        <x:v>Development</x:v>
      </x:c>
      <x:c r="Q201" t="str">
        <x:v>1) The naming conventions under the label of "Custom Name" as per discussion with sujay.pillai@petronas.com.my.
2) This solution will use spoke-hub model.
3) The Hub resources will be as listed in "AI Foundry Shared (Non-Prod)" in BoM and will be provisioned in "PTAZSG-IAC-DEV-CORP-AIF-RG" located in "PTAZSG-IAC-DEV ENVIRONMENT".
4) The Spoke resources will be as listed in the rest of Sheets and will be provisioned in "PTAZSG-IAC-DEV-FF-RG" located in "PTAZMY-IAC-NONPROD-CORPORATE ENVIRONMENT".
5) Please prioritize the following resources in the Sheets:
"UC1-Billing Variance"
"UC2-OC2"
"UC3-AI Compliance"
"UC7-Work Order Strategy".</x:v>
      </x:c>
      <x:c r="R201" t="str">
        <x:v>L</x:v>
      </x:c>
      <x:c r="S201"/>
      <x:c r="T201"/>
      <x:c r="U201" t="str">
        <x:v>Approved as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x:v>
      </x:c>
      <x:c r="V201" t="n">
        <x:v>46204.31270310185</x:v>
      </x:c>
      <x:c r="W201" t="str">
        <x:v>mazahari.ahmad@petronas.com</x:v>
      </x:c>
      <x:c r="X201" t="str">
        <x:v>approved</x:v>
      </x:c>
      <x:c r="Y201" t="str">
        <x:v>Good to go</x:v>
      </x:c>
      <x:c r="Z201" t="n">
        <x:v>46205.1192106713</x:v>
      </x:c>
      <x:c r="AA201" t="str">
        <x:v>samsuddin.jumbri@petronas.com</x:v>
      </x:c>
      <x:c r="AB201" t="str">
        <x:v>approved</x:v>
      </x:c>
      <x:c r="AC201" t="str">
        <x:v>Large due to container app and connectivity/environment config.</x:v>
      </x:c>
      <x:c r="AD201" t="n">
        <x:v>46206.33211234953</x:v>
      </x:c>
      <x:c r="AE201" t="str">
        <x:v>syazali.saad@petronas.com</x:v>
      </x:c>
      <x:c r="AF201" t="str">
        <x:v>approved</x:v>
      </x:c>
      <x:c r="AG201" t="str">
        <x:v>ticket has been completed. hence closing the request </x:v>
      </x:c>
      <x:c r="AH201" t="n">
        <x:v>46246.08997001158</x:v>
      </x:c>
      <x:c r="AI201" t="str">
        <x:v>venkatesh.kalikivayi@petronas.com</x:v>
      </x:c>
      <x:c r="AJ201" t="str">
        <x:v>approved</x:v>
      </x:c>
      <x:c r="AK201" t="str">
        <x:v>REQ000008143314</x:v>
      </x:c>
      <x:c r="AL201" t="str">
        <x:v>6a3ea0b2-21a7-451c-a21d-3278b4fc6e80</x:v>
      </x:c>
      <x:c r="AM201" s="23" t="str">
        <x:f>IF(E201="processing",IF(Z201="","",IF(ISNUMBER(Z201),INT(Z201),DATE(VALUE(LEFT(Z201,4)),VALUE(MID(Z201,6,2)),VALUE(MID(Z201,9,2))))),IF(OR(E201="executing",E201="pending"),IF(AD201="","",IF(ISNUMBER(AD201),INT(AD201),DATE(VALUE(LEFT(AD201,4)),VALUE(MID(AD201,6,2)),VALUE(MID(AD201,9,2))))),""))</x:f>
      </x:c>
      <x:c r="AN201" s="24" t="str">
        <x:f>IF(AM201="","",INT('Configuration'!$B$4)-AM201)</x:f>
      </x:c>
      <x:c r="AO201" s="25" t="str">
        <x:f>IF(AM201="","Missing Required Date",IF(AN201&lt;0,"Future Date",IF(AN201=0,"0 days",IF(AN201&lt;=2,"1-2 days",IF(AN201&lt;=7,"3-7 days",IF(AN201&lt;=14,"8-14 days",IF(AN201&lt;=30,"15-30 days",IF(AN201&lt;=60,"31-60 days",IF(AN201&lt;=70,"61-70 days","71+ days")))))))))</x:f>
        <x:v>Missing Required Date</x:v>
      </x:c>
      <x:c r="AP201" s="25" t="str">
        <x:f>IF(OR(E201="processing",E201="executing",E201="pending"),IF(AM201="","Required aging date missing",IF(AN201&gt;30,"Escalate &gt;30d",IF(AN201&gt;14,"Watch &gt;14d","Within 14d"))),"Out of scope")</x:f>
        <x:v>Out of scope</x:v>
      </x:c>
    </x:row>
    <x:row r="202" ht="24" customHeight="1">
      <x:c r="A202" t="str">
        <x:v>df038705-b8ec-475a-ae96-e8885b8af39f</x:v>
      </x:c>
      <x:c r="B202" t="str">
        <x:v>CSSP10927046</x:v>
      </x:c>
      <x:c r="C202" t="str">
        <x:v>mkhairulazhar.jamil@petronas.com</x:v>
      </x:c>
      <x:c r="D202" t="str">
        <x:v>provision-cloud-public</x:v>
      </x:c>
      <x:c r="E202" t="str">
        <x:v>completed</x:v>
      </x:c>
      <x:c r="F202" t="n">
        <x:v>46205.13069259259</x:v>
      </x:c>
      <x:c r="G202" t="n">
        <x:v>46205.13069259259</x:v>
      </x:c>
      <x:c r="H202" t="n">
        <x:v>46243.642616840276</x:v>
      </x:c>
      <x:c r="I202" t="str">
        <x:v>A-000124</x:v>
      </x:c>
      <x:c r="J202" t="str">
        <x:v>COMPASS</x:v>
      </x:c>
      <x:c r="K202" t="n">
        <x:v>1709</x:v>
      </x:c>
      <x:c r="L202" t="str">
        <x:v>COMPASS Phase 2</x:v>
      </x:c>
      <x:c r="M202" t="str">
        <x:v>amirshazlan.mshah@petronas.com.my</x:v>
      </x:c>
      <x:c r="N202" t="str">
        <x:v>COMPASS</x:v>
      </x:c>
      <x:c r="O202" t="str">
        <x:v>Modify</x:v>
      </x:c>
      <x:c r="P202" t="str">
        <x:v>StagingUat</x:v>
      </x:c>
      <x:c r="Q202" t="str">
        <x:v>During DAST scanning of COMPASS QA, a security issue was identified related to the reverse proxy configuration.
Affected Application:
- COMPASS QA Frontend
- Resource: ptsg-4compassp2wb02/stg
- URL: compassqa.petronas.com
Issue: The reverse proxy is not properly handling ambiguous HTTP requests containing both Content-Length and Transfer-Encoding headers. This has been reported as a security finding in SSC.
Required fix: Configure the reverse proxy to:
- Reject requests containing both Content-Length and Transfer-Encoding headers
- Close the connection when such requests are detected</x:v>
      </x:c>
      <x:c r="R202" t="str">
        <x:v>S</x:v>
      </x:c>
      <x:c r="S202"/>
      <x:c r="T202"/>
      <x:c r="U202" t="str">
        <x:v>approved fro compass</x:v>
      </x:c>
      <x:c r="V202" t="n">
        <x:v>46205.14049722222</x:v>
      </x:c>
      <x:c r="W202" t="str">
        <x:v>amirshazlan.mshah@petronas.com</x:v>
      </x:c>
      <x:c r="X202" t="str">
        <x:v>approved</x:v>
      </x:c>
      <x:c r="Y202" t="str">
        <x:v>Security enhancement/configuration update on existing reverse proxy to address DAST finding. No new resources or complex infrastructure deployment required.</x:v>
      </x:c>
      <x:c r="Z202" t="n">
        <x:v>46210.12896938658</x:v>
      </x:c>
      <x:c r="AA202" t="str">
        <x:v>samsuddin.jumbri@petronas.com</x:v>
      </x:c>
      <x:c r="AB202" t="str">
        <x:v>approved</x:v>
      </x:c>
      <x:c r="AC202" t="str">
        <x:v>Approved for further processing</x:v>
      </x:c>
      <x:c r="AD202" t="n">
        <x:v>46219.15202304398</x:v>
      </x:c>
      <x:c r="AE202" t="str">
        <x:v>nilesh.sankpal@petronas.com</x:v>
      </x:c>
      <x:c r="AF202" t="str">
        <x:v>approved</x:v>
      </x:c>
      <x:c r="AG202" t="str">
        <x:v>Based on our assessment, the affected resource appears to be an Azure App Service (ptsg-4compassp2wb02/stg). We do not have a platform-level configuration available within App Service to enforce rejection of requests containing both headers and to close the connection upon detection. Hence closing the request</x:v>
      </x:c>
      <x:c r="AH202" t="n">
        <x:v>46243.642616840276</x:v>
      </x:c>
      <x:c r="AI202" t="str">
        <x:v>amarja.kawade@petronas.com</x:v>
      </x:c>
      <x:c r="AJ202" t="str">
        <x:v>approved</x:v>
      </x:c>
      <x:c r="AK202" t="str">
        <x:v>REQ000008172904</x:v>
      </x:c>
      <x:c r="AL202" t="str">
        <x:v>90296959-c21f-48ac-8658-df869ee75354</x:v>
      </x:c>
      <x:c r="AM202" s="23" t="str">
        <x:f>IF(E202="processing",IF(Z202="","",IF(ISNUMBER(Z202),INT(Z202),DATE(VALUE(LEFT(Z202,4)),VALUE(MID(Z202,6,2)),VALUE(MID(Z202,9,2))))),IF(OR(E202="executing",E202="pending"),IF(AD202="","",IF(ISNUMBER(AD202),INT(AD202),DATE(VALUE(LEFT(AD202,4)),VALUE(MID(AD202,6,2)),VALUE(MID(AD202,9,2))))),""))</x:f>
      </x:c>
      <x:c r="AN202" s="24" t="str">
        <x:f>IF(AM202="","",INT('Configuration'!$B$4)-AM202)</x:f>
      </x:c>
      <x:c r="AO202" s="25" t="str">
        <x:f>IF(AM202="","Missing Required Date",IF(AN202&lt;0,"Future Date",IF(AN202=0,"0 days",IF(AN202&lt;=2,"1-2 days",IF(AN202&lt;=7,"3-7 days",IF(AN202&lt;=14,"8-14 days",IF(AN202&lt;=30,"15-30 days",IF(AN202&lt;=60,"31-60 days",IF(AN202&lt;=70,"61-70 days","71+ days")))))))))</x:f>
        <x:v>Missing Required Date</x:v>
      </x:c>
      <x:c r="AP202" s="25" t="str">
        <x:f>IF(OR(E202="processing",E202="executing",E202="pending"),IF(AM202="","Required aging date missing",IF(AN202&gt;30,"Escalate &gt;30d",IF(AN202&gt;14,"Watch &gt;14d","Within 14d"))),"Out of scope")</x:f>
        <x:v>Out of scope</x:v>
      </x:c>
    </x:row>
    <x:row r="203" ht="24" customHeight="1">
      <x:c r="A203" t="str">
        <x:v>7ef25ccc-462c-4838-8845-ab48370f5353</x:v>
      </x:c>
      <x:c r="B203" t="str">
        <x:v>CSSP10514376</x:v>
      </x:c>
      <x:c r="C203" t="str">
        <x:v>ahmadaizuddin.badry@petronas.com</x:v>
      </x:c>
      <x:c r="D203" t="str">
        <x:v>provision-cloud-public</x:v>
      </x:c>
      <x:c r="E203" t="str">
        <x:v>rejected</x:v>
      </x:c>
      <x:c r="F203" t="n">
        <x:v>46205.24749351852</x:v>
      </x:c>
      <x:c r="G203" t="n">
        <x:v>46205.24749351852</x:v>
      </x:c>
      <x:c r="H203" t="n">
        <x:v>46210.27548509259</x:v>
      </x:c>
      <x:c r="I203" t="str">
        <x:v>A-000490</x:v>
      </x:c>
      <x:c r="J203" t="str">
        <x:v>MyProcure</x:v>
      </x:c>
      <x:c r="K203" t="n">
        <x:v>4343</x:v>
      </x:c>
      <x:c r="L203" t="str">
        <x:v>Procurement Innovation Through Automation And Procurement Marketplace</x:v>
      </x:c>
      <x:c r="M203" t="str">
        <x:v>zulfakar.mohd@petronas.com.my</x:v>
      </x:c>
      <x:c r="N203" t="str">
        <x:v>Procurement AI</x:v>
      </x:c>
      <x:c r="O203" t="str">
        <x:v>New</x:v>
      </x:c>
      <x:c r="P203" t="str">
        <x:v>Production</x:v>
      </x:c>
      <x:c r="Q203" t="str">
        <x:v>Provision of PostgreSQL in Azure myProcure</x:v>
      </x:c>
      <x:c r="R203" t="str">
        <x:v>M</x:v>
      </x:c>
      <x:c r="S203"/>
      <x:c r="T203"/>
      <x:c r="U203" t="str">
        <x:v>all good</x:v>
      </x:c>
      <x:c r="V203" t="n">
        <x:v>46205.25332859954</x:v>
      </x:c>
      <x:c r="W203" t="str">
        <x:v>zulfakar.mohd@petronas.com</x:v>
      </x:c>
      <x:c r="X203" t="str">
        <x:v>approved</x:v>
      </x:c>
      <x:c r="Y203" t="str">
        <x:v>This request does not match the associated Project SR number (04343). Kindly provide the correct Project SR number, together with the approved CS BIA, SOW and approved HLD, as supporting evidence for the review.</x:v>
      </x:c>
      <x:c r="Z203" t="n">
        <x:v>46210.275485115744</x:v>
      </x:c>
      <x:c r="AA203" t="str">
        <x:v>samsuddin.jumbri@petronas.com</x:v>
      </x:c>
      <x:c r="AB203" t="str">
        <x:v>rejected</x:v>
      </x:c>
      <x:c r="AC203"/>
      <x:c r="AD203"/>
      <x:c r="AE203" t="str">
        <x:v>IMS - CLOUD CSSP REVIEWER</x:v>
      </x:c>
      <x:c r="AF203"/>
      <x:c r="AG203"/>
      <x:c r="AH203"/>
      <x:c r="AI203" t="str">
        <x:v>IMS - CLOUD CSSP EXECUTOR</x:v>
      </x:c>
      <x:c r="AJ203"/>
      <x:c r="AK203"/>
      <x:c r="AL203" t="str">
        <x:v>e1827a6c-e18c-4500-94be-16de9cbb9e7c</x:v>
      </x:c>
      <x:c r="AM203" s="23" t="str">
        <x:f>IF(E203="processing",IF(Z203="","",IF(ISNUMBER(Z203),INT(Z203),DATE(VALUE(LEFT(Z203,4)),VALUE(MID(Z203,6,2)),VALUE(MID(Z203,9,2))))),IF(OR(E203="executing",E203="pending"),IF(AD203="","",IF(ISNUMBER(AD203),INT(AD203),DATE(VALUE(LEFT(AD203,4)),VALUE(MID(AD203,6,2)),VALUE(MID(AD203,9,2))))),""))</x:f>
      </x:c>
      <x:c r="AN203" s="24" t="str">
        <x:f>IF(AM203="","",INT('Configuration'!$B$4)-AM203)</x:f>
      </x:c>
      <x:c r="AO203" s="25" t="str">
        <x:f>IF(AM203="","Missing Required Date",IF(AN203&lt;0,"Future Date",IF(AN203=0,"0 days",IF(AN203&lt;=2,"1-2 days",IF(AN203&lt;=7,"3-7 days",IF(AN203&lt;=14,"8-14 days",IF(AN203&lt;=30,"15-30 days",IF(AN203&lt;=60,"31-60 days",IF(AN203&lt;=70,"61-70 days","71+ days")))))))))</x:f>
        <x:v>Missing Required Date</x:v>
      </x:c>
      <x:c r="AP203" s="25" t="str">
        <x:f>IF(OR(E203="processing",E203="executing",E203="pending"),IF(AM203="","Required aging date missing",IF(AN203&gt;30,"Escalate &gt;30d",IF(AN203&gt;14,"Watch &gt;14d","Within 14d"))),"Out of scope")</x:f>
        <x:v>Out of scope</x:v>
      </x:c>
    </x:row>
    <x:row r="204" ht="24" customHeight="1">
      <x:c r="A204" t="str">
        <x:v>301fbed9-00e3-4a60-bc88-0ad69be24b98</x:v>
      </x:c>
      <x:c r="B204" t="str">
        <x:v>CSSP10225257</x:v>
      </x:c>
      <x:c r="C204" t="str">
        <x:v>ivanlim.choonkit@petronas.com</x:v>
      </x:c>
      <x:c r="D204" t="str">
        <x:v>provision-cloud-public</x:v>
      </x:c>
      <x:c r="E204" t="str">
        <x:v>rejected</x:v>
      </x:c>
      <x:c r="F204" t="n">
        <x:v>46205.27383733796</x:v>
      </x:c>
      <x:c r="G204" t="n">
        <x:v>46205.27383733796</x:v>
      </x:c>
      <x:c r="H204" t="n">
        <x:v>46210.31215957176</x:v>
      </x:c>
      <x:c r="I204" t="str">
        <x:v>A-001241</x:v>
      </x:c>
      <x:c r="J204" t="str">
        <x:v>Digital Intelligence Center - DIC</x:v>
      </x:c>
      <x:c r="K204" t="n">
        <x:v>4712</x:v>
      </x:c>
      <x:c r="L204" t="str">
        <x:v>Deployment of Digital Intelligence Center (DIC) for Malaysia Petroleum Management (MPM)</x:v>
      </x:c>
      <x:c r="M204" t="str">
        <x:v>wadiah.rusli@petronas.com.my</x:v>
      </x:c>
      <x:c r="N204" t="str">
        <x:v>Deployment of Digital Intelligence Center (DIC) for MPM</x:v>
      </x:c>
      <x:c r="O204" t="str">
        <x:v>New</x:v>
      </x:c>
      <x:c r="P204" t="str">
        <x:v>Production</x:v>
      </x:c>
      <x:c r="Q204"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x:v>
      </x:c>
      <x:c r="R204" t="str">
        <x:v>S</x:v>
      </x:c>
      <x:c r="S204"/>
      <x:c r="T204"/>
      <x:c r="U204" t="str">
        <x:v>Approved. Please expedite.</x:v>
      </x:c>
      <x:c r="V204" t="n">
        <x:v>46206.03507974537</x:v>
      </x:c>
      <x:c r="W204" t="str">
        <x:v>wadiah.rusli@petronas.com</x:v>
      </x:c>
      <x:c r="X204" t="str">
        <x:v>approved</x:v>
      </x:c>
      <x:c r="Y204" t="str">
        <x:v>Please provide the approved CS BIA, Memo Approval (Business Approval), and the amended HLD with an updated architecture diagram incorporating the newly introduced EC2 instance, as supporting evidence to comply with the Cloud Service Request and Provisioning Guideline v4.0.</x:v>
      </x:c>
      <x:c r="Z204" t="n">
        <x:v>46210.312159583336</x:v>
      </x:c>
      <x:c r="AA204" t="str">
        <x:v>samsuddin.jumbri@petronas.com</x:v>
      </x:c>
      <x:c r="AB204" t="str">
        <x:v>rejected</x:v>
      </x:c>
      <x:c r="AC204"/>
      <x:c r="AD204"/>
      <x:c r="AE204" t="str">
        <x:v>IMS - CLOUD CSSP REVIEWER</x:v>
      </x:c>
      <x:c r="AF204"/>
      <x:c r="AG204"/>
      <x:c r="AH204"/>
      <x:c r="AI204" t="str">
        <x:v>IMS - CLOUD CSSP EXECUTOR</x:v>
      </x:c>
      <x:c r="AJ204"/>
      <x:c r="AK204"/>
      <x:c r="AL204" t="str">
        <x:v>cc71964c-37e4-4a55-80e9-353ad3690f75</x:v>
      </x:c>
      <x:c r="AM204" s="23" t="str">
        <x:f>IF(E204="processing",IF(Z204="","",IF(ISNUMBER(Z204),INT(Z204),DATE(VALUE(LEFT(Z204,4)),VALUE(MID(Z204,6,2)),VALUE(MID(Z204,9,2))))),IF(OR(E204="executing",E204="pending"),IF(AD204="","",IF(ISNUMBER(AD204),INT(AD204),DATE(VALUE(LEFT(AD204,4)),VALUE(MID(AD204,6,2)),VALUE(MID(AD204,9,2))))),""))</x:f>
      </x:c>
      <x:c r="AN204" s="24" t="str">
        <x:f>IF(AM204="","",INT('Configuration'!$B$4)-AM204)</x:f>
      </x:c>
      <x:c r="AO204" s="25" t="str">
        <x:f>IF(AM204="","Missing Required Date",IF(AN204&lt;0,"Future Date",IF(AN204=0,"0 days",IF(AN204&lt;=2,"1-2 days",IF(AN204&lt;=7,"3-7 days",IF(AN204&lt;=14,"8-14 days",IF(AN204&lt;=30,"15-30 days",IF(AN204&lt;=60,"31-60 days",IF(AN204&lt;=70,"61-70 days","71+ days")))))))))</x:f>
        <x:v>Missing Required Date</x:v>
      </x:c>
      <x:c r="AP204" s="25" t="str">
        <x:f>IF(OR(E204="processing",E204="executing",E204="pending"),IF(AM204="","Required aging date missing",IF(AN204&gt;30,"Escalate &gt;30d",IF(AN204&gt;14,"Watch &gt;14d","Within 14d"))),"Out of scope")</x:f>
        <x:v>Out of scope</x:v>
      </x:c>
    </x:row>
    <x:row r="205" ht="24" customHeight="1">
      <x:c r="A205" t="str">
        <x:v>399de0c7-8131-4207-a1e8-f3d205848502</x:v>
      </x:c>
      <x:c r="B205" t="str">
        <x:v>CSSP10301150</x:v>
      </x:c>
      <x:c r="C205" t="str">
        <x:v>ismail.azman@petronas.com</x:v>
      </x:c>
      <x:c r="D205" t="str">
        <x:v>provision-cloud-public</x:v>
      </x:c>
      <x:c r="E205" t="str">
        <x:v>rejected</x:v>
      </x:c>
      <x:c r="F205" t="n">
        <x:v>46208.780881886574</x:v>
      </x:c>
      <x:c r="G205" t="n">
        <x:v>46208.780881886574</x:v>
      </x:c>
      <x:c r="H205" t="n">
        <x:v>46209.07677895833</x:v>
      </x:c>
      <x:c r="I205" t="str">
        <x:v>C-000040</x:v>
      </x:c>
      <x:c r="J205" t="str">
        <x:v>Cloud Self Service Portal - CSSP</x:v>
      </x:c>
      <x:c r="K205" t="n">
        <x:v>1824</x:v>
      </x:c>
      <x:c r="L205" t="str">
        <x:v>Cloud Digitization - Cloud Self Service Portal</x:v>
      </x:c>
      <x:c r="M205" t="str">
        <x:v>ahmadfajar.faeiz@petronas.com</x:v>
      </x:c>
      <x:c r="N205" t="str">
        <x:v>CloudSSP</x:v>
      </x:c>
      <x:c r="O205" t="str">
        <x:v>New</x:v>
      </x:c>
      <x:c r="P205" t="str">
        <x:v>Development</x:v>
      </x:c>
      <x:c r="Q205" t="str">
        <x:v>Workflow update testing..</x:v>
      </x:c>
      <x:c r="R205"/>
      <x:c r="S205"/>
      <x:c r="T205"/>
      <x:c r="U205" t="str">
        <x:v>..</x:v>
      </x:c>
      <x:c r="V205" t="n">
        <x:v>46209.07677895833</x:v>
      </x:c>
      <x:c r="W205" t="str">
        <x:v>ismail.azman@petronas.com</x:v>
      </x:c>
      <x:c r="X205" t="str">
        <x:v>rejected</x:v>
      </x:c>
      <x:c r="Y205"/>
      <x:c r="Z205"/>
      <x:c r="AA205" t="str">
        <x:v>CCoE SA</x:v>
      </x:c>
      <x:c r="AB205"/>
      <x:c r="AC205"/>
      <x:c r="AD205"/>
      <x:c r="AE205" t="str">
        <x:v>IMS - CLOUD CSSP REVIEWER</x:v>
      </x:c>
      <x:c r="AF205"/>
      <x:c r="AG205"/>
      <x:c r="AH205"/>
      <x:c r="AI205" t="str">
        <x:v>IMS - CLOUD CSSP EXECUTOR</x:v>
      </x:c>
      <x:c r="AJ205"/>
      <x:c r="AK205"/>
      <x:c r="AL205" t="str">
        <x:v>ff15772f-f5d5-4613-a878-a022487e89aa</x:v>
      </x:c>
      <x:c r="AM205" s="23" t="str">
        <x:f>IF(E205="processing",IF(Z205="","",IF(ISNUMBER(Z205),INT(Z205),DATE(VALUE(LEFT(Z205,4)),VALUE(MID(Z205,6,2)),VALUE(MID(Z205,9,2))))),IF(OR(E205="executing",E205="pending"),IF(AD205="","",IF(ISNUMBER(AD205),INT(AD205),DATE(VALUE(LEFT(AD205,4)),VALUE(MID(AD205,6,2)),VALUE(MID(AD205,9,2))))),""))</x:f>
      </x:c>
      <x:c r="AN205" s="24" t="str">
        <x:f>IF(AM205="","",INT('Configuration'!$B$4)-AM205)</x:f>
      </x:c>
      <x:c r="AO205" s="25" t="str">
        <x:f>IF(AM205="","Missing Required Date",IF(AN205&lt;0,"Future Date",IF(AN205=0,"0 days",IF(AN205&lt;=2,"1-2 days",IF(AN205&lt;=7,"3-7 days",IF(AN205&lt;=14,"8-14 days",IF(AN205&lt;=30,"15-30 days",IF(AN205&lt;=60,"31-60 days",IF(AN205&lt;=70,"61-70 days","71+ days")))))))))</x:f>
        <x:v>Missing Required Date</x:v>
      </x:c>
      <x:c r="AP205" s="25" t="str">
        <x:f>IF(OR(E205="processing",E205="executing",E205="pending"),IF(AM205="","Required aging date missing",IF(AN205&gt;30,"Escalate &gt;30d",IF(AN205&gt;14,"Watch &gt;14d","Within 14d"))),"Out of scope")</x:f>
        <x:v>Out of scope</x:v>
      </x:c>
    </x:row>
    <x:row r="206" ht="24" customHeight="1">
      <x:c r="A206" t="str">
        <x:v>fa77b7d8-0475-40a0-a3b2-96871420e862</x:v>
      </x:c>
      <x:c r="B206" t="str">
        <x:v>CSSP10868450</x:v>
      </x:c>
      <x:c r="C206" t="str">
        <x:v>ismail.azman@petronas.com</x:v>
      </x:c>
      <x:c r="D206" t="str">
        <x:v>provision-cloud-public</x:v>
      </x:c>
      <x:c r="E206" t="str">
        <x:v>completed</x:v>
      </x:c>
      <x:c r="F206" t="n">
        <x:v>46209.139780983794</x:v>
      </x:c>
      <x:c r="G206" t="n">
        <x:v>46209.139780983794</x:v>
      </x:c>
      <x:c r="H206" t="n">
        <x:v>46231.28135295139</x:v>
      </x:c>
      <x:c r="I206" t="str">
        <x:v>C-000040</x:v>
      </x:c>
      <x:c r="J206" t="str">
        <x:v>Cloud Self Service Portal - CSSP</x:v>
      </x:c>
      <x:c r="K206" t="n">
        <x:v>1824</x:v>
      </x:c>
      <x:c r="L206" t="str">
        <x:v>Cloud Digitization - Cloud Self Service Portal</x:v>
      </x:c>
      <x:c r="M206" t="str">
        <x:v>ahmadfajar.faeiz@petronas.com</x:v>
      </x:c>
      <x:c r="N206" t="str">
        <x:v>CloudSSP</x:v>
      </x:c>
      <x:c r="O206" t="str">
        <x:v>New</x:v>
      </x:c>
      <x:c r="P206" t="str">
        <x:v>Development</x:v>
      </x:c>
      <x:c r="Q206" t="str">
        <x:v>sample testing ticket simulation</x:v>
      </x:c>
      <x:c r="R206" t="str">
        <x:v>S</x:v>
      </x:c>
      <x:c r="S206"/>
      <x:c r="T206"/>
      <x:c r="U206" t="str">
        <x:v>approved</x:v>
      </x:c>
      <x:c r="V206" t="n">
        <x:v>46209.140441539355</x:v>
      </x:c>
      <x:c r="W206" t="str">
        <x:v>ismail.azman@petronas.com</x:v>
      </x:c>
      <x:c r="X206" t="str">
        <x:v>approved</x:v>
      </x:c>
      <x:c r="Y206" t="str">
        <x:v>Good to go</x:v>
      </x:c>
      <x:c r="Z206" t="n">
        <x:v>46209.14385521991</x:v>
      </x:c>
      <x:c r="AA206" t="str">
        <x:v>samsuddin.jumbri@petronas.com</x:v>
      </x:c>
      <x:c r="AB206" t="str">
        <x:v>approved</x:v>
      </x:c>
      <x:c r="AC206" t="str">
        <x:v>Ready for provisioning</x:v>
      </x:c>
      <x:c r="AD206" t="n">
        <x:v>46209.14689827546</x:v>
      </x:c>
      <x:c r="AE206" t="str">
        <x:v>nilesh.sankpal@petronas.com</x:v>
      </x:c>
      <x:c r="AF206" t="str">
        <x:v>approved</x:v>
      </x:c>
      <x:c r="AG206" t="str">
        <x:v>testing ticket. no need to execute.</x:v>
      </x:c>
      <x:c r="AH206" t="n">
        <x:v>46231.28135295139</x:v>
      </x:c>
      <x:c r="AI206" t="str">
        <x:v>ismail.azman@petronas.com</x:v>
      </x:c>
      <x:c r="AJ206" t="str">
        <x:v>approved</x:v>
      </x:c>
      <x:c r="AK206" t="str">
        <x:v>REQ000008147456</x:v>
      </x:c>
      <x:c r="AL206" t="str">
        <x:v>ff15772f-f5d5-4613-a878-a022487e89aa</x:v>
      </x:c>
      <x:c r="AM206" s="23" t="str">
        <x:f>IF(E206="processing",IF(Z206="","",IF(ISNUMBER(Z206),INT(Z206),DATE(VALUE(LEFT(Z206,4)),VALUE(MID(Z206,6,2)),VALUE(MID(Z206,9,2))))),IF(OR(E206="executing",E206="pending"),IF(AD206="","",IF(ISNUMBER(AD206),INT(AD206),DATE(VALUE(LEFT(AD206,4)),VALUE(MID(AD206,6,2)),VALUE(MID(AD206,9,2))))),""))</x:f>
      </x:c>
      <x:c r="AN206" s="24" t="str">
        <x:f>IF(AM206="","",INT('Configuration'!$B$4)-AM206)</x:f>
      </x:c>
      <x:c r="AO206" s="25" t="str">
        <x:f>IF(AM206="","Missing Required Date",IF(AN206&lt;0,"Future Date",IF(AN206=0,"0 days",IF(AN206&lt;=2,"1-2 days",IF(AN206&lt;=7,"3-7 days",IF(AN206&lt;=14,"8-14 days",IF(AN206&lt;=30,"15-30 days",IF(AN206&lt;=60,"31-60 days",IF(AN206&lt;=70,"61-70 days","71+ days")))))))))</x:f>
        <x:v>Missing Required Date</x:v>
      </x:c>
      <x:c r="AP206" s="25" t="str">
        <x:f>IF(OR(E206="processing",E206="executing",E206="pending"),IF(AM206="","Required aging date missing",IF(AN206&gt;30,"Escalate &gt;30d",IF(AN206&gt;14,"Watch &gt;14d","Within 14d"))),"Out of scope")</x:f>
        <x:v>Out of scope</x:v>
      </x:c>
    </x:row>
    <x:row r="207" ht="24" customHeight="1">
      <x:c r="A207" t="str">
        <x:v>0fda9f98-a951-4a38-8059-66da8c1366ac</x:v>
      </x:c>
      <x:c r="B207" t="str">
        <x:v>CSSP10838332</x:v>
      </x:c>
      <x:c r="C207" t="str">
        <x:v>sengchin.leong@petronas.com</x:v>
      </x:c>
      <x:c r="D207" t="str">
        <x:v>provision-cloud-public</x:v>
      </x:c>
      <x:c r="E207" t="str">
        <x:v>completed</x:v>
      </x:c>
      <x:c r="F207" t="n">
        <x:v>46211.11866677083</x:v>
      </x:c>
      <x:c r="G207" t="n">
        <x:v>46211.11866677083</x:v>
      </x:c>
      <x:c r="H207" t="n">
        <x:v>46243.349771643516</x:v>
      </x:c>
      <x:c r="I207" t="str">
        <x:v>A-000170</x:v>
      </x:c>
      <x:c r="J207" t="str">
        <x:v>Cyber Security Mandiant Security Validation - MSV BFDC</x:v>
      </x:c>
      <x:c r="K207" t="str">
        <x:v>OSR00165_10</x:v>
      </x:c>
      <x:c r="L207" t="str">
        <x:v>OSR00165: Procurement and Infrastructure Deployment for Cyber Defense (Pilot Phase) - Mandiant Security Validation (MSV)</x:v>
      </x:c>
      <x:c r="M207" t="str">
        <x:v>mshafri.hatta@petronas.com</x:v>
      </x:c>
      <x:c r="N207" t="str">
        <x:v>Mandiant Security Validation (MSV)</x:v>
      </x:c>
      <x:c r="O207" t="str">
        <x:v>Repat</x:v>
      </x:c>
      <x:c r="P207" t="str">
        <x:v>Production</x:v>
      </x:c>
      <x:c r="Q207" t="str">
        <x:v>to migrate the MSV instance from AWS SG to AWS MY .
existing IP:
10.85.33.153
10.85.33.150</x:v>
      </x:c>
      <x:c r="R207" t="str">
        <x:v>M</x:v>
      </x:c>
      <x:c r="S207"/>
      <x:c r="T207"/>
      <x:c r="U207" t="str">
        <x:v>[System] Stage pre-approved for Cloud Repatriation project</x:v>
      </x:c>
      <x:c r="V207" t="n">
        <x:v>46211.11866677083</x:v>
      </x:c>
      <x:c r="W207" t="str">
        <x:v>mshafri.hatta@petronas.com</x:v>
      </x:c>
      <x:c r="X207" t="str">
        <x:v>approved</x:v>
      </x:c>
      <x:c r="Y207" t="str">
        <x:v>[System] Stage pre-approved for Cloud Repatriation project</x:v>
      </x:c>
      <x:c r="Z207" t="n">
        <x:v>46211.11866677083</x:v>
      </x:c>
      <x:c r="AA207" t="str">
        <x:v>CCoE Demand</x:v>
      </x:c>
      <x:c r="AB207" t="str">
        <x:v>approved</x:v>
      </x:c>
      <x:c r="AC207" t="str">
        <x:v>Approve</x:v>
      </x:c>
      <x:c r="AD207" t="n">
        <x:v>46222.85110743056</x:v>
      </x:c>
      <x:c r="AE207" t="str">
        <x:v>abhishek.bhowate@petronas.com</x:v>
      </x:c>
      <x:c r="AF207" t="str">
        <x:v>approved</x:v>
      </x:c>
      <x:c r="AG207" t="str">
        <x:v>done by amarja.</x:v>
      </x:c>
      <x:c r="AH207" t="n">
        <x:v>46243.349771678244</x:v>
      </x:c>
      <x:c r="AI207" t="str">
        <x:v>abdul.khoir@petronas.com</x:v>
      </x:c>
      <x:c r="AJ207" t="str">
        <x:v>approved</x:v>
      </x:c>
      <x:c r="AK207" t="str">
        <x:v>REQ000008200697</x:v>
      </x:c>
      <x:c r="AL207" t="str">
        <x:v>5c84ae07-84ce-404c-abe7-df8dfc5d5162</x:v>
      </x:c>
      <x:c r="AM207" s="23" t="str">
        <x:f>IF(E207="processing",IF(Z207="","",IF(ISNUMBER(Z207),INT(Z207),DATE(VALUE(LEFT(Z207,4)),VALUE(MID(Z207,6,2)),VALUE(MID(Z207,9,2))))),IF(OR(E207="executing",E207="pending"),IF(AD207="","",IF(ISNUMBER(AD207),INT(AD207),DATE(VALUE(LEFT(AD207,4)),VALUE(MID(AD207,6,2)),VALUE(MID(AD207,9,2))))),""))</x:f>
      </x:c>
      <x:c r="AN207" s="24" t="str">
        <x:f>IF(AM207="","",INT('Configuration'!$B$4)-AM207)</x:f>
      </x:c>
      <x:c r="AO207" s="25" t="str">
        <x:f>IF(AM207="","Missing Required Date",IF(AN207&lt;0,"Future Date",IF(AN207=0,"0 days",IF(AN207&lt;=2,"1-2 days",IF(AN207&lt;=7,"3-7 days",IF(AN207&lt;=14,"8-14 days",IF(AN207&lt;=30,"15-30 days",IF(AN207&lt;=60,"31-60 days",IF(AN207&lt;=70,"61-70 days","71+ days")))))))))</x:f>
        <x:v>Missing Required Date</x:v>
      </x:c>
      <x:c r="AP207" s="25" t="str">
        <x:f>IF(OR(E207="processing",E207="executing",E207="pending"),IF(AM207="","Required aging date missing",IF(AN207&gt;30,"Escalate &gt;30d",IF(AN207&gt;14,"Watch &gt;14d","Within 14d"))),"Out of scope")</x:f>
        <x:v>Out of scope</x:v>
      </x:c>
    </x:row>
    <x:row r="208" ht="24" customHeight="1">
      <x:c r="A208" t="str">
        <x:v>5b31886a-f4d6-40ec-ab00-11a357226ae0</x:v>
      </x:c>
      <x:c r="B208" t="str">
        <x:v>CSSP10686696</x:v>
      </x:c>
      <x:c r="C208" t="str">
        <x:v>hadi.hairi@petronas.com</x:v>
      </x:c>
      <x:c r="D208" t="str">
        <x:v>provision-cloud-public</x:v>
      </x:c>
      <x:c r="E208" t="str">
        <x:v>completed</x:v>
      </x:c>
      <x:c r="F208" t="n">
        <x:v>46211.369382627316</x:v>
      </x:c>
      <x:c r="G208" t="n">
        <x:v>46211.369382627316</x:v>
      </x:c>
      <x:c r="H208" t="n">
        <x:v>46237.20543516204</x:v>
      </x:c>
      <x:c r="I208" t="str">
        <x:v>A-001374</x:v>
      </x:c>
      <x:c r="J208" t="str">
        <x:v>Frontier Firm</x:v>
      </x:c>
      <x:c r="K208" t="str">
        <x:v>SR26854</x:v>
      </x:c>
      <x:c r="L208" t="str">
        <x:v>PDSB Frontier Firm</x:v>
      </x:c>
      <x:c r="M208" t="str">
        <x:v>mfarhan.kamaludin@petronas.com.my</x:v>
      </x:c>
      <x:c r="N208" t="str">
        <x:v>PDSB_Frontier_Firm</x:v>
      </x:c>
      <x:c r="O208" t="str">
        <x:v>New</x:v>
      </x:c>
      <x:c r="P208" t="str">
        <x:v>Development</x:v>
      </x:c>
      <x:c r="Q208" t="str">
        <x:v>1) The naming conventions under the label of "Custom Name" as per discussion with sujay.pillai@petronas.com.my
2) This solution will use spoke-hub model
3) The Spoke resources will be as listed in the Sheets will be provisioned in "PTAZSG-IAC-DEV-FF-RG" located in "PTAZMY-IAC-NONPROD-CORPORATE ENVIRONMENT".
4) Related CSSP request: CSSP10268716. Refer email 'RE: Frontier Firm LLD and Hub and Spoke Discussion' as well. </x:v>
      </x:c>
      <x:c r="R208" t="str">
        <x:v>L</x:v>
      </x:c>
      <x:c r="S208"/>
      <x:c r="T208"/>
      <x:c r="U208" t="str">
        <x:v>Approved as (in-lieu)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x:v>
      </x:c>
      <x:c r="V208" t="n">
        <x:v>46211.3886774537</x:v>
      </x:c>
      <x:c r="W208" t="str">
        <x:v>mfarhan.kamaludin@petronas.com</x:v>
      </x:c>
      <x:c r="X208" t="str">
        <x:v>approved</x:v>
      </x:c>
      <x:c r="Y208" t="str">
        <x:v>The infrastructure provisioning is good to proceed and will be implemented based on 5 use cases (UC). Kindly refer to the requestor's remarks for further details.</x:v>
      </x:c>
      <x:c r="Z208" t="n">
        <x:v>46218.277658935185</x:v>
      </x:c>
      <x:c r="AA208" t="str">
        <x:v>samsuddin.jumbri@petronas.com</x:v>
      </x:c>
      <x:c r="AB208" t="str">
        <x:v>approved</x:v>
      </x:c>
      <x:c r="AC208" t="str">
        <x:v>ok</x:v>
      </x:c>
      <x:c r="AD208" t="n">
        <x:v>46218.40987270833</x:v>
      </x:c>
      <x:c r="AE208" t="str">
        <x:v>abhishek.bhowate@petronas.com</x:v>
      </x:c>
      <x:c r="AF208" t="str">
        <x:v>approved</x:v>
      </x:c>
      <x:c r="AG208" t="str">
        <x:v>new provisioning has been completed hence closing the request</x:v>
      </x:c>
      <x:c r="AH208" t="n">
        <x:v>46237.20543517361</x:v>
      </x:c>
      <x:c r="AI208" t="str">
        <x:v>venkatesh.kalikivayi@petronas.com</x:v>
      </x:c>
      <x:c r="AJ208" t="str">
        <x:v>approved</x:v>
      </x:c>
      <x:c r="AK208" t="str">
        <x:v>REQ000008171474</x:v>
      </x:c>
      <x:c r="AL208" t="str">
        <x:v>6a3ea0b2-21a7-451c-a21d-3278b4fc6e80</x:v>
      </x:c>
      <x:c r="AM208" s="23" t="str">
        <x:f>IF(E208="processing",IF(Z208="","",IF(ISNUMBER(Z208),INT(Z208),DATE(VALUE(LEFT(Z208,4)),VALUE(MID(Z208,6,2)),VALUE(MID(Z208,9,2))))),IF(OR(E208="executing",E208="pending"),IF(AD208="","",IF(ISNUMBER(AD208),INT(AD208),DATE(VALUE(LEFT(AD208,4)),VALUE(MID(AD208,6,2)),VALUE(MID(AD208,9,2))))),""))</x:f>
      </x:c>
      <x:c r="AN208" s="24" t="str">
        <x:f>IF(AM208="","",INT('Configuration'!$B$4)-AM208)</x:f>
      </x:c>
      <x:c r="AO208" s="25" t="str">
        <x:f>IF(AM208="","Missing Required Date",IF(AN208&lt;0,"Future Date",IF(AN208=0,"0 days",IF(AN208&lt;=2,"1-2 days",IF(AN208&lt;=7,"3-7 days",IF(AN208&lt;=14,"8-14 days",IF(AN208&lt;=30,"15-30 days",IF(AN208&lt;=60,"31-60 days",IF(AN208&lt;=70,"61-70 days","71+ days")))))))))</x:f>
        <x:v>Missing Required Date</x:v>
      </x:c>
      <x:c r="AP208" s="25" t="str">
        <x:f>IF(OR(E208="processing",E208="executing",E208="pending"),IF(AM208="","Required aging date missing",IF(AN208&gt;30,"Escalate &gt;30d",IF(AN208&gt;14,"Watch &gt;14d","Within 14d"))),"Out of scope")</x:f>
        <x:v>Out of scope</x:v>
      </x:c>
    </x:row>
    <x:row r="209" ht="24" customHeight="1">
      <x:c r="A209" t="str">
        <x:v>c01be255-74c1-4aa7-8613-bfff57aa74df</x:v>
      </x:c>
      <x:c r="B209" t="str">
        <x:v>CSSP10692885</x:v>
      </x:c>
      <x:c r="C209" t="str">
        <x:v>mkhairulazhar.jamil@petronas.com</x:v>
      </x:c>
      <x:c r="D209" t="str">
        <x:v>provision-cloud-public</x:v>
      </x:c>
      <x:c r="E209" t="str">
        <x:v>completed</x:v>
      </x:c>
      <x:c r="F209" t="n">
        <x:v>46212.067548391205</x:v>
      </x:c>
      <x:c r="G209" t="n">
        <x:v>46212.067548391205</x:v>
      </x:c>
      <x:c r="H209" t="n">
        <x:v>46228.27258326389</x:v>
      </x:c>
      <x:c r="I209" t="str">
        <x:v>A-000124</x:v>
      </x:c>
      <x:c r="J209" t="str">
        <x:v>COMPASS</x:v>
      </x:c>
      <x:c r="K209" t="n">
        <x:v>1709</x:v>
      </x:c>
      <x:c r="L209" t="str">
        <x:v>COMPASS Phase 2</x:v>
      </x:c>
      <x:c r="M209" t="str">
        <x:v>amirshazlan.mshah@petronas.com</x:v>
      </x:c>
      <x:c r="N209" t="str">
        <x:v>COMPASS</x:v>
      </x:c>
      <x:c r="O209" t="str">
        <x:v>Modify</x:v>
      </x:c>
      <x:c r="P209" t="str">
        <x:v>StagingUat</x:v>
      </x:c>
      <x:c r="Q209" t="str">
        <x:v>To change the version of Stack selection for App Service (slot) from Node 20 LTS (Deprecated) to Node 22 LTS. 
1) ptsg-4compassp2wb02/stg
2) ptsg-4compassp2wb02/dev
We have tried to manually change it from Azure portal, but after some time, it automatically changed back to Node 20 LTS (Deprecated) 
</x:v>
      </x:c>
      <x:c r="R209" t="str">
        <x:v>M</x:v>
      </x:c>
      <x:c r="S209"/>
      <x:c r="T209"/>
      <x:c r="U209" t="str">
        <x:v>approved</x:v>
      </x:c>
      <x:c r="V209" t="n">
        <x:v>46212.06999364583</x:v>
      </x:c>
      <x:c r="W209" t="str">
        <x:v>amirshazlan.mshah@petronas.com</x:v>
      </x:c>
      <x:c r="X209" t="str">
        <x:v>approved</x:v>
      </x:c>
      <x:c r="Y209" t="str">
        <x:v>Reviewed and approved. The infrastructure provisioning/change request is justified to migrate the App Service slot runtime from Node.js 20 LTS (Deprecated) to Node.js 22 LTS for the identified environments. Please proceed with implementation in accordance with the requestor's remarks.</x:v>
      </x:c>
      <x:c r="Z209" t="n">
        <x:v>46218.29093434028</x:v>
      </x:c>
      <x:c r="AA209" t="str">
        <x:v>samsuddin.jumbri@petronas.com</x:v>
      </x:c>
      <x:c r="AB209" t="str">
        <x:v>approved</x:v>
      </x:c>
      <x:c r="AC209" t="str">
        <x:v>okay</x:v>
      </x:c>
      <x:c r="AD209" t="n">
        <x:v>46219.0394418287</x:v>
      </x:c>
      <x:c r="AE209" t="str">
        <x:v>abhishek.bhowate@petronas.com</x:v>
      </x:c>
      <x:c r="AF209" t="str">
        <x:v>approved</x:v>
      </x:c>
      <x:c r="AG209" t="str">
        <x:v>I have received confirmation from Mohd. No issues are observed on his end. hence closing the tickets </x:v>
      </x:c>
      <x:c r="AH209" t="n">
        <x:v>46228.272583275466</x:v>
      </x:c>
      <x:c r="AI209" t="str">
        <x:v>venkatesh.kalikivayi@petronas.com</x:v>
      </x:c>
      <x:c r="AJ209" t="str">
        <x:v>approved</x:v>
      </x:c>
      <x:c r="AK209" t="str">
        <x:v>REQ000008172529</x:v>
      </x:c>
      <x:c r="AL209" t="str">
        <x:v>90296959-c21f-48ac-8658-df869ee75354</x:v>
      </x:c>
      <x:c r="AM209" s="23" t="str">
        <x:f>IF(E209="processing",IF(Z209="","",IF(ISNUMBER(Z209),INT(Z209),DATE(VALUE(LEFT(Z209,4)),VALUE(MID(Z209,6,2)),VALUE(MID(Z209,9,2))))),IF(OR(E209="executing",E209="pending"),IF(AD209="","",IF(ISNUMBER(AD209),INT(AD209),DATE(VALUE(LEFT(AD209,4)),VALUE(MID(AD209,6,2)),VALUE(MID(AD209,9,2))))),""))</x:f>
      </x:c>
      <x:c r="AN209" s="24" t="str">
        <x:f>IF(AM209="","",INT('Configuration'!$B$4)-AM209)</x:f>
      </x:c>
      <x:c r="AO209" s="25" t="str">
        <x:f>IF(AM209="","Missing Required Date",IF(AN209&lt;0,"Future Date",IF(AN209=0,"0 days",IF(AN209&lt;=2,"1-2 days",IF(AN209&lt;=7,"3-7 days",IF(AN209&lt;=14,"8-14 days",IF(AN209&lt;=30,"15-30 days",IF(AN209&lt;=60,"31-60 days",IF(AN209&lt;=70,"61-70 days","71+ days")))))))))</x:f>
        <x:v>Missing Required Date</x:v>
      </x:c>
      <x:c r="AP209" s="25" t="str">
        <x:f>IF(OR(E209="processing",E209="executing",E209="pending"),IF(AM209="","Required aging date missing",IF(AN209&gt;30,"Escalate &gt;30d",IF(AN209&gt;14,"Watch &gt;14d","Within 14d"))),"Out of scope")</x:f>
        <x:v>Out of scope</x:v>
      </x:c>
    </x:row>
    <x:row r="210" ht="24" customHeight="1">
      <x:c r="A210" t="str">
        <x:v>632f682d-9b59-40a8-881e-23bdd630268d</x:v>
      </x:c>
      <x:c r="B210" t="str">
        <x:v>CSSP10141118</x:v>
      </x:c>
      <x:c r="C210" t="str">
        <x:v>mwafiy.omar@petronas.com</x:v>
      </x:c>
      <x:c r="D210" t="str">
        <x:v>provision-cloud-public</x:v>
      </x:c>
      <x:c r="E210" t="str">
        <x:v>executing</x:v>
      </x:c>
      <x:c r="F210" t="n">
        <x:v>46212.14192833333</x:v>
      </x:c>
      <x:c r="G210" t="n">
        <x:v>46212.14192833333</x:v>
      </x:c>
      <x:c r="H210" t="n">
        <x:v>46219.03734480324</x:v>
      </x:c>
      <x:c r="I210" t="str">
        <x:v>A-000285</x:v>
      </x:c>
      <x:c r="J210" t="str">
        <x:v>Enterprise Application Observability</x:v>
      </x:c>
      <x:c r="K210" t="str">
        <x:v>PC-00002</x:v>
      </x:c>
      <x:c r="L210" t="str">
        <x:v>Enterprise Application Observability</x:v>
      </x:c>
      <x:c r="M210" t="str">
        <x:v>chewjian.shin@petronas.com</x:v>
      </x:c>
      <x:c r="N210" t="str">
        <x:v>Enterprise Observability</x:v>
      </x:c>
      <x:c r="O210" t="str">
        <x:v>New</x:v>
      </x:c>
      <x:c r="P210" t="str">
        <x:v>Production</x:v>
      </x:c>
      <x:c r="Q210" t="str">
        <x:v>Requirement to add additional VMs for Enterprise Observability. Nodes added are covered under Indirect cost as per DISSC.</x:v>
      </x:c>
      <x:c r="R210" t="str">
        <x:v>L</x:v>
      </x:c>
      <x:c r="S210"/>
      <x:c r="T210"/>
      <x:c r="U210" t="str">
        <x:v>Approved.</x:v>
      </x:c>
      <x:c r="V210" t="n">
        <x:v>46212.14534962963</x:v>
      </x:c>
      <x:c r="W210" t="str">
        <x:v>chewjian.shin@petronas.com</x:v>
      </x:c>
      <x:c r="X210" t="str">
        <x:v>approved</x:v>
      </x:c>
      <x:c r="Y210" t="str">
        <x:v>Requester is asking for 21 VM although provisioning is through click ops, this is considered as large request.</x:v>
      </x:c>
      <x:c r="Z210" t="n">
        <x:v>46212.147386666664</x:v>
      </x:c>
      <x:c r="AA210" t="str">
        <x:v>chewjian.shin@petronas.com</x:v>
      </x:c>
      <x:c r="AB210" t="str">
        <x:v>approved</x:v>
      </x:c>
      <x:c r="AC210" t="str">
        <x:v>ok</x:v>
      </x:c>
      <x:c r="AD210" t="n">
        <x:v>46219.03734481482</x:v>
      </x:c>
      <x:c r="AE210" t="str">
        <x:v>abhishek.bhowate@petronas.com</x:v>
      </x:c>
      <x:c r="AF210" t="str">
        <x:v>approved</x:v>
      </x:c>
      <x:c r="AG210"/>
      <x:c r="AH210"/>
      <x:c r="AI210" t="str">
        <x:v>abdul.khoir@petronas.com</x:v>
      </x:c>
      <x:c r="AJ210"/>
      <x:c r="AK210" t="str">
        <x:v>REQ000008172527</x:v>
      </x:c>
      <x:c r="AL210" t="str">
        <x:v>66d4ebcb-ad48-4d93-a2d3-c759ef6af5c8</x:v>
      </x:c>
      <x:c r="AM210" s="23" t="n">
        <x:f>IF(E210="processing",IF(Z210="","",IF(ISNUMBER(Z210),INT(Z210),DATE(VALUE(LEFT(Z210,4)),VALUE(MID(Z210,6,2)),VALUE(MID(Z210,9,2))))),IF(OR(E210="executing",E210="pending"),IF(AD210="","",IF(ISNUMBER(AD210),INT(AD210),DATE(VALUE(LEFT(AD210,4)),VALUE(MID(AD210,6,2)),VALUE(MID(AD210,9,2))))),""))</x:f>
        <x:v>46219</x:v>
      </x:c>
      <x:c r="AN210" s="24" t="n">
        <x:f>IF(AM210="","",INT('Configuration'!$B$4)-AM210)</x:f>
        <x:v>32</x:v>
      </x:c>
      <x:c r="AO210" s="25" t="str">
        <x:f>IF(AM210="","Missing Required Date",IF(AN210&lt;0,"Future Date",IF(AN210=0,"0 days",IF(AN210&lt;=2,"1-2 days",IF(AN210&lt;=7,"3-7 days",IF(AN210&lt;=14,"8-14 days",IF(AN210&lt;=30,"15-30 days",IF(AN210&lt;=60,"31-60 days",IF(AN210&lt;=70,"61-70 days","71+ days")))))))))</x:f>
        <x:v>31-60 days</x:v>
      </x:c>
      <x:c r="AP210" s="25" t="str">
        <x:f>IF(OR(E210="processing",E210="executing",E210="pending"),IF(AM210="","Required aging date missing",IF(AN210&gt;30,"Escalate &gt;30d",IF(AN210&gt;14,"Watch &gt;14d","Within 14d"))),"Out of scope")</x:f>
        <x:v>Escalate &gt;30d</x:v>
      </x:c>
    </x:row>
    <x:row r="211" ht="24" customHeight="1">
      <x:c r="A211" t="str">
        <x:v>d44418db-a8d7-4ebf-ab37-42a1626348c9</x:v>
      </x:c>
      <x:c r="B211" t="str">
        <x:v>CSSP10863248</x:v>
      </x:c>
      <x:c r="C211" t="str">
        <x:v>mariffirdaus.mkhaidz@petronas.com</x:v>
      </x:c>
      <x:c r="D211" t="str">
        <x:v>provision-cloud-public</x:v>
      </x:c>
      <x:c r="E211" t="str">
        <x:v>rejected</x:v>
      </x:c>
      <x:c r="F211" t="n">
        <x:v>46216.13366177084</x:v>
      </x:c>
      <x:c r="G211" t="n">
        <x:v>46216.13366177084</x:v>
      </x:c>
      <x:c r="H211" t="n">
        <x:v>46216.331451273145</x:v>
      </x:c>
      <x:c r="I211" t="str">
        <x:v>A-001346</x:v>
      </x:c>
      <x:c r="J211" t="str">
        <x:v>GPE Digital Platform</x:v>
      </x:c>
      <x:c r="K211" t="str">
        <x:v>SR00331</x:v>
      </x:c>
      <x:c r="L211" t="str">
        <x:v>Quality Suite</x:v>
      </x:c>
      <x:c r="M211" t="str">
        <x:v>msufian.hussein@petronas.com</x:v>
      </x:c>
      <x:c r="N211" t="str">
        <x:v>Quality Suite</x:v>
      </x:c>
      <x:c r="O211" t="str">
        <x:v>New</x:v>
      </x:c>
      <x:c r="P211" t="str">
        <x:v>Production</x:v>
      </x:c>
      <x:c r="Q211" t="str">
        <x:v>Appreciate your assistance to provision these resources in the Production environment. The configurations and settings should be similar to our existing resources in STG environment.</x:v>
      </x:c>
      <x:c r="R211"/>
      <x:c r="S211"/>
      <x:c r="T211"/>
      <x:c r="U211"/>
      <x:c r="V211" t="n">
        <x:v>46216.33145128472</x:v>
      </x:c>
      <x:c r="W211" t="str">
        <x:v>msufian.hussein@petronas.com</x:v>
      </x:c>
      <x:c r="X211" t="str">
        <x:v>rejected</x:v>
      </x:c>
      <x:c r="Y211"/>
      <x:c r="Z211"/>
      <x:c r="AA211" t="str">
        <x:v>CCoE SA</x:v>
      </x:c>
      <x:c r="AB211"/>
      <x:c r="AC211"/>
      <x:c r="AD211"/>
      <x:c r="AE211" t="str">
        <x:v>IMS - CLOUD CSSP REVIEWER</x:v>
      </x:c>
      <x:c r="AF211"/>
      <x:c r="AG211"/>
      <x:c r="AH211"/>
      <x:c r="AI211" t="str">
        <x:v>IMS - CLOUD CSSP EXECUTOR</x:v>
      </x:c>
      <x:c r="AJ211"/>
      <x:c r="AK211"/>
      <x:c r="AL211" t="str">
        <x:v>868b1bbc-b9be-43ba-8175-d6ca35843984</x:v>
      </x:c>
      <x:c r="AM211" s="23" t="str">
        <x:f>IF(E211="processing",IF(Z211="","",IF(ISNUMBER(Z211),INT(Z211),DATE(VALUE(LEFT(Z211,4)),VALUE(MID(Z211,6,2)),VALUE(MID(Z211,9,2))))),IF(OR(E211="executing",E211="pending"),IF(AD211="","",IF(ISNUMBER(AD211),INT(AD211),DATE(VALUE(LEFT(AD211,4)),VALUE(MID(AD211,6,2)),VALUE(MID(AD211,9,2))))),""))</x:f>
      </x:c>
      <x:c r="AN211" s="24" t="str">
        <x:f>IF(AM211="","",INT('Configuration'!$B$4)-AM211)</x:f>
      </x:c>
      <x:c r="AO211" s="25" t="str">
        <x:f>IF(AM211="","Missing Required Date",IF(AN211&lt;0,"Future Date",IF(AN211=0,"0 days",IF(AN211&lt;=2,"1-2 days",IF(AN211&lt;=7,"3-7 days",IF(AN211&lt;=14,"8-14 days",IF(AN211&lt;=30,"15-30 days",IF(AN211&lt;=60,"31-60 days",IF(AN211&lt;=70,"61-70 days","71+ days")))))))))</x:f>
        <x:v>Missing Required Date</x:v>
      </x:c>
      <x:c r="AP211" s="25" t="str">
        <x:f>IF(OR(E211="processing",E211="executing",E211="pending"),IF(AM211="","Required aging date missing",IF(AN211&gt;30,"Escalate &gt;30d",IF(AN211&gt;14,"Watch &gt;14d","Within 14d"))),"Out of scope")</x:f>
        <x:v>Out of scope</x:v>
      </x:c>
    </x:row>
    <x:row r="212" ht="24" customHeight="1">
      <x:c r="A212" t="str">
        <x:v>0c335b48-5e96-4b98-a06a-e443f1da680e</x:v>
      </x:c>
      <x:c r="B212" t="str">
        <x:v>CSSP10858459</x:v>
      </x:c>
      <x:c r="C212" t="str">
        <x:v>mariffirdaus.mkhaidz@petronas.com</x:v>
      </x:c>
      <x:c r="D212" t="str">
        <x:v>provision-cloud-public</x:v>
      </x:c>
      <x:c r="E212" t="str">
        <x:v>rejected</x:v>
      </x:c>
      <x:c r="F212" t="n">
        <x:v>46216.326334861114</x:v>
      </x:c>
      <x:c r="G212" t="n">
        <x:v>46216.326334861114</x:v>
      </x:c>
      <x:c r="H212" t="n">
        <x:v>46222.844187002316</x:v>
      </x:c>
      <x:c r="I212" t="str">
        <x:v>A-001346</x:v>
      </x:c>
      <x:c r="J212" t="str">
        <x:v>GPE Digital Platform</x:v>
      </x:c>
      <x:c r="K212" t="str">
        <x:v>SR00331</x:v>
      </x:c>
      <x:c r="L212" t="str">
        <x:v>Quality Suite</x:v>
      </x:c>
      <x:c r="M212" t="str">
        <x:v>msufian.hussein@petronas.com</x:v>
      </x:c>
      <x:c r="N212" t="str">
        <x:v>Quality Suite</x:v>
      </x:c>
      <x:c r="O212" t="str">
        <x:v>New</x:v>
      </x:c>
      <x:c r="P212" t="str">
        <x:v>Production</x:v>
      </x:c>
      <x:c r="Q212" t="str">
        <x:v>Appreciate your assistance to provision these resources in the Production environment. The configurations and settings should be similar to our existing resources in NonPROD environment. 
Please note that for AWS Glue, the jobs will be temporary and will be used for data migration.</x:v>
      </x:c>
      <x:c r="R212" t="str">
        <x:v>M</x:v>
      </x:c>
      <x:c r="S212"/>
      <x:c r="T212"/>
      <x:c r="U212" t="str">
        <x:v>Approved.</x:v>
      </x:c>
      <x:c r="V212" t="n">
        <x:v>46216.33188362268</x:v>
      </x:c>
      <x:c r="W212" t="str">
        <x:v>msufian.hussein@petronas.com</x:v>
      </x:c>
      <x:c r="X212" t="str">
        <x:v>approved</x:v>
      </x:c>
      <x:c r="Y212" t="str">
        <x:v>Proceed and good to go</x:v>
      </x:c>
      <x:c r="Z212" t="n">
        <x:v>46220.630814606484</x:v>
      </x:c>
      <x:c r="AA212" t="str">
        <x:v>samsuddin.jumbri@petronas.com</x:v>
      </x:c>
      <x:c r="AB212" t="str">
        <x:v>approved</x:v>
      </x:c>
      <x:c r="AC212" t="str">
        <x:v>The request has been referred back to the requester for further clarification. Please provide the following details to proceed:
ElastiCache: Confirm the required cache size and provide an updated cost estimate.
Lambda: Provide runtime, memory, timeout, concurrency, and trigger source details for each function.
SNS/SQS: Provide SNS topics, subscriptions, queue names, queue type (Standard/FIFO), and DLQ configuration.
Step Functions: Provide the state machine definition and confirm whether it is Standard or Express.
Glue: Provide the complete job configuration and the decommission plan for temporary migration jobs.
CloudFront: Confirm the distribution configuration, origins, data transfer requirements, and domain details.
WAF: Confirm the required WAF rules and configuration.</x:v>
      </x:c>
      <x:c r="AD212" t="n">
        <x:v>46222.84418701389</x:v>
      </x:c>
      <x:c r="AE212" t="str">
        <x:v>abhishek.bhowate@petronas.com</x:v>
      </x:c>
      <x:c r="AF212" t="str">
        <x:v>rejected</x:v>
      </x:c>
      <x:c r="AG212"/>
      <x:c r="AH212"/>
      <x:c r="AI212" t="str">
        <x:v>venkatesh.kalikivayi@petronas.com</x:v>
      </x:c>
      <x:c r="AJ212"/>
      <x:c r="AK212" t="str">
        <x:v>REQ000008178967</x:v>
      </x:c>
      <x:c r="AL212" t="str">
        <x:v>868b1bbc-b9be-43ba-8175-d6ca35843984</x:v>
      </x:c>
      <x:c r="AM212" s="23" t="str">
        <x:f>IF(E212="processing",IF(Z212="","",IF(ISNUMBER(Z212),INT(Z212),DATE(VALUE(LEFT(Z212,4)),VALUE(MID(Z212,6,2)),VALUE(MID(Z212,9,2))))),IF(OR(E212="executing",E212="pending"),IF(AD212="","",IF(ISNUMBER(AD212),INT(AD212),DATE(VALUE(LEFT(AD212,4)),VALUE(MID(AD212,6,2)),VALUE(MID(AD212,9,2))))),""))</x:f>
      </x:c>
      <x:c r="AN212" s="24" t="str">
        <x:f>IF(AM212="","",INT('Configuration'!$B$4)-AM212)</x:f>
      </x:c>
      <x:c r="AO212" s="25" t="str">
        <x:f>IF(AM212="","Missing Required Date",IF(AN212&lt;0,"Future Date",IF(AN212=0,"0 days",IF(AN212&lt;=2,"1-2 days",IF(AN212&lt;=7,"3-7 days",IF(AN212&lt;=14,"8-14 days",IF(AN212&lt;=30,"15-30 days",IF(AN212&lt;=60,"31-60 days",IF(AN212&lt;=70,"61-70 days","71+ days")))))))))</x:f>
        <x:v>Missing Required Date</x:v>
      </x:c>
      <x:c r="AP212" s="25" t="str">
        <x:f>IF(OR(E212="processing",E212="executing",E212="pending"),IF(AM212="","Required aging date missing",IF(AN212&gt;30,"Escalate &gt;30d",IF(AN212&gt;14,"Watch &gt;14d","Within 14d"))),"Out of scope")</x:f>
        <x:v>Out of scope</x:v>
      </x:c>
    </x:row>
    <x:row r="213" ht="24" customHeight="1">
      <x:c r="A213" t="str">
        <x:v>c566327c-bb69-48c7-a486-a1888f478e12</x:v>
      </x:c>
      <x:c r="B213" t="str">
        <x:v>CSSP10656960</x:v>
      </x:c>
      <x:c r="C213" t="str">
        <x:v>ahmadaizuddin.badry@petronas.com</x:v>
      </x:c>
      <x:c r="D213" t="str">
        <x:v>provision-cloud-public</x:v>
      </x:c>
      <x:c r="E213" t="str">
        <x:v>rejected</x:v>
      </x:c>
      <x:c r="F213" t="n">
        <x:v>46217.062814861114</x:v>
      </x:c>
      <x:c r="G213" t="n">
        <x:v>46217.062814861114</x:v>
      </x:c>
      <x:c r="H213" t="n">
        <x:v>46226.165743032405</x:v>
      </x:c>
      <x:c r="I213" t="str">
        <x:v>A-000490</x:v>
      </x:c>
      <x:c r="J213" t="str">
        <x:v>MyProcure</x:v>
      </x:c>
      <x:c r="K213" t="n">
        <x:v>4343</x:v>
      </x:c>
      <x:c r="L213" t="str">
        <x:v>Procurement Innovation Through Automation And Procurement Marketplace</x:v>
      </x:c>
      <x:c r="M213" t="str">
        <x:v>zulfakar.mohd@petronas.com.my</x:v>
      </x:c>
      <x:c r="N213" t="str">
        <x:v>Procurement AI</x:v>
      </x:c>
      <x:c r="O213" t="str">
        <x:v>New</x:v>
      </x:c>
      <x:c r="P213" t="str">
        <x:v>StagingUat</x:v>
      </x:c>
      <x:c r="Q213" t="str">
        <x:v>Create new RG for Copilot
PTAZSG-COPILOT-DEV-DPPROC-RG
PTAZSG-COPILOT-UAT-DPPROC-RG
PTAZSG-COPILOT-PROD-DPPROC-RG</x:v>
      </x:c>
      <x:c r="R213" t="str">
        <x:v>S</x:v>
      </x:c>
      <x:c r="S213"/>
      <x:c r="T213"/>
      <x:c r="U213" t="str">
        <x:v>reviewed</x:v>
      </x:c>
      <x:c r="V213" t="n">
        <x:v>46224.261606319444</x:v>
      </x:c>
      <x:c r="W213" t="str">
        <x:v>zulfakar.mohd@petronas.com</x:v>
      </x:c>
      <x:c r="X213" t="str">
        <x:v>approved</x:v>
      </x:c>
      <x:c r="Y213" t="str">
        <x:v>This request does not match the associated Project SR number. Kindly provide the correct Project SR number, together with the approved SOW &amp; HLD, as supporting evidence for the review. Based on our review, the submitted SR number is related to the AWS platform; however, the current request is for provisioning resources in Microsoft Azure. Furthermore, DEV, UAT, and PROD environments must be requested via separate SRs. Kindly raise dedicated SRs for each environment.</x:v>
      </x:c>
      <x:c r="Z213" t="n">
        <x:v>46226.16574304398</x:v>
      </x:c>
      <x:c r="AA213" t="str">
        <x:v>samsuddin.jumbri@petronas.com</x:v>
      </x:c>
      <x:c r="AB213" t="str">
        <x:v>rejected</x:v>
      </x:c>
      <x:c r="AC213"/>
      <x:c r="AD213"/>
      <x:c r="AE213" t="str">
        <x:v>IMS - CLOUD CSSP REVIEWER</x:v>
      </x:c>
      <x:c r="AF213"/>
      <x:c r="AG213"/>
      <x:c r="AH213"/>
      <x:c r="AI213" t="str">
        <x:v>IMS - CLOUD CSSP EXECUTOR</x:v>
      </x:c>
      <x:c r="AJ213"/>
      <x:c r="AK213"/>
      <x:c r="AL213" t="str">
        <x:v>e1827a6c-e18c-4500-94be-16de9cbb9e7c</x:v>
      </x:c>
      <x:c r="AM213" s="23" t="str">
        <x:f>IF(E213="processing",IF(Z213="","",IF(ISNUMBER(Z213),INT(Z213),DATE(VALUE(LEFT(Z213,4)),VALUE(MID(Z213,6,2)),VALUE(MID(Z213,9,2))))),IF(OR(E213="executing",E213="pending"),IF(AD213="","",IF(ISNUMBER(AD213),INT(AD213),DATE(VALUE(LEFT(AD213,4)),VALUE(MID(AD213,6,2)),VALUE(MID(AD213,9,2))))),""))</x:f>
      </x:c>
      <x:c r="AN213" s="24" t="str">
        <x:f>IF(AM213="","",INT('Configuration'!$B$4)-AM213)</x:f>
      </x:c>
      <x:c r="AO213" s="25" t="str">
        <x:f>IF(AM213="","Missing Required Date",IF(AN213&lt;0,"Future Date",IF(AN213=0,"0 days",IF(AN213&lt;=2,"1-2 days",IF(AN213&lt;=7,"3-7 days",IF(AN213&lt;=14,"8-14 days",IF(AN213&lt;=30,"15-30 days",IF(AN213&lt;=60,"31-60 days",IF(AN213&lt;=70,"61-70 days","71+ days")))))))))</x:f>
        <x:v>Missing Required Date</x:v>
      </x:c>
      <x:c r="AP213" s="25" t="str">
        <x:f>IF(OR(E213="processing",E213="executing",E213="pending"),IF(AM213="","Required aging date missing",IF(AN213&gt;30,"Escalate &gt;30d",IF(AN213&gt;14,"Watch &gt;14d","Within 14d"))),"Out of scope")</x:f>
        <x:v>Out of scope</x:v>
      </x:c>
    </x:row>
    <x:row r="214" ht="24" customHeight="1">
      <x:c r="A214" t="str">
        <x:v>2805da8e-fd96-47d4-8bbe-23583d6951e3</x:v>
      </x:c>
      <x:c r="B214" t="str">
        <x:v>CSSP10523151</x:v>
      </x:c>
      <x:c r="C214" t="str">
        <x:v>hafidzh.zakaria@petronas.com</x:v>
      </x:c>
      <x:c r="D214" t="str">
        <x:v>provision-cloud-public</x:v>
      </x:c>
      <x:c r="E214" t="str">
        <x:v>rejected</x:v>
      </x:c>
      <x:c r="F214" t="n">
        <x:v>46217.26251277778</x:v>
      </x:c>
      <x:c r="G214" t="n">
        <x:v>46217.27895037037</x:v>
      </x:c>
      <x:c r="H214" t="n">
        <x:v>46226.178674490744</x:v>
      </x:c>
      <x:c r="I214" t="str">
        <x:v>P-000050</x:v>
      </x:c>
      <x:c r="J214" t="str">
        <x:v>VMware vCenter RDMZ RTOT</x:v>
      </x:c>
      <x:c r="K214" t="str">
        <x:v>10188_10</x:v>
      </x:c>
      <x:c r="L214" t="str">
        <x:v>VMware vCenter RDMZ RTOT created for PRIVATECLOUD project record</x:v>
      </x:c>
      <x:c r="M214" t="str">
        <x:v>raihan_ahmad@petronas.com.my</x:v>
      </x:c>
      <x:c r="N214" t="str">
        <x:v>CS RTOT</x:v>
      </x:c>
      <x:c r="O214" t="str">
        <x:v>New</x:v>
      </x:c>
      <x:c r="P214" t="str">
        <x:v>Production</x:v>
      </x:c>
      <x:c r="Q214" t="str">
        <x:v>Request to provision new server at L4 KVDC for ABB SRP Wicket. </x:v>
      </x:c>
      <x:c r="R214" t="str">
        <x:v>L</x:v>
      </x:c>
      <x:c r="S214"/>
      <x:c r="T214"/>
      <x:c r="U214" t="str">
        <x:v>Approve</x:v>
      </x:c>
      <x:c r="V214" t="n">
        <x:v>46218.0095822338</x:v>
      </x:c>
      <x:c r="W214" t="str">
        <x:v>raihan_ahmad@petronas.com</x:v>
      </x:c>
      <x:c r="X214" t="str">
        <x:v>approved</x:v>
      </x:c>
      <x:c r="Y214" t="str">
        <x:v>As part of the current infrastructure strategy, new infrastructure provisioning on on-premises platforms is generally not permitted, with cloud-first adoption being the preferred direction. Kindly review the requirement and assess deployment on the approved cloud platform instead. For further clarification, please consult with "Ridzuan B A Majid (IS/DIGITAL)".</x:v>
      </x:c>
      <x:c r="Z214" t="n">
        <x:v>46226.17867450231</x:v>
      </x:c>
      <x:c r="AA214" t="str">
        <x:v>samsuddin.jumbri@petronas.com</x:v>
      </x:c>
      <x:c r="AB214" t="str">
        <x:v>rejected</x:v>
      </x:c>
      <x:c r="AC214"/>
      <x:c r="AD214"/>
      <x:c r="AE214" t="str">
        <x:v>IMS - CLOUD CSSP REVIEWER</x:v>
      </x:c>
      <x:c r="AF214"/>
      <x:c r="AG214"/>
      <x:c r="AH214"/>
      <x:c r="AI214" t="str">
        <x:v>IMS - CLOUD CSSP EXECUTOR</x:v>
      </x:c>
      <x:c r="AJ214"/>
      <x:c r="AK214"/>
      <x:c r="AL214" t="str">
        <x:v>105fd04d-e288-4aa4-9271-ae2da8917315</x:v>
      </x:c>
      <x:c r="AM214" s="23" t="str">
        <x:f>IF(E214="processing",IF(Z214="","",IF(ISNUMBER(Z214),INT(Z214),DATE(VALUE(LEFT(Z214,4)),VALUE(MID(Z214,6,2)),VALUE(MID(Z214,9,2))))),IF(OR(E214="executing",E214="pending"),IF(AD214="","",IF(ISNUMBER(AD214),INT(AD214),DATE(VALUE(LEFT(AD214,4)),VALUE(MID(AD214,6,2)),VALUE(MID(AD214,9,2))))),""))</x:f>
      </x:c>
      <x:c r="AN214" s="24" t="str">
        <x:f>IF(AM214="","",INT('Configuration'!$B$4)-AM214)</x:f>
      </x:c>
      <x:c r="AO214" s="25" t="str">
        <x:f>IF(AM214="","Missing Required Date",IF(AN214&lt;0,"Future Date",IF(AN214=0,"0 days",IF(AN214&lt;=2,"1-2 days",IF(AN214&lt;=7,"3-7 days",IF(AN214&lt;=14,"8-14 days",IF(AN214&lt;=30,"15-30 days",IF(AN214&lt;=60,"31-60 days",IF(AN214&lt;=70,"61-70 days","71+ days")))))))))</x:f>
        <x:v>Missing Required Date</x:v>
      </x:c>
      <x:c r="AP214" s="25" t="str">
        <x:f>IF(OR(E214="processing",E214="executing",E214="pending"),IF(AM214="","Required aging date missing",IF(AN214&gt;30,"Escalate &gt;30d",IF(AN214&gt;14,"Watch &gt;14d","Within 14d"))),"Out of scope")</x:f>
        <x:v>Out of scope</x:v>
      </x:c>
    </x:row>
    <x:row r="215" ht="24" customHeight="1">
      <x:c r="A215" t="str">
        <x:v>929f57f0-42bd-4d90-baa3-c9a3c07ab2a4</x:v>
      </x:c>
      <x:c r="B215" t="str">
        <x:v>CSSP10313811</x:v>
      </x:c>
      <x:c r="C215" t="str">
        <x:v>hazmanhadi.mkhirola@petronas.com</x:v>
      </x:c>
      <x:c r="D215" t="str">
        <x:v>provision-cloud-public</x:v>
      </x:c>
      <x:c r="E215" t="str">
        <x:v>executing</x:v>
      </x:c>
      <x:c r="F215" t="n">
        <x:v>46217.442103761576</x:v>
      </x:c>
      <x:c r="G215" t="n">
        <x:v>46227.09271931713</x:v>
      </x:c>
      <x:c r="H215" t="n">
        <x:v>46233.103235925926</x:v>
      </x:c>
      <x:c r="I215" t="str">
        <x:v>A-000083</x:v>
      </x:c>
      <x:c r="J215" t="str">
        <x:v>Aveva</x:v>
      </x:c>
      <x:c r="K215" t="str">
        <x:v>00915_244</x:v>
      </x:c>
      <x:c r="L215" t="str">
        <x:v>Cloud Migration Program - Aveva</x:v>
      </x:c>
      <x:c r="M215" t="str">
        <x:v>nurdoriah.sarim@petronas.com</x:v>
      </x:c>
      <x:c r="N215" t="str">
        <x:v>Aveva</x:v>
      </x:c>
      <x:c r="O215" t="str">
        <x:v>New</x:v>
      </x:c>
      <x:c r="P215" t="str">
        <x:v>Production</x:v>
      </x:c>
      <x:c r="Q215" t="str">
        <x:v>To subscribe AI search, Bing Search, Logic Apps and Cold Storage.</x:v>
      </x:c>
      <x:c r="R215" t="str">
        <x:v>L</x:v>
      </x:c>
      <x:c r="S215"/>
      <x:c r="T215"/>
      <x:c r="U215" t="str">
        <x:v>Approved.</x:v>
      </x:c>
      <x:c r="V215" t="n">
        <x:v>46227.16271534722</x:v>
      </x:c>
      <x:c r="W215" t="str">
        <x:v>nurdoriah.sarim@petronas.com</x:v>
      </x:c>
      <x:c r="X215" t="str">
        <x:v>approved</x:v>
      </x:c>
      <x:c r="Y215" t="str">
        <x:v>Good to go</x:v>
      </x:c>
      <x:c r="Z215" t="n">
        <x:v>46231.35095645834</x:v>
      </x:c>
      <x:c r="AA215" t="str">
        <x:v>samsuddin.jumbri@petronas.com</x:v>
      </x:c>
      <x:c r="AB215" t="str">
        <x:v>approved</x:v>
      </x:c>
      <x:c r="AC215" t="str">
        <x:v>approve</x:v>
      </x:c>
      <x:c r="AD215" t="n">
        <x:v>46233.1032359375</x:v>
      </x:c>
      <x:c r="AE215" t="str">
        <x:v>abhishek.bhowate@petronas.com</x:v>
      </x:c>
      <x:c r="AF215" t="str">
        <x:v>approved</x:v>
      </x:c>
      <x:c r="AG215"/>
      <x:c r="AH215"/>
      <x:c r="AI215" t="str">
        <x:v>venkatesh.kalikivayi@petronas.com</x:v>
      </x:c>
      <x:c r="AJ215"/>
      <x:c r="AK215" t="str">
        <x:v>REQ000008203405</x:v>
      </x:c>
      <x:c r="AL215" t="str">
        <x:v>f57e22a1-0676-40e0-9658-4f70fbe49c4e</x:v>
      </x:c>
      <x:c r="AM215" s="23" t="n">
        <x:f>IF(E215="processing",IF(Z215="","",IF(ISNUMBER(Z215),INT(Z215),DATE(VALUE(LEFT(Z215,4)),VALUE(MID(Z215,6,2)),VALUE(MID(Z215,9,2))))),IF(OR(E215="executing",E215="pending"),IF(AD215="","",IF(ISNUMBER(AD215),INT(AD215),DATE(VALUE(LEFT(AD215,4)),VALUE(MID(AD215,6,2)),VALUE(MID(AD215,9,2))))),""))</x:f>
        <x:v>46233</x:v>
      </x:c>
      <x:c r="AN215" s="24" t="n">
        <x:f>IF(AM215="","",INT('Configuration'!$B$4)-AM215)</x:f>
        <x:v>18</x:v>
      </x:c>
      <x:c r="AO215" s="25" t="str">
        <x:f>IF(AM215="","Missing Required Date",IF(AN215&lt;0,"Future Date",IF(AN215=0,"0 days",IF(AN215&lt;=2,"1-2 days",IF(AN215&lt;=7,"3-7 days",IF(AN215&lt;=14,"8-14 days",IF(AN215&lt;=30,"15-30 days",IF(AN215&lt;=60,"31-60 days",IF(AN215&lt;=70,"61-70 days","71+ days")))))))))</x:f>
        <x:v>15-30 days</x:v>
      </x:c>
      <x:c r="AP215" s="25" t="str">
        <x:f>IF(OR(E215="processing",E215="executing",E215="pending"),IF(AM215="","Required aging date missing",IF(AN215&gt;30,"Escalate &gt;30d",IF(AN215&gt;14,"Watch &gt;14d","Within 14d"))),"Out of scope")</x:f>
        <x:v>Watch &gt;14d</x:v>
      </x:c>
    </x:row>
    <x:row r="216" ht="24" customHeight="1">
      <x:c r="A216" t="str">
        <x:v>265579c6-6c87-412e-8ccf-424cbf8eaec1</x:v>
      </x:c>
      <x:c r="B216" t="str">
        <x:v>CSSP10605623</x:v>
      </x:c>
      <x:c r="C216" t="str">
        <x:v>ahmadkamal.aziz@petronas.com</x:v>
      </x:c>
      <x:c r="D216" t="str">
        <x:v>provision-cloud-public</x:v>
      </x:c>
      <x:c r="E216" t="str">
        <x:v>executing</x:v>
      </x:c>
      <x:c r="F216" t="n">
        <x:v>46218.14130096065</x:v>
      </x:c>
      <x:c r="G216" t="n">
        <x:v>46220.55562508102</x:v>
      </x:c>
      <x:c r="H216" t="n">
        <x:v>46225.36828070602</x:v>
      </x:c>
      <x:c r="I216" t="str">
        <x:v>A-001385</x:v>
      </x:c>
      <x:c r="J216" t="str">
        <x:v>DevOps Portal</x:v>
      </x:c>
      <x:c r="K216" t="str">
        <x:v>BY26OPX-23374</x:v>
      </x:c>
      <x:c r="L216" t="str">
        <x:v>DevOps Portal</x:v>
      </x:c>
      <x:c r="M216" t="str">
        <x:v>syafiqaizat.mohd@petronas.com.my</x:v>
      </x:c>
      <x:c r="N216" t="str">
        <x:v>DevOps Project Portal</x:v>
      </x:c>
      <x:c r="O216" t="str">
        <x:v>New</x:v>
      </x:c>
      <x:c r="P216" t="str">
        <x:v>StagingUat</x:v>
      </x:c>
      <x:c r="Q216" t="str">
        <x:v>This is to provision staging environment for DevOps Portal</x:v>
      </x:c>
      <x:c r="R216" t="str">
        <x:v>L</x:v>
      </x:c>
      <x:c r="S216"/>
      <x:c r="T216"/>
      <x:c r="U216" t="str">
        <x:v>Reviewed</x:v>
      </x:c>
      <x:c r="V216" t="n">
        <x:v>46220.61309309028</x:v>
      </x:c>
      <x:c r="W216" t="str">
        <x:v>syafiqaizat.mohd@petronas.com</x:v>
      </x:c>
      <x:c r="X216" t="str">
        <x:v>approved</x:v>
      </x:c>
      <x:c r="Y216" t="str">
        <x:v>Good to go</x:v>
      </x:c>
      <x:c r="Z216" t="n">
        <x:v>46220.623469895836</x:v>
      </x:c>
      <x:c r="AA216" t="str">
        <x:v>samsuddin.jumbri@petronas.com</x:v>
      </x:c>
      <x:c r="AB216" t="str">
        <x:v>approved</x:v>
      </x:c>
      <x:c r="AC216" t="str">
        <x:v>approve</x:v>
      </x:c>
      <x:c r="AD216" t="n">
        <x:v>46225.36828070602</x:v>
      </x:c>
      <x:c r="AE216" t="str">
        <x:v>abhishek.bhowate@petronas.com</x:v>
      </x:c>
      <x:c r="AF216" t="str">
        <x:v>approved</x:v>
      </x:c>
      <x:c r="AG216"/>
      <x:c r="AH216"/>
      <x:c r="AI216" t="str">
        <x:v>abdul.khoir@petronas.com</x:v>
      </x:c>
      <x:c r="AJ216"/>
      <x:c r="AK216" t="str">
        <x:v>REQ000008186662</x:v>
      </x:c>
      <x:c r="AL216" t="str">
        <x:v>7d519f16-0fa4-4732-a7d8-5e7fba0106a0</x:v>
      </x:c>
      <x:c r="AM216" s="23" t="n">
        <x:f>IF(E216="processing",IF(Z216="","",IF(ISNUMBER(Z216),INT(Z216),DATE(VALUE(LEFT(Z216,4)),VALUE(MID(Z216,6,2)),VALUE(MID(Z216,9,2))))),IF(OR(E216="executing",E216="pending"),IF(AD216="","",IF(ISNUMBER(AD216),INT(AD216),DATE(VALUE(LEFT(AD216,4)),VALUE(MID(AD216,6,2)),VALUE(MID(AD216,9,2))))),""))</x:f>
        <x:v>46225</x:v>
      </x:c>
      <x:c r="AN216" s="24" t="n">
        <x:f>IF(AM216="","",INT('Configuration'!$B$4)-AM216)</x:f>
        <x:v>26</x:v>
      </x:c>
      <x:c r="AO216" s="25" t="str">
        <x:f>IF(AM216="","Missing Required Date",IF(AN216&lt;0,"Future Date",IF(AN216=0,"0 days",IF(AN216&lt;=2,"1-2 days",IF(AN216&lt;=7,"3-7 days",IF(AN216&lt;=14,"8-14 days",IF(AN216&lt;=30,"15-30 days",IF(AN216&lt;=60,"31-60 days",IF(AN216&lt;=70,"61-70 days","71+ days")))))))))</x:f>
        <x:v>15-30 days</x:v>
      </x:c>
      <x:c r="AP216" s="25" t="str">
        <x:f>IF(OR(E216="processing",E216="executing",E216="pending"),IF(AM216="","Required aging date missing",IF(AN216&gt;30,"Escalate &gt;30d",IF(AN216&gt;14,"Watch &gt;14d","Within 14d"))),"Out of scope")</x:f>
        <x:v>Watch &gt;14d</x:v>
      </x:c>
    </x:row>
    <x:row r="217" ht="24" customHeight="1">
      <x:c r="A217" t="str">
        <x:v>9bbf5aca-fa9e-4e30-9718-40189bd45b68</x:v>
      </x:c>
      <x:c r="B217" t="str">
        <x:v>CSSP10694706</x:v>
      </x:c>
      <x:c r="C217" t="str">
        <x:v>mshahrilfikri.alias@petronas.com</x:v>
      </x:c>
      <x:c r="D217" t="str">
        <x:v>provision-cloud-public</x:v>
      </x:c>
      <x:c r="E217" t="str">
        <x:v>rejected</x:v>
      </x:c>
      <x:c r="F217" t="n">
        <x:v>46219.06047244213</x:v>
      </x:c>
      <x:c r="G217" t="n">
        <x:v>46219.06047244213</x:v>
      </x:c>
      <x:c r="H217" t="n">
        <x:v>46222.80298237268</x:v>
      </x:c>
      <x:c r="I217" t="str">
        <x:v>A-000794</x:v>
      </x:c>
      <x:c r="J217" t="str">
        <x:v>STEPS Database Migration</x:v>
      </x:c>
      <x:c r="K217" t="str">
        <x:v>PC-00043</x:v>
      </x:c>
      <x:c r="L217" t="str">
        <x:v>SQL Server Test Site for STEPS Database Migration</x:v>
      </x:c>
      <x:c r="M217" t="str">
        <x:v>fatinayusoff@petronas.com</x:v>
      </x:c>
      <x:c r="N217" t="str">
        <x:v>STEPS Database Migration</x:v>
      </x:c>
      <x:c r="O217" t="str">
        <x:v>New</x:v>
      </x:c>
      <x:c r="P217" t="str">
        <x:v>StagingUat</x:v>
      </x:c>
      <x:c r="Q217" t="str">
        <x:v>Azure blob storage account for dev environment</x:v>
      </x:c>
      <x:c r="R217" t="str">
        <x:v>S</x:v>
      </x:c>
      <x:c r="S217"/>
      <x:c r="T217"/>
      <x:c r="U217" t="str">
        <x:v>Required to improve digital TA execution implementation specifically on storing evidence (testing for development environment)</x:v>
      </x:c>
      <x:c r="V217" t="n">
        <x:v>46219.15668673611</x:v>
      </x:c>
      <x:c r="W217" t="str">
        <x:v>fatinayusoff@petronas.com</x:v>
      </x:c>
      <x:c r="X217" t="str">
        <x:v>approved</x:v>
      </x:c>
      <x:c r="Y217" t="str">
        <x:v>Provision storage account in "PTAZSG-IAC-DEV-STEPS-PCG-RG" RG.</x:v>
      </x:c>
      <x:c r="Z217" t="n">
        <x:v>46219.29005700231</x:v>
      </x:c>
      <x:c r="AA217" t="str">
        <x:v>izham.ajmaan@petronas.com</x:v>
      </x:c>
      <x:c r="AB217" t="str">
        <x:v>approved</x:v>
      </x:c>
      <x:c r="AC217" t="str">
        <x:v>Need more clarification on resource provision. Please set up the call with IMS-Cloud operation to understand the requirement.</x:v>
      </x:c>
      <x:c r="AD217" t="n">
        <x:v>46222.80298238426</x:v>
      </x:c>
      <x:c r="AE217" t="str">
        <x:v>abhishek.bhowate@petronas.com</x:v>
      </x:c>
      <x:c r="AF217" t="str">
        <x:v>rejected</x:v>
      </x:c>
      <x:c r="AG217"/>
      <x:c r="AH217"/>
      <x:c r="AI217" t="str">
        <x:v>IMS - CLOUD CSSP EXECUTOR</x:v>
      </x:c>
      <x:c r="AJ217"/>
      <x:c r="AK217"/>
      <x:c r="AL217" t="str">
        <x:v>07c30938-4140-42e5-b08c-5429131afe98</x:v>
      </x:c>
      <x:c r="AM217" s="23" t="str">
        <x:f>IF(E217="processing",IF(Z217="","",IF(ISNUMBER(Z217),INT(Z217),DATE(VALUE(LEFT(Z217,4)),VALUE(MID(Z217,6,2)),VALUE(MID(Z217,9,2))))),IF(OR(E217="executing",E217="pending"),IF(AD217="","",IF(ISNUMBER(AD217),INT(AD217),DATE(VALUE(LEFT(AD217,4)),VALUE(MID(AD217,6,2)),VALUE(MID(AD217,9,2))))),""))</x:f>
      </x:c>
      <x:c r="AN217" s="24" t="str">
        <x:f>IF(AM217="","",INT('Configuration'!$B$4)-AM217)</x:f>
      </x:c>
      <x:c r="AO217" s="25" t="str">
        <x:f>IF(AM217="","Missing Required Date",IF(AN217&lt;0,"Future Date",IF(AN217=0,"0 days",IF(AN217&lt;=2,"1-2 days",IF(AN217&lt;=7,"3-7 days",IF(AN217&lt;=14,"8-14 days",IF(AN217&lt;=30,"15-30 days",IF(AN217&lt;=60,"31-60 days",IF(AN217&lt;=70,"61-70 days","71+ days")))))))))</x:f>
        <x:v>Missing Required Date</x:v>
      </x:c>
      <x:c r="AP217" s="25" t="str">
        <x:f>IF(OR(E217="processing",E217="executing",E217="pending"),IF(AM217="","Required aging date missing",IF(AN217&gt;30,"Escalate &gt;30d",IF(AN217&gt;14,"Watch &gt;14d","Within 14d"))),"Out of scope")</x:f>
        <x:v>Out of scope</x:v>
      </x:c>
    </x:row>
    <x:row r="218" ht="24" customHeight="1">
      <x:c r="A218" t="str">
        <x:v>7085e9c9-538a-4dd9-b20a-01f26c3a882d</x:v>
      </x:c>
      <x:c r="B218" t="str">
        <x:v>CSSP10152302</x:v>
      </x:c>
      <x:c r="C218" t="str">
        <x:v>azad.johari@petronas.com</x:v>
      </x:c>
      <x:c r="D218" t="str">
        <x:v>provision-cloud-public</x:v>
      </x:c>
      <x:c r="E218" t="str">
        <x:v>completed</x:v>
      </x:c>
      <x:c r="F218" t="n">
        <x:v>46220.07367790509</x:v>
      </x:c>
      <x:c r="G218" t="n">
        <x:v>46220.08964300926</x:v>
      </x:c>
      <x:c r="H218" t="n">
        <x:v>46244.06015922454</x:v>
      </x:c>
      <x:c r="I218" t="str">
        <x:v>A-000693</x:v>
      </x:c>
      <x:c r="J218" t="str">
        <x:v>RNETTS/Frontliner Assessment System FAST</x:v>
      </x:c>
      <x:c r="K218" t="n">
        <x:v>1814</x:v>
      </x:c>
      <x:c r="L218" t="str">
        <x:v>RNETTS interim platform Frontliner Assessment System FAST</x:v>
      </x:c>
      <x:c r="M218" t="str">
        <x:v>amirshazlan.mshah@petronas.com</x:v>
      </x:c>
      <x:c r="N218" t="str">
        <x:v>RNETTS FAST</x:v>
      </x:c>
      <x:c r="O218" t="str">
        <x:v>New</x:v>
      </x:c>
      <x:c r="P218" t="str">
        <x:v>Production</x:v>
      </x:c>
      <x:c r="Q218" t="str">
        <x:v>To add a new DB named "EPECAS" in current Azure SQL Elastic Pool "ptsg-1rnettfast-ep02". Redundancy set to "Locally-redundant backup storage". </x:v>
      </x:c>
      <x:c r="R218" t="str">
        <x:v>S</x:v>
      </x:c>
      <x:c r="S218"/>
      <x:c r="T218"/>
      <x:c r="U218" t="str">
        <x:v>approved for CE team review</x:v>
      </x:c>
      <x:c r="V218" t="n">
        <x:v>46220.11874019676</x:v>
      </x:c>
      <x:c r="W218" t="str">
        <x:v>amirshazlan.mshah@petronas.com</x:v>
      </x:c>
      <x:c r="X218" t="str">
        <x:v>approved</x:v>
      </x:c>
      <x:c r="Y218" t="str">
        <x:v>A request to create a new Azure SQL Database called EPECAS inside the existing Elastic Pool "ptsg-1rnettfast-ep02" with backup redundancy set to LRS</x:v>
      </x:c>
      <x:c r="Z218" t="n">
        <x:v>46220.3134428125</x:v>
      </x:c>
      <x:c r="AA218" t="str">
        <x:v>samsuddin.jumbri@petronas.com</x:v>
      </x:c>
      <x:c r="AB218" t="str">
        <x:v>approved</x:v>
      </x:c>
      <x:c r="AC218" t="str">
        <x:v>approve</x:v>
      </x:c>
      <x:c r="AD218" t="n">
        <x:v>46225.37270680555</x:v>
      </x:c>
      <x:c r="AE218" t="str">
        <x:v>abhishek.bhowate@petronas.com</x:v>
      </x:c>
      <x:c r="AF218" t="str">
        <x:v>approved</x:v>
      </x:c>
      <x:c r="AG218" t="str">
        <x:v>we have successfully created new DB &amp;azure SQL elastic pool hence closing the ticket</x:v>
      </x:c>
      <x:c r="AH218" t="n">
        <x:v>46244.06015923611</x:v>
      </x:c>
      <x:c r="AI218" t="str">
        <x:v>venkatesh.kalikivayi@petronas.com</x:v>
      </x:c>
      <x:c r="AJ218" t="str">
        <x:v>approved</x:v>
      </x:c>
      <x:c r="AK218" t="str">
        <x:v>REQ000008186664</x:v>
      </x:c>
      <x:c r="AL218" t="str">
        <x:v>4d34fdb7-60d7-4af1-9d63-91d40496e12d</x:v>
      </x:c>
      <x:c r="AM218" s="23" t="str">
        <x:f>IF(E218="processing",IF(Z218="","",IF(ISNUMBER(Z218),INT(Z218),DATE(VALUE(LEFT(Z218,4)),VALUE(MID(Z218,6,2)),VALUE(MID(Z218,9,2))))),IF(OR(E218="executing",E218="pending"),IF(AD218="","",IF(ISNUMBER(AD218),INT(AD218),DATE(VALUE(LEFT(AD218,4)),VALUE(MID(AD218,6,2)),VALUE(MID(AD218,9,2))))),""))</x:f>
      </x:c>
      <x:c r="AN218" s="24" t="str">
        <x:f>IF(AM218="","",INT('Configuration'!$B$4)-AM218)</x:f>
      </x:c>
      <x:c r="AO218" s="25" t="str">
        <x:f>IF(AM218="","Missing Required Date",IF(AN218&lt;0,"Future Date",IF(AN218=0,"0 days",IF(AN218&lt;=2,"1-2 days",IF(AN218&lt;=7,"3-7 days",IF(AN218&lt;=14,"8-14 days",IF(AN218&lt;=30,"15-30 days",IF(AN218&lt;=60,"31-60 days",IF(AN218&lt;=70,"61-70 days","71+ days")))))))))</x:f>
        <x:v>Missing Required Date</x:v>
      </x:c>
      <x:c r="AP218" s="25" t="str">
        <x:f>IF(OR(E218="processing",E218="executing",E218="pending"),IF(AM218="","Required aging date missing",IF(AN218&gt;30,"Escalate &gt;30d",IF(AN218&gt;14,"Watch &gt;14d","Within 14d"))),"Out of scope")</x:f>
        <x:v>Out of scope</x:v>
      </x:c>
    </x:row>
    <x:row r="219" ht="24" customHeight="1">
      <x:c r="A219" t="str">
        <x:v>f4e26687-790a-488b-891b-3efd713ec1cb</x:v>
      </x:c>
      <x:c r="B219" t="str">
        <x:v>CSSP10834193</x:v>
      </x:c>
      <x:c r="C219" t="str">
        <x:v>abdhatta.mtalib@petronas.com</x:v>
      </x:c>
      <x:c r="D219" t="str">
        <x:v>provision-cloud-public</x:v>
      </x:c>
      <x:c r="E219" t="str">
        <x:v>completed</x:v>
      </x:c>
      <x:c r="F219" t="n">
        <x:v>46223.30781104167</x:v>
      </x:c>
      <x:c r="G219" t="n">
        <x:v>46230.150496145834</x:v>
      </x:c>
      <x:c r="H219" t="n">
        <x:v>46245.62178033565</x:v>
      </x:c>
      <x:c r="I219" t="str">
        <x:v>A-001387</x:v>
      </x:c>
      <x:c r="J219" t="str">
        <x:v>Resource Management System - RMS</x:v>
      </x:c>
      <x:c r="K219" t="n">
        <x:v>3784</x:v>
      </x:c>
      <x:c r="L219" t="str">
        <x:v>Resource Management System (RMS) for PDSB</x:v>
      </x:c>
      <x:c r="M219" t="str">
        <x:v>sarkunan.tigarajan@petronas.com.my</x:v>
      </x:c>
      <x:c r="N219" t="str">
        <x:v>PDCR (PETRONAS Digital Centralized Reporting)</x:v>
      </x:c>
      <x:c r="O219" t="str">
        <x:v>New</x:v>
      </x:c>
      <x:c r="P219" t="str">
        <x:v>Development</x:v>
      </x:c>
      <x:c r="Q219" t="str">
        <x:v>Request for provisioning development environment
Updated BOM document privacy </x:v>
      </x:c>
      <x:c r="R219" t="str">
        <x:v>L</x:v>
      </x:c>
      <x:c r="S219"/>
      <x:c r="T219"/>
      <x:c r="U219" t="str">
        <x:v>Approved</x:v>
      </x:c>
      <x:c r="V219" t="n">
        <x:v>46224.27084909722</x:v>
      </x:c>
      <x:c r="W219" t="str">
        <x:v>sarkunan.tigarajan@petronas.com</x:v>
      </x:c>
      <x:c r="X219" t="str">
        <x:v>approved</x:v>
      </x:c>
      <x:c r="Y219" t="str">
        <x:v>Good to go</x:v>
      </x:c>
      <x:c r="Z219" t="n">
        <x:v>46226.406443912034</x:v>
      </x:c>
      <x:c r="AA219" t="str">
        <x:v>samsuddin.jumbri@petronas.com</x:v>
      </x:c>
      <x:c r="AB219" t="str">
        <x:v>approved</x:v>
      </x:c>
      <x:c r="AC219" t="str">
        <x:v>Approve</x:v>
      </x:c>
      <x:c r="AD219" t="n">
        <x:v>46231.19995699074</x:v>
      </x:c>
      <x:c r="AE219" t="str">
        <x:v>abhishek.bhowate@petronas.com</x:v>
      </x:c>
      <x:c r="AF219" t="str">
        <x:v>approved</x:v>
      </x:c>
      <x:c r="AG219" t="str">
        <x:v>already worked for this request.</x:v>
      </x:c>
      <x:c r="AH219" t="n">
        <x:v>46245.621780347225</x:v>
      </x:c>
      <x:c r="AI219" t="str">
        <x:v>abdul.khoir@petronas.com</x:v>
      </x:c>
      <x:c r="AJ219" t="str">
        <x:v>approved</x:v>
      </x:c>
      <x:c r="AK219" t="str">
        <x:v>REQ000008198546</x:v>
      </x:c>
      <x:c r="AL219" t="str">
        <x:v>efe3e234-b5d9-4b52-ba4e-6bf4ab77fa1e</x:v>
      </x:c>
      <x:c r="AM219" s="23" t="str">
        <x:f>IF(E219="processing",IF(Z219="","",IF(ISNUMBER(Z219),INT(Z219),DATE(VALUE(LEFT(Z219,4)),VALUE(MID(Z219,6,2)),VALUE(MID(Z219,9,2))))),IF(OR(E219="executing",E219="pending"),IF(AD219="","",IF(ISNUMBER(AD219),INT(AD219),DATE(VALUE(LEFT(AD219,4)),VALUE(MID(AD219,6,2)),VALUE(MID(AD219,9,2))))),""))</x:f>
      </x:c>
      <x:c r="AN219" s="24" t="str">
        <x:f>IF(AM219="","",INT('Configuration'!$B$4)-AM219)</x:f>
      </x:c>
      <x:c r="AO219" s="25" t="str">
        <x:f>IF(AM219="","Missing Required Date",IF(AN219&lt;0,"Future Date",IF(AN219=0,"0 days",IF(AN219&lt;=2,"1-2 days",IF(AN219&lt;=7,"3-7 days",IF(AN219&lt;=14,"8-14 days",IF(AN219&lt;=30,"15-30 days",IF(AN219&lt;=60,"31-60 days",IF(AN219&lt;=70,"61-70 days","71+ days")))))))))</x:f>
        <x:v>Missing Required Date</x:v>
      </x:c>
      <x:c r="AP219" s="25" t="str">
        <x:f>IF(OR(E219="processing",E219="executing",E219="pending"),IF(AM219="","Required aging date missing",IF(AN219&gt;30,"Escalate &gt;30d",IF(AN219&gt;14,"Watch &gt;14d","Within 14d"))),"Out of scope")</x:f>
        <x:v>Out of scope</x:v>
      </x:c>
    </x:row>
    <x:row r="220" ht="24" customHeight="1">
      <x:c r="A220" t="str">
        <x:v>9ba462ef-a033-4733-b7ba-625e8ec22a20</x:v>
      </x:c>
      <x:c r="B220" t="str">
        <x:v>CSSP10444708</x:v>
      </x:c>
      <x:c r="C220" t="str">
        <x:v>abdhatta.mtalib@petronas.com</x:v>
      </x:c>
      <x:c r="D220" t="str">
        <x:v>provision-cloud-public</x:v>
      </x:c>
      <x:c r="E220" t="str">
        <x:v>executing</x:v>
      </x:c>
      <x:c r="F220" t="n">
        <x:v>46223.31097395833</x:v>
      </x:c>
      <x:c r="G220" t="n">
        <x:v>46230.14966824074</x:v>
      </x:c>
      <x:c r="H220" t="n">
        <x:v>46231.20019405093</x:v>
      </x:c>
      <x:c r="I220" t="str">
        <x:v>A-001387</x:v>
      </x:c>
      <x:c r="J220" t="str">
        <x:v>Resource Management System - RMS</x:v>
      </x:c>
      <x:c r="K220" t="n">
        <x:v>3784</x:v>
      </x:c>
      <x:c r="L220" t="str">
        <x:v>Resource Management System (RMS) for PDSB</x:v>
      </x:c>
      <x:c r="M220" t="str">
        <x:v>sarkunan.tigarajan@petronas.com.my</x:v>
      </x:c>
      <x:c r="N220" t="str">
        <x:v>Resource Management System (RMS)</x:v>
      </x:c>
      <x:c r="O220" t="str">
        <x:v>New</x:v>
      </x:c>
      <x:c r="P220" t="str">
        <x:v>StagingUat</x:v>
      </x:c>
      <x:c r="Q220" t="str">
        <x:v>Request for provisioning staging/UAT environment
Updated Bill of Material privacy setting to open</x:v>
      </x:c>
      <x:c r="R220" t="str">
        <x:v>L</x:v>
      </x:c>
      <x:c r="S220"/>
      <x:c r="T220"/>
      <x:c r="U220" t="str">
        <x:v>Approved</x:v>
      </x:c>
      <x:c r="V220" t="n">
        <x:v>46224.27526461805</x:v>
      </x:c>
      <x:c r="W220" t="str">
        <x:v>sarkunan.tigarajan@petronas.com</x:v>
      </x:c>
      <x:c r="X220" t="str">
        <x:v>approved</x:v>
      </x:c>
      <x:c r="Y220" t="str">
        <x:v>Good to go</x:v>
      </x:c>
      <x:c r="Z220" t="n">
        <x:v>46226.40610689815</x:v>
      </x:c>
      <x:c r="AA220" t="str">
        <x:v>samsuddin.jumbri@petronas.com</x:v>
      </x:c>
      <x:c r="AB220" t="str">
        <x:v>approved</x:v>
      </x:c>
      <x:c r="AC220" t="str">
        <x:v>Approve</x:v>
      </x:c>
      <x:c r="AD220" t="n">
        <x:v>46231.2001940625</x:v>
      </x:c>
      <x:c r="AE220" t="str">
        <x:v>abhishek.bhowate@petronas.com</x:v>
      </x:c>
      <x:c r="AF220" t="str">
        <x:v>approved</x:v>
      </x:c>
      <x:c r="AG220"/>
      <x:c r="AH220"/>
      <x:c r="AI220" t="str">
        <x:v>abdul.khoir@petronas.com</x:v>
      </x:c>
      <x:c r="AJ220"/>
      <x:c r="AK220" t="str">
        <x:v>REQ000008198547</x:v>
      </x:c>
      <x:c r="AL220" t="str">
        <x:v>efe3e234-b5d9-4b52-ba4e-6bf4ab77fa1e</x:v>
      </x:c>
      <x:c r="AM220" s="23" t="n">
        <x:f>IF(E220="processing",IF(Z220="","",IF(ISNUMBER(Z220),INT(Z220),DATE(VALUE(LEFT(Z220,4)),VALUE(MID(Z220,6,2)),VALUE(MID(Z220,9,2))))),IF(OR(E220="executing",E220="pending"),IF(AD220="","",IF(ISNUMBER(AD220),INT(AD220),DATE(VALUE(LEFT(AD220,4)),VALUE(MID(AD220,6,2)),VALUE(MID(AD220,9,2))))),""))</x:f>
        <x:v>46231</x:v>
      </x:c>
      <x:c r="AN220" s="24" t="n">
        <x:f>IF(AM220="","",INT('Configuration'!$B$4)-AM220)</x:f>
        <x:v>20</x:v>
      </x:c>
      <x:c r="AO220" s="25" t="str">
        <x:f>IF(AM220="","Missing Required Date",IF(AN220&lt;0,"Future Date",IF(AN220=0,"0 days",IF(AN220&lt;=2,"1-2 days",IF(AN220&lt;=7,"3-7 days",IF(AN220&lt;=14,"8-14 days",IF(AN220&lt;=30,"15-30 days",IF(AN220&lt;=60,"31-60 days",IF(AN220&lt;=70,"61-70 days","71+ days")))))))))</x:f>
        <x:v>15-30 days</x:v>
      </x:c>
      <x:c r="AP220" s="25" t="str">
        <x:f>IF(OR(E220="processing",E220="executing",E220="pending"),IF(AM220="","Required aging date missing",IF(AN220&gt;30,"Escalate &gt;30d",IF(AN220&gt;14,"Watch &gt;14d","Within 14d"))),"Out of scope")</x:f>
        <x:v>Watch &gt;14d</x:v>
      </x:c>
    </x:row>
    <x:row r="221" ht="24" customHeight="1">
      <x:c r="A221" t="str">
        <x:v>2fd51979-66ee-4102-be2c-ed1f134ab45b</x:v>
      </x:c>
      <x:c r="B221" t="str">
        <x:v>CSSP10113283</x:v>
      </x:c>
      <x:c r="C221" t="str">
        <x:v>abdhatta.mtalib@petronas.com</x:v>
      </x:c>
      <x:c r="D221" t="str">
        <x:v>provision-cloud-public</x:v>
      </x:c>
      <x:c r="E221" t="str">
        <x:v>executing</x:v>
      </x:c>
      <x:c r="F221" t="n">
        <x:v>46223.31209334491</x:v>
      </x:c>
      <x:c r="G221" t="n">
        <x:v>46230.14839824074</x:v>
      </x:c>
      <x:c r="H221" t="n">
        <x:v>46231.200593657406</x:v>
      </x:c>
      <x:c r="I221" t="str">
        <x:v>A-001387</x:v>
      </x:c>
      <x:c r="J221" t="str">
        <x:v>Resource Management System - RMS</x:v>
      </x:c>
      <x:c r="K221" t="n">
        <x:v>3784</x:v>
      </x:c>
      <x:c r="L221" t="str">
        <x:v>Resource Management System (RMS) for PDSB</x:v>
      </x:c>
      <x:c r="M221" t="str">
        <x:v>sarkunan.tigarajan@petronas.com.my</x:v>
      </x:c>
      <x:c r="N221" t="str">
        <x:v>Resource Management System (RMS)</x:v>
      </x:c>
      <x:c r="O221" t="str">
        <x:v>New</x:v>
      </x:c>
      <x:c r="P221" t="str">
        <x:v>Production</x:v>
      </x:c>
      <x:c r="Q221" t="str">
        <x:v>Request for provisioning Production environment
Have removed privacy for BOM documents</x:v>
      </x:c>
      <x:c r="R221" t="str">
        <x:v>L</x:v>
      </x:c>
      <x:c r="S221"/>
      <x:c r="T221"/>
      <x:c r="U221" t="str">
        <x:v>Approved</x:v>
      </x:c>
      <x:c r="V221" t="n">
        <x:v>46224.27526461805</x:v>
      </x:c>
      <x:c r="W221" t="str">
        <x:v>sarkunan.tigarajan@petronas.com</x:v>
      </x:c>
      <x:c r="X221" t="str">
        <x:v>approved</x:v>
      </x:c>
      <x:c r="Y221" t="str">
        <x:v>Good to go</x:v>
      </x:c>
      <x:c r="Z221" t="n">
        <x:v>46226.40610689815</x:v>
      </x:c>
      <x:c r="AA221" t="str">
        <x:v>samsuddin.jumbri@petronas.com</x:v>
      </x:c>
      <x:c r="AB221" t="str">
        <x:v>approved</x:v>
      </x:c>
      <x:c r="AC221" t="str">
        <x:v>Approve</x:v>
      </x:c>
      <x:c r="AD221" t="n">
        <x:v>46231.200593657406</x:v>
      </x:c>
      <x:c r="AE221" t="str">
        <x:v>abhishek.bhowate@petronas.com</x:v>
      </x:c>
      <x:c r="AF221" t="str">
        <x:v>approved</x:v>
      </x:c>
      <x:c r="AG221"/>
      <x:c r="AH221"/>
      <x:c r="AI221" t="str">
        <x:v>abdul.khoir@petronas.com</x:v>
      </x:c>
      <x:c r="AJ221"/>
      <x:c r="AK221" t="str">
        <x:v>REQ000008198548</x:v>
      </x:c>
      <x:c r="AL221" t="str">
        <x:v>efe3e234-b5d9-4b52-ba4e-6bf4ab77fa1e</x:v>
      </x:c>
      <x:c r="AM221" s="23" t="n">
        <x:f>IF(E221="processing",IF(Z221="","",IF(ISNUMBER(Z221),INT(Z221),DATE(VALUE(LEFT(Z221,4)),VALUE(MID(Z221,6,2)),VALUE(MID(Z221,9,2))))),IF(OR(E221="executing",E221="pending"),IF(AD221="","",IF(ISNUMBER(AD221),INT(AD221),DATE(VALUE(LEFT(AD221,4)),VALUE(MID(AD221,6,2)),VALUE(MID(AD221,9,2))))),""))</x:f>
        <x:v>46231</x:v>
      </x:c>
      <x:c r="AN221" s="24" t="n">
        <x:f>IF(AM221="","",INT('Configuration'!$B$4)-AM221)</x:f>
        <x:v>20</x:v>
      </x:c>
      <x:c r="AO221" s="25" t="str">
        <x:f>IF(AM221="","Missing Required Date",IF(AN221&lt;0,"Future Date",IF(AN221=0,"0 days",IF(AN221&lt;=2,"1-2 days",IF(AN221&lt;=7,"3-7 days",IF(AN221&lt;=14,"8-14 days",IF(AN221&lt;=30,"15-30 days",IF(AN221&lt;=60,"31-60 days",IF(AN221&lt;=70,"61-70 days","71+ days")))))))))</x:f>
        <x:v>15-30 days</x:v>
      </x:c>
      <x:c r="AP221" s="25" t="str">
        <x:f>IF(OR(E221="processing",E221="executing",E221="pending"),IF(AM221="","Required aging date missing",IF(AN221&gt;30,"Escalate &gt;30d",IF(AN221&gt;14,"Watch &gt;14d","Within 14d"))),"Out of scope")</x:f>
        <x:v>Watch &gt;14d</x:v>
      </x:c>
    </x:row>
    <x:row r="222" ht="24" customHeight="1">
      <x:c r="A222" t="str">
        <x:v>5098e45f-f471-4a90-bebd-4154672bf929</x:v>
      </x:c>
      <x:c r="B222" t="str">
        <x:v>CSSP10916540</x:v>
      </x:c>
      <x:c r="C222" t="str">
        <x:v>mnizam_ahmad@petronas.com</x:v>
      </x:c>
      <x:c r="D222" t="str">
        <x:v>provision-cloud-public</x:v>
      </x:c>
      <x:c r="E222" t="str">
        <x:v>completed</x:v>
      </x:c>
      <x:c r="F222" t="n">
        <x:v>46224.205672731485</x:v>
      </x:c>
      <x:c r="G222" t="n">
        <x:v>46224.205672731485</x:v>
      </x:c>
      <x:c r="H222" t="n">
        <x:v>46232.186743356484</x:v>
      </x:c>
      <x:c r="I222" t="str">
        <x:v>A-001389</x:v>
      </x:c>
      <x:c r="J222" t="str">
        <x:v>IGA for ENIGMA SEARAH</x:v>
      </x:c>
      <x:c r="K222" t="str">
        <x:v>SR26939_IGA</x:v>
      </x:c>
      <x:c r="L222" t="str">
        <x:v>ENIGMA JV (Infra): ENIgma Cloud Landing Zone Implementation</x:v>
      </x:c>
      <x:c r="M222" t="str">
        <x:v>azizul.a@petronas.com</x:v>
      </x:c>
      <x:c r="N222" t="str">
        <x:v>CS - IAM</x:v>
      </x:c>
      <x:c r="O222" t="str">
        <x:v>New</x:v>
      </x:c>
      <x:c r="P222" t="str">
        <x:v>Production</x:v>
      </x:c>
      <x:c r="Q222" t="str">
        <x:v>For Searah IGA On Premise Gateway</x:v>
      </x:c>
      <x:c r="R222" t="str">
        <x:v>S</x:v>
      </x:c>
      <x:c r="S222"/>
      <x:c r="T222"/>
      <x:c r="U222" t="str">
        <x:v>Approved for Searah's IGA deployment</x:v>
      </x:c>
      <x:c r="V222" t="n">
        <x:v>46224.20678555556</x:v>
      </x:c>
      <x:c r="W222" t="str">
        <x:v>azizul.a@petronas.com</x:v>
      </x:c>
      <x:c r="X222" t="str">
        <x:v>approved</x:v>
      </x:c>
      <x:c r="Y222" t="str">
        <x:v>To expedite</x:v>
      </x:c>
      <x:c r="Z222" t="n">
        <x:v>46224.426074814815</x:v>
      </x:c>
      <x:c r="AA222" t="str">
        <x:v>fathulrahman.misba@petronas.com</x:v>
      </x:c>
      <x:c r="AB222" t="str">
        <x:v>approved</x:v>
      </x:c>
      <x:c r="AC222" t="str">
        <x:v>approve</x:v>
      </x:c>
      <x:c r="AD222" t="n">
        <x:v>46225.367471516205</x:v>
      </x:c>
      <x:c r="AE222" t="str">
        <x:v>abhishek.bhowate@petronas.com</x:v>
      </x:c>
      <x:c r="AF222" t="str">
        <x:v>approved</x:v>
      </x:c>
      <x:c r="AG222" t="str">
        <x:v>VM provisioning has been completed.</x:v>
      </x:c>
      <x:c r="AH222" t="n">
        <x:v>46232.186743356484</x:v>
      </x:c>
      <x:c r="AI222" t="str">
        <x:v>amarja.kawade@petronas.com</x:v>
      </x:c>
      <x:c r="AJ222" t="str">
        <x:v>approved</x:v>
      </x:c>
      <x:c r="AK222" t="str">
        <x:v>REQ000008186660</x:v>
      </x:c>
      <x:c r="AL222" t="str">
        <x:v>e5f5c370-bdf0-4787-9302-7d2594db0562</x:v>
      </x:c>
      <x:c r="AM222" s="23" t="str">
        <x:f>IF(E222="processing",IF(Z222="","",IF(ISNUMBER(Z222),INT(Z222),DATE(VALUE(LEFT(Z222,4)),VALUE(MID(Z222,6,2)),VALUE(MID(Z222,9,2))))),IF(OR(E222="executing",E222="pending"),IF(AD222="","",IF(ISNUMBER(AD222),INT(AD222),DATE(VALUE(LEFT(AD222,4)),VALUE(MID(AD222,6,2)),VALUE(MID(AD222,9,2))))),""))</x:f>
      </x:c>
      <x:c r="AN222" s="24" t="str">
        <x:f>IF(AM222="","",INT('Configuration'!$B$4)-AM222)</x:f>
      </x:c>
      <x:c r="AO222" s="25" t="str">
        <x:f>IF(AM222="","Missing Required Date",IF(AN222&lt;0,"Future Date",IF(AN222=0,"0 days",IF(AN222&lt;=2,"1-2 days",IF(AN222&lt;=7,"3-7 days",IF(AN222&lt;=14,"8-14 days",IF(AN222&lt;=30,"15-30 days",IF(AN222&lt;=60,"31-60 days",IF(AN222&lt;=70,"61-70 days","71+ days")))))))))</x:f>
        <x:v>Missing Required Date</x:v>
      </x:c>
      <x:c r="AP222" s="25" t="str">
        <x:f>IF(OR(E222="processing",E222="executing",E222="pending"),IF(AM222="","Required aging date missing",IF(AN222&gt;30,"Escalate &gt;30d",IF(AN222&gt;14,"Watch &gt;14d","Within 14d"))),"Out of scope")</x:f>
        <x:v>Out of scope</x:v>
      </x:c>
    </x:row>
    <x:row r="223" ht="24" customHeight="1">
      <x:c r="A223" t="str">
        <x:v>4cc4bd0e-6207-4f6d-9877-cdaa4d931d7f</x:v>
      </x:c>
      <x:c r="B223" t="str">
        <x:v>CSSP10388990</x:v>
      </x:c>
      <x:c r="C223" t="str">
        <x:v>mnizam_ahmad@petronas.com</x:v>
      </x:c>
      <x:c r="D223" t="str">
        <x:v>provision-cloud-public</x:v>
      </x:c>
      <x:c r="E223" t="str">
        <x:v>completed</x:v>
      </x:c>
      <x:c r="F223" t="n">
        <x:v>46224.20725625</x:v>
      </x:c>
      <x:c r="G223" t="n">
        <x:v>46224.20725625</x:v>
      </x:c>
      <x:c r="H223" t="n">
        <x:v>46232.18623261574</x:v>
      </x:c>
      <x:c r="I223" t="str">
        <x:v>A-001389</x:v>
      </x:c>
      <x:c r="J223" t="str">
        <x:v>IGA for ENIGMA SEARAH</x:v>
      </x:c>
      <x:c r="K223" t="str">
        <x:v>SR26939_IGA</x:v>
      </x:c>
      <x:c r="L223" t="str">
        <x:v>ENIGMA JV (Infra): ENIgma Cloud Landing Zone Implementation</x:v>
      </x:c>
      <x:c r="M223" t="str">
        <x:v>azizul.a@petronas.com</x:v>
      </x:c>
      <x:c r="N223" t="str">
        <x:v>CS - IAM</x:v>
      </x:c>
      <x:c r="O223" t="str">
        <x:v>New</x:v>
      </x:c>
      <x:c r="P223" t="str">
        <x:v>StagingUat</x:v>
      </x:c>
      <x:c r="Q223" t="str">
        <x:v>Searah IGA Gateway for Non-Prod</x:v>
      </x:c>
      <x:c r="R223" t="str">
        <x:v>S</x:v>
      </x:c>
      <x:c r="S223"/>
      <x:c r="T223"/>
      <x:c r="U223" t="str">
        <x:v>Approved for Searah's IGA deployment</x:v>
      </x:c>
      <x:c r="V223" t="n">
        <x:v>46224.209344710645</x:v>
      </x:c>
      <x:c r="W223" t="str">
        <x:v>azizul.a@petronas.com</x:v>
      </x:c>
      <x:c r="X223" t="str">
        <x:v>approved</x:v>
      </x:c>
      <x:c r="Y223" t="str">
        <x:v>To expedite</x:v>
      </x:c>
      <x:c r="Z223" t="n">
        <x:v>46224.42559259259</x:v>
      </x:c>
      <x:c r="AA223" t="str">
        <x:v>fathulrahman.misba@petronas.com</x:v>
      </x:c>
      <x:c r="AB223" t="str">
        <x:v>approved</x:v>
      </x:c>
      <x:c r="AC223" t="str">
        <x:v>approve</x:v>
      </x:c>
      <x:c r="AD223" t="n">
        <x:v>46225.36703025463</x:v>
      </x:c>
      <x:c r="AE223" t="str">
        <x:v>abhishek.bhowate@petronas.com</x:v>
      </x:c>
      <x:c r="AF223" t="str">
        <x:v>approved</x:v>
      </x:c>
      <x:c r="AG223" t="str">
        <x:v>VM provisioning has been done.</x:v>
      </x:c>
      <x:c r="AH223" t="n">
        <x:v>46232.18623261574</x:v>
      </x:c>
      <x:c r="AI223" t="str">
        <x:v>amarja.kawade@petronas.com</x:v>
      </x:c>
      <x:c r="AJ223" t="str">
        <x:v>approved</x:v>
      </x:c>
      <x:c r="AK223" t="str">
        <x:v>REQ000008186285</x:v>
      </x:c>
      <x:c r="AL223" t="str">
        <x:v>e5f5c370-bdf0-4787-9302-7d2594db0562</x:v>
      </x:c>
      <x:c r="AM223" s="23" t="str">
        <x:f>IF(E223="processing",IF(Z223="","",IF(ISNUMBER(Z223),INT(Z223),DATE(VALUE(LEFT(Z223,4)),VALUE(MID(Z223,6,2)),VALUE(MID(Z223,9,2))))),IF(OR(E223="executing",E223="pending"),IF(AD223="","",IF(ISNUMBER(AD223),INT(AD223),DATE(VALUE(LEFT(AD223,4)),VALUE(MID(AD223,6,2)),VALUE(MID(AD223,9,2))))),""))</x:f>
      </x:c>
      <x:c r="AN223" s="24" t="str">
        <x:f>IF(AM223="","",INT('Configuration'!$B$4)-AM223)</x:f>
      </x:c>
      <x:c r="AO223" s="25" t="str">
        <x:f>IF(AM223="","Missing Required Date",IF(AN223&lt;0,"Future Date",IF(AN223=0,"0 days",IF(AN223&lt;=2,"1-2 days",IF(AN223&lt;=7,"3-7 days",IF(AN223&lt;=14,"8-14 days",IF(AN223&lt;=30,"15-30 days",IF(AN223&lt;=60,"31-60 days",IF(AN223&lt;=70,"61-70 days","71+ days")))))))))</x:f>
        <x:v>Missing Required Date</x:v>
      </x:c>
      <x:c r="AP223" s="25" t="str">
        <x:f>IF(OR(E223="processing",E223="executing",E223="pending"),IF(AM223="","Required aging date missing",IF(AN223&gt;30,"Escalate &gt;30d",IF(AN223&gt;14,"Watch &gt;14d","Within 14d"))),"Out of scope")</x:f>
        <x:v>Out of scope</x:v>
      </x:c>
    </x:row>
    <x:row r="224" ht="24" customHeight="1">
      <x:c r="A224" t="str">
        <x:v>8da54fc0-26f9-42e2-a16b-5c25e6e5bdfe</x:v>
      </x:c>
      <x:c r="B224" t="str">
        <x:v>CSSP10792747</x:v>
      </x:c>
      <x:c r="C224" t="str">
        <x:v>ahmadaizuddin.badry@petronas.com</x:v>
      </x:c>
      <x:c r="D224" t="str">
        <x:v>provision-cloud-public</x:v>
      </x:c>
      <x:c r="E224" t="str">
        <x:v>rejected</x:v>
      </x:c>
      <x:c r="F224" t="n">
        <x:v>46224.31845791667</x:v>
      </x:c>
      <x:c r="G224" t="n">
        <x:v>46224.31845791667</x:v>
      </x:c>
      <x:c r="H224" t="n">
        <x:v>46232.30806391204</x:v>
      </x:c>
      <x:c r="I224" t="str">
        <x:v>A-000301</x:v>
      </x:c>
      <x:c r="J224" t="str">
        <x:v>Equipment Reliability Based Stocking - ERBS Analyzers</x:v>
      </x:c>
      <x:c r="K224" t="n">
        <x:v>1841</x:v>
      </x:c>
      <x:c r="L224" t="str">
        <x:v>Development and Deployment of Equipment Reliability Based Stocking (ERBS) Analyzers</x:v>
      </x:c>
      <x:c r="M224" t="str">
        <x:v>zulfakar.mohd@petronas.com.my</x:v>
      </x:c>
      <x:c r="N224" t="str">
        <x:v>ERBS</x:v>
      </x:c>
      <x:c r="O224" t="str">
        <x:v>New</x:v>
      </x:c>
      <x:c r="P224" t="str">
        <x:v>StagingUat</x:v>
      </x:c>
      <x:c r="Q224" t="str">
        <x:v>Provision PostgreSQL Database RDS in PTAWSG-STG-ENVIRONMENT-01 for ERBS</x:v>
      </x:c>
      <x:c r="R224" t="str">
        <x:v>L</x:v>
      </x:c>
      <x:c r="S224"/>
      <x:c r="T224"/>
      <x:c r="U224" t="str">
        <x:v>reviewed</x:v>
      </x:c>
      <x:c r="V224" t="n">
        <x:v>46224.33215233796</x:v>
      </x:c>
      <x:c r="W224" t="str">
        <x:v>zulfakar.mohd@petronas.com</x:v>
      </x:c>
      <x:c r="X224" t="str">
        <x:v>approved</x:v>
      </x:c>
      <x:c r="Y224" t="str">
        <x:v>To comply with the Cloud Service Request and Provisioning Guideline v4.0, kindly provide the approved memo/approved email from the Business owner as supporting evidence.</x:v>
      </x:c>
      <x:c r="Z224" t="n">
        <x:v>46232.30806391204</x:v>
      </x:c>
      <x:c r="AA224" t="str">
        <x:v>samsuddin.jumbri@petronas.com</x:v>
      </x:c>
      <x:c r="AB224" t="str">
        <x:v>rejected</x:v>
      </x:c>
      <x:c r="AC224"/>
      <x:c r="AD224"/>
      <x:c r="AE224" t="str">
        <x:v>IMS - CLOUD CSSP REVIEWER</x:v>
      </x:c>
      <x:c r="AF224"/>
      <x:c r="AG224"/>
      <x:c r="AH224"/>
      <x:c r="AI224" t="str">
        <x:v>IMS - CLOUD CSSP EXECUTOR</x:v>
      </x:c>
      <x:c r="AJ224"/>
      <x:c r="AK224"/>
      <x:c r="AL224" t="str">
        <x:v>ab16ae25-12e5-4bbb-af55-30df8723eb3a</x:v>
      </x:c>
      <x:c r="AM224" s="23" t="str">
        <x:f>IF(E224="processing",IF(Z224="","",IF(ISNUMBER(Z224),INT(Z224),DATE(VALUE(LEFT(Z224,4)),VALUE(MID(Z224,6,2)),VALUE(MID(Z224,9,2))))),IF(OR(E224="executing",E224="pending"),IF(AD224="","",IF(ISNUMBER(AD224),INT(AD224),DATE(VALUE(LEFT(AD224,4)),VALUE(MID(AD224,6,2)),VALUE(MID(AD224,9,2))))),""))</x:f>
      </x:c>
      <x:c r="AN224" s="24" t="str">
        <x:f>IF(AM224="","",INT('Configuration'!$B$4)-AM224)</x:f>
      </x:c>
      <x:c r="AO224" s="25" t="str">
        <x:f>IF(AM224="","Missing Required Date",IF(AN224&lt;0,"Future Date",IF(AN224=0,"0 days",IF(AN224&lt;=2,"1-2 days",IF(AN224&lt;=7,"3-7 days",IF(AN224&lt;=14,"8-14 days",IF(AN224&lt;=30,"15-30 days",IF(AN224&lt;=60,"31-60 days",IF(AN224&lt;=70,"61-70 days","71+ days")))))))))</x:f>
        <x:v>Missing Required Date</x:v>
      </x:c>
      <x:c r="AP224" s="25" t="str">
        <x:f>IF(OR(E224="processing",E224="executing",E224="pending"),IF(AM224="","Required aging date missing",IF(AN224&gt;30,"Escalate &gt;30d",IF(AN224&gt;14,"Watch &gt;14d","Within 14d"))),"Out of scope")</x:f>
        <x:v>Out of scope</x:v>
      </x:c>
    </x:row>
    <x:row r="225" ht="24" customHeight="1">
      <x:c r="A225" t="str">
        <x:v>01f60275-5dc6-4b2c-af19-3c69ca7fbfda</x:v>
      </x:c>
      <x:c r="B225" t="str">
        <x:v>CSSP10583023</x:v>
      </x:c>
      <x:c r="C225" t="str">
        <x:v>ahmadaizuddin.badry@petronas.com</x:v>
      </x:c>
      <x:c r="D225" t="str">
        <x:v>provision-cloud-public</x:v>
      </x:c>
      <x:c r="E225" t="str">
        <x:v>rejected</x:v>
      </x:c>
      <x:c r="F225" t="n">
        <x:v>46224.326280810186</x:v>
      </x:c>
      <x:c r="G225" t="n">
        <x:v>46224.326280810186</x:v>
      </x:c>
      <x:c r="H225" t="n">
        <x:v>46232.30649826389</x:v>
      </x:c>
      <x:c r="I225" t="str">
        <x:v>A-000629</x:v>
      </x:c>
      <x:c r="J225" t="str">
        <x:v>PETRONAS Licensing and Management System - PLMS</x:v>
      </x:c>
      <x:c r="K225" t="n">
        <x:v>3763</x:v>
      </x:c>
      <x:c r="L225" t="str">
        <x:v>PETRONAS License Management System (PLMS) DevOps FY2024</x:v>
      </x:c>
      <x:c r="M225" t="str">
        <x:v>zulfakar.mohd@petronas.com.my</x:v>
      </x:c>
      <x:c r="N225" t="str">
        <x:v>PLMS</x:v>
      </x:c>
      <x:c r="O225" t="str">
        <x:v>New</x:v>
      </x:c>
      <x:c r="P225" t="str">
        <x:v>Development</x:v>
      </x:c>
      <x:c r="Q225" t="str">
        <x:v>Provision of App service and Azure Cosmos</x:v>
      </x:c>
      <x:c r="R225" t="str">
        <x:v>M</x:v>
      </x:c>
      <x:c r="S225"/>
      <x:c r="T225"/>
      <x:c r="U225" t="str">
        <x:v>reviewed</x:v>
      </x:c>
      <x:c r="V225" t="n">
        <x:v>46224.331812372686</x:v>
      </x:c>
      <x:c r="W225" t="str">
        <x:v>zulfakar.mohd@petronas.com</x:v>
      </x:c>
      <x:c r="X225" t="str">
        <x:v>approved</x:v>
      </x:c>
      <x:c r="Y225" t="str">
        <x:v>The requestor has confirmed that this SR should be cancelled because the service was already deployed last year.</x:v>
      </x:c>
      <x:c r="Z225" t="n">
        <x:v>46232.306498275466</x:v>
      </x:c>
      <x:c r="AA225" t="str">
        <x:v>samsuddin.jumbri@petronas.com</x:v>
      </x:c>
      <x:c r="AB225" t="str">
        <x:v>rejected</x:v>
      </x:c>
      <x:c r="AC225"/>
      <x:c r="AD225"/>
      <x:c r="AE225" t="str">
        <x:v>IMS - CLOUD CSSP REVIEWER</x:v>
      </x:c>
      <x:c r="AF225"/>
      <x:c r="AG225"/>
      <x:c r="AH225"/>
      <x:c r="AI225" t="str">
        <x:v>IMS - CLOUD CSSP EXECUTOR</x:v>
      </x:c>
      <x:c r="AJ225"/>
      <x:c r="AK225"/>
      <x:c r="AL225" t="str">
        <x:v>df6bcae8-9975-406a-9138-f1854e624893</x:v>
      </x:c>
      <x:c r="AM225" s="23" t="str">
        <x:f>IF(E225="processing",IF(Z225="","",IF(ISNUMBER(Z225),INT(Z225),DATE(VALUE(LEFT(Z225,4)),VALUE(MID(Z225,6,2)),VALUE(MID(Z225,9,2))))),IF(OR(E225="executing",E225="pending"),IF(AD225="","",IF(ISNUMBER(AD225),INT(AD225),DATE(VALUE(LEFT(AD225,4)),VALUE(MID(AD225,6,2)),VALUE(MID(AD225,9,2))))),""))</x:f>
      </x:c>
      <x:c r="AN225" s="24" t="str">
        <x:f>IF(AM225="","",INT('Configuration'!$B$4)-AM225)</x:f>
      </x:c>
      <x:c r="AO225" s="25" t="str">
        <x:f>IF(AM225="","Missing Required Date",IF(AN225&lt;0,"Future Date",IF(AN225=0,"0 days",IF(AN225&lt;=2,"1-2 days",IF(AN225&lt;=7,"3-7 days",IF(AN225&lt;=14,"8-14 days",IF(AN225&lt;=30,"15-30 days",IF(AN225&lt;=60,"31-60 days",IF(AN225&lt;=70,"61-70 days","71+ days")))))))))</x:f>
        <x:v>Missing Required Date</x:v>
      </x:c>
      <x:c r="AP225" s="25" t="str">
        <x:f>IF(OR(E225="processing",E225="executing",E225="pending"),IF(AM225="","Required aging date missing",IF(AN225&gt;30,"Escalate &gt;30d",IF(AN225&gt;14,"Watch &gt;14d","Within 14d"))),"Out of scope")</x:f>
        <x:v>Out of scope</x:v>
      </x:c>
    </x:row>
    <x:row r="226" ht="24" customHeight="1">
      <x:c r="A226" t="str">
        <x:v>30913d0f-5423-461a-8436-242eda73c507</x:v>
      </x:c>
      <x:c r="B226" t="str">
        <x:v>CSSP10379301</x:v>
      </x:c>
      <x:c r="C226" t="str">
        <x:v>ahmadaizuddin.badry@petronas.com</x:v>
      </x:c>
      <x:c r="D226" t="str">
        <x:v>provision-cloud-public</x:v>
      </x:c>
      <x:c r="E226" t="str">
        <x:v>rejected</x:v>
      </x:c>
      <x:c r="F226" t="n">
        <x:v>46224.32781190972</x:v>
      </x:c>
      <x:c r="G226" t="n">
        <x:v>46224.32781190972</x:v>
      </x:c>
      <x:c r="H226" t="n">
        <x:v>46232.30693460648</x:v>
      </x:c>
      <x:c r="I226" t="str">
        <x:v>A-000629</x:v>
      </x:c>
      <x:c r="J226" t="str">
        <x:v>PETRONAS Licensing and Management System - PLMS</x:v>
      </x:c>
      <x:c r="K226" t="n">
        <x:v>3763</x:v>
      </x:c>
      <x:c r="L226" t="str">
        <x:v>PETRONAS License Management System (PLMS) DevOps FY2024</x:v>
      </x:c>
      <x:c r="M226" t="str">
        <x:v>zulfakar.mohd@petronas.com.my</x:v>
      </x:c>
      <x:c r="N226" t="str">
        <x:v>PLMS</x:v>
      </x:c>
      <x:c r="O226" t="str">
        <x:v>New</x:v>
      </x:c>
      <x:c r="P226" t="str">
        <x:v>StagingUat</x:v>
      </x:c>
      <x:c r="Q226" t="str">
        <x:v>Appservice and CosmosDB gremelin provision for Staging PLMS</x:v>
      </x:c>
      <x:c r="R226" t="str">
        <x:v>M</x:v>
      </x:c>
      <x:c r="S226"/>
      <x:c r="T226"/>
      <x:c r="U226" t="str">
        <x:v>reviewed</x:v>
      </x:c>
      <x:c r="V226" t="n">
        <x:v>46224.33150421296</x:v>
      </x:c>
      <x:c r="W226" t="str">
        <x:v>zulfakar.mohd@petronas.com</x:v>
      </x:c>
      <x:c r="X226" t="str">
        <x:v>approved</x:v>
      </x:c>
      <x:c r="Y226" t="str">
        <x:v>The requestor has confirmed that this SR should be cancelled because the service was already deployed last year.</x:v>
      </x:c>
      <x:c r="Z226" t="n">
        <x:v>46232.30693461806</x:v>
      </x:c>
      <x:c r="AA226" t="str">
        <x:v>samsuddin.jumbri@petronas.com</x:v>
      </x:c>
      <x:c r="AB226" t="str">
        <x:v>rejected</x:v>
      </x:c>
      <x:c r="AC226"/>
      <x:c r="AD226"/>
      <x:c r="AE226" t="str">
        <x:v>IMS - CLOUD CSSP REVIEWER</x:v>
      </x:c>
      <x:c r="AF226"/>
      <x:c r="AG226"/>
      <x:c r="AH226"/>
      <x:c r="AI226" t="str">
        <x:v>IMS - CLOUD CSSP EXECUTOR</x:v>
      </x:c>
      <x:c r="AJ226"/>
      <x:c r="AK226"/>
      <x:c r="AL226" t="str">
        <x:v>df6bcae8-9975-406a-9138-f1854e624893</x:v>
      </x:c>
      <x:c r="AM226" s="23" t="str">
        <x:f>IF(E226="processing",IF(Z226="","",IF(ISNUMBER(Z226),INT(Z226),DATE(VALUE(LEFT(Z226,4)),VALUE(MID(Z226,6,2)),VALUE(MID(Z226,9,2))))),IF(OR(E226="executing",E226="pending"),IF(AD226="","",IF(ISNUMBER(AD226),INT(AD226),DATE(VALUE(LEFT(AD226,4)),VALUE(MID(AD226,6,2)),VALUE(MID(AD226,9,2))))),""))</x:f>
      </x:c>
      <x:c r="AN226" s="24" t="str">
        <x:f>IF(AM226="","",INT('Configuration'!$B$4)-AM226)</x:f>
      </x:c>
      <x:c r="AO226" s="25" t="str">
        <x:f>IF(AM226="","Missing Required Date",IF(AN226&lt;0,"Future Date",IF(AN226=0,"0 days",IF(AN226&lt;=2,"1-2 days",IF(AN226&lt;=7,"3-7 days",IF(AN226&lt;=14,"8-14 days",IF(AN226&lt;=30,"15-30 days",IF(AN226&lt;=60,"31-60 days",IF(AN226&lt;=70,"61-70 days","71+ days")))))))))</x:f>
        <x:v>Missing Required Date</x:v>
      </x:c>
      <x:c r="AP226" s="25" t="str">
        <x:f>IF(OR(E226="processing",E226="executing",E226="pending"),IF(AM226="","Required aging date missing",IF(AN226&gt;30,"Escalate &gt;30d",IF(AN226&gt;14,"Watch &gt;14d","Within 14d"))),"Out of scope")</x:f>
        <x:v>Out of scope</x:v>
      </x:c>
    </x:row>
    <x:row r="227" ht="24" customHeight="1">
      <x:c r="A227" t="str">
        <x:v>e77a4c8d-7178-4f01-b286-b5c6688c02aa</x:v>
      </x:c>
      <x:c r="B227" t="str">
        <x:v>CSSP10564575</x:v>
      </x:c>
      <x:c r="C227" t="str">
        <x:v>ahmadaizuddin.badry@petronas.com</x:v>
      </x:c>
      <x:c r="D227" t="str">
        <x:v>provision-cloud-public</x:v>
      </x:c>
      <x:c r="E227" t="str">
        <x:v>rejected</x:v>
      </x:c>
      <x:c r="F227" t="n">
        <x:v>46224.32899363426</x:v>
      </x:c>
      <x:c r="G227" t="n">
        <x:v>46224.32899363426</x:v>
      </x:c>
      <x:c r="H227" t="n">
        <x:v>46232.30718851852</x:v>
      </x:c>
      <x:c r="I227" t="str">
        <x:v>A-000629</x:v>
      </x:c>
      <x:c r="J227" t="str">
        <x:v>PETRONAS Licensing and Management System - PLMS</x:v>
      </x:c>
      <x:c r="K227" t="n">
        <x:v>3763</x:v>
      </x:c>
      <x:c r="L227" t="str">
        <x:v>PETRONAS License Management System (PLMS) DevOps FY2024</x:v>
      </x:c>
      <x:c r="M227" t="str">
        <x:v>zulfakar.mohd@petronas.com.my</x:v>
      </x:c>
      <x:c r="N227" t="str">
        <x:v>PLMS</x:v>
      </x:c>
      <x:c r="O227" t="str">
        <x:v>New</x:v>
      </x:c>
      <x:c r="P227" t="str">
        <x:v>Production</x:v>
      </x:c>
      <x:c r="Q227" t="str">
        <x:v>Appservice &amp; CosmosDB gremilin provision for PLMS prod. Please ensure firewall is being able to expose connection to Security group</x:v>
      </x:c>
      <x:c r="R227" t="str">
        <x:v>M</x:v>
      </x:c>
      <x:c r="S227"/>
      <x:c r="T227"/>
      <x:c r="U227" t="str">
        <x:v>reviewed</x:v>
      </x:c>
      <x:c r="V227" t="n">
        <x:v>46224.33110069444</x:v>
      </x:c>
      <x:c r="W227" t="str">
        <x:v>zulfakar.mohd@petronas.com</x:v>
      </x:c>
      <x:c r="X227" t="str">
        <x:v>approved</x:v>
      </x:c>
      <x:c r="Y227" t="str">
        <x:v>The requestor has confirmed that this SR should be cancelled because the service was already deployed last year.</x:v>
      </x:c>
      <x:c r="Z227" t="n">
        <x:v>46232.307188530096</x:v>
      </x:c>
      <x:c r="AA227" t="str">
        <x:v>samsuddin.jumbri@petronas.com</x:v>
      </x:c>
      <x:c r="AB227" t="str">
        <x:v>rejected</x:v>
      </x:c>
      <x:c r="AC227"/>
      <x:c r="AD227"/>
      <x:c r="AE227" t="str">
        <x:v>IMS - CLOUD CSSP REVIEWER</x:v>
      </x:c>
      <x:c r="AF227"/>
      <x:c r="AG227"/>
      <x:c r="AH227"/>
      <x:c r="AI227" t="str">
        <x:v>IMS - CLOUD CSSP EXECUTOR</x:v>
      </x:c>
      <x:c r="AJ227"/>
      <x:c r="AK227"/>
      <x:c r="AL227" t="str">
        <x:v>df6bcae8-9975-406a-9138-f1854e624893</x:v>
      </x:c>
      <x:c r="AM227" s="23" t="str">
        <x:f>IF(E227="processing",IF(Z227="","",IF(ISNUMBER(Z227),INT(Z227),DATE(VALUE(LEFT(Z227,4)),VALUE(MID(Z227,6,2)),VALUE(MID(Z227,9,2))))),IF(OR(E227="executing",E227="pending"),IF(AD227="","",IF(ISNUMBER(AD227),INT(AD227),DATE(VALUE(LEFT(AD227,4)),VALUE(MID(AD227,6,2)),VALUE(MID(AD227,9,2))))),""))</x:f>
      </x:c>
      <x:c r="AN227" s="24" t="str">
        <x:f>IF(AM227="","",INT('Configuration'!$B$4)-AM227)</x:f>
      </x:c>
      <x:c r="AO227" s="25" t="str">
        <x:f>IF(AM227="","Missing Required Date",IF(AN227&lt;0,"Future Date",IF(AN227=0,"0 days",IF(AN227&lt;=2,"1-2 days",IF(AN227&lt;=7,"3-7 days",IF(AN227&lt;=14,"8-14 days",IF(AN227&lt;=30,"15-30 days",IF(AN227&lt;=60,"31-60 days",IF(AN227&lt;=70,"61-70 days","71+ days")))))))))</x:f>
        <x:v>Missing Required Date</x:v>
      </x:c>
      <x:c r="AP227" s="25" t="str">
        <x:f>IF(OR(E227="processing",E227="executing",E227="pending"),IF(AM227="","Required aging date missing",IF(AN227&gt;30,"Escalate &gt;30d",IF(AN227&gt;14,"Watch &gt;14d","Within 14d"))),"Out of scope")</x:f>
        <x:v>Out of scope</x:v>
      </x:c>
    </x:row>
    <x:row r="228" ht="24" customHeight="1">
      <x:c r="A228" t="str">
        <x:v>873a1b46-a826-4d26-82bb-b8b5ebba8919</x:v>
      </x:c>
      <x:c r="B228" t="str">
        <x:v>CSSP10895954</x:v>
      </x:c>
      <x:c r="C228" t="str">
        <x:v>amirulzakuan.azmey@petronas.com</x:v>
      </x:c>
      <x:c r="D228" t="str">
        <x:v>provision-cloud-public</x:v>
      </x:c>
      <x:c r="E228" t="str">
        <x:v>executing</x:v>
      </x:c>
      <x:c r="F228" t="n">
        <x:v>46225.00747636574</x:v>
      </x:c>
      <x:c r="G228" t="n">
        <x:v>46227.13538332176</x:v>
      </x:c>
      <x:c r="H228" t="n">
        <x:v>46233.10291584491</x:v>
      </x:c>
      <x:c r="I228" t="str">
        <x:v>A-000064</x:v>
      </x:c>
      <x:c r="J228" t="str">
        <x:v>Zidane OVC</x:v>
      </x:c>
      <x:c r="K228" t="n">
        <x:v>4569</x:v>
      </x:c>
      <x:c r="L228" t="str">
        <x:v>Provision of Professional Service, Software License and Infra for ArBiTra (OVC &amp; LVC) 2025 for PTLCL</x:v>
      </x:c>
      <x:c r="M228" t="str">
        <x:v>yap.winhong@petronas.com.my</x:v>
      </x:c>
      <x:c r="N228" t="str">
        <x:v>Unified Platform - Trading Digital</x:v>
      </x:c>
      <x:c r="O228" t="str">
        <x:v>New</x:v>
      </x:c>
      <x:c r="P228" t="str">
        <x:v>Development</x:v>
      </x:c>
      <x:c r="Q228" t="str">
        <x:v>Cost: SR25077: ArBitra Software Licenses and Infra 2026
HLD:
https://myea.petronas.com/HLD/HLDDetails?StatusId=2&amp;LandscapePlatformId=2&amp;IsInfrastructureRequiredInput=true&amp;HLDTypeId=2&amp;LandscapeTypeId=1&amp;HLDId=282</x:v>
      </x:c>
      <x:c r="R228" t="str">
        <x:v>L</x:v>
      </x:c>
      <x:c r="S228"/>
      <x:c r="T228"/>
      <x:c r="U228" t="str">
        <x:v>Approve</x:v>
      </x:c>
      <x:c r="V228" t="n">
        <x:v>46227.14261116898</x:v>
      </x:c>
      <x:c r="W228" t="str">
        <x:v>yap.winhong@petronas.com</x:v>
      </x:c>
      <x:c r="X228" t="str">
        <x:v>approved</x:v>
      </x:c>
      <x:c r="Y228" t="str">
        <x:v>Good to go</x:v>
      </x:c>
      <x:c r="Z228" t="n">
        <x:v>46231.35198568287</x:v>
      </x:c>
      <x:c r="AA228" t="str">
        <x:v>samsuddin.jumbri@petronas.com</x:v>
      </x:c>
      <x:c r="AB228" t="str">
        <x:v>approved</x:v>
      </x:c>
      <x:c r="AC228" t="str">
        <x:v>approve</x:v>
      </x:c>
      <x:c r="AD228" t="n">
        <x:v>46233.10291585648</x:v>
      </x:c>
      <x:c r="AE228" t="str">
        <x:v>abhishek.bhowate@petronas.com</x:v>
      </x:c>
      <x:c r="AF228" t="str">
        <x:v>approved</x:v>
      </x:c>
      <x:c r="AG228"/>
      <x:c r="AH228"/>
      <x:c r="AI228" t="str">
        <x:v>abhishek.bhowate@petronas.com</x:v>
      </x:c>
      <x:c r="AJ228"/>
      <x:c r="AK228" t="str">
        <x:v>REQ000008203404</x:v>
      </x:c>
      <x:c r="AL228" t="str">
        <x:v>e843491d-275f-4046-ad6d-5830963ba204</x:v>
      </x:c>
      <x:c r="AM228" s="23" t="n">
        <x:f>IF(E228="processing",IF(Z228="","",IF(ISNUMBER(Z228),INT(Z228),DATE(VALUE(LEFT(Z228,4)),VALUE(MID(Z228,6,2)),VALUE(MID(Z228,9,2))))),IF(OR(E228="executing",E228="pending"),IF(AD228="","",IF(ISNUMBER(AD228),INT(AD228),DATE(VALUE(LEFT(AD228,4)),VALUE(MID(AD228,6,2)),VALUE(MID(AD228,9,2))))),""))</x:f>
        <x:v>46233</x:v>
      </x:c>
      <x:c r="AN228" s="24" t="n">
        <x:f>IF(AM228="","",INT('Configuration'!$B$4)-AM228)</x:f>
        <x:v>18</x:v>
      </x:c>
      <x:c r="AO228" s="25" t="str">
        <x:f>IF(AM228="","Missing Required Date",IF(AN228&lt;0,"Future Date",IF(AN228=0,"0 days",IF(AN228&lt;=2,"1-2 days",IF(AN228&lt;=7,"3-7 days",IF(AN228&lt;=14,"8-14 days",IF(AN228&lt;=30,"15-30 days",IF(AN228&lt;=60,"31-60 days",IF(AN228&lt;=70,"61-70 days","71+ days")))))))))</x:f>
        <x:v>15-30 days</x:v>
      </x:c>
      <x:c r="AP228" s="25" t="str">
        <x:f>IF(OR(E228="processing",E228="executing",E228="pending"),IF(AM228="","Required aging date missing",IF(AN228&gt;30,"Escalate &gt;30d",IF(AN228&gt;14,"Watch &gt;14d","Within 14d"))),"Out of scope")</x:f>
        <x:v>Watch &gt;14d</x:v>
      </x:c>
    </x:row>
    <x:row r="229" ht="24" customHeight="1">
      <x:c r="A229" t="str">
        <x:v>5a3d5dba-0bf4-4ece-a83c-9f097a769c64</x:v>
      </x:c>
      <x:c r="B229" t="str">
        <x:v>CSSP10883625</x:v>
      </x:c>
      <x:c r="C229" t="str">
        <x:v>mizzudin.manuar@petronas.com</x:v>
      </x:c>
      <x:c r="D229" t="str">
        <x:v>provision-cloud-public</x:v>
      </x:c>
      <x:c r="E229" t="str">
        <x:v>completed</x:v>
      </x:c>
      <x:c r="F229" t="n">
        <x:v>46225.07229872685</x:v>
      </x:c>
      <x:c r="G229" t="n">
        <x:v>46225.13028363426</x:v>
      </x:c>
      <x:c r="H229" t="n">
        <x:v>46230.22187790509</x:v>
      </x:c>
      <x:c r="I229" t="str">
        <x:v>A-000605</x:v>
      </x:c>
      <x:c r="J229" t="str">
        <x:v>Plant Information - PI Vestigo</x:v>
      </x:c>
      <x:c r="K229" t="str">
        <x:v>02421_64</x:v>
      </x:c>
      <x:c r="L229" t="str">
        <x:v>Cloud Migration Program - PI Vestigo</x:v>
      </x:c>
      <x:c r="M229" t="str">
        <x:v>mohammadsani.johari@petronas.com.my</x:v>
      </x:c>
      <x:c r="N229" t="str">
        <x:v>Migration of PI System for Vestigo Operatorship Transfer</x:v>
      </x:c>
      <x:c r="O229" t="str">
        <x:v>Modify</x:v>
      </x:c>
      <x:c r="P229" t="str">
        <x:v>Production</x:v>
      </x:c>
      <x:c r="Q229" t="str">
        <x:v>ESTRELLA: Migration of Plant Information (PI) System for Vestigo Operatorship Transfer, PI Server Hard Disk Upgrade
RFC planned date/time: 24 July 2026  @  10pm MYT
Server Hostname: PTAWMY-1VTGAP1</x:v>
      </x:c>
      <x:c r="R229" t="str">
        <x:v>S</x:v>
      </x:c>
      <x:c r="S229" t="str">
        <x:v>ICT_RFC00220622</x:v>
      </x:c>
      <x:c r="T229"/>
      <x:c r="U229" t="str">
        <x:v>as per required and approval by Business.</x:v>
      </x:c>
      <x:c r="V229" t="n">
        <x:v>46225.136044907405</x:v>
      </x:c>
      <x:c r="W229" t="str">
        <x:v>mohammadsani.johari@petronas.com</x:v>
      </x:c>
      <x:c r="X229" t="str">
        <x:v>approved</x:v>
      </x:c>
      <x:c r="Y229" t="str">
        <x:v>Approved. Noted that this SR is to upgrade the existing storage for the ESTRELLA PI System.</x:v>
      </x:c>
      <x:c r="Z229" t="n">
        <x:v>46227.0800209838</x:v>
      </x:c>
      <x:c r="AA229" t="str">
        <x:v>samsuddin.jumbri@petronas.com</x:v>
      </x:c>
      <x:c r="AB229" t="str">
        <x:v>approved</x:v>
      </x:c>
      <x:c r="AC229" t="str">
        <x:v>Approve</x:v>
      </x:c>
      <x:c r="AD229" t="n">
        <x:v>46229.6344641088</x:v>
      </x:c>
      <x:c r="AE229" t="str">
        <x:v>abhishek.bhowate@petronas.com</x:v>
      </x:c>
      <x:c r="AF229" t="str">
        <x:v>approved</x:v>
      </x:c>
      <x:c r="AG229" t="str">
        <x:v>The Data Archive and PI Backup storage for the PTAWMY-1VTGAP1 server was successfully expanded to 2 TB on 24 July 2026, in accordance with ICT_RFC00220622.</x:v>
      </x:c>
      <x:c r="AH229" t="n">
        <x:v>46230.221877916665</x:v>
      </x:c>
      <x:c r="AI229" t="str">
        <x:v>swaminadh.chirakala@petronas.com</x:v>
      </x:c>
      <x:c r="AJ229" t="str">
        <x:v>approved</x:v>
      </x:c>
      <x:c r="AK229" t="str">
        <x:v>REQ000008194339</x:v>
      </x:c>
      <x:c r="AL229" t="str">
        <x:v>5d3fb87b-9d92-4201-8beb-3a6b20d59907</x:v>
      </x:c>
      <x:c r="AM229" s="23" t="str">
        <x:f>IF(E229="processing",IF(Z229="","",IF(ISNUMBER(Z229),INT(Z229),DATE(VALUE(LEFT(Z229,4)),VALUE(MID(Z229,6,2)),VALUE(MID(Z229,9,2))))),IF(OR(E229="executing",E229="pending"),IF(AD229="","",IF(ISNUMBER(AD229),INT(AD229),DATE(VALUE(LEFT(AD229,4)),VALUE(MID(AD229,6,2)),VALUE(MID(AD229,9,2))))),""))</x:f>
      </x:c>
      <x:c r="AN229" s="24" t="str">
        <x:f>IF(AM229="","",INT('Configuration'!$B$4)-AM229)</x:f>
      </x:c>
      <x:c r="AO229" s="25" t="str">
        <x:f>IF(AM229="","Missing Required Date",IF(AN229&lt;0,"Future Date",IF(AN229=0,"0 days",IF(AN229&lt;=2,"1-2 days",IF(AN229&lt;=7,"3-7 days",IF(AN229&lt;=14,"8-14 days",IF(AN229&lt;=30,"15-30 days",IF(AN229&lt;=60,"31-60 days",IF(AN229&lt;=70,"61-70 days","71+ days")))))))))</x:f>
        <x:v>Missing Required Date</x:v>
      </x:c>
      <x:c r="AP229" s="25" t="str">
        <x:f>IF(OR(E229="processing",E229="executing",E229="pending"),IF(AM229="","Required aging date missing",IF(AN229&gt;30,"Escalate &gt;30d",IF(AN229&gt;14,"Watch &gt;14d","Within 14d"))),"Out of scope")</x:f>
        <x:v>Out of scope</x:v>
      </x:c>
    </x:row>
    <x:row r="230" ht="24" customHeight="1">
      <x:c r="A230" t="str">
        <x:v>9f389eda-35f1-4103-94cf-2b2ed511ce74</x:v>
      </x:c>
      <x:c r="B230" t="str">
        <x:v>CSSP10984683</x:v>
      </x:c>
      <x:c r="C230" t="str">
        <x:v>idwal.wali@petronas.com</x:v>
      </x:c>
      <x:c r="D230" t="str">
        <x:v>provision-cloud-public</x:v>
      </x:c>
      <x:c r="E230" t="str">
        <x:v>executing</x:v>
      </x:c>
      <x:c r="F230" t="n">
        <x:v>46225.1004572338</x:v>
      </x:c>
      <x:c r="G230" t="n">
        <x:v>46225.1004572338</x:v>
      </x:c>
      <x:c r="H230" t="n">
        <x:v>46233.10364482639</x:v>
      </x:c>
      <x:c r="I230" t="str">
        <x:v>A-000599</x:v>
      </x:c>
      <x:c r="J230" t="str">
        <x:v>PiriGIS</x:v>
      </x:c>
      <x:c r="K230" t="n">
        <x:v>1799</x:v>
      </x:c>
      <x:c r="L230" t="str">
        <x:v>Provision of Geographic Information System Infrastructure in PETRONAS Azure Cloud for Exploration</x:v>
      </x:c>
      <x:c r="M230" t="str">
        <x:v>mfakarrudin.abdgani@petronas.com</x:v>
      </x:c>
      <x:c r="N230" t="str">
        <x:v>PiriGIS</x:v>
      </x:c>
      <x:c r="O230" t="str">
        <x:v>Modify</x:v>
      </x:c>
      <x:c r="P230" t="str">
        <x:v>Production</x:v>
      </x:c>
      <x:c r="Q230" t="str">
        <x:v>requesting increase of storage for our GISPRJ instance by 2TB. currently, all system linked to this instance failed to work including ArcGIS Desktop and PiriGIS
IP : 172.25.40.117 ; 
HOSTNAME:PTSG-1GISdb01
Instance : GISPRJ</x:v>
      </x:c>
      <x:c r="R230" t="str">
        <x:v>M</x:v>
      </x:c>
      <x:c r="S230" t="n">
        <x:v>1799</x:v>
      </x:c>
      <x:c r="T230"/>
      <x:c r="U230" t="str">
        <x:v>Approved. Pls proceed the upgrade.TQ</x:v>
      </x:c>
      <x:c r="V230" t="n">
        <x:v>46225.1016752662</x:v>
      </x:c>
      <x:c r="W230" t="str">
        <x:v>mfakarrudin.abdgani@petronas.com</x:v>
      </x:c>
      <x:c r="X230" t="str">
        <x:v>approved</x:v>
      </x:c>
      <x:c r="Y230" t="str">
        <x:v>Good to go</x:v>
      </x:c>
      <x:c r="Z230" t="n">
        <x:v>46231.33871616898</x:v>
      </x:c>
      <x:c r="AA230" t="str">
        <x:v>samsuddin.jumbri@petronas.com</x:v>
      </x:c>
      <x:c r="AB230" t="str">
        <x:v>approved</x:v>
      </x:c>
      <x:c r="AC230" t="str">
        <x:v>approve</x:v>
      </x:c>
      <x:c r="AD230" t="n">
        <x:v>46233.10364483796</x:v>
      </x:c>
      <x:c r="AE230" t="str">
        <x:v>abhishek.bhowate@petronas.com</x:v>
      </x:c>
      <x:c r="AF230" t="str">
        <x:v>approved</x:v>
      </x:c>
      <x:c r="AG230"/>
      <x:c r="AH230"/>
      <x:c r="AI230" t="str">
        <x:v>venkatesh.kalikivayi@petronas.com</x:v>
      </x:c>
      <x:c r="AJ230"/>
      <x:c r="AK230" t="str">
        <x:v>REQ000008203311</x:v>
      </x:c>
      <x:c r="AL230" t="str">
        <x:v>e92b0512-824f-476b-b163-edd30c189714</x:v>
      </x:c>
      <x:c r="AM230" s="23" t="n">
        <x:f>IF(E230="processing",IF(Z230="","",IF(ISNUMBER(Z230),INT(Z230),DATE(VALUE(LEFT(Z230,4)),VALUE(MID(Z230,6,2)),VALUE(MID(Z230,9,2))))),IF(OR(E230="executing",E230="pending"),IF(AD230="","",IF(ISNUMBER(AD230),INT(AD230),DATE(VALUE(LEFT(AD230,4)),VALUE(MID(AD230,6,2)),VALUE(MID(AD230,9,2))))),""))</x:f>
        <x:v>46233</x:v>
      </x:c>
      <x:c r="AN230" s="24" t="n">
        <x:f>IF(AM230="","",INT('Configuration'!$B$4)-AM230)</x:f>
        <x:v>18</x:v>
      </x:c>
      <x:c r="AO230" s="25" t="str">
        <x:f>IF(AM230="","Missing Required Date",IF(AN230&lt;0,"Future Date",IF(AN230=0,"0 days",IF(AN230&lt;=2,"1-2 days",IF(AN230&lt;=7,"3-7 days",IF(AN230&lt;=14,"8-14 days",IF(AN230&lt;=30,"15-30 days",IF(AN230&lt;=60,"31-60 days",IF(AN230&lt;=70,"61-70 days","71+ days")))))))))</x:f>
        <x:v>15-30 days</x:v>
      </x:c>
      <x:c r="AP230" s="25" t="str">
        <x:f>IF(OR(E230="processing",E230="executing",E230="pending"),IF(AM230="","Required aging date missing",IF(AN230&gt;30,"Escalate &gt;30d",IF(AN230&gt;14,"Watch &gt;14d","Within 14d"))),"Out of scope")</x:f>
        <x:v>Watch &gt;14d</x:v>
      </x:c>
    </x:row>
    <x:row r="231" ht="24" customHeight="1">
      <x:c r="A231" t="str">
        <x:v>0930da21-f4d3-4b86-b9fa-71f75d6e328d</x:v>
      </x:c>
      <x:c r="B231" t="str">
        <x:v>CSSP10825398</x:v>
      </x:c>
      <x:c r="C231" t="str">
        <x:v>kavya.ramamurthy@petronas.com</x:v>
      </x:c>
      <x:c r="D231" t="str">
        <x:v>provision-cloud-public</x:v>
      </x:c>
      <x:c r="E231" t="str">
        <x:v>executing</x:v>
      </x:c>
      <x:c r="F231" t="n">
        <x:v>46225.15786769676</x:v>
      </x:c>
      <x:c r="G231" t="n">
        <x:v>46225.15786769676</x:v>
      </x:c>
      <x:c r="H231" t="n">
        <x:v>46225.366409664355</x:v>
      </x:c>
      <x:c r="I231" t="str">
        <x:v>A-000152</x:v>
      </x:c>
      <x:c r="J231" t="str">
        <x:v>Cyber Security Application Security Testing - ASTFortify</x:v>
      </x:c>
      <x:c r="K231" t="n">
        <x:v>3055</x:v>
      </x:c>
      <x:c r="L231" t="str">
        <x:v>Fortify AST (Application Security Testing) Tool deployment and integration to DevSecOps framework</x:v>
      </x:c>
      <x:c r="M231" t="str">
        <x:v>nurainil.m@petronas.com.my</x:v>
      </x:c>
      <x:c r="N231" t="str">
        <x:v>Fortify AST Tool</x:v>
      </x:c>
      <x:c r="O231" t="str">
        <x:v>Repat</x:v>
      </x:c>
      <x:c r="P231" t="str">
        <x:v>Production</x:v>
      </x:c>
      <x:c r="Q231" t="str">
        <x:v>To lift and shift following applications resources to Malaysia region
RDS:
ptawsg-1sonadb01
ptawsg-5sonadb01
EC2:
PTAWSG-5SONAap1
PTAWSG-1SONAap1
ALB: 
PTAWSG-PROD-FORTIFY-FrontEnd-ALB</x:v>
      </x:c>
      <x:c r="R231" t="str">
        <x:v>M</x:v>
      </x:c>
      <x:c r="S231"/>
      <x:c r="T231"/>
      <x:c r="U231" t="str">
        <x:v>[System] Stage pre-approved for Cloud Repatriation project</x:v>
      </x:c>
      <x:c r="V231" t="n">
        <x:v>46225.15786769676</x:v>
      </x:c>
      <x:c r="W231" t="str">
        <x:v>nurainil.m@petronas.com</x:v>
      </x:c>
      <x:c r="X231" t="str">
        <x:v>approved</x:v>
      </x:c>
      <x:c r="Y231" t="str">
        <x:v>[System] Stage pre-approved for Cloud Repatriation project</x:v>
      </x:c>
      <x:c r="Z231" t="n">
        <x:v>46225.15786769676</x:v>
      </x:c>
      <x:c r="AA231" t="str">
        <x:v>CCoE Demand</x:v>
      </x:c>
      <x:c r="AB231" t="str">
        <x:v>approved</x:v>
      </x:c>
      <x:c r="AC231" t="str">
        <x:v>approve</x:v>
      </x:c>
      <x:c r="AD231" t="n">
        <x:v>46225.366409675924</x:v>
      </x:c>
      <x:c r="AE231" t="str">
        <x:v>abhishek.bhowate@petronas.com</x:v>
      </x:c>
      <x:c r="AF231" t="str">
        <x:v>approved</x:v>
      </x:c>
      <x:c r="AG231"/>
      <x:c r="AH231"/>
      <x:c r="AI231" t="str">
        <x:v>abdul.khoir@petronas.com</x:v>
      </x:c>
      <x:c r="AJ231"/>
      <x:c r="AK231" t="str">
        <x:v>REQ000008200695</x:v>
      </x:c>
      <x:c r="AL231" t="str">
        <x:v>018866d2-6805-4206-9278-19021eb0ef40</x:v>
      </x:c>
      <x:c r="AM231" s="23" t="n">
        <x:f>IF(E231="processing",IF(Z231="","",IF(ISNUMBER(Z231),INT(Z231),DATE(VALUE(LEFT(Z231,4)),VALUE(MID(Z231,6,2)),VALUE(MID(Z231,9,2))))),IF(OR(E231="executing",E231="pending"),IF(AD231="","",IF(ISNUMBER(AD231),INT(AD231),DATE(VALUE(LEFT(AD231,4)),VALUE(MID(AD231,6,2)),VALUE(MID(AD231,9,2))))),""))</x:f>
        <x:v>46225</x:v>
      </x:c>
      <x:c r="AN231" s="24" t="n">
        <x:f>IF(AM231="","",INT('Configuration'!$B$4)-AM231)</x:f>
        <x:v>26</x:v>
      </x:c>
      <x:c r="AO231" s="25" t="str">
        <x:f>IF(AM231="","Missing Required Date",IF(AN231&lt;0,"Future Date",IF(AN231=0,"0 days",IF(AN231&lt;=2,"1-2 days",IF(AN231&lt;=7,"3-7 days",IF(AN231&lt;=14,"8-14 days",IF(AN231&lt;=30,"15-30 days",IF(AN231&lt;=60,"31-60 days",IF(AN231&lt;=70,"61-70 days","71+ days")))))))))</x:f>
        <x:v>15-30 days</x:v>
      </x:c>
      <x:c r="AP231" s="25" t="str">
        <x:f>IF(OR(E231="processing",E231="executing",E231="pending"),IF(AM231="","Required aging date missing",IF(AN231&gt;30,"Escalate &gt;30d",IF(AN231&gt;14,"Watch &gt;14d","Within 14d"))),"Out of scope")</x:f>
        <x:v>Watch &gt;14d</x:v>
      </x:c>
    </x:row>
    <x:row r="232" ht="24" customHeight="1">
      <x:c r="A232" t="str">
        <x:v>60ee25a9-cc6b-4d99-90cf-4c4fffb0aa48</x:v>
      </x:c>
      <x:c r="B232" t="str">
        <x:v>CSSP10162770</x:v>
      </x:c>
      <x:c r="C232" t="str">
        <x:v>ahmadfirdaus.adnan@petronas.com</x:v>
      </x:c>
      <x:c r="D232" t="str">
        <x:v>provision-cloud-public</x:v>
      </x:c>
      <x:c r="E232" t="str">
        <x:v>pending</x:v>
      </x:c>
      <x:c r="F232" t="n">
        <x:v>46225.32844002315</x:v>
      </x:c>
      <x:c r="G232" t="n">
        <x:v>46225.32844002315</x:v>
      </x:c>
      <x:c r="H232" t="n">
        <x:v>46225.32844002315</x:v>
      </x:c>
      <x:c r="I232" t="str">
        <x:v>A-001386</x:v>
      </x:c>
      <x:c r="J232" t="str">
        <x:v>GSA Nozomi CMC and Guardian System</x:v>
      </x:c>
      <x:c r="K232" t="str">
        <x:v>PC-00092</x:v>
      </x:c>
      <x:c r="L232" t="str">
        <x:v>GSA Nozomi CMC and Guardian System</x:v>
      </x:c>
      <x:c r="M232" t="str">
        <x:v>hasmaniza.mjasni@petronas.com.my</x:v>
      </x:c>
      <x:c r="N232" t="str">
        <x:v>Cyber-Security</x:v>
      </x:c>
      <x:c r="O232" t="str">
        <x:v>New</x:v>
      </x:c>
      <x:c r="P232" t="str">
        <x:v>Production</x:v>
      </x:c>
      <x:c r="Q232" t="str">
        <x:v>to provision below resources for GSA Nozomi CMC and Guardian System into Petronas SOC
- dedicated RG for VMSS, Azure Monitor, Load Balancer &amp; Microsoft Sentinel</x:v>
      </x:c>
      <x:c r="R232"/>
      <x:c r="S232"/>
      <x:c r="T232"/>
      <x:c r="U232"/>
      <x:c r="V232"/>
      <x:c r="W232" t="str">
        <x:v>hasmaniza.mjasni@petronas.com</x:v>
      </x:c>
      <x:c r="X232"/>
      <x:c r="Y232"/>
      <x:c r="Z232"/>
      <x:c r="AA232" t="str">
        <x:v>CCoE SA</x:v>
      </x:c>
      <x:c r="AB232"/>
      <x:c r="AC232"/>
      <x:c r="AD232"/>
      <x:c r="AE232" t="str">
        <x:v>IMS - CLOUD CSSP REVIEWER</x:v>
      </x:c>
      <x:c r="AF232"/>
      <x:c r="AG232"/>
      <x:c r="AH232"/>
      <x:c r="AI232" t="str">
        <x:v>IMS - CLOUD CSSP EXECUTOR</x:v>
      </x:c>
      <x:c r="AJ232"/>
      <x:c r="AK232"/>
      <x:c r="AL232" t="str">
        <x:v>12aaeea2-09ae-4290-91dc-16e0b67b87c6</x:v>
      </x:c>
      <x:c r="AM232" s="23" t="str">
        <x:f>IF(E232="processing",IF(Z232="","",IF(ISNUMBER(Z232),INT(Z232),DATE(VALUE(LEFT(Z232,4)),VALUE(MID(Z232,6,2)),VALUE(MID(Z232,9,2))))),IF(OR(E232="executing",E232="pending"),IF(AD232="","",IF(ISNUMBER(AD232),INT(AD232),DATE(VALUE(LEFT(AD232,4)),VALUE(MID(AD232,6,2)),VALUE(MID(AD232,9,2))))),""))</x:f>
      </x:c>
      <x:c r="AN232" s="24" t="str">
        <x:f>IF(AM232="","",INT('Configuration'!$B$4)-AM232)</x:f>
      </x:c>
      <x:c r="AO232" s="25" t="str">
        <x:f>IF(AM232="","Missing Required Date",IF(AN232&lt;0,"Future Date",IF(AN232=0,"0 days",IF(AN232&lt;=2,"1-2 days",IF(AN232&lt;=7,"3-7 days",IF(AN232&lt;=14,"8-14 days",IF(AN232&lt;=30,"15-30 days",IF(AN232&lt;=60,"31-60 days",IF(AN232&lt;=70,"61-70 days","71+ days")))))))))</x:f>
        <x:v>Missing Required Date</x:v>
      </x:c>
      <x:c r="AP232" s="25" t="str">
        <x:f>IF(OR(E232="processing",E232="executing",E232="pending"),IF(AM232="","Required aging date missing",IF(AN232&gt;30,"Escalate &gt;30d",IF(AN232&gt;14,"Watch &gt;14d","Within 14d"))),"Out of scope")</x:f>
        <x:v>Required aging date missing</x:v>
      </x:c>
    </x:row>
    <x:row r="233" ht="24" customHeight="1">
      <x:c r="A233" t="str">
        <x:v>7be4e61e-bbc0-456f-a7c0-650f7cdc261c</x:v>
      </x:c>
      <x:c r="B233" t="str">
        <x:v>CSSP10567299</x:v>
      </x:c>
      <x:c r="C233" t="str">
        <x:v>kumaresan.chandran@petronas.com</x:v>
      </x:c>
      <x:c r="D233" t="str">
        <x:v>provision-cloud-public</x:v>
      </x:c>
      <x:c r="E233" t="str">
        <x:v>pending</x:v>
      </x:c>
      <x:c r="F233" t="n">
        <x:v>46226.06059244213</x:v>
      </x:c>
      <x:c r="G233" t="n">
        <x:v>46231.35033059028</x:v>
      </x:c>
      <x:c r="H233" t="n">
        <x:v>46231.35033059028</x:v>
      </x:c>
      <x:c r="I233" t="str">
        <x:v>A-001390</x:v>
      </x:c>
      <x:c r="J233" t="str">
        <x:v>SenseArco - CACS Inner Layer </x:v>
      </x:c>
      <x:c r="K233" t="str">
        <x:v>SR26848</x:v>
      </x:c>
      <x:c r="L233" t="str">
        <x:v>Tower 3 CACS Technology Refresh for GS</x:v>
      </x:c>
      <x:c r="M233" t="str">
        <x:v>sulaiman.tawil@petronas.com.my</x:v>
      </x:c>
      <x:c r="N233" t="str">
        <x:v>REAL - Implementation of Facial Recognition Server for PETRONAS</x:v>
      </x:c>
      <x:c r="O233" t="str">
        <x:v>New</x:v>
      </x:c>
      <x:c r="P233" t="str">
        <x:v>StagingUat</x:v>
      </x:c>
      <x:c r="Q233" t="str">
        <x:v>Staging for Inner Layer CACS 
HLD link - https://myea.petronas.com/HLD/HLDDetails?StatusId=2&amp;LandscapePlatformId=0&amp;IsInfrastructureRequiredInput=true&amp;HLDTypeId=1&amp;LandscapeTypeId=0&amp;HLDId=1893</x:v>
      </x:c>
      <x:c r="R233" t="str">
        <x:v>M</x:v>
      </x:c>
      <x:c r="S233"/>
      <x:c r="T233"/>
      <x:c r="U233"/>
      <x:c r="V233"/>
      <x:c r="W233" t="str">
        <x:v>sulaiman.tawil@petronas.com</x:v>
      </x:c>
      <x:c r="X233"/>
      <x:c r="Y233"/>
      <x:c r="Z233"/>
      <x:c r="AA233" t="str">
        <x:v>CCoE SA</x:v>
      </x:c>
      <x:c r="AB233"/>
      <x:c r="AC233"/>
      <x:c r="AD233"/>
      <x:c r="AE233" t="str">
        <x:v>IMS - CLOUD CSSP REVIEWER</x:v>
      </x:c>
      <x:c r="AF233"/>
      <x:c r="AG233"/>
      <x:c r="AH233"/>
      <x:c r="AI233" t="str">
        <x:v>IMS - CLOUD CSSP EXECUTOR</x:v>
      </x:c>
      <x:c r="AJ233"/>
      <x:c r="AK233"/>
      <x:c r="AL233" t="str">
        <x:v>2737c234-5256-4c02-88d4-55b6f40253d1</x:v>
      </x:c>
      <x:c r="AM233" s="23" t="str">
        <x:f>IF(E233="processing",IF(Z233="","",IF(ISNUMBER(Z233),INT(Z233),DATE(VALUE(LEFT(Z233,4)),VALUE(MID(Z233,6,2)),VALUE(MID(Z233,9,2))))),IF(OR(E233="executing",E233="pending"),IF(AD233="","",IF(ISNUMBER(AD233),INT(AD233),DATE(VALUE(LEFT(AD233,4)),VALUE(MID(AD233,6,2)),VALUE(MID(AD233,9,2))))),""))</x:f>
      </x:c>
      <x:c r="AN233" s="24" t="str">
        <x:f>IF(AM233="","",INT('Configuration'!$B$4)-AM233)</x:f>
      </x:c>
      <x:c r="AO233" s="25" t="str">
        <x:f>IF(AM233="","Missing Required Date",IF(AN233&lt;0,"Future Date",IF(AN233=0,"0 days",IF(AN233&lt;=2,"1-2 days",IF(AN233&lt;=7,"3-7 days",IF(AN233&lt;=14,"8-14 days",IF(AN233&lt;=30,"15-30 days",IF(AN233&lt;=60,"31-60 days",IF(AN233&lt;=70,"61-70 days","71+ days")))))))))</x:f>
        <x:v>Missing Required Date</x:v>
      </x:c>
      <x:c r="AP233" s="25" t="str">
        <x:f>IF(OR(E233="processing",E233="executing",E233="pending"),IF(AM233="","Required aging date missing",IF(AN233&gt;30,"Escalate &gt;30d",IF(AN233&gt;14,"Watch &gt;14d","Within 14d"))),"Out of scope")</x:f>
        <x:v>Required aging date missing</x:v>
      </x:c>
    </x:row>
    <x:row r="234" ht="24" customHeight="1">
      <x:c r="A234" t="str">
        <x:v>c6b218ea-62aa-4f03-8adf-b00dafd3dc09</x:v>
      </x:c>
      <x:c r="B234" t="str">
        <x:v>CSSP10697905</x:v>
      </x:c>
      <x:c r="C234" t="str">
        <x:v>hazlin.rahmat@petronas.com</x:v>
      </x:c>
      <x:c r="D234" t="str">
        <x:v>provision-cloud-public</x:v>
      </x:c>
      <x:c r="E234" t="str">
        <x:v>rejected</x:v>
      </x:c>
      <x:c r="F234" t="n">
        <x:v>46226.14383378472</x:v>
      </x:c>
      <x:c r="G234" t="n">
        <x:v>46226.15496121528</x:v>
      </x:c>
      <x:c r="H234" t="n">
        <x:v>46231.34883914352</x:v>
      </x:c>
      <x:c r="I234" t="str">
        <x:v>A-001269</x:v>
      </x:c>
      <x:c r="J234" t="str">
        <x:v>Copilot Studio PAYG</x:v>
      </x:c>
      <x:c r="K234" t="str">
        <x:v>PC-00082</x:v>
      </x:c>
      <x:c r="L234" t="str">
        <x:v>Enterprise AI Agent Program: 007 License to Transform</x:v>
      </x:c>
      <x:c r="M234" t="str">
        <x:v>mradzuan.abdrahim@petronas.com.my</x:v>
      </x:c>
      <x:c r="N234" t="str">
        <x:v>PLT</x:v>
      </x:c>
      <x:c r="O234" t="str">
        <x:v>New</x:v>
      </x:c>
      <x:c r="P234" t="str">
        <x:v>Production</x:v>
      </x:c>
      <x:c r="Q234" t="str">
        <x:v>Please attach this newly Azure resource group to the subscription: PTAZSG-PROD-COPILOT-ENVIRONMENT</x:v>
      </x:c>
      <x:c r="R234" t="str">
        <x:v>M</x:v>
      </x:c>
      <x:c r="S234"/>
      <x:c r="T234"/>
      <x:c r="U234" t="str">
        <x:v>Approved</x:v>
      </x:c>
      <x:c r="V234" t="n">
        <x:v>46226.25775939815</x:v>
      </x:c>
      <x:c r="W234" t="str">
        <x:v>mradzuan.abdrahim@petronas.com</x:v>
      </x:c>
      <x:c r="X234" t="str">
        <x:v>approved</x:v>
      </x:c>
      <x:c r="Y234" t="str">
        <x:v>To comply with the Cloud Service Request and Provisioning Guideline v4.0, kindly provide the approved memo/approved email from the Business Owner or Cost-Center Owner as supporting evidence.</x:v>
      </x:c>
      <x:c r="Z234" t="n">
        <x:v>46231.34883915509</x:v>
      </x:c>
      <x:c r="AA234" t="str">
        <x:v>samsuddin.jumbri@petronas.com</x:v>
      </x:c>
      <x:c r="AB234" t="str">
        <x:v>rejected</x:v>
      </x:c>
      <x:c r="AC234"/>
      <x:c r="AD234"/>
      <x:c r="AE234" t="str">
        <x:v>IMS - CLOUD CSSP REVIEWER</x:v>
      </x:c>
      <x:c r="AF234"/>
      <x:c r="AG234"/>
      <x:c r="AH234"/>
      <x:c r="AI234" t="str">
        <x:v>IMS - CLOUD CSSP EXECUTOR</x:v>
      </x:c>
      <x:c r="AJ234"/>
      <x:c r="AK234"/>
      <x:c r="AL234" t="str">
        <x:v>c2f76174-bf7c-4d5d-9fa5-47109be4c48d</x:v>
      </x:c>
      <x:c r="AM234" s="23" t="str">
        <x:f>IF(E234="processing",IF(Z234="","",IF(ISNUMBER(Z234),INT(Z234),DATE(VALUE(LEFT(Z234,4)),VALUE(MID(Z234,6,2)),VALUE(MID(Z234,9,2))))),IF(OR(E234="executing",E234="pending"),IF(AD234="","",IF(ISNUMBER(AD234),INT(AD234),DATE(VALUE(LEFT(AD234,4)),VALUE(MID(AD234,6,2)),VALUE(MID(AD234,9,2))))),""))</x:f>
      </x:c>
      <x:c r="AN234" s="24" t="str">
        <x:f>IF(AM234="","",INT('Configuration'!$B$4)-AM234)</x:f>
      </x:c>
      <x:c r="AO234" s="25" t="str">
        <x:f>IF(AM234="","Missing Required Date",IF(AN234&lt;0,"Future Date",IF(AN234=0,"0 days",IF(AN234&lt;=2,"1-2 days",IF(AN234&lt;=7,"3-7 days",IF(AN234&lt;=14,"8-14 days",IF(AN234&lt;=30,"15-30 days",IF(AN234&lt;=60,"31-60 days",IF(AN234&lt;=70,"61-70 days","71+ days")))))))))</x:f>
        <x:v>Missing Required Date</x:v>
      </x:c>
      <x:c r="AP234" s="25" t="str">
        <x:f>IF(OR(E234="processing",E234="executing",E234="pending"),IF(AM234="","Required aging date missing",IF(AN234&gt;30,"Escalate &gt;30d",IF(AN234&gt;14,"Watch &gt;14d","Within 14d"))),"Out of scope")</x:f>
        <x:v>Out of scope</x:v>
      </x:c>
    </x:row>
    <x:row r="235" ht="24" customHeight="1">
      <x:c r="A235" t="str">
        <x:v>1f8442a0-ced3-4d43-ad5b-882aa3032e8d</x:v>
      </x:c>
      <x:c r="B235" t="str">
        <x:v>CSSP10233187</x:v>
      </x:c>
      <x:c r="C235" t="str">
        <x:v>amirulzakuan.azmey@petronas.com</x:v>
      </x:c>
      <x:c r="D235" t="str">
        <x:v>provision-cloud-public</x:v>
      </x:c>
      <x:c r="E235" t="str">
        <x:v>executing</x:v>
      </x:c>
      <x:c r="F235" t="n">
        <x:v>46227.13684907407</x:v>
      </x:c>
      <x:c r="G235" t="n">
        <x:v>46227.13684907407</x:v>
      </x:c>
      <x:c r="H235" t="n">
        <x:v>46233.102639467594</x:v>
      </x:c>
      <x:c r="I235" t="str">
        <x:v>A-000064</x:v>
      </x:c>
      <x:c r="J235" t="str">
        <x:v>Zidane OVC</x:v>
      </x:c>
      <x:c r="K235" t="n">
        <x:v>4569</x:v>
      </x:c>
      <x:c r="L235" t="str">
        <x:v>Provision of Professional Service, Software License and Infra for ArBiTra (OVC &amp; LVC) 2025 for PTLCL</x:v>
      </x:c>
      <x:c r="M235" t="str">
        <x:v>yap.winhong@petronas.com.my</x:v>
      </x:c>
      <x:c r="N235" t="str">
        <x:v>Unified Platform - Trading Digital</x:v>
      </x:c>
      <x:c r="O235" t="str">
        <x:v>New</x:v>
      </x:c>
      <x:c r="P235" t="str">
        <x:v>Production</x:v>
      </x:c>
      <x:c r="Q235" t="str">
        <x:v>Cost: SR25077: ArBitra Software Licenses and Infra 2026 HLD: https://myea.petronas.com/HLD/HLDDetails?StatusId=2&amp;LandscapePlatformId=2&amp;IsInfrastructureRequiredInput=true&amp;HLDTypeId=2&amp;LandscapeTypeId=1&amp;HLDId=282</x:v>
      </x:c>
      <x:c r="R235" t="str">
        <x:v>L</x:v>
      </x:c>
      <x:c r="S235"/>
      <x:c r="T235"/>
      <x:c r="U235" t="str">
        <x:v>Approve</x:v>
      </x:c>
      <x:c r="V235" t="n">
        <x:v>46227.137818333336</x:v>
      </x:c>
      <x:c r="W235" t="str">
        <x:v>yap.winhong@petronas.com</x:v>
      </x:c>
      <x:c r="X235" t="str">
        <x:v>approved</x:v>
      </x:c>
      <x:c r="Y235" t="str">
        <x:v>Good to go</x:v>
      </x:c>
      <x:c r="Z235" t="n">
        <x:v>46231.33656607639</x:v>
      </x:c>
      <x:c r="AA235" t="str">
        <x:v>samsuddin.jumbri@petronas.com</x:v>
      </x:c>
      <x:c r="AB235" t="str">
        <x:v>approved</x:v>
      </x:c>
      <x:c r="AC235" t="str">
        <x:v>approve</x:v>
      </x:c>
      <x:c r="AD235" t="n">
        <x:v>46233.10263947917</x:v>
      </x:c>
      <x:c r="AE235" t="str">
        <x:v>abhishek.bhowate@petronas.com</x:v>
      </x:c>
      <x:c r="AF235" t="str">
        <x:v>approved</x:v>
      </x:c>
      <x:c r="AG235"/>
      <x:c r="AH235"/>
      <x:c r="AI235" t="str">
        <x:v>abhishek.bhowate@petronas.com</x:v>
      </x:c>
      <x:c r="AJ235"/>
      <x:c r="AK235" t="str">
        <x:v>REQ000008203403</x:v>
      </x:c>
      <x:c r="AL235" t="str">
        <x:v>866cd81d-011e-424b-b696-e232f59deeb1</x:v>
      </x:c>
      <x:c r="AM235" s="23" t="n">
        <x:f>IF(E235="processing",IF(Z235="","",IF(ISNUMBER(Z235),INT(Z235),DATE(VALUE(LEFT(Z235,4)),VALUE(MID(Z235,6,2)),VALUE(MID(Z235,9,2))))),IF(OR(E235="executing",E235="pending"),IF(AD235="","",IF(ISNUMBER(AD235),INT(AD235),DATE(VALUE(LEFT(AD235,4)),VALUE(MID(AD235,6,2)),VALUE(MID(AD235,9,2))))),""))</x:f>
        <x:v>46233</x:v>
      </x:c>
      <x:c r="AN235" s="24" t="n">
        <x:f>IF(AM235="","",INT('Configuration'!$B$4)-AM235)</x:f>
        <x:v>18</x:v>
      </x:c>
      <x:c r="AO235" s="25" t="str">
        <x:f>IF(AM235="","Missing Required Date",IF(AN235&lt;0,"Future Date",IF(AN235=0,"0 days",IF(AN235&lt;=2,"1-2 days",IF(AN235&lt;=7,"3-7 days",IF(AN235&lt;=14,"8-14 days",IF(AN235&lt;=30,"15-30 days",IF(AN235&lt;=60,"31-60 days",IF(AN235&lt;=70,"61-70 days","71+ days")))))))))</x:f>
        <x:v>15-30 days</x:v>
      </x:c>
      <x:c r="AP235" s="25" t="str">
        <x:f>IF(OR(E235="processing",E235="executing",E235="pending"),IF(AM235="","Required aging date missing",IF(AN235&gt;30,"Escalate &gt;30d",IF(AN235&gt;14,"Watch &gt;14d","Within 14d"))),"Out of scope")</x:f>
        <x:v>Watch &gt;14d</x:v>
      </x:c>
    </x:row>
    <x:row r="236" ht="24" customHeight="1">
      <x:c r="A236" t="str">
        <x:v>40bdc468-07ca-441f-a388-da52b33b580a</x:v>
      </x:c>
      <x:c r="B236" t="str">
        <x:v>CSSP10245235</x:v>
      </x:c>
      <x:c r="C236" t="str">
        <x:v>mibrahim.sulaima@petronas.com</x:v>
      </x:c>
      <x:c r="D236" t="str">
        <x:v>provision-cloud-public</x:v>
      </x:c>
      <x:c r="E236" t="str">
        <x:v>executing</x:v>
      </x:c>
      <x:c r="F236" t="n">
        <x:v>46227.353034155094</x:v>
      </x:c>
      <x:c r="G236" t="n">
        <x:v>46227.353034155094</x:v>
      </x:c>
      <x:c r="H236" t="n">
        <x:v>46233.10234542824</x:v>
      </x:c>
      <x:c r="I236" t="str">
        <x:v>A-000303</x:v>
      </x:c>
      <x:c r="J236" t="str">
        <x:v>Enhancement of Enhanced Resource Monetization by Artificial Intelligence - ERMAI Phase 3 for Malaysia Petroleum Management - MPM</x:v>
      </x:c>
      <x:c r="K236" t="n">
        <x:v>100</x:v>
      </x:c>
      <x:c r="L236" t="str">
        <x:v>Enhancement of Enhanced Resource Monetization by Artificial Intelligence (ERMAI) Phase 4 </x:v>
      </x:c>
      <x:c r="M236" t="str">
        <x:v>limeng.tan@petronas.com.my</x:v>
      </x:c>
      <x:c r="N236" t="str">
        <x:v>ERMAI</x:v>
      </x:c>
      <x:c r="O236" t="str">
        <x:v>New</x:v>
      </x:c>
      <x:c r="P236" t="str">
        <x:v>StagingUat</x:v>
      </x:c>
      <x:c r="Q236" t="str">
        <x:v>This request is to provision Azure API management &amp; App Service to host Rapid scale up module for ERMAI phase 4. Both APIM and App Service will have their own Private End Point to secure access inbound. For outbound access, please use existing VNet for staging environment. Please allow security group ERMAIDevTeam to access the resources/services.</x:v>
      </x:c>
      <x:c r="R236" t="str">
        <x:v>M</x:v>
      </x:c>
      <x:c r="S236"/>
      <x:c r="T236"/>
      <x:c r="U236" t="str">
        <x:v>Approved as required for RSU</x:v>
      </x:c>
      <x:c r="V236" t="n">
        <x:v>46227.35843302083</x:v>
      </x:c>
      <x:c r="W236" t="str">
        <x:v>limeng.tan@petronas.com</x:v>
      </x:c>
      <x:c r="X236" t="str">
        <x:v>approved</x:v>
      </x:c>
      <x:c r="Y236" t="str">
        <x:v>Good to go</x:v>
      </x:c>
      <x:c r="Z236" t="n">
        <x:v>46231.327960347226</x:v>
      </x:c>
      <x:c r="AA236" t="str">
        <x:v>samsuddin.jumbri@petronas.com</x:v>
      </x:c>
      <x:c r="AB236" t="str">
        <x:v>approved</x:v>
      </x:c>
      <x:c r="AC236" t="str">
        <x:v>approve</x:v>
      </x:c>
      <x:c r="AD236" t="n">
        <x:v>46233.10234543982</x:v>
      </x:c>
      <x:c r="AE236" t="str">
        <x:v>abhishek.bhowate@petronas.com</x:v>
      </x:c>
      <x:c r="AF236" t="str">
        <x:v>approved</x:v>
      </x:c>
      <x:c r="AG236"/>
      <x:c r="AH236"/>
      <x:c r="AI236" t="str">
        <x:v>K.saktivelu@petronas.com</x:v>
      </x:c>
      <x:c r="AJ236"/>
      <x:c r="AK236" t="str">
        <x:v>REQ000008203402</x:v>
      </x:c>
      <x:c r="AL236" t="str">
        <x:v>5863a8c2-1f97-4aab-9158-0ada19ce8b61</x:v>
      </x:c>
      <x:c r="AM236" s="23" t="n">
        <x:f>IF(E236="processing",IF(Z236="","",IF(ISNUMBER(Z236),INT(Z236),DATE(VALUE(LEFT(Z236,4)),VALUE(MID(Z236,6,2)),VALUE(MID(Z236,9,2))))),IF(OR(E236="executing",E236="pending"),IF(AD236="","",IF(ISNUMBER(AD236),INT(AD236),DATE(VALUE(LEFT(AD236,4)),VALUE(MID(AD236,6,2)),VALUE(MID(AD236,9,2))))),""))</x:f>
        <x:v>46233</x:v>
      </x:c>
      <x:c r="AN236" s="24" t="n">
        <x:f>IF(AM236="","",INT('Configuration'!$B$4)-AM236)</x:f>
        <x:v>18</x:v>
      </x:c>
      <x:c r="AO236" s="25" t="str">
        <x:f>IF(AM236="","Missing Required Date",IF(AN236&lt;0,"Future Date",IF(AN236=0,"0 days",IF(AN236&lt;=2,"1-2 days",IF(AN236&lt;=7,"3-7 days",IF(AN236&lt;=14,"8-14 days",IF(AN236&lt;=30,"15-30 days",IF(AN236&lt;=60,"31-60 days",IF(AN236&lt;=70,"61-70 days","71+ days")))))))))</x:f>
        <x:v>15-30 days</x:v>
      </x:c>
      <x:c r="AP236" s="25" t="str">
        <x:f>IF(OR(E236="processing",E236="executing",E236="pending"),IF(AM236="","Required aging date missing",IF(AN236&gt;30,"Escalate &gt;30d",IF(AN236&gt;14,"Watch &gt;14d","Within 14d"))),"Out of scope")</x:f>
        <x:v>Watch &gt;14d</x:v>
      </x:c>
    </x:row>
    <x:row r="237" ht="24" customHeight="1">
      <x:c r="A237" t="str">
        <x:v>c6f76a57-d97b-474b-b446-01c65381b1b3</x:v>
      </x:c>
      <x:c r="B237" t="str">
        <x:v>CSSP10865009</x:v>
      </x:c>
      <x:c r="C237" t="str">
        <x:v>mibrahim.sulaima@petronas.com</x:v>
      </x:c>
      <x:c r="D237" t="str">
        <x:v>provision-cloud-public</x:v>
      </x:c>
      <x:c r="E237" t="str">
        <x:v>executing</x:v>
      </x:c>
      <x:c r="F237" t="n">
        <x:v>46227.355753564814</x:v>
      </x:c>
      <x:c r="G237" t="n">
        <x:v>46227.355753564814</x:v>
      </x:c>
      <x:c r="H237" t="n">
        <x:v>46233.10205086805</x:v>
      </x:c>
      <x:c r="I237" t="str">
        <x:v>A-000303</x:v>
      </x:c>
      <x:c r="J237" t="str">
        <x:v>Enhancement of Enhanced Resource Monetization by Artificial Intelligence - ERMAI Phase 3 for Malaysia Petroleum Management - MPM</x:v>
      </x:c>
      <x:c r="K237" t="n">
        <x:v>100</x:v>
      </x:c>
      <x:c r="L237" t="str">
        <x:v>Enhancement of Enhanced Resource Monetization by Artificial Intelligence (ERMAI) Phase 4 </x:v>
      </x:c>
      <x:c r="M237" t="str">
        <x:v>limeng.tan@petronas.com.my</x:v>
      </x:c>
      <x:c r="N237" t="str">
        <x:v>ERMAI</x:v>
      </x:c>
      <x:c r="O237" t="str">
        <x:v>New</x:v>
      </x:c>
      <x:c r="P237" t="str">
        <x:v>Production</x:v>
      </x:c>
      <x:c r="Q237" t="str">
        <x:v>This request is to provision Azure API management &amp; App Service to host Rapid scale up module for ERMAI phase 4. Both APIM and App Service will have their own Private End Point to secure access inbound. For outbound access, please use existing VNet for production environment. Please allow security group ERMAIDevTeam to access the resources/services.</x:v>
      </x:c>
      <x:c r="R237" t="str">
        <x:v>M</x:v>
      </x:c>
      <x:c r="S237"/>
      <x:c r="T237"/>
      <x:c r="U237" t="str">
        <x:v>Approved as required for completion of RSU</x:v>
      </x:c>
      <x:c r="V237" t="n">
        <x:v>46227.35889</x:v>
      </x:c>
      <x:c r="W237" t="str">
        <x:v>limeng.tan@petronas.com</x:v>
      </x:c>
      <x:c r="X237" t="str">
        <x:v>approved</x:v>
      </x:c>
      <x:c r="Y237" t="str">
        <x:v>Good to go</x:v>
      </x:c>
      <x:c r="Z237" t="n">
        <x:v>46231.32361103009</x:v>
      </x:c>
      <x:c r="AA237" t="str">
        <x:v>samsuddin.jumbri@petronas.com</x:v>
      </x:c>
      <x:c r="AB237" t="str">
        <x:v>approved</x:v>
      </x:c>
      <x:c r="AC237" t="str">
        <x:v>approve</x:v>
      </x:c>
      <x:c r="AD237" t="n">
        <x:v>46233.10205087963</x:v>
      </x:c>
      <x:c r="AE237" t="str">
        <x:v>abhishek.bhowate@petronas.com</x:v>
      </x:c>
      <x:c r="AF237" t="str">
        <x:v>approved</x:v>
      </x:c>
      <x:c r="AG237"/>
      <x:c r="AH237"/>
      <x:c r="AI237" t="str">
        <x:v>K.saktivelu@petronas.com</x:v>
      </x:c>
      <x:c r="AJ237"/>
      <x:c r="AK237" t="str">
        <x:v>REQ000008203401</x:v>
      </x:c>
      <x:c r="AL237" t="str">
        <x:v>5863a8c2-1f97-4aab-9158-0ada19ce8b61</x:v>
      </x:c>
      <x:c r="AM237" s="23" t="n">
        <x:f>IF(E237="processing",IF(Z237="","",IF(ISNUMBER(Z237),INT(Z237),DATE(VALUE(LEFT(Z237,4)),VALUE(MID(Z237,6,2)),VALUE(MID(Z237,9,2))))),IF(OR(E237="executing",E237="pending"),IF(AD237="","",IF(ISNUMBER(AD237),INT(AD237),DATE(VALUE(LEFT(AD237,4)),VALUE(MID(AD237,6,2)),VALUE(MID(AD237,9,2))))),""))</x:f>
        <x:v>46233</x:v>
      </x:c>
      <x:c r="AN237" s="24" t="n">
        <x:f>IF(AM237="","",INT('Configuration'!$B$4)-AM237)</x:f>
        <x:v>18</x:v>
      </x:c>
      <x:c r="AO237" s="25" t="str">
        <x:f>IF(AM237="","Missing Required Date",IF(AN237&lt;0,"Future Date",IF(AN237=0,"0 days",IF(AN237&lt;=2,"1-2 days",IF(AN237&lt;=7,"3-7 days",IF(AN237&lt;=14,"8-14 days",IF(AN237&lt;=30,"15-30 days",IF(AN237&lt;=60,"31-60 days",IF(AN237&lt;=70,"61-70 days","71+ days")))))))))</x:f>
        <x:v>15-30 days</x:v>
      </x:c>
      <x:c r="AP237" s="25" t="str">
        <x:f>IF(OR(E237="processing",E237="executing",E237="pending"),IF(AM237="","Required aging date missing",IF(AN237&gt;30,"Escalate &gt;30d",IF(AN237&gt;14,"Watch &gt;14d","Within 14d"))),"Out of scope")</x:f>
        <x:v>Watch &gt;14d</x:v>
      </x:c>
    </x:row>
    <x:row r="238" ht="24" customHeight="1">
      <x:c r="A238" t="str">
        <x:v>293fafd6-7465-4a5f-9c4e-d9c28fc446d6</x:v>
      </x:c>
      <x:c r="B238" t="str">
        <x:v>CSSP10990776</x:v>
      </x:c>
      <x:c r="C238" t="str">
        <x:v>mhaslan.abuhassan@petronas.com</x:v>
      </x:c>
      <x:c r="D238" t="str">
        <x:v>provision-cloud-public</x:v>
      </x:c>
      <x:c r="E238" t="str">
        <x:v>completed</x:v>
      </x:c>
      <x:c r="F238" t="n">
        <x:v>46231.1506853588</x:v>
      </x:c>
      <x:c r="G238" t="n">
        <x:v>46231.1506853588</x:v>
      </x:c>
      <x:c r="H238" t="n">
        <x:v>46232.18898341435</x:v>
      </x:c>
      <x:c r="I238" t="str">
        <x:v>A-001391</x:v>
      </x:c>
      <x:c r="J238" t="str">
        <x:v>Cyber Security MDASH Security Exposure Management</x:v>
      </x:c>
      <x:c r="K238" t="str">
        <x:v>PC-00093</x:v>
      </x:c>
      <x:c r="L238" t="str">
        <x:v>MDash Implementation</x:v>
      </x:c>
      <x:c r="M238" t="str">
        <x:v>ahmedjamal.khan@petronas.com</x:v>
      </x:c>
      <x:c r="N238" t="str">
        <x:v>MDash_Implementation</x:v>
      </x:c>
      <x:c r="O238" t="str">
        <x:v>New</x:v>
      </x:c>
      <x:c r="P238" t="str">
        <x:v>SandboxPocIsolated</x:v>
      </x:c>
      <x:c r="Q238" t="str">
        <x:v>MDASH POC deployment</x:v>
      </x:c>
      <x:c r="R238" t="str">
        <x:v>S</x:v>
      </x:c>
      <x:c r="S238"/>
      <x:c r="T238"/>
      <x:c r="U238" t="str">
        <x:v>Approved</x:v>
      </x:c>
      <x:c r="V238" t="n">
        <x:v>46231.15728724537</x:v>
      </x:c>
      <x:c r="W238" t="str">
        <x:v>ahmedjamal.khan@petronas.com</x:v>
      </x:c>
      <x:c r="X238" t="str">
        <x:v>approved</x:v>
      </x:c>
      <x:c r="Y238" t="str">
        <x:v>To proceed</x:v>
      </x:c>
      <x:c r="Z238" t="n">
        <x:v>46231.158680347224</x:v>
      </x:c>
      <x:c r="AA238" t="str">
        <x:v>fathulrahman.misba@petronas.com</x:v>
      </x:c>
      <x:c r="AB238" t="str">
        <x:v>approved</x:v>
      </x:c>
      <x:c r="AC238" t="str">
        <x:v>Approved</x:v>
      </x:c>
      <x:c r="AD238" t="n">
        <x:v>46231.18136125</x:v>
      </x:c>
      <x:c r="AE238" t="str">
        <x:v>abhishek.bhowate@petronas.com</x:v>
      </x:c>
      <x:c r="AF238" t="str">
        <x:v>approved</x:v>
      </x:c>
      <x:c r="AG238" t="str">
        <x:v>As Discussed with M Haslan Abu Hassan (IS/DIGITAL), he will proceed with the deployment for this request, hence closing the request. 
</x:v>
      </x:c>
      <x:c r="AH238" t="n">
        <x:v>46232.18898342593</x:v>
      </x:c>
      <x:c r="AI238" t="str">
        <x:v>amarja.kawade@petronas.com</x:v>
      </x:c>
      <x:c r="AJ238" t="str">
        <x:v>approved</x:v>
      </x:c>
      <x:c r="AK238" t="str">
        <x:v>REQ000008198538</x:v>
      </x:c>
      <x:c r="AL238" t="str">
        <x:v>434595d8-a399-427d-ab35-d2864d6fa25a</x:v>
      </x:c>
      <x:c r="AM238" s="23" t="str">
        <x:f>IF(E238="processing",IF(Z238="","",IF(ISNUMBER(Z238),INT(Z238),DATE(VALUE(LEFT(Z238,4)),VALUE(MID(Z238,6,2)),VALUE(MID(Z238,9,2))))),IF(OR(E238="executing",E238="pending"),IF(AD238="","",IF(ISNUMBER(AD238),INT(AD238),DATE(VALUE(LEFT(AD238,4)),VALUE(MID(AD238,6,2)),VALUE(MID(AD238,9,2))))),""))</x:f>
      </x:c>
      <x:c r="AN238" s="24" t="str">
        <x:f>IF(AM238="","",INT('Configuration'!$B$4)-AM238)</x:f>
      </x:c>
      <x:c r="AO238" s="25" t="str">
        <x:f>IF(AM238="","Missing Required Date",IF(AN238&lt;0,"Future Date",IF(AN238=0,"0 days",IF(AN238&lt;=2,"1-2 days",IF(AN238&lt;=7,"3-7 days",IF(AN238&lt;=14,"8-14 days",IF(AN238&lt;=30,"15-30 days",IF(AN238&lt;=60,"31-60 days",IF(AN238&lt;=70,"61-70 days","71+ days")))))))))</x:f>
        <x:v>Missing Required Date</x:v>
      </x:c>
      <x:c r="AP238" s="25" t="str">
        <x:f>IF(OR(E238="processing",E238="executing",E238="pending"),IF(AM238="","Required aging date missing",IF(AN238&gt;30,"Escalate &gt;30d",IF(AN238&gt;14,"Watch &gt;14d","Within 14d"))),"Out of scope")</x:f>
        <x:v>Out of scope</x:v>
      </x:c>
    </x:row>
    <x:row r="239" ht="24" customHeight="1">
      <x:c r="A239" t="str">
        <x:v>b4b92a67-3619-4867-a01b-61ac70e565e0</x:v>
      </x:c>
      <x:c r="B239" t="str">
        <x:v>CSSP10530003</x:v>
      </x:c>
      <x:c r="C239" t="str">
        <x:v>faiz.khairuddin@petronas.com</x:v>
      </x:c>
      <x:c r="D239" t="str">
        <x:v>provision-cloud-public</x:v>
      </x:c>
      <x:c r="E239" t="str">
        <x:v>executing</x:v>
      </x:c>
      <x:c r="F239" t="n">
        <x:v>46231.39152858796</x:v>
      </x:c>
      <x:c r="G239" t="n">
        <x:v>46231.39152858796</x:v>
      </x:c>
      <x:c r="H239" t="n">
        <x:v>46233.10129234954</x:v>
      </x:c>
      <x:c r="I239" t="str">
        <x:v>A-000198</x:v>
      </x:c>
      <x:c r="J239" t="str">
        <x:v>Data Centre Automation - DCA</x:v>
      </x:c>
      <x:c r="K239" t="str">
        <x:v>PC-00050</x:v>
      </x:c>
      <x:c r="L239" t="str">
        <x:v>DCA v2 Implementation at Cloud</x:v>
      </x:c>
      <x:c r="M239" t="str">
        <x:v>vivek.yadav@petronas.com</x:v>
      </x:c>
      <x:c r="N239" t="str">
        <x:v>Data Centre Automation - DCA</x:v>
      </x:c>
      <x:c r="O239" t="str">
        <x:v>New</x:v>
      </x:c>
      <x:c r="P239" t="str">
        <x:v>Production</x:v>
      </x:c>
      <x:c r="Q239" t="str">
        <x:v>DCA new resources at Malaysia (Repat)</x:v>
      </x:c>
      <x:c r="R239" t="str">
        <x:v>M</x:v>
      </x:c>
      <x:c r="S239"/>
      <x:c r="T239"/>
      <x:c r="U239" t="str">
        <x:v>Proceed with infra provisioning in Malaysia region.</x:v>
      </x:c>
      <x:c r="V239" t="n">
        <x:v>46231.40433111111</x:v>
      </x:c>
      <x:c r="W239" t="str">
        <x:v>vivek.yadav@petronas.com</x:v>
      </x:c>
      <x:c r="X239" t="str">
        <x:v>approved</x:v>
      </x:c>
      <x:c r="Y239" t="str">
        <x:v>To proceed with the provisioning for repat and confirm with requestor.</x:v>
      </x:c>
      <x:c r="Z239" t="n">
        <x:v>46232.09807042824</x:v>
      </x:c>
      <x:c r="AA239" t="str">
        <x:v>fathulrahman.misba@petronas.com</x:v>
      </x:c>
      <x:c r="AB239" t="str">
        <x:v>approved</x:v>
      </x:c>
      <x:c r="AC239" t="str">
        <x:v>Approve</x:v>
      </x:c>
      <x:c r="AD239" t="n">
        <x:v>46233.10129236111</x:v>
      </x:c>
      <x:c r="AE239" t="str">
        <x:v>abhishek.bhowate@petronas.com</x:v>
      </x:c>
      <x:c r="AF239" t="str">
        <x:v>approved</x:v>
      </x:c>
      <x:c r="AG239"/>
      <x:c r="AH239"/>
      <x:c r="AI239" t="str">
        <x:v>abhishek.bhowate@petronas.com</x:v>
      </x:c>
      <x:c r="AJ239"/>
      <x:c r="AK239" t="str">
        <x:v>REQ000008203309</x:v>
      </x:c>
      <x:c r="AL239" t="str">
        <x:v>c7339977-1f3d-45c7-a188-5496081d7513</x:v>
      </x:c>
      <x:c r="AM239" s="23" t="n">
        <x:f>IF(E239="processing",IF(Z239="","",IF(ISNUMBER(Z239),INT(Z239),DATE(VALUE(LEFT(Z239,4)),VALUE(MID(Z239,6,2)),VALUE(MID(Z239,9,2))))),IF(OR(E239="executing",E239="pending"),IF(AD239="","",IF(ISNUMBER(AD239),INT(AD239),DATE(VALUE(LEFT(AD239,4)),VALUE(MID(AD239,6,2)),VALUE(MID(AD239,9,2))))),""))</x:f>
        <x:v>46233</x:v>
      </x:c>
      <x:c r="AN239" s="24" t="n">
        <x:f>IF(AM239="","",INT('Configuration'!$B$4)-AM239)</x:f>
        <x:v>18</x:v>
      </x:c>
      <x:c r="AO239" s="25" t="str">
        <x:f>IF(AM239="","Missing Required Date",IF(AN239&lt;0,"Future Date",IF(AN239=0,"0 days",IF(AN239&lt;=2,"1-2 days",IF(AN239&lt;=7,"3-7 days",IF(AN239&lt;=14,"8-14 days",IF(AN239&lt;=30,"15-30 days",IF(AN239&lt;=60,"31-60 days",IF(AN239&lt;=70,"61-70 days","71+ days")))))))))</x:f>
        <x:v>15-30 days</x:v>
      </x:c>
      <x:c r="AP239" s="25" t="str">
        <x:f>IF(OR(E239="processing",E239="executing",E239="pending"),IF(AM239="","Required aging date missing",IF(AN239&gt;30,"Escalate &gt;30d",IF(AN239&gt;14,"Watch &gt;14d","Within 14d"))),"Out of scope")</x:f>
        <x:v>Watch &gt;14d</x:v>
      </x:c>
    </x:row>
    <x:row r="240" ht="24" customHeight="1">
      <x:c r="A240" t="str">
        <x:v>fd156c81-7a2a-4a42-b7cd-bf5867e8cc62</x:v>
      </x:c>
      <x:c r="B240" t="str">
        <x:v>CSSP10635363</x:v>
      </x:c>
      <x:c r="C240" t="str">
        <x:v>faiz.khairuddin@petronas.com</x:v>
      </x:c>
      <x:c r="D240" t="str">
        <x:v>provision-cloud-public</x:v>
      </x:c>
      <x:c r="E240" t="str">
        <x:v>executing</x:v>
      </x:c>
      <x:c r="F240" t="n">
        <x:v>46231.39786943287</x:v>
      </x:c>
      <x:c r="G240" t="n">
        <x:v>46231.39786943287</x:v>
      </x:c>
      <x:c r="H240" t="n">
        <x:v>46233.09974637732</x:v>
      </x:c>
      <x:c r="I240" t="str">
        <x:v>A-000587</x:v>
      </x:c>
      <x:c r="J240" t="str">
        <x:v>Plant Information - PI PCMTBE</x:v>
      </x:c>
      <x:c r="K240" t="n">
        <x:v>3940</x:v>
      </x:c>
      <x:c r="L240" t="str">
        <x:v>Plant Information - PI PCMTBE created for AWS KVDC migration project</x:v>
      </x:c>
      <x:c r="M240" t="str">
        <x:v>vivek.yadav@petronas.com</x:v>
      </x:c>
      <x:c r="N240" t="str">
        <x:v>Plant Information PI Initiative</x:v>
      </x:c>
      <x:c r="O240" t="str">
        <x:v>Repat</x:v>
      </x:c>
      <x:c r="P240" t="str">
        <x:v>Production</x:v>
      </x:c>
      <x:c r="Q240" t="str">
        <x:v>AWS resources that will be carry from KVDC</x:v>
      </x:c>
      <x:c r="R240" t="str">
        <x:v>M</x:v>
      </x:c>
      <x:c r="S240"/>
      <x:c r="T240"/>
      <x:c r="U240" t="str">
        <x:v>[System] Stage pre-approved for Cloud Repatriation project</x:v>
      </x:c>
      <x:c r="V240" t="n">
        <x:v>46231.39786943287</x:v>
      </x:c>
      <x:c r="W240" t="str">
        <x:v>vivek.yadav@petronas.com</x:v>
      </x:c>
      <x:c r="X240" t="str">
        <x:v>approved</x:v>
      </x:c>
      <x:c r="Y240" t="str">
        <x:v>[System] Stage pre-approved for Cloud Repatriation project</x:v>
      </x:c>
      <x:c r="Z240" t="n">
        <x:v>46231.39786943287</x:v>
      </x:c>
      <x:c r="AA240" t="str">
        <x:v>CCoE Demand</x:v>
      </x:c>
      <x:c r="AB240" t="str">
        <x:v>approved</x:v>
      </x:c>
      <x:c r="AC240" t="str">
        <x:v>approve</x:v>
      </x:c>
      <x:c r="AD240" t="n">
        <x:v>46233.09974638889</x:v>
      </x:c>
      <x:c r="AE240" t="str">
        <x:v>abhishek.bhowate@petronas.com</x:v>
      </x:c>
      <x:c r="AF240" t="str">
        <x:v>approved</x:v>
      </x:c>
      <x:c r="AG240"/>
      <x:c r="AH240"/>
      <x:c r="AI240" t="str">
        <x:v>amarja.kawade@petronas.com</x:v>
      </x:c>
      <x:c r="AJ240"/>
      <x:c r="AK240" t="str">
        <x:v>REQ000008203305</x:v>
      </x:c>
      <x:c r="AL240" t="str">
        <x:v>9bf3695d-29d7-48d3-ac48-229e6dbc88b3</x:v>
      </x:c>
      <x:c r="AM240" s="23" t="n">
        <x:f>IF(E240="processing",IF(Z240="","",IF(ISNUMBER(Z240),INT(Z240),DATE(VALUE(LEFT(Z240,4)),VALUE(MID(Z240,6,2)),VALUE(MID(Z240,9,2))))),IF(OR(E240="executing",E240="pending"),IF(AD240="","",IF(ISNUMBER(AD240),INT(AD240),DATE(VALUE(LEFT(AD240,4)),VALUE(MID(AD240,6,2)),VALUE(MID(AD240,9,2))))),""))</x:f>
        <x:v>46233</x:v>
      </x:c>
      <x:c r="AN240" s="24" t="n">
        <x:f>IF(AM240="","",INT('Configuration'!$B$4)-AM240)</x:f>
        <x:v>18</x:v>
      </x:c>
      <x:c r="AO240" s="25" t="str">
        <x:f>IF(AM240="","Missing Required Date",IF(AN240&lt;0,"Future Date",IF(AN240=0,"0 days",IF(AN240&lt;=2,"1-2 days",IF(AN240&lt;=7,"3-7 days",IF(AN240&lt;=14,"8-14 days",IF(AN240&lt;=30,"15-30 days",IF(AN240&lt;=60,"31-60 days",IF(AN240&lt;=70,"61-70 days","71+ days")))))))))</x:f>
        <x:v>15-30 days</x:v>
      </x:c>
      <x:c r="AP240" s="25" t="str">
        <x:f>IF(OR(E240="processing",E240="executing",E240="pending"),IF(AM240="","Required aging date missing",IF(AN240&gt;30,"Escalate &gt;30d",IF(AN240&gt;14,"Watch &gt;14d","Within 14d"))),"Out of scope")</x:f>
        <x:v>Watch &gt;14d</x:v>
      </x:c>
    </x:row>
    <x:row r="241" ht="24" customHeight="1">
      <x:c r="A241" t="str">
        <x:v>682922ab-c9d8-4d11-8419-75e780aefc23</x:v>
      </x:c>
      <x:c r="B241" t="str">
        <x:v>CSSP10432260</x:v>
      </x:c>
      <x:c r="C241" t="str">
        <x:v>ainasyakirah.jamil@petronas.com</x:v>
      </x:c>
      <x:c r="D241" t="str">
        <x:v>provision-cloud-public</x:v>
      </x:c>
      <x:c r="E241" t="str">
        <x:v>rejected</x:v>
      </x:c>
      <x:c r="F241" t="n">
        <x:v>46232.09775111111</x:v>
      </x:c>
      <x:c r="G241" t="n">
        <x:v>46232.09775111111</x:v>
      </x:c>
      <x:c r="H241" t="n">
        <x:v>46240.07901934028</x:v>
      </x:c>
      <x:c r="I241" t="str">
        <x:v>A-001388</x:v>
      </x:c>
      <x:c r="J241" t="str">
        <x:v>Operational Excellence Incident​ Management - OEIM​</x:v>
      </x:c>
      <x:c r="K241" t="str">
        <x:v>SR26927</x:v>
      </x:c>
      <x:c r="L241" t="str">
        <x:v>Operational Excellence Incident​ Management (OEIM)</x:v>
      </x:c>
      <x:c r="M241" t="str">
        <x:v>aressany.bohari@petronas.com.my</x:v>
      </x:c>
      <x:c r="N241" t="str">
        <x:v>Operational Excellence Incident Management (OEIM)</x:v>
      </x:c>
      <x:c r="O241" t="str">
        <x:v>New</x:v>
      </x:c>
      <x:c r="P241" t="str">
        <x:v>Development</x:v>
      </x:c>
      <x:c r="Q241" t="str">
        <x:v>New Azure cloud provision for SR 26927 OEIM</x:v>
      </x:c>
      <x:c r="R241"/>
      <x:c r="S241"/>
      <x:c r="T241"/>
      <x:c r="U241" t="str">
        <x:v>cancelled as per requested by requestor</x:v>
      </x:c>
      <x:c r="V241" t="n">
        <x:v>46240.079019351855</x:v>
      </x:c>
      <x:c r="W241" t="str">
        <x:v>ismail.azman@petronas.com</x:v>
      </x:c>
      <x:c r="X241" t="str">
        <x:v>rejected</x:v>
      </x:c>
      <x:c r="Y241"/>
      <x:c r="Z241"/>
      <x:c r="AA241" t="str">
        <x:v>CCoE SA</x:v>
      </x:c>
      <x:c r="AB241"/>
      <x:c r="AC241"/>
      <x:c r="AD241"/>
      <x:c r="AE241" t="str">
        <x:v>IMS - CLOUD CSSP REVIEWER</x:v>
      </x:c>
      <x:c r="AF241"/>
      <x:c r="AG241"/>
      <x:c r="AH241"/>
      <x:c r="AI241" t="str">
        <x:v>IMS - CLOUD CSSP EXECUTOR</x:v>
      </x:c>
      <x:c r="AJ241"/>
      <x:c r="AK241"/>
      <x:c r="AL241" t="str">
        <x:v>a91e1e5c-5f8d-4d83-ad0d-b7ef787ec94e</x:v>
      </x:c>
      <x:c r="AM241" s="23" t="str">
        <x:f>IF(E241="processing",IF(Z241="","",IF(ISNUMBER(Z241),INT(Z241),DATE(VALUE(LEFT(Z241,4)),VALUE(MID(Z241,6,2)),VALUE(MID(Z241,9,2))))),IF(OR(E241="executing",E241="pending"),IF(AD241="","",IF(ISNUMBER(AD241),INT(AD241),DATE(VALUE(LEFT(AD241,4)),VALUE(MID(AD241,6,2)),VALUE(MID(AD241,9,2))))),""))</x:f>
      </x:c>
      <x:c r="AN241" s="24" t="str">
        <x:f>IF(AM241="","",INT('Configuration'!$B$4)-AM241)</x:f>
      </x:c>
      <x:c r="AO241" s="25" t="str">
        <x:f>IF(AM241="","Missing Required Date",IF(AN241&lt;0,"Future Date",IF(AN241=0,"0 days",IF(AN241&lt;=2,"1-2 days",IF(AN241&lt;=7,"3-7 days",IF(AN241&lt;=14,"8-14 days",IF(AN241&lt;=30,"15-30 days",IF(AN241&lt;=60,"31-60 days",IF(AN241&lt;=70,"61-70 days","71+ days")))))))))</x:f>
        <x:v>Missing Required Date</x:v>
      </x:c>
      <x:c r="AP241" s="25" t="str">
        <x:f>IF(OR(E241="processing",E241="executing",E241="pending"),IF(AM241="","Required aging date missing",IF(AN241&gt;30,"Escalate &gt;30d",IF(AN241&gt;14,"Watch &gt;14d","Within 14d"))),"Out of scope")</x:f>
        <x:v>Out of scope</x:v>
      </x:c>
    </x:row>
    <x:row r="242" ht="24" customHeight="1">
      <x:c r="A242" t="str">
        <x:v>7ad81e20-5df2-4449-8503-dfe7410aa3cd</x:v>
      </x:c>
      <x:c r="B242" t="str">
        <x:v>CSSP10848695</x:v>
      </x:c>
      <x:c r="C242" t="str">
        <x:v>kumaresan.chandran@petronas.com</x:v>
      </x:c>
      <x:c r="D242" t="str">
        <x:v>provision-cloud-public</x:v>
      </x:c>
      <x:c r="E242" t="str">
        <x:v>completed</x:v>
      </x:c>
      <x:c r="F242" t="n">
        <x:v>46232.140511805555</x:v>
      </x:c>
      <x:c r="G242" t="n">
        <x:v>46232.140511805555</x:v>
      </x:c>
      <x:c r="H242" t="n">
        <x:v>46242.14545480324</x:v>
      </x:c>
      <x:c r="I242" t="str">
        <x:v>A-001390</x:v>
      </x:c>
      <x:c r="J242" t="str">
        <x:v>SenseArco - CACS Inner Layer </x:v>
      </x:c>
      <x:c r="K242" t="str">
        <x:v>SR26848</x:v>
      </x:c>
      <x:c r="L242" t="str">
        <x:v>Tower 3 CACS Technology Refresh for GS</x:v>
      </x:c>
      <x:c r="M242" t="str">
        <x:v>sulaiman.tawil@petronas.com</x:v>
      </x:c>
      <x:c r="N242" t="str">
        <x:v>REAL - Implementation of Facial Recognition Server for PETRONAS</x:v>
      </x:c>
      <x:c r="O242" t="str">
        <x:v>New</x:v>
      </x:c>
      <x:c r="P242" t="str">
        <x:v>StagingUat</x:v>
      </x:c>
      <x:c r="Q242" t="str">
        <x:v>Staging for Inner Layer CACS 
HLD link - https://myea.petronas.com/HLD/HLDDetails?StatusId=2&amp;LandscapePlatformId=0&amp;IsInfrastructureRequiredInput=true&amp;HLDTypeId=1&amp;LandscapeTypeId=0&amp;HLDId=1893</x:v>
      </x:c>
      <x:c r="R242" t="str">
        <x:v>L</x:v>
      </x:c>
      <x:c r="S242"/>
      <x:c r="T242"/>
      <x:c r="U242" t="str">
        <x:v>Approve</x:v>
      </x:c>
      <x:c r="V242" t="n">
        <x:v>46232.1535737963</x:v>
      </x:c>
      <x:c r="W242" t="str">
        <x:v>sulaiman.tawil@petronas.com</x:v>
      </x:c>
      <x:c r="X242" t="str">
        <x:v>approved</x:v>
      </x:c>
      <x:c r="Y242" t="str">
        <x:v>Good to go</x:v>
      </x:c>
      <x:c r="Z242" t="n">
        <x:v>46232.28235234954</x:v>
      </x:c>
      <x:c r="AA242" t="str">
        <x:v>samsuddin.jumbri@petronas.com</x:v>
      </x:c>
      <x:c r="AB242" t="str">
        <x:v>approved</x:v>
      </x:c>
      <x:c r="AC242" t="str">
        <x:v>Approve</x:v>
      </x:c>
      <x:c r="AD242" t="n">
        <x:v>46232.322585104164</x:v>
      </x:c>
      <x:c r="AE242" t="str">
        <x:v>abhishek.bhowate@petronas.com</x:v>
      </x:c>
      <x:c r="AF242" t="str">
        <x:v>approved</x:v>
      </x:c>
      <x:c r="AG242" t="str">
        <x:v>Completed by rasaya</x:v>
      </x:c>
      <x:c r="AH242" t="n">
        <x:v>46242.14545480324</x:v>
      </x:c>
      <x:c r="AI242" t="str">
        <x:v>abdul.khoir@petronas.com</x:v>
      </x:c>
      <x:c r="AJ242" t="str">
        <x:v>approved</x:v>
      </x:c>
      <x:c r="AK242" t="str">
        <x:v>REQ000008201676</x:v>
      </x:c>
      <x:c r="AL242" t="str">
        <x:v>2737c234-5256-4c02-88d4-55b6f40253d1</x:v>
      </x:c>
      <x:c r="AM242" s="23" t="str">
        <x:f>IF(E242="processing",IF(Z242="","",IF(ISNUMBER(Z242),INT(Z242),DATE(VALUE(LEFT(Z242,4)),VALUE(MID(Z242,6,2)),VALUE(MID(Z242,9,2))))),IF(OR(E242="executing",E242="pending"),IF(AD242="","",IF(ISNUMBER(AD242),INT(AD242),DATE(VALUE(LEFT(AD242,4)),VALUE(MID(AD242,6,2)),VALUE(MID(AD242,9,2))))),""))</x:f>
      </x:c>
      <x:c r="AN242" s="24" t="str">
        <x:f>IF(AM242="","",INT('Configuration'!$B$4)-AM242)</x:f>
      </x:c>
      <x:c r="AO242" s="25" t="str">
        <x:f>IF(AM242="","Missing Required Date",IF(AN242&lt;0,"Future Date",IF(AN242=0,"0 days",IF(AN242&lt;=2,"1-2 days",IF(AN242&lt;=7,"3-7 days",IF(AN242&lt;=14,"8-14 days",IF(AN242&lt;=30,"15-30 days",IF(AN242&lt;=60,"31-60 days",IF(AN242&lt;=70,"61-70 days","71+ days")))))))))</x:f>
        <x:v>Missing Required Date</x:v>
      </x:c>
      <x:c r="AP242" s="25" t="str">
        <x:f>IF(OR(E242="processing",E242="executing",E242="pending"),IF(AM242="","Required aging date missing",IF(AN242&gt;30,"Escalate &gt;30d",IF(AN242&gt;14,"Watch &gt;14d","Within 14d"))),"Out of scope")</x:f>
        <x:v>Out of scope</x:v>
      </x:c>
    </x:row>
    <x:row r="243" ht="24" customHeight="1">
      <x:c r="A243" t="str">
        <x:v>7c58810c-339b-491f-8c68-cd4743b7d320</x:v>
      </x:c>
      <x:c r="B243" t="str">
        <x:v>CSSP10755207</x:v>
      </x:c>
      <x:c r="C243" t="str">
        <x:v>ainasyakirah.jamil@petronas.com</x:v>
      </x:c>
      <x:c r="D243" t="str">
        <x:v>provision-cloud-public</x:v>
      </x:c>
      <x:c r="E243" t="str">
        <x:v>executing</x:v>
      </x:c>
      <x:c r="F243" t="n">
        <x:v>46233.07481909722</x:v>
      </x:c>
      <x:c r="G243" t="n">
        <x:v>46233.07481909722</x:v>
      </x:c>
      <x:c r="H243" t="n">
        <x:v>46233.100357083335</x:v>
      </x:c>
      <x:c r="I243" t="str">
        <x:v>A-001388</x:v>
      </x:c>
      <x:c r="J243" t="str">
        <x:v>Operational Excellence Incident​ Management - OEIM​</x:v>
      </x:c>
      <x:c r="K243" t="str">
        <x:v>SR26927</x:v>
      </x:c>
      <x:c r="L243" t="str">
        <x:v>Operational Excellence Incident​ Management (OEIM)</x:v>
      </x:c>
      <x:c r="M243" t="str">
        <x:v>aressany.bohari@petronas.com</x:v>
      </x:c>
      <x:c r="N243" t="str">
        <x:v>Operational Excellence Incident Management (OEIM)</x:v>
      </x:c>
      <x:c r="O243" t="str">
        <x:v>New</x:v>
      </x:c>
      <x:c r="P243" t="str">
        <x:v>StagingUat</x:v>
      </x:c>
      <x:c r="Q243" t="str">
        <x:v>New Azure cloud provision for SR 26927 OEIM</x:v>
      </x:c>
      <x:c r="R243" t="str">
        <x:v>L</x:v>
      </x:c>
      <x:c r="S243"/>
      <x:c r="T243"/>
      <x:c r="U243" t="str">
        <x:v>Provisioning new Azure server as a part of project requirement under Service Request 26927 -  Operational Excellence Incident Management (OEIM)</x:v>
      </x:c>
      <x:c r="V243" t="n">
        <x:v>46233.07705885416</x:v>
      </x:c>
      <x:c r="W243" t="str">
        <x:v>aressany.bohari@petronas.com</x:v>
      </x:c>
      <x:c r="X243" t="str">
        <x:v>approved</x:v>
      </x:c>
      <x:c r="Y243" t="str">
        <x:v>Good to go</x:v>
      </x:c>
      <x:c r="Z243" t="n">
        <x:v>46233.09080017361</x:v>
      </x:c>
      <x:c r="AA243" t="str">
        <x:v>samsuddin.jumbri@petronas.com</x:v>
      </x:c>
      <x:c r="AB243" t="str">
        <x:v>approved</x:v>
      </x:c>
      <x:c r="AC243" t="str">
        <x:v>Approve</x:v>
      </x:c>
      <x:c r="AD243" t="n">
        <x:v>46233.10035709491</x:v>
      </x:c>
      <x:c r="AE243" t="str">
        <x:v>abhishek.bhowate@petronas.com</x:v>
      </x:c>
      <x:c r="AF243" t="str">
        <x:v>approved</x:v>
      </x:c>
      <x:c r="AG243"/>
      <x:c r="AH243"/>
      <x:c r="AI243" t="str">
        <x:v>venkatesh.kalikivayi@petronas.com</x:v>
      </x:c>
      <x:c r="AJ243"/>
      <x:c r="AK243" t="str">
        <x:v>REQ000008203308</x:v>
      </x:c>
      <x:c r="AL243" t="str">
        <x:v>a91e1e5c-5f8d-4d83-ad0d-b7ef787ec94e</x:v>
      </x:c>
      <x:c r="AM243" s="23" t="n">
        <x:f>IF(E243="processing",IF(Z243="","",IF(ISNUMBER(Z243),INT(Z243),DATE(VALUE(LEFT(Z243,4)),VALUE(MID(Z243,6,2)),VALUE(MID(Z243,9,2))))),IF(OR(E243="executing",E243="pending"),IF(AD243="","",IF(ISNUMBER(AD243),INT(AD243),DATE(VALUE(LEFT(AD243,4)),VALUE(MID(AD243,6,2)),VALUE(MID(AD243,9,2))))),""))</x:f>
        <x:v>46233</x:v>
      </x:c>
      <x:c r="AN243" s="24" t="n">
        <x:f>IF(AM243="","",INT('Configuration'!$B$4)-AM243)</x:f>
        <x:v>18</x:v>
      </x:c>
      <x:c r="AO243" s="25" t="str">
        <x:f>IF(AM243="","Missing Required Date",IF(AN243&lt;0,"Future Date",IF(AN243=0,"0 days",IF(AN243&lt;=2,"1-2 days",IF(AN243&lt;=7,"3-7 days",IF(AN243&lt;=14,"8-14 days",IF(AN243&lt;=30,"15-30 days",IF(AN243&lt;=60,"31-60 days",IF(AN243&lt;=70,"61-70 days","71+ days")))))))))</x:f>
        <x:v>15-30 days</x:v>
      </x:c>
      <x:c r="AP243" s="25" t="str">
        <x:f>IF(OR(E243="processing",E243="executing",E243="pending"),IF(AM243="","Required aging date missing",IF(AN243&gt;30,"Escalate &gt;30d",IF(AN243&gt;14,"Watch &gt;14d","Within 14d"))),"Out of scope")</x:f>
        <x:v>Watch &gt;14d</x:v>
      </x:c>
    </x:row>
    <x:row r="244" ht="24" customHeight="1">
      <x:c r="A244" t="str">
        <x:v>00868ed2-4e97-4b53-9872-832e5c46714c</x:v>
      </x:c>
      <x:c r="B244" t="str">
        <x:v>CSSP10939855</x:v>
      </x:c>
      <x:c r="C244" t="str">
        <x:v>ainasyakirah.jamil@petronas.com</x:v>
      </x:c>
      <x:c r="D244" t="str">
        <x:v>provision-cloud-public</x:v>
      </x:c>
      <x:c r="E244" t="str">
        <x:v>executing</x:v>
      </x:c>
      <x:c r="F244" t="n">
        <x:v>46233.11043271991</x:v>
      </x:c>
      <x:c r="G244" t="n">
        <x:v>46233.11043271991</x:v>
      </x:c>
      <x:c r="H244" t="n">
        <x:v>46238.16621505787</x:v>
      </x:c>
      <x:c r="I244" t="str">
        <x:v>A-001388</x:v>
      </x:c>
      <x:c r="J244" t="str">
        <x:v>Operational Excellence Incident​ Management - OEIM​</x:v>
      </x:c>
      <x:c r="K244" t="str">
        <x:v>SR26927</x:v>
      </x:c>
      <x:c r="L244" t="str">
        <x:v>Operational Excellence Incident​ Management (OEIM)</x:v>
      </x:c>
      <x:c r="M244" t="str">
        <x:v>aressany.bohari@petronas.com</x:v>
      </x:c>
      <x:c r="N244" t="str">
        <x:v>Operational Excellence Incident Management (OEIM)</x:v>
      </x:c>
      <x:c r="O244" t="str">
        <x:v>New</x:v>
      </x:c>
      <x:c r="P244" t="str">
        <x:v>Development</x:v>
      </x:c>
      <x:c r="Q244" t="str">
        <x:v>New Azure cloud provision for SR 26927 OEIM</x:v>
      </x:c>
      <x:c r="R244" t="str">
        <x:v>L</x:v>
      </x:c>
      <x:c r="S244"/>
      <x:c r="T244"/>
      <x:c r="U244" t="str">
        <x:v>provision for OEIM Dev server under SR026927 OEIM</x:v>
      </x:c>
      <x:c r="V244" t="n">
        <x:v>46233.14138210648</x:v>
      </x:c>
      <x:c r="W244" t="str">
        <x:v>aressany.bohari@petronas.com</x:v>
      </x:c>
      <x:c r="X244" t="str">
        <x:v>approved</x:v>
      </x:c>
      <x:c r="Y244" t="str">
        <x:v>Good to go</x:v>
      </x:c>
      <x:c r="Z244" t="n">
        <x:v>46234.345401087965</x:v>
      </x:c>
      <x:c r="AA244" t="str">
        <x:v>samsuddin.jumbri@petronas.com</x:v>
      </x:c>
      <x:c r="AB244" t="str">
        <x:v>approved</x:v>
      </x:c>
      <x:c r="AC244" t="str">
        <x:v>Approved</x:v>
      </x:c>
      <x:c r="AD244" t="n">
        <x:v>46238.16621506945</x:v>
      </x:c>
      <x:c r="AE244" t="str">
        <x:v>abhishek.bhowate@petronas.com</x:v>
      </x:c>
      <x:c r="AF244" t="str">
        <x:v>approved</x:v>
      </x:c>
      <x:c r="AG244"/>
      <x:c r="AH244"/>
      <x:c r="AI244" t="str">
        <x:v>mardiansyah.rayasa@petronas.com</x:v>
      </x:c>
      <x:c r="AJ244"/>
      <x:c r="AK244" t="str">
        <x:v>REQ000008216414</x:v>
      </x:c>
      <x:c r="AL244" t="str">
        <x:v>a91e1e5c-5f8d-4d83-ad0d-b7ef787ec94e</x:v>
      </x:c>
      <x:c r="AM244" s="23" t="n">
        <x:f>IF(E244="processing",IF(Z244="","",IF(ISNUMBER(Z244),INT(Z244),DATE(VALUE(LEFT(Z244,4)),VALUE(MID(Z244,6,2)),VALUE(MID(Z244,9,2))))),IF(OR(E244="executing",E244="pending"),IF(AD244="","",IF(ISNUMBER(AD244),INT(AD244),DATE(VALUE(LEFT(AD244,4)),VALUE(MID(AD244,6,2)),VALUE(MID(AD244,9,2))))),""))</x:f>
        <x:v>46238</x:v>
      </x:c>
      <x:c r="AN244" s="24" t="n">
        <x:f>IF(AM244="","",INT('Configuration'!$B$4)-AM244)</x:f>
        <x:v>13</x:v>
      </x:c>
      <x:c r="AO244" s="25" t="str">
        <x:f>IF(AM244="","Missing Required Date",IF(AN244&lt;0,"Future Date",IF(AN244=0,"0 days",IF(AN244&lt;=2,"1-2 days",IF(AN244&lt;=7,"3-7 days",IF(AN244&lt;=14,"8-14 days",IF(AN244&lt;=30,"15-30 days",IF(AN244&lt;=60,"31-60 days",IF(AN244&lt;=70,"61-70 days","71+ days")))))))))</x:f>
        <x:v>8-14 days</x:v>
      </x:c>
      <x:c r="AP244" s="25" t="str">
        <x:f>IF(OR(E244="processing",E244="executing",E244="pending"),IF(AM244="","Required aging date missing",IF(AN244&gt;30,"Escalate &gt;30d",IF(AN244&gt;14,"Watch &gt;14d","Within 14d"))),"Out of scope")</x:f>
        <x:v>Within 14d</x:v>
      </x:c>
    </x:row>
    <x:row r="245" ht="24" customHeight="1">
      <x:c r="A245" t="str">
        <x:v>6c667586-5d49-46f6-b361-3270239682ee</x:v>
      </x:c>
      <x:c r="B245" t="str">
        <x:v>CSSP10983109</x:v>
      </x:c>
      <x:c r="C245" t="str">
        <x:v>hadi.hairi@petronas.com</x:v>
      </x:c>
      <x:c r="D245" t="str">
        <x:v>provision-cloud-public</x:v>
      </x:c>
      <x:c r="E245" t="str">
        <x:v>pending</x:v>
      </x:c>
      <x:c r="F245" t="n">
        <x:v>46233.362619618056</x:v>
      </x:c>
      <x:c r="G245" t="n">
        <x:v>46233.362619618056</x:v>
      </x:c>
      <x:c r="H245" t="n">
        <x:v>46233.362619618056</x:v>
      </x:c>
      <x:c r="I245" t="str">
        <x:v>A-001374</x:v>
      </x:c>
      <x:c r="J245" t="str">
        <x:v>Frontier Firm</x:v>
      </x:c>
      <x:c r="K245" t="str">
        <x:v>SR26854</x:v>
      </x:c>
      <x:c r="L245" t="str">
        <x:v>PDSB Frontier Firm</x:v>
      </x:c>
      <x:c r="M245" t="str">
        <x:v>mazahari.ahmad@petronas.com.my</x:v>
      </x:c>
      <x:c r="N245" t="str">
        <x:v>PDSB Frontier Firm</x:v>
      </x:c>
      <x:c r="O245" t="str">
        <x:v>New</x:v>
      </x:c>
      <x:c r="P245" t="str">
        <x:v>Development</x:v>
      </x:c>
      <x:c r="Q245" t="str">
        <x:v>1) The JumpBox will be provisioned in
Subscription :PTAZMY-IAC-NONPROD-CORPORATE ENVIRONMENT
SubID: 7010bdd1-9b56-4c70-9c3b-07f5898d5e70 
2) A total of 6 JumpBox will be provisioned.</x:v>
      </x:c>
      <x:c r="R245"/>
      <x:c r="S245"/>
      <x:c r="T245"/>
      <x:c r="U245"/>
      <x:c r="V245"/>
      <x:c r="W245" t="str">
        <x:v>mazahari.ahmad@petronas.com</x:v>
      </x:c>
      <x:c r="X245"/>
      <x:c r="Y245"/>
      <x:c r="Z245"/>
      <x:c r="AA245" t="str">
        <x:v>CCoE SA</x:v>
      </x:c>
      <x:c r="AB245"/>
      <x:c r="AC245"/>
      <x:c r="AD245"/>
      <x:c r="AE245" t="str">
        <x:v>IMS - CLOUD CSSP REVIEWER</x:v>
      </x:c>
      <x:c r="AF245"/>
      <x:c r="AG245"/>
      <x:c r="AH245"/>
      <x:c r="AI245" t="str">
        <x:v>IMS - CLOUD CSSP EXECUTOR</x:v>
      </x:c>
      <x:c r="AJ245"/>
      <x:c r="AK245"/>
      <x:c r="AL245" t="str">
        <x:v>6a3ea0b2-21a7-451c-a21d-3278b4fc6e80</x:v>
      </x:c>
      <x:c r="AM245" s="23" t="str">
        <x:f>IF(E245="processing",IF(Z245="","",IF(ISNUMBER(Z245),INT(Z245),DATE(VALUE(LEFT(Z245,4)),VALUE(MID(Z245,6,2)),VALUE(MID(Z245,9,2))))),IF(OR(E245="executing",E245="pending"),IF(AD245="","",IF(ISNUMBER(AD245),INT(AD245),DATE(VALUE(LEFT(AD245,4)),VALUE(MID(AD245,6,2)),VALUE(MID(AD245,9,2))))),""))</x:f>
      </x:c>
      <x:c r="AN245" s="24" t="str">
        <x:f>IF(AM245="","",INT('Configuration'!$B$4)-AM245)</x:f>
      </x:c>
      <x:c r="AO245" s="25" t="str">
        <x:f>IF(AM245="","Missing Required Date",IF(AN245&lt;0,"Future Date",IF(AN245=0,"0 days",IF(AN245&lt;=2,"1-2 days",IF(AN245&lt;=7,"3-7 days",IF(AN245&lt;=14,"8-14 days",IF(AN245&lt;=30,"15-30 days",IF(AN245&lt;=60,"31-60 days",IF(AN245&lt;=70,"61-70 days","71+ days")))))))))</x:f>
        <x:v>Missing Required Date</x:v>
      </x:c>
      <x:c r="AP245" s="25" t="str">
        <x:f>IF(OR(E245="processing",E245="executing",E245="pending"),IF(AM245="","Required aging date missing",IF(AN245&gt;30,"Escalate &gt;30d",IF(AN245&gt;14,"Watch &gt;14d","Within 14d"))),"Out of scope")</x:f>
        <x:v>Required aging date missing</x:v>
      </x:c>
    </x:row>
    <x:row r="246" ht="24" customHeight="1">
      <x:c r="A246" t="str">
        <x:v>9bb2bbb2-6784-4d7b-a74f-af4cff6df78b</x:v>
      </x:c>
      <x:c r="B246" t="str">
        <x:v>CSSP10466644</x:v>
      </x:c>
      <x:c r="C246" t="str">
        <x:v>hadi.hairi@petronas.com</x:v>
      </x:c>
      <x:c r="D246" t="str">
        <x:v>provision-cloud-public</x:v>
      </x:c>
      <x:c r="E246" t="str">
        <x:v>completed</x:v>
      </x:c>
      <x:c r="F246" t="n">
        <x:v>46234.28855106481</x:v>
      </x:c>
      <x:c r="G246" t="n">
        <x:v>46234.28855106481</x:v>
      </x:c>
      <x:c r="H246" t="n">
        <x:v>46249.373761828705</x:v>
      </x:c>
      <x:c r="I246" t="str">
        <x:v>A-001374</x:v>
      </x:c>
      <x:c r="J246" t="str">
        <x:v>Frontier Firm</x:v>
      </x:c>
      <x:c r="K246" t="str">
        <x:v>SR26854</x:v>
      </x:c>
      <x:c r="L246" t="str">
        <x:v>PDSB Frontier Firm</x:v>
      </x:c>
      <x:c r="M246" t="str">
        <x:v>mazahari.ahmad@petronas.com</x:v>
      </x:c>
      <x:c r="N246" t="str">
        <x:v>PDSB Frontier Firm</x:v>
      </x:c>
      <x:c r="O246" t="str">
        <x:v>New</x:v>
      </x:c>
      <x:c r="P246" t="str">
        <x:v>Development</x:v>
      </x:c>
      <x:c r="Q246" t="str">
        <x:v>1) The JumpBox will be provisioned in Subscription :PTAZMY-IAC-NONPROD-CORPORATE ENVIRONMENT SubID: 7010bdd1-9b56-4c70-9c3b-07f5898d5e70 2) A total of 6 JumpBox will be provisioned.</x:v>
      </x:c>
      <x:c r="R246" t="str">
        <x:v>L</x:v>
      </x:c>
      <x:c r="S246"/>
      <x:c r="T246"/>
      <x:c r="U246" t="str">
        <x:v>Approved as required for Frontier Firm Deployment to DEV. 6 Total Vm needs to be procured</x:v>
      </x:c>
      <x:c r="V246" t="n">
        <x:v>46234.28952909722</x:v>
      </x:c>
      <x:c r="W246" t="str">
        <x:v>mazahari.ahmad@petronas.com</x:v>
      </x:c>
      <x:c r="X246" t="str">
        <x:v>approved</x:v>
      </x:c>
      <x:c r="Y246" t="str">
        <x:v>Kindly note that the following services are mandatory for all new infrastructure deployments within the PETRONAS environment (Azure Backup, Ms Defender, Key Vault, Azure Monitor, VNet Peering). These services are required to ensure compliance with PETRONAS security, monitoring, and operational standards.</x:v>
      </x:c>
      <x:c r="Z246" t="n">
        <x:v>46234.35438391204</x:v>
      </x:c>
      <x:c r="AA246" t="str">
        <x:v>samsuddin.jumbri@petronas.com</x:v>
      </x:c>
      <x:c r="AB246" t="str">
        <x:v>approved</x:v>
      </x:c>
      <x:c r="AC246" t="str">
        <x:v>approve</x:v>
      </x:c>
      <x:c r="AD246" t="n">
        <x:v>46239.34137207176</x:v>
      </x:c>
      <x:c r="AE246" t="str">
        <x:v>abhishek.bhowate@petronas.com</x:v>
      </x:c>
      <x:c r="AF246" t="str">
        <x:v>approved</x:v>
      </x:c>
      <x:c r="AG246" t="str">
        <x:v>completed</x:v>
      </x:c>
      <x:c r="AH246" t="n">
        <x:v>46249.37376185185</x:v>
      </x:c>
      <x:c r="AI246" t="str">
        <x:v>mardiansyah.rayasa@petronas.com</x:v>
      </x:c>
      <x:c r="AJ246" t="str">
        <x:v>approved</x:v>
      </x:c>
      <x:c r="AK246" t="str">
        <x:v>REQ000008220895</x:v>
      </x:c>
      <x:c r="AL246" t="str">
        <x:v>6a3ea0b2-21a7-451c-a21d-3278b4fc6e80</x:v>
      </x:c>
      <x:c r="AM246" s="23" t="str">
        <x:f>IF(E246="processing",IF(Z246="","",IF(ISNUMBER(Z246),INT(Z246),DATE(VALUE(LEFT(Z246,4)),VALUE(MID(Z246,6,2)),VALUE(MID(Z246,9,2))))),IF(OR(E246="executing",E246="pending"),IF(AD246="","",IF(ISNUMBER(AD246),INT(AD246),DATE(VALUE(LEFT(AD246,4)),VALUE(MID(AD246,6,2)),VALUE(MID(AD246,9,2))))),""))</x:f>
      </x:c>
      <x:c r="AN246" s="24" t="str">
        <x:f>IF(AM246="","",INT('Configuration'!$B$4)-AM246)</x:f>
      </x:c>
      <x:c r="AO246" s="25" t="str">
        <x:f>IF(AM246="","Missing Required Date",IF(AN246&lt;0,"Future Date",IF(AN246=0,"0 days",IF(AN246&lt;=2,"1-2 days",IF(AN246&lt;=7,"3-7 days",IF(AN246&lt;=14,"8-14 days",IF(AN246&lt;=30,"15-30 days",IF(AN246&lt;=60,"31-60 days",IF(AN246&lt;=70,"61-70 days","71+ days")))))))))</x:f>
        <x:v>Missing Required Date</x:v>
      </x:c>
      <x:c r="AP246" s="25" t="str">
        <x:f>IF(OR(E246="processing",E246="executing",E246="pending"),IF(AM246="","Required aging date missing",IF(AN246&gt;30,"Escalate &gt;30d",IF(AN246&gt;14,"Watch &gt;14d","Within 14d"))),"Out of scope")</x:f>
        <x:v>Out of scope</x:v>
      </x:c>
    </x:row>
    <x:row r="247" ht="24" customHeight="1">
      <x:c r="A247" t="str">
        <x:v>31771bc8-56f0-4bdf-86cf-3aff83a3a8b1</x:v>
      </x:c>
      <x:c r="B247" t="str">
        <x:v>CSSP10678891</x:v>
      </x:c>
      <x:c r="C247" t="str">
        <x:v>santhosh.gopal@petronas.com</x:v>
      </x:c>
      <x:c r="D247" t="str">
        <x:v>provision-cloud-public</x:v>
      </x:c>
      <x:c r="E247" t="str">
        <x:v>pending</x:v>
      </x:c>
      <x:c r="F247" t="n">
        <x:v>46235.60730638889</x:v>
      </x:c>
      <x:c r="G247" t="n">
        <x:v>46235.60730638889</x:v>
      </x:c>
      <x:c r="H247" t="n">
        <x:v>46235.60730638889</x:v>
      </x:c>
      <x:c r="I247" t="str">
        <x:v>A-000354</x:v>
      </x:c>
      <x:c r="J247" t="str">
        <x:v>HSE Intelligence Pod - Smart Advisor - HIP SA</x:v>
      </x:c>
      <x:c r="K247" t="n">
        <x:v>4007</x:v>
      </x:c>
      <x:c r="L247" t="str">
        <x:v>HSE Intelligence Pod - Smart Advisor</x:v>
      </x:c>
      <x:c r="M247" t="str">
        <x:v>shahrulrizal.said@petronas.com.my</x:v>
      </x:c>
      <x:c r="N247" t="str">
        <x:v>HIP Smart Advisor</x:v>
      </x:c>
      <x:c r="O247" t="str">
        <x:v>New</x:v>
      </x:c>
      <x:c r="P247" t="str">
        <x:v>Development</x:v>
      </x:c>
      <x:c r="Q247" t="str">
        <x:v>This request is to provision Azure Container apps in development environment for existing resource group
PTAZSG-DEV-HIPVISION-SA-RG</x:v>
      </x:c>
      <x:c r="R247"/>
      <x:c r="S247"/>
      <x:c r="T247"/>
      <x:c r="U247"/>
      <x:c r="V247"/>
      <x:c r="W247" t="str">
        <x:v>shahrulrizal.said@petronas.com</x:v>
      </x:c>
      <x:c r="X247"/>
      <x:c r="Y247"/>
      <x:c r="Z247"/>
      <x:c r="AA247" t="str">
        <x:v>CCoE SA</x:v>
      </x:c>
      <x:c r="AB247"/>
      <x:c r="AC247"/>
      <x:c r="AD247"/>
      <x:c r="AE247" t="str">
        <x:v>IMS - CLOUD CSSP REVIEWER</x:v>
      </x:c>
      <x:c r="AF247"/>
      <x:c r="AG247"/>
      <x:c r="AH247"/>
      <x:c r="AI247" t="str">
        <x:v>IMS - CLOUD CSSP EXECUTOR</x:v>
      </x:c>
      <x:c r="AJ247"/>
      <x:c r="AK247"/>
      <x:c r="AL247" t="str">
        <x:v>dffc798b-8629-447b-9c6c-13563df2b5ac</x:v>
      </x:c>
      <x:c r="AM247" s="23" t="str">
        <x:f>IF(E247="processing",IF(Z247="","",IF(ISNUMBER(Z247),INT(Z247),DATE(VALUE(LEFT(Z247,4)),VALUE(MID(Z247,6,2)),VALUE(MID(Z247,9,2))))),IF(OR(E247="executing",E247="pending"),IF(AD247="","",IF(ISNUMBER(AD247),INT(AD247),DATE(VALUE(LEFT(AD247,4)),VALUE(MID(AD247,6,2)),VALUE(MID(AD247,9,2))))),""))</x:f>
      </x:c>
      <x:c r="AN247" s="24" t="str">
        <x:f>IF(AM247="","",INT('Configuration'!$B$4)-AM247)</x:f>
      </x:c>
      <x:c r="AO247" s="25" t="str">
        <x:f>IF(AM247="","Missing Required Date",IF(AN247&lt;0,"Future Date",IF(AN247=0,"0 days",IF(AN247&lt;=2,"1-2 days",IF(AN247&lt;=7,"3-7 days",IF(AN247&lt;=14,"8-14 days",IF(AN247&lt;=30,"15-30 days",IF(AN247&lt;=60,"31-60 days",IF(AN247&lt;=70,"61-70 days","71+ days")))))))))</x:f>
        <x:v>Missing Required Date</x:v>
      </x:c>
      <x:c r="AP247" s="25" t="str">
        <x:f>IF(OR(E247="processing",E247="executing",E247="pending"),IF(AM247="","Required aging date missing",IF(AN247&gt;30,"Escalate &gt;30d",IF(AN247&gt;14,"Watch &gt;14d","Within 14d"))),"Out of scope")</x:f>
        <x:v>Required aging date missing</x:v>
      </x:c>
    </x:row>
    <x:row r="248" ht="24" customHeight="1">
      <x:c r="A248" t="str">
        <x:v>135d78c1-109d-4294-817b-27796c2306fa</x:v>
      </x:c>
      <x:c r="B248" t="str">
        <x:v>CSSP10836507</x:v>
      </x:c>
      <x:c r="C248" t="str">
        <x:v>hafidzh.zakaria@petronas.com</x:v>
      </x:c>
      <x:c r="D248" t="str">
        <x:v>provision-cloud-public</x:v>
      </x:c>
      <x:c r="E248" t="str">
        <x:v>pending</x:v>
      </x:c>
      <x:c r="F248" t="n">
        <x:v>46237.08127880787</x:v>
      </x:c>
      <x:c r="G248" t="n">
        <x:v>46237.08127880787</x:v>
      </x:c>
      <x:c r="H248" t="n">
        <x:v>46237.08127880787</x:v>
      </x:c>
      <x:c r="I248" t="str">
        <x:v>P-000050</x:v>
      </x:c>
      <x:c r="J248" t="str">
        <x:v>VMware vCenter RDMZ RTOT</x:v>
      </x:c>
      <x:c r="K248" t="str">
        <x:v>10188_10</x:v>
      </x:c>
      <x:c r="L248" t="str">
        <x:v>VMware vCenter RDMZ RTOT created for PRIVATECLOUD project record</x:v>
      </x:c>
      <x:c r="M248" t="str">
        <x:v>raihan_ahmad@petronas.com.my</x:v>
      </x:c>
      <x:c r="N248" t="str">
        <x:v>CS RTOT</x:v>
      </x:c>
      <x:c r="O248" t="str">
        <x:v>New</x:v>
      </x:c>
      <x:c r="P248" t="str">
        <x:v>Production</x:v>
      </x:c>
      <x:c r="Q248" t="str">
        <x:v>To provision new server at L4 Cloud. LLD has been approved but previous request has been rejected due to request to provision new server at KVDC.
Therefore, need to provision at Cloud. Will amend the LLD once got the IP Cloud. </x:v>
      </x:c>
      <x:c r="R248"/>
      <x:c r="S248"/>
      <x:c r="T248"/>
      <x:c r="U248"/>
      <x:c r="V248"/>
      <x:c r="W248" t="str">
        <x:v>raihan_ahmad@petronas.com</x:v>
      </x:c>
      <x:c r="X248"/>
      <x:c r="Y248"/>
      <x:c r="Z248"/>
      <x:c r="AA248" t="str">
        <x:v>CCoE SA</x:v>
      </x:c>
      <x:c r="AB248"/>
      <x:c r="AC248"/>
      <x:c r="AD248"/>
      <x:c r="AE248" t="str">
        <x:v>IMS - CLOUD CSSP REVIEWER</x:v>
      </x:c>
      <x:c r="AF248"/>
      <x:c r="AG248"/>
      <x:c r="AH248"/>
      <x:c r="AI248" t="str">
        <x:v>IMS - CLOUD CSSP EXECUTOR</x:v>
      </x:c>
      <x:c r="AJ248"/>
      <x:c r="AK248"/>
      <x:c r="AL248" t="str">
        <x:v>105fd04d-e288-4aa4-9271-ae2da8917315</x:v>
      </x:c>
      <x:c r="AM248" s="23" t="str">
        <x:f>IF(E248="processing",IF(Z248="","",IF(ISNUMBER(Z248),INT(Z248),DATE(VALUE(LEFT(Z248,4)),VALUE(MID(Z248,6,2)),VALUE(MID(Z248,9,2))))),IF(OR(E248="executing",E248="pending"),IF(AD248="","",IF(ISNUMBER(AD248),INT(AD248),DATE(VALUE(LEFT(AD248,4)),VALUE(MID(AD248,6,2)),VALUE(MID(AD248,9,2))))),""))</x:f>
      </x:c>
      <x:c r="AN248" s="24" t="str">
        <x:f>IF(AM248="","",INT('Configuration'!$B$4)-AM248)</x:f>
      </x:c>
      <x:c r="AO248" s="25" t="str">
        <x:f>IF(AM248="","Missing Required Date",IF(AN248&lt;0,"Future Date",IF(AN248=0,"0 days",IF(AN248&lt;=2,"1-2 days",IF(AN248&lt;=7,"3-7 days",IF(AN248&lt;=14,"8-14 days",IF(AN248&lt;=30,"15-30 days",IF(AN248&lt;=60,"31-60 days",IF(AN248&lt;=70,"61-70 days","71+ days")))))))))</x:f>
        <x:v>Missing Required Date</x:v>
      </x:c>
      <x:c r="AP248" s="25" t="str">
        <x:f>IF(OR(E248="processing",E248="executing",E248="pending"),IF(AM248="","Required aging date missing",IF(AN248&gt;30,"Escalate &gt;30d",IF(AN248&gt;14,"Watch &gt;14d","Within 14d"))),"Out of scope")</x:f>
        <x:v>Required aging date missing</x:v>
      </x:c>
    </x:row>
    <x:row r="249" ht="24" customHeight="1">
      <x:c r="A249" t="str">
        <x:v>3673ac55-ee65-4068-b254-29d8ef9615c2</x:v>
      </x:c>
      <x:c r="B249" t="str">
        <x:v>CSSP10753669</x:v>
      </x:c>
      <x:c r="C249" t="str">
        <x:v>mfaizal.salleh@petronas.com</x:v>
      </x:c>
      <x:c r="D249" t="str">
        <x:v>provision-cloud-public</x:v>
      </x:c>
      <x:c r="E249" t="str">
        <x:v>executing</x:v>
      </x:c>
      <x:c r="F249" t="n">
        <x:v>46237.21106059028</x:v>
      </x:c>
      <x:c r="G249" t="n">
        <x:v>46237.21106059028</x:v>
      </x:c>
      <x:c r="H249" t="n">
        <x:v>46243.274711018516</x:v>
      </x:c>
      <x:c r="I249" t="str">
        <x:v>M-000032</x:v>
      </x:c>
      <x:c r="J249" t="str">
        <x:v>Serviceware Financial</x:v>
      </x:c>
      <x:c r="K249" t="str">
        <x:v>03736_MP</x:v>
      </x:c>
      <x:c r="L249" t="str">
        <x:v>BG2B: Project Genesis Phase 2 Implementation for PDSB (Marketplace)</x:v>
      </x:c>
      <x:c r="M249" t="str">
        <x:v>amirshazlan.mshah@petronas.com</x:v>
      </x:c>
      <x:c r="N249" t="str">
        <x:v>ITFM</x:v>
      </x:c>
      <x:c r="O249" t="str">
        <x:v>New</x:v>
      </x:c>
      <x:c r="P249" t="str">
        <x:v>Production</x:v>
      </x:c>
      <x:c r="Q249" t="str">
        <x:v>To provision a new Azure SQL , Please create a new RG. </x:v>
      </x:c>
      <x:c r="R249" t="str">
        <x:v>M</x:v>
      </x:c>
      <x:c r="S249"/>
      <x:c r="T249"/>
      <x:c r="U249" t="str">
        <x:v>approved</x:v>
      </x:c>
      <x:c r="V249" t="n">
        <x:v>46237.261783761576</x:v>
      </x:c>
      <x:c r="W249" t="str">
        <x:v>amirshazlan.mshah@petronas.com</x:v>
      </x:c>
      <x:c r="X249" t="str">
        <x:v>approved</x:v>
      </x:c>
      <x:c r="Y249" t="str">
        <x:v>Azure SQL acts as the central data repository, while Power BI consumes and visualizes the data from Azure SQL for reporting and analytics purposes.</x:v>
      </x:c>
      <x:c r="Z249" t="n">
        <x:v>46238.12003978009</x:v>
      </x:c>
      <x:c r="AA249" t="str">
        <x:v>samsuddin.jumbri@petronas.com</x:v>
      </x:c>
      <x:c r="AB249" t="str">
        <x:v>approved</x:v>
      </x:c>
      <x:c r="AC249" t="str">
        <x:v>Approve</x:v>
      </x:c>
      <x:c r="AD249" t="n">
        <x:v>46243.27471104167</x:v>
      </x:c>
      <x:c r="AE249" t="str">
        <x:v>abhishek.bhowate@petronas.com</x:v>
      </x:c>
      <x:c r="AF249" t="str">
        <x:v>approved</x:v>
      </x:c>
      <x:c r="AG249"/>
      <x:c r="AH249"/>
      <x:c r="AI249" t="str">
        <x:v>amarja.kawade@petronas.com</x:v>
      </x:c>
      <x:c r="AJ249"/>
      <x:c r="AK249" t="str">
        <x:v>REQ000008229245</x:v>
      </x:c>
      <x:c r="AL249" t="str">
        <x:v>897ca5be-dbdf-48f3-bc62-80f8470c1492</x:v>
      </x:c>
      <x:c r="AM249" s="23" t="n">
        <x:f>IF(E249="processing",IF(Z249="","",IF(ISNUMBER(Z249),INT(Z249),DATE(VALUE(LEFT(Z249,4)),VALUE(MID(Z249,6,2)),VALUE(MID(Z249,9,2))))),IF(OR(E249="executing",E249="pending"),IF(AD249="","",IF(ISNUMBER(AD249),INT(AD249),DATE(VALUE(LEFT(AD249,4)),VALUE(MID(AD249,6,2)),VALUE(MID(AD249,9,2))))),""))</x:f>
        <x:v>46243</x:v>
      </x:c>
      <x:c r="AN249" s="24" t="n">
        <x:f>IF(AM249="","",INT('Configuration'!$B$4)-AM249)</x:f>
        <x:v>8</x:v>
      </x:c>
      <x:c r="AO249" s="25" t="str">
        <x:f>IF(AM249="","Missing Required Date",IF(AN249&lt;0,"Future Date",IF(AN249=0,"0 days",IF(AN249&lt;=2,"1-2 days",IF(AN249&lt;=7,"3-7 days",IF(AN249&lt;=14,"8-14 days",IF(AN249&lt;=30,"15-30 days",IF(AN249&lt;=60,"31-60 days",IF(AN249&lt;=70,"61-70 days","71+ days")))))))))</x:f>
        <x:v>8-14 days</x:v>
      </x:c>
      <x:c r="AP249" s="25" t="str">
        <x:f>IF(OR(E249="processing",E249="executing",E249="pending"),IF(AM249="","Required aging date missing",IF(AN249&gt;30,"Escalate &gt;30d",IF(AN249&gt;14,"Watch &gt;14d","Within 14d"))),"Out of scope")</x:f>
        <x:v>Within 14d</x:v>
      </x:c>
    </x:row>
    <x:row r="250" ht="24" customHeight="1">
      <x:c r="A250" t="str">
        <x:v>6920df5a-97a4-40d8-89c3-47a0395aec91</x:v>
      </x:c>
      <x:c r="B250" t="str">
        <x:v>CSSP10466348</x:v>
      </x:c>
      <x:c r="C250" t="str">
        <x:v>santhosh.gopal@petronas.com</x:v>
      </x:c>
      <x:c r="D250" t="str">
        <x:v>provision-cloud-public</x:v>
      </x:c>
      <x:c r="E250" t="str">
        <x:v>executing</x:v>
      </x:c>
      <x:c r="F250" t="n">
        <x:v>46237.502958680554</x:v>
      </x:c>
      <x:c r="G250" t="n">
        <x:v>46237.502958680554</x:v>
      </x:c>
      <x:c r="H250" t="n">
        <x:v>46243.27404701389</x:v>
      </x:c>
      <x:c r="I250" t="str">
        <x:v>A-000354</x:v>
      </x:c>
      <x:c r="J250" t="str">
        <x:v>HSE Intelligence Pod - Smart Advisor - HIP SA</x:v>
      </x:c>
      <x:c r="K250" t="n">
        <x:v>4007</x:v>
      </x:c>
      <x:c r="L250" t="str">
        <x:v>HSE Intelligence Pod - Smart Advisor</x:v>
      </x:c>
      <x:c r="M250" t="str">
        <x:v>shahrulrizal.said@petronas.com</x:v>
      </x:c>
      <x:c r="N250" t="str">
        <x:v>HIP Smart Advisor</x:v>
      </x:c>
      <x:c r="O250" t="str">
        <x:v>New</x:v>
      </x:c>
      <x:c r="P250" t="str">
        <x:v>Development</x:v>
      </x:c>
      <x:c r="Q250" t="str">
        <x:v>This request is to provision Azure container apps in development environment for existing resource group
PTAZSG-DEV-HIPVISION-SA-RG
</x:v>
      </x:c>
      <x:c r="R250" t="str">
        <x:v>M</x:v>
      </x:c>
      <x:c r="S250"/>
      <x:c r="T250"/>
      <x:c r="U250" t="str">
        <x:v>Approved</x:v>
      </x:c>
      <x:c r="V250" t="n">
        <x:v>46237.58340619213</x:v>
      </x:c>
      <x:c r="W250" t="str">
        <x:v>shahrulrizal.said@petronas.com</x:v>
      </x:c>
      <x:c r="X250" t="str">
        <x:v>approved</x:v>
      </x:c>
      <x:c r="Y250" t="str">
        <x:v>Provision and deploy Azure Container Apps in the Development environment under the existing resource group PTAZSG-DEV-HIPVISION-SA-RG.</x:v>
      </x:c>
      <x:c r="Z250" t="n">
        <x:v>46238.12239408565</x:v>
      </x:c>
      <x:c r="AA250" t="str">
        <x:v>samsuddin.jumbri@petronas.com</x:v>
      </x:c>
      <x:c r="AB250" t="str">
        <x:v>approved</x:v>
      </x:c>
      <x:c r="AC250" t="str">
        <x:v>Approve</x:v>
      </x:c>
      <x:c r="AD250" t="n">
        <x:v>46243.274047025465</x:v>
      </x:c>
      <x:c r="AE250" t="str">
        <x:v>abhishek.bhowate@petronas.com</x:v>
      </x:c>
      <x:c r="AF250" t="str">
        <x:v>approved</x:v>
      </x:c>
      <x:c r="AG250"/>
      <x:c r="AH250"/>
      <x:c r="AI250" t="str">
        <x:v>amarja.kawade@petronas.com</x:v>
      </x:c>
      <x:c r="AJ250"/>
      <x:c r="AK250" t="str">
        <x:v>REQ000008229244</x:v>
      </x:c>
      <x:c r="AL250" t="str">
        <x:v>dffc798b-8629-447b-9c6c-13563df2b5ac</x:v>
      </x:c>
      <x:c r="AM250" s="23" t="n">
        <x:f>IF(E250="processing",IF(Z250="","",IF(ISNUMBER(Z250),INT(Z250),DATE(VALUE(LEFT(Z250,4)),VALUE(MID(Z250,6,2)),VALUE(MID(Z250,9,2))))),IF(OR(E250="executing",E250="pending"),IF(AD250="","",IF(ISNUMBER(AD250),INT(AD250),DATE(VALUE(LEFT(AD250,4)),VALUE(MID(AD250,6,2)),VALUE(MID(AD250,9,2))))),""))</x:f>
        <x:v>46243</x:v>
      </x:c>
      <x:c r="AN250" s="24" t="n">
        <x:f>IF(AM250="","",INT('Configuration'!$B$4)-AM250)</x:f>
        <x:v>8</x:v>
      </x:c>
      <x:c r="AO250" s="25" t="str">
        <x:f>IF(AM250="","Missing Required Date",IF(AN250&lt;0,"Future Date",IF(AN250=0,"0 days",IF(AN250&lt;=2,"1-2 days",IF(AN250&lt;=7,"3-7 days",IF(AN250&lt;=14,"8-14 days",IF(AN250&lt;=30,"15-30 days",IF(AN250&lt;=60,"31-60 days",IF(AN250&lt;=70,"61-70 days","71+ days")))))))))</x:f>
        <x:v>8-14 days</x:v>
      </x:c>
      <x:c r="AP250" s="25" t="str">
        <x:f>IF(OR(E250="processing",E250="executing",E250="pending"),IF(AM250="","Required aging date missing",IF(AN250&gt;30,"Escalate &gt;30d",IF(AN250&gt;14,"Watch &gt;14d","Within 14d"))),"Out of scope")</x:f>
        <x:v>Within 14d</x:v>
      </x:c>
    </x:row>
    <x:row r="251" ht="24" customHeight="1">
      <x:c r="A251" t="str">
        <x:v>3be6544f-585a-4fda-a75a-4ee303bb1281</x:v>
      </x:c>
      <x:c r="B251" t="str">
        <x:v>CSSP10760755</x:v>
      </x:c>
      <x:c r="C251" t="str">
        <x:v>hafidzh.zakaria@petronas.com</x:v>
      </x:c>
      <x:c r="D251" t="str">
        <x:v>provision-cloud-public</x:v>
      </x:c>
      <x:c r="E251" t="str">
        <x:v>pending</x:v>
      </x:c>
      <x:c r="F251" t="n">
        <x:v>46238.17587684028</x:v>
      </x:c>
      <x:c r="G251" t="n">
        <x:v>46238.17587684028</x:v>
      </x:c>
      <x:c r="H251" t="n">
        <x:v>46238.17587684028</x:v>
      </x:c>
      <x:c r="I251" t="str">
        <x:v>P-000050</x:v>
      </x:c>
      <x:c r="J251" t="str">
        <x:v>VMware vCenter RDMZ RTOT</x:v>
      </x:c>
      <x:c r="K251" t="str">
        <x:v>10188_10</x:v>
      </x:c>
      <x:c r="L251" t="str">
        <x:v>VMware vCenter RDMZ RTOT created for PRIVATECLOUD project record</x:v>
      </x:c>
      <x:c r="M251" t="str">
        <x:v>raihan_ahmad@petronas.com</x:v>
      </x:c>
      <x:c r="N251" t="str">
        <x:v>CS RTOT</x:v>
      </x:c>
      <x:c r="O251" t="str">
        <x:v>New</x:v>
      </x:c>
      <x:c r="P251" t="str">
        <x:v>Production</x:v>
      </x:c>
      <x:c r="Q251" t="str">
        <x:v>To provision new server at L4 Cloud. LLD has been approved but previous request has been rejected due to request to provision new server at KVDC. Therefore, need to provision at Cloud. Will amend the LLD once got the IP Cloud.
</x:v>
      </x:c>
      <x:c r="R251"/>
      <x:c r="S251"/>
      <x:c r="T251"/>
      <x:c r="U251"/>
      <x:c r="V251"/>
      <x:c r="W251" t="str">
        <x:v>raihan_ahmad@petronas.com</x:v>
      </x:c>
      <x:c r="X251"/>
      <x:c r="Y251"/>
      <x:c r="Z251"/>
      <x:c r="AA251" t="str">
        <x:v>CCoE SA</x:v>
      </x:c>
      <x:c r="AB251"/>
      <x:c r="AC251"/>
      <x:c r="AD251"/>
      <x:c r="AE251" t="str">
        <x:v>IMS - CLOUD CSSP REVIEWER</x:v>
      </x:c>
      <x:c r="AF251"/>
      <x:c r="AG251"/>
      <x:c r="AH251"/>
      <x:c r="AI251" t="str">
        <x:v>IMS - CLOUD CSSP EXECUTOR</x:v>
      </x:c>
      <x:c r="AJ251"/>
      <x:c r="AK251"/>
      <x:c r="AL251" t="str">
        <x:v>105fd04d-e288-4aa4-9271-ae2da8917315</x:v>
      </x:c>
      <x:c r="AM251" s="23" t="str">
        <x:f>IF(E251="processing",IF(Z251="","",IF(ISNUMBER(Z251),INT(Z251),DATE(VALUE(LEFT(Z251,4)),VALUE(MID(Z251,6,2)),VALUE(MID(Z251,9,2))))),IF(OR(E251="executing",E251="pending"),IF(AD251="","",IF(ISNUMBER(AD251),INT(AD251),DATE(VALUE(LEFT(AD251,4)),VALUE(MID(AD251,6,2)),VALUE(MID(AD251,9,2))))),""))</x:f>
      </x:c>
      <x:c r="AN251" s="24" t="str">
        <x:f>IF(AM251="","",INT('Configuration'!$B$4)-AM251)</x:f>
      </x:c>
      <x:c r="AO251" s="25" t="str">
        <x:f>IF(AM251="","Missing Required Date",IF(AN251&lt;0,"Future Date",IF(AN251=0,"0 days",IF(AN251&lt;=2,"1-2 days",IF(AN251&lt;=7,"3-7 days",IF(AN251&lt;=14,"8-14 days",IF(AN251&lt;=30,"15-30 days",IF(AN251&lt;=60,"31-60 days",IF(AN251&lt;=70,"61-70 days","71+ days")))))))))</x:f>
        <x:v>Missing Required Date</x:v>
      </x:c>
      <x:c r="AP251" s="25" t="str">
        <x:f>IF(OR(E251="processing",E251="executing",E251="pending"),IF(AM251="","Required aging date missing",IF(AN251&gt;30,"Escalate &gt;30d",IF(AN251&gt;14,"Watch &gt;14d","Within 14d"))),"Out of scope")</x:f>
        <x:v>Required aging date missing</x:v>
      </x:c>
    </x:row>
    <x:row r="252" ht="24" customHeight="1">
      <x:c r="A252" t="str">
        <x:v>87604950-6318-4086-9581-1519b93b1deb</x:v>
      </x:c>
      <x:c r="B252" t="str">
        <x:v>CSSP10474210</x:v>
      </x:c>
      <x:c r="C252" t="str">
        <x:v>nurulain.mmahamad@petronas.com</x:v>
      </x:c>
      <x:c r="D252" t="str">
        <x:v>provision-cloud-public</x:v>
      </x:c>
      <x:c r="E252" t="str">
        <x:v>rejected</x:v>
      </x:c>
      <x:c r="F252" t="n">
        <x:v>46240.37880346065</x:v>
      </x:c>
      <x:c r="G252" t="n">
        <x:v>46240.37880346065</x:v>
      </x:c>
      <x:c r="H252" t="n">
        <x:v>46245.19472811343</x:v>
      </x:c>
      <x:c r="I252" t="str">
        <x:v>A-000031</x:v>
      </x:c>
      <x:c r="J252" t="str">
        <x:v>Augmented Gas Nomination Ecosystem - AGNES</x:v>
      </x:c>
      <x:c r="K252" t="str">
        <x:v>SR26593</x:v>
      </x:c>
      <x:c r="L252" t="str">
        <x:v>Procurement for Deployment of Augmented Gas Nomination Ecosystem (AGNES) at PMA</x:v>
      </x:c>
      <x:c r="M252" t="str">
        <x:v>rabiatul.mohamad@petronas.com</x:v>
      </x:c>
      <x:c r="N252" t="str">
        <x:v>AGNES</x:v>
      </x:c>
      <x:c r="O252" t="str">
        <x:v>Modify</x:v>
      </x:c>
      <x:c r="P252" t="str">
        <x:v>StagingUat</x:v>
      </x:c>
      <x:c r="Q252" t="str">
        <x:v>1. To Increase Disk F from 1 TB to 2-3 TB. Disk F is used for storing historical data for the PMS application, and the storage requirement is expected to grow over time. If additional disk space allocation is a concern, we can consider removing Disk I and Disk J.
2. Server Details:
•	Staging Server: 10.176.48.6</x:v>
      </x:c>
      <x:c r="R252" t="str">
        <x:v>S</x:v>
      </x:c>
      <x:c r="S252"/>
      <x:c r="T252"/>
      <x:c r="U252" t="str">
        <x:v>Approved, please proceed.</x:v>
      </x:c>
      <x:c r="V252" t="n">
        <x:v>46240.38173197916</x:v>
      </x:c>
      <x:c r="W252" t="str">
        <x:v>rabiatul.mohamad@petronas.com</x:v>
      </x:c>
      <x:c r="X252" t="str">
        <x:v>approved</x:v>
      </x:c>
      <x:c r="Y252" t="str">
        <x:v>As discussed, please amend the estimated cost and include the affected servers (ptmy-4agnespma1 - 10.176.48.6) in the request details.</x:v>
      </x:c>
      <x:c r="Z252" t="n">
        <x:v>46245.19472813657</x:v>
      </x:c>
      <x:c r="AA252" t="str">
        <x:v>samsuddin.jumbri@petronas.com</x:v>
      </x:c>
      <x:c r="AB252" t="str">
        <x:v>rejected</x:v>
      </x:c>
      <x:c r="AC252"/>
      <x:c r="AD252"/>
      <x:c r="AE252" t="str">
        <x:v>IMS - CLOUD CSSP REVIEWER</x:v>
      </x:c>
      <x:c r="AF252"/>
      <x:c r="AG252"/>
      <x:c r="AH252"/>
      <x:c r="AI252" t="str">
        <x:v>IMS - CLOUD CSSP EXECUTOR</x:v>
      </x:c>
      <x:c r="AJ252"/>
      <x:c r="AK252"/>
      <x:c r="AL252" t="str">
        <x:v>ce102e4f-11e3-4336-af66-3c380cafe022</x:v>
      </x:c>
      <x:c r="AM252" s="23" t="str">
        <x:f>IF(E252="processing",IF(Z252="","",IF(ISNUMBER(Z252),INT(Z252),DATE(VALUE(LEFT(Z252,4)),VALUE(MID(Z252,6,2)),VALUE(MID(Z252,9,2))))),IF(OR(E252="executing",E252="pending"),IF(AD252="","",IF(ISNUMBER(AD252),INT(AD252),DATE(VALUE(LEFT(AD252,4)),VALUE(MID(AD252,6,2)),VALUE(MID(AD252,9,2))))),""))</x:f>
      </x:c>
      <x:c r="AN252" s="24" t="str">
        <x:f>IF(AM252="","",INT('Configuration'!$B$4)-AM252)</x:f>
      </x:c>
      <x:c r="AO252" s="25" t="str">
        <x:f>IF(AM252="","Missing Required Date",IF(AN252&lt;0,"Future Date",IF(AN252=0,"0 days",IF(AN252&lt;=2,"1-2 days",IF(AN252&lt;=7,"3-7 days",IF(AN252&lt;=14,"8-14 days",IF(AN252&lt;=30,"15-30 days",IF(AN252&lt;=60,"31-60 days",IF(AN252&lt;=70,"61-70 days","71+ days")))))))))</x:f>
        <x:v>Missing Required Date</x:v>
      </x:c>
      <x:c r="AP252" s="25" t="str">
        <x:f>IF(OR(E252="processing",E252="executing",E252="pending"),IF(AM252="","Required aging date missing",IF(AN252&gt;30,"Escalate &gt;30d",IF(AN252&gt;14,"Watch &gt;14d","Within 14d"))),"Out of scope")</x:f>
        <x:v>Out of scope</x:v>
      </x:c>
    </x:row>
    <x:row r="253" ht="24" customHeight="1">
      <x:c r="A253" t="str">
        <x:v>3937c261-cba8-48b1-a709-a2fc329dc613</x:v>
      </x:c>
      <x:c r="B253" t="str">
        <x:v>CSSP10184564</x:v>
      </x:c>
      <x:c r="C253" t="str">
        <x:v>norsuriawani.m@petronas.com</x:v>
      </x:c>
      <x:c r="D253" t="str">
        <x:v>provision-cloud-public</x:v>
      </x:c>
      <x:c r="E253" t="str">
        <x:v>rejected</x:v>
      </x:c>
      <x:c r="F253" t="n">
        <x:v>46244.125039502316</x:v>
      </x:c>
      <x:c r="G253" t="n">
        <x:v>46244.33595216435</x:v>
      </x:c>
      <x:c r="H253" t="n">
        <x:v>46244.33835722222</x:v>
      </x:c>
      <x:c r="I253" t="str">
        <x:v>A-000696</x:v>
      </x:c>
      <x:c r="J253" t="str">
        <x:v>Robotic Process Automation - RPA GHRM</x:v>
      </x:c>
      <x:c r="K253" t="str">
        <x:v>00669_GHRS</x:v>
      </x:c>
      <x:c r="L253" t="str">
        <x:v>Implementation of Robotic Process Automation (RPA) (Wave 1) for GHRS</x:v>
      </x:c>
      <x:c r="M253" t="str">
        <x:v>mtariq.tahreb@petronas.com</x:v>
      </x:c>
      <x:c r="N253" t="str">
        <x:v>Implementation of RPA (Wave 4) for GHRS</x:v>
      </x:c>
      <x:c r="O253" t="str">
        <x:v>Modify</x:v>
      </x:c>
      <x:c r="P253" t="str">
        <x:v>Production</x:v>
      </x:c>
      <x:c r="Q253" t="str">
        <x:v>ICT_RFC00224898
Data Disk expansion about 1TB (Total Targeted F drive is 4TB) .
1.  172.25.40.60 (PTSG-1RPAdb1)
2.  172.25.40.61 (PTSG-1RPAdb2)</x:v>
      </x:c>
      <x:c r="R253" t="str">
        <x:v>M</x:v>
      </x:c>
      <x:c r="S253" t="str">
        <x:v>ICT_RFC00224898</x:v>
      </x:c>
      <x:c r="T253"/>
      <x:c r="U253"/>
      <x:c r="V253" t="n">
        <x:v>46244.3383572338</x:v>
      </x:c>
      <x:c r="W253" t="str">
        <x:v>mtariq.tahreb@petronas.com</x:v>
      </x:c>
      <x:c r="X253" t="str">
        <x:v>rejected</x:v>
      </x:c>
      <x:c r="Y253"/>
      <x:c r="Z253"/>
      <x:c r="AA253" t="str">
        <x:v>CCoE SA</x:v>
      </x:c>
      <x:c r="AB253"/>
      <x:c r="AC253"/>
      <x:c r="AD253"/>
      <x:c r="AE253" t="str">
        <x:v>IMS - CLOUD CSSP REVIEWER</x:v>
      </x:c>
      <x:c r="AF253"/>
      <x:c r="AG253"/>
      <x:c r="AH253"/>
      <x:c r="AI253" t="str">
        <x:v>IMS - CLOUD CSSP EXECUTOR</x:v>
      </x:c>
      <x:c r="AJ253"/>
      <x:c r="AK253"/>
      <x:c r="AL253" t="str">
        <x:v>1f65692d-ab91-42ae-9d20-07359793931e</x:v>
      </x:c>
      <x:c r="AM253" s="23" t="str">
        <x:f>IF(E253="processing",IF(Z253="","",IF(ISNUMBER(Z253),INT(Z253),DATE(VALUE(LEFT(Z253,4)),VALUE(MID(Z253,6,2)),VALUE(MID(Z253,9,2))))),IF(OR(E253="executing",E253="pending"),IF(AD253="","",IF(ISNUMBER(AD253),INT(AD253),DATE(VALUE(LEFT(AD253,4)),VALUE(MID(AD253,6,2)),VALUE(MID(AD253,9,2))))),""))</x:f>
      </x:c>
      <x:c r="AN253" s="24" t="str">
        <x:f>IF(AM253="","",INT('Configuration'!$B$4)-AM253)</x:f>
      </x:c>
      <x:c r="AO253" s="25" t="str">
        <x:f>IF(AM253="","Missing Required Date",IF(AN253&lt;0,"Future Date",IF(AN253=0,"0 days",IF(AN253&lt;=2,"1-2 days",IF(AN253&lt;=7,"3-7 days",IF(AN253&lt;=14,"8-14 days",IF(AN253&lt;=30,"15-30 days",IF(AN253&lt;=60,"31-60 days",IF(AN253&lt;=70,"61-70 days","71+ days")))))))))</x:f>
        <x:v>Missing Required Date</x:v>
      </x:c>
      <x:c r="AP253" s="25" t="str">
        <x:f>IF(OR(E253="processing",E253="executing",E253="pending"),IF(AM253="","Required aging date missing",IF(AN253&gt;30,"Escalate &gt;30d",IF(AN253&gt;14,"Watch &gt;14d","Within 14d"))),"Out of scope")</x:f>
        <x:v>Out of scope</x:v>
      </x:c>
    </x:row>
    <x:row r="254" ht="24" customHeight="1">
      <x:c r="A254" t="str">
        <x:v>1848779f-7cff-4757-bda2-32c4b343c8f1</x:v>
      </x:c>
      <x:c r="B254" t="str">
        <x:v>CSSP10965023</x:v>
      </x:c>
      <x:c r="C254" t="str">
        <x:v>norsuriawani.m@petronas.com</x:v>
      </x:c>
      <x:c r="D254" t="str">
        <x:v>provision-cloud-public</x:v>
      </x:c>
      <x:c r="E254" t="str">
        <x:v>executing</x:v>
      </x:c>
      <x:c r="F254" t="n">
        <x:v>46244.34321291667</x:v>
      </x:c>
      <x:c r="G254" t="n">
        <x:v>46244.34321291667</x:v>
      </x:c>
      <x:c r="H254" t="n">
        <x:v>46247.304909398146</x:v>
      </x:c>
      <x:c r="I254" t="str">
        <x:v>A-000696</x:v>
      </x:c>
      <x:c r="J254" t="str">
        <x:v>Robotic Process Automation - RPA GHRM</x:v>
      </x:c>
      <x:c r="K254" t="str">
        <x:v>00669_GHRS</x:v>
      </x:c>
      <x:c r="L254" t="str">
        <x:v>Implementation of Robotic Process Automation (RPA) (Wave 1) for GHRS</x:v>
      </x:c>
      <x:c r="M254" t="str">
        <x:v>mtariq.tahreb@petronas.com</x:v>
      </x:c>
      <x:c r="N254" t="str">
        <x:v>Implementation of RPA (Wave 4) for GHRS</x:v>
      </x:c>
      <x:c r="O254" t="str">
        <x:v>Modify</x:v>
      </x:c>
      <x:c r="P254" t="str">
        <x:v>Production</x:v>
      </x:c>
      <x:c r="Q254" t="str">
        <x:v>ICT_RFC00224898 Data Disk expansion about 1TB (Total Targeted F drive is 4TB)
Server: 
1. 172.25.40.60 (PTSG-1RPAdb1)
2. 172.25.40.61 (PTSG-1RPAdb2)</x:v>
      </x:c>
      <x:c r="R254" t="str">
        <x:v>S</x:v>
      </x:c>
      <x:c r="S254" t="str">
        <x:v>ICT_RFC00224898</x:v>
      </x:c>
      <x:c r="T254"/>
      <x:c r="U254" t="str">
        <x:v>approve</x:v>
      </x:c>
      <x:c r="V254" t="n">
        <x:v>46244.36919172454</x:v>
      </x:c>
      <x:c r="W254" t="str">
        <x:v>mtariq.tahreb@petronas.com</x:v>
      </x:c>
      <x:c r="X254" t="str">
        <x:v>approved</x:v>
      </x:c>
      <x:c r="Y254" t="str">
        <x:v>Good to go</x:v>
      </x:c>
      <x:c r="Z254" t="n">
        <x:v>46244.37327023148</x:v>
      </x:c>
      <x:c r="AA254" t="str">
        <x:v>samsuddin.jumbri@petronas.com</x:v>
      </x:c>
      <x:c r="AB254" t="str">
        <x:v>approved</x:v>
      </x:c>
      <x:c r="AC254" t="str">
        <x:v>approve</x:v>
      </x:c>
      <x:c r="AD254" t="n">
        <x:v>46247.30490940972</x:v>
      </x:c>
      <x:c r="AE254" t="str">
        <x:v>abhishek.bhowate@petronas.com</x:v>
      </x:c>
      <x:c r="AF254" t="str">
        <x:v>approved</x:v>
      </x:c>
      <x:c r="AG254"/>
      <x:c r="AH254"/>
      <x:c r="AI254" t="str">
        <x:v>mardiansyah.rayasa@petronas.com</x:v>
      </x:c>
      <x:c r="AJ254"/>
      <x:c r="AK254" t="str">
        <x:v>REQ000008239681</x:v>
      </x:c>
      <x:c r="AL254" t="str">
        <x:v>1f65692d-ab91-42ae-9d20-07359793931e</x:v>
      </x:c>
      <x:c r="AM254" s="23" t="n">
        <x:f>IF(E254="processing",IF(Z254="","",IF(ISNUMBER(Z254),INT(Z254),DATE(VALUE(LEFT(Z254,4)),VALUE(MID(Z254,6,2)),VALUE(MID(Z254,9,2))))),IF(OR(E254="executing",E254="pending"),IF(AD254="","",IF(ISNUMBER(AD254),INT(AD254),DATE(VALUE(LEFT(AD254,4)),VALUE(MID(AD254,6,2)),VALUE(MID(AD254,9,2))))),""))</x:f>
        <x:v>46247</x:v>
      </x:c>
      <x:c r="AN254" s="24" t="n">
        <x:f>IF(AM254="","",INT('Configuration'!$B$4)-AM254)</x:f>
        <x:v>4</x:v>
      </x:c>
      <x:c r="AO254" s="25" t="str">
        <x:f>IF(AM254="","Missing Required Date",IF(AN254&lt;0,"Future Date",IF(AN254=0,"0 days",IF(AN254&lt;=2,"1-2 days",IF(AN254&lt;=7,"3-7 days",IF(AN254&lt;=14,"8-14 days",IF(AN254&lt;=30,"15-30 days",IF(AN254&lt;=60,"31-60 days",IF(AN254&lt;=70,"61-70 days","71+ days")))))))))</x:f>
        <x:v>3-7 days</x:v>
      </x:c>
      <x:c r="AP254" s="25" t="str">
        <x:f>IF(OR(E254="processing",E254="executing",E254="pending"),IF(AM254="","Required aging date missing",IF(AN254&gt;30,"Escalate &gt;30d",IF(AN254&gt;14,"Watch &gt;14d","Within 14d"))),"Out of scope")</x:f>
        <x:v>Within 14d</x:v>
      </x:c>
    </x:row>
    <x:row r="255" ht="24" customHeight="1">
      <x:c r="A255" t="str">
        <x:v>e06f558c-2c68-4fb8-afcd-86e412e61954</x:v>
      </x:c>
      <x:c r="B255" t="str">
        <x:v>CSSP10156093</x:v>
      </x:c>
      <x:c r="C255" t="str">
        <x:v>mariffirdaus.mkhaidz@petronas.com</x:v>
      </x:c>
      <x:c r="D255" t="str">
        <x:v>provision-cloud-public</x:v>
      </x:c>
      <x:c r="E255" t="str">
        <x:v>rejected</x:v>
      </x:c>
      <x:c r="F255" t="n">
        <x:v>46244.35461164352</x:v>
      </x:c>
      <x:c r="G255" t="n">
        <x:v>46244.35461164352</x:v>
      </x:c>
      <x:c r="H255" t="n">
        <x:v>46244.361857372685</x:v>
      </x:c>
      <x:c r="I255" t="str">
        <x:v>A-001346</x:v>
      </x:c>
      <x:c r="J255" t="str">
        <x:v>GPE Digital Platform</x:v>
      </x:c>
      <x:c r="K255" t="str">
        <x:v>SR00331</x:v>
      </x:c>
      <x:c r="L255" t="str">
        <x:v>Quality Suite</x:v>
      </x:c>
      <x:c r="M255" t="str">
        <x:v>msufian.hussein@petronas.com</x:v>
      </x:c>
      <x:c r="N255" t="str">
        <x:v>Quality Suite</x:v>
      </x:c>
      <x:c r="O255" t="str">
        <x:v>New</x:v>
      </x:c>
      <x:c r="P255" t="str">
        <x:v>Development</x:v>
      </x:c>
      <x:c r="Q255" t="str">
        <x:v>Please assist us to provision additional RDS instances in AWS for our application in DEV environment.</x:v>
      </x:c>
      <x:c r="R255"/>
      <x:c r="S255"/>
      <x:c r="T255"/>
      <x:c r="U255" t="str">
        <x:v>Reuse existing RDS.</x:v>
      </x:c>
      <x:c r="V255" t="n">
        <x:v>46244.36185738426</x:v>
      </x:c>
      <x:c r="W255" t="str">
        <x:v>msufian.hussein@petronas.com</x:v>
      </x:c>
      <x:c r="X255" t="str">
        <x:v>rejected</x:v>
      </x:c>
      <x:c r="Y255"/>
      <x:c r="Z255"/>
      <x:c r="AA255" t="str">
        <x:v>CCoE SA</x:v>
      </x:c>
      <x:c r="AB255"/>
      <x:c r="AC255"/>
      <x:c r="AD255"/>
      <x:c r="AE255" t="str">
        <x:v>IMS - CLOUD CSSP REVIEWER</x:v>
      </x:c>
      <x:c r="AF255"/>
      <x:c r="AG255"/>
      <x:c r="AH255"/>
      <x:c r="AI255" t="str">
        <x:v>IMS - CLOUD CSSP EXECUTOR</x:v>
      </x:c>
      <x:c r="AJ255"/>
      <x:c r="AK255"/>
      <x:c r="AL255" t="str">
        <x:v>868b1bbc-b9be-43ba-8175-d6ca35843984</x:v>
      </x:c>
      <x:c r="AM255" s="23" t="str">
        <x:f>IF(E255="processing",IF(Z255="","",IF(ISNUMBER(Z255),INT(Z255),DATE(VALUE(LEFT(Z255,4)),VALUE(MID(Z255,6,2)),VALUE(MID(Z255,9,2))))),IF(OR(E255="executing",E255="pending"),IF(AD255="","",IF(ISNUMBER(AD255),INT(AD255),DATE(VALUE(LEFT(AD255,4)),VALUE(MID(AD255,6,2)),VALUE(MID(AD255,9,2))))),""))</x:f>
      </x:c>
      <x:c r="AN255" s="24" t="str">
        <x:f>IF(AM255="","",INT('Configuration'!$B$4)-AM255)</x:f>
      </x:c>
      <x:c r="AO255" s="25" t="str">
        <x:f>IF(AM255="","Missing Required Date",IF(AN255&lt;0,"Future Date",IF(AN255=0,"0 days",IF(AN255&lt;=2,"1-2 days",IF(AN255&lt;=7,"3-7 days",IF(AN255&lt;=14,"8-14 days",IF(AN255&lt;=30,"15-30 days",IF(AN255&lt;=60,"31-60 days",IF(AN255&lt;=70,"61-70 days","71+ days")))))))))</x:f>
        <x:v>Missing Required Date</x:v>
      </x:c>
      <x:c r="AP255" s="25" t="str">
        <x:f>IF(OR(E255="processing",E255="executing",E255="pending"),IF(AM255="","Required aging date missing",IF(AN255&gt;30,"Escalate &gt;30d",IF(AN255&gt;14,"Watch &gt;14d","Within 14d"))),"Out of scope")</x:f>
        <x:v>Out of scope</x:v>
      </x:c>
    </x:row>
    <x:row r="256" ht="24" customHeight="1">
      <x:c r="A256" t="str">
        <x:v>04977570-7bc2-4af2-870e-e64f5399604d</x:v>
      </x:c>
      <x:c r="B256" t="str">
        <x:v>CSSP10338229</x:v>
      </x:c>
      <x:c r="C256" t="str">
        <x:v>mariffirdaus.mkhaidz@petronas.com</x:v>
      </x:c>
      <x:c r="D256" t="str">
        <x:v>provision-cloud-public</x:v>
      </x:c>
      <x:c r="E256" t="str">
        <x:v>rejected</x:v>
      </x:c>
      <x:c r="F256" t="n">
        <x:v>46244.35588722222</x:v>
      </x:c>
      <x:c r="G256" t="n">
        <x:v>46244.35588722222</x:v>
      </x:c>
      <x:c r="H256" t="n">
        <x:v>46244.89826170139</x:v>
      </x:c>
      <x:c r="I256" t="str">
        <x:v>A-001346</x:v>
      </x:c>
      <x:c r="J256" t="str">
        <x:v>GPE Digital Platform</x:v>
      </x:c>
      <x:c r="K256" t="str">
        <x:v>SR00331</x:v>
      </x:c>
      <x:c r="L256" t="str">
        <x:v>Quality Suite</x:v>
      </x:c>
      <x:c r="M256" t="str">
        <x:v>msufian.hussein@petronas.com</x:v>
      </x:c>
      <x:c r="N256" t="str">
        <x:v>Quality Suite</x:v>
      </x:c>
      <x:c r="O256" t="str">
        <x:v>New</x:v>
      </x:c>
      <x:c r="P256" t="str">
        <x:v>StagingUat</x:v>
      </x:c>
      <x:c r="Q256" t="str">
        <x:v>Please assist us to provision additional RDS instances in AWS for our application in Staging/UAT environment.</x:v>
      </x:c>
      <x:c r="R256"/>
      <x:c r="S256"/>
      <x:c r="T256"/>
      <x:c r="U256" t="str">
        <x:v>Use existing provisioned RDS</x:v>
      </x:c>
      <x:c r="V256" t="n">
        <x:v>46244.89826170139</x:v>
      </x:c>
      <x:c r="W256" t="str">
        <x:v>msufian.hussein@petronas.com</x:v>
      </x:c>
      <x:c r="X256" t="str">
        <x:v>rejected</x:v>
      </x:c>
      <x:c r="Y256"/>
      <x:c r="Z256"/>
      <x:c r="AA256" t="str">
        <x:v>CCoE SA</x:v>
      </x:c>
      <x:c r="AB256"/>
      <x:c r="AC256"/>
      <x:c r="AD256"/>
      <x:c r="AE256" t="str">
        <x:v>IMS - CLOUD CSSP REVIEWER</x:v>
      </x:c>
      <x:c r="AF256"/>
      <x:c r="AG256"/>
      <x:c r="AH256"/>
      <x:c r="AI256" t="str">
        <x:v>IMS - CLOUD CSSP EXECUTOR</x:v>
      </x:c>
      <x:c r="AJ256"/>
      <x:c r="AK256"/>
      <x:c r="AL256" t="str">
        <x:v>868b1bbc-b9be-43ba-8175-d6ca35843984</x:v>
      </x:c>
      <x:c r="AM256" s="23" t="str">
        <x:f>IF(E256="processing",IF(Z256="","",IF(ISNUMBER(Z256),INT(Z256),DATE(VALUE(LEFT(Z256,4)),VALUE(MID(Z256,6,2)),VALUE(MID(Z256,9,2))))),IF(OR(E256="executing",E256="pending"),IF(AD256="","",IF(ISNUMBER(AD256),INT(AD256),DATE(VALUE(LEFT(AD256,4)),VALUE(MID(AD256,6,2)),VALUE(MID(AD256,9,2))))),""))</x:f>
      </x:c>
      <x:c r="AN256" s="24" t="str">
        <x:f>IF(AM256="","",INT('Configuration'!$B$4)-AM256)</x:f>
      </x:c>
      <x:c r="AO256" s="25" t="str">
        <x:f>IF(AM256="","Missing Required Date",IF(AN256&lt;0,"Future Date",IF(AN256=0,"0 days",IF(AN256&lt;=2,"1-2 days",IF(AN256&lt;=7,"3-7 days",IF(AN256&lt;=14,"8-14 days",IF(AN256&lt;=30,"15-30 days",IF(AN256&lt;=60,"31-60 days",IF(AN256&lt;=70,"61-70 days","71+ days")))))))))</x:f>
        <x:v>Missing Required Date</x:v>
      </x:c>
      <x:c r="AP256" s="25" t="str">
        <x:f>IF(OR(E256="processing",E256="executing",E256="pending"),IF(AM256="","Required aging date missing",IF(AN256&gt;30,"Escalate &gt;30d",IF(AN256&gt;14,"Watch &gt;14d","Within 14d"))),"Out of scope")</x:f>
        <x:v>Out of scope</x:v>
      </x:c>
    </x:row>
    <x:row r="257" ht="24" customHeight="1">
      <x:c r="A257" t="str">
        <x:v>72c8850a-6fb0-498f-aea9-abb665ecba13</x:v>
      </x:c>
      <x:c r="B257" t="str">
        <x:v>CSSP10970274</x:v>
      </x:c>
      <x:c r="C257" t="str">
        <x:v>izwan.othman@petronas.com</x:v>
      </x:c>
      <x:c r="D257" t="str">
        <x:v>provision-cloud-public</x:v>
      </x:c>
      <x:c r="E257" t="str">
        <x:v>rejected</x:v>
      </x:c>
      <x:c r="F257" t="n">
        <x:v>46244.59955607639</x:v>
      </x:c>
      <x:c r="G257" t="n">
        <x:v>46244.59955607639</x:v>
      </x:c>
      <x:c r="H257" t="n">
        <x:v>46246.14264895833</x:v>
      </x:c>
      <x:c r="I257" t="str">
        <x:v>A-001394</x:v>
      </x:c>
      <x:c r="J257" t="str">
        <x:v>Zentory+</x:v>
      </x:c>
      <x:c r="K257" t="str">
        <x:v>PC-00095</x:v>
      </x:c>
      <x:c r="L257" t="str">
        <x:v>Zentory+ Integration Layer</x:v>
      </x:c>
      <x:c r="M257" t="str">
        <x:v>che.nurhashimah@petronas.com</x:v>
      </x:c>
      <x:c r="N257" t="str">
        <x:v>ZentoryPlus Support Team</x:v>
      </x:c>
      <x:c r="O257" t="str">
        <x:v>New</x:v>
      </x:c>
      <x:c r="P257" t="str">
        <x:v>StagingUat</x:v>
      </x:c>
      <x:c r="Q257" t="str">
        <x:v>New enhancement to provision for azure cloud integration layer between SAP SFTP and Zentory+ in IBM Cloud</x:v>
      </x:c>
      <x:c r="R257"/>
      <x:c r="S257"/>
      <x:c r="T257"/>
      <x:c r="U257"/>
      <x:c r="V257" t="n">
        <x:v>46246.142648981484</x:v>
      </x:c>
      <x:c r="W257" t="str">
        <x:v>che.nurhashimah@petronas.com</x:v>
      </x:c>
      <x:c r="X257" t="str">
        <x:v>rejected</x:v>
      </x:c>
      <x:c r="Y257"/>
      <x:c r="Z257"/>
      <x:c r="AA257" t="str">
        <x:v>CCoE SA</x:v>
      </x:c>
      <x:c r="AB257"/>
      <x:c r="AC257"/>
      <x:c r="AD257"/>
      <x:c r="AE257" t="str">
        <x:v>IMS - CLOUD CSSP REVIEWER</x:v>
      </x:c>
      <x:c r="AF257"/>
      <x:c r="AG257"/>
      <x:c r="AH257"/>
      <x:c r="AI257" t="str">
        <x:v>IMS - CLOUD CSSP EXECUTOR</x:v>
      </x:c>
      <x:c r="AJ257"/>
      <x:c r="AK257"/>
      <x:c r="AL257" t="str">
        <x:v>d2978604-92f0-4f18-8379-bde968933cf3</x:v>
      </x:c>
      <x:c r="AM257" s="23" t="str">
        <x:f>IF(E257="processing",IF(Z257="","",IF(ISNUMBER(Z257),INT(Z257),DATE(VALUE(LEFT(Z257,4)),VALUE(MID(Z257,6,2)),VALUE(MID(Z257,9,2))))),IF(OR(E257="executing",E257="pending"),IF(AD257="","",IF(ISNUMBER(AD257),INT(AD257),DATE(VALUE(LEFT(AD257,4)),VALUE(MID(AD257,6,2)),VALUE(MID(AD257,9,2))))),""))</x:f>
      </x:c>
      <x:c r="AN257" s="24" t="str">
        <x:f>IF(AM257="","",INT('Configuration'!$B$4)-AM257)</x:f>
      </x:c>
      <x:c r="AO257" s="25" t="str">
        <x:f>IF(AM257="","Missing Required Date",IF(AN257&lt;0,"Future Date",IF(AN257=0,"0 days",IF(AN257&lt;=2,"1-2 days",IF(AN257&lt;=7,"3-7 days",IF(AN257&lt;=14,"8-14 days",IF(AN257&lt;=30,"15-30 days",IF(AN257&lt;=60,"31-60 days",IF(AN257&lt;=70,"61-70 days","71+ days")))))))))</x:f>
        <x:v>Missing Required Date</x:v>
      </x:c>
      <x:c r="AP257" s="25" t="str">
        <x:f>IF(OR(E257="processing",E257="executing",E257="pending"),IF(AM257="","Required aging date missing",IF(AN257&gt;30,"Escalate &gt;30d",IF(AN257&gt;14,"Watch &gt;14d","Within 14d"))),"Out of scope")</x:f>
        <x:v>Out of scope</x:v>
      </x:c>
    </x:row>
    <x:row r="258" ht="24" customHeight="1">
      <x:c r="A258" t="str">
        <x:v>04ffe0cb-4e2c-4705-8ffe-0732e09732e7</x:v>
      </x:c>
      <x:c r="B258" t="str">
        <x:v>CSSP10390950</x:v>
      </x:c>
      <x:c r="C258" t="str">
        <x:v>hasrol.yusop@petronas.com</x:v>
      </x:c>
      <x:c r="D258" t="str">
        <x:v>provision-cloud-public</x:v>
      </x:c>
      <x:c r="E258" t="str">
        <x:v>executing</x:v>
      </x:c>
      <x:c r="F258" t="n">
        <x:v>46245.38285111111</x:v>
      </x:c>
      <x:c r="G258" t="n">
        <x:v>46245.38285111111</x:v>
      </x:c>
      <x:c r="H258" t="n">
        <x:v>46249.352948148146</x:v>
      </x:c>
      <x:c r="I258" t="str">
        <x:v>A-000663</x:v>
      </x:c>
      <x:c r="J258" t="str">
        <x:v>ProSource</x:v>
      </x:c>
      <x:c r="K258" t="str">
        <x:v>SR00620</x:v>
      </x:c>
      <x:c r="L258" t="str">
        <x:v>Provisioning of Infrastructure for Prosource and Qumulo Storage Management System for UTDI</x:v>
      </x:c>
      <x:c r="M258" t="str">
        <x:v>hoongkum.chan@petronas.com.my</x:v>
      </x:c>
      <x:c r="N258" t="str">
        <x:v>Provisioning of Infrastructure for Prosource and Qumulo for UTDI</x:v>
      </x:c>
      <x:c r="O258" t="str">
        <x:v>New</x:v>
      </x:c>
      <x:c r="P258" t="str">
        <x:v>StagingUat</x:v>
      </x:c>
      <x:c r="Q258" t="str">
        <x:v>To request for temporary Azure VM to support the post stack data migration from Azure SG to Azure MW.
Provisioning Basis: Temporary migration scale-up to increase throughput and reduce overall migration lead time</x:v>
      </x:c>
      <x:c r="R258" t="str">
        <x:v>M</x:v>
      </x:c>
      <x:c r="S258"/>
      <x:c r="T258"/>
      <x:c r="U258" t="str">
        <x:v>Approved as per project requirements</x:v>
      </x:c>
      <x:c r="V258" t="n">
        <x:v>46246.02524131945</x:v>
      </x:c>
      <x:c r="W258" t="str">
        <x:v>hoongkum.chan@petronas.com</x:v>
      </x:c>
      <x:c r="X258" t="str">
        <x:v>approved</x:v>
      </x:c>
      <x:c r="Y258" t="str">
        <x:v>Provision 3-units of Azure VM in PTAZMY-IAC-PROD-PROSOURCE-RG</x:v>
      </x:c>
      <x:c r="Z258" t="n">
        <x:v>46246.11003256944</x:v>
      </x:c>
      <x:c r="AA258" t="str">
        <x:v>samsuddin.jumbri@petronas.com</x:v>
      </x:c>
      <x:c r="AB258" t="str">
        <x:v>approved</x:v>
      </x:c>
      <x:c r="AC258" t="str">
        <x:v>Approve</x:v>
      </x:c>
      <x:c r="AD258" t="n">
        <x:v>46249.35294815972</x:v>
      </x:c>
      <x:c r="AE258" t="str">
        <x:v>raditya.nugraha@petronas.com</x:v>
      </x:c>
      <x:c r="AF258" t="str">
        <x:v>approved</x:v>
      </x:c>
      <x:c r="AG258"/>
      <x:c r="AH258"/>
      <x:c r="AI258" t="str">
        <x:v>raditya.nugraha@petronas.com</x:v>
      </x:c>
      <x:c r="AJ258"/>
      <x:c r="AK258" t="str">
        <x:v>REQ000008244218</x:v>
      </x:c>
      <x:c r="AL258" t="str">
        <x:v>1f46f82f-3716-4404-aa90-fc69f4af663f</x:v>
      </x:c>
      <x:c r="AM258" s="23" t="n">
        <x:f>IF(E258="processing",IF(Z258="","",IF(ISNUMBER(Z258),INT(Z258),DATE(VALUE(LEFT(Z258,4)),VALUE(MID(Z258,6,2)),VALUE(MID(Z258,9,2))))),IF(OR(E258="executing",E258="pending"),IF(AD258="","",IF(ISNUMBER(AD258),INT(AD258),DATE(VALUE(LEFT(AD258,4)),VALUE(MID(AD258,6,2)),VALUE(MID(AD258,9,2))))),""))</x:f>
        <x:v>46249</x:v>
      </x:c>
      <x:c r="AN258" s="24" t="n">
        <x:f>IF(AM258="","",INT('Configuration'!$B$4)-AM258)</x:f>
        <x:v>2</x:v>
      </x:c>
      <x:c r="AO258" s="25" t="str">
        <x:f>IF(AM258="","Missing Required Date",IF(AN258&lt;0,"Future Date",IF(AN258=0,"0 days",IF(AN258&lt;=2,"1-2 days",IF(AN258&lt;=7,"3-7 days",IF(AN258&lt;=14,"8-14 days",IF(AN258&lt;=30,"15-30 days",IF(AN258&lt;=60,"31-60 days",IF(AN258&lt;=70,"61-70 days","71+ days")))))))))</x:f>
        <x:v>1-2 days</x:v>
      </x:c>
      <x:c r="AP258" s="25" t="str">
        <x:f>IF(OR(E258="processing",E258="executing",E258="pending"),IF(AM258="","Required aging date missing",IF(AN258&gt;30,"Escalate &gt;30d",IF(AN258&gt;14,"Watch &gt;14d","Within 14d"))),"Out of scope")</x:f>
        <x:v>Within 14d</x:v>
      </x:c>
    </x:row>
    <x:row r="259" ht="24" customHeight="1">
      <x:c r="A259" t="str">
        <x:v>178db113-a318-43c0-928c-317540c300ec</x:v>
      </x:c>
      <x:c r="B259" t="str">
        <x:v>CSSP10201868</x:v>
      </x:c>
      <x:c r="C259" t="str">
        <x:v>nurulain.mmahamad@petronas.com</x:v>
      </x:c>
      <x:c r="D259" t="str">
        <x:v>provision-cloud-public</x:v>
      </x:c>
      <x:c r="E259" t="str">
        <x:v>executing</x:v>
      </x:c>
      <x:c r="F259" t="n">
        <x:v>46246.17335074074</x:v>
      </x:c>
      <x:c r="G259" t="n">
        <x:v>46246.17335074074</x:v>
      </x:c>
      <x:c r="H259" t="n">
        <x:v>46249.226012465275</x:v>
      </x:c>
      <x:c r="I259" t="str">
        <x:v>A-000031</x:v>
      </x:c>
      <x:c r="J259" t="str">
        <x:v>Augmented Gas Nomination Ecosystem - AGNES</x:v>
      </x:c>
      <x:c r="K259" t="str">
        <x:v>SR26593</x:v>
      </x:c>
      <x:c r="L259" t="str">
        <x:v>Procurement for Deployment of Augmented Gas Nomination Ecosystem (AGNES) at PMA</x:v>
      </x:c>
      <x:c r="M259" t="str">
        <x:v>rabiatul.mohamad@petronas.com.my</x:v>
      </x:c>
      <x:c r="N259" t="str">
        <x:v>AGNES</x:v>
      </x:c>
      <x:c r="O259" t="str">
        <x:v>Modify</x:v>
      </x:c>
      <x:c r="P259" t="str">
        <x:v>StagingUat</x:v>
      </x:c>
      <x:c r="Q259" t="str">
        <x:v>To Increase Disk F from 1 TB to 2-3 TB. Disk F is used for storing historical data for the PMS application, and the storage requirement is expected to grow over time. If additional disk space allocation is a concern, we can consider removing Disk I and Disk J.
Server Details: • Staging Server (ptmy-4agnespma1): 10.176.48.6</x:v>
      </x:c>
      <x:c r="R259" t="str">
        <x:v>S</x:v>
      </x:c>
      <x:c r="S259"/>
      <x:c r="T259"/>
      <x:c r="U259" t="str">
        <x:v>Agreed as per discussed with the team to increase the server size.</x:v>
      </x:c>
      <x:c r="V259" t="n">
        <x:v>46246.24824364583</x:v>
      </x:c>
      <x:c r="W259" t="str">
        <x:v>rabiatul.mohamad@petronas.com</x:v>
      </x:c>
      <x:c r="X259" t="str">
        <x:v>approved</x:v>
      </x:c>
      <x:c r="Y259" t="str">
        <x:v>Good to go</x:v>
      </x:c>
      <x:c r="Z259" t="n">
        <x:v>46246.29756077546</x:v>
      </x:c>
      <x:c r="AA259" t="str">
        <x:v>samsuddin.jumbri@petronas.com</x:v>
      </x:c>
      <x:c r="AB259" t="str">
        <x:v>approved</x:v>
      </x:c>
      <x:c r="AC259" t="str">
        <x:v>Approve</x:v>
      </x:c>
      <x:c r="AD259" t="n">
        <x:v>46249.226012465275</x:v>
      </x:c>
      <x:c r="AE259" t="str">
        <x:v>abhishek.bhowate@petronas.com</x:v>
      </x:c>
      <x:c r="AF259" t="str">
        <x:v>approved</x:v>
      </x:c>
      <x:c r="AG259"/>
      <x:c r="AH259"/>
      <x:c r="AI259" t="str">
        <x:v>mardiansyah.rayasa@petronas.com</x:v>
      </x:c>
      <x:c r="AJ259"/>
      <x:c r="AK259" t="str">
        <x:v>REQ000008243606</x:v>
      </x:c>
      <x:c r="AL259" t="str">
        <x:v>ce102e4f-11e3-4336-af66-3c380cafe022</x:v>
      </x:c>
      <x:c r="AM259" s="23" t="n">
        <x:f>IF(E259="processing",IF(Z259="","",IF(ISNUMBER(Z259),INT(Z259),DATE(VALUE(LEFT(Z259,4)),VALUE(MID(Z259,6,2)),VALUE(MID(Z259,9,2))))),IF(OR(E259="executing",E259="pending"),IF(AD259="","",IF(ISNUMBER(AD259),INT(AD259),DATE(VALUE(LEFT(AD259,4)),VALUE(MID(AD259,6,2)),VALUE(MID(AD259,9,2))))),""))</x:f>
        <x:v>46249</x:v>
      </x:c>
      <x:c r="AN259" s="24" t="n">
        <x:f>IF(AM259="","",INT('Configuration'!$B$4)-AM259)</x:f>
        <x:v>2</x:v>
      </x:c>
      <x:c r="AO259" s="25" t="str">
        <x:f>IF(AM259="","Missing Required Date",IF(AN259&lt;0,"Future Date",IF(AN259=0,"0 days",IF(AN259&lt;=2,"1-2 days",IF(AN259&lt;=7,"3-7 days",IF(AN259&lt;=14,"8-14 days",IF(AN259&lt;=30,"15-30 days",IF(AN259&lt;=60,"31-60 days",IF(AN259&lt;=70,"61-70 days","71+ days")))))))))</x:f>
        <x:v>1-2 days</x:v>
      </x:c>
      <x:c r="AP259" s="25" t="str">
        <x:f>IF(OR(E259="processing",E259="executing",E259="pending"),IF(AM259="","Required aging date missing",IF(AN259&gt;30,"Escalate &gt;30d",IF(AN259&gt;14,"Watch &gt;14d","Within 14d"))),"Out of scope")</x:f>
        <x:v>Within 14d</x:v>
      </x:c>
    </x:row>
    <x:row r="260" ht="24" customHeight="1">
      <x:c r="A260" t="str">
        <x:v>b7800796-bb8c-4f92-87f5-a61bd10d3d6d</x:v>
      </x:c>
      <x:c r="B260" t="str">
        <x:v>CSSP10538665</x:v>
      </x:c>
      <x:c r="C260" t="str">
        <x:v>nurshazareena.zait@petronas.com</x:v>
      </x:c>
      <x:c r="D260" t="str">
        <x:v>provision-cloud-public</x:v>
      </x:c>
      <x:c r="E260" t="str">
        <x:v>executing</x:v>
      </x:c>
      <x:c r="F260" t="n">
        <x:v>46246.63568141204</x:v>
      </x:c>
      <x:c r="G260" t="n">
        <x:v>46246.63568141204</x:v>
      </x:c>
      <x:c r="H260" t="n">
        <x:v>46249.3559096875</x:v>
      </x:c>
      <x:c r="I260" t="str">
        <x:v>A-001375</x:v>
      </x:c>
      <x:c r="J260" t="str">
        <x:v>PETRONAS Data Fabric</x:v>
      </x:c>
      <x:c r="K260" t="str">
        <x:v>PC-00090</x:v>
      </x:c>
      <x:c r="L260" t="str">
        <x:v>PETRONAS Data Governance</x:v>
      </x:c>
      <x:c r="M260" t="str">
        <x:v>azmir.ghazali@petronas.com.my</x:v>
      </x:c>
      <x:c r="N260" t="str">
        <x:v>PETRONAS Data Portal</x:v>
      </x:c>
      <x:c r="O260" t="str">
        <x:v>New</x:v>
      </x:c>
      <x:c r="P260" t="str">
        <x:v>Production</x:v>
      </x:c>
      <x:c r="Q260" t="str">
        <x:v>The estimated amount is based on a 12-month calculation.</x:v>
      </x:c>
      <x:c r="R260" t="str">
        <x:v>S</x:v>
      </x:c>
      <x:c r="S260"/>
      <x:c r="T260"/>
      <x:c r="U260" t="str">
        <x:v>Approved as per discussed</x:v>
      </x:c>
      <x:c r="V260" t="n">
        <x:v>46246.980111689816</x:v>
      </x:c>
      <x:c r="W260" t="str">
        <x:v>azmir.ghazali@petronas.com</x:v>
      </x:c>
      <x:c r="X260" t="str">
        <x:v>approved</x:v>
      </x:c>
      <x:c r="Y260" t="str">
        <x:v>Fabric SKU F64</x:v>
      </x:c>
      <x:c r="Z260" t="n">
        <x:v>46247.1369053588</x:v>
      </x:c>
      <x:c r="AA260" t="str">
        <x:v>samsuddin.jumbri@petronas.com</x:v>
      </x:c>
      <x:c r="AB260" t="str">
        <x:v>approved</x:v>
      </x:c>
      <x:c r="AC260" t="str">
        <x:v>Approve</x:v>
      </x:c>
      <x:c r="AD260" t="n">
        <x:v>46249.3559096875</x:v>
      </x:c>
      <x:c r="AE260" t="str">
        <x:v>raditya.nugraha@petronas.com</x:v>
      </x:c>
      <x:c r="AF260" t="str">
        <x:v>approved</x:v>
      </x:c>
      <x:c r="AG260"/>
      <x:c r="AH260"/>
      <x:c r="AI260" t="str">
        <x:v>arun.karuppiah@petronas.com</x:v>
      </x:c>
      <x:c r="AJ260"/>
      <x:c r="AK260" t="str">
        <x:v>REQ000008244220</x:v>
      </x:c>
      <x:c r="AL260" t="str">
        <x:v>677e41e4-47ef-4ca3-b902-47051af01af6</x:v>
      </x:c>
      <x:c r="AM260" s="23" t="n">
        <x:f>IF(E260="processing",IF(Z260="","",IF(ISNUMBER(Z260),INT(Z260),DATE(VALUE(LEFT(Z260,4)),VALUE(MID(Z260,6,2)),VALUE(MID(Z260,9,2))))),IF(OR(E260="executing",E260="pending"),IF(AD260="","",IF(ISNUMBER(AD260),INT(AD260),DATE(VALUE(LEFT(AD260,4)),VALUE(MID(AD260,6,2)),VALUE(MID(AD260,9,2))))),""))</x:f>
        <x:v>46249</x:v>
      </x:c>
      <x:c r="AN260" s="24" t="n">
        <x:f>IF(AM260="","",INT('Configuration'!$B$4)-AM260)</x:f>
        <x:v>2</x:v>
      </x:c>
      <x:c r="AO260" s="25" t="str">
        <x:f>IF(AM260="","Missing Required Date",IF(AN260&lt;0,"Future Date",IF(AN260=0,"0 days",IF(AN260&lt;=2,"1-2 days",IF(AN260&lt;=7,"3-7 days",IF(AN260&lt;=14,"8-14 days",IF(AN260&lt;=30,"15-30 days",IF(AN260&lt;=60,"31-60 days",IF(AN260&lt;=70,"61-70 days","71+ days")))))))))</x:f>
        <x:v>1-2 days</x:v>
      </x:c>
      <x:c r="AP260" s="25" t="str">
        <x:f>IF(OR(E260="processing",E260="executing",E260="pending"),IF(AM260="","Required aging date missing",IF(AN260&gt;30,"Escalate &gt;30d",IF(AN260&gt;14,"Watch &gt;14d","Within 14d"))),"Out of scope")</x:f>
        <x:v>Within 14d</x:v>
      </x:c>
    </x:row>
    <x:row r="261" ht="24" customHeight="1">
      <x:c r="A261" t="str">
        <x:v>c23768f0-bd18-4c87-b327-ae84e153bb75</x:v>
      </x:c>
      <x:c r="B261" t="str">
        <x:v>CSSP10953253</x:v>
      </x:c>
      <x:c r="C261" t="str">
        <x:v>izwan.othman@petronas.com</x:v>
      </x:c>
      <x:c r="D261" t="str">
        <x:v>provision-cloud-public</x:v>
      </x:c>
      <x:c r="E261" t="str">
        <x:v>executing</x:v>
      </x:c>
      <x:c r="F261" t="n">
        <x:v>46247.04923334491</x:v>
      </x:c>
      <x:c r="G261" t="n">
        <x:v>46247.04923334491</x:v>
      </x:c>
      <x:c r="H261" t="n">
        <x:v>46249.19338509259</x:v>
      </x:c>
      <x:c r="I261" t="str">
        <x:v>A-001394</x:v>
      </x:c>
      <x:c r="J261" t="str">
        <x:v>Zentory+</x:v>
      </x:c>
      <x:c r="K261" t="str">
        <x:v>PC-00095</x:v>
      </x:c>
      <x:c r="L261" t="str">
        <x:v>Zentory+ Integration Layer</x:v>
      </x:c>
      <x:c r="M261" t="str">
        <x:v>che.nurhashimah@petronas.com</x:v>
      </x:c>
      <x:c r="N261" t="str">
        <x:v>ZentoryPlus Support Team</x:v>
      </x:c>
      <x:c r="O261" t="str">
        <x:v>New</x:v>
      </x:c>
      <x:c r="P261" t="str">
        <x:v>StagingUat</x:v>
      </x:c>
      <x:c r="Q261" t="str">
        <x:v>New enhancement to provision for azure cloud integration layer between SAP SFTP and Zentory+ in IBM Cloud</x:v>
      </x:c>
      <x:c r="R261" t="str">
        <x:v>M</x:v>
      </x:c>
      <x:c r="S261"/>
      <x:c r="T261"/>
      <x:c r="U261" t="str">
        <x:v>Reviewed, as discussed with the team, please proceed.</x:v>
      </x:c>
      <x:c r="V261" t="n">
        <x:v>46247.193422268516</x:v>
      </x:c>
      <x:c r="W261" t="str">
        <x:v>che.nurhashimah@petronas.com</x:v>
      </x:c>
      <x:c r="X261" t="str">
        <x:v>approved</x:v>
      </x:c>
      <x:c r="Y261" t="str">
        <x:v>Good to go</x:v>
      </x:c>
      <x:c r="Z261" t="n">
        <x:v>46247.28426579861</x:v>
      </x:c>
      <x:c r="AA261" t="str">
        <x:v>samsuddin.jumbri@petronas.com</x:v>
      </x:c>
      <x:c r="AB261" t="str">
        <x:v>approved</x:v>
      </x:c>
      <x:c r="AC261" t="str">
        <x:v>Approve</x:v>
      </x:c>
      <x:c r="AD261" t="n">
        <x:v>46249.19338510417</x:v>
      </x:c>
      <x:c r="AE261" t="str">
        <x:v>abhishek.bhowate@petronas.com</x:v>
      </x:c>
      <x:c r="AF261" t="str">
        <x:v>approved</x:v>
      </x:c>
      <x:c r="AG261"/>
      <x:c r="AH261"/>
      <x:c r="AI261" t="str">
        <x:v>arun.karuppiah@petronas.com</x:v>
      </x:c>
      <x:c r="AJ261"/>
      <x:c r="AK261" t="str">
        <x:v>REQ000008243784</x:v>
      </x:c>
      <x:c r="AL261" t="str">
        <x:v>d2978604-92f0-4f18-8379-bde968933cf3</x:v>
      </x:c>
      <x:c r="AM261" s="23" t="n">
        <x:f>IF(E261="processing",IF(Z261="","",IF(ISNUMBER(Z261),INT(Z261),DATE(VALUE(LEFT(Z261,4)),VALUE(MID(Z261,6,2)),VALUE(MID(Z261,9,2))))),IF(OR(E261="executing",E261="pending"),IF(AD261="","",IF(ISNUMBER(AD261),INT(AD261),DATE(VALUE(LEFT(AD261,4)),VALUE(MID(AD261,6,2)),VALUE(MID(AD261,9,2))))),""))</x:f>
        <x:v>46249</x:v>
      </x:c>
      <x:c r="AN261" s="24" t="n">
        <x:f>IF(AM261="","",INT('Configuration'!$B$4)-AM261)</x:f>
        <x:v>2</x:v>
      </x:c>
      <x:c r="AO261" s="25" t="str">
        <x:f>IF(AM261="","Missing Required Date",IF(AN261&lt;0,"Future Date",IF(AN261=0,"0 days",IF(AN261&lt;=2,"1-2 days",IF(AN261&lt;=7,"3-7 days",IF(AN261&lt;=14,"8-14 days",IF(AN261&lt;=30,"15-30 days",IF(AN261&lt;=60,"31-60 days",IF(AN261&lt;=70,"61-70 days","71+ days")))))))))</x:f>
        <x:v>1-2 days</x:v>
      </x:c>
      <x:c r="AP261" s="25" t="str">
        <x:f>IF(OR(E261="processing",E261="executing",E261="pending"),IF(AM261="","Required aging date missing",IF(AN261&gt;30,"Escalate &gt;30d",IF(AN261&gt;14,"Watch &gt;14d","Within 14d"))),"Out of scope")</x:f>
        <x:v>Within 14d</x:v>
      </x:c>
    </x:row>
    <x:row r="262" ht="24" customHeight="1">
      <x:c r="A262" t="str">
        <x:v>c200d204-88c4-42c5-8654-d4d1ac6bcc8e</x:v>
      </x:c>
      <x:c r="B262" t="str">
        <x:v>CSSP10506137</x:v>
      </x:c>
      <x:c r="C262" t="str">
        <x:v>ermanfitri.myasin@petronas.com</x:v>
      </x:c>
      <x:c r="D262" t="str">
        <x:v>provision-cloud-public</x:v>
      </x:c>
      <x:c r="E262" t="str">
        <x:v>processing</x:v>
      </x:c>
      <x:c r="F262" t="n">
        <x:v>46247.25359472222</x:v>
      </x:c>
      <x:c r="G262" t="n">
        <x:v>46247.25359472222</x:v>
      </x:c>
      <x:c r="H262" t="n">
        <x:v>46247.25706004629</x:v>
      </x:c>
      <x:c r="I262" t="str">
        <x:v>A-000026</x:v>
      </x:c>
      <x:c r="J262" t="str">
        <x:v>Ansible Enterprise Configuration Management - AECM</x:v>
      </x:c>
      <x:c r="K262" t="str">
        <x:v>PC-00019</x:v>
      </x:c>
      <x:c r="L262" t="str">
        <x:v>Ansible Enterprise Configuration Management</x:v>
      </x:c>
      <x:c r="M262" t="str">
        <x:v>mfaizal.sidek@petronas.com</x:v>
      </x:c>
      <x:c r="N262" t="str">
        <x:v>Configuration_Management</x:v>
      </x:c>
      <x:c r="O262" t="str">
        <x:v>New</x:v>
      </x:c>
      <x:c r="P262" t="str">
        <x:v>Production</x:v>
      </x:c>
      <x:c r="Q262" t="str">
        <x:v>We would like to repatriate one of the AECM servers, PTAWSG-1AECMap02, to the Malaysia region to support the ongoing repatriation initiative. This server is used for creating base images and is a critical component of the process.
Currently, PTAWSG-1AECMap02 is hosted in the 'PTAWSG-DEV-ENVIRONMENT-01' account. As part of this activity, the server will be moved to the 'PTAW-IAC-PROD-PEnT-Environment-01' account. We would appreciate your assistance in repatriating this server and ensuring that all configurations, settings, and access permissions remain consistent with the existing setup.
If possible, please deploy the server using the latest RHEL 9 image.
Attached is the request from the Cloud Team regarding the repatriation of this server.</x:v>
      </x:c>
      <x:c r="R262"/>
      <x:c r="S262"/>
      <x:c r="T262"/>
      <x:c r="U262" t="str">
        <x:v>Proceed</x:v>
      </x:c>
      <x:c r="V262" t="n">
        <x:v>46247.25706005787</x:v>
      </x:c>
      <x:c r="W262" t="str">
        <x:v>mfaizal.sidek@petronas.com</x:v>
      </x:c>
      <x:c r="X262" t="str">
        <x:v>approved</x:v>
      </x:c>
      <x:c r="Y262"/>
      <x:c r="Z262"/>
      <x:c r="AA262" t="str">
        <x:v>CCoE SA</x:v>
      </x:c>
      <x:c r="AB262"/>
      <x:c r="AC262"/>
      <x:c r="AD262"/>
      <x:c r="AE262" t="str">
        <x:v>IMS - CLOUD CSSP REVIEWER</x:v>
      </x:c>
      <x:c r="AF262"/>
      <x:c r="AG262"/>
      <x:c r="AH262"/>
      <x:c r="AI262" t="str">
        <x:v>IMS - CLOUD CSSP EXECUTOR</x:v>
      </x:c>
      <x:c r="AJ262"/>
      <x:c r="AK262"/>
      <x:c r="AL262" t="str">
        <x:v>7abf948a-6b31-4746-8daf-2698ab161815</x:v>
      </x:c>
      <x:c r="AM262" s="23" t="str">
        <x:f>IF(E262="processing",IF(Z262="","",IF(ISNUMBER(Z262),INT(Z262),DATE(VALUE(LEFT(Z262,4)),VALUE(MID(Z262,6,2)),VALUE(MID(Z262,9,2))))),IF(OR(E262="executing",E262="pending"),IF(AD262="","",IF(ISNUMBER(AD262),INT(AD262),DATE(VALUE(LEFT(AD262,4)),VALUE(MID(AD262,6,2)),VALUE(MID(AD262,9,2))))),""))</x:f>
      </x:c>
      <x:c r="AN262" s="24" t="str">
        <x:f>IF(AM262="","",INT('Configuration'!$B$4)-AM262)</x:f>
      </x:c>
      <x:c r="AO262" s="25" t="str">
        <x:f>IF(AM262="","Missing Required Date",IF(AN262&lt;0,"Future Date",IF(AN262=0,"0 days",IF(AN262&lt;=2,"1-2 days",IF(AN262&lt;=7,"3-7 days",IF(AN262&lt;=14,"8-14 days",IF(AN262&lt;=30,"15-30 days",IF(AN262&lt;=60,"31-60 days",IF(AN262&lt;=70,"61-70 days","71+ days")))))))))</x:f>
        <x:v>Missing Required Date</x:v>
      </x:c>
      <x:c r="AP262" s="25" t="str">
        <x:f>IF(OR(E262="processing",E262="executing",E262="pending"),IF(AM262="","Required aging date missing",IF(AN262&gt;30,"Escalate &gt;30d",IF(AN262&gt;14,"Watch &gt;14d","Within 14d"))),"Out of scope")</x:f>
        <x:v>Required aging date missing</x:v>
      </x:c>
    </x:row>
    <x:row r="263" ht="24" customHeight="1">
      <x:c r="A263" t="str">
        <x:v>087dda70-79d1-4464-8c19-a6298767d607</x:v>
      </x:c>
      <x:c r="B263" t="str">
        <x:v>CSSP10675946</x:v>
      </x:c>
      <x:c r="C263" t="str">
        <x:v>izwan.othman@petronas.com</x:v>
      </x:c>
      <x:c r="D263" t="str">
        <x:v>provision-cloud-public</x:v>
      </x:c>
      <x:c r="E263" t="str">
        <x:v>processing</x:v>
      </x:c>
      <x:c r="F263" t="n">
        <x:v>46247.26036521991</x:v>
      </x:c>
      <x:c r="G263" t="n">
        <x:v>46247.26036521991</x:v>
      </x:c>
      <x:c r="H263" t="n">
        <x:v>46251.17083613426</x:v>
      </x:c>
      <x:c r="I263" t="str">
        <x:v>A-001394</x:v>
      </x:c>
      <x:c r="J263" t="str">
        <x:v>Zentory+</x:v>
      </x:c>
      <x:c r="K263" t="str">
        <x:v>PC-00095</x:v>
      </x:c>
      <x:c r="L263" t="str">
        <x:v>Zentory+ Integration Layer</x:v>
      </x:c>
      <x:c r="M263" t="str">
        <x:v>che.nurhashimah@petronas.com</x:v>
      </x:c>
      <x:c r="N263" t="str">
        <x:v>ZentoryPlus Support Team</x:v>
      </x:c>
      <x:c r="O263" t="str">
        <x:v>New</x:v>
      </x:c>
      <x:c r="P263" t="str">
        <x:v>Production</x:v>
      </x:c>
      <x:c r="Q263" t="str">
        <x:v>New enhancement to provision for azure cloud integration layer between SAP SFTP and Zentory+ in IBM Cloud</x:v>
      </x:c>
      <x:c r="R263" t="str">
        <x:v>M</x:v>
      </x:c>
      <x:c r="S263"/>
      <x:c r="T263"/>
      <x:c r="U263" t="str">
        <x:v>Reviewed, please proceed.</x:v>
      </x:c>
      <x:c r="V263" t="n">
        <x:v>46248.26983347222</x:v>
      </x:c>
      <x:c r="W263" t="str">
        <x:v>che.nurhashimah@petronas.com</x:v>
      </x:c>
      <x:c r="X263" t="str">
        <x:v>approved</x:v>
      </x:c>
      <x:c r="Y263" t="str">
        <x:v>Good to go</x:v>
      </x:c>
      <x:c r="Z263" t="n">
        <x:v>46251.17083614584</x:v>
      </x:c>
      <x:c r="AA263" t="str">
        <x:v>samsuddin.jumbri@petronas.com</x:v>
      </x:c>
      <x:c r="AB263" t="str">
        <x:v>approved</x:v>
      </x:c>
      <x:c r="AC263"/>
      <x:c r="AD263"/>
      <x:c r="AE263" t="str">
        <x:v>IMS - CLOUD CSSP REVIEWER</x:v>
      </x:c>
      <x:c r="AF263"/>
      <x:c r="AG263"/>
      <x:c r="AH263"/>
      <x:c r="AI263" t="str">
        <x:v>IMS - CLOUD CSSP EXECUTOR</x:v>
      </x:c>
      <x:c r="AJ263"/>
      <x:c r="AK263"/>
      <x:c r="AL263" t="str">
        <x:v>d2978604-92f0-4f18-8379-bde968933cf3</x:v>
      </x:c>
      <x:c r="AM263" s="23" t="n">
        <x:f>IF(E263="processing",IF(Z263="","",IF(ISNUMBER(Z263),INT(Z263),DATE(VALUE(LEFT(Z263,4)),VALUE(MID(Z263,6,2)),VALUE(MID(Z263,9,2))))),IF(OR(E263="executing",E263="pending"),IF(AD263="","",IF(ISNUMBER(AD263),INT(AD263),DATE(VALUE(LEFT(AD263,4)),VALUE(MID(AD263,6,2)),VALUE(MID(AD263,9,2))))),""))</x:f>
        <x:v>46251</x:v>
      </x:c>
      <x:c r="AN263" s="24" t="n">
        <x:f>IF(AM263="","",INT('Configuration'!$B$4)-AM263)</x:f>
        <x:v>0</x:v>
      </x:c>
      <x:c r="AO263" s="25" t="str">
        <x:f>IF(AM263="","Missing Required Date",IF(AN263&lt;0,"Future Date",IF(AN263=0,"0 days",IF(AN263&lt;=2,"1-2 days",IF(AN263&lt;=7,"3-7 days",IF(AN263&lt;=14,"8-14 days",IF(AN263&lt;=30,"15-30 days",IF(AN263&lt;=60,"31-60 days",IF(AN263&lt;=70,"61-70 days","71+ days")))))))))</x:f>
        <x:v>0 days</x:v>
      </x:c>
      <x:c r="AP263" s="25" t="str">
        <x:f>IF(OR(E263="processing",E263="executing",E263="pending"),IF(AM263="","Required aging date missing",IF(AN263&gt;30,"Escalate &gt;30d",IF(AN263&gt;14,"Watch &gt;14d","Within 14d"))),"Out of scope")</x:f>
        <x:v>Within 14d</x:v>
      </x:c>
    </x:row>
    <x:row r="264" ht="24" customHeight="1">
      <x:c r="A264" t="str">
        <x:v>1d3292b5-fbec-4dcc-8ac9-7d1128280796</x:v>
      </x:c>
      <x:c r="B264" t="str">
        <x:v>CSSP10690264</x:v>
      </x:c>
      <x:c r="C264" t="str">
        <x:v>hannizatherina@petronas.com</x:v>
      </x:c>
      <x:c r="D264" t="str">
        <x:v>provision-cloud-public</x:v>
      </x:c>
      <x:c r="E264" t="str">
        <x:v>rejected</x:v>
      </x:c>
      <x:c r="F264" t="n">
        <x:v>46248.09834311342</x:v>
      </x:c>
      <x:c r="G264" t="n">
        <x:v>46248.09834311342</x:v>
      </x:c>
      <x:c r="H264" t="n">
        <x:v>46251.16482626157</x:v>
      </x:c>
      <x:c r="I264" t="str">
        <x:v>A-001396</x:v>
      </x:c>
      <x:c r="J264" t="str">
        <x:v>Downstream AI Innovation Sandbox</x:v>
      </x:c>
      <x:c r="K264" t="str">
        <x:v>PC-00096</x:v>
      </x:c>
      <x:c r="L264" t="str">
        <x:v>Downstream Technology, Innovation &amp; Digital</x:v>
      </x:c>
      <x:c r="M264" t="str">
        <x:v>hafidah_yazam@petronas.com</x:v>
      </x:c>
      <x:c r="N264" t="str">
        <x:v>DownstreamEVP</x:v>
      </x:c>
      <x:c r="O264" t="str">
        <x:v>New</x:v>
      </x:c>
      <x:c r="P264" t="str">
        <x:v>SandboxPocIsolated</x:v>
      </x:c>
      <x:c r="Q264" t="str">
        <x:v>Sandbox environment for Downstream </x:v>
      </x:c>
      <x:c r="R264" t="str">
        <x:v>M</x:v>
      </x:c>
      <x:c r="S264"/>
      <x:c r="T264"/>
      <x:c r="U264" t="str">
        <x:v>Approved for Downstream usage.</x:v>
      </x:c>
      <x:c r="V264" t="n">
        <x:v>46248.10008804398</x:v>
      </x:c>
      <x:c r="W264" t="str">
        <x:v>hafidah_yazam@petronas.com</x:v>
      </x:c>
      <x:c r="X264" t="str">
        <x:v>approved</x:v>
      </x:c>
      <x:c r="Y264" t="str">
        <x:v>To comply with the Cloud Service Request and Provisioning Guideline v4.0, kindly provide the approved memo/approved email from the Business owner as supporting evidence.</x:v>
      </x:c>
      <x:c r="Z264" t="n">
        <x:v>46251.16482627315</x:v>
      </x:c>
      <x:c r="AA264" t="str">
        <x:v>samsuddin.jumbri@petronas.com</x:v>
      </x:c>
      <x:c r="AB264" t="str">
        <x:v>rejected</x:v>
      </x:c>
      <x:c r="AC264"/>
      <x:c r="AD264"/>
      <x:c r="AE264" t="str">
        <x:v>IMS - CLOUD CSSP REVIEWER</x:v>
      </x:c>
      <x:c r="AF264"/>
      <x:c r="AG264"/>
      <x:c r="AH264"/>
      <x:c r="AI264" t="str">
        <x:v>IMS - CLOUD CSSP EXECUTOR</x:v>
      </x:c>
      <x:c r="AJ264"/>
      <x:c r="AK264"/>
      <x:c r="AL264" t="str">
        <x:v>2f9598e5-fcd4-47e6-8380-a1fae67c87bb</x:v>
      </x:c>
      <x:c r="AM264" s="23" t="str">
        <x:f>IF(E264="processing",IF(Z264="","",IF(ISNUMBER(Z264),INT(Z264),DATE(VALUE(LEFT(Z264,4)),VALUE(MID(Z264,6,2)),VALUE(MID(Z264,9,2))))),IF(OR(E264="executing",E264="pending"),IF(AD264="","",IF(ISNUMBER(AD264),INT(AD264),DATE(VALUE(LEFT(AD264,4)),VALUE(MID(AD264,6,2)),VALUE(MID(AD264,9,2))))),""))</x:f>
      </x:c>
      <x:c r="AN264" s="24" t="str">
        <x:f>IF(AM264="","",INT('Configuration'!$B$4)-AM264)</x:f>
      </x:c>
      <x:c r="AO264" s="25" t="str">
        <x:f>IF(AM264="","Missing Required Date",IF(AN264&lt;0,"Future Date",IF(AN264=0,"0 days",IF(AN264&lt;=2,"1-2 days",IF(AN264&lt;=7,"3-7 days",IF(AN264&lt;=14,"8-14 days",IF(AN264&lt;=30,"15-30 days",IF(AN264&lt;=60,"31-60 days",IF(AN264&lt;=70,"61-70 days","71+ days")))))))))</x:f>
        <x:v>Missing Required Date</x:v>
      </x:c>
      <x:c r="AP264" s="25" t="str">
        <x:f>IF(OR(E264="processing",E264="executing",E264="pending"),IF(AM264="","Required aging date missing",IF(AN264&gt;30,"Escalate &gt;30d",IF(AN264&gt;14,"Watch &gt;14d","Within 14d"))),"Out of scope")</x:f>
        <x:v>Out of scope</x:v>
      </x:c>
    </x:row>
    <x:row r="265" ht="24" customHeight="1">
      <x:c r="A265" t="str">
        <x:v>a767aecf-2fb6-400d-980b-2583fb70ec7f</x:v>
      </x:c>
      <x:c r="B265" t="str">
        <x:v>CSSP10933294</x:v>
      </x:c>
      <x:c r="C265" t="str">
        <x:v>roslilawati.samsu@petronas.com</x:v>
      </x:c>
      <x:c r="D265" t="str">
        <x:v>provision-cloud-public</x:v>
      </x:c>
      <x:c r="E265" t="str">
        <x:v>processing</x:v>
      </x:c>
      <x:c r="F265" t="n">
        <x:v>46248.33679112269</x:v>
      </x:c>
      <x:c r="G265" t="n">
        <x:v>46248.33679112269</x:v>
      </x:c>
      <x:c r="H265" t="n">
        <x:v>46251.157290625</x:v>
      </x:c>
      <x:c r="I265" t="str">
        <x:v>A-000177</x:v>
      </x:c>
      <x:c r="J265" t="str">
        <x:v>Cyber Security SENTINEL</x:v>
      </x:c>
      <x:c r="K265" t="str">
        <x:v>SR26951</x:v>
      </x:c>
      <x:c r="L265" t="str">
        <x:v>Onboarding of Centralised Log Collector and Security Information &amp; Event Management (SIEM) for SETEL</x:v>
      </x:c>
      <x:c r="M265" t="str">
        <x:v>izayu.ismail@petronas.com.my</x:v>
      </x:c>
      <x:c r="N265" t="str">
        <x:v>SIEM for SETEL</x:v>
      </x:c>
      <x:c r="O265" t="str">
        <x:v>New</x:v>
      </x:c>
      <x:c r="P265" t="str">
        <x:v>Production</x:v>
      </x:c>
      <x:c r="Q265" t="str">
        <x:v>Centralised SIEM onboarding for SETEL Admin Portal and MongoDB -reprovisioning.</x:v>
      </x:c>
      <x:c r="R265" t="str">
        <x:v>S</x:v>
      </x:c>
      <x:c r="S265"/>
      <x:c r="T265"/>
      <x:c r="U265" t="str">
        <x:v>Project Initial Provisioning Request</x:v>
      </x:c>
      <x:c r="V265" t="n">
        <x:v>46251.09199498843</x:v>
      </x:c>
      <x:c r="W265" t="str">
        <x:v>izayu.ismail@petronas.com</x:v>
      </x:c>
      <x:c r="X265" t="str">
        <x:v>approved</x:v>
      </x:c>
      <x:c r="Y265" t="str">
        <x:v>Please consult Jismi Jesmani (CS/DIGITAL) for further clarification.</x:v>
      </x:c>
      <x:c r="Z265" t="n">
        <x:v>46251.15729063658</x:v>
      </x:c>
      <x:c r="AA265" t="str">
        <x:v>samsuddin.jumbri@petronas.com</x:v>
      </x:c>
      <x:c r="AB265" t="str">
        <x:v>approved</x:v>
      </x:c>
      <x:c r="AC265"/>
      <x:c r="AD265"/>
      <x:c r="AE265" t="str">
        <x:v>IMS - CLOUD CSSP REVIEWER</x:v>
      </x:c>
      <x:c r="AF265"/>
      <x:c r="AG265"/>
      <x:c r="AH265"/>
      <x:c r="AI265" t="str">
        <x:v>IMS - CLOUD CSSP EXECUTOR</x:v>
      </x:c>
      <x:c r="AJ265"/>
      <x:c r="AK265"/>
      <x:c r="AL265" t="str">
        <x:v>fcc5dfe6-9dcc-40fe-b4d4-3860a3180dfc</x:v>
      </x:c>
      <x:c r="AM265" s="23" t="n">
        <x:f>IF(E265="processing",IF(Z265="","",IF(ISNUMBER(Z265),INT(Z265),DATE(VALUE(LEFT(Z265,4)),VALUE(MID(Z265,6,2)),VALUE(MID(Z265,9,2))))),IF(OR(E265="executing",E265="pending"),IF(AD265="","",IF(ISNUMBER(AD265),INT(AD265),DATE(VALUE(LEFT(AD265,4)),VALUE(MID(AD265,6,2)),VALUE(MID(AD265,9,2))))),""))</x:f>
        <x:v>46251</x:v>
      </x:c>
      <x:c r="AN265" s="24" t="n">
        <x:f>IF(AM265="","",INT('Configuration'!$B$4)-AM265)</x:f>
        <x:v>0</x:v>
      </x:c>
      <x:c r="AO265" s="25" t="str">
        <x:f>IF(AM265="","Missing Required Date",IF(AN265&lt;0,"Future Date",IF(AN265=0,"0 days",IF(AN265&lt;=2,"1-2 days",IF(AN265&lt;=7,"3-7 days",IF(AN265&lt;=14,"8-14 days",IF(AN265&lt;=30,"15-30 days",IF(AN265&lt;=60,"31-60 days",IF(AN265&lt;=70,"61-70 days","71+ days")))))))))</x:f>
        <x:v>0 days</x:v>
      </x:c>
      <x:c r="AP265" s="25" t="str">
        <x:f>IF(OR(E265="processing",E265="executing",E265="pending"),IF(AM265="","Required aging date missing",IF(AN265&gt;30,"Escalate &gt;30d",IF(AN265&gt;14,"Watch &gt;14d","Within 14d"))),"Out of scope")</x:f>
        <x:v>Within 14d</x:v>
      </x:c>
    </x:row>
  </x:sheetData>
  <x:mergeCells>
    <x:mergeCell ref="A1:L1"/>
    <x:mergeCell ref="A2:L2"/>
    <x:mergeCell ref="A3:L3"/>
  </x:mergeCells>
  <x:conditionalFormatting sqref="AP5:AP265">
    <x:cfRule type="containsText" dxfId="3" priority="1" operator="containsText" text="Escalate"/>
    <x:cfRule type="containsText" dxfId="4" priority="2" operator="containsText" text="Watch"/>
    <x:cfRule type="containsText" dxfId="5" priority="3" operator="containsText" text="required"/>
  </x:conditionalFormatting>
  <x:pageMargins left="0.7" right="0.7" top="0.75" bottom="0.75" header="0.3" footer="0.3"/>
  <x:tableParts count="1">
    <x:tablePart xmlns:r="http://schemas.openxmlformats.org/officeDocument/2006/relationships" r:id="R7f7d4f1c9d274cd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7" hidden="0" customWidth="1"/>
    <x:col min="4" max="4" width="17" hidden="0" customWidth="1"/>
    <x:col min="5" max="5" width="17" hidden="0" customWidth="1"/>
    <x:col min="6" max="6" width="20" hidden="0" customWidth="1"/>
    <x:col min="7" max="7" width="20" hidden="0" customWidth="1"/>
    <x:col min="8" max="8" width="20" hidden="0" customWidth="1"/>
    <x:col min="9" max="9" width="26" hidden="0" customWidth="1"/>
    <x:col min="10" max="10" width="26" hidden="0" customWidth="1"/>
    <x:col min="11" max="11" width="26" hidden="0" customWidth="1"/>
    <x:col min="12" max="12" width="26" hidden="0" customWidth="1"/>
    <x:col min="42" max="42" width="19" hidden="0" customWidth="1"/>
    <x:col min="43" max="43" width="13" hidden="0" customWidth="1"/>
    <x:col min="44" max="44" width="22" hidden="0" customWidth="1"/>
    <x:col min="45" max="45" width="22" hidden="0" customWidth="1"/>
  </x:cols>
  <x:sheetData>
    <x:row r="1" ht="30" customHeight="1">
      <x:c r="A1" s="12" t="str">
        <x:v>DECOMMISSIONING — PREVIOUS DAY INPUT TABLE</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c r="AK1" s="12"/>
      <x:c r="AL1" s="12"/>
      <x:c r="AM1" s="12"/>
      <x:c r="AN1" s="12"/>
      <x:c r="AO1" s="12"/>
      <x:c r="AP1" s="12"/>
      <x:c r="AQ1" s="12"/>
      <x:c r="AR1" s="12"/>
      <x:c r="AS1" s="12"/>
    </x:row>
    <x:row r="2" ht="34" customHeight="1">
      <x:c r="A2" s="15" t="str">
        <x:v>Daily: clear only A5:AO5004, then paste source DATA ROWS at A5. Keep the header row and helper columns unchanged.</x:v>
      </x:c>
      <x:c r="B2" s="15"/>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c r="AQ2" s="15"/>
      <x:c r="AR2" s="15"/>
      <x:c r="AS2" s="15"/>
    </x:row>
    <x:row r="3">
      <x:c r="A3" s="17" t="str">
        <x:v>Sample source: CSSP-Decommisioning-1708.xlsx. Period: Previous Day. Summary supports up to 5000 rows.</x:v>
      </x:c>
      <x:c r="B3" s="17"/>
      <x:c r="C3" s="17"/>
      <x:c r="D3" s="17"/>
      <x:c r="E3" s="17"/>
      <x:c r="F3" s="17"/>
      <x:c r="G3" s="17"/>
      <x:c r="H3" s="17"/>
      <x:c r="I3" s="17"/>
      <x:c r="J3" s="17"/>
      <x:c r="K3" s="17"/>
      <x:c r="L3" s="17"/>
      <x:c r="M3" s="17"/>
      <x:c r="N3" s="17"/>
      <x:c r="O3" s="17"/>
      <x:c r="P3" s="17"/>
      <x:c r="Q3" s="17"/>
      <x:c r="R3" s="17"/>
      <x:c r="S3" s="17"/>
      <x:c r="T3" s="17"/>
      <x:c r="U3" s="17"/>
      <x:c r="V3" s="17"/>
      <x:c r="W3" s="17"/>
      <x:c r="X3" s="17"/>
      <x:c r="Y3" s="17"/>
      <x:c r="Z3" s="17"/>
      <x:c r="AA3" s="17"/>
      <x:c r="AB3" s="17"/>
      <x:c r="AC3" s="17"/>
      <x:c r="AD3" s="17"/>
      <x:c r="AE3" s="17"/>
      <x:c r="AF3" s="17"/>
      <x:c r="AG3" s="17"/>
      <x:c r="AH3" s="17"/>
      <x:c r="AI3" s="17"/>
      <x:c r="AJ3" s="17"/>
      <x:c r="AK3" s="17"/>
      <x:c r="AL3" s="17"/>
      <x:c r="AM3" s="17"/>
      <x:c r="AN3" s="17"/>
      <x:c r="AO3" s="17"/>
      <x:c r="AP3" s="17"/>
      <x:c r="AQ3" s="17"/>
      <x:c r="AR3" s="17"/>
      <x:c r="AS3" s="17"/>
    </x:row>
    <x:row r="4" ht="42" customHeight="1">
      <x:c r="A4" s="22" t="str">
        <x:v>id</x:v>
      </x:c>
      <x:c r="B4" s="22" t="str">
        <x:v>request_number</x:v>
      </x:c>
      <x:c r="C4" s="22" t="str">
        <x:v>requestor_id</x:v>
      </x:c>
      <x:c r="D4" s="22" t="str">
        <x:v>request_type</x:v>
      </x:c>
      <x:c r="E4" s="22" t="str">
        <x:v>request_status</x:v>
      </x:c>
      <x:c r="F4" s="22" t="str">
        <x:v>date_created</x:v>
      </x:c>
      <x:c r="G4" s="22" t="str">
        <x:v>date_updated</x:v>
      </x:c>
      <x:c r="H4" s="22" t="str">
        <x:v>date_submitted</x:v>
      </x:c>
      <x:c r="I4" s="22" t="str">
        <x:v>application_name</x:v>
      </x:c>
      <x:c r="J4" s="22" t="str">
        <x:v>project_name</x:v>
      </x:c>
      <x:c r="K4" s="22" t="str">
        <x:v>decommission_type</x:v>
      </x:c>
      <x:c r="L4" s="22" t="str">
        <x:v>powerapps_id</x:v>
      </x:c>
      <x:c r="M4" s="22" t="str">
        <x:v>manager_email</x:v>
      </x:c>
      <x:c r="N4" s="22" t="str">
        <x:v>dns_records</x:v>
      </x:c>
      <x:c r="O4" s="22" t="str">
        <x:v>app_centre_ref</x:v>
      </x:c>
      <x:c r="P4" s="22" t="str">
        <x:v>justification</x:v>
      </x:c>
      <x:c r="Q4" s="22" t="str">
        <x:v>backup</x:v>
      </x:c>
      <x:c r="R4" s="22" t="str">
        <x:v>reason</x:v>
      </x:c>
      <x:c r="S4" s="22" t="str">
        <x:v>origin</x:v>
      </x:c>
      <x:c r="T4" s="22" t="str">
        <x:v>gate_1_status</x:v>
      </x:c>
      <x:c r="U4" s="22" t="str">
        <x:v>gate_1_id</x:v>
      </x:c>
      <x:c r="V4" s="22" t="str">
        <x:v>gate_1_date</x:v>
      </x:c>
      <x:c r="W4" s="22" t="str">
        <x:v>gate_1_comments</x:v>
      </x:c>
      <x:c r="X4" s="22" t="str">
        <x:v>gate_2_status</x:v>
      </x:c>
      <x:c r="Y4" s="22" t="str">
        <x:v>gate_2_id</x:v>
      </x:c>
      <x:c r="Z4" s="22" t="str">
        <x:v>gate_2_date</x:v>
      </x:c>
      <x:c r="AA4" s="22" t="str">
        <x:v>gate_2_comments</x:v>
      </x:c>
      <x:c r="AB4" s="22" t="str">
        <x:v>gate_3_status</x:v>
      </x:c>
      <x:c r="AC4" s="22" t="str">
        <x:v>gate_3_id</x:v>
      </x:c>
      <x:c r="AD4" s="22" t="str">
        <x:v>gate_3_date</x:v>
      </x:c>
      <x:c r="AE4" s="22" t="str">
        <x:v>gate_3_comments</x:v>
      </x:c>
      <x:c r="AF4" s="22" t="str">
        <x:v>gate_4_status</x:v>
      </x:c>
      <x:c r="AG4" s="22" t="str">
        <x:v>gate_4_id</x:v>
      </x:c>
      <x:c r="AH4" s="22" t="str">
        <x:v>gate_4_date</x:v>
      </x:c>
      <x:c r="AI4" s="22" t="str">
        <x:v>gate_4_comments</x:v>
      </x:c>
      <x:c r="AJ4" s="22" t="str">
        <x:v>application_id</x:v>
      </x:c>
      <x:c r="AK4" s="22" t="str">
        <x:v>project_code</x:v>
      </x:c>
      <x:c r="AL4" s="22" t="str">
        <x:v>request_size</x:v>
      </x:c>
      <x:c r="AM4" s="22" t="str">
        <x:v>sr_number</x:v>
      </x:c>
      <x:c r="AN4" s="22" t="str">
        <x:v>data_retention</x:v>
      </x:c>
      <x:c r="AO4" s="22" t="str">
        <x:v>data_retention_duration</x:v>
      </x:c>
      <x:c r="AP4" s="22" t="str">
        <x:v>aging_start_date</x:v>
      </x:c>
      <x:c r="AQ4" s="22" t="str">
        <x:v>aging_days</x:v>
      </x:c>
      <x:c r="AR4" s="22" t="str">
        <x:v>aging_bucket</x:v>
      </x:c>
      <x:c r="AS4" s="22" t="str">
        <x:v>tracking_flag</x:v>
      </x:c>
    </x:row>
    <x:row r="5" ht="24" customHeight="1">
      <x:c r="A5" t="str">
        <x:v>6ef3ecb9-948b-4541-9e2a-8170c8b4d27d</x:v>
      </x:c>
      <x:c r="B5" t="str">
        <x:v>CSSP10149822</x:v>
      </x:c>
      <x:c r="C5" t="str">
        <x:v>maffendy.bobmazmi@petronas.com</x:v>
      </x:c>
      <x:c r="D5" t="str">
        <x:v>decommission-cloud</x:v>
      </x:c>
      <x:c r="E5" t="str">
        <x:v>rejected</x:v>
      </x:c>
      <x:c r="F5" t="str">
        <x:v>2025-04-09T03:59:01.573</x:v>
      </x:c>
      <x:c r="G5" t="n">
        <x:v>46121.16748142361</x:v>
      </x:c>
      <x:c r="H5" t="str">
        <x:v>2025-04-09T03:59:01.573</x:v>
      </x:c>
      <x:c r="I5" t="str">
        <x:v>Asset Integrity Database Axis</x:v>
      </x:c>
      <x:c r="J5" t="str">
        <x:v>NA</x:v>
      </x:c>
      <x:c r="K5"/>
      <x:c r="L5"/>
      <x:c r="M5" t="str">
        <x:v>CCoE Core Services (Private)</x:v>
      </x:c>
      <x:c r="N5" t="str">
        <x:v>https://aida.petronas.com</x:v>
      </x:c>
      <x:c r="O5" t="n">
        <x:v>2637</x:v>
      </x:c>
      <x:c r="P5" t="str">
        <x:v>Application no longer in use.</x:v>
      </x:c>
      <x:c r="Q5" t="str">
        <x:v>2W</x:v>
      </x:c>
      <x:c r="R5" t="str">
        <x:v>Obsolete</x:v>
      </x:c>
      <x:c r="S5" t="str">
        <x:v>cssp-v1</x:v>
      </x:c>
      <x:c r="T5" t="str">
        <x:v>approved</x:v>
      </x:c>
      <x:c r="U5" t="str">
        <x:v>maffendy.bobmazmi@petronas.com</x:v>
      </x:c>
      <x:c r="V5" t="str">
        <x:v>2025-04-09T03:59:01.573</x:v>
      </x:c>
      <x:c r="W5"/>
      <x:c r="X5" t="str">
        <x:v>rejected</x:v>
      </x:c>
      <x:c r="Y5" t="str">
        <x:v>huajin.tan@petronas.com</x:v>
      </x:c>
      <x:c r="Z5" t="n">
        <x:v>46121.167481435186</x:v>
      </x:c>
      <x:c r="AA5"/>
      <x:c r="AB5"/>
      <x:c r="AC5" t="str">
        <x:v>CCoE Core Services (Private)</x:v>
      </x:c>
      <x:c r="AD5"/>
      <x:c r="AE5"/>
      <x:c r="AF5"/>
      <x:c r="AG5" t="str">
        <x:v>CCoE Core Services (Private)</x:v>
      </x:c>
      <x:c r="AH5"/>
      <x:c r="AI5"/>
      <x:c r="AJ5"/>
      <x:c r="AK5"/>
      <x:c r="AL5"/>
      <x:c r="AM5"/>
      <x:c r="AN5"/>
      <x:c r="AO5"/>
      <x:c r="AP5" s="23" t="str">
        <x:f>IF(E5="processing",IF(Z5="","",IF(ISNUMBER(Z5),INT(Z5),DATE(VALUE(LEFT(Z5,4)),VALUE(MID(Z5,6,2)),VALUE(MID(Z5,9,2))))),IF(OR(E5="executing",E5="pending"),IF(AD5="","",IF(ISNUMBER(AD5),INT(AD5),DATE(VALUE(LEFT(AD5,4)),VALUE(MID(AD5,6,2)),VALUE(MID(AD5,9,2))))),""))</x:f>
      </x:c>
      <x:c r="AQ5" s="24" t="str">
        <x:f>IF(AP5="","",INT('Configuration'!$B$4)-AP5)</x:f>
      </x:c>
      <x:c r="AR5" s="25" t="str">
        <x:f>IF(AP5="","Missing Required Date",IF(AQ5&lt;0,"Future Date",IF(AQ5=0,"0 days",IF(AQ5&lt;=2,"1-2 days",IF(AQ5&lt;=7,"3-7 days",IF(AQ5&lt;=14,"8-14 days",IF(AQ5&lt;=30,"15-30 days",IF(AQ5&lt;=60,"31-60 days",IF(AQ5&lt;=70,"61-70 days","71+ days")))))))))</x:f>
        <x:v>Missing Required Date</x:v>
      </x:c>
      <x:c r="AS5" s="25" t="str">
        <x:f>IF(OR(E5="processing",E5="executing",E5="pending"),IF(AP5="","Required aging date missing",IF(AQ5&gt;30,"Escalate &gt;30d",IF(AQ5&gt;14,"Watch &gt;14d","Within 14d"))),"Out of scope")</x:f>
        <x:v>Out of scope</x:v>
      </x:c>
    </x:row>
    <x:row r="6" ht="24" customHeight="1">
      <x:c r="A6" t="str">
        <x:v>8bc99c2f-ccb7-4219-b8be-9e0c4b545b00</x:v>
      </x:c>
      <x:c r="B6" t="str">
        <x:v>CSSP10864680</x:v>
      </x:c>
      <x:c r="C6" t="str">
        <x:v>zahar.ismail@petronas.com</x:v>
      </x:c>
      <x:c r="D6" t="str">
        <x:v>decommission-cloud</x:v>
      </x:c>
      <x:c r="E6" t="str">
        <x:v>rejected</x:v>
      </x:c>
      <x:c r="F6" t="n">
        <x:v>45827.26094421296</x:v>
      </x:c>
      <x:c r="G6" t="n">
        <x:v>46050.08617072917</x:v>
      </x:c>
      <x:c r="H6" t="n">
        <x:v>45827.26094421296</x:v>
      </x:c>
      <x:c r="I6" t="str">
        <x:v>Integrated Project Monitoring &amp; Performance Tracking (i-PROMPT)</x:v>
      </x:c>
      <x:c r="J6" t="str">
        <x:v>Enhancement of Integrated Project Monitoring &amp; Performance Tracking (i-PROMPT), Phase 2 for Malaysia Petroleum Management (MPM)</x:v>
      </x:c>
      <x:c r="K6" t="str">
        <x:v>partial</x:v>
      </x:c>
      <x:c r="L6"/>
      <x:c r="M6" t="str">
        <x:v>karlai.foong@petronas.com.my</x:v>
      </x:c>
      <x:c r="N6"/>
      <x:c r="O6"/>
      <x:c r="P6" t="str">
        <x:v>Service Retirement : TLS 1.0 and 1.1
To decomm Resource Group iPrompt D365
ptazsg-dev-ipms-rg
ptazsg-prod-ipms-rg
</x:v>
      </x:c>
      <x:c r="Q6" t="str">
        <x:v>12M</x:v>
      </x:c>
      <x:c r="R6" t="str">
        <x:v>Obsolete</x:v>
      </x:c>
      <x:c r="S6"/>
      <x:c r="T6" t="str">
        <x:v>approved</x:v>
      </x:c>
      <x:c r="U6" t="str">
        <x:v>zahar.ismail@petronas.com</x:v>
      </x:c>
      <x:c r="V6" t="n">
        <x:v>45827.26497344908</x:v>
      </x:c>
      <x:c r="W6" t="str">
        <x:v>iPrompt D365 is no longer in used. In the process of decommission.</x:v>
      </x:c>
      <x:c r="X6" t="str">
        <x:v>rejected</x:v>
      </x:c>
      <x:c r="Y6" t="str">
        <x:v>azwan.badari@petronas.com</x:v>
      </x:c>
      <x:c r="Z6" t="n">
        <x:v>46050.08617074074</x:v>
      </x:c>
      <x:c r="AA6" t="str">
        <x:v>Please cancel if this request is no longer required.</x:v>
      </x:c>
      <x:c r="AB6"/>
      <x:c r="AC6" t="str">
        <x:v>CCoE Business</x:v>
      </x:c>
      <x:c r="AD6"/>
      <x:c r="AE6"/>
      <x:c r="AF6"/>
      <x:c r="AG6" t="str">
        <x:v>CCoE Operations</x:v>
      </x:c>
      <x:c r="AH6"/>
      <x:c r="AI6"/>
      <x:c r="AJ6" t="str">
        <x:v>A-000399</x:v>
      </x:c>
      <x:c r="AK6" t="n">
        <x:v>2894</x:v>
      </x:c>
      <x:c r="AL6"/>
      <x:c r="AM6"/>
      <x:c r="AN6"/>
      <x:c r="AO6"/>
      <x:c r="AP6" s="23" t="str">
        <x:f>IF(E6="processing",IF(Z6="","",IF(ISNUMBER(Z6),INT(Z6),DATE(VALUE(LEFT(Z6,4)),VALUE(MID(Z6,6,2)),VALUE(MID(Z6,9,2))))),IF(OR(E6="executing",E6="pending"),IF(AD6="","",IF(ISNUMBER(AD6),INT(AD6),DATE(VALUE(LEFT(AD6,4)),VALUE(MID(AD6,6,2)),VALUE(MID(AD6,9,2))))),""))</x:f>
      </x:c>
      <x:c r="AQ6" s="24" t="str">
        <x:f>IF(AP6="","",INT('Configuration'!$B$4)-AP6)</x:f>
      </x:c>
      <x:c r="AR6" s="25" t="str">
        <x:f>IF(AP6="","Missing Required Date",IF(AQ6&lt;0,"Future Date",IF(AQ6=0,"0 days",IF(AQ6&lt;=2,"1-2 days",IF(AQ6&lt;=7,"3-7 days",IF(AQ6&lt;=14,"8-14 days",IF(AQ6&lt;=30,"15-30 days",IF(AQ6&lt;=60,"31-60 days",IF(AQ6&lt;=70,"61-70 days","71+ days")))))))))</x:f>
        <x:v>Missing Required Date</x:v>
      </x:c>
      <x:c r="AS6" s="25" t="str">
        <x:f>IF(OR(E6="processing",E6="executing",E6="pending"),IF(AP6="","Required aging date missing",IF(AQ6&gt;30,"Escalate &gt;30d",IF(AQ6&gt;14,"Watch &gt;14d","Within 14d"))),"Out of scope")</x:f>
        <x:v>Out of scope</x:v>
      </x:c>
    </x:row>
    <x:row r="7" ht="24" customHeight="1">
      <x:c r="A7" t="str">
        <x:v>ec7f5c14-eb0e-42b7-b177-cff3ae2fea77</x:v>
      </x:c>
      <x:c r="B7" t="str">
        <x:v>CSSP10929930</x:v>
      </x:c>
      <x:c r="C7" t="str">
        <x:v>marcus.leongkahsung@petronas.com</x:v>
      </x:c>
      <x:c r="D7" t="str">
        <x:v>decommission-cloud</x:v>
      </x:c>
      <x:c r="E7" t="str">
        <x:v>cancelled</x:v>
      </x:c>
      <x:c r="F7" t="n">
        <x:v>45876.22169540509</x:v>
      </x:c>
      <x:c r="G7" t="n">
        <x:v>46050.0882481713</x:v>
      </x:c>
      <x:c r="H7" t="n">
        <x:v>45876.22169540509</x:v>
      </x:c>
      <x:c r="I7" t="str">
        <x:v>MyMinutes</x:v>
      </x:c>
      <x:c r="J7" t="str">
        <x:v>Project Implementation of myMinutes in Azure under myFinder OPSR</x:v>
      </x:c>
      <x:c r="K7" t="str">
        <x:v>partial</x:v>
      </x:c>
      <x:c r="L7"/>
      <x:c r="M7" t="str">
        <x:v>mfaizal.sidek@petronas.com.my</x:v>
      </x:c>
      <x:c r="N7"/>
      <x:c r="O7"/>
      <x:c r="P7" t="str">
        <x:v>no longer required</x:v>
      </x:c>
      <x:c r="Q7" t="str">
        <x:v>2W</x:v>
      </x:c>
      <x:c r="R7" t="str">
        <x:v>Not in Used</x:v>
      </x:c>
      <x:c r="S7"/>
      <x:c r="T7" t="str">
        <x:v>rejected</x:v>
      </x:c>
      <x:c r="U7" t="str">
        <x:v>azwan.badari@petronas.com</x:v>
      </x:c>
      <x:c r="V7" t="n">
        <x:v>46050.0882481713</x:v>
      </x:c>
      <x:c r="W7"/>
      <x:c r="X7"/>
      <x:c r="Y7" t="str">
        <x:v>mfaizal.sidek@petronas.com</x:v>
      </x:c>
      <x:c r="Z7"/>
      <x:c r="AA7"/>
      <x:c r="AB7"/>
      <x:c r="AC7" t="str">
        <x:v>CCoE Business</x:v>
      </x:c>
      <x:c r="AD7"/>
      <x:c r="AE7"/>
      <x:c r="AF7"/>
      <x:c r="AG7" t="str">
        <x:v>CCoE Operations</x:v>
      </x:c>
      <x:c r="AH7"/>
      <x:c r="AI7"/>
      <x:c r="AJ7" t="str">
        <x:v>A-000487</x:v>
      </x:c>
      <x:c r="AK7" t="str">
        <x:v>PSR05071_1</x:v>
      </x:c>
      <x:c r="AL7"/>
      <x:c r="AM7"/>
      <x:c r="AN7"/>
      <x:c r="AO7"/>
      <x:c r="AP7" s="23" t="str">
        <x:f>IF(E7="processing",IF(Z7="","",IF(ISNUMBER(Z7),INT(Z7),DATE(VALUE(LEFT(Z7,4)),VALUE(MID(Z7,6,2)),VALUE(MID(Z7,9,2))))),IF(OR(E7="executing",E7="pending"),IF(AD7="","",IF(ISNUMBER(AD7),INT(AD7),DATE(VALUE(LEFT(AD7,4)),VALUE(MID(AD7,6,2)),VALUE(MID(AD7,9,2))))),""))</x:f>
      </x:c>
      <x:c r="AQ7" s="24" t="str">
        <x:f>IF(AP7="","",INT('Configuration'!$B$4)-AP7)</x:f>
      </x:c>
      <x:c r="AR7" s="25" t="str">
        <x:f>IF(AP7="","Missing Required Date",IF(AQ7&lt;0,"Future Date",IF(AQ7=0,"0 days",IF(AQ7&lt;=2,"1-2 days",IF(AQ7&lt;=7,"3-7 days",IF(AQ7&lt;=14,"8-14 days",IF(AQ7&lt;=30,"15-30 days",IF(AQ7&lt;=60,"31-60 days",IF(AQ7&lt;=70,"61-70 days","71+ days")))))))))</x:f>
        <x:v>Missing Required Date</x:v>
      </x:c>
      <x:c r="AS7" s="25" t="str">
        <x:f>IF(OR(E7="processing",E7="executing",E7="pending"),IF(AP7="","Required aging date missing",IF(AQ7&gt;30,"Escalate &gt;30d",IF(AQ7&gt;14,"Watch &gt;14d","Within 14d"))),"Out of scope")</x:f>
        <x:v>Out of scope</x:v>
      </x:c>
    </x:row>
    <x:row r="8" ht="24" customHeight="1">
      <x:c r="A8" t="str">
        <x:v>cf939f0d-e824-462f-ba3a-778ac45e27f7</x:v>
      </x:c>
      <x:c r="B8" t="str">
        <x:v>CSSP10288728</x:v>
      </x:c>
      <x:c r="C8" t="str">
        <x:v>engken.choo@petronas.com</x:v>
      </x:c>
      <x:c r="D8" t="str">
        <x:v>decommission-cloud</x:v>
      </x:c>
      <x:c r="E8" t="str">
        <x:v>rejected</x:v>
      </x:c>
      <x:c r="F8" t="n">
        <x:v>45881.272974085645</x:v>
      </x:c>
      <x:c r="G8" t="n">
        <x:v>46050.08747378472</x:v>
      </x:c>
      <x:c r="H8" t="n">
        <x:v>45881.28451481481</x:v>
      </x:c>
      <x:c r="I8" t="str">
        <x:v>Integrated Process Safety System (IPSS)</x:v>
      </x:c>
      <x:c r="J8" t="str">
        <x:v>Enhancement of Integrated Process Safety Solution (IPSS)</x:v>
      </x:c>
      <x:c r="K8" t="str">
        <x:v>partial</x:v>
      </x:c>
      <x:c r="L8"/>
      <x:c r="M8" t="str">
        <x:v>bryan.dewitt@petronas.com.my</x:v>
      </x:c>
      <x:c r="N8" t="str">
        <x:v>hsseipssqa.petronas.com, apihsseipssqa.petronas.com</x:v>
      </x:c>
      <x:c r="O8"/>
      <x:c r="P8" t="str">
        <x:v>the website is no longer required
hsseipssqa.petronas.com
apihsseipssqa.petronas.com</x:v>
      </x:c>
      <x:c r="Q8" t="str">
        <x:v>2W</x:v>
      </x:c>
      <x:c r="R8" t="str">
        <x:v>Not in Used</x:v>
      </x:c>
      <x:c r="S8"/>
      <x:c r="T8" t="str">
        <x:v>approved</x:v>
      </x:c>
      <x:c r="U8" t="str">
        <x:v>engken.choo@petronas.com</x:v>
      </x:c>
      <x:c r="V8" t="n">
        <x:v>45881.28624810185</x:v>
      </x:c>
      <x:c r="W8" t="str">
        <x:v>The following websites are no longer required: 
hsseipssqa.petronas.com and apihsseipssqa.petronas.com. 
Therefore, there is no need to renew their SSL certificates</x:v>
      </x:c>
      <x:c r="X8" t="str">
        <x:v>rejected</x:v>
      </x:c>
      <x:c r="Y8" t="str">
        <x:v>azwan.badari@petronas.com</x:v>
      </x:c>
      <x:c r="Z8" t="n">
        <x:v>46050.087473796295</x:v>
      </x:c>
      <x:c r="AA8" t="str">
        <x:v>Please cancel if this request is no longer required.</x:v>
      </x:c>
      <x:c r="AB8"/>
      <x:c r="AC8" t="str">
        <x:v>CCoE Business</x:v>
      </x:c>
      <x:c r="AD8"/>
      <x:c r="AE8"/>
      <x:c r="AF8"/>
      <x:c r="AG8" t="str">
        <x:v>CCoE Business</x:v>
      </x:c>
      <x:c r="AH8"/>
      <x:c r="AI8"/>
      <x:c r="AJ8" t="str">
        <x:v>A-000401</x:v>
      </x:c>
      <x:c r="AK8" t="n">
        <x:v>3020</x:v>
      </x:c>
      <x:c r="AL8"/>
      <x:c r="AM8"/>
      <x:c r="AN8"/>
      <x:c r="AO8"/>
      <x:c r="AP8" s="23" t="str">
        <x:f>IF(E8="processing",IF(Z8="","",IF(ISNUMBER(Z8),INT(Z8),DATE(VALUE(LEFT(Z8,4)),VALUE(MID(Z8,6,2)),VALUE(MID(Z8,9,2))))),IF(OR(E8="executing",E8="pending"),IF(AD8="","",IF(ISNUMBER(AD8),INT(AD8),DATE(VALUE(LEFT(AD8,4)),VALUE(MID(AD8,6,2)),VALUE(MID(AD8,9,2))))),""))</x:f>
      </x:c>
      <x:c r="AQ8" s="24" t="str">
        <x:f>IF(AP8="","",INT('Configuration'!$B$4)-AP8)</x:f>
      </x:c>
      <x:c r="AR8" s="25" t="str">
        <x:f>IF(AP8="","Missing Required Date",IF(AQ8&lt;0,"Future Date",IF(AQ8=0,"0 days",IF(AQ8&lt;=2,"1-2 days",IF(AQ8&lt;=7,"3-7 days",IF(AQ8&lt;=14,"8-14 days",IF(AQ8&lt;=30,"15-30 days",IF(AQ8&lt;=60,"31-60 days",IF(AQ8&lt;=70,"61-70 days","71+ days")))))))))</x:f>
        <x:v>Missing Required Date</x:v>
      </x:c>
      <x:c r="AS8" s="25" t="str">
        <x:f>IF(OR(E8="processing",E8="executing",E8="pending"),IF(AP8="","Required aging date missing",IF(AQ8&gt;30,"Escalate &gt;30d",IF(AQ8&gt;14,"Watch &gt;14d","Within 14d"))),"Out of scope")</x:f>
        <x:v>Out of scope</x:v>
      </x:c>
    </x:row>
    <x:row r="9" ht="24" customHeight="1">
      <x:c r="A9" t="str">
        <x:v>112a04b8-d292-413d-b6f2-5f78833e3d93</x:v>
      </x:c>
      <x:c r="B9" t="str">
        <x:v>CSSP10737090</x:v>
      </x:c>
      <x:c r="C9" t="str">
        <x:v>vu.bui@petronas.com</x:v>
      </x:c>
      <x:c r="D9" t="str">
        <x:v>decommission-cloud</x:v>
      </x:c>
      <x:c r="E9" t="str">
        <x:v>rejected</x:v>
      </x:c>
      <x:c r="F9" t="n">
        <x:v>45918.15324319444</x:v>
      </x:c>
      <x:c r="G9" t="n">
        <x:v>46050.08263844907</x:v>
      </x:c>
      <x:c r="H9" t="n">
        <x:v>45918.15324319444</x:v>
      </x:c>
      <x:c r="I9" t="str">
        <x:v>PETRONAS HSSE Incident Management System</x:v>
      </x:c>
      <x:c r="J9" t="str">
        <x:v>HSSE Incident Management System (HSSE IM) 6.0 Enhancement</x:v>
      </x:c>
      <x:c r="K9" t="str">
        <x:v>partial</x:v>
      </x:c>
      <x:c r="L9"/>
      <x:c r="M9" t="str">
        <x:v>mfadhlulwafi.mahadi@petronas.com</x:v>
      </x:c>
      <x:c r="N9"/>
      <x:c r="O9"/>
      <x:c r="P9" t="str">
        <x:v>This is resource need decommissioning
https://portal.azure.com/#@PETRONAS.onmicrosoft.com/resource/subscriptions/2be5068f-e0ac-4d57-aedc-96bc9798a265/resourceGroups/PTAZSG-IAC-DEV-MYHSSE-RG/providers/Microsoft.Web/sites/ptazsg-5myhsseimwb01/appServices</x:v>
      </x:c>
      <x:c r="Q9" t="str">
        <x:v>2W</x:v>
      </x:c>
      <x:c r="R9" t="str">
        <x:v>Not in Used</x:v>
      </x:c>
      <x:c r="S9"/>
      <x:c r="T9" t="str">
        <x:v>approved</x:v>
      </x:c>
      <x:c r="U9" t="str">
        <x:v>vu.bui@petronas.com</x:v>
      </x:c>
      <x:c r="V9" t="n">
        <x:v>45918.15614907407</x:v>
      </x:c>
      <x:c r="W9" t="str">
        <x:v>This is resource need decommissioning https://portal.azure.com/#@PETRONAS.onmicrosoft.com/resource/subscriptions/2be5068f-e0ac-4d57-aedc-96bc9798a265/resourceGroups/PTAZSG-IAC-DEV-MYHSSE-RG/providers/Microsoft.Web/sites/ptazsg-5myhsseimwb01/appServices</x:v>
      </x:c>
      <x:c r="X9" t="str">
        <x:v>rejected</x:v>
      </x:c>
      <x:c r="Y9" t="str">
        <x:v>azwan.badari@petronas.com</x:v>
      </x:c>
      <x:c r="Z9" t="n">
        <x:v>46050.08263846065</x:v>
      </x:c>
      <x:c r="AA9" t="str">
        <x:v>Please cancel and resubmit if still require to decommission the resources. Please select the correct project code related to the resources.</x:v>
      </x:c>
      <x:c r="AB9"/>
      <x:c r="AC9" t="str">
        <x:v>CCoE Business</x:v>
      </x:c>
      <x:c r="AD9"/>
      <x:c r="AE9"/>
      <x:c r="AF9"/>
      <x:c r="AG9" t="str">
        <x:v>CCoE Operations</x:v>
      </x:c>
      <x:c r="AH9"/>
      <x:c r="AI9"/>
      <x:c r="AJ9" t="str">
        <x:v>A-000388</x:v>
      </x:c>
      <x:c r="AK9" t="n">
        <x:v>4129</x:v>
      </x:c>
      <x:c r="AL9"/>
      <x:c r="AM9"/>
      <x:c r="AN9"/>
      <x:c r="AO9"/>
      <x:c r="AP9" s="23" t="str">
        <x:f>IF(E9="processing",IF(Z9="","",IF(ISNUMBER(Z9),INT(Z9),DATE(VALUE(LEFT(Z9,4)),VALUE(MID(Z9,6,2)),VALUE(MID(Z9,9,2))))),IF(OR(E9="executing",E9="pending"),IF(AD9="","",IF(ISNUMBER(AD9),INT(AD9),DATE(VALUE(LEFT(AD9,4)),VALUE(MID(AD9,6,2)),VALUE(MID(AD9,9,2))))),""))</x:f>
      </x:c>
      <x:c r="AQ9" s="24" t="str">
        <x:f>IF(AP9="","",INT('Configuration'!$B$4)-AP9)</x:f>
      </x:c>
      <x:c r="AR9" s="25" t="str">
        <x:f>IF(AP9="","Missing Required Date",IF(AQ9&lt;0,"Future Date",IF(AQ9=0,"0 days",IF(AQ9&lt;=2,"1-2 days",IF(AQ9&lt;=7,"3-7 days",IF(AQ9&lt;=14,"8-14 days",IF(AQ9&lt;=30,"15-30 days",IF(AQ9&lt;=60,"31-60 days",IF(AQ9&lt;=70,"61-70 days","71+ days")))))))))</x:f>
        <x:v>Missing Required Date</x:v>
      </x:c>
      <x:c r="AS9" s="25" t="str">
        <x:f>IF(OR(E9="processing",E9="executing",E9="pending"),IF(AP9="","Required aging date missing",IF(AQ9&gt;30,"Escalate &gt;30d",IF(AQ9&gt;14,"Watch &gt;14d","Within 14d"))),"Out of scope")</x:f>
        <x:v>Out of scope</x:v>
      </x:c>
    </x:row>
    <x:row r="10" ht="24" customHeight="1">
      <x:c r="A10" t="str">
        <x:v>81f1d54a-21c5-4b45-b1b2-33b4f09c674d</x:v>
      </x:c>
      <x:c r="B10" t="str">
        <x:v>CSSP10998132</x:v>
      </x:c>
      <x:c r="C10" t="str">
        <x:v>ismail.azman@petronas.com</x:v>
      </x:c>
      <x:c r="D10" t="str">
        <x:v>decommission-cloud</x:v>
      </x:c>
      <x:c r="E10" t="str">
        <x:v>cancelled</x:v>
      </x:c>
      <x:c r="F10" t="n">
        <x:v>45933.33272193287</x:v>
      </x:c>
      <x:c r="G10" t="n">
        <x:v>46050.07927552083</x:v>
      </x:c>
      <x:c r="H10" t="n">
        <x:v>45933.33272193287</x:v>
      </x:c>
      <x:c r="I10" t="str">
        <x:v>Sitecom / Real time Operation - RTO</x:v>
      </x:c>
      <x:c r="J10" t="str">
        <x:v>SecOps of Development (Dev.) Chapter for Upstream Technology, Digital &amp; Innovation</x:v>
      </x:c>
      <x:c r="K10" t="str">
        <x:v>partial</x:v>
      </x:c>
      <x:c r="L10"/>
      <x:c r="M10" t="str">
        <x:v>ismail.azman@petronas.com</x:v>
      </x:c>
      <x:c r="N10" t="str">
        <x:v>Na</x:v>
      </x:c>
      <x:c r="O10" t="str">
        <x:v>NA</x:v>
      </x:c>
      <x:c r="P10" t="str">
        <x:v>Test requests CSSP</x:v>
      </x:c>
      <x:c r="Q10" t="str">
        <x:v>2W</x:v>
      </x:c>
      <x:c r="R10" t="str">
        <x:v>Not in Used</x:v>
      </x:c>
      <x:c r="S10"/>
      <x:c r="T10" t="str">
        <x:v>rejected</x:v>
      </x:c>
      <x:c r="U10" t="str">
        <x:v>azwan.badari@petronas.com</x:v>
      </x:c>
      <x:c r="V10" t="n">
        <x:v>46050.07927553241</x:v>
      </x:c>
      <x:c r="W10" t="str">
        <x:v>Not required</x:v>
      </x:c>
      <x:c r="X10"/>
      <x:c r="Y10" t="str">
        <x:v>ismail.azman@petronas.com</x:v>
      </x:c>
      <x:c r="Z10"/>
      <x:c r="AA10"/>
      <x:c r="AB10"/>
      <x:c r="AC10" t="str">
        <x:v>CCoE Business</x:v>
      </x:c>
      <x:c r="AD10"/>
      <x:c r="AE10"/>
      <x:c r="AF10"/>
      <x:c r="AG10" t="str">
        <x:v>CCoE Operations</x:v>
      </x:c>
      <x:c r="AH10"/>
      <x:c r="AI10"/>
      <x:c r="AJ10" t="str">
        <x:v>A-000766</x:v>
      </x:c>
      <x:c r="AK10" t="n">
        <x:v>4064</x:v>
      </x:c>
      <x:c r="AL10"/>
      <x:c r="AM10"/>
      <x:c r="AN10"/>
      <x:c r="AO10"/>
      <x:c r="AP10" s="23" t="str">
        <x:f>IF(E10="processing",IF(Z10="","",IF(ISNUMBER(Z10),INT(Z10),DATE(VALUE(LEFT(Z10,4)),VALUE(MID(Z10,6,2)),VALUE(MID(Z10,9,2))))),IF(OR(E10="executing",E10="pending"),IF(AD10="","",IF(ISNUMBER(AD10),INT(AD10),DATE(VALUE(LEFT(AD10,4)),VALUE(MID(AD10,6,2)),VALUE(MID(AD10,9,2))))),""))</x:f>
      </x:c>
      <x:c r="AQ10" s="24" t="str">
        <x:f>IF(AP10="","",INT('Configuration'!$B$4)-AP10)</x:f>
      </x:c>
      <x:c r="AR10" s="25" t="str">
        <x:f>IF(AP10="","Missing Required Date",IF(AQ10&lt;0,"Future Date",IF(AQ10=0,"0 days",IF(AQ10&lt;=2,"1-2 days",IF(AQ10&lt;=7,"3-7 days",IF(AQ10&lt;=14,"8-14 days",IF(AQ10&lt;=30,"15-30 days",IF(AQ10&lt;=60,"31-60 days",IF(AQ10&lt;=70,"61-70 days","71+ days")))))))))</x:f>
        <x:v>Missing Required Date</x:v>
      </x:c>
      <x:c r="AS10" s="25" t="str">
        <x:f>IF(OR(E10="processing",E10="executing",E10="pending"),IF(AP10="","Required aging date missing",IF(AQ10&gt;30,"Escalate &gt;30d",IF(AQ10&gt;14,"Watch &gt;14d","Within 14d"))),"Out of scope")</x:f>
        <x:v>Out of scope</x:v>
      </x:c>
    </x:row>
    <x:row r="11" ht="24" customHeight="1">
      <x:c r="A11" t="str">
        <x:v>a8a5792f-a50e-47df-8ad4-b7b033a505c7</x:v>
      </x:c>
      <x:c r="B11" t="str">
        <x:v>CSSP10613042</x:v>
      </x:c>
      <x:c r="C11" t="str">
        <x:v>syafiqfathyamer.moh@petronas.com</x:v>
      </x:c>
      <x:c r="D11" t="str">
        <x:v>decommission-cloud</x:v>
      </x:c>
      <x:c r="E11" t="str">
        <x:v>rejected</x:v>
      </x:c>
      <x:c r="F11" t="n">
        <x:v>45945.38449571759</x:v>
      </x:c>
      <x:c r="G11" t="n">
        <x:v>46139.10167107639</x:v>
      </x:c>
      <x:c r="H11" t="n">
        <x:v>45945.38449571759</x:v>
      </x:c>
      <x:c r="I11" t="str">
        <x:v>PIVOT AA FeedProp</x:v>
      </x:c>
      <x:c r="J11" t="str">
        <x:v>Implementation of PIVOT AA FeedProp Phase 2</x:v>
      </x:c>
      <x:c r="K11" t="str">
        <x:v>partial</x:v>
      </x:c>
      <x:c r="L11"/>
      <x:c r="M11" t="str">
        <x:v>sunny.khiani@petronas.com.my</x:v>
      </x:c>
      <x:c r="N11"/>
      <x:c r="O11"/>
      <x:c r="P11" t="str">
        <x:v>Decommission leftover infrastructure.</x:v>
      </x:c>
      <x:c r="Q11" t="str">
        <x:v>1M</x:v>
      </x:c>
      <x:c r="R11" t="str">
        <x:v>Not in Used</x:v>
      </x:c>
      <x:c r="S11"/>
      <x:c r="T11" t="str">
        <x:v>approved</x:v>
      </x:c>
      <x:c r="U11" t="str">
        <x:v>sunny.khiani@petronas.com</x:v>
      </x:c>
      <x:c r="V11" t="n">
        <x:v>46136.17888002315</x:v>
      </x:c>
      <x:c r="W11" t="str">
        <x:v>approved</x:v>
      </x:c>
      <x:c r="X11" t="str">
        <x:v>approved</x:v>
      </x:c>
      <x:c r="Y11" t="str">
        <x:v>sunny.khiani@petronas.com</x:v>
      </x:c>
      <x:c r="Z11" t="n">
        <x:v>46136.179360925926</x:v>
      </x:c>
      <x:c r="AA11" t="str">
        <x:v>approved </x:v>
      </x:c>
      <x:c r="AB11" t="str">
        <x:v>rejected</x:v>
      </x:c>
      <x:c r="AC11" t="str">
        <x:v>azwan.badari@petronas.com</x:v>
      </x:c>
      <x:c r="AD11" t="n">
        <x:v>46139.10167108796</x:v>
      </x:c>
      <x:c r="AE11" t="str">
        <x:v>Rejected because no resources to be decommissioned has been selected and no approval been attached. </x:v>
      </x:c>
      <x:c r="AF11"/>
      <x:c r="AG11" t="str">
        <x:v>CCoE Operations</x:v>
      </x:c>
      <x:c r="AH11"/>
      <x:c r="AI11"/>
      <x:c r="AJ11" t="str">
        <x:v>A-000607</x:v>
      </x:c>
      <x:c r="AK11" t="n">
        <x:v>1221</x:v>
      </x:c>
      <x:c r="AL11"/>
      <x:c r="AM11"/>
      <x:c r="AN11"/>
      <x:c r="AO11"/>
      <x:c r="AP11" s="23" t="str">
        <x:f>IF(E11="processing",IF(Z11="","",IF(ISNUMBER(Z11),INT(Z11),DATE(VALUE(LEFT(Z11,4)),VALUE(MID(Z11,6,2)),VALUE(MID(Z11,9,2))))),IF(OR(E11="executing",E11="pending"),IF(AD11="","",IF(ISNUMBER(AD11),INT(AD11),DATE(VALUE(LEFT(AD11,4)),VALUE(MID(AD11,6,2)),VALUE(MID(AD11,9,2))))),""))</x:f>
      </x:c>
      <x:c r="AQ11" s="24" t="str">
        <x:f>IF(AP11="","",INT('Configuration'!$B$4)-AP11)</x:f>
      </x:c>
      <x:c r="AR11" s="25" t="str">
        <x:f>IF(AP11="","Missing Required Date",IF(AQ11&lt;0,"Future Date",IF(AQ11=0,"0 days",IF(AQ11&lt;=2,"1-2 days",IF(AQ11&lt;=7,"3-7 days",IF(AQ11&lt;=14,"8-14 days",IF(AQ11&lt;=30,"15-30 days",IF(AQ11&lt;=60,"31-60 days",IF(AQ11&lt;=70,"61-70 days","71+ days")))))))))</x:f>
        <x:v>Missing Required Date</x:v>
      </x:c>
      <x:c r="AS11" s="25" t="str">
        <x:f>IF(OR(E11="processing",E11="executing",E11="pending"),IF(AP11="","Required aging date missing",IF(AQ11&gt;30,"Escalate &gt;30d",IF(AQ11&gt;14,"Watch &gt;14d","Within 14d"))),"Out of scope")</x:f>
        <x:v>Out of scope</x:v>
      </x:c>
    </x:row>
    <x:row r="12" ht="24" customHeight="1">
      <x:c r="A12" t="str">
        <x:v>0daf85c0-fa94-4cfa-83fb-50b5382fa146</x:v>
      </x:c>
      <x:c r="B12" t="str">
        <x:v>CSSP10685915</x:v>
      </x:c>
      <x:c r="C12" t="str">
        <x:v>syafiqfathyamer.moh@petronas.com</x:v>
      </x:c>
      <x:c r="D12" t="str">
        <x:v>decommission-cloud</x:v>
      </x:c>
      <x:c r="E12" t="str">
        <x:v>executing</x:v>
      </x:c>
      <x:c r="F12" t="n">
        <x:v>45945.388504953706</x:v>
      </x:c>
      <x:c r="G12" t="n">
        <x:v>46229.69473699074</x:v>
      </x:c>
      <x:c r="H12" t="n">
        <x:v>46217.11628459491</x:v>
      </x:c>
      <x:c r="I12" t="str">
        <x:v>PIVOT CGC Fouling</x:v>
      </x:c>
      <x:c r="J12" t="str">
        <x:v>OSR00154: Support and Maintenance for PIVOT Program for Group Digital – CAPEX – PIVOT CGC Fouling</x:v>
      </x:c>
      <x:c r="K12" t="str">
        <x:v>partial</x:v>
      </x:c>
      <x:c r="L12"/>
      <x:c r="M12" t="str">
        <x:v>sunny.khiani@petronas.com.my</x:v>
      </x:c>
      <x:c r="N12"/>
      <x:c r="O12"/>
      <x:c r="P12" t="str">
        <x:v>Business agreed to decommission this application</x:v>
      </x:c>
      <x:c r="Q12" t="str">
        <x:v>1M</x:v>
      </x:c>
      <x:c r="R12" t="str">
        <x:v>Not in Used</x:v>
      </x:c>
      <x:c r="S12"/>
      <x:c r="T12" t="str">
        <x:v>approved</x:v>
      </x:c>
      <x:c r="U12" t="str">
        <x:v>syafiqfathyamer.moh@petronas.com</x:v>
      </x:c>
      <x:c r="V12" t="n">
        <x:v>46217.25918592593</x:v>
      </x:c>
      <x:c r="W12" t="str">
        <x:v>Requesting approval for decommission CGC Fouling</x:v>
      </x:c>
      <x:c r="X12" t="str">
        <x:v>approved</x:v>
      </x:c>
      <x:c r="Y12" t="str">
        <x:v>sunny.khiani@petronas.com</x:v>
      </x:c>
      <x:c r="Z12" t="n">
        <x:v>46220.10225755787</x:v>
      </x:c>
      <x:c r="AA12" t="str">
        <x:v>please do a scream test and make necessary data backups</x:v>
      </x:c>
      <x:c r="AB12" t="str">
        <x:v>approved</x:v>
      </x:c>
      <x:c r="AC12" t="str">
        <x:v>abhishek.bhowate@petronas.com</x:v>
      </x:c>
      <x:c r="AD12" t="n">
        <x:v>46229.69473701389</x:v>
      </x:c>
      <x:c r="AE12" t="str">
        <x:v>approve</x:v>
      </x:c>
      <x:c r="AF12"/>
      <x:c r="AG12" t="str">
        <x:v>IMS - CLOUD CSSP EXECUTOR</x:v>
      </x:c>
      <x:c r="AH12"/>
      <x:c r="AI12"/>
      <x:c r="AJ12" t="str">
        <x:v>A-000610</x:v>
      </x:c>
      <x:c r="AK12" t="str">
        <x:v>OSR00154_1</x:v>
      </x:c>
      <x:c r="AL12" t="str">
        <x:v>M</x:v>
      </x:c>
      <x:c r="AM12" t="str">
        <x:v>REQ000008194179</x:v>
      </x:c>
      <x:c r="AN12"/>
      <x:c r="AO12"/>
      <x:c r="AP12" s="23" t="n">
        <x:f>IF(E12="processing",IF(Z12="","",IF(ISNUMBER(Z12),INT(Z12),DATE(VALUE(LEFT(Z12,4)),VALUE(MID(Z12,6,2)),VALUE(MID(Z12,9,2))))),IF(OR(E12="executing",E12="pending"),IF(AD12="","",IF(ISNUMBER(AD12),INT(AD12),DATE(VALUE(LEFT(AD12,4)),VALUE(MID(AD12,6,2)),VALUE(MID(AD12,9,2))))),""))</x:f>
        <x:v>46229</x:v>
      </x:c>
      <x:c r="AQ12" s="24" t="n">
        <x:f>IF(AP12="","",INT('Configuration'!$B$4)-AP12)</x:f>
        <x:v>22</x:v>
      </x:c>
      <x:c r="AR12" s="25" t="str">
        <x:f>IF(AP12="","Missing Required Date",IF(AQ12&lt;0,"Future Date",IF(AQ12=0,"0 days",IF(AQ12&lt;=2,"1-2 days",IF(AQ12&lt;=7,"3-7 days",IF(AQ12&lt;=14,"8-14 days",IF(AQ12&lt;=30,"15-30 days",IF(AQ12&lt;=60,"31-60 days",IF(AQ12&lt;=70,"61-70 days","71+ days")))))))))</x:f>
        <x:v>15-30 days</x:v>
      </x:c>
      <x:c r="AS12" s="25" t="str">
        <x:f>IF(OR(E12="processing",E12="executing",E12="pending"),IF(AP12="","Required aging date missing",IF(AQ12&gt;30,"Escalate &gt;30d",IF(AQ12&gt;14,"Watch &gt;14d","Within 14d"))),"Out of scope")</x:f>
        <x:v>Watch &gt;14d</x:v>
      </x:c>
    </x:row>
    <x:row r="13" ht="24" customHeight="1">
      <x:c r="A13" t="str">
        <x:v>b8d9c41d-6ef1-4a89-ae40-a399e55eb53b</x:v>
      </x:c>
      <x:c r="B13" t="str">
        <x:v>CSSP10541419</x:v>
      </x:c>
      <x:c r="C13" t="str">
        <x:v>mizznajwan.mzaki@petronas.com</x:v>
      </x:c>
      <x:c r="D13" t="str">
        <x:v>decommission-cloud</x:v>
      </x:c>
      <x:c r="E13" t="str">
        <x:v>completed</x:v>
      </x:c>
      <x:c r="F13" t="n">
        <x:v>45947.11423760417</x:v>
      </x:c>
      <x:c r="G13" t="n">
        <x:v>46069.334303090276</x:v>
      </x:c>
      <x:c r="H13" t="n">
        <x:v>46059.378132199075</x:v>
      </x:c>
      <x:c r="I13" t="str">
        <x:v>Regasification Terminal Sungai Udang Digital Transformation - RGTSU-DX</x:v>
      </x:c>
      <x:c r="J13" t="str">
        <x:v>Digital Transformation at RGTSU (RGTSU-DX Phase 2)</x:v>
      </x:c>
      <x:c r="K13" t="str">
        <x:v>partial</x:v>
      </x:c>
      <x:c r="L13"/>
      <x:c r="M13" t="str">
        <x:v>masmaliza.zolkefli@petronas.com.my</x:v>
      </x:c>
      <x:c r="N13"/>
      <x:c r="O13"/>
      <x:c r="P13" t="str">
        <x:v>Application interface moved from FUSE to Graffiquo VIP</x:v>
      </x:c>
      <x:c r="Q13" t="str">
        <x:v>3M</x:v>
      </x:c>
      <x:c r="R13" t="str">
        <x:v>Consolidation</x:v>
      </x:c>
      <x:c r="S13"/>
      <x:c r="T13" t="str">
        <x:v>approved</x:v>
      </x:c>
      <x:c r="U13" t="str">
        <x:v>mizznajwan.mzaki@petronas.com</x:v>
      </x:c>
      <x:c r="V13" t="n">
        <x:v>46059.37866371528</x:v>
      </x:c>
      <x:c r="W13" t="str">
        <x:v>Decomm request as Application interface moved from FUSE to Graffiquo VIP</x:v>
      </x:c>
      <x:c r="X13" t="str">
        <x:v>approved</x:v>
      </x:c>
      <x:c r="Y13" t="str">
        <x:v>masmaliza.zolkefli@petronas.com</x:v>
      </x:c>
      <x:c r="Z13" t="n">
        <x:v>46059.55119658565</x:v>
      </x:c>
      <x:c r="AA13" t="str">
        <x:v>To ensure no interruption to current system.</x:v>
      </x:c>
      <x:c r="AB13" t="str">
        <x:v>approved</x:v>
      </x:c>
      <x:c r="AC13" t="str">
        <x:v>azwan.badari@petronas.com</x:v>
      </x:c>
      <x:c r="AD13" t="n">
        <x:v>46064.08149819444</x:v>
      </x:c>
      <x:c r="AE13" t="str">
        <x:v>Decommissioned under CSSP10136862 / REQ000007261851 </x:v>
      </x:c>
      <x:c r="AF13" t="str">
        <x:v>approved</x:v>
      </x:c>
      <x:c r="AG13" t="str">
        <x:v>azwan.badari@petronas.com</x:v>
      </x:c>
      <x:c r="AH13" t="n">
        <x:v>46069.334303090276</x:v>
      </x:c>
      <x:c r="AI13" t="str">
        <x:v>Completed</x:v>
      </x:c>
      <x:c r="AJ13" t="str">
        <x:v>A-000689</x:v>
      </x:c>
      <x:c r="AK13" t="n">
        <x:v>1938</x:v>
      </x:c>
      <x:c r="AL13" t="str">
        <x:v>S</x:v>
      </x:c>
      <x:c r="AM13" t="str">
        <x:v>REQ000007870526</x:v>
      </x:c>
      <x:c r="AN13"/>
      <x:c r="AO13"/>
      <x:c r="AP13" s="23" t="str">
        <x:f>IF(E13="processing",IF(Z13="","",IF(ISNUMBER(Z13),INT(Z13),DATE(VALUE(LEFT(Z13,4)),VALUE(MID(Z13,6,2)),VALUE(MID(Z13,9,2))))),IF(OR(E13="executing",E13="pending"),IF(AD13="","",IF(ISNUMBER(AD13),INT(AD13),DATE(VALUE(LEFT(AD13,4)),VALUE(MID(AD13,6,2)),VALUE(MID(AD13,9,2))))),""))</x:f>
      </x:c>
      <x:c r="AQ13" s="24" t="str">
        <x:f>IF(AP13="","",INT('Configuration'!$B$4)-AP13)</x:f>
      </x:c>
      <x:c r="AR13" s="25" t="str">
        <x:f>IF(AP13="","Missing Required Date",IF(AQ13&lt;0,"Future Date",IF(AQ13=0,"0 days",IF(AQ13&lt;=2,"1-2 days",IF(AQ13&lt;=7,"3-7 days",IF(AQ13&lt;=14,"8-14 days",IF(AQ13&lt;=30,"15-30 days",IF(AQ13&lt;=60,"31-60 days",IF(AQ13&lt;=70,"61-70 days","71+ days")))))))))</x:f>
        <x:v>Missing Required Date</x:v>
      </x:c>
      <x:c r="AS13" s="25" t="str">
        <x:f>IF(OR(E13="processing",E13="executing",E13="pending"),IF(AP13="","Required aging date missing",IF(AQ13&gt;30,"Escalate &gt;30d",IF(AQ13&gt;14,"Watch &gt;14d","Within 14d"))),"Out of scope")</x:f>
        <x:v>Out of scope</x:v>
      </x:c>
    </x:row>
    <x:row r="14" ht="24" customHeight="1">
      <x:c r="A14" t="str">
        <x:v>6056a465-c1d3-4d7e-bce5-d60e154e7c1e</x:v>
      </x:c>
      <x:c r="B14" t="str">
        <x:v>CSSP10512939</x:v>
      </x:c>
      <x:c r="C14" t="str">
        <x:v>mfaizal.suriyat@petronas.com</x:v>
      </x:c>
      <x:c r="D14" t="str">
        <x:v>decommission-cloud</x:v>
      </x:c>
      <x:c r="E14" t="str">
        <x:v>rejected</x:v>
      </x:c>
      <x:c r="F14" t="n">
        <x:v>45958.01583797453</x:v>
      </x:c>
      <x:c r="G14" t="n">
        <x:v>46050.37783171296</x:v>
      </x:c>
      <x:c r="H14" t="n">
        <x:v>45958.01583797453</x:v>
      </x:c>
      <x:c r="I14" t="str">
        <x:v>Predictive Analytics for Pipeline Freespan - PrAnSpan</x:v>
      </x:c>
      <x:c r="J14" t="str">
        <x:v>Support and Maintenance of Predictive Analytic Freespan (PrAnSpan) for GTS</x:v>
      </x:c>
      <x:c r="K14" t="str">
        <x:v>partial</x:v>
      </x:c>
      <x:c r="L14"/>
      <x:c r="M14" t="str">
        <x:v>shekha.mahdhar@petronas.com.my</x:v>
      </x:c>
      <x:c r="N14"/>
      <x:c r="O14" t="n">
        <x:v>2090</x:v>
      </x:c>
      <x:c r="P14" t="str">
        <x:v>Cloud Migration - modernization</x:v>
      </x:c>
      <x:c r="Q14" t="str">
        <x:v>1M</x:v>
      </x:c>
      <x:c r="R14" t="str">
        <x:v>Cloud Migration</x:v>
      </x:c>
      <x:c r="S14"/>
      <x:c r="T14" t="str">
        <x:v>approved</x:v>
      </x:c>
      <x:c r="U14" t="str">
        <x:v>mfaizal.suriyat@petronas.com</x:v>
      </x:c>
      <x:c r="V14" t="n">
        <x:v>45958.017802152775</x:v>
      </x:c>
      <x:c r="W14" t="str">
        <x:v>Remove All Component and RG in this RG - PTAZSG-PROD-PRANSPAN-ANALYTICS-GTS-RG</x:v>
      </x:c>
      <x:c r="X14" t="str">
        <x:v>approved</x:v>
      </x:c>
      <x:c r="Y14" t="str">
        <x:v>shekha.mahdhar@petronas.com</x:v>
      </x:c>
      <x:c r="Z14" t="n">
        <x:v>46050.34223949074</x:v>
      </x:c>
      <x:c r="AA14" t="str">
        <x:v>Ok</x:v>
      </x:c>
      <x:c r="AB14" t="str">
        <x:v>rejected</x:v>
      </x:c>
      <x:c r="AC14" t="str">
        <x:v>azwan.badari@petronas.com</x:v>
      </x:c>
      <x:c r="AD14" t="n">
        <x:v>46050.37783171296</x:v>
      </x:c>
      <x:c r="AE14" t="str">
        <x:v>Duplicate. RG PTAZSG-PROD-PRANSPAN-ANALYTICS-GTS-RG has been deleted under CSSP10803658.
Please cancel this request.</x:v>
      </x:c>
      <x:c r="AF14"/>
      <x:c r="AG14" t="str">
        <x:v>CCoE Operations</x:v>
      </x:c>
      <x:c r="AH14"/>
      <x:c r="AI14"/>
      <x:c r="AJ14" t="str">
        <x:v>A-000644</x:v>
      </x:c>
      <x:c r="AK14" t="n">
        <x:v>2090</x:v>
      </x:c>
      <x:c r="AL14"/>
      <x:c r="AM14"/>
      <x:c r="AN14" t="str">
        <x:v>noretention</x:v>
      </x:c>
      <x:c r="AO14" t="n">
        <x:v>0</x:v>
      </x:c>
      <x:c r="AP14" s="23" t="str">
        <x:f>IF(E14="processing",IF(Z14="","",IF(ISNUMBER(Z14),INT(Z14),DATE(VALUE(LEFT(Z14,4)),VALUE(MID(Z14,6,2)),VALUE(MID(Z14,9,2))))),IF(OR(E14="executing",E14="pending"),IF(AD14="","",IF(ISNUMBER(AD14),INT(AD14),DATE(VALUE(LEFT(AD14,4)),VALUE(MID(AD14,6,2)),VALUE(MID(AD14,9,2))))),""))</x:f>
      </x:c>
      <x:c r="AQ14" s="24" t="str">
        <x:f>IF(AP14="","",INT('Configuration'!$B$4)-AP14)</x:f>
      </x:c>
      <x:c r="AR14" s="25" t="str">
        <x:f>IF(AP14="","Missing Required Date",IF(AQ14&lt;0,"Future Date",IF(AQ14=0,"0 days",IF(AQ14&lt;=2,"1-2 days",IF(AQ14&lt;=7,"3-7 days",IF(AQ14&lt;=14,"8-14 days",IF(AQ14&lt;=30,"15-30 days",IF(AQ14&lt;=60,"31-60 days",IF(AQ14&lt;=70,"61-70 days","71+ days")))))))))</x:f>
        <x:v>Missing Required Date</x:v>
      </x:c>
      <x:c r="AS14" s="25" t="str">
        <x:f>IF(OR(E14="processing",E14="executing",E14="pending"),IF(AP14="","Required aging date missing",IF(AQ14&gt;30,"Escalate &gt;30d",IF(AQ14&gt;14,"Watch &gt;14d","Within 14d"))),"Out of scope")</x:f>
        <x:v>Out of scope</x:v>
      </x:c>
    </x:row>
    <x:row r="15" ht="24" customHeight="1">
      <x:c r="A15" t="str">
        <x:v>b5a262c2-6796-42be-83da-2a301b1d6e76</x:v>
      </x:c>
      <x:c r="B15" t="str">
        <x:v>CSSP10596587</x:v>
      </x:c>
      <x:c r="C15" t="str">
        <x:v>mfaizal.suriyat@petronas.com</x:v>
      </x:c>
      <x:c r="D15" t="str">
        <x:v>decommission-cloud</x:v>
      </x:c>
      <x:c r="E15" t="str">
        <x:v>pending</x:v>
      </x:c>
      <x:c r="F15" t="n">
        <x:v>45958.0190974537</x:v>
      </x:c>
      <x:c r="G15" t="n">
        <x:v>46050.34166543982</x:v>
      </x:c>
      <x:c r="H15" t="n">
        <x:v>45958.0190974537</x:v>
      </x:c>
      <x:c r="I15" t="str">
        <x:v>Predictive Analytics for Pipeline Freespan - PrAnSpan</x:v>
      </x:c>
      <x:c r="J15" t="str">
        <x:v>Support and Maintenance of Predictive Analytic Freespan (PrAnSpan) for GTS</x:v>
      </x:c>
      <x:c r="K15" t="str">
        <x:v>partial</x:v>
      </x:c>
      <x:c r="L15"/>
      <x:c r="M15" t="str">
        <x:v>shekha.mahdhar@petronas.com.my</x:v>
      </x:c>
      <x:c r="N15"/>
      <x:c r="O15" t="n">
        <x:v>2090</x:v>
      </x:c>
      <x:c r="P15" t="str">
        <x:v>Cloud Migration - Modernization</x:v>
      </x:c>
      <x:c r="Q15" t="str">
        <x:v>1M</x:v>
      </x:c>
      <x:c r="R15" t="str">
        <x:v>Cloud Migration</x:v>
      </x:c>
      <x:c r="S15"/>
      <x:c r="T15" t="str">
        <x:v>approved</x:v>
      </x:c>
      <x:c r="U15" t="str">
        <x:v>shekha.mahdhar@petronas.com</x:v>
      </x:c>
      <x:c r="V15" t="n">
        <x:v>46050.341665451386</x:v>
      </x:c>
      <x:c r="W15" t="str">
        <x:v>As requested</x:v>
      </x:c>
      <x:c r="X15"/>
      <x:c r="Y15" t="str">
        <x:v>shekha.mahdhar@petronas.com</x:v>
      </x:c>
      <x:c r="Z15"/>
      <x:c r="AA15"/>
      <x:c r="AB15"/>
      <x:c r="AC15" t="str">
        <x:v>CCoE Business</x:v>
      </x:c>
      <x:c r="AD15"/>
      <x:c r="AE15"/>
      <x:c r="AF15"/>
      <x:c r="AG15" t="str">
        <x:v>CCoE Operations</x:v>
      </x:c>
      <x:c r="AH15"/>
      <x:c r="AI15"/>
      <x:c r="AJ15" t="str">
        <x:v>A-000644</x:v>
      </x:c>
      <x:c r="AK15" t="n">
        <x:v>2090</x:v>
      </x:c>
      <x:c r="AL15"/>
      <x:c r="AM15"/>
      <x:c r="AN15" t="str">
        <x:v>noretention</x:v>
      </x:c>
      <x:c r="AO15" t="n">
        <x:v>0</x:v>
      </x:c>
      <x:c r="AP15" s="23" t="str">
        <x:f>IF(E15="processing",IF(Z15="","",IF(ISNUMBER(Z15),INT(Z15),DATE(VALUE(LEFT(Z15,4)),VALUE(MID(Z15,6,2)),VALUE(MID(Z15,9,2))))),IF(OR(E15="executing",E15="pending"),IF(AD15="","",IF(ISNUMBER(AD15),INT(AD15),DATE(VALUE(LEFT(AD15,4)),VALUE(MID(AD15,6,2)),VALUE(MID(AD15,9,2))))),""))</x:f>
      </x:c>
      <x:c r="AQ15" s="24" t="str">
        <x:f>IF(AP15="","",INT('Configuration'!$B$4)-AP15)</x:f>
      </x:c>
      <x:c r="AR15" s="25" t="str">
        <x:f>IF(AP15="","Missing Required Date",IF(AQ15&lt;0,"Future Date",IF(AQ15=0,"0 days",IF(AQ15&lt;=2,"1-2 days",IF(AQ15&lt;=7,"3-7 days",IF(AQ15&lt;=14,"8-14 days",IF(AQ15&lt;=30,"15-30 days",IF(AQ15&lt;=60,"31-60 days",IF(AQ15&lt;=70,"61-70 days","71+ days")))))))))</x:f>
        <x:v>Missing Required Date</x:v>
      </x:c>
      <x:c r="AS15" s="25" t="str">
        <x:f>IF(OR(E15="processing",E15="executing",E15="pending"),IF(AP15="","Required aging date missing",IF(AQ15&gt;30,"Escalate &gt;30d",IF(AQ15&gt;14,"Watch &gt;14d","Within 14d"))),"Out of scope")</x:f>
        <x:v>Required aging date missing</x:v>
      </x:c>
    </x:row>
    <x:row r="16" ht="24" customHeight="1">
      <x:c r="A16" t="str">
        <x:v>6107ea3c-5eec-487f-985c-73ea8f886762</x:v>
      </x:c>
      <x:c r="B16" t="str">
        <x:v>CSSP10170875</x:v>
      </x:c>
      <x:c r="C16" t="str">
        <x:v>waffiudin.aziz@petronas.com</x:v>
      </x:c>
      <x:c r="D16" t="str">
        <x:v>decommission-cloud</x:v>
      </x:c>
      <x:c r="E16" t="str">
        <x:v>completed</x:v>
      </x:c>
      <x:c r="F16" t="n">
        <x:v>45981.19213831019</x:v>
      </x:c>
      <x:c r="G16" t="n">
        <x:v>46048.29490238426</x:v>
      </x:c>
      <x:c r="H16" t="n">
        <x:v>45981.19213831019</x:v>
      </x:c>
      <x:c r="I16" t="str">
        <x:v>Mobile View for Aeroscout Location Engine - ALE</x:v>
      </x:c>
      <x:c r="J16" t="str">
        <x:v>Mobile View for Aeroscout Location Engine - ALE created for PRIVATECLOUD project record</x:v>
      </x:c>
      <x:c r="K16" t="str">
        <x:v>full</x:v>
      </x:c>
      <x:c r="L16" t="str">
        <x:v>NA</x:v>
      </x:c>
      <x:c r="M16" t="str">
        <x:v>rohaizad_rozali@petronas.com.my</x:v>
      </x:c>
      <x:c r="N16"/>
      <x:c r="O16"/>
      <x:c r="P16" t="str">
        <x:v>Apps no longer in used by asset</x:v>
      </x:c>
      <x:c r="Q16" t="str">
        <x:v>2W</x:v>
      </x:c>
      <x:c r="R16" t="str">
        <x:v>Not in Used</x:v>
      </x:c>
      <x:c r="S16"/>
      <x:c r="T16" t="str">
        <x:v>approved</x:v>
      </x:c>
      <x:c r="U16" t="str">
        <x:v>waffiudin.aziz@petronas.com</x:v>
      </x:c>
      <x:c r="V16" t="n">
        <x:v>45981.19275444445</x:v>
      </x:c>
      <x:c r="W16" t="str">
        <x:v>Reviewed with Abd Latif M Tobi (Gas Business Product Management)</x:v>
      </x:c>
      <x:c r="X16" t="str">
        <x:v>approved</x:v>
      </x:c>
      <x:c r="Y16" t="str">
        <x:v>rohaizad_rozali@petronas.com</x:v>
      </x:c>
      <x:c r="Z16" t="n">
        <x:v>45995.21524046296</x:v>
      </x:c>
      <x:c r="AA16" t="str">
        <x:v>Approved</x:v>
      </x:c>
      <x:c r="AB16" t="str">
        <x:v>approved</x:v>
      </x:c>
      <x:c r="AC16" t="str">
        <x:v>azwan.badari@petronas.com</x:v>
      </x:c>
      <x:c r="AD16" t="n">
        <x:v>46042.30823962963</x:v>
      </x:c>
      <x:c r="AE16" t="str">
        <x:v>Shutdown for more than 1 month but no reports or complain.
vCENPPGBMVAP02.PETRONAS.PETRONET.DIR	10.14.65.131	TM KVDC
vCENPPGBMVDB01.PETRONAS.PETRONET.DIR	10.14.65.132	TM KVDC
</x:v>
      </x:c>
      <x:c r="AF16" t="str">
        <x:v>approved</x:v>
      </x:c>
      <x:c r="AG16" t="str">
        <x:v>azlisham.md@petronas.com</x:v>
      </x:c>
      <x:c r="AH16" t="n">
        <x:v>46048.294902395835</x:v>
      </x:c>
      <x:c r="AI16" t="str">
        <x:v>The decommission request has been completed, and the status is now updated accordingly. Kindly verify from your end and confirm once reviewed.
</x:v>
      </x:c>
      <x:c r="AJ16" t="str">
        <x:v>A-000040</x:v>
      </x:c>
      <x:c r="AK16" t="n">
        <x:v>10017</x:v>
      </x:c>
      <x:c r="AL16" t="str">
        <x:v>M</x:v>
      </x:c>
      <x:c r="AM16" t="str">
        <x:v>REQ000007829202</x:v>
      </x:c>
      <x:c r="AN16" t="str">
        <x:v>disposal</x:v>
      </x:c>
      <x:c r="AO16" t="n">
        <x:v>0</x:v>
      </x:c>
      <x:c r="AP16" s="23" t="str">
        <x:f>IF(E16="processing",IF(Z16="","",IF(ISNUMBER(Z16),INT(Z16),DATE(VALUE(LEFT(Z16,4)),VALUE(MID(Z16,6,2)),VALUE(MID(Z16,9,2))))),IF(OR(E16="executing",E16="pending"),IF(AD16="","",IF(ISNUMBER(AD16),INT(AD16),DATE(VALUE(LEFT(AD16,4)),VALUE(MID(AD16,6,2)),VALUE(MID(AD16,9,2))))),""))</x:f>
      </x:c>
      <x:c r="AQ16" s="24" t="str">
        <x:f>IF(AP16="","",INT('Configuration'!$B$4)-AP16)</x:f>
      </x:c>
      <x:c r="AR16" s="25" t="str">
        <x:f>IF(AP16="","Missing Required Date",IF(AQ16&lt;0,"Future Date",IF(AQ16=0,"0 days",IF(AQ16&lt;=2,"1-2 days",IF(AQ16&lt;=7,"3-7 days",IF(AQ16&lt;=14,"8-14 days",IF(AQ16&lt;=30,"15-30 days",IF(AQ16&lt;=60,"31-60 days",IF(AQ16&lt;=70,"61-70 days","71+ days")))))))))</x:f>
        <x:v>Missing Required Date</x:v>
      </x:c>
      <x:c r="AS16" s="25" t="str">
        <x:f>IF(OR(E16="processing",E16="executing",E16="pending"),IF(AP16="","Required aging date missing",IF(AQ16&gt;30,"Escalate &gt;30d",IF(AQ16&gt;14,"Watch &gt;14d","Within 14d"))),"Out of scope")</x:f>
        <x:v>Out of scope</x:v>
      </x:c>
    </x:row>
    <x:row r="17" ht="24" customHeight="1">
      <x:c r="A17" t="str">
        <x:v>bdb2e056-1eb1-4173-90d0-d6d1435b1b61</x:v>
      </x:c>
      <x:c r="B17" t="str">
        <x:v>CSSP10703990</x:v>
      </x:c>
      <x:c r="C17" t="str">
        <x:v>essam.arab@petronas.com</x:v>
      </x:c>
      <x:c r="D17" t="str">
        <x:v>decommission-cloud</x:v>
      </x:c>
      <x:c r="E17" t="str">
        <x:v>completed</x:v>
      </x:c>
      <x:c r="F17" t="n">
        <x:v>45986.376623854165</x:v>
      </x:c>
      <x:c r="G17" t="n">
        <x:v>46136.177765127315</x:v>
      </x:c>
      <x:c r="H17" t="n">
        <x:v>45986.376623854165</x:v>
      </x:c>
      <x:c r="I17" t="str">
        <x:v>Alpha LNG</x:v>
      </x:c>
      <x:c r="J17" t="str">
        <x:v>Alpha LNG Phase 4 (PDSB)</x:v>
      </x:c>
      <x:c r="K17" t="str">
        <x:v>partial</x:v>
      </x:c>
      <x:c r="L17"/>
      <x:c r="M17" t="str">
        <x:v>sunny.khiani@petronas.com</x:v>
      </x:c>
      <x:c r="N17"/>
      <x:c r="O17"/>
      <x:c r="P17" t="str">
        <x:v>Resources to be deleted are in DEV ENVIRONMENT ONLY
Azure App Service: ptazsg-5alphalngap01
Azure App Service Plan: ptazsg-5alphalngasp01</x:v>
      </x:c>
      <x:c r="Q17" t="str">
        <x:v>1M</x:v>
      </x:c>
      <x:c r="R17" t="str">
        <x:v>Not in Used</x:v>
      </x:c>
      <x:c r="S17"/>
      <x:c r="T17" t="str">
        <x:v>approved</x:v>
      </x:c>
      <x:c r="U17" t="str">
        <x:v>essam.arab@petronas.com</x:v>
      </x:c>
      <x:c r="V17" t="n">
        <x:v>45986.37728894676</x:v>
      </x:c>
      <x:c r="W17" t="str">
        <x:v>Resources to be deleted are in DEV ENVIRONMENT ONLY 
Azure App Service: ptazsg-5alphalngap01 
Azure App Service Plan: ptazsg-5alphalngasp01</x:v>
      </x:c>
      <x:c r="X17" t="str">
        <x:v>approved</x:v>
      </x:c>
      <x:c r="Y17" t="str">
        <x:v>sunny.khiani@petronas.com</x:v>
      </x:c>
      <x:c r="Z17" t="n">
        <x:v>46136.1763408912</x:v>
      </x:c>
      <x:c r="AA17" t="str">
        <x:v>approved</x:v>
      </x:c>
      <x:c r="AB17" t="str">
        <x:v>approved</x:v>
      </x:c>
      <x:c r="AC17" t="str">
        <x:v>sunny.khiani@petronas.com</x:v>
      </x:c>
      <x:c r="AD17" t="n">
        <x:v>46136.1771902662</x:v>
      </x:c>
      <x:c r="AE17" t="str">
        <x:v>approved </x:v>
      </x:c>
      <x:c r="AF17" t="str">
        <x:v>approved</x:v>
      </x:c>
      <x:c r="AG17" t="str">
        <x:v>sunny.khiani@petronas.com</x:v>
      </x:c>
      <x:c r="AH17" t="n">
        <x:v>46136.17776513889</x:v>
      </x:c>
      <x:c r="AI17" t="str">
        <x:v>approved</x:v>
      </x:c>
      <x:c r="AJ17" t="str">
        <x:v>A-000043</x:v>
      </x:c>
      <x:c r="AK17" t="n">
        <x:v>1266</x:v>
      </x:c>
      <x:c r="AL17" t="str">
        <x:v>M</x:v>
      </x:c>
      <x:c r="AM17" t="str">
        <x:v>REQ000008009892</x:v>
      </x:c>
      <x:c r="AN17" t="str">
        <x:v>noretention</x:v>
      </x:c>
      <x:c r="AO17" t="n">
        <x:v>0</x:v>
      </x:c>
      <x:c r="AP17" s="23" t="str">
        <x:f>IF(E17="processing",IF(Z17="","",IF(ISNUMBER(Z17),INT(Z17),DATE(VALUE(LEFT(Z17,4)),VALUE(MID(Z17,6,2)),VALUE(MID(Z17,9,2))))),IF(OR(E17="executing",E17="pending"),IF(AD17="","",IF(ISNUMBER(AD17),INT(AD17),DATE(VALUE(LEFT(AD17,4)),VALUE(MID(AD17,6,2)),VALUE(MID(AD17,9,2))))),""))</x:f>
      </x:c>
      <x:c r="AQ17" s="24" t="str">
        <x:f>IF(AP17="","",INT('Configuration'!$B$4)-AP17)</x:f>
      </x:c>
      <x:c r="AR17" s="25" t="str">
        <x:f>IF(AP17="","Missing Required Date",IF(AQ17&lt;0,"Future Date",IF(AQ17=0,"0 days",IF(AQ17&lt;=2,"1-2 days",IF(AQ17&lt;=7,"3-7 days",IF(AQ17&lt;=14,"8-14 days",IF(AQ17&lt;=30,"15-30 days",IF(AQ17&lt;=60,"31-60 days",IF(AQ17&lt;=70,"61-70 days","71+ days")))))))))</x:f>
        <x:v>Missing Required Date</x:v>
      </x:c>
      <x:c r="AS17" s="25" t="str">
        <x:f>IF(OR(E17="processing",E17="executing",E17="pending"),IF(AP17="","Required aging date missing",IF(AQ17&gt;30,"Escalate &gt;30d",IF(AQ17&gt;14,"Watch &gt;14d","Within 14d"))),"Out of scope")</x:f>
        <x:v>Out of scope</x:v>
      </x:c>
    </x:row>
    <x:row r="18" ht="24" customHeight="1">
      <x:c r="A18" t="str">
        <x:v>6d98f3d9-2a38-460b-8c86-8d8820e4820f</x:v>
      </x:c>
      <x:c r="B18" t="str">
        <x:v>CSSP10528936</x:v>
      </x:c>
      <x:c r="C18" t="str">
        <x:v>nursyazana.z@petronas.com</x:v>
      </x:c>
      <x:c r="D18" t="str">
        <x:v>decommission-cloud</x:v>
      </x:c>
      <x:c r="E18" t="str">
        <x:v>rejected</x:v>
      </x:c>
      <x:c r="F18" t="n">
        <x:v>45988.31885174769</x:v>
      </x:c>
      <x:c r="G18" t="n">
        <x:v>46047.724322256945</x:v>
      </x:c>
      <x:c r="H18" t="n">
        <x:v>45991.895173310186</x:v>
      </x:c>
      <x:c r="I18" t="str">
        <x:v>Upstream Technical Applications SCUS</x:v>
      </x:c>
      <x:c r="J18" t="str">
        <x:v>Provision of Additional Capacity SCUS for Mexico Operation</x:v>
      </x:c>
      <x:c r="K18" t="str">
        <x:v>full</x:v>
      </x:c>
      <x:c r="L18" t="str">
        <x:v>DCOM202512011a6</x:v>
      </x:c>
      <x:c r="M18" t="str">
        <x:v>mhafiz.samsudin@petronas.com</x:v>
      </x:c>
      <x:c r="N18" t="str">
        <x:v>Not Applicable</x:v>
      </x:c>
      <x:c r="O18"/>
      <x:c r="P18" t="str">
        <x:v>Mexico office already close. Resources under Project_Code : 00592 has been shutdown and there is no issue as Ahmad Syazali has done the screaming test. You may refer to attached email</x:v>
      </x:c>
      <x:c r="Q18" t="str">
        <x:v>2W</x:v>
      </x:c>
      <x:c r="R18" t="str">
        <x:v>Not in Used</x:v>
      </x:c>
      <x:c r="S18"/>
      <x:c r="T18" t="str">
        <x:v>approved</x:v>
      </x:c>
      <x:c r="U18" t="str">
        <x:v>nursyazana.z@petronas.com</x:v>
      </x:c>
      <x:c r="V18" t="n">
        <x:v>45991.90263334491</x:v>
      </x:c>
      <x:c r="W18" t="str">
        <x:v>To Azwan and Ahmad Syazali, there are few resources is not being listed as per list above. I believe this is due to we already shutdown during screaming test e.g. VM. Thus, please proceed with the decommissioning of the resources also. Fyi, for financial discovery, I have attached the no in CSSP request and in progress to complete 7 chapters of financial discovery list.</x:v>
      </x:c>
      <x:c r="X18" t="str">
        <x:v>approved</x:v>
      </x:c>
      <x:c r="Y18" t="str">
        <x:v>mhafiz.samsudin@petronas.com</x:v>
      </x:c>
      <x:c r="Z18" t="n">
        <x:v>46000.28651947917</x:v>
      </x:c>
      <x:c r="AA18" t="str">
        <x:v>Reviewed and Aproved</x:v>
      </x:c>
      <x:c r="AB18" t="str">
        <x:v>rejected</x:v>
      </x:c>
      <x:c r="AC18" t="str">
        <x:v>azwan.badari@petronas.com</x:v>
      </x:c>
      <x:c r="AD18" t="n">
        <x:v>46047.72432226852</x:v>
      </x:c>
      <x:c r="AE18" t="str">
        <x:v>Please resubmit as there is no confirmation.</x:v>
      </x:c>
      <x:c r="AF18"/>
      <x:c r="AG18" t="str">
        <x:v>CCoE Business</x:v>
      </x:c>
      <x:c r="AH18"/>
      <x:c r="AI18"/>
      <x:c r="AJ18" t="str">
        <x:v>A-000803</x:v>
      </x:c>
      <x:c r="AK18" t="n">
        <x:v>592</x:v>
      </x:c>
      <x:c r="AL18"/>
      <x:c r="AM18"/>
      <x:c r="AN18" t="str">
        <x:v>retention</x:v>
      </x:c>
      <x:c r="AO18" t="n">
        <x:v>30</x:v>
      </x:c>
      <x:c r="AP18" s="23" t="str">
        <x:f>IF(E18="processing",IF(Z18="","",IF(ISNUMBER(Z18),INT(Z18),DATE(VALUE(LEFT(Z18,4)),VALUE(MID(Z18,6,2)),VALUE(MID(Z18,9,2))))),IF(OR(E18="executing",E18="pending"),IF(AD18="","",IF(ISNUMBER(AD18),INT(AD18),DATE(VALUE(LEFT(AD18,4)),VALUE(MID(AD18,6,2)),VALUE(MID(AD18,9,2))))),""))</x:f>
      </x:c>
      <x:c r="AQ18" s="24" t="str">
        <x:f>IF(AP18="","",INT('Configuration'!$B$4)-AP18)</x:f>
      </x:c>
      <x:c r="AR18" s="25" t="str">
        <x:f>IF(AP18="","Missing Required Date",IF(AQ18&lt;0,"Future Date",IF(AQ18=0,"0 days",IF(AQ18&lt;=2,"1-2 days",IF(AQ18&lt;=7,"3-7 days",IF(AQ18&lt;=14,"8-14 days",IF(AQ18&lt;=30,"15-30 days",IF(AQ18&lt;=60,"31-60 days",IF(AQ18&lt;=70,"61-70 days","71+ days")))))))))</x:f>
        <x:v>Missing Required Date</x:v>
      </x:c>
      <x:c r="AS18" s="25" t="str">
        <x:f>IF(OR(E18="processing",E18="executing",E18="pending"),IF(AP18="","Required aging date missing",IF(AQ18&gt;30,"Escalate &gt;30d",IF(AQ18&gt;14,"Watch &gt;14d","Within 14d"))),"Out of scope")</x:f>
        <x:v>Out of scope</x:v>
      </x:c>
    </x:row>
    <x:row r="19" ht="24" customHeight="1">
      <x:c r="A19" t="str">
        <x:v>c0a60393-9927-4fc3-80fc-1e06da243f5f</x:v>
      </x:c>
      <x:c r="B19" t="str">
        <x:v>CSSP10984549</x:v>
      </x:c>
      <x:c r="C19" t="str">
        <x:v>azrel.nasaruddin@petronas.com</x:v>
      </x:c>
      <x:c r="D19" t="str">
        <x:v>decommission-cloud</x:v>
      </x:c>
      <x:c r="E19" t="str">
        <x:v>cancelled</x:v>
      </x:c>
      <x:c r="F19" t="n">
        <x:v>45989.44871517361</x:v>
      </x:c>
      <x:c r="G19" t="n">
        <x:v>46050.07792778935</x:v>
      </x:c>
      <x:c r="H19" t="n">
        <x:v>45989.44871517361</x:v>
      </x:c>
      <x:c r="I19" t="str">
        <x:v>Enterprise Software Defined Wide Area Network - SDWAN</x:v>
      </x:c>
      <x:c r="J19" t="str">
        <x:v>Implementation of Enterprise Software Defined Wide Area Network (SDWAN) for PETRONAS</x:v>
      </x:c>
      <x:c r="K19" t="str">
        <x:v>partial</x:v>
      </x:c>
      <x:c r="L19"/>
      <x:c r="M19" t="str">
        <x:v>mhaslan.abuhassan@petronas.com</x:v>
      </x:c>
      <x:c r="N19"/>
      <x:c r="O19" t="str">
        <x:v>704D905153</x:v>
      </x:c>
      <x:c r="P19" t="str">
        <x:v>To Decommission Resource under RG - PTAZSG-PROD-WAF-RG, 
CPU Utilization for PTAZSG-PROD-OnPrem-WAFv1-01
PTAZSG-PROD-OnPrem-WAFv1-01
PTAZSG-PROD-Onprem-WAFv1-01-PIP</x:v>
      </x:c>
      <x:c r="Q19" t="str">
        <x:v>2W</x:v>
      </x:c>
      <x:c r="R19" t="str">
        <x:v>Not in Used</x:v>
      </x:c>
      <x:c r="S19"/>
      <x:c r="T19" t="str">
        <x:v>rejected</x:v>
      </x:c>
      <x:c r="U19" t="str">
        <x:v>azwan.badari@petronas.com</x:v>
      </x:c>
      <x:c r="V19" t="n">
        <x:v>46050.07792780093</x:v>
      </x:c>
      <x:c r="W19" t="str">
        <x:v>Not required </x:v>
      </x:c>
      <x:c r="X19"/>
      <x:c r="Y19" t="str">
        <x:v>mhaslan.abuhassan@petronas.com</x:v>
      </x:c>
      <x:c r="Z19"/>
      <x:c r="AA19"/>
      <x:c r="AB19"/>
      <x:c r="AC19" t="str">
        <x:v>CCoE Business</x:v>
      </x:c>
      <x:c r="AD19"/>
      <x:c r="AE19"/>
      <x:c r="AF19"/>
      <x:c r="AG19" t="str">
        <x:v>CCoE Operations</x:v>
      </x:c>
      <x:c r="AH19"/>
      <x:c r="AI19"/>
      <x:c r="AJ19" t="str">
        <x:v>A-000754</x:v>
      </x:c>
      <x:c r="AK19" t="str">
        <x:v>00480_1</x:v>
      </x:c>
      <x:c r="AL19"/>
      <x:c r="AM19"/>
      <x:c r="AN19" t="str">
        <x:v>noretention</x:v>
      </x:c>
      <x:c r="AO19" t="n">
        <x:v>0</x:v>
      </x:c>
      <x:c r="AP19" s="23" t="str">
        <x:f>IF(E19="processing",IF(Z19="","",IF(ISNUMBER(Z19),INT(Z19),DATE(VALUE(LEFT(Z19,4)),VALUE(MID(Z19,6,2)),VALUE(MID(Z19,9,2))))),IF(OR(E19="executing",E19="pending"),IF(AD19="","",IF(ISNUMBER(AD19),INT(AD19),DATE(VALUE(LEFT(AD19,4)),VALUE(MID(AD19,6,2)),VALUE(MID(AD19,9,2))))),""))</x:f>
      </x:c>
      <x:c r="AQ19" s="24" t="str">
        <x:f>IF(AP19="","",INT('Configuration'!$B$4)-AP19)</x:f>
      </x:c>
      <x:c r="AR19" s="25" t="str">
        <x:f>IF(AP19="","Missing Required Date",IF(AQ19&lt;0,"Future Date",IF(AQ19=0,"0 days",IF(AQ19&lt;=2,"1-2 days",IF(AQ19&lt;=7,"3-7 days",IF(AQ19&lt;=14,"8-14 days",IF(AQ19&lt;=30,"15-30 days",IF(AQ19&lt;=60,"31-60 days",IF(AQ19&lt;=70,"61-70 days","71+ days")))))))))</x:f>
        <x:v>Missing Required Date</x:v>
      </x:c>
      <x:c r="AS19" s="25" t="str">
        <x:f>IF(OR(E19="processing",E19="executing",E19="pending"),IF(AP19="","Required aging date missing",IF(AQ19&gt;30,"Escalate &gt;30d",IF(AQ19&gt;14,"Watch &gt;14d","Within 14d"))),"Out of scope")</x:f>
        <x:v>Out of scope</x:v>
      </x:c>
    </x:row>
    <x:row r="20" ht="24" customHeight="1">
      <x:c r="A20" t="str">
        <x:v>c256d4f6-56d9-4654-aae2-e852fc1db966</x:v>
      </x:c>
      <x:c r="B20" t="str">
        <x:v>CSSP10767995</x:v>
      </x:c>
      <x:c r="C20" t="str">
        <x:v>nursyazana.z@petronas.com</x:v>
      </x:c>
      <x:c r="D20" t="str">
        <x:v>decommission-cloud</x:v>
      </x:c>
      <x:c r="E20" t="str">
        <x:v>rejected</x:v>
      </x:c>
      <x:c r="F20" t="n">
        <x:v>45991.90715431713</x:v>
      </x:c>
      <x:c r="G20" t="n">
        <x:v>46047.724448692126</x:v>
      </x:c>
      <x:c r="H20" t="n">
        <x:v>45991.90715431713</x:v>
      </x:c>
      <x:c r="I20" t="str">
        <x:v>Upstream Technology and Digital Innovation (UTDI) Data Operations</x:v>
      </x:c>
      <x:c r="J20" t="str">
        <x:v>2023 - DSG repurpose for UTDI Data Ops as instruction from upstream tribe
Provision of Azure Cloud Services for Halliburton Decision Space Geoscience (DSG) Application for Group Technical Data</x:v>
      </x:c>
      <x:c r="K20" t="str">
        <x:v>partial</x:v>
      </x:c>
      <x:c r="L20"/>
      <x:c r="M20" t="str">
        <x:v>mhafiz.samsudin@petronas.com</x:v>
      </x:c>
      <x:c r="N20" t="str">
        <x:v>Not Applicable</x:v>
      </x:c>
      <x:c r="O20" t="str">
        <x:v>PSR04669</x:v>
      </x:c>
      <x:c r="P20" t="str">
        <x:v>Resources under Project_Code : PSR04469 has been shutdown except ptazscusprodgtdstor and ptscustdmexicostorage01 as per agreed. There is no issue as Ahmad Syazali has done the screaming test. You may refer to attached email
</x:v>
      </x:c>
      <x:c r="Q20" t="str">
        <x:v>1M</x:v>
      </x:c>
      <x:c r="R20" t="str">
        <x:v>Not in Used</x:v>
      </x:c>
      <x:c r="S20"/>
      <x:c r="T20" t="str">
        <x:v>approved</x:v>
      </x:c>
      <x:c r="U20" t="str">
        <x:v>nursyazana.z@petronas.com</x:v>
      </x:c>
      <x:c r="V20" t="n">
        <x:v>45991.911276307874</x:v>
      </x:c>
      <x:c r="W20" t="str">
        <x:v>I have reviewed the list. All can be decommissioned except for ptazscusprodgtdstor and ptscustdmexicostorage01 and also resources related to them such as queue and table</x:v>
      </x:c>
      <x:c r="X20" t="str">
        <x:v>approved</x:v>
      </x:c>
      <x:c r="Y20" t="str">
        <x:v>mhafiz.samsudin@petronas.com</x:v>
      </x:c>
      <x:c r="Z20" t="n">
        <x:v>46000.287257048614</x:v>
      </x:c>
      <x:c r="AA20" t="str">
        <x:v>Align with Cloud Cost Optimization initiative. Approved.</x:v>
      </x:c>
      <x:c r="AB20" t="str">
        <x:v>rejected</x:v>
      </x:c>
      <x:c r="AC20" t="str">
        <x:v>azwan.badari@petronas.com</x:v>
      </x:c>
      <x:c r="AD20" t="n">
        <x:v>46047.724448692126</x:v>
      </x:c>
      <x:c r="AE20" t="str">
        <x:v>Please resubmit as there is no confirmation.</x:v>
      </x:c>
      <x:c r="AF20"/>
      <x:c r="AG20" t="str">
        <x:v>CCoE Operations</x:v>
      </x:c>
      <x:c r="AH20"/>
      <x:c r="AI20"/>
      <x:c r="AJ20" t="str">
        <x:v>A-000241</x:v>
      </x:c>
      <x:c r="AK20" t="str">
        <x:v>PSR04669</x:v>
      </x:c>
      <x:c r="AL20"/>
      <x:c r="AM20"/>
      <x:c r="AN20" t="str">
        <x:v>retention</x:v>
      </x:c>
      <x:c r="AO20" t="n">
        <x:v>30</x:v>
      </x:c>
      <x:c r="AP20" s="23" t="str">
        <x:f>IF(E20="processing",IF(Z20="","",IF(ISNUMBER(Z20),INT(Z20),DATE(VALUE(LEFT(Z20,4)),VALUE(MID(Z20,6,2)),VALUE(MID(Z20,9,2))))),IF(OR(E20="executing",E20="pending"),IF(AD20="","",IF(ISNUMBER(AD20),INT(AD20),DATE(VALUE(LEFT(AD20,4)),VALUE(MID(AD20,6,2)),VALUE(MID(AD20,9,2))))),""))</x:f>
      </x:c>
      <x:c r="AQ20" s="24" t="str">
        <x:f>IF(AP20="","",INT('Configuration'!$B$4)-AP20)</x:f>
      </x:c>
      <x:c r="AR20" s="25" t="str">
        <x:f>IF(AP20="","Missing Required Date",IF(AQ20&lt;0,"Future Date",IF(AQ20=0,"0 days",IF(AQ20&lt;=2,"1-2 days",IF(AQ20&lt;=7,"3-7 days",IF(AQ20&lt;=14,"8-14 days",IF(AQ20&lt;=30,"15-30 days",IF(AQ20&lt;=60,"31-60 days",IF(AQ20&lt;=70,"61-70 days","71+ days")))))))))</x:f>
        <x:v>Missing Required Date</x:v>
      </x:c>
      <x:c r="AS20" s="25" t="str">
        <x:f>IF(OR(E20="processing",E20="executing",E20="pending"),IF(AP20="","Required aging date missing",IF(AQ20&gt;30,"Escalate &gt;30d",IF(AQ20&gt;14,"Watch &gt;14d","Within 14d"))),"Out of scope")</x:f>
        <x:v>Out of scope</x:v>
      </x:c>
    </x:row>
    <x:row r="21" ht="24" customHeight="1">
      <x:c r="A21" t="str">
        <x:v>42303bf0-4804-4229-9b4d-601b156d79bc</x:v>
      </x:c>
      <x:c r="B21" t="str">
        <x:v>CSSP10547052</x:v>
      </x:c>
      <x:c r="C21" t="str">
        <x:v>azrel.nasaruddin@petronas.com</x:v>
      </x:c>
      <x:c r="D21" t="str">
        <x:v>decommission-cloud</x:v>
      </x:c>
      <x:c r="E21" t="str">
        <x:v>cancelled</x:v>
      </x:c>
      <x:c r="F21" t="n">
        <x:v>45993.124247465275</x:v>
      </x:c>
      <x:c r="G21" t="n">
        <x:v>46050.07820643519</x:v>
      </x:c>
      <x:c r="H21" t="n">
        <x:v>45993.124247465275</x:v>
      </x:c>
      <x:c r="I21" t="str">
        <x:v>Common Security</x:v>
      </x:c>
      <x:c r="J21" t="str">
        <x:v>Common infrastructure related to security such as DDOS protection, WAF and others</x:v>
      </x:c>
      <x:c r="K21" t="str">
        <x:v>partial</x:v>
      </x:c>
      <x:c r="L21"/>
      <x:c r="M21" t="str">
        <x:v>mhaslan.abuhassan@petronas.com</x:v>
      </x:c>
      <x:c r="N21"/>
      <x:c r="O21"/>
      <x:c r="P21" t="str">
        <x:v>to be decomm resources for : 
CPU Utilization for PTAZSG-PROD-OnPrem-WAFv1-01
PTAZSG-PROD-OnPrem-WAFv1-01
PTAZSG-PROD-Onprem-WAFv1-01-PIP
</x:v>
      </x:c>
      <x:c r="Q21" t="str">
        <x:v>2W</x:v>
      </x:c>
      <x:c r="R21" t="str">
        <x:v>Not in Used</x:v>
      </x:c>
      <x:c r="S21"/>
      <x:c r="T21" t="str">
        <x:v>rejected</x:v>
      </x:c>
      <x:c r="U21" t="str">
        <x:v>azwan.badari@petronas.com</x:v>
      </x:c>
      <x:c r="V21" t="n">
        <x:v>46050.07820643519</x:v>
      </x:c>
      <x:c r="W21" t="str">
        <x:v>Not required</x:v>
      </x:c>
      <x:c r="X21"/>
      <x:c r="Y21" t="str">
        <x:v>mhaslan.abuhassan@petronas.com</x:v>
      </x:c>
      <x:c r="Z21"/>
      <x:c r="AA21"/>
      <x:c r="AB21"/>
      <x:c r="AC21" t="str">
        <x:v>CCoE Business</x:v>
      </x:c>
      <x:c r="AD21"/>
      <x:c r="AE21"/>
      <x:c r="AF21"/>
      <x:c r="AG21" t="str">
        <x:v>CCoE Operations</x:v>
      </x:c>
      <x:c r="AH21"/>
      <x:c r="AI21"/>
      <x:c r="AJ21" t="str">
        <x:v>C-000017</x:v>
      </x:c>
      <x:c r="AK21" t="str">
        <x:v>Common-Security</x:v>
      </x:c>
      <x:c r="AL21"/>
      <x:c r="AM21"/>
      <x:c r="AN21" t="str">
        <x:v>noretention</x:v>
      </x:c>
      <x:c r="AO21" t="n">
        <x:v>0</x:v>
      </x:c>
      <x:c r="AP21" s="23" t="str">
        <x:f>IF(E21="processing",IF(Z21="","",IF(ISNUMBER(Z21),INT(Z21),DATE(VALUE(LEFT(Z21,4)),VALUE(MID(Z21,6,2)),VALUE(MID(Z21,9,2))))),IF(OR(E21="executing",E21="pending"),IF(AD21="","",IF(ISNUMBER(AD21),INT(AD21),DATE(VALUE(LEFT(AD21,4)),VALUE(MID(AD21,6,2)),VALUE(MID(AD21,9,2))))),""))</x:f>
      </x:c>
      <x:c r="AQ21" s="24" t="str">
        <x:f>IF(AP21="","",INT('Configuration'!$B$4)-AP21)</x:f>
      </x:c>
      <x:c r="AR21" s="25" t="str">
        <x:f>IF(AP21="","Missing Required Date",IF(AQ21&lt;0,"Future Date",IF(AQ21=0,"0 days",IF(AQ21&lt;=2,"1-2 days",IF(AQ21&lt;=7,"3-7 days",IF(AQ21&lt;=14,"8-14 days",IF(AQ21&lt;=30,"15-30 days",IF(AQ21&lt;=60,"31-60 days",IF(AQ21&lt;=70,"61-70 days","71+ days")))))))))</x:f>
        <x:v>Missing Required Date</x:v>
      </x:c>
      <x:c r="AS21" s="25" t="str">
        <x:f>IF(OR(E21="processing",E21="executing",E21="pending"),IF(AP21="","Required aging date missing",IF(AQ21&gt;30,"Escalate &gt;30d",IF(AQ21&gt;14,"Watch &gt;14d","Within 14d"))),"Out of scope")</x:f>
        <x:v>Out of scope</x:v>
      </x:c>
    </x:row>
    <x:row r="22" ht="24" customHeight="1">
      <x:c r="A22" t="str">
        <x:v>9dba099f-8a6d-42f2-ac79-698ccc7fa5fb</x:v>
      </x:c>
      <x:c r="B22" t="str">
        <x:v>CSSP10619105</x:v>
      </x:c>
      <x:c r="C22" t="str">
        <x:v>nursyazana.z@petronas.com</x:v>
      </x:c>
      <x:c r="D22" t="str">
        <x:v>decommission-cloud</x:v>
      </x:c>
      <x:c r="E22" t="str">
        <x:v>rejected</x:v>
      </x:c>
      <x:c r="F22" t="n">
        <x:v>45995.348835358796</x:v>
      </x:c>
      <x:c r="G22" t="n">
        <x:v>46047.723683923614</x:v>
      </x:c>
      <x:c r="H22" t="n">
        <x:v>45995.348835358796</x:v>
      </x:c>
      <x:c r="I22" t="str">
        <x:v>Upstream Technical Applications GOMSCUS</x:v>
      </x:c>
      <x:c r="J22" t="str">
        <x:v>AZURE Resource Provisioning for EIV US Gulf of Mexico (GOM) In PETRONAS AZURE South Central U.S. (SCUS)</x:v>
      </x:c>
      <x:c r="K22" t="str">
        <x:v>full</x:v>
      </x:c>
      <x:c r="L22" t="str">
        <x:v>DCOM20251204726</x:v>
      </x:c>
      <x:c r="M22" t="str">
        <x:v>mhafiz.samsudin@petronas.com</x:v>
      </x:c>
      <x:c r="N22" t="str">
        <x:v>Not Applicable</x:v>
      </x:c>
      <x:c r="O22" t="str">
        <x:v>PSR05689_3</x:v>
      </x:c>
      <x:c r="P22" t="str">
        <x:v>As discussed with Syazali, all resources has been shutdown and can be decommissioned</x:v>
      </x:c>
      <x:c r="Q22" t="str">
        <x:v>2W</x:v>
      </x:c>
      <x:c r="R22" t="str">
        <x:v>Not in Used</x:v>
      </x:c>
      <x:c r="S22"/>
      <x:c r="T22" t="str">
        <x:v>approved</x:v>
      </x:c>
      <x:c r="U22" t="str">
        <x:v>nursyazana.z@petronas.com</x:v>
      </x:c>
      <x:c r="V22" t="n">
        <x:v>45995.34926141204</x:v>
      </x:c>
      <x:c r="W22" t="str">
        <x:v>This will be done by Ahmad Syazali and Khairul Azwan</x:v>
      </x:c>
      <x:c r="X22" t="str">
        <x:v>approved</x:v>
      </x:c>
      <x:c r="Y22" t="str">
        <x:v>mhafiz.samsudin@petronas.com</x:v>
      </x:c>
      <x:c r="Z22" t="n">
        <x:v>46000.28777040509</x:v>
      </x:c>
      <x:c r="AA22" t="str">
        <x:v>Crucial as part of Cloud Cost Optimization exercise. Approved.</x:v>
      </x:c>
      <x:c r="AB22" t="str">
        <x:v>rejected</x:v>
      </x:c>
      <x:c r="AC22" t="str">
        <x:v>azwan.badari@petronas.com</x:v>
      </x:c>
      <x:c r="AD22" t="n">
        <x:v>46047.72368393518</x:v>
      </x:c>
      <x:c r="AE22" t="str">
        <x:v>Please resubmit as there is no confirmation.</x:v>
      </x:c>
      <x:c r="AF22"/>
      <x:c r="AG22" t="str">
        <x:v>CCoE Operations</x:v>
      </x:c>
      <x:c r="AH22"/>
      <x:c r="AI22"/>
      <x:c r="AJ22" t="str">
        <x:v>A-000798</x:v>
      </x:c>
      <x:c r="AK22" t="str">
        <x:v>PSR05689_3</x:v>
      </x:c>
      <x:c r="AL22"/>
      <x:c r="AM22"/>
      <x:c r="AN22" t="str">
        <x:v>retention</x:v>
      </x:c>
      <x:c r="AO22" t="n">
        <x:v>30</x:v>
      </x:c>
      <x:c r="AP22" s="23" t="str">
        <x:f>IF(E22="processing",IF(Z22="","",IF(ISNUMBER(Z22),INT(Z22),DATE(VALUE(LEFT(Z22,4)),VALUE(MID(Z22,6,2)),VALUE(MID(Z22,9,2))))),IF(OR(E22="executing",E22="pending"),IF(AD22="","",IF(ISNUMBER(AD22),INT(AD22),DATE(VALUE(LEFT(AD22,4)),VALUE(MID(AD22,6,2)),VALUE(MID(AD22,9,2))))),""))</x:f>
      </x:c>
      <x:c r="AQ22" s="24" t="str">
        <x:f>IF(AP22="","",INT('Configuration'!$B$4)-AP22)</x:f>
      </x:c>
      <x:c r="AR22" s="25" t="str">
        <x:f>IF(AP22="","Missing Required Date",IF(AQ22&lt;0,"Future Date",IF(AQ22=0,"0 days",IF(AQ22&lt;=2,"1-2 days",IF(AQ22&lt;=7,"3-7 days",IF(AQ22&lt;=14,"8-14 days",IF(AQ22&lt;=30,"15-30 days",IF(AQ22&lt;=60,"31-60 days",IF(AQ22&lt;=70,"61-70 days","71+ days")))))))))</x:f>
        <x:v>Missing Required Date</x:v>
      </x:c>
      <x:c r="AS22" s="25" t="str">
        <x:f>IF(OR(E22="processing",E22="executing",E22="pending"),IF(AP22="","Required aging date missing",IF(AQ22&gt;30,"Escalate &gt;30d",IF(AQ22&gt;14,"Watch &gt;14d","Within 14d"))),"Out of scope")</x:f>
        <x:v>Out of scope</x:v>
      </x:c>
    </x:row>
    <x:row r="23" ht="24" customHeight="1">
      <x:c r="A23" t="str">
        <x:v>67b0ede6-e19a-4ac3-9b27-563c45721825</x:v>
      </x:c>
      <x:c r="B23" t="str">
        <x:v>CSSP10851603</x:v>
      </x:c>
      <x:c r="C23" t="str">
        <x:v>mohamadfaisal.maasah@petronas.com</x:v>
      </x:c>
      <x:c r="D23" t="str">
        <x:v>decommission-cloud</x:v>
      </x:c>
      <x:c r="E23" t="str">
        <x:v>completed</x:v>
      </x:c>
      <x:c r="F23" t="n">
        <x:v>46002.121400289354</x:v>
      </x:c>
      <x:c r="G23" t="n">
        <x:v>46037.24682813657</x:v>
      </x:c>
      <x:c r="H23" t="n">
        <x:v>46029.09373736111</x:v>
      </x:c>
      <x:c r="I23" t="str">
        <x:v>Daily Operations Tracking System - DOTS</x:v>
      </x:c>
      <x:c r="J23" t="str">
        <x:v>Cloud Migration Program - Daily Operations Tracking System (DOTS)</x:v>
      </x:c>
      <x:c r="K23" t="str">
        <x:v>full</x:v>
      </x:c>
      <x:c r="L23" t="str">
        <x:v>DCOM20260107c0d</x:v>
      </x:c>
      <x:c r="M23" t="str">
        <x:v>halim.matnoh@petronas.com</x:v>
      </x:c>
      <x:c r="N23" t="str">
        <x:v>https://dots.digitalfields.petronas.com/</x:v>
      </x:c>
      <x:c r="O23"/>
      <x:c r="P23" t="str">
        <x:v>Application not in used.
To include shared managed databased for DOTS.</x:v>
      </x:c>
      <x:c r="Q23" t="str">
        <x:v>2W</x:v>
      </x:c>
      <x:c r="R23" t="str">
        <x:v>Not in Used</x:v>
      </x:c>
      <x:c r="S23"/>
      <x:c r="T23" t="str">
        <x:v>approved</x:v>
      </x:c>
      <x:c r="U23" t="str">
        <x:v>mohamadfaisal.maasah@petronas.com</x:v>
      </x:c>
      <x:c r="V23" t="n">
        <x:v>46029.09445693287</x:v>
      </x:c>
      <x:c r="W23" t="str">
        <x:v>To decomm the application (full decommission)</x:v>
      </x:c>
      <x:c r="X23" t="str">
        <x:v>approved</x:v>
      </x:c>
      <x:c r="Y23" t="str">
        <x:v>halim.matnoh@petronas.com</x:v>
      </x:c>
      <x:c r="Z23" t="n">
        <x:v>46030.13889993056</x:v>
      </x:c>
      <x:c r="AA23" t="str">
        <x:v>approved</x:v>
      </x:c>
      <x:c r="AB23" t="str">
        <x:v>approved</x:v>
      </x:c>
      <x:c r="AC23" t="str">
        <x:v>azwan.badari@petronas.com</x:v>
      </x:c>
      <x:c r="AD23" t="n">
        <x:v>46031.305408541666</x:v>
      </x:c>
      <x:c r="AE23" t="str">
        <x:v>Full Decommission DOTS (00915_4) including DB in shared managed instance in,
ptazsg-1udsqlmi01
ptazsg-4udsqlmi01
ptazsg-5udsqlmi01)</x:v>
      </x:c>
      <x:c r="AF23" t="str">
        <x:v>approved</x:v>
      </x:c>
      <x:c r="AG23" t="str">
        <x:v>azwan.badari@petronas.com</x:v>
      </x:c>
      <x:c r="AH23" t="n">
        <x:v>46037.24682813657</x:v>
      </x:c>
      <x:c r="AI23" t="str">
        <x:v>Completed</x:v>
      </x:c>
      <x:c r="AJ23" t="str">
        <x:v>A-000221</x:v>
      </x:c>
      <x:c r="AK23" t="str">
        <x:v>00915_4</x:v>
      </x:c>
      <x:c r="AL23" t="str">
        <x:v>M</x:v>
      </x:c>
      <x:c r="AM23" t="str">
        <x:v>REQ000007803645</x:v>
      </x:c>
      <x:c r="AN23" t="str">
        <x:v>retention</x:v>
      </x:c>
      <x:c r="AO23" t="n">
        <x:v>14</x:v>
      </x:c>
      <x:c r="AP23" s="23" t="str">
        <x:f>IF(E23="processing",IF(Z23="","",IF(ISNUMBER(Z23),INT(Z23),DATE(VALUE(LEFT(Z23,4)),VALUE(MID(Z23,6,2)),VALUE(MID(Z23,9,2))))),IF(OR(E23="executing",E23="pending"),IF(AD23="","",IF(ISNUMBER(AD23),INT(AD23),DATE(VALUE(LEFT(AD23,4)),VALUE(MID(AD23,6,2)),VALUE(MID(AD23,9,2))))),""))</x:f>
      </x:c>
      <x:c r="AQ23" s="24" t="str">
        <x:f>IF(AP23="","",INT('Configuration'!$B$4)-AP23)</x:f>
      </x:c>
      <x:c r="AR23" s="25" t="str">
        <x:f>IF(AP23="","Missing Required Date",IF(AQ23&lt;0,"Future Date",IF(AQ23=0,"0 days",IF(AQ23&lt;=2,"1-2 days",IF(AQ23&lt;=7,"3-7 days",IF(AQ23&lt;=14,"8-14 days",IF(AQ23&lt;=30,"15-30 days",IF(AQ23&lt;=60,"31-60 days",IF(AQ23&lt;=70,"61-70 days","71+ days")))))))))</x:f>
        <x:v>Missing Required Date</x:v>
      </x:c>
      <x:c r="AS23" s="25" t="str">
        <x:f>IF(OR(E23="processing",E23="executing",E23="pending"),IF(AP23="","Required aging date missing",IF(AQ23&gt;30,"Escalate &gt;30d",IF(AQ23&gt;14,"Watch &gt;14d","Within 14d"))),"Out of scope")</x:f>
        <x:v>Out of scope</x:v>
      </x:c>
    </x:row>
    <x:row r="24" ht="24" customHeight="1">
      <x:c r="A24" t="str">
        <x:v>c6a129dd-daca-4be4-aad4-3f4bb646fe74</x:v>
      </x:c>
      <x:c r="B24" t="str">
        <x:v>CSSP10204527</x:v>
      </x:c>
      <x:c r="C24" t="str">
        <x:v>sitisoleha.mnizam@petronas.com</x:v>
      </x:c>
      <x:c r="D24" t="str">
        <x:v>decommission-cloud</x:v>
      </x:c>
      <x:c r="E24" t="str">
        <x:v>completed</x:v>
      </x:c>
      <x:c r="F24" t="n">
        <x:v>46010.09860125</x:v>
      </x:c>
      <x:c r="G24" t="n">
        <x:v>46027.370540034724</x:v>
      </x:c>
      <x:c r="H24" t="n">
        <x:v>46010.09860125</x:v>
      </x:c>
      <x:c r="I24" t="str">
        <x:v>Project Management Solution</x:v>
      </x:c>
      <x:c r="J24" t="str">
        <x:v>Implementation of Interim Project Management Solution for Malaysia Petroleum Management (MPM)</x:v>
      </x:c>
      <x:c r="K24" t="str">
        <x:v>partial</x:v>
      </x:c>
      <x:c r="L24"/>
      <x:c r="M24" t="str">
        <x:v>sharulazlan.ahmad@petronas.com.my</x:v>
      </x:c>
      <x:c r="N24" t="str">
        <x:v>https://ipromptpac.petronas.com/iPROMPT/</x:v>
      </x:c>
      <x:c r="O24" t="n">
        <x:v>4594</x:v>
      </x:c>
      <x:c r="P24" t="str">
        <x:v>COC team has confirmed that the both dev and prod i-PROMPT resource groups can be decom because most of the services are stopped and the storage account last activity was in 2022. Hence, before we decom the whole RG, below are the estimated costs for both dev and prod RG. The slight differences between the costs is due to the higher number of storage account found in prod RG. Production RG: PTAZSG-PROD-IPMS-RG Development RG: PTAZSG-DEV-IPMS-RG</x:v>
      </x:c>
      <x:c r="Q24" t="str">
        <x:v>1M</x:v>
      </x:c>
      <x:c r="R24" t="str">
        <x:v>Consolidation</x:v>
      </x:c>
      <x:c r="S24"/>
      <x:c r="T24" t="str">
        <x:v>approved</x:v>
      </x:c>
      <x:c r="U24" t="str">
        <x:v>sitisoleha.mnizam@petronas.com</x:v>
      </x:c>
      <x:c r="V24" t="n">
        <x:v>46010.130798252314</x:v>
      </x:c>
      <x:c r="W24" t="str">
        <x:v>COC team has confirmed that the both dev and prod i-PROMPT resource groups can be decom because most of the services are stopped and the storage account last activity was in 2022. Hence, before we decom the whole RG, below are the estimated costs for both dev and prod RG. The slight differences between the costs is due to the higher number of storage account found in prod RG. Production RG: PTAZSG-PROD-IPMS-RG Development RG: PTAZSG-DEV-IPMS-RG</x:v>
      </x:c>
      <x:c r="X24" t="str">
        <x:v>approved</x:v>
      </x:c>
      <x:c r="Y24" t="str">
        <x:v>sharulazlan.ahmad@petronas.com</x:v>
      </x:c>
      <x:c r="Z24" t="n">
        <x:v>46013.41591048611</x:v>
      </x:c>
      <x:c r="AA24" t="str">
        <x:v>Approved</x:v>
      </x:c>
      <x:c r="AB24" t="str">
        <x:v>approved</x:v>
      </x:c>
      <x:c r="AC24" t="str">
        <x:v>azwan.badari@petronas.com</x:v>
      </x:c>
      <x:c r="AD24" t="n">
        <x:v>46015.12481969907</x:v>
      </x:c>
      <x:c r="AE24" t="str">
        <x:v>Decommission 2 RG only.
Production RG: PTAZSG-PROD-IPMS-RG Development RG: PTAZSG-DEV-IPMS-RG
DNS provided in the form is still in use (Outsystem).</x:v>
      </x:c>
      <x:c r="AF24" t="str">
        <x:v>approved</x:v>
      </x:c>
      <x:c r="AG24" t="str">
        <x:v>azlisham.md@petronas.com</x:v>
      </x:c>
      <x:c r="AH24" t="n">
        <x:v>46027.37054004629</x:v>
      </x:c>
      <x:c r="AI24" t="str">
        <x:v>The decommission request has been completed, and the status is now updated accordingly. Kindly verify from your end and confirm once reviewed.
</x:v>
      </x:c>
      <x:c r="AJ24" t="str">
        <x:v>A-000662</x:v>
      </x:c>
      <x:c r="AK24" t="n">
        <x:v>584</x:v>
      </x:c>
      <x:c r="AL24" t="str">
        <x:v>M</x:v>
      </x:c>
      <x:c r="AM24" t="str">
        <x:v>REQ000007761967</x:v>
      </x:c>
      <x:c r="AN24" t="str">
        <x:v>noretention</x:v>
      </x:c>
      <x:c r="AO24" t="n">
        <x:v>0</x:v>
      </x:c>
      <x:c r="AP24" s="23" t="str">
        <x:f>IF(E24="processing",IF(Z24="","",IF(ISNUMBER(Z24),INT(Z24),DATE(VALUE(LEFT(Z24,4)),VALUE(MID(Z24,6,2)),VALUE(MID(Z24,9,2))))),IF(OR(E24="executing",E24="pending"),IF(AD24="","",IF(ISNUMBER(AD24),INT(AD24),DATE(VALUE(LEFT(AD24,4)),VALUE(MID(AD24,6,2)),VALUE(MID(AD24,9,2))))),""))</x:f>
      </x:c>
      <x:c r="AQ24" s="24" t="str">
        <x:f>IF(AP24="","",INT('Configuration'!$B$4)-AP24)</x:f>
      </x:c>
      <x:c r="AR24" s="25" t="str">
        <x:f>IF(AP24="","Missing Required Date",IF(AQ24&lt;0,"Future Date",IF(AQ24=0,"0 days",IF(AQ24&lt;=2,"1-2 days",IF(AQ24&lt;=7,"3-7 days",IF(AQ24&lt;=14,"8-14 days",IF(AQ24&lt;=30,"15-30 days",IF(AQ24&lt;=60,"31-60 days",IF(AQ24&lt;=70,"61-70 days","71+ days")))))))))</x:f>
        <x:v>Missing Required Date</x:v>
      </x:c>
      <x:c r="AS24" s="25" t="str">
        <x:f>IF(OR(E24="processing",E24="executing",E24="pending"),IF(AP24="","Required aging date missing",IF(AQ24&gt;30,"Escalate &gt;30d",IF(AQ24&gt;14,"Watch &gt;14d","Within 14d"))),"Out of scope")</x:f>
        <x:v>Out of scope</x:v>
      </x:c>
    </x:row>
    <x:row r="25" ht="24" customHeight="1">
      <x:c r="A25" t="str">
        <x:v>75e71d16-4e6b-4a65-9d08-118dd73320c6</x:v>
      </x:c>
      <x:c r="B25" t="str">
        <x:v>CSSP10745533</x:v>
      </x:c>
      <x:c r="C25" t="str">
        <x:v>norhamizah.hasni@petronas.com</x:v>
      </x:c>
      <x:c r="D25" t="str">
        <x:v>decommission-cloud</x:v>
      </x:c>
      <x:c r="E25" t="str">
        <x:v>completed</x:v>
      </x:c>
      <x:c r="F25" t="n">
        <x:v>46013.30532982639</x:v>
      </x:c>
      <x:c r="G25" t="n">
        <x:v>46031.0865446875</x:v>
      </x:c>
      <x:c r="H25" t="n">
        <x:v>46013.30532982639</x:v>
      </x:c>
      <x:c r="I25" t="str">
        <x:v>CI Academy Portal</x:v>
      </x:c>
      <x:c r="J25" t="str">
        <x:v>Cloud Transformation Programme - CI Academy Portal</x:v>
      </x:c>
      <x:c r="K25" t="str">
        <x:v>partial</x:v>
      </x:c>
      <x:c r="L25"/>
      <x:c r="M25" t="str">
        <x:v>sazali.mokhtar@petronas.com</x:v>
      </x:c>
      <x:c r="N25"/>
      <x:c r="O25"/>
      <x:c r="P25" t="str">
        <x:v>To decommission old resources in Singapore region due to completed migration in MY region</x:v>
      </x:c>
      <x:c r="Q25" t="str">
        <x:v>2W</x:v>
      </x:c>
      <x:c r="R25" t="str">
        <x:v>Cloud Migration</x:v>
      </x:c>
      <x:c r="S25"/>
      <x:c r="T25" t="str">
        <x:v>approved</x:v>
      </x:c>
      <x:c r="U25" t="str">
        <x:v>norhamizah.hasni@petronas.com</x:v>
      </x:c>
      <x:c r="V25" t="n">
        <x:v>46013.306402581016</x:v>
      </x:c>
      <x:c r="W25" t="str">
        <x:v>To decommission resources in SG region</x:v>
      </x:c>
      <x:c r="X25" t="str">
        <x:v>approved</x:v>
      </x:c>
      <x:c r="Y25" t="str">
        <x:v>sazali.mokhtar@petronas.com</x:v>
      </x:c>
      <x:c r="Z25" t="n">
        <x:v>46027.13940638889</x:v>
      </x:c>
      <x:c r="AA25" t="str">
        <x:v>To decommission old resources in Singapore region due to completed migration in MY region - ( Hamizah )</x:v>
      </x:c>
      <x:c r="AB25" t="str">
        <x:v>approved</x:v>
      </x:c>
      <x:c r="AC25" t="str">
        <x:v>azwan.badari@petronas.com</x:v>
      </x:c>
      <x:c r="AD25" t="n">
        <x:v>46028.10141092593</x:v>
      </x:c>
      <x:c r="AE25" t="str">
        <x:v>Repatriation</x:v>
      </x:c>
      <x:c r="AF25" t="str">
        <x:v>approved</x:v>
      </x:c>
      <x:c r="AG25" t="str">
        <x:v>azwan.badari@petronas.com</x:v>
      </x:c>
      <x:c r="AH25" t="n">
        <x:v>46031.08654469907</x:v>
      </x:c>
      <x:c r="AI25" t="str">
        <x:v>Completed</x:v>
      </x:c>
      <x:c r="AJ25" t="str">
        <x:v>A-000111</x:v>
      </x:c>
      <x:c r="AK25" t="str">
        <x:v>02421_89</x:v>
      </x:c>
      <x:c r="AL25" t="str">
        <x:v>S</x:v>
      </x:c>
      <x:c r="AM25" t="str">
        <x:v>REQ000007790054</x:v>
      </x:c>
      <x:c r="AN25" t="str">
        <x:v>noretention</x:v>
      </x:c>
      <x:c r="AO25" t="n">
        <x:v>0</x:v>
      </x:c>
      <x:c r="AP25" s="23" t="str">
        <x:f>IF(E25="processing",IF(Z25="","",IF(ISNUMBER(Z25),INT(Z25),DATE(VALUE(LEFT(Z25,4)),VALUE(MID(Z25,6,2)),VALUE(MID(Z25,9,2))))),IF(OR(E25="executing",E25="pending"),IF(AD25="","",IF(ISNUMBER(AD25),INT(AD25),DATE(VALUE(LEFT(AD25,4)),VALUE(MID(AD25,6,2)),VALUE(MID(AD25,9,2))))),""))</x:f>
      </x:c>
      <x:c r="AQ25" s="24" t="str">
        <x:f>IF(AP25="","",INT('Configuration'!$B$4)-AP25)</x:f>
      </x:c>
      <x:c r="AR25" s="25" t="str">
        <x:f>IF(AP25="","Missing Required Date",IF(AQ25&lt;0,"Future Date",IF(AQ25=0,"0 days",IF(AQ25&lt;=2,"1-2 days",IF(AQ25&lt;=7,"3-7 days",IF(AQ25&lt;=14,"8-14 days",IF(AQ25&lt;=30,"15-30 days",IF(AQ25&lt;=60,"31-60 days",IF(AQ25&lt;=70,"61-70 days","71+ days")))))))))</x:f>
        <x:v>Missing Required Date</x:v>
      </x:c>
      <x:c r="AS25" s="25" t="str">
        <x:f>IF(OR(E25="processing",E25="executing",E25="pending"),IF(AP25="","Required aging date missing",IF(AQ25&gt;30,"Escalate &gt;30d",IF(AQ25&gt;14,"Watch &gt;14d","Within 14d"))),"Out of scope")</x:f>
        <x:v>Out of scope</x:v>
      </x:c>
    </x:row>
    <x:row r="26" ht="24" customHeight="1">
      <x:c r="A26" t="str">
        <x:v>19a4096f-0ee7-4553-b3bf-ebf4344efc24</x:v>
      </x:c>
      <x:c r="B26" t="str">
        <x:v>CSSP10759471</x:v>
      </x:c>
      <x:c r="C26" t="str">
        <x:v>fahmi.badurisam@petronas.com</x:v>
      </x:c>
      <x:c r="D26" t="str">
        <x:v>decommission-cloud</x:v>
      </x:c>
      <x:c r="E26" t="str">
        <x:v>completed</x:v>
      </x:c>
      <x:c r="F26" t="n">
        <x:v>46014.15188853009</x:v>
      </x:c>
      <x:c r="G26" t="n">
        <x:v>46048.32282732639</x:v>
      </x:c>
      <x:c r="H26" t="n">
        <x:v>46014.15188853009</x:v>
      </x:c>
      <x:c r="I26" t="str">
        <x:v>UPS Monitoring</x:v>
      </x:c>
      <x:c r="J26" t="str">
        <x:v>UPS Monitoring</x:v>
      </x:c>
      <x:c r="K26" t="str">
        <x:v>full</x:v>
      </x:c>
      <x:c r="L26" t="str">
        <x:v>DCOM20251223e29</x:v>
      </x:c>
      <x:c r="M26" t="str">
        <x:v>hafiz.awahab@petronas.com</x:v>
      </x:c>
      <x:c r="N26"/>
      <x:c r="O26"/>
      <x:c r="P26" t="str">
        <x:v>INDY 500 decommissioning.</x:v>
      </x:c>
      <x:c r="Q26" t="str">
        <x:v>2W</x:v>
      </x:c>
      <x:c r="R26" t="str">
        <x:v>Not in Used</x:v>
      </x:c>
      <x:c r="S26"/>
      <x:c r="T26" t="str">
        <x:v>approved</x:v>
      </x:c>
      <x:c r="U26" t="str">
        <x:v>fahmi.badurisam@petronas.com</x:v>
      </x:c>
      <x:c r="V26" t="n">
        <x:v>46014.15294532407</x:v>
      </x:c>
      <x:c r="W26" t="str">
        <x:v>Based on INDY 500 the UPS Monitoring System can be decommissioned by the end of December 2025.</x:v>
      </x:c>
      <x:c r="X26" t="str">
        <x:v>approved</x:v>
      </x:c>
      <x:c r="Y26" t="str">
        <x:v>hafiz.awahab@petronas.com</x:v>
      </x:c>
      <x:c r="Z26" t="n">
        <x:v>46027.267196354165</x:v>
      </x:c>
      <x:c r="AA26" t="str">
        <x:v>N/A</x:v>
      </x:c>
      <x:c r="AB26" t="str">
        <x:v>approved</x:v>
      </x:c>
      <x:c r="AC26" t="str">
        <x:v>azwan.badari@petronas.com</x:v>
      </x:c>
      <x:c r="AD26" t="n">
        <x:v>46028.104025706016</x:v>
      </x:c>
      <x:c r="AE26" t="str">
        <x:v>Full decommission. Delete all resources and RG PTAZSG-IAC-PROD-UPSMON-RG</x:v>
      </x:c>
      <x:c r="AF26" t="str">
        <x:v>approved</x:v>
      </x:c>
      <x:c r="AG26" t="str">
        <x:v>abdullah.haziq@petronas.com</x:v>
      </x:c>
      <x:c r="AH26" t="n">
        <x:v>46048.322827337965</x:v>
      </x:c>
      <x:c r="AI26" t="str">
        <x:v>completed.</x:v>
      </x:c>
      <x:c r="AJ26" t="str">
        <x:v>A-000825</x:v>
      </x:c>
      <x:c r="AK26" t="str">
        <x:v>PC-00074</x:v>
      </x:c>
      <x:c r="AL26" t="str">
        <x:v>M</x:v>
      </x:c>
      <x:c r="AM26" t="str">
        <x:v>REQ000007789495</x:v>
      </x:c>
      <x:c r="AN26" t="str">
        <x:v>disposal</x:v>
      </x:c>
      <x:c r="AO26" t="n">
        <x:v>0</x:v>
      </x:c>
      <x:c r="AP26" s="23" t="str">
        <x:f>IF(E26="processing",IF(Z26="","",IF(ISNUMBER(Z26),INT(Z26),DATE(VALUE(LEFT(Z26,4)),VALUE(MID(Z26,6,2)),VALUE(MID(Z26,9,2))))),IF(OR(E26="executing",E26="pending"),IF(AD26="","",IF(ISNUMBER(AD26),INT(AD26),DATE(VALUE(LEFT(AD26,4)),VALUE(MID(AD26,6,2)),VALUE(MID(AD26,9,2))))),""))</x:f>
      </x:c>
      <x:c r="AQ26" s="24" t="str">
        <x:f>IF(AP26="","",INT('Configuration'!$B$4)-AP26)</x:f>
      </x:c>
      <x:c r="AR26" s="25" t="str">
        <x:f>IF(AP26="","Missing Required Date",IF(AQ26&lt;0,"Future Date",IF(AQ26=0,"0 days",IF(AQ26&lt;=2,"1-2 days",IF(AQ26&lt;=7,"3-7 days",IF(AQ26&lt;=14,"8-14 days",IF(AQ26&lt;=30,"15-30 days",IF(AQ26&lt;=60,"31-60 days",IF(AQ26&lt;=70,"61-70 days","71+ days")))))))))</x:f>
        <x:v>Missing Required Date</x:v>
      </x:c>
      <x:c r="AS26" s="25" t="str">
        <x:f>IF(OR(E26="processing",E26="executing",E26="pending"),IF(AP26="","Required aging date missing",IF(AQ26&gt;30,"Escalate &gt;30d",IF(AQ26&gt;14,"Watch &gt;14d","Within 14d"))),"Out of scope")</x:f>
        <x:v>Out of scope</x:v>
      </x:c>
    </x:row>
    <x:row r="27" ht="24" customHeight="1">
      <x:c r="A27" t="str">
        <x:v>b3e9a526-8855-4213-a5e0-c6b29a4822c1</x:v>
      </x:c>
      <x:c r="B27" t="str">
        <x:v>CSSP10150850</x:v>
      </x:c>
      <x:c r="C27" t="str">
        <x:v>chuah_kenneth@petronas.com</x:v>
      </x:c>
      <x:c r="D27" t="str">
        <x:v>decommission-cloud</x:v>
      </x:c>
      <x:c r="E27" t="str">
        <x:v>completed</x:v>
      </x:c>
      <x:c r="F27" t="n">
        <x:v>46014.29165355324</x:v>
      </x:c>
      <x:c r="G27" t="n">
        <x:v>46059.21626530093</x:v>
      </x:c>
      <x:c r="H27" t="n">
        <x:v>46014.29165355324</x:v>
      </x:c>
      <x:c r="I27" t="str">
        <x:v>Cyber Security Trend Micro</x:v>
      </x:c>
      <x:c r="J27" t="str">
        <x:v>Cyber Security Trend Micro created for PRIVATECLOUD project record</x:v>
      </x:c>
      <x:c r="K27" t="str">
        <x:v>full</x:v>
      </x:c>
      <x:c r="L27" t="str">
        <x:v>DCOM202512232b1</x:v>
      </x:c>
      <x:c r="M27" t="str">
        <x:v>ahmadfajar.faeiz@petronas.com</x:v>
      </x:c>
      <x:c r="N27"/>
      <x:c r="O27"/>
      <x:c r="P27" t="str">
        <x:v>All endpoints and servers protection (antimalware) migrated to Microsoft Defender for Endpoint (MDE).</x:v>
      </x:c>
      <x:c r="Q27" t="str">
        <x:v>3M</x:v>
      </x:c>
      <x:c r="R27" t="str">
        <x:v>End of Lease</x:v>
      </x:c>
      <x:c r="S27"/>
      <x:c r="T27" t="str">
        <x:v>approved</x:v>
      </x:c>
      <x:c r="U27" t="str">
        <x:v>chuah_kenneth@petronas.com</x:v>
      </x:c>
      <x:c r="V27" t="n">
        <x:v>46014.29540594907</x:v>
      </x:c>
      <x:c r="W27" t="str">
        <x:v>Resources has been submitted to Azlisham for further validation. 
Actual Resources for Trend Micro Deep Security ;
vcentmdsm01 - 10.14.17.149
vcentmdsm02 - 10.14.17.151
vcentmdsmdb - 10.14.17.150</x:v>
      </x:c>
      <x:c r="X27" t="str">
        <x:v>approved</x:v>
      </x:c>
      <x:c r="Y27" t="str">
        <x:v>ahmadfajar.faeiz@petronas.com</x:v>
      </x:c>
      <x:c r="Z27" t="n">
        <x:v>46050.335932002316</x:v>
      </x:c>
      <x:c r="AA27" t="str">
        <x:v>endpoint are protected by MDE</x:v>
      </x:c>
      <x:c r="AB27" t="str">
        <x:v>approved</x:v>
      </x:c>
      <x:c r="AC27" t="str">
        <x:v>azwan.badari@petronas.com</x:v>
      </x:c>
      <x:c r="AD27" t="n">
        <x:v>46050.3487265625</x:v>
      </x:c>
      <x:c r="AE27" t="str">
        <x:v>Decommission vcentmdsm01 - 10.14.17.149, vcentmdsm02 - 10.14.17.151, vcentmdsmdb - 10.14.17.150</x:v>
      </x:c>
      <x:c r="AF27" t="str">
        <x:v>approved</x:v>
      </x:c>
      <x:c r="AG27" t="str">
        <x:v>azlisham.md@petronas.com</x:v>
      </x:c>
      <x:c r="AH27" t="n">
        <x:v>46059.2162653125</x:v>
      </x:c>
      <x:c r="AI27" t="str">
        <x:v>The decommission request has been completed, and the status is now updated accordingly. Kindly verify from your end and confirm once reviewed.
</x:v>
      </x:c>
      <x:c r="AJ27" t="str">
        <x:v>A-000181</x:v>
      </x:c>
      <x:c r="AK27" t="n">
        <x:v>10055</x:v>
      </x:c>
      <x:c r="AL27" t="str">
        <x:v>M</x:v>
      </x:c>
      <x:c r="AM27" t="str">
        <x:v>REQ000007847048</x:v>
      </x:c>
      <x:c r="AN27" t="str">
        <x:v>retention</x:v>
      </x:c>
      <x:c r="AO27"/>
      <x:c r="AP27" s="23" t="str">
        <x:f>IF(E27="processing",IF(Z27="","",IF(ISNUMBER(Z27),INT(Z27),DATE(VALUE(LEFT(Z27,4)),VALUE(MID(Z27,6,2)),VALUE(MID(Z27,9,2))))),IF(OR(E27="executing",E27="pending"),IF(AD27="","",IF(ISNUMBER(AD27),INT(AD27),DATE(VALUE(LEFT(AD27,4)),VALUE(MID(AD27,6,2)),VALUE(MID(AD27,9,2))))),""))</x:f>
      </x:c>
      <x:c r="AQ27" s="24" t="str">
        <x:f>IF(AP27="","",INT('Configuration'!$B$4)-AP27)</x:f>
      </x:c>
      <x:c r="AR27" s="25" t="str">
        <x:f>IF(AP27="","Missing Required Date",IF(AQ27&lt;0,"Future Date",IF(AQ27=0,"0 days",IF(AQ27&lt;=2,"1-2 days",IF(AQ27&lt;=7,"3-7 days",IF(AQ27&lt;=14,"8-14 days",IF(AQ27&lt;=30,"15-30 days",IF(AQ27&lt;=60,"31-60 days",IF(AQ27&lt;=70,"61-70 days","71+ days")))))))))</x:f>
        <x:v>Missing Required Date</x:v>
      </x:c>
      <x:c r="AS27" s="25" t="str">
        <x:f>IF(OR(E27="processing",E27="executing",E27="pending"),IF(AP27="","Required aging date missing",IF(AQ27&gt;30,"Escalate &gt;30d",IF(AQ27&gt;14,"Watch &gt;14d","Within 14d"))),"Out of scope")</x:f>
        <x:v>Out of scope</x:v>
      </x:c>
    </x:row>
    <x:row r="28" ht="24" customHeight="1">
      <x:c r="A28" t="str">
        <x:v>05ee9847-ff57-4050-a9e1-aec0b95b5284</x:v>
      </x:c>
      <x:c r="B28" t="str">
        <x:v>CSSP10737482</x:v>
      </x:c>
      <x:c r="C28" t="str">
        <x:v>syahir.shaiful@petronas.com</x:v>
      </x:c>
      <x:c r="D28" t="str">
        <x:v>decommission-cloud</x:v>
      </x:c>
      <x:c r="E28" t="str">
        <x:v>completed</x:v>
      </x:c>
      <x:c r="F28" t="n">
        <x:v>46014.3209653588</x:v>
      </x:c>
      <x:c r="G28" t="n">
        <x:v>46083.35332028935</x:v>
      </x:c>
      <x:c r="H28" t="n">
        <x:v>46014.3209653588</x:v>
      </x:c>
      <x:c r="I28" t="str">
        <x:v>Upstream Technology and Digital Innovation - UTDI Data Operations</x:v>
      </x:c>
      <x:c r="J28" t="str">
        <x:v>2023 - DSG repurpose for UTDI Data Ops as instruction from upstream tribe
Provision of Azure Cloud Services for Halliburton Decision Space Geoscience (DSG) Application for Group Technical Data</x:v>
      </x:c>
      <x:c r="K28" t="str">
        <x:v>partial</x:v>
      </x:c>
      <x:c r="L28"/>
      <x:c r="M28" t="str">
        <x:v>wanzul-atfi.matnawi@petronas.com</x:v>
      </x:c>
      <x:c r="N28"/>
      <x:c r="O28"/>
      <x:c r="P28"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
</x:v>
      </x:c>
      <x:c r="Q28" t="str">
        <x:v>1M</x:v>
      </x:c>
      <x:c r="R28" t="str">
        <x:v>Not in Used</x:v>
      </x:c>
      <x:c r="S28"/>
      <x:c r="T28" t="str">
        <x:v>approved</x:v>
      </x:c>
      <x:c r="U28" t="str">
        <x:v>syahir.shaiful@petronas.com</x:v>
      </x:c>
      <x:c r="V28" t="n">
        <x:v>46014.32806236111</x:v>
      </x:c>
      <x:c r="W28"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x:v>
      </x:c>
      <x:c r="X28" t="str">
        <x:v>approved</x:v>
      </x:c>
      <x:c r="Y28" t="str">
        <x:v>wanzul-atfi.matnawi@petronas.com</x:v>
      </x:c>
      <x:c r="Z28" t="n">
        <x:v>46076.157491550926</x:v>
      </x:c>
      <x:c r="AA28" t="str">
        <x:v>As have been identified and validated by Data team.</x:v>
      </x:c>
      <x:c r="AB28" t="str">
        <x:v>approved</x:v>
      </x:c>
      <x:c r="AC28" t="str">
        <x:v>azwan.badari@petronas.com</x:v>
      </x:c>
      <x:c r="AD28" t="n">
        <x:v>46077.098174583334</x:v>
      </x:c>
      <x:c r="AE28" t="str">
        <x:v>Proceed as per listed</x:v>
      </x:c>
      <x:c r="AF28" t="str">
        <x:v>approved</x:v>
      </x:c>
      <x:c r="AG28" t="str">
        <x:v>azlisham.md@petronas.com</x:v>
      </x:c>
      <x:c r="AH28" t="n">
        <x:v>46083.35332030093</x:v>
      </x:c>
      <x:c r="AI28" t="str">
        <x:v>The decommission request has been completed, and the status is now updated accordingly. Kindly verify from your end and confirm once reviewed.
The storage account (highlighted in red)  cannot be deleted due to its artifacts being in use
</x:v>
      </x:c>
      <x:c r="AJ28" t="str">
        <x:v>A-000241</x:v>
      </x:c>
      <x:c r="AK28" t="str">
        <x:v>PSR04669</x:v>
      </x:c>
      <x:c r="AL28" t="str">
        <x:v>M</x:v>
      </x:c>
      <x:c r="AM28" t="str">
        <x:v>REQ000007888792</x:v>
      </x:c>
      <x:c r="AN28" t="str">
        <x:v>noretention</x:v>
      </x:c>
      <x:c r="AO28" t="n">
        <x:v>0</x:v>
      </x:c>
      <x:c r="AP28" s="23" t="str">
        <x:f>IF(E28="processing",IF(Z28="","",IF(ISNUMBER(Z28),INT(Z28),DATE(VALUE(LEFT(Z28,4)),VALUE(MID(Z28,6,2)),VALUE(MID(Z28,9,2))))),IF(OR(E28="executing",E28="pending"),IF(AD28="","",IF(ISNUMBER(AD28),INT(AD28),DATE(VALUE(LEFT(AD28,4)),VALUE(MID(AD28,6,2)),VALUE(MID(AD28,9,2))))),""))</x:f>
      </x:c>
      <x:c r="AQ28" s="24" t="str">
        <x:f>IF(AP28="","",INT('Configuration'!$B$4)-AP28)</x:f>
      </x:c>
      <x:c r="AR28" s="25" t="str">
        <x:f>IF(AP28="","Missing Required Date",IF(AQ28&lt;0,"Future Date",IF(AQ28=0,"0 days",IF(AQ28&lt;=2,"1-2 days",IF(AQ28&lt;=7,"3-7 days",IF(AQ28&lt;=14,"8-14 days",IF(AQ28&lt;=30,"15-30 days",IF(AQ28&lt;=60,"31-60 days",IF(AQ28&lt;=70,"61-70 days","71+ days")))))))))</x:f>
        <x:v>Missing Required Date</x:v>
      </x:c>
      <x:c r="AS28" s="25" t="str">
        <x:f>IF(OR(E28="processing",E28="executing",E28="pending"),IF(AP28="","Required aging date missing",IF(AQ28&gt;30,"Escalate &gt;30d",IF(AQ28&gt;14,"Watch &gt;14d","Within 14d"))),"Out of scope")</x:f>
        <x:v>Out of scope</x:v>
      </x:c>
    </x:row>
    <x:row r="29" ht="24" customHeight="1">
      <x:c r="A29" t="str">
        <x:v>26802f94-96c1-42b1-8695-2b1d58cb4e08</x:v>
      </x:c>
      <x:c r="B29" t="str">
        <x:v>CSSP10471891</x:v>
      </x:c>
      <x:c r="C29" t="str">
        <x:v>syahir.shaiful@petronas.com</x:v>
      </x:c>
      <x:c r="D29" t="str">
        <x:v>decommission-cloud</x:v>
      </x:c>
      <x:c r="E29" t="str">
        <x:v>completed</x:v>
      </x:c>
      <x:c r="F29" t="n">
        <x:v>46014.330027662036</x:v>
      </x:c>
      <x:c r="G29" t="n">
        <x:v>46084.14960159722</x:v>
      </x:c>
      <x:c r="H29" t="n">
        <x:v>46014.330027662036</x:v>
      </x:c>
      <x:c r="I29" t="str">
        <x:v>Upstream Technology and Digital Innovation - UTDI Data Operations</x:v>
      </x:c>
      <x:c r="J29" t="str">
        <x:v>2023 - DSG repurpose for UTDI Data Ops as instruction from upstream tribe
Provision of Cloud Services for Gabon Office - DSG West Europe</x:v>
      </x:c>
      <x:c r="K29" t="str">
        <x:v>partial</x:v>
      </x:c>
      <x:c r="L29"/>
      <x:c r="M29" t="str">
        <x:v>wanzul-atfi.matnawi@petronas.com</x:v>
      </x:c>
      <x:c r="N29"/>
      <x:c r="O29"/>
      <x:c r="P29"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x:v>
      </x:c>
      <x:c r="Q29" t="str">
        <x:v>1M</x:v>
      </x:c>
      <x:c r="R29" t="str">
        <x:v>Not in Used</x:v>
      </x:c>
      <x:c r="S29"/>
      <x:c r="T29" t="str">
        <x:v>approved</x:v>
      </x:c>
      <x:c r="U29" t="str">
        <x:v>syahir.shaiful@petronas.com</x:v>
      </x:c>
      <x:c r="V29" t="n">
        <x:v>46014.330819097224</x:v>
      </x:c>
      <x:c r="W29"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x:v>
      </x:c>
      <x:c r="X29" t="str">
        <x:v>approved</x:v>
      </x:c>
      <x:c r="Y29" t="str">
        <x:v>wanzul-atfi.matnawi@petronas.com</x:v>
      </x:c>
      <x:c r="Z29" t="n">
        <x:v>46076.15656545139</x:v>
      </x:c>
      <x:c r="AA29" t="str">
        <x:v>As have been identified and validated by Data team.</x:v>
      </x:c>
      <x:c r="AB29" t="str">
        <x:v>approved</x:v>
      </x:c>
      <x:c r="AC29" t="str">
        <x:v>azwan.badari@petronas.com</x:v>
      </x:c>
      <x:c r="AD29" t="n">
        <x:v>46077.097926712966</x:v>
      </x:c>
      <x:c r="AE29" t="str">
        <x:v>Proceed as per listed</x:v>
      </x:c>
      <x:c r="AF29" t="str">
        <x:v>approved</x:v>
      </x:c>
      <x:c r="AG29" t="str">
        <x:v>azlisham.md@petronas.com</x:v>
      </x:c>
      <x:c r="AH29" t="n">
        <x:v>46084.14960159722</x:v>
      </x:c>
      <x:c r="AI29" t="str">
        <x:v>same request with CSSP10737482</x:v>
      </x:c>
      <x:c r="AJ29" t="str">
        <x:v>A-000241</x:v>
      </x:c>
      <x:c r="AK29" t="str">
        <x:v>AZ-DSG-WEU</x:v>
      </x:c>
      <x:c r="AL29" t="str">
        <x:v>M</x:v>
      </x:c>
      <x:c r="AM29" t="str">
        <x:v>REQ000007888791</x:v>
      </x:c>
      <x:c r="AN29" t="str">
        <x:v>noretention</x:v>
      </x:c>
      <x:c r="AO29" t="n">
        <x:v>0</x:v>
      </x:c>
      <x:c r="AP29" s="23" t="str">
        <x:f>IF(E29="processing",IF(Z29="","",IF(ISNUMBER(Z29),INT(Z29),DATE(VALUE(LEFT(Z29,4)),VALUE(MID(Z29,6,2)),VALUE(MID(Z29,9,2))))),IF(OR(E29="executing",E29="pending"),IF(AD29="","",IF(ISNUMBER(AD29),INT(AD29),DATE(VALUE(LEFT(AD29,4)),VALUE(MID(AD29,6,2)),VALUE(MID(AD29,9,2))))),""))</x:f>
      </x:c>
      <x:c r="AQ29" s="24" t="str">
        <x:f>IF(AP29="","",INT('Configuration'!$B$4)-AP29)</x:f>
      </x:c>
      <x:c r="AR29" s="25" t="str">
        <x:f>IF(AP29="","Missing Required Date",IF(AQ29&lt;0,"Future Date",IF(AQ29=0,"0 days",IF(AQ29&lt;=2,"1-2 days",IF(AQ29&lt;=7,"3-7 days",IF(AQ29&lt;=14,"8-14 days",IF(AQ29&lt;=30,"15-30 days",IF(AQ29&lt;=60,"31-60 days",IF(AQ29&lt;=70,"61-70 days","71+ days")))))))))</x:f>
        <x:v>Missing Required Date</x:v>
      </x:c>
      <x:c r="AS29" s="25" t="str">
        <x:f>IF(OR(E29="processing",E29="executing",E29="pending"),IF(AP29="","Required aging date missing",IF(AQ29&gt;30,"Escalate &gt;30d",IF(AQ29&gt;14,"Watch &gt;14d","Within 14d"))),"Out of scope")</x:f>
        <x:v>Out of scope</x:v>
      </x:c>
    </x:row>
    <x:row r="30" ht="24" customHeight="1">
      <x:c r="A30" t="str">
        <x:v>280ff278-f9e5-4b4e-801a-bd7fcb23f040</x:v>
      </x:c>
      <x:c r="B30" t="str">
        <x:v>CSSP10985709</x:v>
      </x:c>
      <x:c r="C30" t="str">
        <x:v>nurulnajwa.mud@petronas.com</x:v>
      </x:c>
      <x:c r="D30" t="str">
        <x:v>decommission-cloud</x:v>
      </x:c>
      <x:c r="E30" t="str">
        <x:v>completed</x:v>
      </x:c>
      <x:c r="F30" t="n">
        <x:v>46014.361186180555</x:v>
      </x:c>
      <x:c r="G30" t="n">
        <x:v>46028.33286449074</x:v>
      </x:c>
      <x:c r="H30" t="n">
        <x:v>46014.362696840275</x:v>
      </x:c>
      <x:c r="I30" t="str">
        <x:v>Business Intelligence Reporting and Analytic - BIRA</x:v>
      </x:c>
      <x:c r="J30" t="str">
        <x:v>Cloud Migration- BIRA (Business Intelligence Reporting &amp; Analytic)</x:v>
      </x:c>
      <x:c r="K30" t="str">
        <x:v>partial</x:v>
      </x:c>
      <x:c r="L30"/>
      <x:c r="M30" t="str">
        <x:v>kuek.chiayin@petronas.com.my</x:v>
      </x:c>
      <x:c r="N30" t="str">
        <x:v>-</x:v>
      </x:c>
      <x:c r="O30"/>
      <x:c r="P30" t="str">
        <x:v>Approval to proceed with the decommissioning of these specified Azure Storage Account. due to not in used
ptazsg5birastrdl Storage account StorageV2 
ptazsg4birastrdl Storage account StorageV2
ptazsg1birastrlrs Storage account StorageV2</x:v>
      </x:c>
      <x:c r="Q30" t="str">
        <x:v>3M</x:v>
      </x:c>
      <x:c r="R30" t="str">
        <x:v>Not in Used</x:v>
      </x:c>
      <x:c r="S30"/>
      <x:c r="T30" t="str">
        <x:v>approved</x:v>
      </x:c>
      <x:c r="U30" t="str">
        <x:v>nurulnajwa.mud@petronas.com</x:v>
      </x:c>
      <x:c r="V30" t="n">
        <x:v>46014.36509957176</x:v>
      </x:c>
      <x:c r="W30" t="str">
        <x:v>Decom the following Storage account:
DEV: ptazsg5birastrdl,
UAT: ptazsg4birastrdl,
PROD: ptazsg1birastrlrs</x:v>
      </x:c>
      <x:c r="X30" t="str">
        <x:v>approved</x:v>
      </x:c>
      <x:c r="Y30" t="str">
        <x:v>kuek.chiayin@petronas.com</x:v>
      </x:c>
      <x:c r="Z30" t="n">
        <x:v>46027.305764606484</x:v>
      </x:c>
      <x:c r="AA30" t="str">
        <x:v>Verified that the storage account is not in use, and can be decommissioned. </x:v>
      </x:c>
      <x:c r="AB30" t="str">
        <x:v>approved</x:v>
      </x:c>
      <x:c r="AC30" t="str">
        <x:v>azlisham.md@petronas.com</x:v>
      </x:c>
      <x:c r="AD30" t="n">
        <x:v>46027.552840868055</x:v>
      </x:c>
      <x:c r="AE30" t="str">
        <x:v>proceed to decom</x:v>
      </x:c>
      <x:c r="AF30" t="str">
        <x:v>approved</x:v>
      </x:c>
      <x:c r="AG30" t="str">
        <x:v>azlisham.md@petronas.com</x:v>
      </x:c>
      <x:c r="AH30" t="n">
        <x:v>46028.33286451389</x:v>
      </x:c>
      <x:c r="AI30" t="str">
        <x:v>The decommission request has been completed, and the status is now updated accordingly. Kindly verify from your end and confirm once reviewed.
</x:v>
      </x:c>
      <x:c r="AJ30" t="str">
        <x:v>A-000092</x:v>
      </x:c>
      <x:c r="AK30" t="str">
        <x:v>02421_15</x:v>
      </x:c>
      <x:c r="AL30" t="str">
        <x:v>M</x:v>
      </x:c>
      <x:c r="AM30" t="str">
        <x:v>REQ000007789020</x:v>
      </x:c>
      <x:c r="AN30" t="str">
        <x:v>noretention</x:v>
      </x:c>
      <x:c r="AO30" t="n">
        <x:v>0</x:v>
      </x:c>
      <x:c r="AP30" s="23" t="str">
        <x:f>IF(E30="processing",IF(Z30="","",IF(ISNUMBER(Z30),INT(Z30),DATE(VALUE(LEFT(Z30,4)),VALUE(MID(Z30,6,2)),VALUE(MID(Z30,9,2))))),IF(OR(E30="executing",E30="pending"),IF(AD30="","",IF(ISNUMBER(AD30),INT(AD30),DATE(VALUE(LEFT(AD30,4)),VALUE(MID(AD30,6,2)),VALUE(MID(AD30,9,2))))),""))</x:f>
      </x:c>
      <x:c r="AQ30" s="24" t="str">
        <x:f>IF(AP30="","",INT('Configuration'!$B$4)-AP30)</x:f>
      </x:c>
      <x:c r="AR30" s="25" t="str">
        <x:f>IF(AP30="","Missing Required Date",IF(AQ30&lt;0,"Future Date",IF(AQ30=0,"0 days",IF(AQ30&lt;=2,"1-2 days",IF(AQ30&lt;=7,"3-7 days",IF(AQ30&lt;=14,"8-14 days",IF(AQ30&lt;=30,"15-30 days",IF(AQ30&lt;=60,"31-60 days",IF(AQ30&lt;=70,"61-70 days","71+ days")))))))))</x:f>
        <x:v>Missing Required Date</x:v>
      </x:c>
      <x:c r="AS30" s="25" t="str">
        <x:f>IF(OR(E30="processing",E30="executing",E30="pending"),IF(AP30="","Required aging date missing",IF(AQ30&gt;30,"Escalate &gt;30d",IF(AQ30&gt;14,"Watch &gt;14d","Within 14d"))),"Out of scope")</x:f>
        <x:v>Out of scope</x:v>
      </x:c>
    </x:row>
    <x:row r="31" ht="24" customHeight="1">
      <x:c r="A31" t="str">
        <x:v>dbdb4c36-7ab2-4bd2-a432-02c4d278d555</x:v>
      </x:c>
      <x:c r="B31" t="str">
        <x:v>CSSP10217386</x:v>
      </x:c>
      <x:c r="C31" t="str">
        <x:v>izdihar.roslan@petronas.com</x:v>
      </x:c>
      <x:c r="D31" t="str">
        <x:v>decommission-cloud</x:v>
      </x:c>
      <x:c r="E31" t="str">
        <x:v>completed</x:v>
      </x:c>
      <x:c r="F31" t="n">
        <x:v>46015.07346467592</x:v>
      </x:c>
      <x:c r="G31" t="n">
        <x:v>46031.08617920139</x:v>
      </x:c>
      <x:c r="H31" t="n">
        <x:v>46015.07346467592</x:v>
      </x:c>
      <x:c r="I31" t="str">
        <x:v>Visual Integrated Solution for Material - VISMA</x:v>
      </x:c>
      <x:c r="J31" t="str">
        <x:v>VISUAL INTEGRATED SOLUTION for MATERIAL</x:v>
      </x:c>
      <x:c r="K31" t="str">
        <x:v>partial</x:v>
      </x:c>
      <x:c r="L31"/>
      <x:c r="M31" t="str">
        <x:v>sazali.mokhtar@petronas.com</x:v>
      </x:c>
      <x:c r="N31"/>
      <x:c r="O31"/>
      <x:c r="P31" t="str">
        <x:v>To decommission old resources in Singapore region due to completed migration in MY region</x:v>
      </x:c>
      <x:c r="Q31" t="str">
        <x:v>2W</x:v>
      </x:c>
      <x:c r="R31" t="str">
        <x:v>Cloud Migration</x:v>
      </x:c>
      <x:c r="S31"/>
      <x:c r="T31" t="str">
        <x:v>approved</x:v>
      </x:c>
      <x:c r="U31" t="str">
        <x:v>izdihar.roslan@petronas.com</x:v>
      </x:c>
      <x:c r="V31" t="n">
        <x:v>46015.07469375</x:v>
      </x:c>
      <x:c r="W31" t="str">
        <x:v>To decommission old resources in Singapore region due to completed migration in MY region</x:v>
      </x:c>
      <x:c r="X31" t="str">
        <x:v>approved</x:v>
      </x:c>
      <x:c r="Y31" t="str">
        <x:v>sazali.mokhtar@petronas.com</x:v>
      </x:c>
      <x:c r="Z31" t="n">
        <x:v>46027.13922033565</x:v>
      </x:c>
      <x:c r="AA31" t="str">
        <x:v>To decommission old resources in Singapore region due to completed migration in MY region - ( Hamizah )</x:v>
      </x:c>
      <x:c r="AB31" t="str">
        <x:v>approved</x:v>
      </x:c>
      <x:c r="AC31" t="str">
        <x:v>azwan.badari@petronas.com</x:v>
      </x:c>
      <x:c r="AD31" t="n">
        <x:v>46028.089728506944</x:v>
      </x:c>
      <x:c r="AE31" t="str">
        <x:v>Decommission VISMA in SG region.
ptawsg-iac-nonprod-corporatecommon-visma-dev-bucket
iam/ptaw_iac_nonprod_corporatecommon_visma_user
</x:v>
      </x:c>
      <x:c r="AF31" t="str">
        <x:v>approved</x:v>
      </x:c>
      <x:c r="AG31" t="str">
        <x:v>azwan.badari@petronas.com</x:v>
      </x:c>
      <x:c r="AH31" t="n">
        <x:v>46031.08617920139</x:v>
      </x:c>
      <x:c r="AI31" t="str">
        <x:v>Completed</x:v>
      </x:c>
      <x:c r="AJ31" t="str">
        <x:v>A-000847</x:v>
      </x:c>
      <x:c r="AK31" t="n">
        <x:v>4631</x:v>
      </x:c>
      <x:c r="AL31" t="str">
        <x:v>S</x:v>
      </x:c>
      <x:c r="AM31" t="str">
        <x:v>REQ000007789469</x:v>
      </x:c>
      <x:c r="AN31" t="str">
        <x:v>noretention</x:v>
      </x:c>
      <x:c r="AO31" t="n">
        <x:v>0</x:v>
      </x:c>
      <x:c r="AP31" s="23" t="str">
        <x:f>IF(E31="processing",IF(Z31="","",IF(ISNUMBER(Z31),INT(Z31),DATE(VALUE(LEFT(Z31,4)),VALUE(MID(Z31,6,2)),VALUE(MID(Z31,9,2))))),IF(OR(E31="executing",E31="pending"),IF(AD31="","",IF(ISNUMBER(AD31),INT(AD31),DATE(VALUE(LEFT(AD31,4)),VALUE(MID(AD31,6,2)),VALUE(MID(AD31,9,2))))),""))</x:f>
      </x:c>
      <x:c r="AQ31" s="24" t="str">
        <x:f>IF(AP31="","",INT('Configuration'!$B$4)-AP31)</x:f>
      </x:c>
      <x:c r="AR31" s="25" t="str">
        <x:f>IF(AP31="","Missing Required Date",IF(AQ31&lt;0,"Future Date",IF(AQ31=0,"0 days",IF(AQ31&lt;=2,"1-2 days",IF(AQ31&lt;=7,"3-7 days",IF(AQ31&lt;=14,"8-14 days",IF(AQ31&lt;=30,"15-30 days",IF(AQ31&lt;=60,"31-60 days",IF(AQ31&lt;=70,"61-70 days","71+ days")))))))))</x:f>
        <x:v>Missing Required Date</x:v>
      </x:c>
      <x:c r="AS31" s="25" t="str">
        <x:f>IF(OR(E31="processing",E31="executing",E31="pending"),IF(AP31="","Required aging date missing",IF(AQ31&gt;30,"Escalate &gt;30d",IF(AQ31&gt;14,"Watch &gt;14d","Within 14d"))),"Out of scope")</x:f>
        <x:v>Out of scope</x:v>
      </x:c>
    </x:row>
    <x:row r="32" ht="24" customHeight="1">
      <x:c r="A32" t="str">
        <x:v>1eacd220-97a0-4e97-9a5b-0673c47648a5</x:v>
      </x:c>
      <x:c r="B32" t="str">
        <x:v>CSSP10442429</x:v>
      </x:c>
      <x:c r="C32" t="str">
        <x:v>nurizzati.mbasir@petronas.com</x:v>
      </x:c>
      <x:c r="D32" t="str">
        <x:v>decommission-cloud</x:v>
      </x:c>
      <x:c r="E32" t="str">
        <x:v>completed</x:v>
      </x:c>
      <x:c r="F32" t="n">
        <x:v>46015.17047128472</x:v>
      </x:c>
      <x:c r="G32" t="n">
        <x:v>46049.13510611111</x:v>
      </x:c>
      <x:c r="H32" t="n">
        <x:v>46015.17047128472</x:v>
      </x:c>
      <x:c r="I32" t="str">
        <x:v>SMART / DPVA Upstream</x:v>
      </x:c>
      <x:c r="J32" t="str">
        <x:v>Vessel Analytics (VA)</x:v>
      </x:c>
      <x:c r="K32" t="str">
        <x:v>full</x:v>
      </x:c>
      <x:c r="L32" t="str">
        <x:v>DCOM2025122461e</x:v>
      </x:c>
      <x:c r="M32" t="str">
        <x:v>salita.yami@petronas.com.my</x:v>
      </x:c>
      <x:c r="N32" t="str">
        <x:v>https://app.powerbi.com/reportEmbed?reportId=f414f4f3-df10-4736-a643-7fb9016513c0&amp;autoAuth=true&amp;ctid=3b2e8941-7948-4131-978a-b2dfc7295091</x:v>
      </x:c>
      <x:c r="O32" t="n">
        <x:v>3866</x:v>
      </x:c>
      <x:c r="P32" t="str">
        <x:v>This application is no longer in used by the users.</x:v>
      </x:c>
      <x:c r="Q32" t="str">
        <x:v>12M</x:v>
      </x:c>
      <x:c r="R32" t="str">
        <x:v>Not in Used</x:v>
      </x:c>
      <x:c r="S32"/>
      <x:c r="T32" t="str">
        <x:v>approved</x:v>
      </x:c>
      <x:c r="U32" t="str">
        <x:v>nurizzati.mbasir@petronas.com</x:v>
      </x:c>
      <x:c r="V32" t="n">
        <x:v>46015.19700034722</x:v>
      </x:c>
      <x:c r="W32" t="str">
        <x:v>Please decom RG that related with Vessel Analytics(VA) application only for all enviroments.
PTAZSG-PROD-DPVA-RG
PTAZSG-DEV-DPVA-RG</x:v>
      </x:c>
      <x:c r="X32" t="str">
        <x:v>approved</x:v>
      </x:c>
      <x:c r="Y32" t="str">
        <x:v>salita.yami@petronas.com</x:v>
      </x:c>
      <x:c r="Z32" t="n">
        <x:v>46017.05619234954</x:v>
      </x:c>
      <x:c r="AA32" t="str">
        <x:v>Proceed</x:v>
      </x:c>
      <x:c r="AB32" t="str">
        <x:v>approved</x:v>
      </x:c>
      <x:c r="AC32" t="str">
        <x:v>azwan.badari@petronas.com</x:v>
      </x:c>
      <x:c r="AD32" t="n">
        <x:v>46028.11110158565</x:v>
      </x:c>
      <x:c r="AE32" t="str">
        <x:v>Full decommission.
PTAZSG-PROD-DPVA-RG &amp; PTAZSG-DEV-DPVA-RG</x:v>
      </x:c>
      <x:c r="AF32" t="str">
        <x:v>approved</x:v>
      </x:c>
      <x:c r="AG32" t="str">
        <x:v>azlisham.md@petronas.com</x:v>
      </x:c>
      <x:c r="AH32" t="n">
        <x:v>46049.13510612269</x:v>
      </x:c>
      <x:c r="AI32" t="str">
        <x:v>The decommission request has been completed, and the status is now updated accordingly. Kindly verify from your end and confirm once reviewed.
</x:v>
      </x:c>
      <x:c r="AJ32" t="str">
        <x:v>A-000779</x:v>
      </x:c>
      <x:c r="AK32" t="n">
        <x:v>3866</x:v>
      </x:c>
      <x:c r="AL32" t="str">
        <x:v>M</x:v>
      </x:c>
      <x:c r="AM32" t="str">
        <x:v>REQ000007790074</x:v>
      </x:c>
      <x:c r="AN32" t="str">
        <x:v>retention</x:v>
      </x:c>
      <x:c r="AO32" t="n">
        <x:v>1095</x:v>
      </x:c>
      <x:c r="AP32" s="23" t="str">
        <x:f>IF(E32="processing",IF(Z32="","",IF(ISNUMBER(Z32),INT(Z32),DATE(VALUE(LEFT(Z32,4)),VALUE(MID(Z32,6,2)),VALUE(MID(Z32,9,2))))),IF(OR(E32="executing",E32="pending"),IF(AD32="","",IF(ISNUMBER(AD32),INT(AD32),DATE(VALUE(LEFT(AD32,4)),VALUE(MID(AD32,6,2)),VALUE(MID(AD32,9,2))))),""))</x:f>
      </x:c>
      <x:c r="AQ32" s="24" t="str">
        <x:f>IF(AP32="","",INT('Configuration'!$B$4)-AP32)</x:f>
      </x:c>
      <x:c r="AR32" s="25" t="str">
        <x:f>IF(AP32="","Missing Required Date",IF(AQ32&lt;0,"Future Date",IF(AQ32=0,"0 days",IF(AQ32&lt;=2,"1-2 days",IF(AQ32&lt;=7,"3-7 days",IF(AQ32&lt;=14,"8-14 days",IF(AQ32&lt;=30,"15-30 days",IF(AQ32&lt;=60,"31-60 days",IF(AQ32&lt;=70,"61-70 days","71+ days")))))))))</x:f>
        <x:v>Missing Required Date</x:v>
      </x:c>
      <x:c r="AS32" s="25" t="str">
        <x:f>IF(OR(E32="processing",E32="executing",E32="pending"),IF(AP32="","Required aging date missing",IF(AQ32&gt;30,"Escalate &gt;30d",IF(AQ32&gt;14,"Watch &gt;14d","Within 14d"))),"Out of scope")</x:f>
        <x:v>Out of scope</x:v>
      </x:c>
    </x:row>
    <x:row r="33" ht="24" customHeight="1">
      <x:c r="A33" t="str">
        <x:v>d8a012f7-8228-43ae-90b2-567d90948366</x:v>
      </x:c>
      <x:c r="B33" t="str">
        <x:v>CSSP10818859</x:v>
      </x:c>
      <x:c r="C33" t="str">
        <x:v>noorsabrina.mahhussi@petronas.com</x:v>
      </x:c>
      <x:c r="D33" t="str">
        <x:v>decommission-cloud</x:v>
      </x:c>
      <x:c r="E33" t="str">
        <x:v>completed</x:v>
      </x:c>
      <x:c r="F33" t="n">
        <x:v>46020.18950961805</x:v>
      </x:c>
      <x:c r="G33" t="n">
        <x:v>46030.28119804398</x:v>
      </x:c>
      <x:c r="H33" t="n">
        <x:v>46020.18950961805</x:v>
      </x:c>
      <x:c r="I33" t="str">
        <x:v>MyProcure</x:v>
      </x:c>
      <x:c r="J33" t="str">
        <x:v>Procurement Innovation Through Automation And Procurement Marketplace</x:v>
      </x:c>
      <x:c r="K33" t="str">
        <x:v>partial</x:v>
      </x:c>
      <x:c r="L33"/>
      <x:c r="M33" t="str">
        <x:v>mosman.mhassanomar@petronas.com.my</x:v>
      </x:c>
      <x:c r="N33"/>
      <x:c r="O33" t="str">
        <x:v>PSR04343</x:v>
      </x:c>
      <x:c r="P33" t="str">
        <x:v>Resources are no longer in use. Previous request to decomm had been raised in 2024 but did not go through. Raising a new urgent request in order to comply with DPIA requirements. Kindly refer to attachment for specific resources to be decommissioned. </x:v>
      </x:c>
      <x:c r="Q33" t="str">
        <x:v>3M</x:v>
      </x:c>
      <x:c r="R33" t="str">
        <x:v>Obsolete</x:v>
      </x:c>
      <x:c r="S33"/>
      <x:c r="T33" t="str">
        <x:v>approved</x:v>
      </x:c>
      <x:c r="U33" t="str">
        <x:v>noorsabrina.mahhussi@petronas.com</x:v>
      </x:c>
      <x:c r="V33" t="n">
        <x:v>46020.193970451386</x:v>
      </x:c>
      <x:c r="W33" t="str">
        <x:v>Confirmed based on list provided by Zul Fakar. List is attached</x:v>
      </x:c>
      <x:c r="X33" t="str">
        <x:v>approved</x:v>
      </x:c>
      <x:c r="Y33" t="str">
        <x:v>mosman.mhassanomar@petronas.com</x:v>
      </x:c>
      <x:c r="Z33" t="n">
        <x:v>46021.08448145833</x:v>
      </x:c>
      <x:c r="AA33" t="str">
        <x:v>As per recommended by the Support Team/ Technical Team</x:v>
      </x:c>
      <x:c r="AB33" t="str">
        <x:v>approved</x:v>
      </x:c>
      <x:c r="AC33" t="str">
        <x:v>azwan.badari@petronas.com</x:v>
      </x:c>
      <x:c r="AD33" t="n">
        <x:v>46028.11219449074</x:v>
      </x:c>
      <x:c r="AE33" t="str">
        <x:v>Decommission listed storage account</x:v>
      </x:c>
      <x:c r="AF33" t="str">
        <x:v>approved</x:v>
      </x:c>
      <x:c r="AG33" t="str">
        <x:v>azlisham.md@petronas.com</x:v>
      </x:c>
      <x:c r="AH33" t="n">
        <x:v>46030.281198055556</x:v>
      </x:c>
      <x:c r="AI33" t="str">
        <x:v>The decommission request has been completed, and the status is now updated accordingly. Kindly verify from your end and confirm once reviewed.
</x:v>
      </x:c>
      <x:c r="AJ33" t="str">
        <x:v>A-000490</x:v>
      </x:c>
      <x:c r="AK33" t="n">
        <x:v>4343</x:v>
      </x:c>
      <x:c r="AL33" t="str">
        <x:v>M</x:v>
      </x:c>
      <x:c r="AM33" t="str">
        <x:v>REQ000007789503</x:v>
      </x:c>
      <x:c r="AN33" t="str">
        <x:v>retention</x:v>
      </x:c>
      <x:c r="AO33" t="n">
        <x:v>90</x:v>
      </x:c>
      <x:c r="AP33" s="23" t="str">
        <x:f>IF(E33="processing",IF(Z33="","",IF(ISNUMBER(Z33),INT(Z33),DATE(VALUE(LEFT(Z33,4)),VALUE(MID(Z33,6,2)),VALUE(MID(Z33,9,2))))),IF(OR(E33="executing",E33="pending"),IF(AD33="","",IF(ISNUMBER(AD33),INT(AD33),DATE(VALUE(LEFT(AD33,4)),VALUE(MID(AD33,6,2)),VALUE(MID(AD33,9,2))))),""))</x:f>
      </x:c>
      <x:c r="AQ33" s="24" t="str">
        <x:f>IF(AP33="","",INT('Configuration'!$B$4)-AP33)</x:f>
      </x:c>
      <x:c r="AR33" s="25" t="str">
        <x:f>IF(AP33="","Missing Required Date",IF(AQ33&lt;0,"Future Date",IF(AQ33=0,"0 days",IF(AQ33&lt;=2,"1-2 days",IF(AQ33&lt;=7,"3-7 days",IF(AQ33&lt;=14,"8-14 days",IF(AQ33&lt;=30,"15-30 days",IF(AQ33&lt;=60,"31-60 days",IF(AQ33&lt;=70,"61-70 days","71+ days")))))))))</x:f>
        <x:v>Missing Required Date</x:v>
      </x:c>
      <x:c r="AS33" s="25" t="str">
        <x:f>IF(OR(E33="processing",E33="executing",E33="pending"),IF(AP33="","Required aging date missing",IF(AQ33&gt;30,"Escalate &gt;30d",IF(AQ33&gt;14,"Watch &gt;14d","Within 14d"))),"Out of scope")</x:f>
        <x:v>Out of scope</x:v>
      </x:c>
    </x:row>
    <x:row r="34" ht="24" customHeight="1">
      <x:c r="A34" t="str">
        <x:v>b6820993-44bf-4101-ba58-bee50b0da18d</x:v>
      </x:c>
      <x:c r="B34" t="str">
        <x:v>CSSP10371521</x:v>
      </x:c>
      <x:c r="C34" t="str">
        <x:v>azrin.azizan@petronas.com</x:v>
      </x:c>
      <x:c r="D34" t="str">
        <x:v>decommission-cloud</x:v>
      </x:c>
      <x:c r="E34" t="str">
        <x:v>completed</x:v>
      </x:c>
      <x:c r="F34" t="n">
        <x:v>46021.15885364584</x:v>
      </x:c>
      <x:c r="G34" t="n">
        <x:v>46035.39747679398</x:v>
      </x:c>
      <x:c r="H34" t="n">
        <x:v>46021.15885364584</x:v>
      </x:c>
      <x:c r="I34" t="str">
        <x:v>M365 SharePoint - SPO</x:v>
      </x:c>
      <x:c r="J34" t="str">
        <x:v>Cloud Migration Program - Migration SharePoint 2013 to SharePoint 2019</x:v>
      </x:c>
      <x:c r="K34" t="str">
        <x:v>partial</x:v>
      </x:c>
      <x:c r="L34"/>
      <x:c r="M34" t="str">
        <x:v>nshahidahothman@petronas.com.my</x:v>
      </x:c>
      <x:c r="N34"/>
      <x:c r="O34"/>
      <x:c r="P34" t="str">
        <x:v>The SP2019 staging environment is no longer required, as all relevant testing, validation, and migration activities have been completed. There are currently no active applications, users, or business processes dependent on this staging farm. Additionally, SharePoint Server 2019 is approaching its end-of-life (EOL) in July 2026.</x:v>
      </x:c>
      <x:c r="Q34" t="str">
        <x:v>2W</x:v>
      </x:c>
      <x:c r="R34" t="str">
        <x:v>Obsolete</x:v>
      </x:c>
      <x:c r="S34"/>
      <x:c r="T34" t="str">
        <x:v>approved</x:v>
      </x:c>
      <x:c r="U34" t="str">
        <x:v>azrin.azizan@petronas.com</x:v>
      </x:c>
      <x:c r="V34" t="n">
        <x:v>46021.30261300926</x:v>
      </x:c>
      <x:c r="W34" t="str">
        <x:v>Application Server	172.25.52.142	PTSG-4SPss01
	172.25.52.143	PTSG-4SPss02
	172.25.52.144	PTSG-4SPss03
	172.25.52.145	PTSG-4SPss04
	172.25.52.177	PTSG-4SPos01
	172.25.52.147	PTSG-4SPfs01
	172.25.52.148	PTSG-4SPap01
	172.25.52.149	PTSG-4SPap02
SP Load Balancer	172.25.50.35	PTAZSG-4SPWB-LB
WFE Server	172.25.50.31	PTSG-4SPwb01
	172.25.50.32	PTSG-4SPwb02
DB Load Balancer	172.25.56.45	PTAZSG-4SPDB-LB
Database Server	172.25.56.37	PTSG-4SPdb01
</x:v>
      </x:c>
      <x:c r="X34" t="str">
        <x:v>approved</x:v>
      </x:c>
      <x:c r="Y34" t="str">
        <x:v>nshahidahothman@petronas.com</x:v>
      </x:c>
      <x:c r="Z34" t="n">
        <x:v>46021.37536042824</x:v>
      </x:c>
      <x:c r="AA34" t="str">
        <x:v>total resource for staging : 53 </x:v>
      </x:c>
      <x:c r="AB34" t="str">
        <x:v>approved</x:v>
      </x:c>
      <x:c r="AC34" t="str">
        <x:v>azwan.badari@petronas.com</x:v>
      </x:c>
      <x:c r="AD34" t="n">
        <x:v>46028.113725752315</x:v>
      </x:c>
      <x:c r="AE34" t="str">
        <x:v>Decommission listed resources</x:v>
      </x:c>
      <x:c r="AF34" t="str">
        <x:v>approved</x:v>
      </x:c>
      <x:c r="AG34" t="str">
        <x:v>azlisham.md@petronas.com</x:v>
      </x:c>
      <x:c r="AH34" t="n">
        <x:v>46035.397476805556</x:v>
      </x:c>
      <x:c r="AI34" t="str">
        <x:v>The decommission request has been completed, and the status is now updated accordingly. Kindly verify from your end and confirm once reviewed.
</x:v>
      </x:c>
      <x:c r="AJ34" t="str">
        <x:v>A-000449</x:v>
      </x:c>
      <x:c r="AK34" t="str">
        <x:v>00915_1</x:v>
      </x:c>
      <x:c r="AL34" t="str">
        <x:v>L</x:v>
      </x:c>
      <x:c r="AM34" t="str">
        <x:v>REQ000007789505</x:v>
      </x:c>
      <x:c r="AN34" t="str">
        <x:v>noretention</x:v>
      </x:c>
      <x:c r="AO34" t="n">
        <x:v>0</x:v>
      </x:c>
      <x:c r="AP34" s="23" t="str">
        <x:f>IF(E34="processing",IF(Z34="","",IF(ISNUMBER(Z34),INT(Z34),DATE(VALUE(LEFT(Z34,4)),VALUE(MID(Z34,6,2)),VALUE(MID(Z34,9,2))))),IF(OR(E34="executing",E34="pending"),IF(AD34="","",IF(ISNUMBER(AD34),INT(AD34),DATE(VALUE(LEFT(AD34,4)),VALUE(MID(AD34,6,2)),VALUE(MID(AD34,9,2))))),""))</x:f>
      </x:c>
      <x:c r="AQ34" s="24" t="str">
        <x:f>IF(AP34="","",INT('Configuration'!$B$4)-AP34)</x:f>
      </x:c>
      <x:c r="AR34" s="25" t="str">
        <x:f>IF(AP34="","Missing Required Date",IF(AQ34&lt;0,"Future Date",IF(AQ34=0,"0 days",IF(AQ34&lt;=2,"1-2 days",IF(AQ34&lt;=7,"3-7 days",IF(AQ34&lt;=14,"8-14 days",IF(AQ34&lt;=30,"15-30 days",IF(AQ34&lt;=60,"31-60 days",IF(AQ34&lt;=70,"61-70 days","71+ days")))))))))</x:f>
        <x:v>Missing Required Date</x:v>
      </x:c>
      <x:c r="AS34" s="25" t="str">
        <x:f>IF(OR(E34="processing",E34="executing",E34="pending"),IF(AP34="","Required aging date missing",IF(AQ34&gt;30,"Escalate &gt;30d",IF(AQ34&gt;14,"Watch &gt;14d","Within 14d"))),"Out of scope")</x:f>
        <x:v>Out of scope</x:v>
      </x:c>
    </x:row>
    <x:row r="35" ht="24" customHeight="1">
      <x:c r="A35" t="str">
        <x:v>4b944bb2-7e2b-4d62-b883-9faa363798d6</x:v>
      </x:c>
      <x:c r="B35" t="str">
        <x:v>CSSP10672556</x:v>
      </x:c>
      <x:c r="C35" t="str">
        <x:v>izdihar.roslan@petronas.com</x:v>
      </x:c>
      <x:c r="D35" t="str">
        <x:v>decommission-cloud</x:v>
      </x:c>
      <x:c r="E35" t="str">
        <x:v>completed</x:v>
      </x:c>
      <x:c r="F35" t="n">
        <x:v>46021.251309050924</x:v>
      </x:c>
      <x:c r="G35" t="n">
        <x:v>46031.08607520833</x:v>
      </x:c>
      <x:c r="H35" t="n">
        <x:v>46021.251309050924</x:v>
      </x:c>
      <x:c r="I35" t="str">
        <x:v>Freight-X</x:v>
      </x:c>
      <x:c r="J35" t="str">
        <x:v>Freight-X</x:v>
      </x:c>
      <x:c r="K35" t="str">
        <x:v>partial</x:v>
      </x:c>
      <x:c r="L35"/>
      <x:c r="M35" t="str">
        <x:v>sazali.mokhtar@petronas.com</x:v>
      </x:c>
      <x:c r="N35"/>
      <x:c r="O35"/>
      <x:c r="P35" t="str">
        <x:v>To decommission old resources in Singapore region due to completed migration in MY region</x:v>
      </x:c>
      <x:c r="Q35" t="str">
        <x:v>2W</x:v>
      </x:c>
      <x:c r="R35" t="str">
        <x:v>Cloud Migration</x:v>
      </x:c>
      <x:c r="S35"/>
      <x:c r="T35" t="str">
        <x:v>approved</x:v>
      </x:c>
      <x:c r="U35" t="str">
        <x:v>izdihar.roslan@petronas.com</x:v>
      </x:c>
      <x:c r="V35" t="n">
        <x:v>46021.25258869213</x:v>
      </x:c>
      <x:c r="W35" t="str">
        <x:v>To decommission old resources in AWS Singapore region due to completed migration in AWS MY region</x:v>
      </x:c>
      <x:c r="X35" t="str">
        <x:v>approved</x:v>
      </x:c>
      <x:c r="Y35" t="str">
        <x:v>sazali.mokhtar@petronas.com</x:v>
      </x:c>
      <x:c r="Z35" t="n">
        <x:v>46027.13854450231</x:v>
      </x:c>
      <x:c r="AA35" t="str">
        <x:v>To decommission old resources in Singapore region due to completed migration in MY region - (Hamizah)</x:v>
      </x:c>
      <x:c r="AB35" t="str">
        <x:v>approved</x:v>
      </x:c>
      <x:c r="AC35" t="str">
        <x:v>azwan.badari@petronas.com</x:v>
      </x:c>
      <x:c r="AD35" t="n">
        <x:v>46028.09807695602</x:v>
      </x:c>
      <x:c r="AE35" t="str">
        <x:v>Repatriation.</x:v>
      </x:c>
      <x:c r="AF35" t="str">
        <x:v>approved</x:v>
      </x:c>
      <x:c r="AG35" t="str">
        <x:v>azwan.badari@petronas.com</x:v>
      </x:c>
      <x:c r="AH35" t="n">
        <x:v>46031.08607520833</x:v>
      </x:c>
      <x:c r="AI35" t="str">
        <x:v>Completed</x:v>
      </x:c>
      <x:c r="AJ35" t="str">
        <x:v>A-000326</x:v>
      </x:c>
      <x:c r="AK35" t="n">
        <x:v>3217</x:v>
      </x:c>
      <x:c r="AL35" t="str">
        <x:v>S</x:v>
      </x:c>
      <x:c r="AM35" t="str">
        <x:v>REQ000007789492</x:v>
      </x:c>
      <x:c r="AN35" t="str">
        <x:v>noretention</x:v>
      </x:c>
      <x:c r="AO35" t="n">
        <x:v>0</x:v>
      </x:c>
      <x:c r="AP35" s="23" t="str">
        <x:f>IF(E35="processing",IF(Z35="","",IF(ISNUMBER(Z35),INT(Z35),DATE(VALUE(LEFT(Z35,4)),VALUE(MID(Z35,6,2)),VALUE(MID(Z35,9,2))))),IF(OR(E35="executing",E35="pending"),IF(AD35="","",IF(ISNUMBER(AD35),INT(AD35),DATE(VALUE(LEFT(AD35,4)),VALUE(MID(AD35,6,2)),VALUE(MID(AD35,9,2))))),""))</x:f>
      </x:c>
      <x:c r="AQ35" s="24" t="str">
        <x:f>IF(AP35="","",INT('Configuration'!$B$4)-AP35)</x:f>
      </x:c>
      <x:c r="AR35" s="25" t="str">
        <x:f>IF(AP35="","Missing Required Date",IF(AQ35&lt;0,"Future Date",IF(AQ35=0,"0 days",IF(AQ35&lt;=2,"1-2 days",IF(AQ35&lt;=7,"3-7 days",IF(AQ35&lt;=14,"8-14 days",IF(AQ35&lt;=30,"15-30 days",IF(AQ35&lt;=60,"31-60 days",IF(AQ35&lt;=70,"61-70 days","71+ days")))))))))</x:f>
        <x:v>Missing Required Date</x:v>
      </x:c>
      <x:c r="AS35" s="25" t="str">
        <x:f>IF(OR(E35="processing",E35="executing",E35="pending"),IF(AP35="","Required aging date missing",IF(AQ35&gt;30,"Escalate &gt;30d",IF(AQ35&gt;14,"Watch &gt;14d","Within 14d"))),"Out of scope")</x:f>
        <x:v>Out of scope</x:v>
      </x:c>
    </x:row>
    <x:row r="36" ht="24" customHeight="1">
      <x:c r="A36" t="str">
        <x:v>fadb5b26-da4e-4bb7-be40-533763a9818e</x:v>
      </x:c>
      <x:c r="B36" t="str">
        <x:v>CSSP10774226</x:v>
      </x:c>
      <x:c r="C36" t="str">
        <x:v>wanmiqbal.wanmhdnoor@petronas.com</x:v>
      </x:c>
      <x:c r="D36" t="str">
        <x:v>decommission-cloud</x:v>
      </x:c>
      <x:c r="E36" t="str">
        <x:v>completed</x:v>
      </x:c>
      <x:c r="F36" t="n">
        <x:v>46021.34533282407</x:v>
      </x:c>
      <x:c r="G36" t="n">
        <x:v>46048.32267015046</x:v>
      </x:c>
      <x:c r="H36" t="n">
        <x:v>46021.34533282407</x:v>
      </x:c>
      <x:c r="I36" t="str">
        <x:v>Upstream Real Time Data Program - URTD</x:v>
      </x:c>
      <x:c r="J36" t="str">
        <x:v>Installation of Upstream Real Time Data Program (URTD) for Centre of Excellence, PCSB</x:v>
      </x:c>
      <x:c r="K36" t="str">
        <x:v>partial</x:v>
      </x:c>
      <x:c r="L36"/>
      <x:c r="M36" t="str">
        <x:v>mohammadsani.johari@petronas.com</x:v>
      </x:c>
      <x:c r="N36" t="str">
        <x:v>stg.urtd.petronas.com</x:v>
      </x:c>
      <x:c r="O36"/>
      <x:c r="P36" t="str">
        <x:v>PaaS DB and Dev Server are no longer in used.</x:v>
      </x:c>
      <x:c r="Q36" t="str">
        <x:v>3M</x:v>
      </x:c>
      <x:c r="R36" t="str">
        <x:v>Not in Used</x:v>
      </x:c>
      <x:c r="S36"/>
      <x:c r="T36" t="str">
        <x:v>approved</x:v>
      </x:c>
      <x:c r="U36" t="str">
        <x:v>wanmiqbal.wanmhdnoor@petronas.com</x:v>
      </x:c>
      <x:c r="V36" t="n">
        <x:v>46021.348551944444</x:v>
      </x:c>
      <x:c r="W36" t="str">
        <x:v>Only Decomm resources related to ptsg-1urtdsvrdb01.database.windows.net &amp; 172.25.32.16, PTSG-1URTDAP02</x:v>
      </x:c>
      <x:c r="X36" t="str">
        <x:v>approved</x:v>
      </x:c>
      <x:c r="Y36" t="str">
        <x:v>mohammadsani.johari@petronas.com</x:v>
      </x:c>
      <x:c r="Z36" t="n">
        <x:v>46021.46783623843</x:v>
      </x:c>
      <x:c r="AA36" t="str">
        <x:v>Resources not in used.</x:v>
      </x:c>
      <x:c r="AB36" t="str">
        <x:v>approved</x:v>
      </x:c>
      <x:c r="AC36" t="str">
        <x:v>azwan.badari@petronas.com</x:v>
      </x:c>
      <x:c r="AD36" t="n">
        <x:v>46028.12227986111</x:v>
      </x:c>
      <x:c r="AE36" t="str">
        <x:v>Decommission listed resources only</x:v>
      </x:c>
      <x:c r="AF36" t="str">
        <x:v>approved</x:v>
      </x:c>
      <x:c r="AG36" t="str">
        <x:v>abdullah.haziq@petronas.com</x:v>
      </x:c>
      <x:c r="AH36" t="n">
        <x:v>46048.32267016204</x:v>
      </x:c>
      <x:c r="AI36" t="str">
        <x:v>completed.</x:v>
      </x:c>
      <x:c r="AJ36" t="str">
        <x:v>A-000827</x:v>
      </x:c>
      <x:c r="AK36" t="n">
        <x:v>747</x:v>
      </x:c>
      <x:c r="AL36" t="str">
        <x:v>M</x:v>
      </x:c>
      <x:c r="AM36" t="str">
        <x:v>REQ000007790220</x:v>
      </x:c>
      <x:c r="AN36" t="str">
        <x:v>retention</x:v>
      </x:c>
      <x:c r="AO36" t="n">
        <x:v>30</x:v>
      </x:c>
      <x:c r="AP36" s="23" t="str">
        <x:f>IF(E36="processing",IF(Z36="","",IF(ISNUMBER(Z36),INT(Z36),DATE(VALUE(LEFT(Z36,4)),VALUE(MID(Z36,6,2)),VALUE(MID(Z36,9,2))))),IF(OR(E36="executing",E36="pending"),IF(AD36="","",IF(ISNUMBER(AD36),INT(AD36),DATE(VALUE(LEFT(AD36,4)),VALUE(MID(AD36,6,2)),VALUE(MID(AD36,9,2))))),""))</x:f>
      </x:c>
      <x:c r="AQ36" s="24" t="str">
        <x:f>IF(AP36="","",INT('Configuration'!$B$4)-AP36)</x:f>
      </x:c>
      <x:c r="AR36" s="25" t="str">
        <x:f>IF(AP36="","Missing Required Date",IF(AQ36&lt;0,"Future Date",IF(AQ36=0,"0 days",IF(AQ36&lt;=2,"1-2 days",IF(AQ36&lt;=7,"3-7 days",IF(AQ36&lt;=14,"8-14 days",IF(AQ36&lt;=30,"15-30 days",IF(AQ36&lt;=60,"31-60 days",IF(AQ36&lt;=70,"61-70 days","71+ days")))))))))</x:f>
        <x:v>Missing Required Date</x:v>
      </x:c>
      <x:c r="AS36" s="25" t="str">
        <x:f>IF(OR(E36="processing",E36="executing",E36="pending"),IF(AP36="","Required aging date missing",IF(AQ36&gt;30,"Escalate &gt;30d",IF(AQ36&gt;14,"Watch &gt;14d","Within 14d"))),"Out of scope")</x:f>
        <x:v>Out of scope</x:v>
      </x:c>
    </x:row>
    <x:row r="37" ht="24" customHeight="1">
      <x:c r="A37" t="str">
        <x:v>e59f0759-3ddf-4f24-845b-2520cb3a8fdd</x:v>
      </x:c>
      <x:c r="B37" t="str">
        <x:v>CSSP10719729</x:v>
      </x:c>
      <x:c r="C37" t="str">
        <x:v>wanmiqbal.wanmhdnoor@petronas.com</x:v>
      </x:c>
      <x:c r="D37" t="str">
        <x:v>decommission-cloud</x:v>
      </x:c>
      <x:c r="E37" t="str">
        <x:v>completed</x:v>
      </x:c>
      <x:c r="F37" t="n">
        <x:v>46021.35460304398</x:v>
      </x:c>
      <x:c r="G37" t="n">
        <x:v>46031.32813864583</x:v>
      </x:c>
      <x:c r="H37" t="n">
        <x:v>46021.35460304398</x:v>
      </x:c>
      <x:c r="I37" t="str">
        <x:v>Decision Ready Data - DRD</x:v>
      </x:c>
      <x:c r="J37" t="str">
        <x:v>Implementation of Decision Ready Data (DRD)</x:v>
      </x:c>
      <x:c r="K37" t="str">
        <x:v>full</x:v>
      </x:c>
      <x:c r="L37" t="str">
        <x:v>DCOM20251230434</x:v>
      </x:c>
      <x:c r="M37" t="str">
        <x:v>mohammadsani.johari@petronas.com</x:v>
      </x:c>
      <x:c r="N37" t="str">
        <x:v>mmpd.drd.petronas.com.my, downstream.drd.petronas.com</x:v>
      </x:c>
      <x:c r="O37"/>
      <x:c r="P37" t="str">
        <x:v>The DRD for downstream is part of the decommissioning exercise under Black Swan.</x:v>
      </x:c>
      <x:c r="Q37" t="str">
        <x:v>12M</x:v>
      </x:c>
      <x:c r="R37" t="str">
        <x:v>Not in Used</x:v>
      </x:c>
      <x:c r="S37"/>
      <x:c r="T37" t="str">
        <x:v>approved</x:v>
      </x:c>
      <x:c r="U37" t="str">
        <x:v>wanmiqbal.wanmhdnoor@petronas.com</x:v>
      </x:c>
      <x:c r="V37" t="n">
        <x:v>46021.355464872686</x:v>
      </x:c>
      <x:c r="W37" t="str">
        <x:v>The DRD for downstream is part of the decommissioning exercise under Black Swan</x:v>
      </x:c>
      <x:c r="X37" t="str">
        <x:v>approved</x:v>
      </x:c>
      <x:c r="Y37" t="str">
        <x:v>mohammadsani.johari@petronas.com</x:v>
      </x:c>
      <x:c r="Z37" t="n">
        <x:v>46021.467437349536</x:v>
      </x:c>
      <x:c r="AA37" t="str">
        <x:v>Approved as per indy500.</x:v>
      </x:c>
      <x:c r="AB37" t="str">
        <x:v>approved</x:v>
      </x:c>
      <x:c r="AC37" t="str">
        <x:v>azwan.badari@petronas.com</x:v>
      </x:c>
      <x:c r="AD37" t="n">
        <x:v>46028.11686712963</x:v>
      </x:c>
      <x:c r="AE37" t="str">
        <x:v>Full decommission for project code 03418 including DNS</x:v>
      </x:c>
      <x:c r="AF37" t="str">
        <x:v>approved</x:v>
      </x:c>
      <x:c r="AG37" t="str">
        <x:v>azwan.badari@petronas.com</x:v>
      </x:c>
      <x:c r="AH37" t="n">
        <x:v>46031.32813865741</x:v>
      </x:c>
      <x:c r="AI37" t="str">
        <x:v>Completed</x:v>
      </x:c>
      <x:c r="AJ37" t="str">
        <x:v>A-000232</x:v>
      </x:c>
      <x:c r="AK37" t="n">
        <x:v>3418</x:v>
      </x:c>
      <x:c r="AL37" t="str">
        <x:v>L</x:v>
      </x:c>
      <x:c r="AM37" t="str">
        <x:v>REQ000007789509</x:v>
      </x:c>
      <x:c r="AN37" t="str">
        <x:v>retention</x:v>
      </x:c>
      <x:c r="AO37" t="n">
        <x:v>30</x:v>
      </x:c>
      <x:c r="AP37" s="23" t="str">
        <x:f>IF(E37="processing",IF(Z37="","",IF(ISNUMBER(Z37),INT(Z37),DATE(VALUE(LEFT(Z37,4)),VALUE(MID(Z37,6,2)),VALUE(MID(Z37,9,2))))),IF(OR(E37="executing",E37="pending"),IF(AD37="","",IF(ISNUMBER(AD37),INT(AD37),DATE(VALUE(LEFT(AD37,4)),VALUE(MID(AD37,6,2)),VALUE(MID(AD37,9,2))))),""))</x:f>
      </x:c>
      <x:c r="AQ37" s="24" t="str">
        <x:f>IF(AP37="","",INT('Configuration'!$B$4)-AP37)</x:f>
      </x:c>
      <x:c r="AR37" s="25" t="str">
        <x:f>IF(AP37="","Missing Required Date",IF(AQ37&lt;0,"Future Date",IF(AQ37=0,"0 days",IF(AQ37&lt;=2,"1-2 days",IF(AQ37&lt;=7,"3-7 days",IF(AQ37&lt;=14,"8-14 days",IF(AQ37&lt;=30,"15-30 days",IF(AQ37&lt;=60,"31-60 days",IF(AQ37&lt;=70,"61-70 days","71+ days")))))))))</x:f>
        <x:v>Missing Required Date</x:v>
      </x:c>
      <x:c r="AS37" s="25" t="str">
        <x:f>IF(OR(E37="processing",E37="executing",E37="pending"),IF(AP37="","Required aging date missing",IF(AQ37&gt;30,"Escalate &gt;30d",IF(AQ37&gt;14,"Watch &gt;14d","Within 14d"))),"Out of scope")</x:f>
        <x:v>Out of scope</x:v>
      </x:c>
    </x:row>
    <x:row r="38" ht="24" customHeight="1">
      <x:c r="A38" t="str">
        <x:v>554aa139-262d-4c6f-87cd-e03c650d15e4</x:v>
      </x:c>
      <x:c r="B38" t="str">
        <x:v>CSSP10932025</x:v>
      </x:c>
      <x:c r="C38" t="str">
        <x:v>maffendy.bobmazmi@petronas.com</x:v>
      </x:c>
      <x:c r="D38" t="str">
        <x:v>decommission-cloud</x:v>
      </x:c>
      <x:c r="E38" t="str">
        <x:v>completed</x:v>
      </x:c>
      <x:c r="F38" t="n">
        <x:v>46027.26554569444</x:v>
      </x:c>
      <x:c r="G38" t="n">
        <x:v>46052.20346646991</x:v>
      </x:c>
      <x:c r="H38" t="n">
        <x:v>46027.268025578705</x:v>
      </x:c>
      <x:c r="I38" t="str">
        <x:v>Asset Integrity Management Database - AIDA GPU</x:v>
      </x:c>
      <x:c r="J38" t="str">
        <x:v>GPU Asset Integrity Management Database AIDA</x:v>
      </x:c>
      <x:c r="K38" t="str">
        <x:v>full</x:v>
      </x:c>
      <x:c r="L38" t="str">
        <x:v>DCOM20260105ade</x:v>
      </x:c>
      <x:c r="M38" t="str">
        <x:v>huajin.tan@petronas.com.my</x:v>
      </x:c>
      <x:c r="N38" t="str">
        <x:v>aida.petronas.com</x:v>
      </x:c>
      <x:c r="O38"/>
      <x:c r="P38" t="str">
        <x:v>Asset has been expanded to enterprise level (MAVIS). The asset originally initiated by GPU and has been expanded to PETRONAS enterprise level (MAVIS) by collaboration with GTS. New application replacing AIDA, has been launched and deployed at GPU namely Machine Vision &amp; Inspection Workflow Management System.  The asset write-off and disposal has been endorsed by PGB DSC.</x:v>
      </x:c>
      <x:c r="Q38" t="str">
        <x:v>2W</x:v>
      </x:c>
      <x:c r="R38" t="str">
        <x:v>Not in Used</x:v>
      </x:c>
      <x:c r="S38"/>
      <x:c r="T38" t="str">
        <x:v>approved</x:v>
      </x:c>
      <x:c r="U38" t="str">
        <x:v>maffendy.bobmazmi@petronas.com</x:v>
      </x:c>
      <x:c r="V38" t="n">
        <x:v>46027.26923625</x:v>
      </x:c>
      <x:c r="W38" t="str">
        <x:v>Confirmed</x:v>
      </x:c>
      <x:c r="X38" t="str">
        <x:v>approved</x:v>
      </x:c>
      <x:c r="Y38" t="str">
        <x:v>huajin.tan@petronas.com</x:v>
      </x:c>
      <x:c r="Z38" t="n">
        <x:v>46051.12687817129</x:v>
      </x:c>
      <x:c r="AA38" t="str">
        <x:v>Approved as business have provided their endorsement</x:v>
      </x:c>
      <x:c r="AB38" t="str">
        <x:v>approved</x:v>
      </x:c>
      <x:c r="AC38" t="str">
        <x:v>azwan.badari@petronas.com</x:v>
      </x:c>
      <x:c r="AD38" t="n">
        <x:v>46051.18944396991</x:v>
      </x:c>
      <x:c r="AE38" t="str">
        <x:v>Full decommission ptazsg-dev-gpu-aida-rg and DNS aida.petronas.com</x:v>
      </x:c>
      <x:c r="AF38" t="str">
        <x:v>approved</x:v>
      </x:c>
      <x:c r="AG38" t="str">
        <x:v>azwan.badari@petronas.com</x:v>
      </x:c>
      <x:c r="AH38" t="n">
        <x:v>46052.20346646991</x:v>
      </x:c>
      <x:c r="AI38" t="str">
        <x:v>Completed</x:v>
      </x:c>
      <x:c r="AJ38" t="str">
        <x:v>A-000036</x:v>
      </x:c>
      <x:c r="AK38" t="n">
        <x:v>2637</x:v>
      </x:c>
      <x:c r="AL38" t="str">
        <x:v>M</x:v>
      </x:c>
      <x:c r="AM38" t="str">
        <x:v>REQ000007849037</x:v>
      </x:c>
      <x:c r="AN38" t="str">
        <x:v>noretention</x:v>
      </x:c>
      <x:c r="AO38" t="n">
        <x:v>0</x:v>
      </x:c>
      <x:c r="AP38" s="23" t="str">
        <x:f>IF(E38="processing",IF(Z38="","",IF(ISNUMBER(Z38),INT(Z38),DATE(VALUE(LEFT(Z38,4)),VALUE(MID(Z38,6,2)),VALUE(MID(Z38,9,2))))),IF(OR(E38="executing",E38="pending"),IF(AD38="","",IF(ISNUMBER(AD38),INT(AD38),DATE(VALUE(LEFT(AD38,4)),VALUE(MID(AD38,6,2)),VALUE(MID(AD38,9,2))))),""))</x:f>
      </x:c>
      <x:c r="AQ38" s="24" t="str">
        <x:f>IF(AP38="","",INT('Configuration'!$B$4)-AP38)</x:f>
      </x:c>
      <x:c r="AR38" s="25" t="str">
        <x:f>IF(AP38="","Missing Required Date",IF(AQ38&lt;0,"Future Date",IF(AQ38=0,"0 days",IF(AQ38&lt;=2,"1-2 days",IF(AQ38&lt;=7,"3-7 days",IF(AQ38&lt;=14,"8-14 days",IF(AQ38&lt;=30,"15-30 days",IF(AQ38&lt;=60,"31-60 days",IF(AQ38&lt;=70,"61-70 days","71+ days")))))))))</x:f>
        <x:v>Missing Required Date</x:v>
      </x:c>
      <x:c r="AS38" s="25" t="str">
        <x:f>IF(OR(E38="processing",E38="executing",E38="pending"),IF(AP38="","Required aging date missing",IF(AQ38&gt;30,"Escalate &gt;30d",IF(AQ38&gt;14,"Watch &gt;14d","Within 14d"))),"Out of scope")</x:f>
        <x:v>Out of scope</x:v>
      </x:c>
    </x:row>
    <x:row r="39" ht="24" customHeight="1">
      <x:c r="A39" t="str">
        <x:v>bb20d2ac-320e-49d2-bb7e-ba31119ecf21</x:v>
      </x:c>
      <x:c r="B39" t="str">
        <x:v>CSSP10561989</x:v>
      </x:c>
      <x:c r="C39" t="str">
        <x:v>norhamizah.hasni@petronas.com</x:v>
      </x:c>
      <x:c r="D39" t="str">
        <x:v>decommission-cloud</x:v>
      </x:c>
      <x:c r="E39" t="str">
        <x:v>cancelled</x:v>
      </x:c>
      <x:c r="F39" t="n">
        <x:v>46027.26609387731</x:v>
      </x:c>
      <x:c r="G39" t="n">
        <x:v>46050.09466488426</x:v>
      </x:c>
      <x:c r="H39" t="n">
        <x:v>46027.26609387731</x:v>
      </x:c>
      <x:c r="I39" t="str">
        <x:v>MyProcure</x:v>
      </x:c>
      <x:c r="J39" t="str">
        <x:v>Procurement Innovation Through Automation And Procurement Marketplace</x:v>
      </x:c>
      <x:c r="K39" t="str">
        <x:v>partial</x:v>
      </x:c>
      <x:c r="L39"/>
      <x:c r="M39" t="str">
        <x:v>sazali.mokhtar@petronas.com</x:v>
      </x:c>
      <x:c r="N39"/>
      <x:c r="O39"/>
      <x:c r="P39" t="str">
        <x:v>To decommission old resources in Singapore region due to completed migration in MY region</x:v>
      </x:c>
      <x:c r="Q39" t="str">
        <x:v>2W</x:v>
      </x:c>
      <x:c r="R39" t="str">
        <x:v>Cloud Migration</x:v>
      </x:c>
      <x:c r="S39"/>
      <x:c r="T39" t="str">
        <x:v>rejected</x:v>
      </x:c>
      <x:c r="U39" t="str">
        <x:v>azwan.badari@petronas.com</x:v>
      </x:c>
      <x:c r="V39" t="n">
        <x:v>46050.094664895834</x:v>
      </x:c>
      <x:c r="W39" t="str">
        <x:v>No longer required</x:v>
      </x:c>
      <x:c r="X39"/>
      <x:c r="Y39" t="str">
        <x:v>sazali.mokhtar@petronas.com</x:v>
      </x:c>
      <x:c r="Z39"/>
      <x:c r="AA39"/>
      <x:c r="AB39"/>
      <x:c r="AC39" t="str">
        <x:v>CCoE Business</x:v>
      </x:c>
      <x:c r="AD39"/>
      <x:c r="AE39"/>
      <x:c r="AF39"/>
      <x:c r="AG39" t="str">
        <x:v>CCoE Operations</x:v>
      </x:c>
      <x:c r="AH39"/>
      <x:c r="AI39"/>
      <x:c r="AJ39" t="str">
        <x:v>A-000490</x:v>
      </x:c>
      <x:c r="AK39" t="n">
        <x:v>4343</x:v>
      </x:c>
      <x:c r="AL39"/>
      <x:c r="AM39"/>
      <x:c r="AN39" t="str">
        <x:v>noretention</x:v>
      </x:c>
      <x:c r="AO39" t="n">
        <x:v>0</x:v>
      </x:c>
      <x:c r="AP39" s="23" t="str">
        <x:f>IF(E39="processing",IF(Z39="","",IF(ISNUMBER(Z39),INT(Z39),DATE(VALUE(LEFT(Z39,4)),VALUE(MID(Z39,6,2)),VALUE(MID(Z39,9,2))))),IF(OR(E39="executing",E39="pending"),IF(AD39="","",IF(ISNUMBER(AD39),INT(AD39),DATE(VALUE(LEFT(AD39,4)),VALUE(MID(AD39,6,2)),VALUE(MID(AD39,9,2))))),""))</x:f>
      </x:c>
      <x:c r="AQ39" s="24" t="str">
        <x:f>IF(AP39="","",INT('Configuration'!$B$4)-AP39)</x:f>
      </x:c>
      <x:c r="AR39" s="25" t="str">
        <x:f>IF(AP39="","Missing Required Date",IF(AQ39&lt;0,"Future Date",IF(AQ39=0,"0 days",IF(AQ39&lt;=2,"1-2 days",IF(AQ39&lt;=7,"3-7 days",IF(AQ39&lt;=14,"8-14 days",IF(AQ39&lt;=30,"15-30 days",IF(AQ39&lt;=60,"31-60 days",IF(AQ39&lt;=70,"61-70 days","71+ days")))))))))</x:f>
        <x:v>Missing Required Date</x:v>
      </x:c>
      <x:c r="AS39" s="25" t="str">
        <x:f>IF(OR(E39="processing",E39="executing",E39="pending"),IF(AP39="","Required aging date missing",IF(AQ39&gt;30,"Escalate &gt;30d",IF(AQ39&gt;14,"Watch &gt;14d","Within 14d"))),"Out of scope")</x:f>
        <x:v>Out of scope</x:v>
      </x:c>
    </x:row>
    <x:row r="40" ht="24" customHeight="1">
      <x:c r="A40" t="str">
        <x:v>4586e4b5-916f-4c51-9e27-fe55a08e3eb7</x:v>
      </x:c>
      <x:c r="B40" t="str">
        <x:v>CSSP10474599</x:v>
      </x:c>
      <x:c r="C40" t="str">
        <x:v>izdihar.roslan@petronas.com</x:v>
      </x:c>
      <x:c r="D40" t="str">
        <x:v>decommission-cloud</x:v>
      </x:c>
      <x:c r="E40" t="str">
        <x:v>cancelled</x:v>
      </x:c>
      <x:c r="F40" t="n">
        <x:v>46027.33155769676</x:v>
      </x:c>
      <x:c r="G40" t="n">
        <x:v>46057.28447568287</x:v>
      </x:c>
      <x:c r="H40" t="n">
        <x:v>46027.33155769676</x:v>
      </x:c>
      <x:c r="I40" t="str">
        <x:v>FORTS</x:v>
      </x:c>
      <x:c r="J40" t="str">
        <x:v>AWS Cloud Migration - FORTS</x:v>
      </x:c>
      <x:c r="K40" t="str">
        <x:v>full</x:v>
      </x:c>
      <x:c r="L40" t="str">
        <x:v>NA</x:v>
      </x:c>
      <x:c r="M40" t="str">
        <x:v>mdkhiri@petronas.com</x:v>
      </x:c>
      <x:c r="N40"/>
      <x:c r="O40"/>
      <x:c r="P40" t="str">
        <x:v>FFFF</x:v>
      </x:c>
      <x:c r="Q40" t="str">
        <x:v>2W</x:v>
      </x:c>
      <x:c r="R40" t="str">
        <x:v>Not in Used</x:v>
      </x:c>
      <x:c r="S40"/>
      <x:c r="T40" t="str">
        <x:v>rejected</x:v>
      </x:c>
      <x:c r="U40" t="str">
        <x:v>azwan.badari@petronas.com</x:v>
      </x:c>
      <x:c r="V40" t="n">
        <x:v>46057.28447569445</x:v>
      </x:c>
      <x:c r="W40" t="str">
        <x:v>Cancelled</x:v>
      </x:c>
      <x:c r="X40"/>
      <x:c r="Y40" t="str">
        <x:v>mdkhiri@petronas.com</x:v>
      </x:c>
      <x:c r="Z40"/>
      <x:c r="AA40"/>
      <x:c r="AB40"/>
      <x:c r="AC40" t="str">
        <x:v>CCoE Business</x:v>
      </x:c>
      <x:c r="AD40"/>
      <x:c r="AE40"/>
      <x:c r="AF40"/>
      <x:c r="AG40" t="str">
        <x:v>CCoE Operations</x:v>
      </x:c>
      <x:c r="AH40"/>
      <x:c r="AI40"/>
      <x:c r="AJ40" t="str">
        <x:v>A-000321</x:v>
      </x:c>
      <x:c r="AK40" t="str">
        <x:v>00915_117</x:v>
      </x:c>
      <x:c r="AL40"/>
      <x:c r="AM40"/>
      <x:c r="AN40" t="str">
        <x:v>noretention</x:v>
      </x:c>
      <x:c r="AO40" t="n">
        <x:v>0</x:v>
      </x:c>
      <x:c r="AP40" s="23" t="str">
        <x:f>IF(E40="processing",IF(Z40="","",IF(ISNUMBER(Z40),INT(Z40),DATE(VALUE(LEFT(Z40,4)),VALUE(MID(Z40,6,2)),VALUE(MID(Z40,9,2))))),IF(OR(E40="executing",E40="pending"),IF(AD40="","",IF(ISNUMBER(AD40),INT(AD40),DATE(VALUE(LEFT(AD40,4)),VALUE(MID(AD40,6,2)),VALUE(MID(AD40,9,2))))),""))</x:f>
      </x:c>
      <x:c r="AQ40" s="24" t="str">
        <x:f>IF(AP40="","",INT('Configuration'!$B$4)-AP40)</x:f>
      </x:c>
      <x:c r="AR40" s="25" t="str">
        <x:f>IF(AP40="","Missing Required Date",IF(AQ40&lt;0,"Future Date",IF(AQ40=0,"0 days",IF(AQ40&lt;=2,"1-2 days",IF(AQ40&lt;=7,"3-7 days",IF(AQ40&lt;=14,"8-14 days",IF(AQ40&lt;=30,"15-30 days",IF(AQ40&lt;=60,"31-60 days",IF(AQ40&lt;=70,"61-70 days","71+ days")))))))))</x:f>
        <x:v>Missing Required Date</x:v>
      </x:c>
      <x:c r="AS40" s="25" t="str">
        <x:f>IF(OR(E40="processing",E40="executing",E40="pending"),IF(AP40="","Required aging date missing",IF(AQ40&gt;30,"Escalate &gt;30d",IF(AQ40&gt;14,"Watch &gt;14d","Within 14d"))),"Out of scope")</x:f>
        <x:v>Out of scope</x:v>
      </x:c>
    </x:row>
    <x:row r="41" ht="24" customHeight="1">
      <x:c r="A41" t="str">
        <x:v>0a1cea43-c926-4b79-956d-98225c0a684c</x:v>
      </x:c>
      <x:c r="B41" t="str">
        <x:v>CSSP10578777</x:v>
      </x:c>
      <x:c r="C41" t="str">
        <x:v>zulhasyidi.hassan@petronas.com</x:v>
      </x:c>
      <x:c r="D41" t="str">
        <x:v>decommission-cloud</x:v>
      </x:c>
      <x:c r="E41" t="str">
        <x:v>completed</x:v>
      </x:c>
      <x:c r="F41" t="n">
        <x:v>46028.119965798614</x:v>
      </x:c>
      <x:c r="G41" t="n">
        <x:v>46043.16438711806</x:v>
      </x:c>
      <x:c r="H41" t="n">
        <x:v>46028.119965798614</x:v>
      </x:c>
      <x:c r="I41" t="str">
        <x:v>Plant Information - PI GTS</x:v>
      </x:c>
      <x:c r="J41" t="str">
        <x:v>AWS-Cloud Migration - PI GTS</x:v>
      </x:c>
      <x:c r="K41" t="str">
        <x:v>full</x:v>
      </x:c>
      <x:c r="L41" t="str">
        <x:v>DCOM20260106247</x:v>
      </x:c>
      <x:c r="M41" t="str">
        <x:v>mohammadsani.johari@petronas.com.my</x:v>
      </x:c>
      <x:c r="N41" t="str">
        <x:v>gts.pi.petronas.com</x:v>
      </x:c>
      <x:c r="O41"/>
      <x:c r="P41" t="str">
        <x:v>Not in used</x:v>
      </x:c>
      <x:c r="Q41" t="str">
        <x:v>1M</x:v>
      </x:c>
      <x:c r="R41" t="str">
        <x:v>Not in Used</x:v>
      </x:c>
      <x:c r="S41"/>
      <x:c r="T41" t="str">
        <x:v>approved</x:v>
      </x:c>
      <x:c r="U41" t="str">
        <x:v>zulhasyidi.hassan@petronas.com</x:v>
      </x:c>
      <x:c r="V41" t="n">
        <x:v>46028.12156226852</x:v>
      </x:c>
      <x:c r="W41" t="str">
        <x:v>Full decommissioning for GTS PI application</x:v>
      </x:c>
      <x:c r="X41" t="str">
        <x:v>approved</x:v>
      </x:c>
      <x:c r="Y41" t="str">
        <x:v>mohammadsani.johari@petronas.com</x:v>
      </x:c>
      <x:c r="Z41" t="n">
        <x:v>46041.16444457176</x:v>
      </x:c>
      <x:c r="AA41" t="str">
        <x:v>Approved, as per Indy500 requirement.</x:v>
      </x:c>
      <x:c r="AB41" t="str">
        <x:v>approved</x:v>
      </x:c>
      <x:c r="AC41" t="str">
        <x:v>azwan.badari@petronas.com</x:v>
      </x:c>
      <x:c r="AD41" t="n">
        <x:v>46041.21639307871</x:v>
      </x:c>
      <x:c r="AE41" t="str">
        <x:v>Full decommission PI (00915_107)</x:v>
      </x:c>
      <x:c r="AF41" t="str">
        <x:v>approved</x:v>
      </x:c>
      <x:c r="AG41" t="str">
        <x:v>azwan.badari@petronas.com</x:v>
      </x:c>
      <x:c r="AH41" t="n">
        <x:v>46043.16438711806</x:v>
      </x:c>
      <x:c r="AI41" t="str">
        <x:v>Completed</x:v>
      </x:c>
      <x:c r="AJ41" t="str">
        <x:v>A-000570</x:v>
      </x:c>
      <x:c r="AK41" t="str">
        <x:v>00915_107</x:v>
      </x:c>
      <x:c r="AL41" t="str">
        <x:v>M</x:v>
      </x:c>
      <x:c r="AM41" t="str">
        <x:v>REQ000007826332</x:v>
      </x:c>
      <x:c r="AN41" t="str">
        <x:v>noretention</x:v>
      </x:c>
      <x:c r="AO41" t="n">
        <x:v>0</x:v>
      </x:c>
      <x:c r="AP41" s="23" t="str">
        <x:f>IF(E41="processing",IF(Z41="","",IF(ISNUMBER(Z41),INT(Z41),DATE(VALUE(LEFT(Z41,4)),VALUE(MID(Z41,6,2)),VALUE(MID(Z41,9,2))))),IF(OR(E41="executing",E41="pending"),IF(AD41="","",IF(ISNUMBER(AD41),INT(AD41),DATE(VALUE(LEFT(AD41,4)),VALUE(MID(AD41,6,2)),VALUE(MID(AD41,9,2))))),""))</x:f>
      </x:c>
      <x:c r="AQ41" s="24" t="str">
        <x:f>IF(AP41="","",INT('Configuration'!$B$4)-AP41)</x:f>
      </x:c>
      <x:c r="AR41" s="25" t="str">
        <x:f>IF(AP41="","Missing Required Date",IF(AQ41&lt;0,"Future Date",IF(AQ41=0,"0 days",IF(AQ41&lt;=2,"1-2 days",IF(AQ41&lt;=7,"3-7 days",IF(AQ41&lt;=14,"8-14 days",IF(AQ41&lt;=30,"15-30 days",IF(AQ41&lt;=60,"31-60 days",IF(AQ41&lt;=70,"61-70 days","71+ days")))))))))</x:f>
        <x:v>Missing Required Date</x:v>
      </x:c>
      <x:c r="AS41" s="25" t="str">
        <x:f>IF(OR(E41="processing",E41="executing",E41="pending"),IF(AP41="","Required aging date missing",IF(AQ41&gt;30,"Escalate &gt;30d",IF(AQ41&gt;14,"Watch &gt;14d","Within 14d"))),"Out of scope")</x:f>
        <x:v>Out of scope</x:v>
      </x:c>
    </x:row>
    <x:row r="42" ht="24" customHeight="1">
      <x:c r="A42" t="str">
        <x:v>4e611de9-a52a-41ed-b37f-bb0808c8e961</x:v>
      </x:c>
      <x:c r="B42" t="str">
        <x:v>CSSP10828102</x:v>
      </x:c>
      <x:c r="C42" t="str">
        <x:v>izdihar.roslan@petronas.com</x:v>
      </x:c>
      <x:c r="D42" t="str">
        <x:v>decommission-cloud</x:v>
      </x:c>
      <x:c r="E42" t="str">
        <x:v>completed</x:v>
      </x:c>
      <x:c r="F42" t="n">
        <x:v>46028.12039350694</x:v>
      </x:c>
      <x:c r="G42" t="n">
        <x:v>46043.468110856484</x:v>
      </x:c>
      <x:c r="H42" t="n">
        <x:v>46028.12039350694</x:v>
      </x:c>
      <x:c r="I42" t="str">
        <x:v>Enterprise Decarbonization iCON - ED-iCON</x:v>
      </x:c>
      <x:c r="J42" t="str">
        <x:v>Enterprise Decarbonization (ED) iCON</x:v>
      </x:c>
      <x:c r="K42" t="str">
        <x:v>partial</x:v>
      </x:c>
      <x:c r="L42"/>
      <x:c r="M42" t="str">
        <x:v>sazali.mokhtar@petronas.com</x:v>
      </x:c>
      <x:c r="N42"/>
      <x:c r="O42" t="n">
        <x:v>3476</x:v>
      </x:c>
      <x:c r="P42" t="str">
        <x:v>Cloud Repatriation - To decommission old resources in Singapore region due to completed migration in MY region</x:v>
      </x:c>
      <x:c r="Q42" t="str">
        <x:v>2W</x:v>
      </x:c>
      <x:c r="R42" t="str">
        <x:v>Cloud Migration</x:v>
      </x:c>
      <x:c r="S42"/>
      <x:c r="T42" t="str">
        <x:v>approved</x:v>
      </x:c>
      <x:c r="U42" t="str">
        <x:v>izdihar.roslan@petronas.com</x:v>
      </x:c>
      <x:c r="V42" t="n">
        <x:v>46028.1215250463</x:v>
      </x:c>
      <x:c r="W42" t="str">
        <x:v>Cloud Repatriation - To decommission old resources in Singapore region due to completed migration in MY region</x:v>
      </x:c>
      <x:c r="X42" t="str">
        <x:v>approved</x:v>
      </x:c>
      <x:c r="Y42" t="str">
        <x:v>sazali.mokhtar@petronas.com</x:v>
      </x:c>
      <x:c r="Z42" t="n">
        <x:v>46042.11528070602</x:v>
      </x:c>
      <x:c r="AA42" t="str">
        <x:v>Cloud Repatriation - To decommission old resources in Singapore region due to completed migration in MY region</x:v>
      </x:c>
      <x:c r="AB42" t="str">
        <x:v>approved</x:v>
      </x:c>
      <x:c r="AC42" t="str">
        <x:v>azwan.badari@petronas.com</x:v>
      </x:c>
      <x:c r="AD42" t="n">
        <x:v>46042.118401354164</x:v>
      </x:c>
      <x:c r="AE42" t="str">
        <x:v>Cloud Repatriation - Decomm 03476 in SG</x:v>
      </x:c>
      <x:c r="AF42" t="str">
        <x:v>approved</x:v>
      </x:c>
      <x:c r="AG42" t="str">
        <x:v>azwan.badari@petronas.com</x:v>
      </x:c>
      <x:c r="AH42" t="n">
        <x:v>46043.46811086805</x:v>
      </x:c>
      <x:c r="AI42" t="str">
        <x:v>Completed</x:v>
      </x:c>
      <x:c r="AJ42" t="str">
        <x:v>A-000033</x:v>
      </x:c>
      <x:c r="AK42" t="n">
        <x:v>3476</x:v>
      </x:c>
      <x:c r="AL42" t="str">
        <x:v>M</x:v>
      </x:c>
      <x:c r="AM42" t="str">
        <x:v>REQ000007828185</x:v>
      </x:c>
      <x:c r="AN42" t="str">
        <x:v>noretention</x:v>
      </x:c>
      <x:c r="AO42" t="n">
        <x:v>0</x:v>
      </x:c>
      <x:c r="AP42" s="23" t="str">
        <x:f>IF(E42="processing",IF(Z42="","",IF(ISNUMBER(Z42),INT(Z42),DATE(VALUE(LEFT(Z42,4)),VALUE(MID(Z42,6,2)),VALUE(MID(Z42,9,2))))),IF(OR(E42="executing",E42="pending"),IF(AD42="","",IF(ISNUMBER(AD42),INT(AD42),DATE(VALUE(LEFT(AD42,4)),VALUE(MID(AD42,6,2)),VALUE(MID(AD42,9,2))))),""))</x:f>
      </x:c>
      <x:c r="AQ42" s="24" t="str">
        <x:f>IF(AP42="","",INT('Configuration'!$B$4)-AP42)</x:f>
      </x:c>
      <x:c r="AR42" s="25" t="str">
        <x:f>IF(AP42="","Missing Required Date",IF(AQ42&lt;0,"Future Date",IF(AQ42=0,"0 days",IF(AQ42&lt;=2,"1-2 days",IF(AQ42&lt;=7,"3-7 days",IF(AQ42&lt;=14,"8-14 days",IF(AQ42&lt;=30,"15-30 days",IF(AQ42&lt;=60,"31-60 days",IF(AQ42&lt;=70,"61-70 days","71+ days")))))))))</x:f>
        <x:v>Missing Required Date</x:v>
      </x:c>
      <x:c r="AS42" s="25" t="str">
        <x:f>IF(OR(E42="processing",E42="executing",E42="pending"),IF(AP42="","Required aging date missing",IF(AQ42&gt;30,"Escalate &gt;30d",IF(AQ42&gt;14,"Watch &gt;14d","Within 14d"))),"Out of scope")</x:f>
        <x:v>Out of scope</x:v>
      </x:c>
    </x:row>
    <x:row r="43" ht="24" customHeight="1">
      <x:c r="A43" t="str">
        <x:v>90120b9f-5cea-46de-a540-4ff191469fc6</x:v>
      </x:c>
      <x:c r="B43" t="str">
        <x:v>CSSP10960000</x:v>
      </x:c>
      <x:c r="C43" t="str">
        <x:v>mohamadsyafiq.mnoor@petronas.com</x:v>
      </x:c>
      <x:c r="D43" t="str">
        <x:v>decommission-cloud</x:v>
      </x:c>
      <x:c r="E43" t="str">
        <x:v>completed</x:v>
      </x:c>
      <x:c r="F43" t="n">
        <x:v>46030.26838638889</x:v>
      </x:c>
      <x:c r="G43" t="n">
        <x:v>46037.12722962963</x:v>
      </x:c>
      <x:c r="H43" t="n">
        <x:v>46030.26838638889</x:v>
      </x:c>
      <x:c r="I43" t="str">
        <x:v>Azure Machine Learning - PC Derivatives</x:v>
      </x:c>
      <x:c r="J43" t="str">
        <x:v>Run &amp; Maintain Citizen Analytics Use Case for Sales Gas Optimization for PC Derivatives Sdn Bhd</x:v>
      </x:c>
      <x:c r="K43" t="str">
        <x:v>partial</x:v>
      </x:c>
      <x:c r="L43"/>
      <x:c r="M43" t="str">
        <x:v>khairulnizam.bahari@petronas.com</x:v>
      </x:c>
      <x:c r="N43"/>
      <x:c r="O43"/>
      <x:c r="P43" t="str">
        <x:v>To decommission Azure Resource Group PTAZSG-IAC-DAA-PROD-PCOGD_SGO-RG</x:v>
      </x:c>
      <x:c r="Q43" t="str">
        <x:v>2W</x:v>
      </x:c>
      <x:c r="R43" t="str">
        <x:v>End of Lease</x:v>
      </x:c>
      <x:c r="S43"/>
      <x:c r="T43" t="str">
        <x:v>approved</x:v>
      </x:c>
      <x:c r="U43" t="str">
        <x:v>mohamadsyafiq.mnoor@petronas.com</x:v>
      </x:c>
      <x:c r="V43" t="n">
        <x:v>46030.26997469908</x:v>
      </x:c>
      <x:c r="W43" t="str">
        <x:v>As per email from business, this Azure Resource Group PTAZSG-IAC-DAA-PROD-PCOGD_SGO-RG need to be decommissioned</x:v>
      </x:c>
      <x:c r="X43" t="str">
        <x:v>approved</x:v>
      </x:c>
      <x:c r="Y43" t="str">
        <x:v>khairulnizam.bahari@petronas.com</x:v>
      </x:c>
      <x:c r="Z43" t="n">
        <x:v>46031.34340445602</x:v>
      </x:c>
      <x:c r="AA43" t="str">
        <x:v>Decommission Azure Resource Group PTAZSG-IAC-DAA-PROD-PCOGD_SGO-RG</x:v>
      </x:c>
      <x:c r="AB43" t="str">
        <x:v>approved</x:v>
      </x:c>
      <x:c r="AC43" t="str">
        <x:v>azwan.badari@petronas.com</x:v>
      </x:c>
      <x:c r="AD43" t="n">
        <x:v>46036.31966637731</x:v>
      </x:c>
      <x:c r="AE43" t="str">
        <x:v>Decommission all resources and delete RG PTAZSG-IAC-DAA-PROD-PCOGD-SGO-RG</x:v>
      </x:c>
      <x:c r="AF43" t="str">
        <x:v>approved</x:v>
      </x:c>
      <x:c r="AG43" t="str">
        <x:v>azlisham.md@petronas.com</x:v>
      </x:c>
      <x:c r="AH43" t="n">
        <x:v>46037.127229641206</x:v>
      </x:c>
      <x:c r="AI43" t="str">
        <x:v>The decommission request has been completed, and the status is now updated accordingly. Kindly verify from your end and confirm once reviewed.
</x:v>
      </x:c>
      <x:c r="AJ43" t="str">
        <x:v>A-001304</x:v>
      </x:c>
      <x:c r="AK43" t="n">
        <x:v>4758</x:v>
      </x:c>
      <x:c r="AL43" t="str">
        <x:v>M</x:v>
      </x:c>
      <x:c r="AM43" t="str">
        <x:v>REQ000007815155</x:v>
      </x:c>
      <x:c r="AN43" t="str">
        <x:v>retention</x:v>
      </x:c>
      <x:c r="AO43" t="n">
        <x:v>7</x:v>
      </x:c>
      <x:c r="AP43" s="23" t="str">
        <x:f>IF(E43="processing",IF(Z43="","",IF(ISNUMBER(Z43),INT(Z43),DATE(VALUE(LEFT(Z43,4)),VALUE(MID(Z43,6,2)),VALUE(MID(Z43,9,2))))),IF(OR(E43="executing",E43="pending"),IF(AD43="","",IF(ISNUMBER(AD43),INT(AD43),DATE(VALUE(LEFT(AD43,4)),VALUE(MID(AD43,6,2)),VALUE(MID(AD43,9,2))))),""))</x:f>
      </x:c>
      <x:c r="AQ43" s="24" t="str">
        <x:f>IF(AP43="","",INT('Configuration'!$B$4)-AP43)</x:f>
      </x:c>
      <x:c r="AR43" s="25" t="str">
        <x:f>IF(AP43="","Missing Required Date",IF(AQ43&lt;0,"Future Date",IF(AQ43=0,"0 days",IF(AQ43&lt;=2,"1-2 days",IF(AQ43&lt;=7,"3-7 days",IF(AQ43&lt;=14,"8-14 days",IF(AQ43&lt;=30,"15-30 days",IF(AQ43&lt;=60,"31-60 days",IF(AQ43&lt;=70,"61-70 days","71+ days")))))))))</x:f>
        <x:v>Missing Required Date</x:v>
      </x:c>
      <x:c r="AS43" s="25" t="str">
        <x:f>IF(OR(E43="processing",E43="executing",E43="pending"),IF(AP43="","Required aging date missing",IF(AQ43&gt;30,"Escalate &gt;30d",IF(AQ43&gt;14,"Watch &gt;14d","Within 14d"))),"Out of scope")</x:f>
        <x:v>Out of scope</x:v>
      </x:c>
    </x:row>
    <x:row r="44" ht="24" customHeight="1">
      <x:c r="A44" t="str">
        <x:v>9f28ea8a-b13b-4a5b-84ba-cb9eb6ad0d0d</x:v>
      </x:c>
      <x:c r="B44" t="str">
        <x:v>CSSP10159861</x:v>
      </x:c>
      <x:c r="C44" t="str">
        <x:v>mibrahim.sulaima@petronas.com</x:v>
      </x:c>
      <x:c r="D44" t="str">
        <x:v>decommission-cloud</x:v>
      </x:c>
      <x:c r="E44" t="str">
        <x:v>cancelled</x:v>
      </x:c>
      <x:c r="F44" t="n">
        <x:v>46031.08573958333</x:v>
      </x:c>
      <x:c r="G44" t="n">
        <x:v>46031.086062118055</x:v>
      </x:c>
      <x:c r="H44" t="n">
        <x:v>46031.08573958333</x:v>
      </x:c>
      <x:c r="I44" t="str">
        <x:v>Enhancement of Enhanced Resource Monetization by Artificial Intelligence - ERMAI Phase 3 for Malaysia Petroleum Management - MPM</x:v>
      </x:c>
      <x:c r="J44" t="str">
        <x:v>Implementation of Enhanced Resource Monetization Artificial Intelligence (ERMAI) for Malaysia Petroleum Management (MPM)</x:v>
      </x:c>
      <x:c r="K44" t="str">
        <x:v>partial</x:v>
      </x:c>
      <x:c r="L44"/>
      <x:c r="M44" t="str">
        <x:v>limeng.tan@petronas.com.my</x:v>
      </x:c>
      <x:c r="N44"/>
      <x:c r="O44"/>
      <x:c r="P44" t="str">
        <x:v>To decom ermai dev resources that not being used anymore</x:v>
      </x:c>
      <x:c r="Q44" t="str">
        <x:v>2W</x:v>
      </x:c>
      <x:c r="R44" t="str">
        <x:v>Not in Used</x:v>
      </x:c>
      <x:c r="S44"/>
      <x:c r="T44" t="str">
        <x:v>rejected</x:v>
      </x:c>
      <x:c r="U44" t="str">
        <x:v>mibrahim.sulaima@petronas.com</x:v>
      </x:c>
      <x:c r="V44" t="n">
        <x:v>46031.08606212963</x:v>
      </x:c>
      <x:c r="W44"/>
      <x:c r="X44"/>
      <x:c r="Y44" t="str">
        <x:v>limeng.tan@petronas.com</x:v>
      </x:c>
      <x:c r="Z44"/>
      <x:c r="AA44"/>
      <x:c r="AB44"/>
      <x:c r="AC44" t="str">
        <x:v>CCoE Business</x:v>
      </x:c>
      <x:c r="AD44"/>
      <x:c r="AE44"/>
      <x:c r="AF44"/>
      <x:c r="AG44" t="str">
        <x:v>CCoE Operations</x:v>
      </x:c>
      <x:c r="AH44"/>
      <x:c r="AI44"/>
      <x:c r="AJ44" t="str">
        <x:v>A-000303</x:v>
      </x:c>
      <x:c r="AK44" t="n">
        <x:v>2123</x:v>
      </x:c>
      <x:c r="AL44"/>
      <x:c r="AM44"/>
      <x:c r="AN44" t="str">
        <x:v>noretention</x:v>
      </x:c>
      <x:c r="AO44" t="n">
        <x:v>0</x:v>
      </x:c>
      <x:c r="AP44" s="23" t="str">
        <x:f>IF(E44="processing",IF(Z44="","",IF(ISNUMBER(Z44),INT(Z44),DATE(VALUE(LEFT(Z44,4)),VALUE(MID(Z44,6,2)),VALUE(MID(Z44,9,2))))),IF(OR(E44="executing",E44="pending"),IF(AD44="","",IF(ISNUMBER(AD44),INT(AD44),DATE(VALUE(LEFT(AD44,4)),VALUE(MID(AD44,6,2)),VALUE(MID(AD44,9,2))))),""))</x:f>
      </x:c>
      <x:c r="AQ44" s="24" t="str">
        <x:f>IF(AP44="","",INT('Configuration'!$B$4)-AP44)</x:f>
      </x:c>
      <x:c r="AR44" s="25" t="str">
        <x:f>IF(AP44="","Missing Required Date",IF(AQ44&lt;0,"Future Date",IF(AQ44=0,"0 days",IF(AQ44&lt;=2,"1-2 days",IF(AQ44&lt;=7,"3-7 days",IF(AQ44&lt;=14,"8-14 days",IF(AQ44&lt;=30,"15-30 days",IF(AQ44&lt;=60,"31-60 days",IF(AQ44&lt;=70,"61-70 days","71+ days")))))))))</x:f>
        <x:v>Missing Required Date</x:v>
      </x:c>
      <x:c r="AS44" s="25" t="str">
        <x:f>IF(OR(E44="processing",E44="executing",E44="pending"),IF(AP44="","Required aging date missing",IF(AQ44&gt;30,"Escalate &gt;30d",IF(AQ44&gt;14,"Watch &gt;14d","Within 14d"))),"Out of scope")</x:f>
        <x:v>Out of scope</x:v>
      </x:c>
    </x:row>
    <x:row r="45" ht="24" customHeight="1">
      <x:c r="A45" t="str">
        <x:v>410ea196-1243-4e2c-b845-57ce8b099e18</x:v>
      </x:c>
      <x:c r="B45" t="str">
        <x:v>CSSP10622149</x:v>
      </x:c>
      <x:c r="C45" t="str">
        <x:v>mibrahim.sulaima@petronas.com</x:v>
      </x:c>
      <x:c r="D45" t="str">
        <x:v>decommission-cloud</x:v>
      </x:c>
      <x:c r="E45" t="str">
        <x:v>cancelled</x:v>
      </x:c>
      <x:c r="F45" t="n">
        <x:v>46031.08751207176</x:v>
      </x:c>
      <x:c r="G45" t="n">
        <x:v>46031.08769891204</x:v>
      </x:c>
      <x:c r="H45" t="n">
        <x:v>46031.08751207176</x:v>
      </x:c>
      <x:c r="I45" t="str">
        <x:v>Enhancement of Enhanced Resource Monetization by Artificial Intelligence - ERMAI Phase 3 for Malaysia Petroleum Management - MPM</x:v>
      </x:c>
      <x:c r="J45" t="str">
        <x:v>Enhancement of Enhanced Resource Monetization by Artificial Intelligence (ERMAI) Phase 4 </x:v>
      </x:c>
      <x:c r="K45" t="str">
        <x:v>partial</x:v>
      </x:c>
      <x:c r="L45"/>
      <x:c r="M45" t="str">
        <x:v>limeng.tan@petronas.com.my</x:v>
      </x:c>
      <x:c r="N45"/>
      <x:c r="O45"/>
      <x:c r="P45" t="str">
        <x:v>To decom AKS and PosgreSQL DB resources for ERMAI dev since not being used anymore</x:v>
      </x:c>
      <x:c r="Q45" t="str">
        <x:v>2W</x:v>
      </x:c>
      <x:c r="R45" t="str">
        <x:v>Not in Used</x:v>
      </x:c>
      <x:c r="S45"/>
      <x:c r="T45" t="str">
        <x:v>rejected</x:v>
      </x:c>
      <x:c r="U45" t="str">
        <x:v>mibrahim.sulaima@petronas.com</x:v>
      </x:c>
      <x:c r="V45" t="n">
        <x:v>46031.08769891204</x:v>
      </x:c>
      <x:c r="W45"/>
      <x:c r="X45"/>
      <x:c r="Y45" t="str">
        <x:v>limeng.tan@petronas.com</x:v>
      </x:c>
      <x:c r="Z45"/>
      <x:c r="AA45"/>
      <x:c r="AB45"/>
      <x:c r="AC45" t="str">
        <x:v>CCoE Business</x:v>
      </x:c>
      <x:c r="AD45"/>
      <x:c r="AE45"/>
      <x:c r="AF45"/>
      <x:c r="AG45" t="str">
        <x:v>CCoE Operations</x:v>
      </x:c>
      <x:c r="AH45"/>
      <x:c r="AI45"/>
      <x:c r="AJ45" t="str">
        <x:v>A-000303</x:v>
      </x:c>
      <x:c r="AK45" t="n">
        <x:v>100</x:v>
      </x:c>
      <x:c r="AL45"/>
      <x:c r="AM45"/>
      <x:c r="AN45" t="str">
        <x:v>noretention</x:v>
      </x:c>
      <x:c r="AO45" t="n">
        <x:v>0</x:v>
      </x:c>
      <x:c r="AP45" s="23" t="str">
        <x:f>IF(E45="processing",IF(Z45="","",IF(ISNUMBER(Z45),INT(Z45),DATE(VALUE(LEFT(Z45,4)),VALUE(MID(Z45,6,2)),VALUE(MID(Z45,9,2))))),IF(OR(E45="executing",E45="pending"),IF(AD45="","",IF(ISNUMBER(AD45),INT(AD45),DATE(VALUE(LEFT(AD45,4)),VALUE(MID(AD45,6,2)),VALUE(MID(AD45,9,2))))),""))</x:f>
      </x:c>
      <x:c r="AQ45" s="24" t="str">
        <x:f>IF(AP45="","",INT('Configuration'!$B$4)-AP45)</x:f>
      </x:c>
      <x:c r="AR45" s="25" t="str">
        <x:f>IF(AP45="","Missing Required Date",IF(AQ45&lt;0,"Future Date",IF(AQ45=0,"0 days",IF(AQ45&lt;=2,"1-2 days",IF(AQ45&lt;=7,"3-7 days",IF(AQ45&lt;=14,"8-14 days",IF(AQ45&lt;=30,"15-30 days",IF(AQ45&lt;=60,"31-60 days",IF(AQ45&lt;=70,"61-70 days","71+ days")))))))))</x:f>
        <x:v>Missing Required Date</x:v>
      </x:c>
      <x:c r="AS45" s="25" t="str">
        <x:f>IF(OR(E45="processing",E45="executing",E45="pending"),IF(AP45="","Required aging date missing",IF(AQ45&gt;30,"Escalate &gt;30d",IF(AQ45&gt;14,"Watch &gt;14d","Within 14d"))),"Out of scope")</x:f>
        <x:v>Out of scope</x:v>
      </x:c>
    </x:row>
    <x:row r="46" ht="24" customHeight="1">
      <x:c r="A46" t="str">
        <x:v>9aecfc02-2056-4390-879d-2a2098196200</x:v>
      </x:c>
      <x:c r="B46" t="str">
        <x:v>CSSP10527994</x:v>
      </x:c>
      <x:c r="C46" t="str">
        <x:v>mibrahim.sulaima@petronas.com</x:v>
      </x:c>
      <x:c r="D46" t="str">
        <x:v>decommission-cloud</x:v>
      </x:c>
      <x:c r="E46" t="str">
        <x:v>completed</x:v>
      </x:c>
      <x:c r="F46" t="n">
        <x:v>46031.08856185185</x:v>
      </x:c>
      <x:c r="G46" t="n">
        <x:v>46038.07838650463</x:v>
      </x:c>
      <x:c r="H46" t="n">
        <x:v>46031.08856185185</x:v>
      </x:c>
      <x:c r="I46" t="str">
        <x:v>Enhancement of Enhanced Resource Monetization by Artificial Intelligence - ERMAI Phase 3 for Malaysia Petroleum Management - MPM</x:v>
      </x:c>
      <x:c r="J46" t="str">
        <x:v>Implementation of Enhanced Resource Monetization Artificial Intelligence (ERMAI) Malaysia Petroleum Management (MPM)</x:v>
      </x:c>
      <x:c r="K46" t="str">
        <x:v>partial</x:v>
      </x:c>
      <x:c r="L46"/>
      <x:c r="M46" t="str">
        <x:v>limeng.tan@petronas.com.my</x:v>
      </x:c>
      <x:c r="N46"/>
      <x:c r="O46"/>
      <x:c r="P46" t="str">
        <x:v>To decom AKS and PosgreSQL temp01 in ERMAI dev since not being used anymore</x:v>
      </x:c>
      <x:c r="Q46" t="str">
        <x:v>2W</x:v>
      </x:c>
      <x:c r="R46" t="str">
        <x:v>Not in Used</x:v>
      </x:c>
      <x:c r="S46"/>
      <x:c r="T46" t="str">
        <x:v>approved</x:v>
      </x:c>
      <x:c r="U46" t="str">
        <x:v>mibrahim.sulaima@petronas.com</x:v>
      </x:c>
      <x:c r="V46" t="n">
        <x:v>46031.09554671296</x:v>
      </x:c>
      <x:c r="W46" t="str">
        <x:v>To decom AKS - ptsg-5ermaiaks01 and PosgreSQL Flexible server - ptazsg-5ermaisql01temp. These resources have been confirmed not being used anymore. This can save cost in Dev environment for about 30% monthly.</x:v>
      </x:c>
      <x:c r="X46" t="str">
        <x:v>approved</x:v>
      </x:c>
      <x:c r="Y46" t="str">
        <x:v>limeng.tan@petronas.com</x:v>
      </x:c>
      <x:c r="Z46" t="n">
        <x:v>46031.38794288194</x:v>
      </x:c>
      <x:c r="AA46" t="str">
        <x:v>approved as requested</x:v>
      </x:c>
      <x:c r="AB46" t="str">
        <x:v>approved</x:v>
      </x:c>
      <x:c r="AC46" t="str">
        <x:v>azwan.badari@petronas.com</x:v>
      </x:c>
      <x:c r="AD46" t="n">
        <x:v>46036.323659814814</x:v>
      </x:c>
      <x:c r="AE46" t="str">
        <x:v>Decommission AKS - ptsg-5ermaiaks01 and PosgreSQL Flexible server - ptazsg-5ermaisql01temp</x:v>
      </x:c>
      <x:c r="AF46" t="str">
        <x:v>approved</x:v>
      </x:c>
      <x:c r="AG46" t="str">
        <x:v>azwan.badari@petronas.com</x:v>
      </x:c>
      <x:c r="AH46" t="n">
        <x:v>46038.0783865162</x:v>
      </x:c>
      <x:c r="AI46" t="str">
        <x:v>Completed</x:v>
      </x:c>
      <x:c r="AJ46" t="str">
        <x:v>A-000303</x:v>
      </x:c>
      <x:c r="AK46" t="n">
        <x:v>4443</x:v>
      </x:c>
      <x:c r="AL46" t="str">
        <x:v>M</x:v>
      </x:c>
      <x:c r="AM46" t="str">
        <x:v>REQ000007815159</x:v>
      </x:c>
      <x:c r="AN46" t="str">
        <x:v>noretention</x:v>
      </x:c>
      <x:c r="AO46" t="n">
        <x:v>0</x:v>
      </x:c>
      <x:c r="AP46" s="23" t="str">
        <x:f>IF(E46="processing",IF(Z46="","",IF(ISNUMBER(Z46),INT(Z46),DATE(VALUE(LEFT(Z46,4)),VALUE(MID(Z46,6,2)),VALUE(MID(Z46,9,2))))),IF(OR(E46="executing",E46="pending"),IF(AD46="","",IF(ISNUMBER(AD46),INT(AD46),DATE(VALUE(LEFT(AD46,4)),VALUE(MID(AD46,6,2)),VALUE(MID(AD46,9,2))))),""))</x:f>
      </x:c>
      <x:c r="AQ46" s="24" t="str">
        <x:f>IF(AP46="","",INT('Configuration'!$B$4)-AP46)</x:f>
      </x:c>
      <x:c r="AR46" s="25" t="str">
        <x:f>IF(AP46="","Missing Required Date",IF(AQ46&lt;0,"Future Date",IF(AQ46=0,"0 days",IF(AQ46&lt;=2,"1-2 days",IF(AQ46&lt;=7,"3-7 days",IF(AQ46&lt;=14,"8-14 days",IF(AQ46&lt;=30,"15-30 days",IF(AQ46&lt;=60,"31-60 days",IF(AQ46&lt;=70,"61-70 days","71+ days")))))))))</x:f>
        <x:v>Missing Required Date</x:v>
      </x:c>
      <x:c r="AS46" s="25" t="str">
        <x:f>IF(OR(E46="processing",E46="executing",E46="pending"),IF(AP46="","Required aging date missing",IF(AQ46&gt;30,"Escalate &gt;30d",IF(AQ46&gt;14,"Watch &gt;14d","Within 14d"))),"Out of scope")</x:f>
        <x:v>Out of scope</x:v>
      </x:c>
    </x:row>
    <x:row r="47" ht="24" customHeight="1">
      <x:c r="A47" t="str">
        <x:v>e09d2466-1f5f-48a0-8531-127ecf1af6ec</x:v>
      </x:c>
      <x:c r="B47" t="str">
        <x:v>CSSP10175424</x:v>
      </x:c>
      <x:c r="C47" t="str">
        <x:v>mnizar.omar@petronas.com</x:v>
      </x:c>
      <x:c r="D47" t="str">
        <x:v>decommission-cloud</x:v>
      </x:c>
      <x:c r="E47" t="str">
        <x:v>cancelled</x:v>
      </x:c>
      <x:c r="F47" t="n">
        <x:v>46031.138883680556</x:v>
      </x:c>
      <x:c r="G47" t="n">
        <x:v>46031.14463625</x:v>
      </x:c>
      <x:c r="H47" t="n">
        <x:v>46031.138883680556</x:v>
      </x:c>
      <x:c r="I47" t="str">
        <x:v>Active Directory Domain Controller - ADDC KVDC</x:v>
      </x:c>
      <x:c r="J47" t="str">
        <x:v>Active Directory Domain Controller - ADDC KVDC created for PRIVATECLOUD project record</x:v>
      </x:c>
      <x:c r="K47" t="str">
        <x:v>partial</x:v>
      </x:c>
      <x:c r="L47"/>
      <x:c r="M47" t="str">
        <x:v>zulizzi.yasin@petronas.com.my</x:v>
      </x:c>
      <x:c r="N47"/>
      <x:c r="O47"/>
      <x:c r="P47" t="str">
        <x:v>This domain controller is not required anymore as part of domain controllers decommissioning plan.</x:v>
      </x:c>
      <x:c r="Q47" t="str">
        <x:v>2W</x:v>
      </x:c>
      <x:c r="R47" t="str">
        <x:v>Not in Used</x:v>
      </x:c>
      <x:c r="S47"/>
      <x:c r="T47" t="str">
        <x:v>rejected</x:v>
      </x:c>
      <x:c r="U47" t="str">
        <x:v>mnizar.omar@petronas.com</x:v>
      </x:c>
      <x:c r="V47" t="n">
        <x:v>46031.14463625</x:v>
      </x:c>
      <x:c r="W47"/>
      <x:c r="X47"/>
      <x:c r="Y47" t="str">
        <x:v>zulizzi.yasin@petronas.com</x:v>
      </x:c>
      <x:c r="Z47"/>
      <x:c r="AA47"/>
      <x:c r="AB47"/>
      <x:c r="AC47" t="str">
        <x:v>CCoE Business</x:v>
      </x:c>
      <x:c r="AD47"/>
      <x:c r="AE47"/>
      <x:c r="AF47"/>
      <x:c r="AG47" t="str">
        <x:v>CCoE Operations</x:v>
      </x:c>
      <x:c r="AH47"/>
      <x:c r="AI47"/>
      <x:c r="AJ47" t="str">
        <x:v>A-000015</x:v>
      </x:c>
      <x:c r="AK47" t="str">
        <x:v>10002_03</x:v>
      </x:c>
      <x:c r="AL47"/>
      <x:c r="AM47"/>
      <x:c r="AN47" t="str">
        <x:v>noretention</x:v>
      </x:c>
      <x:c r="AO47" t="n">
        <x:v>0</x:v>
      </x:c>
      <x:c r="AP47" s="23" t="str">
        <x:f>IF(E47="processing",IF(Z47="","",IF(ISNUMBER(Z47),INT(Z47),DATE(VALUE(LEFT(Z47,4)),VALUE(MID(Z47,6,2)),VALUE(MID(Z47,9,2))))),IF(OR(E47="executing",E47="pending"),IF(AD47="","",IF(ISNUMBER(AD47),INT(AD47),DATE(VALUE(LEFT(AD47,4)),VALUE(MID(AD47,6,2)),VALUE(MID(AD47,9,2))))),""))</x:f>
      </x:c>
      <x:c r="AQ47" s="24" t="str">
        <x:f>IF(AP47="","",INT('Configuration'!$B$4)-AP47)</x:f>
      </x:c>
      <x:c r="AR47" s="25" t="str">
        <x:f>IF(AP47="","Missing Required Date",IF(AQ47&lt;0,"Future Date",IF(AQ47=0,"0 days",IF(AQ47&lt;=2,"1-2 days",IF(AQ47&lt;=7,"3-7 days",IF(AQ47&lt;=14,"8-14 days",IF(AQ47&lt;=30,"15-30 days",IF(AQ47&lt;=60,"31-60 days",IF(AQ47&lt;=70,"61-70 days","71+ days")))))))))</x:f>
        <x:v>Missing Required Date</x:v>
      </x:c>
      <x:c r="AS47" s="25" t="str">
        <x:f>IF(OR(E47="processing",E47="executing",E47="pending"),IF(AP47="","Required aging date missing",IF(AQ47&gt;30,"Escalate &gt;30d",IF(AQ47&gt;14,"Watch &gt;14d","Within 14d"))),"Out of scope")</x:f>
        <x:v>Out of scope</x:v>
      </x:c>
    </x:row>
    <x:row r="48" ht="24" customHeight="1">
      <x:c r="A48" t="str">
        <x:v>5d8ee9f0-2be6-4505-be54-65b3bf899f4d</x:v>
      </x:c>
      <x:c r="B48" t="str">
        <x:v>CSSP10240613</x:v>
      </x:c>
      <x:c r="C48" t="str">
        <x:v>mnizar.omar@petronas.com</x:v>
      </x:c>
      <x:c r="D48" t="str">
        <x:v>decommission-cloud</x:v>
      </x:c>
      <x:c r="E48" t="str">
        <x:v>cancelled</x:v>
      </x:c>
      <x:c r="F48" t="n">
        <x:v>46031.15790505787</x:v>
      </x:c>
      <x:c r="G48" t="n">
        <x:v>46031.15871037037</x:v>
      </x:c>
      <x:c r="H48" t="n">
        <x:v>46031.15790505787</x:v>
      </x:c>
      <x:c r="I48" t="str">
        <x:v>Common Active Directory - AD</x:v>
      </x:c>
      <x:c r="J48" t="str">
        <x:v>Common infrastructure for COC dashboard, integration, ict2u, labs</x:v>
      </x:c>
      <x:c r="K48" t="str">
        <x:v>partial</x:v>
      </x:c>
      <x:c r="L48"/>
      <x:c r="M48" t="str">
        <x:v>zulizzi.yasin@petronas.com.my</x:v>
      </x:c>
      <x:c r="N48"/>
      <x:c r="O48"/>
      <x:c r="P48" t="str">
        <x:v>Domain controllers are not in use anymore. Please refer the attachment for the list of items to be decommed.</x:v>
      </x:c>
      <x:c r="Q48" t="str">
        <x:v>2W</x:v>
      </x:c>
      <x:c r="R48" t="str">
        <x:v>Not in Used</x:v>
      </x:c>
      <x:c r="S48"/>
      <x:c r="T48" t="str">
        <x:v>rejected</x:v>
      </x:c>
      <x:c r="U48" t="str">
        <x:v>mnizar.omar@petronas.com</x:v>
      </x:c>
      <x:c r="V48" t="n">
        <x:v>46031.15871037037</x:v>
      </x:c>
      <x:c r="W48"/>
      <x:c r="X48"/>
      <x:c r="Y48" t="str">
        <x:v>zulizzi.yasin@petronas.com</x:v>
      </x:c>
      <x:c r="Z48"/>
      <x:c r="AA48"/>
      <x:c r="AB48"/>
      <x:c r="AC48" t="str">
        <x:v>CCoE Business</x:v>
      </x:c>
      <x:c r="AD48"/>
      <x:c r="AE48"/>
      <x:c r="AF48"/>
      <x:c r="AG48" t="str">
        <x:v>CCoE Operations</x:v>
      </x:c>
      <x:c r="AH48"/>
      <x:c r="AI48"/>
      <x:c r="AJ48" t="str">
        <x:v>C-000004</x:v>
      </x:c>
      <x:c r="AK48" t="str">
        <x:v>Common-AD</x:v>
      </x:c>
      <x:c r="AL48"/>
      <x:c r="AM48"/>
      <x:c r="AN48" t="str">
        <x:v>noretention</x:v>
      </x:c>
      <x:c r="AO48" t="n">
        <x:v>0</x:v>
      </x:c>
      <x:c r="AP48" s="23" t="str">
        <x:f>IF(E48="processing",IF(Z48="","",IF(ISNUMBER(Z48),INT(Z48),DATE(VALUE(LEFT(Z48,4)),VALUE(MID(Z48,6,2)),VALUE(MID(Z48,9,2))))),IF(OR(E48="executing",E48="pending"),IF(AD48="","",IF(ISNUMBER(AD48),INT(AD48),DATE(VALUE(LEFT(AD48,4)),VALUE(MID(AD48,6,2)),VALUE(MID(AD48,9,2))))),""))</x:f>
      </x:c>
      <x:c r="AQ48" s="24" t="str">
        <x:f>IF(AP48="","",INT('Configuration'!$B$4)-AP48)</x:f>
      </x:c>
      <x:c r="AR48" s="25" t="str">
        <x:f>IF(AP48="","Missing Required Date",IF(AQ48&lt;0,"Future Date",IF(AQ48=0,"0 days",IF(AQ48&lt;=2,"1-2 days",IF(AQ48&lt;=7,"3-7 days",IF(AQ48&lt;=14,"8-14 days",IF(AQ48&lt;=30,"15-30 days",IF(AQ48&lt;=60,"31-60 days",IF(AQ48&lt;=70,"61-70 days","71+ days")))))))))</x:f>
        <x:v>Missing Required Date</x:v>
      </x:c>
      <x:c r="AS48" s="25" t="str">
        <x:f>IF(OR(E48="processing",E48="executing",E48="pending"),IF(AP48="","Required aging date missing",IF(AQ48&gt;30,"Escalate &gt;30d",IF(AQ48&gt;14,"Watch &gt;14d","Within 14d"))),"Out of scope")</x:f>
        <x:v>Out of scope</x:v>
      </x:c>
    </x:row>
    <x:row r="49" ht="24" customHeight="1">
      <x:c r="A49" t="str">
        <x:v>7f765445-b497-44da-8017-8873ca22791f</x:v>
      </x:c>
      <x:c r="B49" t="str">
        <x:v>CSSP10262348</x:v>
      </x:c>
      <x:c r="C49" t="str">
        <x:v>mnizar.omar@petronas.com</x:v>
      </x:c>
      <x:c r="D49" t="str">
        <x:v>decommission-cloud</x:v>
      </x:c>
      <x:c r="E49" t="str">
        <x:v>completed</x:v>
      </x:c>
      <x:c r="F49" t="n">
        <x:v>46031.17346643518</x:v>
      </x:c>
      <x:c r="G49" t="n">
        <x:v>46041.14016837963</x:v>
      </x:c>
      <x:c r="H49" t="n">
        <x:v>46031.17346643518</x:v>
      </x:c>
      <x:c r="I49" t="str">
        <x:v>Common Active Directory - AD</x:v>
      </x:c>
      <x:c r="J49" t="str">
        <x:v>Common infrastructure for COC dashboard, integration, ict2u, labs</x:v>
      </x:c>
      <x:c r="K49" t="str">
        <x:v>partial</x:v>
      </x:c>
      <x:c r="L49"/>
      <x:c r="M49" t="str">
        <x:v>zulizzi.yasin@petronas.com.my</x:v>
      </x:c>
      <x:c r="N49"/>
      <x:c r="O49"/>
      <x:c r="P49" t="str">
        <x:v>The domain controllers are not in use anymore which are part of our decommissioning plan. Please refer the attachment for the list of servers to be decommissioned. 
CEN308-INFDC-03
PTSCUS-1INFdc01
PTSCUS-1INFdc02
PTWEU-1INFdc01
PTWEU-1INFdc02
AZRSAPRODADDS01
</x:v>
      </x:c>
      <x:c r="Q49" t="str">
        <x:v>2W</x:v>
      </x:c>
      <x:c r="R49" t="str">
        <x:v>Not in Used</x:v>
      </x:c>
      <x:c r="S49"/>
      <x:c r="T49" t="str">
        <x:v>approved</x:v>
      </x:c>
      <x:c r="U49" t="str">
        <x:v>mnizar.omar@petronas.com</x:v>
      </x:c>
      <x:c r="V49" t="n">
        <x:v>46031.17527797454</x:v>
      </x:c>
      <x:c r="W49" t="str">
        <x:v>Servers have been shut down and confirmed not in use.</x:v>
      </x:c>
      <x:c r="X49" t="str">
        <x:v>approved</x:v>
      </x:c>
      <x:c r="Y49" t="str">
        <x:v>zulizzi.yasin@petronas.com</x:v>
      </x:c>
      <x:c r="Z49" t="n">
        <x:v>46035.09325394676</x:v>
      </x:c>
      <x:c r="AA49" t="str">
        <x:v>Reviewed</x:v>
      </x:c>
      <x:c r="AB49" t="str">
        <x:v>approved</x:v>
      </x:c>
      <x:c r="AC49" t="str">
        <x:v>azwan.badari@petronas.com</x:v>
      </x:c>
      <x:c r="AD49" t="n">
        <x:v>46036.35665873843</x:v>
      </x:c>
      <x:c r="AE49" t="str">
        <x:v>Decommission listed VM
CEN308-INFDC-03	10.3.193.171
PTSCUS-1INFdc01	172.18.32.11
PTSCUS-1INFdc02	172.18.32.12
PTWEU-1INFdc01	172.24.32.11
PTWEU-1INFdc02	172.24.32.4
AZRSAPRODADDS01	172.24.9.1</x:v>
      </x:c>
      <x:c r="AF49" t="str">
        <x:v>approved</x:v>
      </x:c>
      <x:c r="AG49" t="str">
        <x:v>azlisham.md@petronas.com</x:v>
      </x:c>
      <x:c r="AH49" t="n">
        <x:v>46041.140168391204</x:v>
      </x:c>
      <x:c r="AI49" t="str">
        <x:v>The decommission request has been completed, and the status is now updated accordingly. Kindly verify from your end and confirm once reviewed.
</x:v>
      </x:c>
      <x:c r="AJ49" t="str">
        <x:v>C-000004</x:v>
      </x:c>
      <x:c r="AK49" t="str">
        <x:v>Common-AD</x:v>
      </x:c>
      <x:c r="AL49" t="str">
        <x:v>M</x:v>
      </x:c>
      <x:c r="AM49" t="str">
        <x:v>REQ000007815546</x:v>
      </x:c>
      <x:c r="AN49" t="str">
        <x:v>noretention</x:v>
      </x:c>
      <x:c r="AO49" t="n">
        <x:v>0</x:v>
      </x:c>
      <x:c r="AP49" s="23" t="str">
        <x:f>IF(E49="processing",IF(Z49="","",IF(ISNUMBER(Z49),INT(Z49),DATE(VALUE(LEFT(Z49,4)),VALUE(MID(Z49,6,2)),VALUE(MID(Z49,9,2))))),IF(OR(E49="executing",E49="pending"),IF(AD49="","",IF(ISNUMBER(AD49),INT(AD49),DATE(VALUE(LEFT(AD49,4)),VALUE(MID(AD49,6,2)),VALUE(MID(AD49,9,2))))),""))</x:f>
      </x:c>
      <x:c r="AQ49" s="24" t="str">
        <x:f>IF(AP49="","",INT('Configuration'!$B$4)-AP49)</x:f>
      </x:c>
      <x:c r="AR49" s="25" t="str">
        <x:f>IF(AP49="","Missing Required Date",IF(AQ49&lt;0,"Future Date",IF(AQ49=0,"0 days",IF(AQ49&lt;=2,"1-2 days",IF(AQ49&lt;=7,"3-7 days",IF(AQ49&lt;=14,"8-14 days",IF(AQ49&lt;=30,"15-30 days",IF(AQ49&lt;=60,"31-60 days",IF(AQ49&lt;=70,"61-70 days","71+ days")))))))))</x:f>
        <x:v>Missing Required Date</x:v>
      </x:c>
      <x:c r="AS49" s="25" t="str">
        <x:f>IF(OR(E49="processing",E49="executing",E49="pending"),IF(AP49="","Required aging date missing",IF(AQ49&gt;30,"Escalate &gt;30d",IF(AQ49&gt;14,"Watch &gt;14d","Within 14d"))),"Out of scope")</x:f>
        <x:v>Out of scope</x:v>
      </x:c>
    </x:row>
    <x:row r="50" ht="24" customHeight="1">
      <x:c r="A50" t="str">
        <x:v>a4db4910-6efc-4ec6-adcc-0c92781fa443</x:v>
      </x:c>
      <x:c r="B50" t="str">
        <x:v>CSSP10861160</x:v>
      </x:c>
      <x:c r="C50" t="str">
        <x:v>izdihar.roslan@petronas.com</x:v>
      </x:c>
      <x:c r="D50" t="str">
        <x:v>decommission-cloud</x:v>
      </x:c>
      <x:c r="E50" t="str">
        <x:v>cancelled</x:v>
      </x:c>
      <x:c r="F50" t="n">
        <x:v>46031.299027650464</x:v>
      </x:c>
      <x:c r="G50" t="n">
        <x:v>46051.19519085648</x:v>
      </x:c>
      <x:c r="H50" t="n">
        <x:v>46031.299027650464</x:v>
      </x:c>
      <x:c r="I50" t="str">
        <x:v>MyProcure</x:v>
      </x:c>
      <x:c r="J50" t="str">
        <x:v>Procurement Innovation Through Automation And Procurement Marketplace</x:v>
      </x:c>
      <x:c r="K50" t="str">
        <x:v>partial</x:v>
      </x:c>
      <x:c r="L50"/>
      <x:c r="M50" t="str">
        <x:v>sazali.mokhtar@petronas.com</x:v>
      </x:c>
      <x:c r="N50"/>
      <x:c r="O50" t="n">
        <x:v>4343</x:v>
      </x:c>
      <x:c r="P50" t="str">
        <x:v>Cloud Repatriation - To decommission old resources in Singapore region due to completed migration in MY region</x:v>
      </x:c>
      <x:c r="Q50" t="str">
        <x:v>2W</x:v>
      </x:c>
      <x:c r="R50" t="str">
        <x:v>Cloud Migration</x:v>
      </x:c>
      <x:c r="S50"/>
      <x:c r="T50" t="str">
        <x:v>rejected</x:v>
      </x:c>
      <x:c r="U50" t="str">
        <x:v>azwan.badari@petronas.com</x:v>
      </x:c>
      <x:c r="V50" t="n">
        <x:v>46051.19519085648</x:v>
      </x:c>
      <x:c r="W50" t="str">
        <x:v>Cancelled</x:v>
      </x:c>
      <x:c r="X50"/>
      <x:c r="Y50" t="str">
        <x:v>sazali.mokhtar@petronas.com</x:v>
      </x:c>
      <x:c r="Z50"/>
      <x:c r="AA50"/>
      <x:c r="AB50"/>
      <x:c r="AC50" t="str">
        <x:v>CCoE Business</x:v>
      </x:c>
      <x:c r="AD50"/>
      <x:c r="AE50"/>
      <x:c r="AF50"/>
      <x:c r="AG50" t="str">
        <x:v>CCoE Operations</x:v>
      </x:c>
      <x:c r="AH50"/>
      <x:c r="AI50"/>
      <x:c r="AJ50" t="str">
        <x:v>A-000490</x:v>
      </x:c>
      <x:c r="AK50" t="n">
        <x:v>4343</x:v>
      </x:c>
      <x:c r="AL50"/>
      <x:c r="AM50"/>
      <x:c r="AN50" t="str">
        <x:v>noretention</x:v>
      </x:c>
      <x:c r="AO50" t="n">
        <x:v>0</x:v>
      </x:c>
      <x:c r="AP50" s="23" t="str">
        <x:f>IF(E50="processing",IF(Z50="","",IF(ISNUMBER(Z50),INT(Z50),DATE(VALUE(LEFT(Z50,4)),VALUE(MID(Z50,6,2)),VALUE(MID(Z50,9,2))))),IF(OR(E50="executing",E50="pending"),IF(AD50="","",IF(ISNUMBER(AD50),INT(AD50),DATE(VALUE(LEFT(AD50,4)),VALUE(MID(AD50,6,2)),VALUE(MID(AD50,9,2))))),""))</x:f>
      </x:c>
      <x:c r="AQ50" s="24" t="str">
        <x:f>IF(AP50="","",INT('Configuration'!$B$4)-AP50)</x:f>
      </x:c>
      <x:c r="AR50" s="25" t="str">
        <x:f>IF(AP50="","Missing Required Date",IF(AQ50&lt;0,"Future Date",IF(AQ50=0,"0 days",IF(AQ50&lt;=2,"1-2 days",IF(AQ50&lt;=7,"3-7 days",IF(AQ50&lt;=14,"8-14 days",IF(AQ50&lt;=30,"15-30 days",IF(AQ50&lt;=60,"31-60 days",IF(AQ50&lt;=70,"61-70 days","71+ days")))))))))</x:f>
        <x:v>Missing Required Date</x:v>
      </x:c>
      <x:c r="AS50" s="25" t="str">
        <x:f>IF(OR(E50="processing",E50="executing",E50="pending"),IF(AP50="","Required aging date missing",IF(AQ50&gt;30,"Escalate &gt;30d",IF(AQ50&gt;14,"Watch &gt;14d","Within 14d"))),"Out of scope")</x:f>
        <x:v>Out of scope</x:v>
      </x:c>
    </x:row>
    <x:row r="51" ht="24" customHeight="1">
      <x:c r="A51" t="str">
        <x:v>9b7f550e-e5cb-4f88-94d2-23a74bc7c118</x:v>
      </x:c>
      <x:c r="B51" t="str">
        <x:v>CSSP10888172</x:v>
      </x:c>
      <x:c r="C51" t="str">
        <x:v>izdihar.roslan@petronas.com</x:v>
      </x:c>
      <x:c r="D51" t="str">
        <x:v>decommission-cloud</x:v>
      </x:c>
      <x:c r="E51" t="str">
        <x:v>cancelled</x:v>
      </x:c>
      <x:c r="F51" t="n">
        <x:v>46031.30166020833</x:v>
      </x:c>
      <x:c r="G51" t="n">
        <x:v>46051.19508881945</x:v>
      </x:c>
      <x:c r="H51" t="n">
        <x:v>46031.30166020833</x:v>
      </x:c>
      <x:c r="I51" t="str">
        <x:v>MyProcure</x:v>
      </x:c>
      <x:c r="J51" t="str">
        <x:v>Procurement Innovation Through Automation And Procurement Marketplace</x:v>
      </x:c>
      <x:c r="K51" t="str">
        <x:v>partial</x:v>
      </x:c>
      <x:c r="L51"/>
      <x:c r="M51" t="str">
        <x:v>sazali.mokhtar@petronas.com</x:v>
      </x:c>
      <x:c r="N51"/>
      <x:c r="O51"/>
      <x:c r="P51" t="str">
        <x:v>Cloud Repatriation - To decommission old resources in Singapore region due to completed migration in MY region</x:v>
      </x:c>
      <x:c r="Q51" t="str">
        <x:v>2W</x:v>
      </x:c>
      <x:c r="R51" t="str">
        <x:v>Cloud Migration</x:v>
      </x:c>
      <x:c r="S51"/>
      <x:c r="T51" t="str">
        <x:v>rejected</x:v>
      </x:c>
      <x:c r="U51" t="str">
        <x:v>azwan.badari@petronas.com</x:v>
      </x:c>
      <x:c r="V51" t="n">
        <x:v>46051.19508883102</x:v>
      </x:c>
      <x:c r="W51" t="str">
        <x:v>Cancelled</x:v>
      </x:c>
      <x:c r="X51"/>
      <x:c r="Y51" t="str">
        <x:v>sazali.mokhtar@petronas.com</x:v>
      </x:c>
      <x:c r="Z51"/>
      <x:c r="AA51"/>
      <x:c r="AB51"/>
      <x:c r="AC51" t="str">
        <x:v>CCoE Business</x:v>
      </x:c>
      <x:c r="AD51"/>
      <x:c r="AE51"/>
      <x:c r="AF51"/>
      <x:c r="AG51" t="str">
        <x:v>CCoE Operations</x:v>
      </x:c>
      <x:c r="AH51"/>
      <x:c r="AI51"/>
      <x:c r="AJ51" t="str">
        <x:v>A-000490</x:v>
      </x:c>
      <x:c r="AK51" t="n">
        <x:v>4343</x:v>
      </x:c>
      <x:c r="AL51"/>
      <x:c r="AM51"/>
      <x:c r="AN51" t="str">
        <x:v>noretention</x:v>
      </x:c>
      <x:c r="AO51" t="n">
        <x:v>0</x:v>
      </x:c>
      <x:c r="AP51" s="23" t="str">
        <x:f>IF(E51="processing",IF(Z51="","",IF(ISNUMBER(Z51),INT(Z51),DATE(VALUE(LEFT(Z51,4)),VALUE(MID(Z51,6,2)),VALUE(MID(Z51,9,2))))),IF(OR(E51="executing",E51="pending"),IF(AD51="","",IF(ISNUMBER(AD51),INT(AD51),DATE(VALUE(LEFT(AD51,4)),VALUE(MID(AD51,6,2)),VALUE(MID(AD51,9,2))))),""))</x:f>
      </x:c>
      <x:c r="AQ51" s="24" t="str">
        <x:f>IF(AP51="","",INT('Configuration'!$B$4)-AP51)</x:f>
      </x:c>
      <x:c r="AR51" s="25" t="str">
        <x:f>IF(AP51="","Missing Required Date",IF(AQ51&lt;0,"Future Date",IF(AQ51=0,"0 days",IF(AQ51&lt;=2,"1-2 days",IF(AQ51&lt;=7,"3-7 days",IF(AQ51&lt;=14,"8-14 days",IF(AQ51&lt;=30,"15-30 days",IF(AQ51&lt;=60,"31-60 days",IF(AQ51&lt;=70,"61-70 days","71+ days")))))))))</x:f>
        <x:v>Missing Required Date</x:v>
      </x:c>
      <x:c r="AS51" s="25" t="str">
        <x:f>IF(OR(E51="processing",E51="executing",E51="pending"),IF(AP51="","Required aging date missing",IF(AQ51&gt;30,"Escalate &gt;30d",IF(AQ51&gt;14,"Watch &gt;14d","Within 14d"))),"Out of scope")</x:f>
        <x:v>Out of scope</x:v>
      </x:c>
    </x:row>
    <x:row r="52" ht="24" customHeight="1">
      <x:c r="A52" t="str">
        <x:v>170c452c-8ff0-4744-b0fe-2d5884db40b4</x:v>
      </x:c>
      <x:c r="B52" t="str">
        <x:v>CSSP10280084</x:v>
      </x:c>
      <x:c r="C52" t="str">
        <x:v>izdihar.roslan@petronas.com</x:v>
      </x:c>
      <x:c r="D52" t="str">
        <x:v>decommission-cloud</x:v>
      </x:c>
      <x:c r="E52" t="str">
        <x:v>cancelled</x:v>
      </x:c>
      <x:c r="F52" t="n">
        <x:v>46031.30300150463</x:v>
      </x:c>
      <x:c r="G52" t="n">
        <x:v>46051.19498824074</x:v>
      </x:c>
      <x:c r="H52" t="n">
        <x:v>46031.30300150463</x:v>
      </x:c>
      <x:c r="I52" t="str">
        <x:v>MyProcure</x:v>
      </x:c>
      <x:c r="J52" t="str">
        <x:v>Procurement Innovation Through Automation And Procurement Marketplace</x:v>
      </x:c>
      <x:c r="K52" t="str">
        <x:v>partial</x:v>
      </x:c>
      <x:c r="L52"/>
      <x:c r="M52" t="str">
        <x:v>sazali.mokhtar@petronas.com</x:v>
      </x:c>
      <x:c r="N52"/>
      <x:c r="O52"/>
      <x:c r="P52" t="str">
        <x:v>Cloud Repatriation - To decommission old resources in Singapore region due to completed migration in MY region</x:v>
      </x:c>
      <x:c r="Q52" t="str">
        <x:v>2W</x:v>
      </x:c>
      <x:c r="R52" t="str">
        <x:v>Cloud Migration</x:v>
      </x:c>
      <x:c r="S52"/>
      <x:c r="T52" t="str">
        <x:v>rejected</x:v>
      </x:c>
      <x:c r="U52" t="str">
        <x:v>azwan.badari@petronas.com</x:v>
      </x:c>
      <x:c r="V52" t="n">
        <x:v>46051.19498825231</x:v>
      </x:c>
      <x:c r="W52" t="str">
        <x:v>Cancelled</x:v>
      </x:c>
      <x:c r="X52"/>
      <x:c r="Y52" t="str">
        <x:v>sazali.mokhtar@petronas.com</x:v>
      </x:c>
      <x:c r="Z52"/>
      <x:c r="AA52"/>
      <x:c r="AB52"/>
      <x:c r="AC52" t="str">
        <x:v>CCoE Business</x:v>
      </x:c>
      <x:c r="AD52"/>
      <x:c r="AE52"/>
      <x:c r="AF52"/>
      <x:c r="AG52" t="str">
        <x:v>CCoE Operations</x:v>
      </x:c>
      <x:c r="AH52"/>
      <x:c r="AI52"/>
      <x:c r="AJ52" t="str">
        <x:v>A-000490</x:v>
      </x:c>
      <x:c r="AK52" t="n">
        <x:v>4343</x:v>
      </x:c>
      <x:c r="AL52"/>
      <x:c r="AM52"/>
      <x:c r="AN52" t="str">
        <x:v>noretention</x:v>
      </x:c>
      <x:c r="AO52" t="n">
        <x:v>0</x:v>
      </x:c>
      <x:c r="AP52" s="23" t="str">
        <x:f>IF(E52="processing",IF(Z52="","",IF(ISNUMBER(Z52),INT(Z52),DATE(VALUE(LEFT(Z52,4)),VALUE(MID(Z52,6,2)),VALUE(MID(Z52,9,2))))),IF(OR(E52="executing",E52="pending"),IF(AD52="","",IF(ISNUMBER(AD52),INT(AD52),DATE(VALUE(LEFT(AD52,4)),VALUE(MID(AD52,6,2)),VALUE(MID(AD52,9,2))))),""))</x:f>
      </x:c>
      <x:c r="AQ52" s="24" t="str">
        <x:f>IF(AP52="","",INT('Configuration'!$B$4)-AP52)</x:f>
      </x:c>
      <x:c r="AR52" s="25" t="str">
        <x:f>IF(AP52="","Missing Required Date",IF(AQ52&lt;0,"Future Date",IF(AQ52=0,"0 days",IF(AQ52&lt;=2,"1-2 days",IF(AQ52&lt;=7,"3-7 days",IF(AQ52&lt;=14,"8-14 days",IF(AQ52&lt;=30,"15-30 days",IF(AQ52&lt;=60,"31-60 days",IF(AQ52&lt;=70,"61-70 days","71+ days")))))))))</x:f>
        <x:v>Missing Required Date</x:v>
      </x:c>
      <x:c r="AS52" s="25" t="str">
        <x:f>IF(OR(E52="processing",E52="executing",E52="pending"),IF(AP52="","Required aging date missing",IF(AQ52&gt;30,"Escalate &gt;30d",IF(AQ52&gt;14,"Watch &gt;14d","Within 14d"))),"Out of scope")</x:f>
        <x:v>Out of scope</x:v>
      </x:c>
    </x:row>
    <x:row r="53" ht="24" customHeight="1">
      <x:c r="A53" t="str">
        <x:v>10815a01-d922-4fc6-aa81-7d131c5d370f</x:v>
      </x:c>
      <x:c r="B53" t="str">
        <x:v>CSSP10575261</x:v>
      </x:c>
      <x:c r="C53" t="str">
        <x:v>izdihar.roslan@petronas.com</x:v>
      </x:c>
      <x:c r="D53" t="str">
        <x:v>decommission-cloud</x:v>
      </x:c>
      <x:c r="E53" t="str">
        <x:v>cancelled</x:v>
      </x:c>
      <x:c r="F53" t="n">
        <x:v>46031.305276770836</x:v>
      </x:c>
      <x:c r="G53" t="n">
        <x:v>46219.259701875</x:v>
      </x:c>
      <x:c r="H53" t="n">
        <x:v>46031.305276770836</x:v>
      </x:c>
      <x:c r="I53" t="str">
        <x:v>MyProcure</x:v>
      </x:c>
      <x:c r="J53" t="str">
        <x:v>Procurement Innovation Through Automation And Procurement Marketplace</x:v>
      </x:c>
      <x:c r="K53" t="str">
        <x:v>partial</x:v>
      </x:c>
      <x:c r="L53"/>
      <x:c r="M53" t="str">
        <x:v>sazali.mokhtar@petronas.com</x:v>
      </x:c>
      <x:c r="N53"/>
      <x:c r="O53"/>
      <x:c r="P53" t="str">
        <x:v>Cloud Repatriation - To decommission old resources in Singapore region due to completed migration in MY region</x:v>
      </x:c>
      <x:c r="Q53" t="str">
        <x:v>2W</x:v>
      </x:c>
      <x:c r="R53" t="str">
        <x:v>Cloud Migration</x:v>
      </x:c>
      <x:c r="S53"/>
      <x:c r="T53" t="str">
        <x:v>rejected</x:v>
      </x:c>
      <x:c r="U53" t="str">
        <x:v>izdihar.roslan@petronas.com</x:v>
      </x:c>
      <x:c r="V53" t="n">
        <x:v>46219.259701875</x:v>
      </x:c>
      <x:c r="W53"/>
      <x:c r="X53"/>
      <x:c r="Y53" t="str">
        <x:v>sazali.mokhtar@petronas.com</x:v>
      </x:c>
      <x:c r="Z53"/>
      <x:c r="AA53"/>
      <x:c r="AB53"/>
      <x:c r="AC53" t="str">
        <x:v>CCoE Business</x:v>
      </x:c>
      <x:c r="AD53"/>
      <x:c r="AE53"/>
      <x:c r="AF53"/>
      <x:c r="AG53" t="str">
        <x:v>CCoE Operations</x:v>
      </x:c>
      <x:c r="AH53"/>
      <x:c r="AI53"/>
      <x:c r="AJ53" t="str">
        <x:v>A-000490</x:v>
      </x:c>
      <x:c r="AK53" t="n">
        <x:v>2800</x:v>
      </x:c>
      <x:c r="AL53"/>
      <x:c r="AM53"/>
      <x:c r="AN53" t="str">
        <x:v>noretention</x:v>
      </x:c>
      <x:c r="AO53" t="n">
        <x:v>0</x:v>
      </x:c>
      <x:c r="AP53" s="23" t="str">
        <x:f>IF(E53="processing",IF(Z53="","",IF(ISNUMBER(Z53),INT(Z53),DATE(VALUE(LEFT(Z53,4)),VALUE(MID(Z53,6,2)),VALUE(MID(Z53,9,2))))),IF(OR(E53="executing",E53="pending"),IF(AD53="","",IF(ISNUMBER(AD53),INT(AD53),DATE(VALUE(LEFT(AD53,4)),VALUE(MID(AD53,6,2)),VALUE(MID(AD53,9,2))))),""))</x:f>
      </x:c>
      <x:c r="AQ53" s="24" t="str">
        <x:f>IF(AP53="","",INT('Configuration'!$B$4)-AP53)</x:f>
      </x:c>
      <x:c r="AR53" s="25" t="str">
        <x:f>IF(AP53="","Missing Required Date",IF(AQ53&lt;0,"Future Date",IF(AQ53=0,"0 days",IF(AQ53&lt;=2,"1-2 days",IF(AQ53&lt;=7,"3-7 days",IF(AQ53&lt;=14,"8-14 days",IF(AQ53&lt;=30,"15-30 days",IF(AQ53&lt;=60,"31-60 days",IF(AQ53&lt;=70,"61-70 days","71+ days")))))))))</x:f>
        <x:v>Missing Required Date</x:v>
      </x:c>
      <x:c r="AS53" s="25" t="str">
        <x:f>IF(OR(E53="processing",E53="executing",E53="pending"),IF(AP53="","Required aging date missing",IF(AQ53&gt;30,"Escalate &gt;30d",IF(AQ53&gt;14,"Watch &gt;14d","Within 14d"))),"Out of scope")</x:f>
        <x:v>Out of scope</x:v>
      </x:c>
    </x:row>
    <x:row r="54" ht="24" customHeight="1">
      <x:c r="A54" t="str">
        <x:v>e9494d31-0e6e-46f7-b930-083021ca8133</x:v>
      </x:c>
      <x:c r="B54" t="str">
        <x:v>CSSP10692553</x:v>
      </x:c>
      <x:c r="C54" t="str">
        <x:v>izdihar.roslan@petronas.com</x:v>
      </x:c>
      <x:c r="D54" t="str">
        <x:v>decommission-cloud</x:v>
      </x:c>
      <x:c r="E54" t="str">
        <x:v>cancelled</x:v>
      </x:c>
      <x:c r="F54" t="n">
        <x:v>46031.31501050926</x:v>
      </x:c>
      <x:c r="G54" t="n">
        <x:v>46057.28470877315</x:v>
      </x:c>
      <x:c r="H54" t="n">
        <x:v>46031.31501050926</x:v>
      </x:c>
      <x:c r="I54" t="str">
        <x:v>FORTS</x:v>
      </x:c>
      <x:c r="J54" t="str">
        <x:v>AWS Cloud Migration - FORTS</x:v>
      </x:c>
      <x:c r="K54" t="str">
        <x:v>full</x:v>
      </x:c>
      <x:c r="L54" t="str">
        <x:v>DCOM202601094c5</x:v>
      </x:c>
      <x:c r="M54" t="str">
        <x:v>mkhiri.msharif@petronas.com.my</x:v>
      </x:c>
      <x:c r="N54"/>
      <x:c r="O54"/>
      <x:c r="P54" t="str">
        <x:v>As in attached email</x:v>
      </x:c>
      <x:c r="Q54" t="str">
        <x:v>2W</x:v>
      </x:c>
      <x:c r="R54" t="str">
        <x:v>Not in Used</x:v>
      </x:c>
      <x:c r="S54"/>
      <x:c r="T54" t="str">
        <x:v>rejected</x:v>
      </x:c>
      <x:c r="U54" t="str">
        <x:v>azwan.badari@petronas.com</x:v>
      </x:c>
      <x:c r="V54" t="n">
        <x:v>46057.28470877315</x:v>
      </x:c>
      <x:c r="W54" t="str">
        <x:v>Cancelled</x:v>
      </x:c>
      <x:c r="X54"/>
      <x:c r="Y54" t="str">
        <x:v>mkhiri.msharif@petronas.com</x:v>
      </x:c>
      <x:c r="Z54"/>
      <x:c r="AA54"/>
      <x:c r="AB54"/>
      <x:c r="AC54" t="str">
        <x:v>CCoE Business</x:v>
      </x:c>
      <x:c r="AD54"/>
      <x:c r="AE54"/>
      <x:c r="AF54"/>
      <x:c r="AG54" t="str">
        <x:v>CCoE Operations</x:v>
      </x:c>
      <x:c r="AH54"/>
      <x:c r="AI54"/>
      <x:c r="AJ54" t="str">
        <x:v>A-000321</x:v>
      </x:c>
      <x:c r="AK54" t="str">
        <x:v>00915_117</x:v>
      </x:c>
      <x:c r="AL54"/>
      <x:c r="AM54"/>
      <x:c r="AN54" t="str">
        <x:v>noretention</x:v>
      </x:c>
      <x:c r="AO54" t="n">
        <x:v>0</x:v>
      </x:c>
      <x:c r="AP54" s="23" t="str">
        <x:f>IF(E54="processing",IF(Z54="","",IF(ISNUMBER(Z54),INT(Z54),DATE(VALUE(LEFT(Z54,4)),VALUE(MID(Z54,6,2)),VALUE(MID(Z54,9,2))))),IF(OR(E54="executing",E54="pending"),IF(AD54="","",IF(ISNUMBER(AD54),INT(AD54),DATE(VALUE(LEFT(AD54,4)),VALUE(MID(AD54,6,2)),VALUE(MID(AD54,9,2))))),""))</x:f>
      </x:c>
      <x:c r="AQ54" s="24" t="str">
        <x:f>IF(AP54="","",INT('Configuration'!$B$4)-AP54)</x:f>
      </x:c>
      <x:c r="AR54" s="25" t="str">
        <x:f>IF(AP54="","Missing Required Date",IF(AQ54&lt;0,"Future Date",IF(AQ54=0,"0 days",IF(AQ54&lt;=2,"1-2 days",IF(AQ54&lt;=7,"3-7 days",IF(AQ54&lt;=14,"8-14 days",IF(AQ54&lt;=30,"15-30 days",IF(AQ54&lt;=60,"31-60 days",IF(AQ54&lt;=70,"61-70 days","71+ days")))))))))</x:f>
        <x:v>Missing Required Date</x:v>
      </x:c>
      <x:c r="AS54" s="25" t="str">
        <x:f>IF(OR(E54="processing",E54="executing",E54="pending"),IF(AP54="","Required aging date missing",IF(AQ54&gt;30,"Escalate &gt;30d",IF(AQ54&gt;14,"Watch &gt;14d","Within 14d"))),"Out of scope")</x:f>
        <x:v>Out of scope</x:v>
      </x:c>
    </x:row>
    <x:row r="55" ht="24" customHeight="1">
      <x:c r="A55" t="str">
        <x:v>d0967d7a-2fa4-4c39-bbdd-e72c29b361f7</x:v>
      </x:c>
      <x:c r="B55" t="str">
        <x:v>CSSP10215372</x:v>
      </x:c>
      <x:c r="C55" t="str">
        <x:v>izdihar.roslan@petronas.com</x:v>
      </x:c>
      <x:c r="D55" t="str">
        <x:v>decommission-cloud</x:v>
      </x:c>
      <x:c r="E55" t="str">
        <x:v>completed</x:v>
      </x:c>
      <x:c r="F55" t="n">
        <x:v>46031.31586847222</x:v>
      </x:c>
      <x:c r="G55" t="n">
        <x:v>46041.014904641204</x:v>
      </x:c>
      <x:c r="H55" t="n">
        <x:v>46031.31586847222</x:v>
      </x:c>
      <x:c r="I55" t="str">
        <x:v>FORTS</x:v>
      </x:c>
      <x:c r="J55" t="str">
        <x:v>AWS Cloud Migration - FORTS</x:v>
      </x:c>
      <x:c r="K55" t="str">
        <x:v>full</x:v>
      </x:c>
      <x:c r="L55" t="str">
        <x:v>DCOM202601094c5</x:v>
      </x:c>
      <x:c r="M55" t="str">
        <x:v>mkhiri.msharif@petronas.com.my</x:v>
      </x:c>
      <x:c r="N55"/>
      <x:c r="O55"/>
      <x:c r="P55" t="str">
        <x:v>As communicated in attached email</x:v>
      </x:c>
      <x:c r="Q55" t="str">
        <x:v>2W</x:v>
      </x:c>
      <x:c r="R55" t="str">
        <x:v>Not in Used</x:v>
      </x:c>
      <x:c r="S55"/>
      <x:c r="T55" t="str">
        <x:v>approved</x:v>
      </x:c>
      <x:c r="U55" t="str">
        <x:v>izdihar.roslan@petronas.com</x:v>
      </x:c>
      <x:c r="V55" t="n">
        <x:v>46031.31632521991</x:v>
      </x:c>
      <x:c r="W55" t="str">
        <x:v>Full decomission</x:v>
      </x:c>
      <x:c r="X55" t="str">
        <x:v>approved</x:v>
      </x:c>
      <x:c r="Y55" t="str">
        <x:v>mkhiri.msharif@petronas.com</x:v>
      </x:c>
      <x:c r="Z55" t="n">
        <x:v>46031.31904798611</x:v>
      </x:c>
      <x:c r="AA55" t="str">
        <x:v>Approced. Data has been backup</x:v>
      </x:c>
      <x:c r="AB55" t="str">
        <x:v>approved</x:v>
      </x:c>
      <x:c r="AC55" t="str">
        <x:v>azwan.badari@petronas.com</x:v>
      </x:c>
      <x:c r="AD55" t="n">
        <x:v>46036.36346202546</x:v>
      </x:c>
      <x:c r="AE55" t="str">
        <x:v>Decommission FORTS under code 00915_117</x:v>
      </x:c>
      <x:c r="AF55" t="str">
        <x:v>approved</x:v>
      </x:c>
      <x:c r="AG55" t="str">
        <x:v>azwan.badari@petronas.com</x:v>
      </x:c>
      <x:c r="AH55" t="n">
        <x:v>46041.014904641204</x:v>
      </x:c>
      <x:c r="AI55" t="str">
        <x:v>Completed</x:v>
      </x:c>
      <x:c r="AJ55" t="str">
        <x:v>A-000321</x:v>
      </x:c>
      <x:c r="AK55" t="str">
        <x:v>00915_117</x:v>
      </x:c>
      <x:c r="AL55" t="str">
        <x:v>M</x:v>
      </x:c>
      <x:c r="AM55" t="str">
        <x:v>REQ000007815636</x:v>
      </x:c>
      <x:c r="AN55" t="str">
        <x:v>disposal</x:v>
      </x:c>
      <x:c r="AO55" t="n">
        <x:v>0</x:v>
      </x:c>
      <x:c r="AP55" s="23" t="str">
        <x:f>IF(E55="processing",IF(Z55="","",IF(ISNUMBER(Z55),INT(Z55),DATE(VALUE(LEFT(Z55,4)),VALUE(MID(Z55,6,2)),VALUE(MID(Z55,9,2))))),IF(OR(E55="executing",E55="pending"),IF(AD55="","",IF(ISNUMBER(AD55),INT(AD55),DATE(VALUE(LEFT(AD55,4)),VALUE(MID(AD55,6,2)),VALUE(MID(AD55,9,2))))),""))</x:f>
      </x:c>
      <x:c r="AQ55" s="24" t="str">
        <x:f>IF(AP55="","",INT('Configuration'!$B$4)-AP55)</x:f>
      </x:c>
      <x:c r="AR55" s="25" t="str">
        <x:f>IF(AP55="","Missing Required Date",IF(AQ55&lt;0,"Future Date",IF(AQ55=0,"0 days",IF(AQ55&lt;=2,"1-2 days",IF(AQ55&lt;=7,"3-7 days",IF(AQ55&lt;=14,"8-14 days",IF(AQ55&lt;=30,"15-30 days",IF(AQ55&lt;=60,"31-60 days",IF(AQ55&lt;=70,"61-70 days","71+ days")))))))))</x:f>
        <x:v>Missing Required Date</x:v>
      </x:c>
      <x:c r="AS55" s="25" t="str">
        <x:f>IF(OR(E55="processing",E55="executing",E55="pending"),IF(AP55="","Required aging date missing",IF(AQ55&gt;30,"Escalate &gt;30d",IF(AQ55&gt;14,"Watch &gt;14d","Within 14d"))),"Out of scope")</x:f>
        <x:v>Out of scope</x:v>
      </x:c>
    </x:row>
    <x:row r="56" ht="24" customHeight="1">
      <x:c r="A56" t="str">
        <x:v>fe23029d-5099-4b04-b757-7557c66cb686</x:v>
      </x:c>
      <x:c r="B56" t="str">
        <x:v>CSSP10783734</x:v>
      </x:c>
      <x:c r="C56" t="str">
        <x:v>izdihar.roslan@petronas.com</x:v>
      </x:c>
      <x:c r="D56" t="str">
        <x:v>decommission-cloud</x:v>
      </x:c>
      <x:c r="E56" t="str">
        <x:v>cancelled</x:v>
      </x:c>
      <x:c r="F56" t="n">
        <x:v>46031.32259686343</x:v>
      </x:c>
      <x:c r="G56" t="n">
        <x:v>46051.19490336806</x:v>
      </x:c>
      <x:c r="H56" t="n">
        <x:v>46031.32259686343</x:v>
      </x:c>
      <x:c r="I56" t="str">
        <x:v>MyProcure</x:v>
      </x:c>
      <x:c r="J56" t="str">
        <x:v>Procurement Innovation Through Automation And Procurement Marketplace</x:v>
      </x:c>
      <x:c r="K56" t="str">
        <x:v>partial</x:v>
      </x:c>
      <x:c r="L56"/>
      <x:c r="M56" t="str">
        <x:v>sazali.mokhtar@petronas.com</x:v>
      </x:c>
      <x:c r="N56"/>
      <x:c r="O56"/>
      <x:c r="P56" t="str">
        <x:v>Cloud Repatriation - To decommission old resources in Singapore region due to completed migration in MY region</x:v>
      </x:c>
      <x:c r="Q56" t="str">
        <x:v>2W</x:v>
      </x:c>
      <x:c r="R56" t="str">
        <x:v>Cloud Migration</x:v>
      </x:c>
      <x:c r="S56"/>
      <x:c r="T56" t="str">
        <x:v>rejected</x:v>
      </x:c>
      <x:c r="U56" t="str">
        <x:v>azwan.badari@petronas.com</x:v>
      </x:c>
      <x:c r="V56" t="n">
        <x:v>46051.19490336806</x:v>
      </x:c>
      <x:c r="W56" t="str">
        <x:v>Cancelled</x:v>
      </x:c>
      <x:c r="X56"/>
      <x:c r="Y56" t="str">
        <x:v>sazali.mokhtar@petronas.com</x:v>
      </x:c>
      <x:c r="Z56"/>
      <x:c r="AA56"/>
      <x:c r="AB56"/>
      <x:c r="AC56" t="str">
        <x:v>CCoE Business</x:v>
      </x:c>
      <x:c r="AD56"/>
      <x:c r="AE56"/>
      <x:c r="AF56"/>
      <x:c r="AG56" t="str">
        <x:v>CCoE Operations</x:v>
      </x:c>
      <x:c r="AH56"/>
      <x:c r="AI56"/>
      <x:c r="AJ56" t="str">
        <x:v>A-000490</x:v>
      </x:c>
      <x:c r="AK56" t="n">
        <x:v>4343</x:v>
      </x:c>
      <x:c r="AL56"/>
      <x:c r="AM56"/>
      <x:c r="AN56" t="str">
        <x:v>noretention</x:v>
      </x:c>
      <x:c r="AO56" t="n">
        <x:v>0</x:v>
      </x:c>
      <x:c r="AP56" s="23" t="str">
        <x:f>IF(E56="processing",IF(Z56="","",IF(ISNUMBER(Z56),INT(Z56),DATE(VALUE(LEFT(Z56,4)),VALUE(MID(Z56,6,2)),VALUE(MID(Z56,9,2))))),IF(OR(E56="executing",E56="pending"),IF(AD56="","",IF(ISNUMBER(AD56),INT(AD56),DATE(VALUE(LEFT(AD56,4)),VALUE(MID(AD56,6,2)),VALUE(MID(AD56,9,2))))),""))</x:f>
      </x:c>
      <x:c r="AQ56" s="24" t="str">
        <x:f>IF(AP56="","",INT('Configuration'!$B$4)-AP56)</x:f>
      </x:c>
      <x:c r="AR56" s="25" t="str">
        <x:f>IF(AP56="","Missing Required Date",IF(AQ56&lt;0,"Future Date",IF(AQ56=0,"0 days",IF(AQ56&lt;=2,"1-2 days",IF(AQ56&lt;=7,"3-7 days",IF(AQ56&lt;=14,"8-14 days",IF(AQ56&lt;=30,"15-30 days",IF(AQ56&lt;=60,"31-60 days",IF(AQ56&lt;=70,"61-70 days","71+ days")))))))))</x:f>
        <x:v>Missing Required Date</x:v>
      </x:c>
      <x:c r="AS56" s="25" t="str">
        <x:f>IF(OR(E56="processing",E56="executing",E56="pending"),IF(AP56="","Required aging date missing",IF(AQ56&gt;30,"Escalate &gt;30d",IF(AQ56&gt;14,"Watch &gt;14d","Within 14d"))),"Out of scope")</x:f>
        <x:v>Out of scope</x:v>
      </x:c>
    </x:row>
    <x:row r="57" ht="24" customHeight="1">
      <x:c r="A57" t="str">
        <x:v>8d44e34e-b191-49d0-9af6-a21890477bbc</x:v>
      </x:c>
      <x:c r="B57" t="str">
        <x:v>CSSP10466320</x:v>
      </x:c>
      <x:c r="C57" t="str">
        <x:v>izdihar.roslan@petronas.com</x:v>
      </x:c>
      <x:c r="D57" t="str">
        <x:v>decommission-cloud</x:v>
      </x:c>
      <x:c r="E57" t="str">
        <x:v>cancelled</x:v>
      </x:c>
      <x:c r="F57" t="n">
        <x:v>46031.323940821756</x:v>
      </x:c>
      <x:c r="G57" t="n">
        <x:v>46051.19483211805</x:v>
      </x:c>
      <x:c r="H57" t="n">
        <x:v>46031.323940821756</x:v>
      </x:c>
      <x:c r="I57" t="str">
        <x:v>MyProcure</x:v>
      </x:c>
      <x:c r="J57" t="str">
        <x:v>Procurement Innovation Through Automation And Procurement Marketplace</x:v>
      </x:c>
      <x:c r="K57" t="str">
        <x:v>partial</x:v>
      </x:c>
      <x:c r="L57"/>
      <x:c r="M57" t="str">
        <x:v>sazali.mokhtar@petronas.com</x:v>
      </x:c>
      <x:c r="N57"/>
      <x:c r="O57"/>
      <x:c r="P57" t="str">
        <x:v>Cloud Repatriation - To decommission old resources in Singapore region due to completed migration in MY region</x:v>
      </x:c>
      <x:c r="Q57" t="str">
        <x:v>2W</x:v>
      </x:c>
      <x:c r="R57" t="str">
        <x:v>Cloud Migration</x:v>
      </x:c>
      <x:c r="S57"/>
      <x:c r="T57" t="str">
        <x:v>rejected</x:v>
      </x:c>
      <x:c r="U57" t="str">
        <x:v>azwan.badari@petronas.com</x:v>
      </x:c>
      <x:c r="V57" t="n">
        <x:v>46051.19483212963</x:v>
      </x:c>
      <x:c r="W57" t="str">
        <x:v>Cancelled</x:v>
      </x:c>
      <x:c r="X57"/>
      <x:c r="Y57" t="str">
        <x:v>sazali.mokhtar@petronas.com</x:v>
      </x:c>
      <x:c r="Z57"/>
      <x:c r="AA57"/>
      <x:c r="AB57"/>
      <x:c r="AC57" t="str">
        <x:v>CCoE Business</x:v>
      </x:c>
      <x:c r="AD57"/>
      <x:c r="AE57"/>
      <x:c r="AF57"/>
      <x:c r="AG57" t="str">
        <x:v>CCoE Operations</x:v>
      </x:c>
      <x:c r="AH57"/>
      <x:c r="AI57"/>
      <x:c r="AJ57" t="str">
        <x:v>A-000490</x:v>
      </x:c>
      <x:c r="AK57" t="n">
        <x:v>4343</x:v>
      </x:c>
      <x:c r="AL57"/>
      <x:c r="AM57"/>
      <x:c r="AN57" t="str">
        <x:v>noretention</x:v>
      </x:c>
      <x:c r="AO57" t="n">
        <x:v>0</x:v>
      </x:c>
      <x:c r="AP57" s="23" t="str">
        <x:f>IF(E57="processing",IF(Z57="","",IF(ISNUMBER(Z57),INT(Z57),DATE(VALUE(LEFT(Z57,4)),VALUE(MID(Z57,6,2)),VALUE(MID(Z57,9,2))))),IF(OR(E57="executing",E57="pending"),IF(AD57="","",IF(ISNUMBER(AD57),INT(AD57),DATE(VALUE(LEFT(AD57,4)),VALUE(MID(AD57,6,2)),VALUE(MID(AD57,9,2))))),""))</x:f>
      </x:c>
      <x:c r="AQ57" s="24" t="str">
        <x:f>IF(AP57="","",INT('Configuration'!$B$4)-AP57)</x:f>
      </x:c>
      <x:c r="AR57" s="25" t="str">
        <x:f>IF(AP57="","Missing Required Date",IF(AQ57&lt;0,"Future Date",IF(AQ57=0,"0 days",IF(AQ57&lt;=2,"1-2 days",IF(AQ57&lt;=7,"3-7 days",IF(AQ57&lt;=14,"8-14 days",IF(AQ57&lt;=30,"15-30 days",IF(AQ57&lt;=60,"31-60 days",IF(AQ57&lt;=70,"61-70 days","71+ days")))))))))</x:f>
        <x:v>Missing Required Date</x:v>
      </x:c>
      <x:c r="AS57" s="25" t="str">
        <x:f>IF(OR(E57="processing",E57="executing",E57="pending"),IF(AP57="","Required aging date missing",IF(AQ57&gt;30,"Escalate &gt;30d",IF(AQ57&gt;14,"Watch &gt;14d","Within 14d"))),"Out of scope")</x:f>
        <x:v>Out of scope</x:v>
      </x:c>
    </x:row>
    <x:row r="58" ht="24" customHeight="1">
      <x:c r="A58" t="str">
        <x:v>b4d3c314-6ea6-4c32-b1b9-32e033e4544a</x:v>
      </x:c>
      <x:c r="B58" t="str">
        <x:v>CSSP10764031</x:v>
      </x:c>
      <x:c r="C58" t="str">
        <x:v>izdihar.roslan@petronas.com</x:v>
      </x:c>
      <x:c r="D58" t="str">
        <x:v>decommission-cloud</x:v>
      </x:c>
      <x:c r="E58" t="str">
        <x:v>cancelled</x:v>
      </x:c>
      <x:c r="F58" t="n">
        <x:v>46031.32512898148</x:v>
      </x:c>
      <x:c r="G58" t="n">
        <x:v>46219.25947127315</x:v>
      </x:c>
      <x:c r="H58" t="n">
        <x:v>46031.32512898148</x:v>
      </x:c>
      <x:c r="I58" t="str">
        <x:v>MyProcure</x:v>
      </x:c>
      <x:c r="J58" t="str">
        <x:v>Procurement Innovation Through Automation And Procurement Marketplace</x:v>
      </x:c>
      <x:c r="K58" t="str">
        <x:v>partial</x:v>
      </x:c>
      <x:c r="L58"/>
      <x:c r="M58" t="str">
        <x:v>sazali.mokhtar@petronas.com</x:v>
      </x:c>
      <x:c r="N58"/>
      <x:c r="O58"/>
      <x:c r="P58" t="str">
        <x:v>Cloud Repatriation - To decommission old resources in Singapore region due to completed migration in MY region</x:v>
      </x:c>
      <x:c r="Q58" t="str">
        <x:v>2W</x:v>
      </x:c>
      <x:c r="R58" t="str">
        <x:v>Cloud Migration</x:v>
      </x:c>
      <x:c r="S58"/>
      <x:c r="T58" t="str">
        <x:v>rejected</x:v>
      </x:c>
      <x:c r="U58" t="str">
        <x:v>izdihar.roslan@petronas.com</x:v>
      </x:c>
      <x:c r="V58" t="n">
        <x:v>46219.25947127315</x:v>
      </x:c>
      <x:c r="W58"/>
      <x:c r="X58"/>
      <x:c r="Y58" t="str">
        <x:v>sazali.mokhtar@petronas.com</x:v>
      </x:c>
      <x:c r="Z58"/>
      <x:c r="AA58"/>
      <x:c r="AB58"/>
      <x:c r="AC58" t="str">
        <x:v>CCoE Business</x:v>
      </x:c>
      <x:c r="AD58"/>
      <x:c r="AE58"/>
      <x:c r="AF58"/>
      <x:c r="AG58" t="str">
        <x:v>CCoE Operations</x:v>
      </x:c>
      <x:c r="AH58"/>
      <x:c r="AI58"/>
      <x:c r="AJ58" t="str">
        <x:v>A-000490</x:v>
      </x:c>
      <x:c r="AK58" t="n">
        <x:v>2800</x:v>
      </x:c>
      <x:c r="AL58"/>
      <x:c r="AM58"/>
      <x:c r="AN58" t="str">
        <x:v>noretention</x:v>
      </x:c>
      <x:c r="AO58" t="n">
        <x:v>0</x:v>
      </x:c>
      <x:c r="AP58" s="23" t="str">
        <x:f>IF(E58="processing",IF(Z58="","",IF(ISNUMBER(Z58),INT(Z58),DATE(VALUE(LEFT(Z58,4)),VALUE(MID(Z58,6,2)),VALUE(MID(Z58,9,2))))),IF(OR(E58="executing",E58="pending"),IF(AD58="","",IF(ISNUMBER(AD58),INT(AD58),DATE(VALUE(LEFT(AD58,4)),VALUE(MID(AD58,6,2)),VALUE(MID(AD58,9,2))))),""))</x:f>
      </x:c>
      <x:c r="AQ58" s="24" t="str">
        <x:f>IF(AP58="","",INT('Configuration'!$B$4)-AP58)</x:f>
      </x:c>
      <x:c r="AR58" s="25" t="str">
        <x:f>IF(AP58="","Missing Required Date",IF(AQ58&lt;0,"Future Date",IF(AQ58=0,"0 days",IF(AQ58&lt;=2,"1-2 days",IF(AQ58&lt;=7,"3-7 days",IF(AQ58&lt;=14,"8-14 days",IF(AQ58&lt;=30,"15-30 days",IF(AQ58&lt;=60,"31-60 days",IF(AQ58&lt;=70,"61-70 days","71+ days")))))))))</x:f>
        <x:v>Missing Required Date</x:v>
      </x:c>
      <x:c r="AS58" s="25" t="str">
        <x:f>IF(OR(E58="processing",E58="executing",E58="pending"),IF(AP58="","Required aging date missing",IF(AQ58&gt;30,"Escalate &gt;30d",IF(AQ58&gt;14,"Watch &gt;14d","Within 14d"))),"Out of scope")</x:f>
        <x:v>Out of scope</x:v>
      </x:c>
    </x:row>
    <x:row r="59" ht="24" customHeight="1">
      <x:c r="A59" t="str">
        <x:v>4d27c2ff-c345-45bf-9411-d4aae3fb161a</x:v>
      </x:c>
      <x:c r="B59" t="str">
        <x:v>CSSP10618851</x:v>
      </x:c>
      <x:c r="C59" t="str">
        <x:v>izdihar.roslan@petronas.com</x:v>
      </x:c>
      <x:c r="D59" t="str">
        <x:v>decommission-cloud</x:v>
      </x:c>
      <x:c r="E59" t="str">
        <x:v>cancelled</x:v>
      </x:c>
      <x:c r="F59" t="n">
        <x:v>46031.32594293982</x:v>
      </x:c>
      <x:c r="G59" t="n">
        <x:v>46051.19474792824</x:v>
      </x:c>
      <x:c r="H59" t="n">
        <x:v>46031.32594293982</x:v>
      </x:c>
      <x:c r="I59" t="str">
        <x:v>MyProcure</x:v>
      </x:c>
      <x:c r="J59" t="str">
        <x:v>Procurement Innovation Through Automation And Procurement Marketplace</x:v>
      </x:c>
      <x:c r="K59" t="str">
        <x:v>partial</x:v>
      </x:c>
      <x:c r="L59"/>
      <x:c r="M59" t="str">
        <x:v>sazali.mokhtar@petronas.com</x:v>
      </x:c>
      <x:c r="N59"/>
      <x:c r="O59"/>
      <x:c r="P59" t="str">
        <x:v>Cloud Repatriation - To decommission old resources in Singapore region due to completed migration in MY region</x:v>
      </x:c>
      <x:c r="Q59" t="str">
        <x:v>2W</x:v>
      </x:c>
      <x:c r="R59" t="str">
        <x:v>Cloud Migration</x:v>
      </x:c>
      <x:c r="S59"/>
      <x:c r="T59" t="str">
        <x:v>rejected</x:v>
      </x:c>
      <x:c r="U59" t="str">
        <x:v>azwan.badari@petronas.com</x:v>
      </x:c>
      <x:c r="V59" t="n">
        <x:v>46051.19474792824</x:v>
      </x:c>
      <x:c r="W59" t="str">
        <x:v>Cancelled</x:v>
      </x:c>
      <x:c r="X59"/>
      <x:c r="Y59" t="str">
        <x:v>sazali.mokhtar@petronas.com</x:v>
      </x:c>
      <x:c r="Z59"/>
      <x:c r="AA59"/>
      <x:c r="AB59"/>
      <x:c r="AC59" t="str">
        <x:v>CCoE Business</x:v>
      </x:c>
      <x:c r="AD59"/>
      <x:c r="AE59"/>
      <x:c r="AF59"/>
      <x:c r="AG59" t="str">
        <x:v>CCoE Operations</x:v>
      </x:c>
      <x:c r="AH59"/>
      <x:c r="AI59"/>
      <x:c r="AJ59" t="str">
        <x:v>A-000490</x:v>
      </x:c>
      <x:c r="AK59" t="n">
        <x:v>4343</x:v>
      </x:c>
      <x:c r="AL59"/>
      <x:c r="AM59"/>
      <x:c r="AN59" t="str">
        <x:v>noretention</x:v>
      </x:c>
      <x:c r="AO59" t="n">
        <x:v>0</x:v>
      </x:c>
      <x:c r="AP59" s="23" t="str">
        <x:f>IF(E59="processing",IF(Z59="","",IF(ISNUMBER(Z59),INT(Z59),DATE(VALUE(LEFT(Z59,4)),VALUE(MID(Z59,6,2)),VALUE(MID(Z59,9,2))))),IF(OR(E59="executing",E59="pending"),IF(AD59="","",IF(ISNUMBER(AD59),INT(AD59),DATE(VALUE(LEFT(AD59,4)),VALUE(MID(AD59,6,2)),VALUE(MID(AD59,9,2))))),""))</x:f>
      </x:c>
      <x:c r="AQ59" s="24" t="str">
        <x:f>IF(AP59="","",INT('Configuration'!$B$4)-AP59)</x:f>
      </x:c>
      <x:c r="AR59" s="25" t="str">
        <x:f>IF(AP59="","Missing Required Date",IF(AQ59&lt;0,"Future Date",IF(AQ59=0,"0 days",IF(AQ59&lt;=2,"1-2 days",IF(AQ59&lt;=7,"3-7 days",IF(AQ59&lt;=14,"8-14 days",IF(AQ59&lt;=30,"15-30 days",IF(AQ59&lt;=60,"31-60 days",IF(AQ59&lt;=70,"61-70 days","71+ days")))))))))</x:f>
        <x:v>Missing Required Date</x:v>
      </x:c>
      <x:c r="AS59" s="25" t="str">
        <x:f>IF(OR(E59="processing",E59="executing",E59="pending"),IF(AP59="","Required aging date missing",IF(AQ59&gt;30,"Escalate &gt;30d",IF(AQ59&gt;14,"Watch &gt;14d","Within 14d"))),"Out of scope")</x:f>
        <x:v>Out of scope</x:v>
      </x:c>
    </x:row>
    <x:row r="60" ht="24" customHeight="1">
      <x:c r="A60" t="str">
        <x:v>5a6a6648-d1fc-46cb-8f5d-a053dd4e3fc9</x:v>
      </x:c>
      <x:c r="B60" t="str">
        <x:v>CSSP10913240</x:v>
      </x:c>
      <x:c r="C60" t="str">
        <x:v>izdihar.roslan@petronas.com</x:v>
      </x:c>
      <x:c r="D60" t="str">
        <x:v>decommission-cloud</x:v>
      </x:c>
      <x:c r="E60" t="str">
        <x:v>completed</x:v>
      </x:c>
      <x:c r="F60" t="n">
        <x:v>46031.327029548615</x:v>
      </x:c>
      <x:c r="G60" t="n">
        <x:v>46047.731811516205</x:v>
      </x:c>
      <x:c r="H60" t="n">
        <x:v>46031.328305752315</x:v>
      </x:c>
      <x:c r="I60" t="str">
        <x:v>MyProcure</x:v>
      </x:c>
      <x:c r="J60" t="str">
        <x:v>Procurement Innovation Through Automation And Procurement Marketplace</x:v>
      </x:c>
      <x:c r="K60" t="str">
        <x:v>partial</x:v>
      </x:c>
      <x:c r="L60"/>
      <x:c r="M60" t="str">
        <x:v>sazali.mokhtar@petronas.com</x:v>
      </x:c>
      <x:c r="N60"/>
      <x:c r="O60"/>
      <x:c r="P60" t="str">
        <x:v>Cloud Repatriation - To decommission old resources in Singapore region due to completed migration in MY region</x:v>
      </x:c>
      <x:c r="Q60" t="str">
        <x:v>2W</x:v>
      </x:c>
      <x:c r="R60" t="str">
        <x:v>Cloud Migration</x:v>
      </x:c>
      <x:c r="S60"/>
      <x:c r="T60" t="str">
        <x:v>approved</x:v>
      </x:c>
      <x:c r="U60" t="str">
        <x:v>izdihar.roslan@petronas.com</x:v>
      </x:c>
      <x:c r="V60" t="n">
        <x:v>46031.333133796295</x:v>
      </x:c>
      <x:c r="W60" t="str">
        <x:v>To decom AWS SG Resources for Myprocure as in attached excel file.</x:v>
      </x:c>
      <x:c r="X60" t="str">
        <x:v>approved</x:v>
      </x:c>
      <x:c r="Y60" t="str">
        <x:v>sazali.mokhtar@petronas.com</x:v>
      </x:c>
      <x:c r="Z60" t="n">
        <x:v>46042.11500907408</x:v>
      </x:c>
      <x:c r="AA60" t="str">
        <x:v>Cloud Repatriation - To decommission old resources in Singapore region due to completed migration in MY region</x:v>
      </x:c>
      <x:c r="AB60" t="str">
        <x:v>approved</x:v>
      </x:c>
      <x:c r="AC60" t="str">
        <x:v>azwan.badari@petronas.com</x:v>
      </x:c>
      <x:c r="AD60" t="n">
        <x:v>46042.11935061343</x:v>
      </x:c>
      <x:c r="AE60" t="str">
        <x:v>Cloud Repatriation - Decomm 04343 in SG</x:v>
      </x:c>
      <x:c r="AF60" t="str">
        <x:v>approved</x:v>
      </x:c>
      <x:c r="AG60" t="str">
        <x:v>azwan.badari@petronas.com</x:v>
      </x:c>
      <x:c r="AH60" t="n">
        <x:v>46047.731811516205</x:v>
      </x:c>
      <x:c r="AI60" t="str">
        <x:v>Completed</x:v>
      </x:c>
      <x:c r="AJ60" t="str">
        <x:v>A-000490</x:v>
      </x:c>
      <x:c r="AK60" t="n">
        <x:v>4343</x:v>
      </x:c>
      <x:c r="AL60" t="str">
        <x:v>M</x:v>
      </x:c>
      <x:c r="AM60" t="str">
        <x:v>REQ000007828187</x:v>
      </x:c>
      <x:c r="AN60" t="str">
        <x:v>noretention</x:v>
      </x:c>
      <x:c r="AO60" t="n">
        <x:v>0</x:v>
      </x:c>
      <x:c r="AP60" s="23" t="str">
        <x:f>IF(E60="processing",IF(Z60="","",IF(ISNUMBER(Z60),INT(Z60),DATE(VALUE(LEFT(Z60,4)),VALUE(MID(Z60,6,2)),VALUE(MID(Z60,9,2))))),IF(OR(E60="executing",E60="pending"),IF(AD60="","",IF(ISNUMBER(AD60),INT(AD60),DATE(VALUE(LEFT(AD60,4)),VALUE(MID(AD60,6,2)),VALUE(MID(AD60,9,2))))),""))</x:f>
      </x:c>
      <x:c r="AQ60" s="24" t="str">
        <x:f>IF(AP60="","",INT('Configuration'!$B$4)-AP60)</x:f>
      </x:c>
      <x:c r="AR60" s="25" t="str">
        <x:f>IF(AP60="","Missing Required Date",IF(AQ60&lt;0,"Future Date",IF(AQ60=0,"0 days",IF(AQ60&lt;=2,"1-2 days",IF(AQ60&lt;=7,"3-7 days",IF(AQ60&lt;=14,"8-14 days",IF(AQ60&lt;=30,"15-30 days",IF(AQ60&lt;=60,"31-60 days",IF(AQ60&lt;=70,"61-70 days","71+ days")))))))))</x:f>
        <x:v>Missing Required Date</x:v>
      </x:c>
      <x:c r="AS60" s="25" t="str">
        <x:f>IF(OR(E60="processing",E60="executing",E60="pending"),IF(AP60="","Required aging date missing",IF(AQ60&gt;30,"Escalate &gt;30d",IF(AQ60&gt;14,"Watch &gt;14d","Within 14d"))),"Out of scope")</x:f>
        <x:v>Out of scope</x:v>
      </x:c>
    </x:row>
    <x:row r="61" ht="24" customHeight="1">
      <x:c r="A61" t="str">
        <x:v>9355a540-93bd-43a2-a7c5-cc43fb898fb9</x:v>
      </x:c>
      <x:c r="B61" t="str">
        <x:v>CSSP10212506</x:v>
      </x:c>
      <x:c r="C61" t="str">
        <x:v>wanmiqbal.wanmhdnoor@petronas.com</x:v>
      </x:c>
      <x:c r="D61" t="str">
        <x:v>decommission-cloud</x:v>
      </x:c>
      <x:c r="E61" t="str">
        <x:v>completed</x:v>
      </x:c>
      <x:c r="F61" t="n">
        <x:v>46034.14629664352</x:v>
      </x:c>
      <x:c r="G61" t="n">
        <x:v>46042.076999467594</x:v>
      </x:c>
      <x:c r="H61" t="n">
        <x:v>46034.14629664352</x:v>
      </x:c>
      <x:c r="I61" t="str">
        <x:v>Upstream Real Time Data Program - URTD</x:v>
      </x:c>
      <x:c r="J61" t="str">
        <x:v>Installation of Upstream Real Time Data Program (URTD) for Centre of Excellence, PCSB</x:v>
      </x:c>
      <x:c r="K61" t="str">
        <x:v>partial</x:v>
      </x:c>
      <x:c r="L61"/>
      <x:c r="M61" t="str">
        <x:v>mohammadsani.johari@petronas.com</x:v>
      </x:c>
      <x:c r="N61" t="str">
        <x:v>NA</x:v>
      </x:c>
      <x:c r="O61"/>
      <x:c r="P61" t="str">
        <x:v>Decom only storage account</x:v>
      </x:c>
      <x:c r="Q61" t="str">
        <x:v>3M</x:v>
      </x:c>
      <x:c r="R61" t="str">
        <x:v>Not in Used</x:v>
      </x:c>
      <x:c r="S61"/>
      <x:c r="T61" t="str">
        <x:v>approved</x:v>
      </x:c>
      <x:c r="U61" t="str">
        <x:v>wanmiqbal.wanmhdnoor@petronas.com</x:v>
      </x:c>
      <x:c r="V61" t="n">
        <x:v>46034.14985767361</x:v>
      </x:c>
      <x:c r="W61" t="str">
        <x:v>To decomm only storage account. </x:v>
      </x:c>
      <x:c r="X61" t="str">
        <x:v>approved</x:v>
      </x:c>
      <x:c r="Y61" t="str">
        <x:v>mohammadsani.johari@petronas.com</x:v>
      </x:c>
      <x:c r="Z61" t="n">
        <x:v>46041.164737824074</x:v>
      </x:c>
      <x:c r="AA61" t="str">
        <x:v>Approved, as per Indy500 requirement.</x:v>
      </x:c>
      <x:c r="AB61" t="str">
        <x:v>approved</x:v>
      </x:c>
      <x:c r="AC61" t="str">
        <x:v>azwan.badari@petronas.com</x:v>
      </x:c>
      <x:c r="AD61" t="n">
        <x:v>46041.21302689815</x:v>
      </x:c>
      <x:c r="AE61" t="str">
        <x:v>Decommission ptsg1urtd2func01strg only</x:v>
      </x:c>
      <x:c r="AF61" t="str">
        <x:v>approved</x:v>
      </x:c>
      <x:c r="AG61" t="str">
        <x:v>azlisham.md@petronas.com</x:v>
      </x:c>
      <x:c r="AH61" t="n">
        <x:v>46042.07699947917</x:v>
      </x:c>
      <x:c r="AI61" t="str">
        <x:v>The decommission request has been completed, and the status is now updated accordingly. Kindly verify from your end and confirm once reviewed.
</x:v>
      </x:c>
      <x:c r="AJ61" t="str">
        <x:v>A-000827</x:v>
      </x:c>
      <x:c r="AK61" t="n">
        <x:v>747</x:v>
      </x:c>
      <x:c r="AL61" t="str">
        <x:v>S</x:v>
      </x:c>
      <x:c r="AM61" t="str">
        <x:v>REQ000007825797</x:v>
      </x:c>
      <x:c r="AN61" t="str">
        <x:v>disposal</x:v>
      </x:c>
      <x:c r="AO61" t="n">
        <x:v>0</x:v>
      </x:c>
      <x:c r="AP61" s="23" t="str">
        <x:f>IF(E61="processing",IF(Z61="","",IF(ISNUMBER(Z61),INT(Z61),DATE(VALUE(LEFT(Z61,4)),VALUE(MID(Z61,6,2)),VALUE(MID(Z61,9,2))))),IF(OR(E61="executing",E61="pending"),IF(AD61="","",IF(ISNUMBER(AD61),INT(AD61),DATE(VALUE(LEFT(AD61,4)),VALUE(MID(AD61,6,2)),VALUE(MID(AD61,9,2))))),""))</x:f>
      </x:c>
      <x:c r="AQ61" s="24" t="str">
        <x:f>IF(AP61="","",INT('Configuration'!$B$4)-AP61)</x:f>
      </x:c>
      <x:c r="AR61" s="25" t="str">
        <x:f>IF(AP61="","Missing Required Date",IF(AQ61&lt;0,"Future Date",IF(AQ61=0,"0 days",IF(AQ61&lt;=2,"1-2 days",IF(AQ61&lt;=7,"3-7 days",IF(AQ61&lt;=14,"8-14 days",IF(AQ61&lt;=30,"15-30 days",IF(AQ61&lt;=60,"31-60 days",IF(AQ61&lt;=70,"61-70 days","71+ days")))))))))</x:f>
        <x:v>Missing Required Date</x:v>
      </x:c>
      <x:c r="AS61" s="25" t="str">
        <x:f>IF(OR(E61="processing",E61="executing",E61="pending"),IF(AP61="","Required aging date missing",IF(AQ61&gt;30,"Escalate &gt;30d",IF(AQ61&gt;14,"Watch &gt;14d","Within 14d"))),"Out of scope")</x:f>
        <x:v>Out of scope</x:v>
      </x:c>
    </x:row>
    <x:row r="62" ht="24" customHeight="1">
      <x:c r="A62" t="str">
        <x:v>e11ae033-64c5-4dc0-94b6-bbeef2b9f8d0</x:v>
      </x:c>
      <x:c r="B62" t="str">
        <x:v>CSSP10256227</x:v>
      </x:c>
      <x:c r="C62" t="str">
        <x:v>yenheung.yap@petronas.com</x:v>
      </x:c>
      <x:c r="D62" t="str">
        <x:v>decommission-cloud</x:v>
      </x:c>
      <x:c r="E62" t="str">
        <x:v>completed</x:v>
      </x:c>
      <x:c r="F62" t="n">
        <x:v>46038.08449648148</x:v>
      </x:c>
      <x:c r="G62" t="n">
        <x:v>46044.29190258102</x:v>
      </x:c>
      <x:c r="H62" t="n">
        <x:v>46038.08449648148</x:v>
      </x:c>
      <x:c r="I62" t="str">
        <x:v>Business Intelligence Reporting and Analytic - BIRA</x:v>
      </x:c>
      <x:c r="J62" t="str">
        <x:v>Cloud Migration- BIRA (Business Intelligence Reporting &amp; Analytic)</x:v>
      </x:c>
      <x:c r="K62" t="str">
        <x:v>partial</x:v>
      </x:c>
      <x:c r="L62"/>
      <x:c r="M62" t="str">
        <x:v>adi.razali@petronas.com</x:v>
      </x:c>
      <x:c r="N62"/>
      <x:c r="O62"/>
      <x:c r="P62" t="str">
        <x:v>Decom CCM Database only</x:v>
      </x:c>
      <x:c r="Q62" t="str">
        <x:v>3M</x:v>
      </x:c>
      <x:c r="R62" t="str">
        <x:v>Not in Used</x:v>
      </x:c>
      <x:c r="S62"/>
      <x:c r="T62" t="str">
        <x:v>approved</x:v>
      </x:c>
      <x:c r="U62" t="str">
        <x:v>yenheung.yap@petronas.com</x:v>
      </x:c>
      <x:c r="V62" t="n">
        <x:v>46038.08492267361</x:v>
      </x:c>
      <x:c r="W62" t="str">
        <x:v>decom CCM database only</x:v>
      </x:c>
      <x:c r="X62" t="str">
        <x:v>approved</x:v>
      </x:c>
      <x:c r="Y62" t="str">
        <x:v>adi.razali@petronas.com</x:v>
      </x:c>
      <x:c r="Z62" t="n">
        <x:v>46041.07835888889</x:v>
      </x:c>
      <x:c r="AA62" t="str">
        <x:v>As per planned by Eric Yap</x:v>
      </x:c>
      <x:c r="AB62" t="str">
        <x:v>approved</x:v>
      </x:c>
      <x:c r="AC62" t="str">
        <x:v>azwan.badari@petronas.com</x:v>
      </x:c>
      <x:c r="AD62" t="n">
        <x:v>46041.15176574074</x:v>
      </x:c>
      <x:c r="AE62" t="str">
        <x:v>Decommission database named, (backup 3 months)
CCMAppMart in PTSG-4BIRADB01.
CCMAppMart in PTSG-1BIRADBC2</x:v>
      </x:c>
      <x:c r="AF62" t="str">
        <x:v>approved</x:v>
      </x:c>
      <x:c r="AG62" t="str">
        <x:v>badri.shaharudin@petronas.com</x:v>
      </x:c>
      <x:c r="AH62" t="n">
        <x:v>46044.291902592595</x:v>
      </x:c>
      <x:c r="AI62" t="str">
        <x:v>CCMAppMart deleted</x:v>
      </x:c>
      <x:c r="AJ62" t="str">
        <x:v>A-000092</x:v>
      </x:c>
      <x:c r="AK62" t="str">
        <x:v>02421_15</x:v>
      </x:c>
      <x:c r="AL62" t="str">
        <x:v>M</x:v>
      </x:c>
      <x:c r="AM62" t="str">
        <x:v>REQ000007825744</x:v>
      </x:c>
      <x:c r="AN62" t="str">
        <x:v>retention</x:v>
      </x:c>
      <x:c r="AO62" t="n">
        <x:v>30</x:v>
      </x:c>
      <x:c r="AP62" s="23" t="str">
        <x:f>IF(E62="processing",IF(Z62="","",IF(ISNUMBER(Z62),INT(Z62),DATE(VALUE(LEFT(Z62,4)),VALUE(MID(Z62,6,2)),VALUE(MID(Z62,9,2))))),IF(OR(E62="executing",E62="pending"),IF(AD62="","",IF(ISNUMBER(AD62),INT(AD62),DATE(VALUE(LEFT(AD62,4)),VALUE(MID(AD62,6,2)),VALUE(MID(AD62,9,2))))),""))</x:f>
      </x:c>
      <x:c r="AQ62" s="24" t="str">
        <x:f>IF(AP62="","",INT('Configuration'!$B$4)-AP62)</x:f>
      </x:c>
      <x:c r="AR62" s="25" t="str">
        <x:f>IF(AP62="","Missing Required Date",IF(AQ62&lt;0,"Future Date",IF(AQ62=0,"0 days",IF(AQ62&lt;=2,"1-2 days",IF(AQ62&lt;=7,"3-7 days",IF(AQ62&lt;=14,"8-14 days",IF(AQ62&lt;=30,"15-30 days",IF(AQ62&lt;=60,"31-60 days",IF(AQ62&lt;=70,"61-70 days","71+ days")))))))))</x:f>
        <x:v>Missing Required Date</x:v>
      </x:c>
      <x:c r="AS62" s="25" t="str">
        <x:f>IF(OR(E62="processing",E62="executing",E62="pending"),IF(AP62="","Required aging date missing",IF(AQ62&gt;30,"Escalate &gt;30d",IF(AQ62&gt;14,"Watch &gt;14d","Within 14d"))),"Out of scope")</x:f>
        <x:v>Out of scope</x:v>
      </x:c>
    </x:row>
    <x:row r="63" ht="24" customHeight="1">
      <x:c r="A63" t="str">
        <x:v>6320ba63-3c83-4b37-b605-b4211b85dca9</x:v>
      </x:c>
      <x:c r="B63" t="str">
        <x:v>CSSP10721535</x:v>
      </x:c>
      <x:c r="C63" t="str">
        <x:v>rajila.vadakkalthund@petronas.com</x:v>
      </x:c>
      <x:c r="D63" t="str">
        <x:v>decommission-cloud</x:v>
      </x:c>
      <x:c r="E63" t="str">
        <x:v>rejected</x:v>
      </x:c>
      <x:c r="F63" t="n">
        <x:v>46041.1350996412</x:v>
      </x:c>
      <x:c r="G63" t="n">
        <x:v>46050.382592835645</x:v>
      </x:c>
      <x:c r="H63" t="n">
        <x:v>46041.1350996412</x:v>
      </x:c>
      <x:c r="I63" t="str">
        <x:v>Sitecom / Real time Operation - RTO</x:v>
      </x:c>
      <x:c r="J63" t="str">
        <x:v>SecOps of Development (Dev.) Chapter for Upstream Technology, Digital &amp; Innovation</x:v>
      </x:c>
      <x:c r="K63" t="str">
        <x:v>full</x:v>
      </x:c>
      <x:c r="L63" t="str">
        <x:v>DCOM20260119c60</x:v>
      </x:c>
      <x:c r="M63" t="str">
        <x:v>afiqah.aziz@petronas.com.my</x:v>
      </x:c>
      <x:c r="N63"/>
      <x:c r="O63"/>
      <x:c r="P63" t="str">
        <x:v>Sitecom has been replaced with Halvue application</x:v>
      </x:c>
      <x:c r="Q63" t="str">
        <x:v>12M</x:v>
      </x:c>
      <x:c r="R63" t="str">
        <x:v>Not in Used</x:v>
      </x:c>
      <x:c r="S63"/>
      <x:c r="T63" t="str">
        <x:v>approved</x:v>
      </x:c>
      <x:c r="U63" t="str">
        <x:v>rajila.vadakkalthund@petronas.com</x:v>
      </x:c>
      <x:c r="V63" t="n">
        <x:v>46043.2315634375</x:v>
      </x:c>
      <x:c r="W63" t="str">
        <x:v>Need to backup all resources and decom</x:v>
      </x:c>
      <x:c r="X63" t="str">
        <x:v>approved</x:v>
      </x:c>
      <x:c r="Y63" t="str">
        <x:v>afiqah.aziz@petronas.com</x:v>
      </x:c>
      <x:c r="Z63" t="n">
        <x:v>46050.31340309028</x:v>
      </x:c>
      <x:c r="AA63" t="str">
        <x:v>Agreed to decom as no further utilisation</x:v>
      </x:c>
      <x:c r="AB63" t="str">
        <x:v>rejected</x:v>
      </x:c>
      <x:c r="AC63" t="str">
        <x:v>azwan.badari@petronas.com</x:v>
      </x:c>
      <x:c r="AD63" t="n">
        <x:v>46050.382592835645</x:v>
      </x:c>
      <x:c r="AE63" t="str">
        <x:v>RG ptazsg-iac-daa-dev-rto-poc-rg and all resources in it already decommissioned under CSSP10728584.</x:v>
      </x:c>
      <x:c r="AF63"/>
      <x:c r="AG63" t="str">
        <x:v>CCoE Operations</x:v>
      </x:c>
      <x:c r="AH63"/>
      <x:c r="AI63"/>
      <x:c r="AJ63" t="str">
        <x:v>A-000766</x:v>
      </x:c>
      <x:c r="AK63" t="n">
        <x:v>4064</x:v>
      </x:c>
      <x:c r="AL63"/>
      <x:c r="AM63"/>
      <x:c r="AN63" t="str">
        <x:v>retention</x:v>
      </x:c>
      <x:c r="AO63" t="n">
        <x:v>365</x:v>
      </x:c>
      <x:c r="AP63" s="23" t="str">
        <x:f>IF(E63="processing",IF(Z63="","",IF(ISNUMBER(Z63),INT(Z63),DATE(VALUE(LEFT(Z63,4)),VALUE(MID(Z63,6,2)),VALUE(MID(Z63,9,2))))),IF(OR(E63="executing",E63="pending"),IF(AD63="","",IF(ISNUMBER(AD63),INT(AD63),DATE(VALUE(LEFT(AD63,4)),VALUE(MID(AD63,6,2)),VALUE(MID(AD63,9,2))))),""))</x:f>
      </x:c>
      <x:c r="AQ63" s="24" t="str">
        <x:f>IF(AP63="","",INT('Configuration'!$B$4)-AP63)</x:f>
      </x:c>
      <x:c r="AR63" s="25" t="str">
        <x:f>IF(AP63="","Missing Required Date",IF(AQ63&lt;0,"Future Date",IF(AQ63=0,"0 days",IF(AQ63&lt;=2,"1-2 days",IF(AQ63&lt;=7,"3-7 days",IF(AQ63&lt;=14,"8-14 days",IF(AQ63&lt;=30,"15-30 days",IF(AQ63&lt;=60,"31-60 days",IF(AQ63&lt;=70,"61-70 days","71+ days")))))))))</x:f>
        <x:v>Missing Required Date</x:v>
      </x:c>
      <x:c r="AS63" s="25" t="str">
        <x:f>IF(OR(E63="processing",E63="executing",E63="pending"),IF(AP63="","Required aging date missing",IF(AQ63&gt;30,"Escalate &gt;30d",IF(AQ63&gt;14,"Watch &gt;14d","Within 14d"))),"Out of scope")</x:f>
        <x:v>Out of scope</x:v>
      </x:c>
    </x:row>
    <x:row r="64" ht="24" customHeight="1">
      <x:c r="A64" t="str">
        <x:v>c4e0a46f-d841-4035-9b2f-e63a373218bd</x:v>
      </x:c>
      <x:c r="B64" t="str">
        <x:v>CSSP10715412</x:v>
      </x:c>
      <x:c r="C64" t="str">
        <x:v>rajila.vadakkalthund@petronas.com</x:v>
      </x:c>
      <x:c r="D64" t="str">
        <x:v>decommission-cloud</x:v>
      </x:c>
      <x:c r="E64" t="str">
        <x:v>cancelled</x:v>
      </x:c>
      <x:c r="F64" t="n">
        <x:v>46041.175281111115</x:v>
      </x:c>
      <x:c r="G64" t="n">
        <x:v>46042.253474386576</x:v>
      </x:c>
      <x:c r="H64" t="n">
        <x:v>46041.199167708335</x:v>
      </x:c>
      <x:c r="I64" t="str">
        <x:v>SiteCom and DrillScene Applications for Wells COE PETRON</x:v>
      </x:c>
      <x:c r="J64" t="str">
        <x:v>SiteCom and DrillScene Applications for Wells COE PETRON created for PRIVATECLOUD project record</x:v>
      </x:c>
      <x:c r="K64" t="str">
        <x:v>full</x:v>
      </x:c>
      <x:c r="L64" t="str">
        <x:v>DCOM20260119778</x:v>
      </x:c>
      <x:c r="M64" t="str">
        <x:v>afiqah.aziz@petronas.com.my</x:v>
      </x:c>
      <x:c r="N64"/>
      <x:c r="O64"/>
      <x:c r="P64" t="str">
        <x:v>Sitecom has been replaced with Halvue application</x:v>
      </x:c>
      <x:c r="Q64" t="str">
        <x:v>12M</x:v>
      </x:c>
      <x:c r="R64" t="str">
        <x:v>Not in Used</x:v>
      </x:c>
      <x:c r="S64"/>
      <x:c r="T64" t="str">
        <x:v>rejected</x:v>
      </x:c>
      <x:c r="U64" t="str">
        <x:v>rajila.vadakkalthund@petronas.com</x:v>
      </x:c>
      <x:c r="V64" t="n">
        <x:v>46042.25347440972</x:v>
      </x:c>
      <x:c r="W64"/>
      <x:c r="X64"/>
      <x:c r="Y64" t="str">
        <x:v>afiqah.aziz@petronas.com</x:v>
      </x:c>
      <x:c r="Z64"/>
      <x:c r="AA64"/>
      <x:c r="AB64"/>
      <x:c r="AC64" t="str">
        <x:v>CCoE Business</x:v>
      </x:c>
      <x:c r="AD64"/>
      <x:c r="AE64"/>
      <x:c r="AF64"/>
      <x:c r="AG64" t="str">
        <x:v>CCoE Business</x:v>
      </x:c>
      <x:c r="AH64"/>
      <x:c r="AI64"/>
      <x:c r="AJ64" t="str">
        <x:v>A-000236</x:v>
      </x:c>
      <x:c r="AK64" t="n">
        <x:v>10071</x:v>
      </x:c>
      <x:c r="AL64"/>
      <x:c r="AM64"/>
      <x:c r="AN64" t="str">
        <x:v>retention</x:v>
      </x:c>
      <x:c r="AO64"/>
      <x:c r="AP64" s="23" t="str">
        <x:f>IF(E64="processing",IF(Z64="","",IF(ISNUMBER(Z64),INT(Z64),DATE(VALUE(LEFT(Z64,4)),VALUE(MID(Z64,6,2)),VALUE(MID(Z64,9,2))))),IF(OR(E64="executing",E64="pending"),IF(AD64="","",IF(ISNUMBER(AD64),INT(AD64),DATE(VALUE(LEFT(AD64,4)),VALUE(MID(AD64,6,2)),VALUE(MID(AD64,9,2))))),""))</x:f>
      </x:c>
      <x:c r="AQ64" s="24" t="str">
        <x:f>IF(AP64="","",INT('Configuration'!$B$4)-AP64)</x:f>
      </x:c>
      <x:c r="AR64" s="25" t="str">
        <x:f>IF(AP64="","Missing Required Date",IF(AQ64&lt;0,"Future Date",IF(AQ64=0,"0 days",IF(AQ64&lt;=2,"1-2 days",IF(AQ64&lt;=7,"3-7 days",IF(AQ64&lt;=14,"8-14 days",IF(AQ64&lt;=30,"15-30 days",IF(AQ64&lt;=60,"31-60 days",IF(AQ64&lt;=70,"61-70 days","71+ days")))))))))</x:f>
        <x:v>Missing Required Date</x:v>
      </x:c>
      <x:c r="AS64" s="25" t="str">
        <x:f>IF(OR(E64="processing",E64="executing",E64="pending"),IF(AP64="","Required aging date missing",IF(AQ64&gt;30,"Escalate &gt;30d",IF(AQ64&gt;14,"Watch &gt;14d","Within 14d"))),"Out of scope")</x:f>
        <x:v>Out of scope</x:v>
      </x:c>
    </x:row>
    <x:row r="65" ht="24" customHeight="1">
      <x:c r="A65" t="str">
        <x:v>46ca1a48-c732-48b2-8cfd-bed3eff22d43</x:v>
      </x:c>
      <x:c r="B65" t="str">
        <x:v>CSSP10481206</x:v>
      </x:c>
      <x:c r="C65" t="str">
        <x:v>wanmiqbal.wanmhdnoor@petronas.com</x:v>
      </x:c>
      <x:c r="D65" t="str">
        <x:v>decommission-cloud</x:v>
      </x:c>
      <x:c r="E65" t="str">
        <x:v>cancelled</x:v>
      </x:c>
      <x:c r="F65" t="n">
        <x:v>46041.30737822917</x:v>
      </x:c>
      <x:c r="G65" t="n">
        <x:v>46041.311425300926</x:v>
      </x:c>
      <x:c r="H65" t="n">
        <x:v>46041.30737822917</x:v>
      </x:c>
      <x:c r="I65" t="str">
        <x:v>Upstream Real Time Data Program - URTD</x:v>
      </x:c>
      <x:c r="J65" t="str">
        <x:v>Installation of Upstream Real Time Data Program (URTD) for Centre of Excellence, PCSB</x:v>
      </x:c>
      <x:c r="K65" t="str">
        <x:v>partial</x:v>
      </x:c>
      <x:c r="L65"/>
      <x:c r="M65" t="str">
        <x:v>mohammadsani.johari@petronas.com</x:v>
      </x:c>
      <x:c r="N65"/>
      <x:c r="O65"/>
      <x:c r="P65" t="str">
        <x:v>Decom storage account that are not in used</x:v>
      </x:c>
      <x:c r="Q65" t="str">
        <x:v>1M</x:v>
      </x:c>
      <x:c r="R65" t="str">
        <x:v>Not in Used</x:v>
      </x:c>
      <x:c r="S65"/>
      <x:c r="T65" t="str">
        <x:v>rejected</x:v>
      </x:c>
      <x:c r="U65" t="str">
        <x:v>wanmiqbal.wanmhdnoor@petronas.com</x:v>
      </x:c>
      <x:c r="V65" t="n">
        <x:v>46041.3114253125</x:v>
      </x:c>
      <x:c r="W65"/>
      <x:c r="X65"/>
      <x:c r="Y65" t="str">
        <x:v>mohammadsani.johari@petronas.com</x:v>
      </x:c>
      <x:c r="Z65"/>
      <x:c r="AA65"/>
      <x:c r="AB65"/>
      <x:c r="AC65" t="str">
        <x:v>CCoE Business</x:v>
      </x:c>
      <x:c r="AD65"/>
      <x:c r="AE65"/>
      <x:c r="AF65"/>
      <x:c r="AG65" t="str">
        <x:v>CCoE Operations</x:v>
      </x:c>
      <x:c r="AH65"/>
      <x:c r="AI65"/>
      <x:c r="AJ65" t="str">
        <x:v>A-000827</x:v>
      </x:c>
      <x:c r="AK65" t="n">
        <x:v>747</x:v>
      </x:c>
      <x:c r="AL65"/>
      <x:c r="AM65"/>
      <x:c r="AN65" t="str">
        <x:v>retention</x:v>
      </x:c>
      <x:c r="AO65" t="n">
        <x:v>14</x:v>
      </x:c>
      <x:c r="AP65" s="23" t="str">
        <x:f>IF(E65="processing",IF(Z65="","",IF(ISNUMBER(Z65),INT(Z65),DATE(VALUE(LEFT(Z65,4)),VALUE(MID(Z65,6,2)),VALUE(MID(Z65,9,2))))),IF(OR(E65="executing",E65="pending"),IF(AD65="","",IF(ISNUMBER(AD65),INT(AD65),DATE(VALUE(LEFT(AD65,4)),VALUE(MID(AD65,6,2)),VALUE(MID(AD65,9,2))))),""))</x:f>
      </x:c>
      <x:c r="AQ65" s="24" t="str">
        <x:f>IF(AP65="","",INT('Configuration'!$B$4)-AP65)</x:f>
      </x:c>
      <x:c r="AR65" s="25" t="str">
        <x:f>IF(AP65="","Missing Required Date",IF(AQ65&lt;0,"Future Date",IF(AQ65=0,"0 days",IF(AQ65&lt;=2,"1-2 days",IF(AQ65&lt;=7,"3-7 days",IF(AQ65&lt;=14,"8-14 days",IF(AQ65&lt;=30,"15-30 days",IF(AQ65&lt;=60,"31-60 days",IF(AQ65&lt;=70,"61-70 days","71+ days")))))))))</x:f>
        <x:v>Missing Required Date</x:v>
      </x:c>
      <x:c r="AS65" s="25" t="str">
        <x:f>IF(OR(E65="processing",E65="executing",E65="pending"),IF(AP65="","Required aging date missing",IF(AQ65&gt;30,"Escalate &gt;30d",IF(AQ65&gt;14,"Watch &gt;14d","Within 14d"))),"Out of scope")</x:f>
        <x:v>Out of scope</x:v>
      </x:c>
    </x:row>
    <x:row r="66" ht="24" customHeight="1">
      <x:c r="A66" t="str">
        <x:v>4e3dda71-64e0-47a0-b520-ea0415748772</x:v>
      </x:c>
      <x:c r="B66" t="str">
        <x:v>CSSP10936679</x:v>
      </x:c>
      <x:c r="C66" t="str">
        <x:v>wanmiqbal.wanmhdnoor@petronas.com</x:v>
      </x:c>
      <x:c r="D66" t="str">
        <x:v>decommission-cloud</x:v>
      </x:c>
      <x:c r="E66" t="str">
        <x:v>completed</x:v>
      </x:c>
      <x:c r="F66" t="n">
        <x:v>46041.31401675926</x:v>
      </x:c>
      <x:c r="G66" t="n">
        <x:v>46042.156522453704</x:v>
      </x:c>
      <x:c r="H66" t="n">
        <x:v>46041.31401675926</x:v>
      </x:c>
      <x:c r="I66" t="str">
        <x:v>Upstream Real Time Data Program - URTD</x:v>
      </x:c>
      <x:c r="J66" t="str">
        <x:v>Installation of Upstream Real Time Data Program (URTD) for Centre of Excellence, PCSB</x:v>
      </x:c>
      <x:c r="K66" t="str">
        <x:v>partial</x:v>
      </x:c>
      <x:c r="L66"/>
      <x:c r="M66" t="str">
        <x:v>mohammadsani.johari@petronas.com</x:v>
      </x:c>
      <x:c r="N66"/>
      <x:c r="O66"/>
      <x:c r="P66" t="str">
        <x:v>Storage account not in used</x:v>
      </x:c>
      <x:c r="Q66" t="str">
        <x:v>1M</x:v>
      </x:c>
      <x:c r="R66" t="str">
        <x:v>Not in Used</x:v>
      </x:c>
      <x:c r="S66"/>
      <x:c r="T66" t="str">
        <x:v>approved</x:v>
      </x:c>
      <x:c r="U66" t="str">
        <x:v>wanmiqbal.wanmhdnoor@petronas.com</x:v>
      </x:c>
      <x:c r="V66" t="n">
        <x:v>46041.31589722222</x:v>
      </x:c>
      <x:c r="W66" t="str">
        <x:v>sqlauditsousvoocdslrlc3q - BlobStorage account to be decommision because not in use</x:v>
      </x:c>
      <x:c r="X66" t="str">
        <x:v>approved</x:v>
      </x:c>
      <x:c r="Y66" t="str">
        <x:v>mohammadsani.johari@petronas.com</x:v>
      </x:c>
      <x:c r="Z66" t="n">
        <x:v>46041.31731241898</x:v>
      </x:c>
      <x:c r="AA66" t="str">
        <x:v>Approved.</x:v>
      </x:c>
      <x:c r="AB66" t="str">
        <x:v>approved</x:v>
      </x:c>
      <x:c r="AC66" t="str">
        <x:v>azwan.badari@petronas.com</x:v>
      </x:c>
      <x:c r="AD66" t="n">
        <x:v>46042.09821379629</x:v>
      </x:c>
      <x:c r="AE66" t="str">
        <x:v>Decommission storage account sqlauditsousvoocdslrlc3q</x:v>
      </x:c>
      <x:c r="AF66" t="str">
        <x:v>approved</x:v>
      </x:c>
      <x:c r="AG66" t="str">
        <x:v>azlisham.md@petronas.com</x:v>
      </x:c>
      <x:c r="AH66" t="n">
        <x:v>46042.15652246528</x:v>
      </x:c>
      <x:c r="AI66" t="str">
        <x:v>The decommission request has been completed, and the status is now updated accordingly. Kindly verify from your end and confirm once reviewed.
</x:v>
      </x:c>
      <x:c r="AJ66" t="str">
        <x:v>A-000827</x:v>
      </x:c>
      <x:c r="AK66" t="n">
        <x:v>747</x:v>
      </x:c>
      <x:c r="AL66" t="str">
        <x:v>S</x:v>
      </x:c>
      <x:c r="AM66" t="str">
        <x:v>REQ000007828065</x:v>
      </x:c>
      <x:c r="AN66" t="str">
        <x:v>retention</x:v>
      </x:c>
      <x:c r="AO66" t="n">
        <x:v>9</x:v>
      </x:c>
      <x:c r="AP66" s="23" t="str">
        <x:f>IF(E66="processing",IF(Z66="","",IF(ISNUMBER(Z66),INT(Z66),DATE(VALUE(LEFT(Z66,4)),VALUE(MID(Z66,6,2)),VALUE(MID(Z66,9,2))))),IF(OR(E66="executing",E66="pending"),IF(AD66="","",IF(ISNUMBER(AD66),INT(AD66),DATE(VALUE(LEFT(AD66,4)),VALUE(MID(AD66,6,2)),VALUE(MID(AD66,9,2))))),""))</x:f>
      </x:c>
      <x:c r="AQ66" s="24" t="str">
        <x:f>IF(AP66="","",INT('Configuration'!$B$4)-AP66)</x:f>
      </x:c>
      <x:c r="AR66" s="25" t="str">
        <x:f>IF(AP66="","Missing Required Date",IF(AQ66&lt;0,"Future Date",IF(AQ66=0,"0 days",IF(AQ66&lt;=2,"1-2 days",IF(AQ66&lt;=7,"3-7 days",IF(AQ66&lt;=14,"8-14 days",IF(AQ66&lt;=30,"15-30 days",IF(AQ66&lt;=60,"31-60 days",IF(AQ66&lt;=70,"61-70 days","71+ days")))))))))</x:f>
        <x:v>Missing Required Date</x:v>
      </x:c>
      <x:c r="AS66" s="25" t="str">
        <x:f>IF(OR(E66="processing",E66="executing",E66="pending"),IF(AP66="","Required aging date missing",IF(AQ66&gt;30,"Escalate &gt;30d",IF(AQ66&gt;14,"Watch &gt;14d","Within 14d"))),"Out of scope")</x:f>
        <x:v>Out of scope</x:v>
      </x:c>
    </x:row>
    <x:row r="67" ht="24" customHeight="1">
      <x:c r="A67" t="str">
        <x:v>2ea4f262-8abb-4125-a0ca-85fa740ccdac</x:v>
      </x:c>
      <x:c r="B67" t="str">
        <x:v>CSSP10136110</x:v>
      </x:c>
      <x:c r="C67" t="str">
        <x:v>mirfan.mazuki@petronas.com</x:v>
      </x:c>
      <x:c r="D67" t="str">
        <x:v>decommission-cloud</x:v>
      </x:c>
      <x:c r="E67" t="str">
        <x:v>completed</x:v>
      </x:c>
      <x:c r="F67" t="n">
        <x:v>46042.35484554398</x:v>
      </x:c>
      <x:c r="G67" t="n">
        <x:v>46049.267289247684</x:v>
      </x:c>
      <x:c r="H67" t="n">
        <x:v>46043.08379355324</x:v>
      </x:c>
      <x:c r="I67" t="str">
        <x:v>ACFIN Website</x:v>
      </x:c>
      <x:c r="J67" t="str">
        <x:v>ACFIN Website for PETRONAS Advisor Office</x:v>
      </x:c>
      <x:c r="K67" t="str">
        <x:v>full</x:v>
      </x:c>
      <x:c r="L67" t="str">
        <x:v>DCOM202601206d4</x:v>
      </x:c>
      <x:c r="M67" t="str">
        <x:v>amirshazlan.mshah@petronas.com.my</x:v>
      </x:c>
      <x:c r="N67" t="str">
        <x:v>www.acfin.com.my, www.acfin.my</x:v>
      </x:c>
      <x:c r="O67"/>
      <x:c r="P67" t="str">
        <x:v>User request</x:v>
      </x:c>
      <x:c r="Q67" t="str">
        <x:v>2W</x:v>
      </x:c>
      <x:c r="R67" t="str">
        <x:v>Not in Used</x:v>
      </x:c>
      <x:c r="S67"/>
      <x:c r="T67" t="str">
        <x:v>approved</x:v>
      </x:c>
      <x:c r="U67" t="str">
        <x:v>mirfan.mazuki@petronas.com</x:v>
      </x:c>
      <x:c r="V67" t="n">
        <x:v>46043.09998899305</x:v>
      </x:c>
      <x:c r="W67" t="str">
        <x:v>NA</x:v>
      </x:c>
      <x:c r="X67" t="str">
        <x:v>approved</x:v>
      </x:c>
      <x:c r="Y67" t="str">
        <x:v>amirshazlan.mshah@petronas.com</x:v>
      </x:c>
      <x:c r="Z67" t="n">
        <x:v>46045.100231226854</x:v>
      </x:c>
      <x:c r="AA67" t="str">
        <x:v>approved</x:v>
      </x:c>
      <x:c r="AB67" t="str">
        <x:v>approved</x:v>
      </x:c>
      <x:c r="AC67" t="str">
        <x:v>azwan.badari@petronas.com</x:v>
      </x:c>
      <x:c r="AD67" t="n">
        <x:v>46045.306661608796</x:v>
      </x:c>
      <x:c r="AE67" t="str">
        <x:v>Full decommission 03284</x:v>
      </x:c>
      <x:c r="AF67" t="str">
        <x:v>approved</x:v>
      </x:c>
      <x:c r="AG67" t="str">
        <x:v>azwan.badari@petronas.com</x:v>
      </x:c>
      <x:c r="AH67" t="n">
        <x:v>46049.26728925926</x:v>
      </x:c>
      <x:c r="AI67" t="str">
        <x:v>Completed</x:v>
      </x:c>
      <x:c r="AJ67" t="str">
        <x:v>A-000004</x:v>
      </x:c>
      <x:c r="AK67" t="n">
        <x:v>3284</x:v>
      </x:c>
      <x:c r="AL67" t="str">
        <x:v>M</x:v>
      </x:c>
      <x:c r="AM67" t="str">
        <x:v>REQ000007837744</x:v>
      </x:c>
      <x:c r="AN67" t="str">
        <x:v>disposal</x:v>
      </x:c>
      <x:c r="AO67" t="n">
        <x:v>0</x:v>
      </x:c>
      <x:c r="AP67" s="23" t="str">
        <x:f>IF(E67="processing",IF(Z67="","",IF(ISNUMBER(Z67),INT(Z67),DATE(VALUE(LEFT(Z67,4)),VALUE(MID(Z67,6,2)),VALUE(MID(Z67,9,2))))),IF(OR(E67="executing",E67="pending"),IF(AD67="","",IF(ISNUMBER(AD67),INT(AD67),DATE(VALUE(LEFT(AD67,4)),VALUE(MID(AD67,6,2)),VALUE(MID(AD67,9,2))))),""))</x:f>
      </x:c>
      <x:c r="AQ67" s="24" t="str">
        <x:f>IF(AP67="","",INT('Configuration'!$B$4)-AP67)</x:f>
      </x:c>
      <x:c r="AR67" s="25" t="str">
        <x:f>IF(AP67="","Missing Required Date",IF(AQ67&lt;0,"Future Date",IF(AQ67=0,"0 days",IF(AQ67&lt;=2,"1-2 days",IF(AQ67&lt;=7,"3-7 days",IF(AQ67&lt;=14,"8-14 days",IF(AQ67&lt;=30,"15-30 days",IF(AQ67&lt;=60,"31-60 days",IF(AQ67&lt;=70,"61-70 days","71+ days")))))))))</x:f>
        <x:v>Missing Required Date</x:v>
      </x:c>
      <x:c r="AS67" s="25" t="str">
        <x:f>IF(OR(E67="processing",E67="executing",E67="pending"),IF(AP67="","Required aging date missing",IF(AQ67&gt;30,"Escalate &gt;30d",IF(AQ67&gt;14,"Watch &gt;14d","Within 14d"))),"Out of scope")</x:f>
        <x:v>Out of scope</x:v>
      </x:c>
    </x:row>
    <x:row r="68" ht="24" customHeight="1">
      <x:c r="A68" t="str">
        <x:v>4cb5421c-76ee-4918-91f4-9015721e68f2</x:v>
      </x:c>
      <x:c r="B68" t="str">
        <x:v>CSSP10956620</x:v>
      </x:c>
      <x:c r="C68" t="str">
        <x:v>rajila.vadakkalthund@petronas.com</x:v>
      </x:c>
      <x:c r="D68" t="str">
        <x:v>decommission-cloud</x:v>
      </x:c>
      <x:c r="E68" t="str">
        <x:v>completed</x:v>
      </x:c>
      <x:c r="F68" t="n">
        <x:v>46042.40565572917</x:v>
      </x:c>
      <x:c r="G68" t="n">
        <x:v>46057.18847627315</x:v>
      </x:c>
      <x:c r="H68" t="n">
        <x:v>46042.40565572917</x:v>
      </x:c>
      <x:c r="I68" t="str">
        <x:v>SiteCom and DrillScene Applications for Wells COE PETRON</x:v>
      </x:c>
      <x:c r="J68" t="str">
        <x:v>SiteCom and DrillScene Applications for Wells COE PETRON created for PRIVATECLOUD project record</x:v>
      </x:c>
      <x:c r="K68" t="str">
        <x:v>full</x:v>
      </x:c>
      <x:c r="L68" t="str">
        <x:v>DCOM20260119778</x:v>
      </x:c>
      <x:c r="M68" t="str">
        <x:v>afiqah.aziz@petronas.com.my</x:v>
      </x:c>
      <x:c r="N68"/>
      <x:c r="O68"/>
      <x:c r="P68" t="str">
        <x:v>Sitecom has been replaced with Halvue application</x:v>
      </x:c>
      <x:c r="Q68" t="str">
        <x:v>12M</x:v>
      </x:c>
      <x:c r="R68" t="str">
        <x:v>Not in Used</x:v>
      </x:c>
      <x:c r="S68"/>
      <x:c r="T68" t="str">
        <x:v>approved</x:v>
      </x:c>
      <x:c r="U68" t="str">
        <x:v>rajila.vadakkalthund@petronas.com</x:v>
      </x:c>
      <x:c r="V68" t="n">
        <x:v>46043.218533657404</x:v>
      </x:c>
      <x:c r="W68" t="str">
        <x:v>need to take backup of all servers listed in the attachment.</x:v>
      </x:c>
      <x:c r="X68" t="str">
        <x:v>approved</x:v>
      </x:c>
      <x:c r="Y68" t="str">
        <x:v>afiqah.aziz@petronas.com</x:v>
      </x:c>
      <x:c r="Z68" t="n">
        <x:v>46050.31225452547</x:v>
      </x:c>
      <x:c r="AA68" t="str">
        <x:v>Proceed to decom as discussed. </x:v>
      </x:c>
      <x:c r="AB68" t="str">
        <x:v>approved</x:v>
      </x:c>
      <x:c r="AC68" t="str">
        <x:v>azwan.badari@petronas.com</x:v>
      </x:c>
      <x:c r="AD68" t="n">
        <x:v>46050.35107866898</x:v>
      </x:c>
      <x:c r="AE68" t="str">
        <x:v>Full Decommission (10071) listed on-premise VM. Keep backup for 12 months</x:v>
      </x:c>
      <x:c r="AF68" t="str">
        <x:v>approved</x:v>
      </x:c>
      <x:c r="AG68" t="str">
        <x:v>azlisham.md@petronas.com</x:v>
      </x:c>
      <x:c r="AH68" t="n">
        <x:v>46057.188476284726</x:v>
      </x:c>
      <x:c r="AI68" t="str">
        <x:v>The decommission request has been completed, and the status is now updated accordingly. Kindly verify from your end and confirm once reviewed.
</x:v>
      </x:c>
      <x:c r="AJ68" t="str">
        <x:v>A-000236</x:v>
      </x:c>
      <x:c r="AK68" t="n">
        <x:v>10071</x:v>
      </x:c>
      <x:c r="AL68" t="str">
        <x:v>M</x:v>
      </x:c>
      <x:c r="AM68" t="str">
        <x:v>REQ000007847422</x:v>
      </x:c>
      <x:c r="AN68" t="str">
        <x:v>retention</x:v>
      </x:c>
      <x:c r="AO68" t="n">
        <x:v>365</x:v>
      </x:c>
      <x:c r="AP68" s="23" t="str">
        <x:f>IF(E68="processing",IF(Z68="","",IF(ISNUMBER(Z68),INT(Z68),DATE(VALUE(LEFT(Z68,4)),VALUE(MID(Z68,6,2)),VALUE(MID(Z68,9,2))))),IF(OR(E68="executing",E68="pending"),IF(AD68="","",IF(ISNUMBER(AD68),INT(AD68),DATE(VALUE(LEFT(AD68,4)),VALUE(MID(AD68,6,2)),VALUE(MID(AD68,9,2))))),""))</x:f>
      </x:c>
      <x:c r="AQ68" s="24" t="str">
        <x:f>IF(AP68="","",INT('Configuration'!$B$4)-AP68)</x:f>
      </x:c>
      <x:c r="AR68" s="25" t="str">
        <x:f>IF(AP68="","Missing Required Date",IF(AQ68&lt;0,"Future Date",IF(AQ68=0,"0 days",IF(AQ68&lt;=2,"1-2 days",IF(AQ68&lt;=7,"3-7 days",IF(AQ68&lt;=14,"8-14 days",IF(AQ68&lt;=30,"15-30 days",IF(AQ68&lt;=60,"31-60 days",IF(AQ68&lt;=70,"61-70 days","71+ days")))))))))</x:f>
        <x:v>Missing Required Date</x:v>
      </x:c>
      <x:c r="AS68" s="25" t="str">
        <x:f>IF(OR(E68="processing",E68="executing",E68="pending"),IF(AP68="","Required aging date missing",IF(AQ68&gt;30,"Escalate &gt;30d",IF(AQ68&gt;14,"Watch &gt;14d","Within 14d"))),"Out of scope")</x:f>
        <x:v>Out of scope</x:v>
      </x:c>
    </x:row>
    <x:row r="69" ht="24" customHeight="1">
      <x:c r="A69" t="str">
        <x:v>a6c49856-9f68-47d2-b48a-632ad105b938</x:v>
      </x:c>
      <x:c r="B69" t="str">
        <x:v>CSSP10693653</x:v>
      </x:c>
      <x:c r="C69" t="str">
        <x:v>nurulirdawaty.mnabi@petronas.com</x:v>
      </x:c>
      <x:c r="D69" t="str">
        <x:v>decommission-cloud</x:v>
      </x:c>
      <x:c r="E69" t="str">
        <x:v>completed</x:v>
      </x:c>
      <x:c r="F69" t="n">
        <x:v>46043.153167743054</x:v>
      </x:c>
      <x:c r="G69" t="n">
        <x:v>46045.37386167824</x:v>
      </x:c>
      <x:c r="H69" t="n">
        <x:v>46043.17235550926</x:v>
      </x:c>
      <x:c r="I69" t="str">
        <x:v>Visual Inspection Corrosion Interface - VINCI</x:v>
      </x:c>
      <x:c r="J69" t="str">
        <x:v>Enhancement Of Visual Inspection Corrosion Interface (VINCI) System For Operation Excellence (OE), PCSB</x:v>
      </x:c>
      <x:c r="K69" t="str">
        <x:v>full</x:v>
      </x:c>
      <x:c r="L69" t="str">
        <x:v>-</x:v>
      </x:c>
      <x:c r="M69" t="str">
        <x:v>halim.matnoh@petronas.com.my</x:v>
      </x:c>
      <x:c r="N69"/>
      <x:c r="O69"/>
      <x:c r="P69" t="str">
        <x:v>Full Decommission for PTAZSG-DEV-VINCI-RG (PSR0609) and PTAZSG-UAT-VINCI-RG(PSR0609). Please refer to previous decommission as reference.</x:v>
      </x:c>
      <x:c r="Q69" t="str">
        <x:v>2W</x:v>
      </x:c>
      <x:c r="R69" t="str">
        <x:v>Obsolete</x:v>
      </x:c>
      <x:c r="S69"/>
      <x:c r="T69" t="str">
        <x:v>approved</x:v>
      </x:c>
      <x:c r="U69" t="str">
        <x:v>nurulirdawaty.mnabi@petronas.com</x:v>
      </x:c>
      <x:c r="V69" t="n">
        <x:v>46043.173315011576</x:v>
      </x:c>
      <x:c r="W69" t="str">
        <x:v>Yes, please proceed to decomm all.</x:v>
      </x:c>
      <x:c r="X69" t="str">
        <x:v>approved</x:v>
      </x:c>
      <x:c r="Y69" t="str">
        <x:v>halim.matnoh@petronas.com</x:v>
      </x:c>
      <x:c r="Z69" t="n">
        <x:v>46044.121236631945</x:v>
      </x:c>
      <x:c r="AA69" t="str">
        <x:v>approved</x:v>
      </x:c>
      <x:c r="AB69" t="str">
        <x:v>approved</x:v>
      </x:c>
      <x:c r="AC69" t="str">
        <x:v>azwan.badari@petronas.com</x:v>
      </x:c>
      <x:c r="AD69" t="n">
        <x:v>46044.13021737269</x:v>
      </x:c>
      <x:c r="AE69" t="str">
        <x:v>Decommission both RG, PTAZSG-DEV-VINCI-RG (PSR0609) and PTAZSG-UAT-VINCI-RG(PSR0609)</x:v>
      </x:c>
      <x:c r="AF69" t="str">
        <x:v>approved</x:v>
      </x:c>
      <x:c r="AG69" t="str">
        <x:v>azlisham.md@petronas.com</x:v>
      </x:c>
      <x:c r="AH69" t="n">
        <x:v>46045.37386168981</x:v>
      </x:c>
      <x:c r="AI69" t="str">
        <x:v>The decommission request has been completed, and the status is now updated accordingly. Kindly verify from your end and confirm once reviewed.
</x:v>
      </x:c>
      <x:c r="AJ69" t="str">
        <x:v>A-000846</x:v>
      </x:c>
      <x:c r="AK69" t="str">
        <x:v>PSR06029</x:v>
      </x:c>
      <x:c r="AL69" t="str">
        <x:v>M</x:v>
      </x:c>
      <x:c r="AM69" t="str">
        <x:v>REQ000007834437</x:v>
      </x:c>
      <x:c r="AN69" t="str">
        <x:v>noretention</x:v>
      </x:c>
      <x:c r="AO69" t="n">
        <x:v>0</x:v>
      </x:c>
      <x:c r="AP69" s="23" t="str">
        <x:f>IF(E69="processing",IF(Z69="","",IF(ISNUMBER(Z69),INT(Z69),DATE(VALUE(LEFT(Z69,4)),VALUE(MID(Z69,6,2)),VALUE(MID(Z69,9,2))))),IF(OR(E69="executing",E69="pending"),IF(AD69="","",IF(ISNUMBER(AD69),INT(AD69),DATE(VALUE(LEFT(AD69,4)),VALUE(MID(AD69,6,2)),VALUE(MID(AD69,9,2))))),""))</x:f>
      </x:c>
      <x:c r="AQ69" s="24" t="str">
        <x:f>IF(AP69="","",INT('Configuration'!$B$4)-AP69)</x:f>
      </x:c>
      <x:c r="AR69" s="25" t="str">
        <x:f>IF(AP69="","Missing Required Date",IF(AQ69&lt;0,"Future Date",IF(AQ69=0,"0 days",IF(AQ69&lt;=2,"1-2 days",IF(AQ69&lt;=7,"3-7 days",IF(AQ69&lt;=14,"8-14 days",IF(AQ69&lt;=30,"15-30 days",IF(AQ69&lt;=60,"31-60 days",IF(AQ69&lt;=70,"61-70 days","71+ days")))))))))</x:f>
        <x:v>Missing Required Date</x:v>
      </x:c>
      <x:c r="AS69" s="25" t="str">
        <x:f>IF(OR(E69="processing",E69="executing",E69="pending"),IF(AP69="","Required aging date missing",IF(AQ69&gt;30,"Escalate &gt;30d",IF(AQ69&gt;14,"Watch &gt;14d","Within 14d"))),"Out of scope")</x:f>
        <x:v>Out of scope</x:v>
      </x:c>
    </x:row>
    <x:row r="70" ht="24" customHeight="1">
      <x:c r="A70" t="str">
        <x:v>a11e5124-0a1e-4c64-b612-5bb136c7bd95</x:v>
      </x:c>
      <x:c r="B70" t="str">
        <x:v>CSSP10361019</x:v>
      </x:c>
      <x:c r="C70" t="str">
        <x:v>keanseng.lim@petronas.com</x:v>
      </x:c>
      <x:c r="D70" t="str">
        <x:v>decommission-cloud</x:v>
      </x:c>
      <x:c r="E70" t="str">
        <x:v>completed</x:v>
      </x:c>
      <x:c r="F70" t="n">
        <x:v>46043.350739409725</x:v>
      </x:c>
      <x:c r="G70" t="n">
        <x:v>46093.29256314815</x:v>
      </x:c>
      <x:c r="H70" t="n">
        <x:v>46058.27612099537</x:v>
      </x:c>
      <x:c r="I70" t="str">
        <x:v>PIVOT Enterprise Knowledge Advisor Cerebro</x:v>
      </x:c>
      <x:c r="J70" t="str">
        <x:v>OSR00154: Support and Maintenance for PIVOT Program for Group Digital – Enterprise Knowledge Advisor for Cerebro</x:v>
      </x:c>
      <x:c r="K70" t="str">
        <x:v>partial</x:v>
      </x:c>
      <x:c r="L70"/>
      <x:c r="M70" t="str">
        <x:v>lim.hoongkeng@petronas.com</x:v>
      </x:c>
      <x:c r="N70"/>
      <x:c r="O70"/>
      <x:c r="P70" t="str">
        <x:v>Both EKIH &amp; CEREBRO has been decommisioned. The identified resources is obsolted and not in used.
This has been confirmed by Business Product Owner.</x:v>
      </x:c>
      <x:c r="Q70" t="str">
        <x:v>2W</x:v>
      </x:c>
      <x:c r="R70" t="str">
        <x:v>Obsolete</x:v>
      </x:c>
      <x:c r="S70"/>
      <x:c r="T70" t="str">
        <x:v>approved</x:v>
      </x:c>
      <x:c r="U70" t="str">
        <x:v>keanseng.lim@petronas.com</x:v>
      </x:c>
      <x:c r="V70" t="n">
        <x:v>46059.0654168287</x:v>
      </x:c>
      <x:c r="W70" t="str">
        <x:v>Uploaded the approval email and reselected all resources to be decommissioned</x:v>
      </x:c>
      <x:c r="X70" t="str">
        <x:v>approved</x:v>
      </x:c>
      <x:c r="Y70" t="str">
        <x:v>lim.hoongkeng@petronas.com</x:v>
      </x:c>
      <x:c r="Z70" t="n">
        <x:v>46092.27898173611</x:v>
      </x:c>
      <x:c r="AA70" t="str">
        <x:v>Reapproving as requested.</x:v>
      </x:c>
      <x:c r="AB70" t="str">
        <x:v>approved</x:v>
      </x:c>
      <x:c r="AC70" t="str">
        <x:v>azwan.badari@petronas.com</x:v>
      </x:c>
      <x:c r="AD70" t="n">
        <x:v>46092.324756875</x:v>
      </x:c>
      <x:c r="AE70" t="str">
        <x:v>Proceed to decommission listed resources</x:v>
      </x:c>
      <x:c r="AF70" t="str">
        <x:v>approved</x:v>
      </x:c>
      <x:c r="AG70" t="str">
        <x:v>azwan.badari@petronas.com</x:v>
      </x:c>
      <x:c r="AH70" t="n">
        <x:v>46093.292563159725</x:v>
      </x:c>
      <x:c r="AI70" t="str">
        <x:v>Completed</x:v>
      </x:c>
      <x:c r="AJ70" t="str">
        <x:v>A-000609</x:v>
      </x:c>
      <x:c r="AK70" t="str">
        <x:v>OSR00154_10</x:v>
      </x:c>
      <x:c r="AL70" t="str">
        <x:v>M</x:v>
      </x:c>
      <x:c r="AM70" t="str">
        <x:v>REQ000007928247</x:v>
      </x:c>
      <x:c r="AN70" t="str">
        <x:v>disposal</x:v>
      </x:c>
      <x:c r="AO70" t="n">
        <x:v>0</x:v>
      </x:c>
      <x:c r="AP70" s="23" t="str">
        <x:f>IF(E70="processing",IF(Z70="","",IF(ISNUMBER(Z70),INT(Z70),DATE(VALUE(LEFT(Z70,4)),VALUE(MID(Z70,6,2)),VALUE(MID(Z70,9,2))))),IF(OR(E70="executing",E70="pending"),IF(AD70="","",IF(ISNUMBER(AD70),INT(AD70),DATE(VALUE(LEFT(AD70,4)),VALUE(MID(AD70,6,2)),VALUE(MID(AD70,9,2))))),""))</x:f>
      </x:c>
      <x:c r="AQ70" s="24" t="str">
        <x:f>IF(AP70="","",INT('Configuration'!$B$4)-AP70)</x:f>
      </x:c>
      <x:c r="AR70" s="25" t="str">
        <x:f>IF(AP70="","Missing Required Date",IF(AQ70&lt;0,"Future Date",IF(AQ70=0,"0 days",IF(AQ70&lt;=2,"1-2 days",IF(AQ70&lt;=7,"3-7 days",IF(AQ70&lt;=14,"8-14 days",IF(AQ70&lt;=30,"15-30 days",IF(AQ70&lt;=60,"31-60 days",IF(AQ70&lt;=70,"61-70 days","71+ days")))))))))</x:f>
        <x:v>Missing Required Date</x:v>
      </x:c>
      <x:c r="AS70" s="25" t="str">
        <x:f>IF(OR(E70="processing",E70="executing",E70="pending"),IF(AP70="","Required aging date missing",IF(AQ70&gt;30,"Escalate &gt;30d",IF(AQ70&gt;14,"Watch &gt;14d","Within 14d"))),"Out of scope")</x:f>
        <x:v>Out of scope</x:v>
      </x:c>
    </x:row>
    <x:row r="71" ht="24" customHeight="1">
      <x:c r="A71" t="str">
        <x:v>77f1a609-e277-4a20-8446-fa2cd0b7234e</x:v>
      </x:c>
      <x:c r="B71" t="str">
        <x:v>CSSP10644672</x:v>
      </x:c>
      <x:c r="C71" t="str">
        <x:v>wanmiqbal.wanmhdnoor@petronas.com</x:v>
      </x:c>
      <x:c r="D71" t="str">
        <x:v>decommission-cloud</x:v>
      </x:c>
      <x:c r="E71" t="str">
        <x:v>rejected</x:v>
      </x:c>
      <x:c r="F71" t="n">
        <x:v>46044.072314652774</x:v>
      </x:c>
      <x:c r="G71" t="n">
        <x:v>46044.301271006945</x:v>
      </x:c>
      <x:c r="H71" t="n">
        <x:v>46044.072314652774</x:v>
      </x:c>
      <x:c r="I71" t="str">
        <x:v>Upstream Real Time Data Program - URTD</x:v>
      </x:c>
      <x:c r="J71" t="str">
        <x:v>Installation of Upstream Real Time Data Program (URTD) for Centre of Excellence, PCSB</x:v>
      </x:c>
      <x:c r="K71" t="str">
        <x:v>partial</x:v>
      </x:c>
      <x:c r="L71"/>
      <x:c r="M71" t="str">
        <x:v>mohammadsani.johari@petronas.com</x:v>
      </x:c>
      <x:c r="N71"/>
      <x:c r="O71"/>
      <x:c r="P71" t="str">
        <x:v>Not in used</x:v>
      </x:c>
      <x:c r="Q71" t="str">
        <x:v>1M</x:v>
      </x:c>
      <x:c r="R71" t="str">
        <x:v>Not in Used</x:v>
      </x:c>
      <x:c r="S71"/>
      <x:c r="T71" t="str">
        <x:v>approved</x:v>
      </x:c>
      <x:c r="U71" t="str">
        <x:v>wanmiqbal.wanmhdnoor@petronas.com</x:v>
      </x:c>
      <x:c r="V71" t="n">
        <x:v>46044.08375150463</x:v>
      </x:c>
      <x:c r="W71" t="str">
        <x:v>Decomm only for resources related to:
1. PTSG-1URTDAP02
2. ptsg-1urtdsvrdb01
3. ptsg1urtd2func01strg
4.ptazsg-devurtd2-apim
5.sqlauditsousvoocdslrlc3q</x:v>
      </x:c>
      <x:c r="X71" t="str">
        <x:v>rejected</x:v>
      </x:c>
      <x:c r="Y71" t="str">
        <x:v>mohammadsani.johari@petronas.com</x:v>
      </x:c>
      <x:c r="Z71" t="n">
        <x:v>46044.30127101852</x:v>
      </x:c>
      <x:c r="AA71"/>
      <x:c r="AB71"/>
      <x:c r="AC71" t="str">
        <x:v>CCoE Business</x:v>
      </x:c>
      <x:c r="AD71"/>
      <x:c r="AE71"/>
      <x:c r="AF71"/>
      <x:c r="AG71" t="str">
        <x:v>CCoE Operations</x:v>
      </x:c>
      <x:c r="AH71"/>
      <x:c r="AI71"/>
      <x:c r="AJ71" t="str">
        <x:v>A-000827</x:v>
      </x:c>
      <x:c r="AK71" t="n">
        <x:v>747</x:v>
      </x:c>
      <x:c r="AL71"/>
      <x:c r="AM71"/>
      <x:c r="AN71" t="str">
        <x:v>retention</x:v>
      </x:c>
      <x:c r="AO71" t="n">
        <x:v>14</x:v>
      </x:c>
      <x:c r="AP71" s="23" t="str">
        <x:f>IF(E71="processing",IF(Z71="","",IF(ISNUMBER(Z71),INT(Z71),DATE(VALUE(LEFT(Z71,4)),VALUE(MID(Z71,6,2)),VALUE(MID(Z71,9,2))))),IF(OR(E71="executing",E71="pending"),IF(AD71="","",IF(ISNUMBER(AD71),INT(AD71),DATE(VALUE(LEFT(AD71,4)),VALUE(MID(AD71,6,2)),VALUE(MID(AD71,9,2))))),""))</x:f>
      </x:c>
      <x:c r="AQ71" s="24" t="str">
        <x:f>IF(AP71="","",INT('Configuration'!$B$4)-AP71)</x:f>
      </x:c>
      <x:c r="AR71" s="25" t="str">
        <x:f>IF(AP71="","Missing Required Date",IF(AQ71&lt;0,"Future Date",IF(AQ71=0,"0 days",IF(AQ71&lt;=2,"1-2 days",IF(AQ71&lt;=7,"3-7 days",IF(AQ71&lt;=14,"8-14 days",IF(AQ71&lt;=30,"15-30 days",IF(AQ71&lt;=60,"31-60 days",IF(AQ71&lt;=70,"61-70 days","71+ days")))))))))</x:f>
        <x:v>Missing Required Date</x:v>
      </x:c>
      <x:c r="AS71" s="25" t="str">
        <x:f>IF(OR(E71="processing",E71="executing",E71="pending"),IF(AP71="","Required aging date missing",IF(AQ71&gt;30,"Escalate &gt;30d",IF(AQ71&gt;14,"Watch &gt;14d","Within 14d"))),"Out of scope")</x:f>
        <x:v>Out of scope</x:v>
      </x:c>
    </x:row>
    <x:row r="72" ht="24" customHeight="1">
      <x:c r="A72" t="str">
        <x:v>fcd598c0-a60b-40ad-96c2-6de6f09d5bc9</x:v>
      </x:c>
      <x:c r="B72" t="str">
        <x:v>CSSP10177449</x:v>
      </x:c>
      <x:c r="C72" t="str">
        <x:v>anissyafiqah.matzail@petronas.com</x:v>
      </x:c>
      <x:c r="D72" t="str">
        <x:v>decommission-cloud</x:v>
      </x:c>
      <x:c r="E72" t="str">
        <x:v>completed</x:v>
      </x:c>
      <x:c r="F72" t="n">
        <x:v>46045.056981354166</x:v>
      </x:c>
      <x:c r="G72" t="n">
        <x:v>46086.08018722222</x:v>
      </x:c>
      <x:c r="H72" t="n">
        <x:v>46080.09998799769</x:v>
      </x:c>
      <x:c r="I72" t="str">
        <x:v>Winglue</x:v>
      </x:c>
      <x:c r="J72" t="str">
        <x:v>OCI MIGRATION - WINGLUE</x:v>
      </x:c>
      <x:c r="K72" t="str">
        <x:v>full</x:v>
      </x:c>
      <x:c r="L72" t="str">
        <x:v>-</x:v>
      </x:c>
      <x:c r="M72" t="str">
        <x:v>halim.matnoh@petronas.com.my</x:v>
      </x:c>
      <x:c r="N72" t="str">
        <x:v>-</x:v>
      </x:c>
      <x:c r="O72"/>
      <x:c r="P72" t="str">
        <x:v>User confirmed that Winglue's application are no longer in used. Refer to the attachment for the focal confirmation.</x:v>
      </x:c>
      <x:c r="Q72" t="str">
        <x:v>2W</x:v>
      </x:c>
      <x:c r="R72" t="str">
        <x:v>Not in Used</x:v>
      </x:c>
      <x:c r="S72"/>
      <x:c r="T72" t="str">
        <x:v>approved</x:v>
      </x:c>
      <x:c r="U72" t="str">
        <x:v>anissyafiqah.matzail@petronas.com</x:v>
      </x:c>
      <x:c r="V72" t="n">
        <x:v>46080.10086576389</x:v>
      </x:c>
      <x:c r="W72" t="str">
        <x:v>Yes, please proceed to decomm all.</x:v>
      </x:c>
      <x:c r="X72" t="str">
        <x:v>approved</x:v>
      </x:c>
      <x:c r="Y72" t="str">
        <x:v>halim.matnoh@petronas.com</x:v>
      </x:c>
      <x:c r="Z72" t="n">
        <x:v>46080.16334452546</x:v>
      </x:c>
      <x:c r="AA72" t="str">
        <x:v>approved</x:v>
      </x:c>
      <x:c r="AB72" t="str">
        <x:v>approved</x:v>
      </x:c>
      <x:c r="AC72" t="str">
        <x:v>azwan.badari@petronas.com</x:v>
      </x:c>
      <x:c r="AD72" t="n">
        <x:v>46083.158775034724</x:v>
      </x:c>
      <x:c r="AE72" t="str">
        <x:v>Proceed to decommission resources in the list.</x:v>
      </x:c>
      <x:c r="AF72" t="str">
        <x:v>approved</x:v>
      </x:c>
      <x:c r="AG72" t="str">
        <x:v>azlisham.md@petronas.com</x:v>
      </x:c>
      <x:c r="AH72" t="n">
        <x:v>46086.08018722222</x:v>
      </x:c>
      <x:c r="AI72" t="str">
        <x:v>The decommission request has been completed, and the status is now updated accordingly. Kindly verify from your end and confirm once reviewed.
</x:v>
      </x:c>
      <x:c r="AJ72" t="str">
        <x:v>A-000860</x:v>
      </x:c>
      <x:c r="AK72" t="str">
        <x:v>OCI-00037</x:v>
      </x:c>
      <x:c r="AL72" t="str">
        <x:v>M</x:v>
      </x:c>
      <x:c r="AM72" t="str">
        <x:v>REQ000007906393</x:v>
      </x:c>
      <x:c r="AN72" t="str">
        <x:v>noretention</x:v>
      </x:c>
      <x:c r="AO72" t="n">
        <x:v>0</x:v>
      </x:c>
      <x:c r="AP72" s="23" t="str">
        <x:f>IF(E72="processing",IF(Z72="","",IF(ISNUMBER(Z72),INT(Z72),DATE(VALUE(LEFT(Z72,4)),VALUE(MID(Z72,6,2)),VALUE(MID(Z72,9,2))))),IF(OR(E72="executing",E72="pending"),IF(AD72="","",IF(ISNUMBER(AD72),INT(AD72),DATE(VALUE(LEFT(AD72,4)),VALUE(MID(AD72,6,2)),VALUE(MID(AD72,9,2))))),""))</x:f>
      </x:c>
      <x:c r="AQ72" s="24" t="str">
        <x:f>IF(AP72="","",INT('Configuration'!$B$4)-AP72)</x:f>
      </x:c>
      <x:c r="AR72" s="25" t="str">
        <x:f>IF(AP72="","Missing Required Date",IF(AQ72&lt;0,"Future Date",IF(AQ72=0,"0 days",IF(AQ72&lt;=2,"1-2 days",IF(AQ72&lt;=7,"3-7 days",IF(AQ72&lt;=14,"8-14 days",IF(AQ72&lt;=30,"15-30 days",IF(AQ72&lt;=60,"31-60 days",IF(AQ72&lt;=70,"61-70 days","71+ days")))))))))</x:f>
        <x:v>Missing Required Date</x:v>
      </x:c>
      <x:c r="AS72" s="25" t="str">
        <x:f>IF(OR(E72="processing",E72="executing",E72="pending"),IF(AP72="","Required aging date missing",IF(AQ72&gt;30,"Escalate &gt;30d",IF(AQ72&gt;14,"Watch &gt;14d","Within 14d"))),"Out of scope")</x:f>
        <x:v>Out of scope</x:v>
      </x:c>
    </x:row>
    <x:row r="73" ht="24" customHeight="1">
      <x:c r="A73" t="str">
        <x:v>9a805d0b-bb21-480b-b88d-10371246b4e8</x:v>
      </x:c>
      <x:c r="B73" t="str">
        <x:v>CSSP10521638</x:v>
      </x:c>
      <x:c r="C73" t="str">
        <x:v>anissyafiqah.matzail@petronas.com</x:v>
      </x:c>
      <x:c r="D73" t="str">
        <x:v>decommission-cloud</x:v>
      </x:c>
      <x:c r="E73" t="str">
        <x:v>rejected</x:v>
      </x:c>
      <x:c r="F73" t="n">
        <x:v>46045.05726483796</x:v>
      </x:c>
      <x:c r="G73" t="n">
        <x:v>46045.07939284722</x:v>
      </x:c>
      <x:c r="H73" t="n">
        <x:v>46045.07124848379</x:v>
      </x:c>
      <x:c r="I73" t="str">
        <x:v>IDAMS / WINCAIRS PMA</x:v>
      </x:c>
      <x:c r="J73" t="str">
        <x:v>OCI MIGRATION - IDAMS (PMA)</x:v>
      </x:c>
      <x:c r="K73" t="str">
        <x:v>full</x:v>
      </x:c>
      <x:c r="L73" t="str">
        <x:v>-</x:v>
      </x:c>
      <x:c r="M73" t="str">
        <x:v>halim.matnoh@petronas.com.my</x:v>
      </x:c>
      <x:c r="N73"/>
      <x:c r="O73"/>
      <x:c r="P73" t="str">
        <x:v>Contract has expired on 31/05/2025, and user confirmed that they are no longer in used. Refer to the attachment for PMA focal confirmation.</x:v>
      </x:c>
      <x:c r="Q73" t="str">
        <x:v>2W</x:v>
      </x:c>
      <x:c r="R73" t="str">
        <x:v>Not in Used</x:v>
      </x:c>
      <x:c r="S73"/>
      <x:c r="T73" t="str">
        <x:v>rejected</x:v>
      </x:c>
      <x:c r="U73" t="str">
        <x:v>anissyafiqah.matzail@petronas.com</x:v>
      </x:c>
      <x:c r="V73" t="n">
        <x:v>46045.07857402778</x:v>
      </x:c>
      <x:c r="W73"/>
      <x:c r="X73" t="str">
        <x:v>rejected</x:v>
      </x:c>
      <x:c r="Y73" t="str">
        <x:v>anissyafiqah.matzail@petronas.com</x:v>
      </x:c>
      <x:c r="Z73" t="n">
        <x:v>46045.07881730324</x:v>
      </x:c>
      <x:c r="AA73"/>
      <x:c r="AB73" t="str">
        <x:v>rejected</x:v>
      </x:c>
      <x:c r="AC73" t="str">
        <x:v>anissyafiqah.matzail@petronas.com</x:v>
      </x:c>
      <x:c r="AD73" t="n">
        <x:v>46045.079392858795</x:v>
      </x:c>
      <x:c r="AE73"/>
      <x:c r="AF73"/>
      <x:c r="AG73" t="str">
        <x:v>CCoE Business</x:v>
      </x:c>
      <x:c r="AH73"/>
      <x:c r="AI73"/>
      <x:c r="AJ73" t="str">
        <x:v>A-000371</x:v>
      </x:c>
      <x:c r="AK73" t="str">
        <x:v>OCI-00019</x:v>
      </x:c>
      <x:c r="AL73"/>
      <x:c r="AM73"/>
      <x:c r="AN73" t="str">
        <x:v>noretention</x:v>
      </x:c>
      <x:c r="AO73" t="n">
        <x:v>0</x:v>
      </x:c>
      <x:c r="AP73" s="23" t="str">
        <x:f>IF(E73="processing",IF(Z73="","",IF(ISNUMBER(Z73),INT(Z73),DATE(VALUE(LEFT(Z73,4)),VALUE(MID(Z73,6,2)),VALUE(MID(Z73,9,2))))),IF(OR(E73="executing",E73="pending"),IF(AD73="","",IF(ISNUMBER(AD73),INT(AD73),DATE(VALUE(LEFT(AD73,4)),VALUE(MID(AD73,6,2)),VALUE(MID(AD73,9,2))))),""))</x:f>
      </x:c>
      <x:c r="AQ73" s="24" t="str">
        <x:f>IF(AP73="","",INT('Configuration'!$B$4)-AP73)</x:f>
      </x:c>
      <x:c r="AR73" s="25" t="str">
        <x:f>IF(AP73="","Missing Required Date",IF(AQ73&lt;0,"Future Date",IF(AQ73=0,"0 days",IF(AQ73&lt;=2,"1-2 days",IF(AQ73&lt;=7,"3-7 days",IF(AQ73&lt;=14,"8-14 days",IF(AQ73&lt;=30,"15-30 days",IF(AQ73&lt;=60,"31-60 days",IF(AQ73&lt;=70,"61-70 days","71+ days")))))))))</x:f>
        <x:v>Missing Required Date</x:v>
      </x:c>
      <x:c r="AS73" s="25" t="str">
        <x:f>IF(OR(E73="processing",E73="executing",E73="pending"),IF(AP73="","Required aging date missing",IF(AQ73&gt;30,"Escalate &gt;30d",IF(AQ73&gt;14,"Watch &gt;14d","Within 14d"))),"Out of scope")</x:f>
        <x:v>Out of scope</x:v>
      </x:c>
    </x:row>
    <x:row r="74" ht="24" customHeight="1">
      <x:c r="A74" t="str">
        <x:v>f94988b0-1141-4fc1-8762-18add88c3e9d</x:v>
      </x:c>
      <x:c r="B74" t="str">
        <x:v>CSSP10603924</x:v>
      </x:c>
      <x:c r="C74" t="str">
        <x:v>anissyafiqah.matzail@petronas.com</x:v>
      </x:c>
      <x:c r="D74" t="str">
        <x:v>decommission-cloud</x:v>
      </x:c>
      <x:c r="E74" t="str">
        <x:v>completed</x:v>
      </x:c>
      <x:c r="F74" t="n">
        <x:v>46045.05746077546</x:v>
      </x:c>
      <x:c r="G74" t="n">
        <x:v>46051.16171277778</x:v>
      </x:c>
      <x:c r="H74" t="n">
        <x:v>46045.27895855324</x:v>
      </x:c>
      <x:c r="I74" t="str">
        <x:v>IDAMS / WINCAIRS SKO</x:v>
      </x:c>
      <x:c r="J74" t="str">
        <x:v>OCI MIGRATION - IDAMS (SKO)</x:v>
      </x:c>
      <x:c r="K74" t="str">
        <x:v>full</x:v>
      </x:c>
      <x:c r="L74" t="str">
        <x:v>-</x:v>
      </x:c>
      <x:c r="M74" t="str">
        <x:v>halim.matnoh@petronas.com.my</x:v>
      </x:c>
      <x:c r="N74"/>
      <x:c r="O74"/>
      <x:c r="P74" t="str">
        <x:v>Contract has expired on 31/05/2025, and user confirmed that they are no longer in used. Refer to the attachment for SKO focal confirmation.</x:v>
      </x:c>
      <x:c r="Q74" t="str">
        <x:v>2W</x:v>
      </x:c>
      <x:c r="R74" t="str">
        <x:v>Not in Used</x:v>
      </x:c>
      <x:c r="S74"/>
      <x:c r="T74" t="str">
        <x:v>approved</x:v>
      </x:c>
      <x:c r="U74" t="str">
        <x:v>anissyafiqah.matzail@petronas.com</x:v>
      </x:c>
      <x:c r="V74" t="n">
        <x:v>46045.28063155092</x:v>
      </x:c>
      <x:c r="W74" t="str">
        <x:v>Yes, please proceed to decomm all.</x:v>
      </x:c>
      <x:c r="X74" t="str">
        <x:v>approved</x:v>
      </x:c>
      <x:c r="Y74" t="str">
        <x:v>halim.matnoh@petronas.com</x:v>
      </x:c>
      <x:c r="Z74" t="n">
        <x:v>46048.26005511574</x:v>
      </x:c>
      <x:c r="AA74" t="str">
        <x:v>approved</x:v>
      </x:c>
      <x:c r="AB74" t="str">
        <x:v>approved</x:v>
      </x:c>
      <x:c r="AC74" t="str">
        <x:v>azwan.badari@petronas.com</x:v>
      </x:c>
      <x:c r="AD74" t="n">
        <x:v>46049.12222152778</x:v>
      </x:c>
      <x:c r="AE74" t="str">
        <x:v>Decommission ptawsg-1skodb01</x:v>
      </x:c>
      <x:c r="AF74" t="str">
        <x:v>approved</x:v>
      </x:c>
      <x:c r="AG74" t="str">
        <x:v>azwan.badari@petronas.com</x:v>
      </x:c>
      <x:c r="AH74" t="n">
        <x:v>46051.161712789355</x:v>
      </x:c>
      <x:c r="AI74" t="str">
        <x:v>Completed</x:v>
      </x:c>
      <x:c r="AJ74" t="str">
        <x:v>A-000373</x:v>
      </x:c>
      <x:c r="AK74" t="str">
        <x:v>OCI-00024</x:v>
      </x:c>
      <x:c r="AL74" t="str">
        <x:v>M</x:v>
      </x:c>
      <x:c r="AM74" t="str">
        <x:v>REQ000007842863</x:v>
      </x:c>
      <x:c r="AN74" t="str">
        <x:v>noretention</x:v>
      </x:c>
      <x:c r="AO74" t="n">
        <x:v>0</x:v>
      </x:c>
      <x:c r="AP74" s="23" t="str">
        <x:f>IF(E74="processing",IF(Z74="","",IF(ISNUMBER(Z74),INT(Z74),DATE(VALUE(LEFT(Z74,4)),VALUE(MID(Z74,6,2)),VALUE(MID(Z74,9,2))))),IF(OR(E74="executing",E74="pending"),IF(AD74="","",IF(ISNUMBER(AD74),INT(AD74),DATE(VALUE(LEFT(AD74,4)),VALUE(MID(AD74,6,2)),VALUE(MID(AD74,9,2))))),""))</x:f>
      </x:c>
      <x:c r="AQ74" s="24" t="str">
        <x:f>IF(AP74="","",INT('Configuration'!$B$4)-AP74)</x:f>
      </x:c>
      <x:c r="AR74" s="25" t="str">
        <x:f>IF(AP74="","Missing Required Date",IF(AQ74&lt;0,"Future Date",IF(AQ74=0,"0 days",IF(AQ74&lt;=2,"1-2 days",IF(AQ74&lt;=7,"3-7 days",IF(AQ74&lt;=14,"8-14 days",IF(AQ74&lt;=30,"15-30 days",IF(AQ74&lt;=60,"31-60 days",IF(AQ74&lt;=70,"61-70 days","71+ days")))))))))</x:f>
        <x:v>Missing Required Date</x:v>
      </x:c>
      <x:c r="AS74" s="25" t="str">
        <x:f>IF(OR(E74="processing",E74="executing",E74="pending"),IF(AP74="","Required aging date missing",IF(AQ74&gt;30,"Escalate &gt;30d",IF(AQ74&gt;14,"Watch &gt;14d","Within 14d"))),"Out of scope")</x:f>
        <x:v>Out of scope</x:v>
      </x:c>
    </x:row>
    <x:row r="75" ht="24" customHeight="1">
      <x:c r="A75" t="str">
        <x:v>a58e5bb6-2b1f-4c45-9438-7b4ec6f1fe9c</x:v>
      </x:c>
      <x:c r="B75" t="str">
        <x:v>CSSP10705796</x:v>
      </x:c>
      <x:c r="C75" t="str">
        <x:v>anissyafiqah.matzail@petronas.com</x:v>
      </x:c>
      <x:c r="D75" t="str">
        <x:v>decommission-cloud</x:v>
      </x:c>
      <x:c r="E75" t="str">
        <x:v>completed</x:v>
      </x:c>
      <x:c r="F75" t="n">
        <x:v>46045.05846983796</x:v>
      </x:c>
      <x:c r="G75" t="n">
        <x:v>46051.161858113424</x:v>
      </x:c>
      <x:c r="H75" t="n">
        <x:v>46045.27843265046</x:v>
      </x:c>
      <x:c r="I75" t="str">
        <x:v>IDAMS / WINCAIRS SBO</x:v>
      </x:c>
      <x:c r="J75" t="str">
        <x:v>OCI MIGRATION - IDAMS (SBO)</x:v>
      </x:c>
      <x:c r="K75" t="str">
        <x:v>full</x:v>
      </x:c>
      <x:c r="L75" t="str">
        <x:v>-</x:v>
      </x:c>
      <x:c r="M75" t="str">
        <x:v>halim.matnoh@petronas.com.my</x:v>
      </x:c>
      <x:c r="N75"/>
      <x:c r="O75"/>
      <x:c r="P75" t="str">
        <x:v>Contract has expired on 31/05/2025, and user confirmed that they are no longer in used. Refer to the attachment for SBO focal confirmation.</x:v>
      </x:c>
      <x:c r="Q75" t="str">
        <x:v>2W</x:v>
      </x:c>
      <x:c r="R75" t="str">
        <x:v>Not in Used</x:v>
      </x:c>
      <x:c r="S75"/>
      <x:c r="T75" t="str">
        <x:v>approved</x:v>
      </x:c>
      <x:c r="U75" t="str">
        <x:v>anissyafiqah.matzail@petronas.com</x:v>
      </x:c>
      <x:c r="V75" t="n">
        <x:v>46045.28050383102</x:v>
      </x:c>
      <x:c r="W75" t="str">
        <x:v>Yes, please proceed to decomm all.</x:v>
      </x:c>
      <x:c r="X75" t="str">
        <x:v>approved</x:v>
      </x:c>
      <x:c r="Y75" t="str">
        <x:v>halim.matnoh@petronas.com</x:v>
      </x:c>
      <x:c r="Z75" t="n">
        <x:v>46048.25916700232</x:v>
      </x:c>
      <x:c r="AA75" t="str">
        <x:v>approved</x:v>
      </x:c>
      <x:c r="AB75" t="str">
        <x:v>approved</x:v>
      </x:c>
      <x:c r="AC75" t="str">
        <x:v>azwan.badari@petronas.com</x:v>
      </x:c>
      <x:c r="AD75" t="n">
        <x:v>46049.123674027775</x:v>
      </x:c>
      <x:c r="AE75" t="str">
        <x:v>Decommission ptawsg-1sbodb01</x:v>
      </x:c>
      <x:c r="AF75" t="str">
        <x:v>approved</x:v>
      </x:c>
      <x:c r="AG75" t="str">
        <x:v>azwan.badari@petronas.com</x:v>
      </x:c>
      <x:c r="AH75" t="n">
        <x:v>46051.161858125</x:v>
      </x:c>
      <x:c r="AI75" t="str">
        <x:v>Completed</x:v>
      </x:c>
      <x:c r="AJ75" t="str">
        <x:v>A-000372</x:v>
      </x:c>
      <x:c r="AK75" t="str">
        <x:v>OCI-00023</x:v>
      </x:c>
      <x:c r="AL75" t="str">
        <x:v>M</x:v>
      </x:c>
      <x:c r="AM75" t="str">
        <x:v>REQ000007842867</x:v>
      </x:c>
      <x:c r="AN75" t="str">
        <x:v>noretention</x:v>
      </x:c>
      <x:c r="AO75" t="n">
        <x:v>0</x:v>
      </x:c>
      <x:c r="AP75" s="23" t="str">
        <x:f>IF(E75="processing",IF(Z75="","",IF(ISNUMBER(Z75),INT(Z75),DATE(VALUE(LEFT(Z75,4)),VALUE(MID(Z75,6,2)),VALUE(MID(Z75,9,2))))),IF(OR(E75="executing",E75="pending"),IF(AD75="","",IF(ISNUMBER(AD75),INT(AD75),DATE(VALUE(LEFT(AD75,4)),VALUE(MID(AD75,6,2)),VALUE(MID(AD75,9,2))))),""))</x:f>
      </x:c>
      <x:c r="AQ75" s="24" t="str">
        <x:f>IF(AP75="","",INT('Configuration'!$B$4)-AP75)</x:f>
      </x:c>
      <x:c r="AR75" s="25" t="str">
        <x:f>IF(AP75="","Missing Required Date",IF(AQ75&lt;0,"Future Date",IF(AQ75=0,"0 days",IF(AQ75&lt;=2,"1-2 days",IF(AQ75&lt;=7,"3-7 days",IF(AQ75&lt;=14,"8-14 days",IF(AQ75&lt;=30,"15-30 days",IF(AQ75&lt;=60,"31-60 days",IF(AQ75&lt;=70,"61-70 days","71+ days")))))))))</x:f>
        <x:v>Missing Required Date</x:v>
      </x:c>
      <x:c r="AS75" s="25" t="str">
        <x:f>IF(OR(E75="processing",E75="executing",E75="pending"),IF(AP75="","Required aging date missing",IF(AQ75&gt;30,"Escalate &gt;30d",IF(AQ75&gt;14,"Watch &gt;14d","Within 14d"))),"Out of scope")</x:f>
        <x:v>Out of scope</x:v>
      </x:c>
    </x:row>
    <x:row r="76" ht="24" customHeight="1">
      <x:c r="A76" t="str">
        <x:v>b8581bb4-3858-4233-b3ac-6f559264b410</x:v>
      </x:c>
      <x:c r="B76" t="str">
        <x:v>CSSP10334029</x:v>
      </x:c>
      <x:c r="C76" t="str">
        <x:v>anissyafiqah.matzail@petronas.com</x:v>
      </x:c>
      <x:c r="D76" t="str">
        <x:v>decommission-cloud</x:v>
      </x:c>
      <x:c r="E76" t="str">
        <x:v>completed</x:v>
      </x:c>
      <x:c r="F76" t="n">
        <x:v>46045.10757586805</x:v>
      </x:c>
      <x:c r="G76" t="n">
        <x:v>46051.16224954861</x:v>
      </x:c>
      <x:c r="H76" t="n">
        <x:v>46045.27757</x:v>
      </x:c>
      <x:c r="I76" t="str">
        <x:v>IDAMS / WINCAIRS PMA</x:v>
      </x:c>
      <x:c r="J76" t="str">
        <x:v>OCI MIGRATION - IDAMS (PMA)</x:v>
      </x:c>
      <x:c r="K76" t="str">
        <x:v>full</x:v>
      </x:c>
      <x:c r="L76" t="str">
        <x:v>-</x:v>
      </x:c>
      <x:c r="M76" t="str">
        <x:v>halim.matnoh@petronas.com.my</x:v>
      </x:c>
      <x:c r="N76"/>
      <x:c r="O76"/>
      <x:c r="P76" t="str">
        <x:v>Contract has expired on 31/05/2025, and user confirmed that they are no longer in used. Refer to the attachment for PMA focal confirmation.</x:v>
      </x:c>
      <x:c r="Q76" t="str">
        <x:v>2W</x:v>
      </x:c>
      <x:c r="R76" t="str">
        <x:v>Not in Used</x:v>
      </x:c>
      <x:c r="S76"/>
      <x:c r="T76" t="str">
        <x:v>approved</x:v>
      </x:c>
      <x:c r="U76" t="str">
        <x:v>anissyafiqah.matzail@petronas.com</x:v>
      </x:c>
      <x:c r="V76" t="n">
        <x:v>46045.280407280094</x:v>
      </x:c>
      <x:c r="W76" t="str">
        <x:v>Yes, please proceed to decomm all.</x:v>
      </x:c>
      <x:c r="X76" t="str">
        <x:v>approved</x:v>
      </x:c>
      <x:c r="Y76" t="str">
        <x:v>halim.matnoh@petronas.com</x:v>
      </x:c>
      <x:c r="Z76" t="n">
        <x:v>46048.258588703706</x:v>
      </x:c>
      <x:c r="AA76" t="str">
        <x:v>approved</x:v>
      </x:c>
      <x:c r="AB76" t="str">
        <x:v>approved</x:v>
      </x:c>
      <x:c r="AC76" t="str">
        <x:v>azwan.badari@petronas.com</x:v>
      </x:c>
      <x:c r="AD76" t="n">
        <x:v>46049.124175185185</x:v>
      </x:c>
      <x:c r="AE76" t="str">
        <x:v>Decommission ptawsg-1pmadb01</x:v>
      </x:c>
      <x:c r="AF76" t="str">
        <x:v>approved</x:v>
      </x:c>
      <x:c r="AG76" t="str">
        <x:v>azwan.badari@petronas.com</x:v>
      </x:c>
      <x:c r="AH76" t="n">
        <x:v>46051.16224954861</x:v>
      </x:c>
      <x:c r="AI76" t="str">
        <x:v>Completed</x:v>
      </x:c>
      <x:c r="AJ76" t="str">
        <x:v>A-000371</x:v>
      </x:c>
      <x:c r="AK76" t="str">
        <x:v>OCI-00019</x:v>
      </x:c>
      <x:c r="AL76" t="str">
        <x:v>M</x:v>
      </x:c>
      <x:c r="AM76" t="str">
        <x:v>REQ000007842787</x:v>
      </x:c>
      <x:c r="AN76" t="str">
        <x:v>noretention</x:v>
      </x:c>
      <x:c r="AO76" t="n">
        <x:v>0</x:v>
      </x:c>
      <x:c r="AP76" s="23" t="str">
        <x:f>IF(E76="processing",IF(Z76="","",IF(ISNUMBER(Z76),INT(Z76),DATE(VALUE(LEFT(Z76,4)),VALUE(MID(Z76,6,2)),VALUE(MID(Z76,9,2))))),IF(OR(E76="executing",E76="pending"),IF(AD76="","",IF(ISNUMBER(AD76),INT(AD76),DATE(VALUE(LEFT(AD76,4)),VALUE(MID(AD76,6,2)),VALUE(MID(AD76,9,2))))),""))</x:f>
      </x:c>
      <x:c r="AQ76" s="24" t="str">
        <x:f>IF(AP76="","",INT('Configuration'!$B$4)-AP76)</x:f>
      </x:c>
      <x:c r="AR76" s="25" t="str">
        <x:f>IF(AP76="","Missing Required Date",IF(AQ76&lt;0,"Future Date",IF(AQ76=0,"0 days",IF(AQ76&lt;=2,"1-2 days",IF(AQ76&lt;=7,"3-7 days",IF(AQ76&lt;=14,"8-14 days",IF(AQ76&lt;=30,"15-30 days",IF(AQ76&lt;=60,"31-60 days",IF(AQ76&lt;=70,"61-70 days","71+ days")))))))))</x:f>
        <x:v>Missing Required Date</x:v>
      </x:c>
      <x:c r="AS76" s="25" t="str">
        <x:f>IF(OR(E76="processing",E76="executing",E76="pending"),IF(AP76="","Required aging date missing",IF(AQ76&gt;30,"Escalate &gt;30d",IF(AQ76&gt;14,"Watch &gt;14d","Within 14d"))),"Out of scope")</x:f>
        <x:v>Out of scope</x:v>
      </x:c>
    </x:row>
    <x:row r="77" ht="24" customHeight="1">
      <x:c r="A77" t="str">
        <x:v>7acb7bd0-bec5-46cf-a488-6c0e833afa26</x:v>
      </x:c>
      <x:c r="B77" t="str">
        <x:v>CSSP10303191</x:v>
      </x:c>
      <x:c r="C77" t="str">
        <x:v>wanmiqbal.wanmhdnoor@petronas.com</x:v>
      </x:c>
      <x:c r="D77" t="str">
        <x:v>decommission-cloud</x:v>
      </x:c>
      <x:c r="E77" t="str">
        <x:v>completed</x:v>
      </x:c>
      <x:c r="F77" t="n">
        <x:v>46048.090024606485</x:v>
      </x:c>
      <x:c r="G77" t="n">
        <x:v>46052.14945298611</x:v>
      </x:c>
      <x:c r="H77" t="n">
        <x:v>46048.090024606485</x:v>
      </x:c>
      <x:c r="I77" t="str">
        <x:v>Upstream Real Time Data Program - URTD</x:v>
      </x:c>
      <x:c r="J77" t="str">
        <x:v>Installation of Upstream Real Time Data Program (URTD) for Centre of Excellence, PCSB</x:v>
      </x:c>
      <x:c r="K77" t="str">
        <x:v>partial</x:v>
      </x:c>
      <x:c r="L77"/>
      <x:c r="M77" t="str">
        <x:v>mohammadsani.johari@petronas.com</x:v>
      </x:c>
      <x:c r="N77" t="str">
        <x:v>NA</x:v>
      </x:c>
      <x:c r="O77" t="str">
        <x:v>NA</x:v>
      </x:c>
      <x:c r="P77" t="str">
        <x:v>APIM not in used</x:v>
      </x:c>
      <x:c r="Q77" t="str">
        <x:v>2W</x:v>
      </x:c>
      <x:c r="R77" t="str">
        <x:v>Not in Used</x:v>
      </x:c>
      <x:c r="S77"/>
      <x:c r="T77" t="str">
        <x:v>approved</x:v>
      </x:c>
      <x:c r="U77" t="str">
        <x:v>wanmiqbal.wanmhdnoor@petronas.com</x:v>
      </x:c>
      <x:c r="V77" t="n">
        <x:v>46048.09086525463</x:v>
      </x:c>
      <x:c r="W77" t="str">
        <x:v>API Management not in used. </x:v>
      </x:c>
      <x:c r="X77" t="str">
        <x:v>approved</x:v>
      </x:c>
      <x:c r="Y77" t="str">
        <x:v>mohammadsani.johari@petronas.com</x:v>
      </x:c>
      <x:c r="Z77" t="n">
        <x:v>46050.2638690625</x:v>
      </x:c>
      <x:c r="AA77" t="str">
        <x:v>APIM not in used anymore.</x:v>
      </x:c>
      <x:c r="AB77" t="str">
        <x:v>approved</x:v>
      </x:c>
      <x:c r="AC77" t="str">
        <x:v>azwan.badari@petronas.com</x:v>
      </x:c>
      <x:c r="AD77" t="n">
        <x:v>46050.280963969904</x:v>
      </x:c>
      <x:c r="AE77" t="str">
        <x:v>Decommission ptazsg-devurtd2-apim only</x:v>
      </x:c>
      <x:c r="AF77" t="str">
        <x:v>approved</x:v>
      </x:c>
      <x:c r="AG77" t="str">
        <x:v>abdullah.haziq@petronas.com</x:v>
      </x:c>
      <x:c r="AH77" t="n">
        <x:v>46052.149452997684</x:v>
      </x:c>
      <x:c r="AI77" t="str">
        <x:v>decomm complete</x:v>
      </x:c>
      <x:c r="AJ77" t="str">
        <x:v>A-000827</x:v>
      </x:c>
      <x:c r="AK77" t="n">
        <x:v>747</x:v>
      </x:c>
      <x:c r="AL77" t="str">
        <x:v>S</x:v>
      </x:c>
      <x:c r="AM77" t="str">
        <x:v>REQ000007846354</x:v>
      </x:c>
      <x:c r="AN77" t="str">
        <x:v>retention</x:v>
      </x:c>
      <x:c r="AO77" t="n">
        <x:v>14</x:v>
      </x:c>
      <x:c r="AP77" s="23" t="str">
        <x:f>IF(E77="processing",IF(Z77="","",IF(ISNUMBER(Z77),INT(Z77),DATE(VALUE(LEFT(Z77,4)),VALUE(MID(Z77,6,2)),VALUE(MID(Z77,9,2))))),IF(OR(E77="executing",E77="pending"),IF(AD77="","",IF(ISNUMBER(AD77),INT(AD77),DATE(VALUE(LEFT(AD77,4)),VALUE(MID(AD77,6,2)),VALUE(MID(AD77,9,2))))),""))</x:f>
      </x:c>
      <x:c r="AQ77" s="24" t="str">
        <x:f>IF(AP77="","",INT('Configuration'!$B$4)-AP77)</x:f>
      </x:c>
      <x:c r="AR77" s="25" t="str">
        <x:f>IF(AP77="","Missing Required Date",IF(AQ77&lt;0,"Future Date",IF(AQ77=0,"0 days",IF(AQ77&lt;=2,"1-2 days",IF(AQ77&lt;=7,"3-7 days",IF(AQ77&lt;=14,"8-14 days",IF(AQ77&lt;=30,"15-30 days",IF(AQ77&lt;=60,"31-60 days",IF(AQ77&lt;=70,"61-70 days","71+ days")))))))))</x:f>
        <x:v>Missing Required Date</x:v>
      </x:c>
      <x:c r="AS77" s="25" t="str">
        <x:f>IF(OR(E77="processing",E77="executing",E77="pending"),IF(AP77="","Required aging date missing",IF(AQ77&gt;30,"Escalate &gt;30d",IF(AQ77&gt;14,"Watch &gt;14d","Within 14d"))),"Out of scope")</x:f>
        <x:v>Out of scope</x:v>
      </x:c>
    </x:row>
    <x:row r="78" ht="24" customHeight="1">
      <x:c r="A78" t="str">
        <x:v>4bb4f4d7-db29-42d7-911e-33bbeff5c3cc</x:v>
      </x:c>
      <x:c r="B78" t="str">
        <x:v>CSSP10810813</x:v>
      </x:c>
      <x:c r="C78" t="str">
        <x:v>abdullahnaqib.hassa@petronas.com</x:v>
      </x:c>
      <x:c r="D78" t="str">
        <x:v>decommission-cloud</x:v>
      </x:c>
      <x:c r="E78" t="str">
        <x:v>completed</x:v>
      </x:c>
      <x:c r="F78" t="n">
        <x:v>46048.29415862269</x:v>
      </x:c>
      <x:c r="G78" t="n">
        <x:v>46066.29397096065</x:v>
      </x:c>
      <x:c r="H78" t="n">
        <x:v>46048.29616762731</x:v>
      </x:c>
      <x:c r="I78" t="str">
        <x:v>SAP 30 ECC6</x:v>
      </x:c>
      <x:c r="J78" t="str">
        <x:v>ERP Transformation - Central Finance Implementation – Global Design (Remark : PETRONAS CFIN Source System Box MC1)(Y30)</x:v>
      </x:c>
      <x:c r="K78" t="str">
        <x:v>partial</x:v>
      </x:c>
      <x:c r="L78"/>
      <x:c r="M78" t="str">
        <x:v>rizuanatan@petronas.com</x:v>
      </x:c>
      <x:c r="N78" t="str">
        <x:v>sapy30scs.petronas.com,peteccmc1.petronas.com</x:v>
      </x:c>
      <x:c r="O78"/>
      <x:c r="P78" t="str">
        <x:v>No longer required. Project went live</x:v>
      </x:c>
      <x:c r="Q78" t="str">
        <x:v>2W</x:v>
      </x:c>
      <x:c r="R78" t="str">
        <x:v>Not in Used</x:v>
      </x:c>
      <x:c r="S78"/>
      <x:c r="T78" t="str">
        <x:v>approved</x:v>
      </x:c>
      <x:c r="U78" t="str">
        <x:v>abdullahnaqib.hassa@petronas.com</x:v>
      </x:c>
      <x:c r="V78" t="n">
        <x:v>46048.318922025464</x:v>
      </x:c>
      <x:c r="W78" t="str">
        <x:v>Please decom all resource under PTAZSG-UAT-SAP-CFIN-QAS-Y30-RG</x:v>
      </x:c>
      <x:c r="X78" t="str">
        <x:v>approved</x:v>
      </x:c>
      <x:c r="Y78" t="str">
        <x:v>rizuanatan@petronas.com</x:v>
      </x:c>
      <x:c r="Z78" t="n">
        <x:v>46048.35221680556</x:v>
      </x:c>
      <x:c r="AA78" t="str">
        <x:v>No longer required by project team.</x:v>
      </x:c>
      <x:c r="AB78" t="str">
        <x:v>approved</x:v>
      </x:c>
      <x:c r="AC78" t="str">
        <x:v>azwan.badari@petronas.com</x:v>
      </x:c>
      <x:c r="AD78" t="n">
        <x:v>46049.12039653935</x:v>
      </x:c>
      <x:c r="AE78" t="str">
        <x:v>Decommission all resources and delete RG PTAZSG-UAT-SAP-CFIN-QAS-Y30-RG</x:v>
      </x:c>
      <x:c r="AF78" t="str">
        <x:v>approved</x:v>
      </x:c>
      <x:c r="AG78" t="str">
        <x:v>azlisham.md@petronas.com</x:v>
      </x:c>
      <x:c r="AH78" t="n">
        <x:v>46066.29397097222</x:v>
      </x:c>
      <x:c r="AI78" t="str">
        <x:v>The decommission request has been completed, and the status is now updated accordingly. Kindly verify from your end and confirm once reviewed.
</x:v>
      </x:c>
      <x:c r="AJ78" t="str">
        <x:v>A-000714</x:v>
      </x:c>
      <x:c r="AK78" t="str">
        <x:v>01405_13</x:v>
      </x:c>
      <x:c r="AL78" t="str">
        <x:v>M</x:v>
      </x:c>
      <x:c r="AM78" t="str">
        <x:v>REQ000007842778</x:v>
      </x:c>
      <x:c r="AN78" t="str">
        <x:v>noretention</x:v>
      </x:c>
      <x:c r="AO78" t="n">
        <x:v>0</x:v>
      </x:c>
      <x:c r="AP78" s="23" t="str">
        <x:f>IF(E78="processing",IF(Z78="","",IF(ISNUMBER(Z78),INT(Z78),DATE(VALUE(LEFT(Z78,4)),VALUE(MID(Z78,6,2)),VALUE(MID(Z78,9,2))))),IF(OR(E78="executing",E78="pending"),IF(AD78="","",IF(ISNUMBER(AD78),INT(AD78),DATE(VALUE(LEFT(AD78,4)),VALUE(MID(AD78,6,2)),VALUE(MID(AD78,9,2))))),""))</x:f>
      </x:c>
      <x:c r="AQ78" s="24" t="str">
        <x:f>IF(AP78="","",INT('Configuration'!$B$4)-AP78)</x:f>
      </x:c>
      <x:c r="AR78" s="25" t="str">
        <x:f>IF(AP78="","Missing Required Date",IF(AQ78&lt;0,"Future Date",IF(AQ78=0,"0 days",IF(AQ78&lt;=2,"1-2 days",IF(AQ78&lt;=7,"3-7 days",IF(AQ78&lt;=14,"8-14 days",IF(AQ78&lt;=30,"15-30 days",IF(AQ78&lt;=60,"31-60 days",IF(AQ78&lt;=70,"61-70 days","71+ days")))))))))</x:f>
        <x:v>Missing Required Date</x:v>
      </x:c>
      <x:c r="AS78" s="25" t="str">
        <x:f>IF(OR(E78="processing",E78="executing",E78="pending"),IF(AP78="","Required aging date missing",IF(AQ78&gt;30,"Escalate &gt;30d",IF(AQ78&gt;14,"Watch &gt;14d","Within 14d"))),"Out of scope")</x:f>
        <x:v>Out of scope</x:v>
      </x:c>
    </x:row>
    <x:row r="79" ht="24" customHeight="1">
      <x:c r="A79" t="str">
        <x:v>16cec1dd-b569-468b-9d9f-b4bf5d5e1465</x:v>
      </x:c>
      <x:c r="B79" t="str">
        <x:v>CSSP10900691</x:v>
      </x:c>
      <x:c r="C79" t="str">
        <x:v>abdullahnaqib.hassa@petronas.com</x:v>
      </x:c>
      <x:c r="D79" t="str">
        <x:v>decommission-cloud</x:v>
      </x:c>
      <x:c r="E79" t="str">
        <x:v>completed</x:v>
      </x:c>
      <x:c r="F79" t="n">
        <x:v>46048.321216412034</x:v>
      </x:c>
      <x:c r="G79" t="n">
        <x:v>46050.13567537037</x:v>
      </x:c>
      <x:c r="H79" t="n">
        <x:v>46048.321216412034</x:v>
      </x:c>
      <x:c r="I79" t="str">
        <x:v>SAP 68 Central Finance - CFIN</x:v>
      </x:c>
      <x:c r="J79" t="str">
        <x:v>ERP Transformation - Central Finance Implementation – Global Design (Remark : PETRONAS CFIN - MC1 - CFIN)(X68)</x:v>
      </x:c>
      <x:c r="K79" t="str">
        <x:v>partial</x:v>
      </x:c>
      <x:c r="L79"/>
      <x:c r="M79" t="str">
        <x:v>rizuanatan@petronas.com</x:v>
      </x:c>
      <x:c r="N79"/>
      <x:c r="O79"/>
      <x:c r="P79" t="str">
        <x:v>No longer required, migrated to SAP RISE</x:v>
      </x:c>
      <x:c r="Q79" t="str">
        <x:v>2W</x:v>
      </x:c>
      <x:c r="R79" t="str">
        <x:v>Not in Used</x:v>
      </x:c>
      <x:c r="S79"/>
      <x:c r="T79" t="str">
        <x:v>approved</x:v>
      </x:c>
      <x:c r="U79" t="str">
        <x:v>abdullahnaqib.hassa@petronas.com</x:v>
      </x:c>
      <x:c r="V79" t="n">
        <x:v>46048.32158747685</x:v>
      </x:c>
      <x:c r="W79" t="str">
        <x:v>Delete all in PTAZSG-UAT-SAP-CFIN-X68-RG resource group</x:v>
      </x:c>
      <x:c r="X79" t="str">
        <x:v>approved</x:v>
      </x:c>
      <x:c r="Y79" t="str">
        <x:v>rizuanatan@petronas.com</x:v>
      </x:c>
      <x:c r="Z79" t="n">
        <x:v>46048.34661945602</x:v>
      </x:c>
      <x:c r="AA79" t="str">
        <x:v>X68 SID no longer use.</x:v>
      </x:c>
      <x:c r="AB79" t="str">
        <x:v>approved</x:v>
      </x:c>
      <x:c r="AC79" t="str">
        <x:v>azwan.badari@petronas.com</x:v>
      </x:c>
      <x:c r="AD79" t="n">
        <x:v>46049.120088599535</x:v>
      </x:c>
      <x:c r="AE79" t="str">
        <x:v>Decommission all resources and delete RG PTAZSG-UAT-SAP-CFIN-X68-RG</x:v>
      </x:c>
      <x:c r="AF79" t="str">
        <x:v>approved</x:v>
      </x:c>
      <x:c r="AG79" t="str">
        <x:v>azlisham.md@petronas.com</x:v>
      </x:c>
      <x:c r="AH79" t="n">
        <x:v>46050.13567537037</x:v>
      </x:c>
      <x:c r="AI79" t="str">
        <x:v>The decommission request has been completed, and the status is now updated accordingly. Kindly verify from your end and confirm once reviewed.
</x:v>
      </x:c>
      <x:c r="AJ79" t="str">
        <x:v>A-000731</x:v>
      </x:c>
      <x:c r="AK79" t="str">
        <x:v>01803_19</x:v>
      </x:c>
      <x:c r="AL79" t="str">
        <x:v>M</x:v>
      </x:c>
      <x:c r="AM79" t="str">
        <x:v>REQ000007842862</x:v>
      </x:c>
      <x:c r="AN79" t="str">
        <x:v>disposal</x:v>
      </x:c>
      <x:c r="AO79" t="n">
        <x:v>0</x:v>
      </x:c>
      <x:c r="AP79" s="23" t="str">
        <x:f>IF(E79="processing",IF(Z79="","",IF(ISNUMBER(Z79),INT(Z79),DATE(VALUE(LEFT(Z79,4)),VALUE(MID(Z79,6,2)),VALUE(MID(Z79,9,2))))),IF(OR(E79="executing",E79="pending"),IF(AD79="","",IF(ISNUMBER(AD79),INT(AD79),DATE(VALUE(LEFT(AD79,4)),VALUE(MID(AD79,6,2)),VALUE(MID(AD79,9,2))))),""))</x:f>
      </x:c>
      <x:c r="AQ79" s="24" t="str">
        <x:f>IF(AP79="","",INT('Configuration'!$B$4)-AP79)</x:f>
      </x:c>
      <x:c r="AR79" s="25" t="str">
        <x:f>IF(AP79="","Missing Required Date",IF(AQ79&lt;0,"Future Date",IF(AQ79=0,"0 days",IF(AQ79&lt;=2,"1-2 days",IF(AQ79&lt;=7,"3-7 days",IF(AQ79&lt;=14,"8-14 days",IF(AQ79&lt;=30,"15-30 days",IF(AQ79&lt;=60,"31-60 days",IF(AQ79&lt;=70,"61-70 days","71+ days")))))))))</x:f>
        <x:v>Missing Required Date</x:v>
      </x:c>
      <x:c r="AS79" s="25" t="str">
        <x:f>IF(OR(E79="processing",E79="executing",E79="pending"),IF(AP79="","Required aging date missing",IF(AQ79&gt;30,"Escalate &gt;30d",IF(AQ79&gt;14,"Watch &gt;14d","Within 14d"))),"Out of scope")</x:f>
        <x:v>Out of scope</x:v>
      </x:c>
    </x:row>
    <x:row r="80" ht="24" customHeight="1">
      <x:c r="A80" t="str">
        <x:v>4768ac08-8ace-4aa5-9cf6-c8e017043438</x:v>
      </x:c>
      <x:c r="B80" t="str">
        <x:v>CSSP10853444</x:v>
      </x:c>
      <x:c r="C80" t="str">
        <x:v>joharizam.mahmood@petronas.com</x:v>
      </x:c>
      <x:c r="D80" t="str">
        <x:v>decommission-cloud</x:v>
      </x:c>
      <x:c r="E80" t="str">
        <x:v>completed</x:v>
      </x:c>
      <x:c r="F80" t="n">
        <x:v>46048.37316362269</x:v>
      </x:c>
      <x:c r="G80" t="n">
        <x:v>46076.16789613426</x:v>
      </x:c>
      <x:c r="H80" t="n">
        <x:v>46048.37812184028</x:v>
      </x:c>
      <x:c r="I80" t="str">
        <x:v>PETRONAS Unified Search and Personal Assistant - PUSPA for REAL</x:v>
      </x:c>
      <x:c r="J80" t="str">
        <x:v>PETRONAS Unified Search and Personal Assistant (PUSPA) EPIC 1 and EPIC 2 Development</x:v>
      </x:c>
      <x:c r="K80" t="str">
        <x:v>partial</x:v>
      </x:c>
      <x:c r="L80"/>
      <x:c r="M80" t="str">
        <x:v>khairuldin.zubai@petronas.com.my</x:v>
      </x:c>
      <x:c r="N80"/>
      <x:c r="O80"/>
      <x:c r="P80" t="str">
        <x:v>Request to delete the resource group ptazsg-dev-pdb-rg, as it is no longer required by PUSPA+ REAL Dashboard on post‑decommissioning of PUSPA in Sept 2024</x:v>
      </x:c>
      <x:c r="Q80" t="str">
        <x:v>2W</x:v>
      </x:c>
      <x:c r="R80" t="str">
        <x:v>Not in Used</x:v>
      </x:c>
      <x:c r="S80"/>
      <x:c r="T80" t="str">
        <x:v>approved</x:v>
      </x:c>
      <x:c r="U80" t="str">
        <x:v>joharizam.mahmood@petronas.com</x:v>
      </x:c>
      <x:c r="V80" t="n">
        <x:v>46048.38169515046</x:v>
      </x:c>
      <x:c r="W80" t="str">
        <x:v>Confirmation to delete all related resources under RG: ptazsg-dev-pdb-rg, as it is no longer required by PUSPA+ REAL Dashboard on post‑decommissioning of PUSPA
</x:v>
      </x:c>
      <x:c r="X80" t="str">
        <x:v>approved</x:v>
      </x:c>
      <x:c r="Y80" t="str">
        <x:v>khairuldin.zubai@petronas.com</x:v>
      </x:c>
      <x:c r="Z80" t="n">
        <x:v>46066.18494037037</x:v>
      </x:c>
      <x:c r="AA80" t="str">
        <x:v>Confirmed with PUSPA Product Manager Joharizam that the RG is not used by PUSPA and REAL Dashboard</x:v>
      </x:c>
      <x:c r="AB80" t="str">
        <x:v>approved</x:v>
      </x:c>
      <x:c r="AC80" t="str">
        <x:v>azwan.badari@petronas.com</x:v>
      </x:c>
      <x:c r="AD80" t="n">
        <x:v>46072.292499131945</x:v>
      </x:c>
      <x:c r="AE80" t="str">
        <x:v>Proceed</x:v>
      </x:c>
      <x:c r="AF80" t="str">
        <x:v>approved</x:v>
      </x:c>
      <x:c r="AG80" t="str">
        <x:v>azlisham.md@petronas.com</x:v>
      </x:c>
      <x:c r="AH80" t="n">
        <x:v>46076.16789614583</x:v>
      </x:c>
      <x:c r="AI80" t="str">
        <x:v>The decommission request has been completed, and the status is now updated accordingly. Kindly verify from your end and confirm once reviewed.
</x:v>
      </x:c>
      <x:c r="AJ80" t="str">
        <x:v>A-001245</x:v>
      </x:c>
      <x:c r="AK80" t="n">
        <x:v>1478</x:v>
      </x:c>
      <x:c r="AL80" t="str">
        <x:v>M</x:v>
      </x:c>
      <x:c r="AM80" t="str">
        <x:v>REQ000007881185</x:v>
      </x:c>
      <x:c r="AN80" t="str">
        <x:v>noretention</x:v>
      </x:c>
      <x:c r="AO80" t="n">
        <x:v>0</x:v>
      </x:c>
      <x:c r="AP80" s="23" t="str">
        <x:f>IF(E80="processing",IF(Z80="","",IF(ISNUMBER(Z80),INT(Z80),DATE(VALUE(LEFT(Z80,4)),VALUE(MID(Z80,6,2)),VALUE(MID(Z80,9,2))))),IF(OR(E80="executing",E80="pending"),IF(AD80="","",IF(ISNUMBER(AD80),INT(AD80),DATE(VALUE(LEFT(AD80,4)),VALUE(MID(AD80,6,2)),VALUE(MID(AD80,9,2))))),""))</x:f>
      </x:c>
      <x:c r="AQ80" s="24" t="str">
        <x:f>IF(AP80="","",INT('Configuration'!$B$4)-AP80)</x:f>
      </x:c>
      <x:c r="AR80" s="25" t="str">
        <x:f>IF(AP80="","Missing Required Date",IF(AQ80&lt;0,"Future Date",IF(AQ80=0,"0 days",IF(AQ80&lt;=2,"1-2 days",IF(AQ80&lt;=7,"3-7 days",IF(AQ80&lt;=14,"8-14 days",IF(AQ80&lt;=30,"15-30 days",IF(AQ80&lt;=60,"31-60 days",IF(AQ80&lt;=70,"61-70 days","71+ days")))))))))</x:f>
        <x:v>Missing Required Date</x:v>
      </x:c>
      <x:c r="AS80" s="25" t="str">
        <x:f>IF(OR(E80="processing",E80="executing",E80="pending"),IF(AP80="","Required aging date missing",IF(AQ80&gt;30,"Escalate &gt;30d",IF(AQ80&gt;14,"Watch &gt;14d","Within 14d"))),"Out of scope")</x:f>
        <x:v>Out of scope</x:v>
      </x:c>
    </x:row>
    <x:row r="81" ht="24" customHeight="1">
      <x:c r="A81" t="str">
        <x:v>b6b412df-de85-45dd-81f0-30040e4604b4</x:v>
      </x:c>
      <x:c r="B81" t="str">
        <x:v>CSSP10790999</x:v>
      </x:c>
      <x:c r="C81" t="str">
        <x:v>izham.ajmaan@petronas.com</x:v>
      </x:c>
      <x:c r="D81" t="str">
        <x:v>decommission-cloud</x:v>
      </x:c>
      <x:c r="E81" t="str">
        <x:v>completed</x:v>
      </x:c>
      <x:c r="F81" t="n">
        <x:v>46049.19318569444</x:v>
      </x:c>
      <x:c r="G81" t="n">
        <x:v>46059.16956327546</x:v>
      </x:c>
      <x:c r="H81" t="n">
        <x:v>46049.19318569444</x:v>
      </x:c>
      <x:c r="I81" t="str">
        <x:v>VMware vCenter PRPC RTOT</x:v>
      </x:c>
      <x:c r="J81" t="str">
        <x:v>VMware vCenter PRPC RTOT created for PRIVATECLOUD project record</x:v>
      </x:c>
      <x:c r="K81" t="str">
        <x:v>ci</x:v>
      </x:c>
      <x:c r="L81"/>
      <x:c r="M81" t="str">
        <x:v>raihan_ahmad@petronas.com</x:v>
      </x:c>
      <x:c r="N81"/>
      <x:c r="O81"/>
      <x:c r="P81" t="str">
        <x:v>OPZ-2-MAC
vms-0291101
vms-0291102
OPZ-7-MAC
vms-0791101
vms-0791102</x:v>
      </x:c>
      <x:c r="Q81" t="str">
        <x:v>3M</x:v>
      </x:c>
      <x:c r="R81" t="str">
        <x:v>Not in Used</x:v>
      </x:c>
      <x:c r="S81"/>
      <x:c r="T81" t="str">
        <x:v>approved</x:v>
      </x:c>
      <x:c r="U81" t="str">
        <x:v>izham.ajmaan@petronas.com</x:v>
      </x:c>
      <x:c r="V81" t="n">
        <x:v>46050.13935665509</x:v>
      </x:c>
      <x:c r="W81" t="str">
        <x:v>vms-0291101 | 172.19.100.151	 
vms-0291102 | 172.19.100.153
vms-0791101 | 172.24.100.151
vms-0791102 | 172.24.100.153</x:v>
      </x:c>
      <x:c r="X81" t="str">
        <x:v>approved</x:v>
      </x:c>
      <x:c r="Y81" t="str">
        <x:v>raihan_ahmad@petronas.com</x:v>
      </x:c>
      <x:c r="Z81" t="n">
        <x:v>46050.279515243055</x:v>
      </x:c>
      <x:c r="AA81" t="str">
        <x:v>Approved since there is no utilizing  on the VM and for optimizing the cost.</x:v>
      </x:c>
      <x:c r="AB81" t="str">
        <x:v>approved</x:v>
      </x:c>
      <x:c r="AC81" t="str">
        <x:v>azwan.badari@petronas.com</x:v>
      </x:c>
      <x:c r="AD81" t="n">
        <x:v>46050.28249275463</x:v>
      </x:c>
      <x:c r="AE81" t="str">
        <x:v>On-premise VM</x:v>
      </x:c>
      <x:c r="AF81" t="str">
        <x:v>approved</x:v>
      </x:c>
      <x:c r="AG81" t="str">
        <x:v>azlisham.md@petronas.com</x:v>
      </x:c>
      <x:c r="AH81" t="n">
        <x:v>46059.16956329861</x:v>
      </x:c>
      <x:c r="AI81" t="str">
        <x:v>The decommission request has been completed, and the status is now updated accordingly. Kindly verify from your end and confirm once reviewed.
</x:v>
      </x:c>
      <x:c r="AJ81" t="str">
        <x:v>P-000049</x:v>
      </x:c>
      <x:c r="AK81" t="str">
        <x:v>10188_11</x:v>
      </x:c>
      <x:c r="AL81" t="str">
        <x:v>M</x:v>
      </x:c>
      <x:c r="AM81" t="str">
        <x:v>REQ000007846201</x:v>
      </x:c>
      <x:c r="AN81" t="str">
        <x:v>noretention</x:v>
      </x:c>
      <x:c r="AO81" t="n">
        <x:v>0</x:v>
      </x:c>
      <x:c r="AP81" s="23" t="str">
        <x:f>IF(E81="processing",IF(Z81="","",IF(ISNUMBER(Z81),INT(Z81),DATE(VALUE(LEFT(Z81,4)),VALUE(MID(Z81,6,2)),VALUE(MID(Z81,9,2))))),IF(OR(E81="executing",E81="pending"),IF(AD81="","",IF(ISNUMBER(AD81),INT(AD81),DATE(VALUE(LEFT(AD81,4)),VALUE(MID(AD81,6,2)),VALUE(MID(AD81,9,2))))),""))</x:f>
      </x:c>
      <x:c r="AQ81" s="24" t="str">
        <x:f>IF(AP81="","",INT('Configuration'!$B$4)-AP81)</x:f>
      </x:c>
      <x:c r="AR81" s="25" t="str">
        <x:f>IF(AP81="","Missing Required Date",IF(AQ81&lt;0,"Future Date",IF(AQ81=0,"0 days",IF(AQ81&lt;=2,"1-2 days",IF(AQ81&lt;=7,"3-7 days",IF(AQ81&lt;=14,"8-14 days",IF(AQ81&lt;=30,"15-30 days",IF(AQ81&lt;=60,"31-60 days",IF(AQ81&lt;=70,"61-70 days","71+ days")))))))))</x:f>
        <x:v>Missing Required Date</x:v>
      </x:c>
      <x:c r="AS81" s="25" t="str">
        <x:f>IF(OR(E81="processing",E81="executing",E81="pending"),IF(AP81="","Required aging date missing",IF(AQ81&gt;30,"Escalate &gt;30d",IF(AQ81&gt;14,"Watch &gt;14d","Within 14d"))),"Out of scope")</x:f>
        <x:v>Out of scope</x:v>
      </x:c>
    </x:row>
    <x:row r="82" ht="24" customHeight="1">
      <x:c r="A82" t="str">
        <x:v>6a73b2fb-bd5b-4932-94ab-131925f5df5b</x:v>
      </x:c>
      <x:c r="B82" t="str">
        <x:v>CSSP10214238</x:v>
      </x:c>
      <x:c r="C82" t="str">
        <x:v>ramzan.mujib@petronas.com</x:v>
      </x:c>
      <x:c r="D82" t="str">
        <x:v>decommission-cloud</x:v>
      </x:c>
      <x:c r="E82" t="str">
        <x:v>completed</x:v>
      </x:c>
      <x:c r="F82" t="n">
        <x:v>46049.29746436342</x:v>
      </x:c>
      <x:c r="G82" t="n">
        <x:v>46098.17611399305</x:v>
      </x:c>
      <x:c r="H82" t="n">
        <x:v>46049.29746436342</x:v>
      </x:c>
      <x:c r="I82" t="str">
        <x:v>Plant Incident Reporting System - PIRS PCMTBE</x:v>
      </x:c>
      <x:c r="J82" t="str">
        <x:v>Cloud Migration Programme - Plant Incident Report</x:v>
      </x:c>
      <x:c r="K82" t="str">
        <x:v>full</x:v>
      </x:c>
      <x:c r="L82" t="str">
        <x:v>Not Applicable</x:v>
      </x:c>
      <x:c r="M82" t="str">
        <x:v>amelia_yeow@petronas.com.my</x:v>
      </x:c>
      <x:c r="N82"/>
      <x:c r="O82"/>
      <x:c r="P82" t="str">
        <x:v>PIR app. in black swan 2025 list and approved for decom by management after migrate to APM PLA</x:v>
      </x:c>
      <x:c r="Q82" t="str">
        <x:v>6M</x:v>
      </x:c>
      <x:c r="R82" t="str">
        <x:v>End of Lease</x:v>
      </x:c>
      <x:c r="S82"/>
      <x:c r="T82" t="str">
        <x:v>approved</x:v>
      </x:c>
      <x:c r="U82" t="str">
        <x:v>ramzan.mujib@petronas.com</x:v>
      </x:c>
      <x:c r="V82" t="n">
        <x:v>46049.2982281713</x:v>
      </x:c>
      <x:c r="W82" t="str">
        <x:v>Proceed as per approval PC MTBE  Black Swan 2025</x:v>
      </x:c>
      <x:c r="X82" t="str">
        <x:v>approved</x:v>
      </x:c>
      <x:c r="Y82" t="str">
        <x:v>amelia_yeow@petronas.com</x:v>
      </x:c>
      <x:c r="Z82" t="n">
        <x:v>46097.10988611111</x:v>
      </x:c>
      <x:c r="AA82" t="str">
        <x:v>Necessary steps have been completed prior to decom</x:v>
      </x:c>
      <x:c r="AB82" t="str">
        <x:v>approved</x:v>
      </x:c>
      <x:c r="AC82" t="str">
        <x:v>azwan.badari@petronas.com</x:v>
      </x:c>
      <x:c r="AD82" t="n">
        <x:v>46097.285399988425</x:v>
      </x:c>
      <x:c r="AE82" t="str">
        <x:v>Proceed to full decommission. Delete resources and RG, PTAZSG-IAC-DEV-PIR-PC-MTBE-RG &amp; PTAZSG-IAC-PROD-PIR-PC-MTBE-RG</x:v>
      </x:c>
      <x:c r="AF82" t="str">
        <x:v>approved</x:v>
      </x:c>
      <x:c r="AG82" t="str">
        <x:v>azwan.badari@petronas.com</x:v>
      </x:c>
      <x:c r="AH82" t="n">
        <x:v>46098.17611400463</x:v>
      </x:c>
      <x:c r="AI82" t="str">
        <x:v>Completed with the listed resources. To check the activity of the DB in SQLMI with the same project code, if not in use decide if those will be decommissioned too or not. </x:v>
      </x:c>
      <x:c r="AJ82" t="str">
        <x:v>A-000600</x:v>
      </x:c>
      <x:c r="AK82" t="str">
        <x:v>02421_124</x:v>
      </x:c>
      <x:c r="AL82" t="str">
        <x:v>S</x:v>
      </x:c>
      <x:c r="AM82" t="str">
        <x:v>REQ000007937995</x:v>
      </x:c>
      <x:c r="AN82" t="str">
        <x:v>disposal</x:v>
      </x:c>
      <x:c r="AO82" t="n">
        <x:v>0</x:v>
      </x:c>
      <x:c r="AP82" s="23" t="str">
        <x:f>IF(E82="processing",IF(Z82="","",IF(ISNUMBER(Z82),INT(Z82),DATE(VALUE(LEFT(Z82,4)),VALUE(MID(Z82,6,2)),VALUE(MID(Z82,9,2))))),IF(OR(E82="executing",E82="pending"),IF(AD82="","",IF(ISNUMBER(AD82),INT(AD82),DATE(VALUE(LEFT(AD82,4)),VALUE(MID(AD82,6,2)),VALUE(MID(AD82,9,2))))),""))</x:f>
      </x:c>
      <x:c r="AQ82" s="24" t="str">
        <x:f>IF(AP82="","",INT('Configuration'!$B$4)-AP82)</x:f>
      </x:c>
      <x:c r="AR82" s="25" t="str">
        <x:f>IF(AP82="","Missing Required Date",IF(AQ82&lt;0,"Future Date",IF(AQ82=0,"0 days",IF(AQ82&lt;=2,"1-2 days",IF(AQ82&lt;=7,"3-7 days",IF(AQ82&lt;=14,"8-14 days",IF(AQ82&lt;=30,"15-30 days",IF(AQ82&lt;=60,"31-60 days",IF(AQ82&lt;=70,"61-70 days","71+ days")))))))))</x:f>
        <x:v>Missing Required Date</x:v>
      </x:c>
      <x:c r="AS82" s="25" t="str">
        <x:f>IF(OR(E82="processing",E82="executing",E82="pending"),IF(AP82="","Required aging date missing",IF(AQ82&gt;30,"Escalate &gt;30d",IF(AQ82&gt;14,"Watch &gt;14d","Within 14d"))),"Out of scope")</x:f>
        <x:v>Out of scope</x:v>
      </x:c>
    </x:row>
    <x:row r="83" ht="24" customHeight="1">
      <x:c r="A83" t="str">
        <x:v>77524547-9556-4680-8e15-ff261708c2a8</x:v>
      </x:c>
      <x:c r="B83" t="str">
        <x:v>CSSP10289737</x:v>
      </x:c>
      <x:c r="C83" t="str">
        <x:v>sengchin.leong@petronas.com</x:v>
      </x:c>
      <x:c r="D83" t="str">
        <x:v>decommission-cloud</x:v>
      </x:c>
      <x:c r="E83" t="str">
        <x:v>pending</x:v>
      </x:c>
      <x:c r="F83" t="n">
        <x:v>46050.01319706019</x:v>
      </x:c>
      <x:c r="G83" t="n">
        <x:v>46050.01579672454</x:v>
      </x:c>
      <x:c r="H83" t="n">
        <x:v>46050.01319706019</x:v>
      </x:c>
      <x:c r="I83" t="str">
        <x:v>Cyber Security Mandiant Security Validation - MSV BFDC</x:v>
      </x:c>
      <x:c r="J83" t="str">
        <x:v>Cyber Security Mandiant Security Validation - MSV BFDC created for PRIVATECLOUD project record</x:v>
      </x:c>
      <x:c r="K83" t="str">
        <x:v>partial</x:v>
      </x:c>
      <x:c r="L83"/>
      <x:c r="M83" t="str">
        <x:v>mshafri.hatta@petronas.com</x:v>
      </x:c>
      <x:c r="N83"/>
      <x:c r="O83"/>
      <x:c r="P83" t="str">
        <x:v>One of the module (172.25.8.83) has been unsubscribed due to cost optimization.
the VM no longer in use</x:v>
      </x:c>
      <x:c r="Q83" t="str">
        <x:v>12M</x:v>
      </x:c>
      <x:c r="R83" t="str">
        <x:v>End of Lease</x:v>
      </x:c>
      <x:c r="S83"/>
      <x:c r="T83" t="str">
        <x:v>approved</x:v>
      </x:c>
      <x:c r="U83" t="str">
        <x:v>sengchin.leong@petronas.com</x:v>
      </x:c>
      <x:c r="V83" t="n">
        <x:v>46050.01579673611</x:v>
      </x:c>
      <x:c r="W83" t="str">
        <x:v>decommission for MSV (Mandiant Security Validation) - Protected Theatre module - 172.25.8.83
The module has been unsubscribed and VM no longer in used</x:v>
      </x:c>
      <x:c r="X83"/>
      <x:c r="Y83" t="str">
        <x:v>mshafri.hatta@petronas.com</x:v>
      </x:c>
      <x:c r="Z83"/>
      <x:c r="AA83"/>
      <x:c r="AB83"/>
      <x:c r="AC83" t="str">
        <x:v>CCoE Business</x:v>
      </x:c>
      <x:c r="AD83"/>
      <x:c r="AE83"/>
      <x:c r="AF83"/>
      <x:c r="AG83" t="str">
        <x:v>CCoE Operations</x:v>
      </x:c>
      <x:c r="AH83"/>
      <x:c r="AI83"/>
      <x:c r="AJ83" t="str">
        <x:v>A-000170</x:v>
      </x:c>
      <x:c r="AK83" t="n">
        <x:v>10213</x:v>
      </x:c>
      <x:c r="AL83"/>
      <x:c r="AM83"/>
      <x:c r="AN83" t="str">
        <x:v>retention</x:v>
      </x:c>
      <x:c r="AO83" t="n">
        <x:v>30</x:v>
      </x:c>
      <x:c r="AP83" s="23" t="str">
        <x:f>IF(E83="processing",IF(Z83="","",IF(ISNUMBER(Z83),INT(Z83),DATE(VALUE(LEFT(Z83,4)),VALUE(MID(Z83,6,2)),VALUE(MID(Z83,9,2))))),IF(OR(E83="executing",E83="pending"),IF(AD83="","",IF(ISNUMBER(AD83),INT(AD83),DATE(VALUE(LEFT(AD83,4)),VALUE(MID(AD83,6,2)),VALUE(MID(AD83,9,2))))),""))</x:f>
      </x:c>
      <x:c r="AQ83" s="24" t="str">
        <x:f>IF(AP83="","",INT('Configuration'!$B$4)-AP83)</x:f>
      </x:c>
      <x:c r="AR83" s="25" t="str">
        <x:f>IF(AP83="","Missing Required Date",IF(AQ83&lt;0,"Future Date",IF(AQ83=0,"0 days",IF(AQ83&lt;=2,"1-2 days",IF(AQ83&lt;=7,"3-7 days",IF(AQ83&lt;=14,"8-14 days",IF(AQ83&lt;=30,"15-30 days",IF(AQ83&lt;=60,"31-60 days",IF(AQ83&lt;=70,"61-70 days","71+ days")))))))))</x:f>
        <x:v>Missing Required Date</x:v>
      </x:c>
      <x:c r="AS83" s="25" t="str">
        <x:f>IF(OR(E83="processing",E83="executing",E83="pending"),IF(AP83="","Required aging date missing",IF(AQ83&gt;30,"Escalate &gt;30d",IF(AQ83&gt;14,"Watch &gt;14d","Within 14d"))),"Out of scope")</x:f>
        <x:v>Required aging date missing</x:v>
      </x:c>
    </x:row>
    <x:row r="84" ht="24" customHeight="1">
      <x:c r="A84" t="str">
        <x:v>b00ce160-a1aa-4225-b953-1a9e8b334600</x:v>
      </x:c>
      <x:c r="B84" t="str">
        <x:v>CSSP10385911</x:v>
      </x:c>
      <x:c r="C84" t="str">
        <x:v>mfaizal.suriyat@petronas.com</x:v>
      </x:c>
      <x:c r="D84" t="str">
        <x:v>decommission-cloud</x:v>
      </x:c>
      <x:c r="E84" t="str">
        <x:v>completed</x:v>
      </x:c>
      <x:c r="F84" t="n">
        <x:v>46050.128076469904</x:v>
      </x:c>
      <x:c r="G84" t="n">
        <x:v>46072.82528517361</x:v>
      </x:c>
      <x:c r="H84" t="n">
        <x:v>46051.304994212966</x:v>
      </x:c>
      <x:c r="I84" t="str">
        <x:v>RISER</x:v>
      </x:c>
      <x:c r="J84" t="str">
        <x:v>RISER</x:v>
      </x:c>
      <x:c r="K84" t="str">
        <x:v>full</x:v>
      </x:c>
      <x:c r="L84" t="str">
        <x:v>DCOM2026012946c</x:v>
      </x:c>
      <x:c r="M84" t="str">
        <x:v>sarkunan.tigarajan@petronas.com.my</x:v>
      </x:c>
      <x:c r="N84"/>
      <x:c r="O84"/>
      <x:c r="P84" t="str">
        <x:v>Decommissioning for RISER</x:v>
      </x:c>
      <x:c r="Q84" t="str">
        <x:v>1M</x:v>
      </x:c>
      <x:c r="R84" t="str">
        <x:v>Not in Used</x:v>
      </x:c>
      <x:c r="S84"/>
      <x:c r="T84" t="str">
        <x:v>approved</x:v>
      </x:c>
      <x:c r="U84" t="str">
        <x:v>mfaizal.suriyat@petronas.com</x:v>
      </x:c>
      <x:c r="V84" t="n">
        <x:v>46051.306624641205</x:v>
      </x:c>
      <x:c r="W84" t="str">
        <x:v>1.	Staging (Non-Production): PTAW-IAC-NonPROD-AIP-Environment-01
2.	Production: PTAW-IAC-PROD-AIP-Environment-01
</x:v>
      </x:c>
      <x:c r="X84" t="str">
        <x:v>approved</x:v>
      </x:c>
      <x:c r="Y84" t="str">
        <x:v>sarkunan.tigarajan@petronas.com</x:v>
      </x:c>
      <x:c r="Z84" t="n">
        <x:v>46051.31261626157</x:v>
      </x:c>
      <x:c r="AA84" t="str">
        <x:v>Approved</x:v>
      </x:c>
      <x:c r="AB84" t="str">
        <x:v>approved</x:v>
      </x:c>
      <x:c r="AC84" t="str">
        <x:v>azwan.badari@petronas.com</x:v>
      </x:c>
      <x:c r="AD84" t="n">
        <x:v>46052.03453763889</x:v>
      </x:c>
      <x:c r="AE84" t="str">
        <x:v>Decommission 03457</x:v>
      </x:c>
      <x:c r="AF84" t="str">
        <x:v>approved</x:v>
      </x:c>
      <x:c r="AG84" t="str">
        <x:v>azwan.badari@petronas.com</x:v>
      </x:c>
      <x:c r="AH84" t="n">
        <x:v>46072.82528518519</x:v>
      </x:c>
      <x:c r="AI84" t="str">
        <x:v>Completed</x:v>
      </x:c>
      <x:c r="AJ84" t="str">
        <x:v>A-000690</x:v>
      </x:c>
      <x:c r="AK84" t="n">
        <x:v>3457</x:v>
      </x:c>
      <x:c r="AL84" t="str">
        <x:v>M</x:v>
      </x:c>
      <x:c r="AM84" t="str">
        <x:v>REQ000007850113</x:v>
      </x:c>
      <x:c r="AN84" t="str">
        <x:v>noretention</x:v>
      </x:c>
      <x:c r="AO84" t="n">
        <x:v>0</x:v>
      </x:c>
      <x:c r="AP84" s="23" t="str">
        <x:f>IF(E84="processing",IF(Z84="","",IF(ISNUMBER(Z84),INT(Z84),DATE(VALUE(LEFT(Z84,4)),VALUE(MID(Z84,6,2)),VALUE(MID(Z84,9,2))))),IF(OR(E84="executing",E84="pending"),IF(AD84="","",IF(ISNUMBER(AD84),INT(AD84),DATE(VALUE(LEFT(AD84,4)),VALUE(MID(AD84,6,2)),VALUE(MID(AD84,9,2))))),""))</x:f>
      </x:c>
      <x:c r="AQ84" s="24" t="str">
        <x:f>IF(AP84="","",INT('Configuration'!$B$4)-AP84)</x:f>
      </x:c>
      <x:c r="AR84" s="25" t="str">
        <x:f>IF(AP84="","Missing Required Date",IF(AQ84&lt;0,"Future Date",IF(AQ84=0,"0 days",IF(AQ84&lt;=2,"1-2 days",IF(AQ84&lt;=7,"3-7 days",IF(AQ84&lt;=14,"8-14 days",IF(AQ84&lt;=30,"15-30 days",IF(AQ84&lt;=60,"31-60 days",IF(AQ84&lt;=70,"61-70 days","71+ days")))))))))</x:f>
        <x:v>Missing Required Date</x:v>
      </x:c>
      <x:c r="AS84" s="25" t="str">
        <x:f>IF(OR(E84="processing",E84="executing",E84="pending"),IF(AP84="","Required aging date missing",IF(AQ84&gt;30,"Escalate &gt;30d",IF(AQ84&gt;14,"Watch &gt;14d","Within 14d"))),"Out of scope")</x:f>
        <x:v>Out of scope</x:v>
      </x:c>
    </x:row>
    <x:row r="85" ht="24" customHeight="1">
      <x:c r="A85" t="str">
        <x:v>fffd0b9b-2361-49c7-ad9e-ff9f5e9d733a</x:v>
      </x:c>
      <x:c r="B85" t="str">
        <x:v>CSSP10696569</x:v>
      </x:c>
      <x:c r="C85" t="str">
        <x:v>mfuad.ahmadrafee@petronas.com</x:v>
      </x:c>
      <x:c r="D85" t="str">
        <x:v>decommission-cloud</x:v>
      </x:c>
      <x:c r="E85" t="str">
        <x:v>completed</x:v>
      </x:c>
      <x:c r="F85" t="n">
        <x:v>46050.13738940972</x:v>
      </x:c>
      <x:c r="G85" t="n">
        <x:v>46076.306974548614</x:v>
      </x:c>
      <x:c r="H85" t="n">
        <x:v>46050.13738940972</x:v>
      </x:c>
      <x:c r="I85" t="str">
        <x:v>M365 Teams Message Broadcast</x:v>
      </x:c>
      <x:c r="J85" t="str">
        <x:v>MS Teams Message Broadcast (POC Environment) for Group Risk Demonstration</x:v>
      </x:c>
      <x:c r="K85" t="str">
        <x:v>full</x:v>
      </x:c>
      <x:c r="L85" t="str">
        <x:v>-</x:v>
      </x:c>
      <x:c r="M85" t="str">
        <x:v>nshahidahothman@petronas.com</x:v>
      </x:c>
      <x:c r="N85"/>
      <x:c r="O85"/>
      <x:c r="P85" t="str">
        <x:v>The RG is not in used</x:v>
      </x:c>
      <x:c r="Q85" t="str">
        <x:v>2W</x:v>
      </x:c>
      <x:c r="R85" t="str">
        <x:v>Not in Used</x:v>
      </x:c>
      <x:c r="S85"/>
      <x:c r="T85" t="str">
        <x:v>approved</x:v>
      </x:c>
      <x:c r="U85" t="str">
        <x:v>mfuad.ahmadrafee@petronas.com</x:v>
      </x:c>
      <x:c r="V85" t="n">
        <x:v>46050.14723096065</x:v>
      </x:c>
      <x:c r="W85" t="str">
        <x:v>These resources were identified during the DPIA remediation process. After further review, we found that they were originally requested during the previous M365 project for POC purposes and are no longer in use.</x:v>
      </x:c>
      <x:c r="X85" t="str">
        <x:v>approved</x:v>
      </x:c>
      <x:c r="Y85" t="str">
        <x:v>nshahidahothman@petronas.com</x:v>
      </x:c>
      <x:c r="Z85" t="n">
        <x:v>46057.17380285879</x:v>
      </x:c>
      <x:c r="AA85" t="str">
        <x:v>proceed</x:v>
      </x:c>
      <x:c r="AB85" t="str">
        <x:v>approved</x:v>
      </x:c>
      <x:c r="AC85" t="str">
        <x:v>azwan.badari@petronas.com</x:v>
      </x:c>
      <x:c r="AD85" t="n">
        <x:v>46058.09125491898</x:v>
      </x:c>
      <x:c r="AE85" t="str">
        <x:v>Decommission all resources and RG PTAZSG-DEV-ENS-POC-RG</x:v>
      </x:c>
      <x:c r="AF85" t="str">
        <x:v>approved</x:v>
      </x:c>
      <x:c r="AG85" t="str">
        <x:v>abdullah.haziq@petronas.com</x:v>
      </x:c>
      <x:c r="AH85" t="n">
        <x:v>46076.306974548614</x:v>
      </x:c>
      <x:c r="AI85" t="str">
        <x:v>Decommission all resources and RG PTAZSG-DEV-ENS-POC-RG</x:v>
      </x:c>
      <x:c r="AJ85" t="str">
        <x:v>A-000450</x:v>
      </x:c>
      <x:c r="AK85" t="str">
        <x:v>PC-00012</x:v>
      </x:c>
      <x:c r="AL85" t="str">
        <x:v>M</x:v>
      </x:c>
      <x:c r="AM85" t="str">
        <x:v>REQ000007859287</x:v>
      </x:c>
      <x:c r="AN85" t="str">
        <x:v>disposal</x:v>
      </x:c>
      <x:c r="AO85" t="n">
        <x:v>0</x:v>
      </x:c>
      <x:c r="AP85" s="23" t="str">
        <x:f>IF(E85="processing",IF(Z85="","",IF(ISNUMBER(Z85),INT(Z85),DATE(VALUE(LEFT(Z85,4)),VALUE(MID(Z85,6,2)),VALUE(MID(Z85,9,2))))),IF(OR(E85="executing",E85="pending"),IF(AD85="","",IF(ISNUMBER(AD85),INT(AD85),DATE(VALUE(LEFT(AD85,4)),VALUE(MID(AD85,6,2)),VALUE(MID(AD85,9,2))))),""))</x:f>
      </x:c>
      <x:c r="AQ85" s="24" t="str">
        <x:f>IF(AP85="","",INT('Configuration'!$B$4)-AP85)</x:f>
      </x:c>
      <x:c r="AR85" s="25" t="str">
        <x:f>IF(AP85="","Missing Required Date",IF(AQ85&lt;0,"Future Date",IF(AQ85=0,"0 days",IF(AQ85&lt;=2,"1-2 days",IF(AQ85&lt;=7,"3-7 days",IF(AQ85&lt;=14,"8-14 days",IF(AQ85&lt;=30,"15-30 days",IF(AQ85&lt;=60,"31-60 days",IF(AQ85&lt;=70,"61-70 days","71+ days")))))))))</x:f>
        <x:v>Missing Required Date</x:v>
      </x:c>
      <x:c r="AS85" s="25" t="str">
        <x:f>IF(OR(E85="processing",E85="executing",E85="pending"),IF(AP85="","Required aging date missing",IF(AQ85&gt;30,"Escalate &gt;30d",IF(AQ85&gt;14,"Watch &gt;14d","Within 14d"))),"Out of scope")</x:f>
        <x:v>Out of scope</x:v>
      </x:c>
    </x:row>
    <x:row r="86" ht="24" customHeight="1">
      <x:c r="A86" t="str">
        <x:v>2f24b3bc-d655-44dc-8935-32ed396c7554</x:v>
      </x:c>
      <x:c r="B86" t="str">
        <x:v>CSSP10342452</x:v>
      </x:c>
      <x:c r="C86" t="str">
        <x:v>mfuad.ahmadrafee@petronas.com</x:v>
      </x:c>
      <x:c r="D86" t="str">
        <x:v>decommission-cloud</x:v>
      </x:c>
      <x:c r="E86" t="str">
        <x:v>completed</x:v>
      </x:c>
      <x:c r="F86" t="n">
        <x:v>46050.15942528935</x:v>
      </x:c>
      <x:c r="G86" t="n">
        <x:v>46076.29773550926</x:v>
      </x:c>
      <x:c r="H86" t="n">
        <x:v>46050.15942528935</x:v>
      </x:c>
      <x:c r="I86" t="str">
        <x:v>President Townhall</x:v>
      </x:c>
      <x:c r="J86" t="str">
        <x:v>Subscription for Azure Media Services for President Townhall</x:v>
      </x:c>
      <x:c r="K86" t="str">
        <x:v>full</x:v>
      </x:c>
      <x:c r="L86" t="str">
        <x:v>-</x:v>
      </x:c>
      <x:c r="M86" t="str">
        <x:v>nshahidahothman@petronas.com</x:v>
      </x:c>
      <x:c r="N86"/>
      <x:c r="O86"/>
      <x:c r="P86" t="str">
        <x:v>These resources were identified during the DPIA remediation process. After further review, we found that they were originally requested during the previous M365 project for POC purposes and are no longer in use.</x:v>
      </x:c>
      <x:c r="Q86" t="str">
        <x:v>2W</x:v>
      </x:c>
      <x:c r="R86" t="str">
        <x:v>Not in Used</x:v>
      </x:c>
      <x:c r="S86"/>
      <x:c r="T86" t="str">
        <x:v>approved</x:v>
      </x:c>
      <x:c r="U86" t="str">
        <x:v>mfuad.ahmadrafee@petronas.com</x:v>
      </x:c>
      <x:c r="V86" t="n">
        <x:v>46050.165020555556</x:v>
      </x:c>
      <x:c r="W86" t="str">
        <x:v>These resources were identified during the DPIA remediation process. After further review, we found that they were originally requested during the previous M365 project for POC purposes and are no longer in use.</x:v>
      </x:c>
      <x:c r="X86" t="str">
        <x:v>approved</x:v>
      </x:c>
      <x:c r="Y86" t="str">
        <x:v>nshahidahothman@petronas.com</x:v>
      </x:c>
      <x:c r="Z86" t="n">
        <x:v>46057.172987337966</x:v>
      </x:c>
      <x:c r="AA86" t="str">
        <x:v>proceed</x:v>
      </x:c>
      <x:c r="AB86" t="str">
        <x:v>approved</x:v>
      </x:c>
      <x:c r="AC86" t="str">
        <x:v>azwan.badari@petronas.com</x:v>
      </x:c>
      <x:c r="AD86" t="n">
        <x:v>46058.08360071759</x:v>
      </x:c>
      <x:c r="AE86" t="str">
        <x:v>Decommission all resources and both RG, PTAZSG-DEV-PRESTH-RG &amp; PTAZSG-PROD-PRESTH-RG</x:v>
      </x:c>
      <x:c r="AF86" t="str">
        <x:v>approved</x:v>
      </x:c>
      <x:c r="AG86" t="str">
        <x:v>abdullah.haziq@petronas.com</x:v>
      </x:c>
      <x:c r="AH86" t="n">
        <x:v>46076.297735520835</x:v>
      </x:c>
      <x:c r="AI86" t="str">
        <x:v>Resource decommission complete</x:v>
      </x:c>
      <x:c r="AJ86" t="str">
        <x:v>C-000036</x:v>
      </x:c>
      <x:c r="AK86" t="str">
        <x:v>PC-00003</x:v>
      </x:c>
      <x:c r="AL86" t="str">
        <x:v>M</x:v>
      </x:c>
      <x:c r="AM86" t="str">
        <x:v>REQ000007859727</x:v>
      </x:c>
      <x:c r="AN86" t="str">
        <x:v>disposal</x:v>
      </x:c>
      <x:c r="AO86" t="n">
        <x:v>0</x:v>
      </x:c>
      <x:c r="AP86" s="23" t="str">
        <x:f>IF(E86="processing",IF(Z86="","",IF(ISNUMBER(Z86),INT(Z86),DATE(VALUE(LEFT(Z86,4)),VALUE(MID(Z86,6,2)),VALUE(MID(Z86,9,2))))),IF(OR(E86="executing",E86="pending"),IF(AD86="","",IF(ISNUMBER(AD86),INT(AD86),DATE(VALUE(LEFT(AD86,4)),VALUE(MID(AD86,6,2)),VALUE(MID(AD86,9,2))))),""))</x:f>
      </x:c>
      <x:c r="AQ86" s="24" t="str">
        <x:f>IF(AP86="","",INT('Configuration'!$B$4)-AP86)</x:f>
      </x:c>
      <x:c r="AR86" s="25" t="str">
        <x:f>IF(AP86="","Missing Required Date",IF(AQ86&lt;0,"Future Date",IF(AQ86=0,"0 days",IF(AQ86&lt;=2,"1-2 days",IF(AQ86&lt;=7,"3-7 days",IF(AQ86&lt;=14,"8-14 days",IF(AQ86&lt;=30,"15-30 days",IF(AQ86&lt;=60,"31-60 days",IF(AQ86&lt;=70,"61-70 days","71+ days")))))))))</x:f>
        <x:v>Missing Required Date</x:v>
      </x:c>
      <x:c r="AS86" s="25" t="str">
        <x:f>IF(OR(E86="processing",E86="executing",E86="pending"),IF(AP86="","Required aging date missing",IF(AQ86&gt;30,"Escalate &gt;30d",IF(AQ86&gt;14,"Watch &gt;14d","Within 14d"))),"Out of scope")</x:f>
        <x:v>Out of scope</x:v>
      </x:c>
    </x:row>
    <x:row r="87" ht="24" customHeight="1">
      <x:c r="A87" t="str">
        <x:v>0eb38b0d-c959-4e8d-a296-62530cad6454</x:v>
      </x:c>
      <x:c r="B87" t="str">
        <x:v>CSSP10522577</x:v>
      </x:c>
      <x:c r="C87" t="str">
        <x:v>aqeelah.rashidi@petronas.com</x:v>
      </x:c>
      <x:c r="D87" t="str">
        <x:v>decommission-cloud</x:v>
      </x:c>
      <x:c r="E87" t="str">
        <x:v>completed</x:v>
      </x:c>
      <x:c r="F87" t="n">
        <x:v>46050.16435633102</x:v>
      </x:c>
      <x:c r="G87" t="n">
        <x:v>46064.167046076385</x:v>
      </x:c>
      <x:c r="H87" t="n">
        <x:v>46050.16435633102</x:v>
      </x:c>
      <x:c r="I87" t="str">
        <x:v>ATG TotaLizer Automation System - ATLAS</x:v>
      </x:c>
      <x:c r="J87" t="str">
        <x:v>Cloud Migration Program - ATLAS - ATG Tota(L)izer Automation System</x:v>
      </x:c>
      <x:c r="K87" t="str">
        <x:v>full</x:v>
      </x:c>
      <x:c r="L87" t="str">
        <x:v>DCOM20250912867</x:v>
      </x:c>
      <x:c r="M87" t="str">
        <x:v>mohammadsani.johari@petronas.com</x:v>
      </x:c>
      <x:c r="N87"/>
      <x:c r="O87"/>
      <x:c r="P87" t="str">
        <x:v>The application is no longer use by end user. End users agree to decommissioning all related VM and physical server related with application. Below is the list for related physical server that yet to decommission.
1.	cenppdbpiap01- 10.13.4.56
2.	sbappdbpiap01- 10.45.224.56
3.	Easppdbpiap01- 10.18.96.56
4.	skappdbpiap01- 10.43.64.56
</x:v>
      </x:c>
      <x:c r="Q87" t="str">
        <x:v>2W</x:v>
      </x:c>
      <x:c r="R87" t="str">
        <x:v>Not in Used</x:v>
      </x:c>
      <x:c r="S87"/>
      <x:c r="T87" t="str">
        <x:v>approved</x:v>
      </x:c>
      <x:c r="U87" t="str">
        <x:v>aqeelah.rashidi@petronas.com</x:v>
      </x:c>
      <x:c r="V87" t="n">
        <x:v>46050.16481652778</x:v>
      </x:c>
      <x:c r="W87" t="str">
        <x:v>physical server related</x:v>
      </x:c>
      <x:c r="X87" t="str">
        <x:v>approved</x:v>
      </x:c>
      <x:c r="Y87" t="str">
        <x:v>mohammadsani.johari@petronas.com</x:v>
      </x:c>
      <x:c r="Z87" t="n">
        <x:v>46050.26681255787</x:v>
      </x:c>
      <x:c r="AA87" t="str">
        <x:v>To decom ATLAS physical server </x:v>
      </x:c>
      <x:c r="AB87" t="str">
        <x:v>approved</x:v>
      </x:c>
      <x:c r="AC87" t="str">
        <x:v>azwan.badari@petronas.com</x:v>
      </x:c>
      <x:c r="AD87" t="n">
        <x:v>46050.28605560185</x:v>
      </x:c>
      <x:c r="AE87" t="str">
        <x:v>Decommission 4 physical server.
1. cenppdbpiap01- 10.13.4.56 2. sbappdbpiap01- 10.45.224.56 3. Easppdbpiap01- 10.18.96.56 4. skappdbpiap01- 10.43.64.56</x:v>
      </x:c>
      <x:c r="AF87" t="str">
        <x:v>approved</x:v>
      </x:c>
      <x:c r="AG87" t="str">
        <x:v>azlisham.md@petronas.com</x:v>
      </x:c>
      <x:c r="AH87" t="n">
        <x:v>46064.16704608796</x:v>
      </x:c>
      <x:c r="AI87" t="str">
        <x:v>The decommission request has been completed, and the status is now updated accordingly. Kindly verify from your end and confirm once reviewed.
</x:v>
      </x:c>
      <x:c r="AJ87" t="str">
        <x:v>A-000080</x:v>
      </x:c>
      <x:c r="AK87" t="str">
        <x:v>02421_135</x:v>
      </x:c>
      <x:c r="AL87" t="str">
        <x:v>L</x:v>
      </x:c>
      <x:c r="AM87" t="str">
        <x:v>REQ000007846361</x:v>
      </x:c>
      <x:c r="AN87" t="str">
        <x:v>noretention</x:v>
      </x:c>
      <x:c r="AO87" t="n">
        <x:v>0</x:v>
      </x:c>
      <x:c r="AP87" s="23" t="str">
        <x:f>IF(E87="processing",IF(Z87="","",IF(ISNUMBER(Z87),INT(Z87),DATE(VALUE(LEFT(Z87,4)),VALUE(MID(Z87,6,2)),VALUE(MID(Z87,9,2))))),IF(OR(E87="executing",E87="pending"),IF(AD87="","",IF(ISNUMBER(AD87),INT(AD87),DATE(VALUE(LEFT(AD87,4)),VALUE(MID(AD87,6,2)),VALUE(MID(AD87,9,2))))),""))</x:f>
      </x:c>
      <x:c r="AQ87" s="24" t="str">
        <x:f>IF(AP87="","",INT('Configuration'!$B$4)-AP87)</x:f>
      </x:c>
      <x:c r="AR87" s="25" t="str">
        <x:f>IF(AP87="","Missing Required Date",IF(AQ87&lt;0,"Future Date",IF(AQ87=0,"0 days",IF(AQ87&lt;=2,"1-2 days",IF(AQ87&lt;=7,"3-7 days",IF(AQ87&lt;=14,"8-14 days",IF(AQ87&lt;=30,"15-30 days",IF(AQ87&lt;=60,"31-60 days",IF(AQ87&lt;=70,"61-70 days","71+ days")))))))))</x:f>
        <x:v>Missing Required Date</x:v>
      </x:c>
      <x:c r="AS87" s="25" t="str">
        <x:f>IF(OR(E87="processing",E87="executing",E87="pending"),IF(AP87="","Required aging date missing",IF(AQ87&gt;30,"Escalate &gt;30d",IF(AQ87&gt;14,"Watch &gt;14d","Within 14d"))),"Out of scope")</x:f>
        <x:v>Out of scope</x:v>
      </x:c>
    </x:row>
    <x:row r="88" ht="24" customHeight="1">
      <x:c r="A88" t="str">
        <x:v>11dd9fd0-3e28-4ca5-a850-18be9ce90734</x:v>
      </x:c>
      <x:c r="B88" t="str">
        <x:v>CSSP10577735</x:v>
      </x:c>
      <x:c r="C88" t="str">
        <x:v>mfuad.ahmadrafee@petronas.com</x:v>
      </x:c>
      <x:c r="D88" t="str">
        <x:v>decommission-cloud</x:v>
      </x:c>
      <x:c r="E88" t="str">
        <x:v>completed</x:v>
      </x:c>
      <x:c r="F88" t="n">
        <x:v>46050.25470893519</x:v>
      </x:c>
      <x:c r="G88" t="n">
        <x:v>46076.32617826389</x:v>
      </x:c>
      <x:c r="H88" t="n">
        <x:v>46050.25470893519</x:v>
      </x:c>
      <x:c r="I88" t="str">
        <x:v>M365  </x:v>
      </x:c>
      <x:c r="J88" t="str">
        <x:v>Microsoft 365 (M365) Deployment for PETRONAS Groupwide.</x:v>
      </x:c>
      <x:c r="K88" t="str">
        <x:v>full</x:v>
      </x:c>
      <x:c r="L88" t="str">
        <x:v>-</x:v>
      </x:c>
      <x:c r="M88" t="str">
        <x:v>nshahidahothman@petronas.com</x:v>
      </x:c>
      <x:c r="N88"/>
      <x:c r="O88"/>
      <x:c r="P88" t="str">
        <x:v>These resources were identified during the DPIA remediation process. After further review, we found that they were originally requested during the previous M365 project for POC purposes and are no longer in use.</x:v>
      </x:c>
      <x:c r="Q88" t="str">
        <x:v>2W</x:v>
      </x:c>
      <x:c r="R88" t="str">
        <x:v>Not in Used</x:v>
      </x:c>
      <x:c r="S88"/>
      <x:c r="T88" t="str">
        <x:v>approved</x:v>
      </x:c>
      <x:c r="U88" t="str">
        <x:v>mfuad.ahmadrafee@petronas.com</x:v>
      </x:c>
      <x:c r="V88" t="n">
        <x:v>46050.326638321756</x:v>
      </x:c>
      <x:c r="W88" t="str">
        <x:v>These resources were identified during the DPIA remediation process. After further review, we found that they were originally requested during the previous M365 project for POC purposes and are no longer in use.</x:v>
      </x:c>
      <x:c r="X88" t="str">
        <x:v>approved</x:v>
      </x:c>
      <x:c r="Y88" t="str">
        <x:v>nshahidahothman@petronas.com</x:v>
      </x:c>
      <x:c r="Z88" t="n">
        <x:v>46057.17223980324</x:v>
      </x:c>
      <x:c r="AA88" t="str">
        <x:v>proceed</x:v>
      </x:c>
      <x:c r="AB88" t="str">
        <x:v>approved</x:v>
      </x:c>
      <x:c r="AC88" t="str">
        <x:v>azwan.badari@petronas.com</x:v>
      </x:c>
      <x:c r="AD88" t="n">
        <x:v>46058.116220625</x:v>
      </x:c>
      <x:c r="AE88" t="str">
        <x:v>Decommission all resources and both RG PTAZSG-CORE-RMS-RG &amp; PTAZSG-PROD-CMG04-RG</x:v>
      </x:c>
      <x:c r="AF88" t="str">
        <x:v>approved</x:v>
      </x:c>
      <x:c r="AG88" t="str">
        <x:v>abdullah.haziq@petronas.com</x:v>
      </x:c>
      <x:c r="AH88" t="n">
        <x:v>46076.32617829861</x:v>
      </x:c>
      <x:c r="AI88" t="str">
        <x:v>Decommission all resources and both RG PTAZSG-CORE-RMS-RG &amp; PTAZSG-PROD-CMG04-RG</x:v>
      </x:c>
      <x:c r="AJ88" t="str">
        <x:v>A-000440</x:v>
      </x:c>
      <x:c r="AK88" t="str">
        <x:v>M365</x:v>
      </x:c>
      <x:c r="AL88" t="str">
        <x:v>M</x:v>
      </x:c>
      <x:c r="AM88" t="str">
        <x:v>REQ000007859928</x:v>
      </x:c>
      <x:c r="AN88" t="str">
        <x:v>disposal</x:v>
      </x:c>
      <x:c r="AO88" t="n">
        <x:v>0</x:v>
      </x:c>
      <x:c r="AP88" s="23" t="str">
        <x:f>IF(E88="processing",IF(Z88="","",IF(ISNUMBER(Z88),INT(Z88),DATE(VALUE(LEFT(Z88,4)),VALUE(MID(Z88,6,2)),VALUE(MID(Z88,9,2))))),IF(OR(E88="executing",E88="pending"),IF(AD88="","",IF(ISNUMBER(AD88),INT(AD88),DATE(VALUE(LEFT(AD88,4)),VALUE(MID(AD88,6,2)),VALUE(MID(AD88,9,2))))),""))</x:f>
      </x:c>
      <x:c r="AQ88" s="24" t="str">
        <x:f>IF(AP88="","",INT('Configuration'!$B$4)-AP88)</x:f>
      </x:c>
      <x:c r="AR88" s="25" t="str">
        <x:f>IF(AP88="","Missing Required Date",IF(AQ88&lt;0,"Future Date",IF(AQ88=0,"0 days",IF(AQ88&lt;=2,"1-2 days",IF(AQ88&lt;=7,"3-7 days",IF(AQ88&lt;=14,"8-14 days",IF(AQ88&lt;=30,"15-30 days",IF(AQ88&lt;=60,"31-60 days",IF(AQ88&lt;=70,"61-70 days","71+ days")))))))))</x:f>
        <x:v>Missing Required Date</x:v>
      </x:c>
      <x:c r="AS88" s="25" t="str">
        <x:f>IF(OR(E88="processing",E88="executing",E88="pending"),IF(AP88="","Required aging date missing",IF(AQ88&gt;30,"Escalate &gt;30d",IF(AQ88&gt;14,"Watch &gt;14d","Within 14d"))),"Out of scope")</x:f>
        <x:v>Out of scope</x:v>
      </x:c>
    </x:row>
    <x:row r="89" ht="24" customHeight="1">
      <x:c r="A89" t="str">
        <x:v>43f520a7-aecc-4f2b-8665-a17b83e9a4df</x:v>
      </x:c>
      <x:c r="B89" t="str">
        <x:v>CSSP10999243</x:v>
      </x:c>
      <x:c r="C89" t="str">
        <x:v>mfaizal.suriyat@petronas.com</x:v>
      </x:c>
      <x:c r="D89" t="str">
        <x:v>decommission-cloud</x:v>
      </x:c>
      <x:c r="E89" t="str">
        <x:v>completed</x:v>
      </x:c>
      <x:c r="F89" t="n">
        <x:v>46050.273656840276</x:v>
      </x:c>
      <x:c r="G89" t="n">
        <x:v>46052.20092318287</x:v>
      </x:c>
      <x:c r="H89" t="n">
        <x:v>46050.273656840276</x:v>
      </x:c>
      <x:c r="I89" t="str">
        <x:v>PETRONAS Pipeline Engineering Solution - P-PIES</x:v>
      </x:c>
      <x:c r="J89" t="str">
        <x:v>Development of Phase 2 PETRONAS Pipeline Engineering Solution (P-PiES) System for GTS</x:v>
      </x:c>
      <x:c r="K89" t="str">
        <x:v>partial</x:v>
      </x:c>
      <x:c r="L89"/>
      <x:c r="M89" t="str">
        <x:v>shekha.mahdhar@petronas.com.my</x:v>
      </x:c>
      <x:c r="N89"/>
      <x:c r="O89"/>
      <x:c r="P89" t="str">
        <x:v>VM replaced with other VM</x:v>
      </x:c>
      <x:c r="Q89" t="str">
        <x:v>2W</x:v>
      </x:c>
      <x:c r="R89" t="str">
        <x:v>Obsolete</x:v>
      </x:c>
      <x:c r="S89"/>
      <x:c r="T89" t="str">
        <x:v>approved</x:v>
      </x:c>
      <x:c r="U89" t="str">
        <x:v>mfaizal.suriyat@petronas.com</x:v>
      </x:c>
      <x:c r="V89" t="n">
        <x:v>46050.27497662037</x:v>
      </x:c>
      <x:c r="W89" t="str">
        <x:v>ptsg-4piesap01,ptsg-4piesap01_disk1_db1501356f2c4d7b8b9932f92b31f1fe</x:v>
      </x:c>
      <x:c r="X89" t="str">
        <x:v>approved</x:v>
      </x:c>
      <x:c r="Y89" t="str">
        <x:v>shekha.mahdhar@petronas.com</x:v>
      </x:c>
      <x:c r="Z89" t="n">
        <x:v>46050.33998696759</x:v>
      </x:c>
      <x:c r="AA89" t="str">
        <x:v>As requested.</x:v>
      </x:c>
      <x:c r="AB89" t="str">
        <x:v>approved</x:v>
      </x:c>
      <x:c r="AC89" t="str">
        <x:v>azwan.badari@petronas.com</x:v>
      </x:c>
      <x:c r="AD89" t="n">
        <x:v>46051.18600653935</x:v>
      </x:c>
      <x:c r="AE89" t="str">
        <x:v>Decommission ptsg-4piesap01</x:v>
      </x:c>
      <x:c r="AF89" t="str">
        <x:v>approved</x:v>
      </x:c>
      <x:c r="AG89" t="str">
        <x:v>azwan.badari@petronas.com</x:v>
      </x:c>
      <x:c r="AH89" t="n">
        <x:v>46052.20092319445</x:v>
      </x:c>
      <x:c r="AI89" t="str">
        <x:v>Completed</x:v>
      </x:c>
      <x:c r="AJ89" t="str">
        <x:v>A-000640</x:v>
      </x:c>
      <x:c r="AK89" t="n">
        <x:v>313</x:v>
      </x:c>
      <x:c r="AL89" t="str">
        <x:v>M</x:v>
      </x:c>
      <x:c r="AM89" t="str">
        <x:v>REQ000007848216</x:v>
      </x:c>
      <x:c r="AN89" t="str">
        <x:v>disposal</x:v>
      </x:c>
      <x:c r="AO89" t="n">
        <x:v>0</x:v>
      </x:c>
      <x:c r="AP89" s="23" t="str">
        <x:f>IF(E89="processing",IF(Z89="","",IF(ISNUMBER(Z89),INT(Z89),DATE(VALUE(LEFT(Z89,4)),VALUE(MID(Z89,6,2)),VALUE(MID(Z89,9,2))))),IF(OR(E89="executing",E89="pending"),IF(AD89="","",IF(ISNUMBER(AD89),INT(AD89),DATE(VALUE(LEFT(AD89,4)),VALUE(MID(AD89,6,2)),VALUE(MID(AD89,9,2))))),""))</x:f>
      </x:c>
      <x:c r="AQ89" s="24" t="str">
        <x:f>IF(AP89="","",INT('Configuration'!$B$4)-AP89)</x:f>
      </x:c>
      <x:c r="AR89" s="25" t="str">
        <x:f>IF(AP89="","Missing Required Date",IF(AQ89&lt;0,"Future Date",IF(AQ89=0,"0 days",IF(AQ89&lt;=2,"1-2 days",IF(AQ89&lt;=7,"3-7 days",IF(AQ89&lt;=14,"8-14 days",IF(AQ89&lt;=30,"15-30 days",IF(AQ89&lt;=60,"31-60 days",IF(AQ89&lt;=70,"61-70 days","71+ days")))))))))</x:f>
        <x:v>Missing Required Date</x:v>
      </x:c>
      <x:c r="AS89" s="25" t="str">
        <x:f>IF(OR(E89="processing",E89="executing",E89="pending"),IF(AP89="","Required aging date missing",IF(AQ89&gt;30,"Escalate &gt;30d",IF(AQ89&gt;14,"Watch &gt;14d","Within 14d"))),"Out of scope")</x:f>
        <x:v>Out of scope</x:v>
      </x:c>
    </x:row>
    <x:row r="90" ht="24" customHeight="1">
      <x:c r="A90" t="str">
        <x:v>b60c3fa6-59c1-4e01-a90b-402d28a4a538</x:v>
      </x:c>
      <x:c r="B90" t="str">
        <x:v>CSSP10175519</x:v>
      </x:c>
      <x:c r="C90" t="str">
        <x:v>aziah.azahari@petronas.com</x:v>
      </x:c>
      <x:c r="D90" t="str">
        <x:v>decommission-cloud</x:v>
      </x:c>
      <x:c r="E90" t="str">
        <x:v>completed</x:v>
      </x:c>
      <x:c r="F90" t="n">
        <x:v>46050.33061923611</x:v>
      </x:c>
      <x:c r="G90" t="n">
        <x:v>46052.156467719906</x:v>
      </x:c>
      <x:c r="H90" t="n">
        <x:v>46050.332872743056</x:v>
      </x:c>
      <x:c r="I90" t="str">
        <x:v>Authorization For Expenditure Management System - AFEMS PCSB</x:v>
      </x:c>
      <x:c r="J90" t="str">
        <x:v>Cloud Migration Program - Authorization For Expenditure Management System (AFEMS) 4.0</x:v>
      </x:c>
      <x:c r="K90" t="str">
        <x:v>partial</x:v>
      </x:c>
      <x:c r="L90"/>
      <x:c r="M90" t="str">
        <x:v>rafedah.mdtap@petronas.com.my</x:v>
      </x:c>
      <x:c r="N90" t="str">
        <x:v>afems-pccmo.petronas.com</x:v>
      </x:c>
      <x:c r="O90"/>
      <x:c r="P90" t="str">
        <x:v>DNS still exist and tagged to UAT RG ptazscus-uat-afems-rg which not included in earlier full decommission request. Previous AFEMS PCCMO decommission CSSP No is CSSP10132527.</x:v>
      </x:c>
      <x:c r="Q90" t="str">
        <x:v>2W</x:v>
      </x:c>
      <x:c r="R90" t="str">
        <x:v>Not in Used</x:v>
      </x:c>
      <x:c r="S90"/>
      <x:c r="T90" t="str">
        <x:v>approved</x:v>
      </x:c>
      <x:c r="U90" t="str">
        <x:v>aziah.azahari@petronas.com</x:v>
      </x:c>
      <x:c r="V90" t="n">
        <x:v>46050.3615687037</x:v>
      </x:c>
      <x:c r="W90" t="str">
        <x:v>To decommission selected resource</x:v>
      </x:c>
      <x:c r="X90" t="str">
        <x:v>approved</x:v>
      </x:c>
      <x:c r="Y90" t="str">
        <x:v>rafedah.mdtap@petronas.com</x:v>
      </x:c>
      <x:c r="Z90" t="n">
        <x:v>46051.127006875</x:v>
      </x:c>
      <x:c r="AA90" t="str">
        <x:v>Approved as discussed</x:v>
      </x:c>
      <x:c r="AB90" t="str">
        <x:v>approved</x:v>
      </x:c>
      <x:c r="AC90" t="str">
        <x:v>azwan.badari@petronas.com</x:v>
      </x:c>
      <x:c r="AD90" t="n">
        <x:v>46051.16356065972</x:v>
      </x:c>
      <x:c r="AE90" t="str">
        <x:v>Decommission ptazscus-uat-afems-rg and DNS afems-pccmo.petronas.com</x:v>
      </x:c>
      <x:c r="AF90" t="str">
        <x:v>approved</x:v>
      </x:c>
      <x:c r="AG90" t="str">
        <x:v>azwan.badari@petronas.com</x:v>
      </x:c>
      <x:c r="AH90" t="n">
        <x:v>46052.156467719906</x:v>
      </x:c>
      <x:c r="AI90" t="str">
        <x:v>Completed</x:v>
      </x:c>
      <x:c r="AJ90" t="str">
        <x:v>A-000028</x:v>
      </x:c>
      <x:c r="AK90" t="str">
        <x:v>00915_65</x:v>
      </x:c>
      <x:c r="AL90" t="str">
        <x:v>M</x:v>
      </x:c>
      <x:c r="AM90" t="str">
        <x:v>REQ000007848196</x:v>
      </x:c>
      <x:c r="AN90" t="str">
        <x:v>retention</x:v>
      </x:c>
      <x:c r="AO90"/>
      <x:c r="AP90" s="23" t="str">
        <x:f>IF(E90="processing",IF(Z90="","",IF(ISNUMBER(Z90),INT(Z90),DATE(VALUE(LEFT(Z90,4)),VALUE(MID(Z90,6,2)),VALUE(MID(Z90,9,2))))),IF(OR(E90="executing",E90="pending"),IF(AD90="","",IF(ISNUMBER(AD90),INT(AD90),DATE(VALUE(LEFT(AD90,4)),VALUE(MID(AD90,6,2)),VALUE(MID(AD90,9,2))))),""))</x:f>
      </x:c>
      <x:c r="AQ90" s="24" t="str">
        <x:f>IF(AP90="","",INT('Configuration'!$B$4)-AP90)</x:f>
      </x:c>
      <x:c r="AR90" s="25" t="str">
        <x:f>IF(AP90="","Missing Required Date",IF(AQ90&lt;0,"Future Date",IF(AQ90=0,"0 days",IF(AQ90&lt;=2,"1-2 days",IF(AQ90&lt;=7,"3-7 days",IF(AQ90&lt;=14,"8-14 days",IF(AQ90&lt;=30,"15-30 days",IF(AQ90&lt;=60,"31-60 days",IF(AQ90&lt;=70,"61-70 days","71+ days")))))))))</x:f>
        <x:v>Missing Required Date</x:v>
      </x:c>
      <x:c r="AS90" s="25" t="str">
        <x:f>IF(OR(E90="processing",E90="executing",E90="pending"),IF(AP90="","Required aging date missing",IF(AQ90&gt;30,"Escalate &gt;30d",IF(AQ90&gt;14,"Watch &gt;14d","Within 14d"))),"Out of scope")</x:f>
        <x:v>Out of scope</x:v>
      </x:c>
    </x:row>
    <x:row r="91" ht="24" customHeight="1">
      <x:c r="A91" t="str">
        <x:v>a7a986de-fcbe-4f4e-9eff-254a29772caf</x:v>
      </x:c>
      <x:c r="B91" t="str">
        <x:v>CSSP10454461</x:v>
      </x:c>
      <x:c r="C91" t="str">
        <x:v>zuwina.masaat@petronas.com</x:v>
      </x:c>
      <x:c r="D91" t="str">
        <x:v>decommission-cloud</x:v>
      </x:c>
      <x:c r="E91" t="str">
        <x:v>completed</x:v>
      </x:c>
      <x:c r="F91" t="n">
        <x:v>46050.36744322917</x:v>
      </x:c>
      <x:c r="G91" t="n">
        <x:v>46058.0780556713</x:v>
      </x:c>
      <x:c r="H91" t="n">
        <x:v>46050.36744322917</x:v>
      </x:c>
      <x:c r="I91" t="str">
        <x:v>Asset Ageing Life Extension System - ALES</x:v>
      </x:c>
      <x:c r="J91" t="str">
        <x:v>ALES for MPM</x:v>
      </x:c>
      <x:c r="K91" t="str">
        <x:v>ci</x:v>
      </x:c>
      <x:c r="L91"/>
      <x:c r="M91" t="str">
        <x:v>wadiah.rusli@petronas.com</x:v>
      </x:c>
      <x:c r="N91"/>
      <x:c r="O91"/>
      <x:c r="P91" t="str">
        <x:v>No backup required. This request to remove CMDB Record for CI Name - ALE Suite and retain CI Name - Asset Ageing Life Extension System (ALES) 2.0</x:v>
      </x:c>
      <x:c r="Q91" t="str">
        <x:v>1M</x:v>
      </x:c>
      <x:c r="R91" t="str">
        <x:v>Consolidation</x:v>
      </x:c>
      <x:c r="S91"/>
      <x:c r="T91" t="str">
        <x:v>approved</x:v>
      </x:c>
      <x:c r="U91" t="str">
        <x:v>zuwina.masaat@petronas.com</x:v>
      </x:c>
      <x:c r="V91" t="n">
        <x:v>46050.36804540509</x:v>
      </x:c>
      <x:c r="W91" t="str">
        <x:v>No resource to be removed.</x:v>
      </x:c>
      <x:c r="X91" t="str">
        <x:v>approved</x:v>
      </x:c>
      <x:c r="Y91" t="str">
        <x:v>wadiah.rusli@petronas.com</x:v>
      </x:c>
      <x:c r="Z91" t="n">
        <x:v>46050.372398125</x:v>
      </x:c>
      <x:c r="AA91" t="str">
        <x:v>Please remove ALE Suite </x:v>
      </x:c>
      <x:c r="AB91" t="str">
        <x:v>approved</x:v>
      </x:c>
      <x:c r="AC91" t="str">
        <x:v>saniza.ismail@petronas.com</x:v>
      </x:c>
      <x:c r="AD91" t="n">
        <x:v>46051.19904368056</x:v>
      </x:c>
      <x:c r="AE91" t="str">
        <x:v>To update CI record in CMDB</x:v>
      </x:c>
      <x:c r="AF91" t="str">
        <x:v>approved</x:v>
      </x:c>
      <x:c r="AG91" t="str">
        <x:v>saniza.ismail@petronas.com</x:v>
      </x:c>
      <x:c r="AH91" t="n">
        <x:v>46058.07805568287</x:v>
      </x:c>
      <x:c r="AI91" t="str">
        <x:v>Update CI  ALE Suite to Status Disposed in CMDB</x:v>
      </x:c>
      <x:c r="AJ91" t="str">
        <x:v>A-000041</x:v>
      </x:c>
      <x:c r="AK91" t="n">
        <x:v>3374</x:v>
      </x:c>
      <x:c r="AL91" t="str">
        <x:v>S</x:v>
      </x:c>
      <x:c r="AM91" t="str">
        <x:v>REQ000007849045</x:v>
      </x:c>
      <x:c r="AN91" t="str">
        <x:v>noretention</x:v>
      </x:c>
      <x:c r="AO91" t="n">
        <x:v>0</x:v>
      </x:c>
      <x:c r="AP91" s="23" t="str">
        <x:f>IF(E91="processing",IF(Z91="","",IF(ISNUMBER(Z91),INT(Z91),DATE(VALUE(LEFT(Z91,4)),VALUE(MID(Z91,6,2)),VALUE(MID(Z91,9,2))))),IF(OR(E91="executing",E91="pending"),IF(AD91="","",IF(ISNUMBER(AD91),INT(AD91),DATE(VALUE(LEFT(AD91,4)),VALUE(MID(AD91,6,2)),VALUE(MID(AD91,9,2))))),""))</x:f>
      </x:c>
      <x:c r="AQ91" s="24" t="str">
        <x:f>IF(AP91="","",INT('Configuration'!$B$4)-AP91)</x:f>
      </x:c>
      <x:c r="AR91" s="25" t="str">
        <x:f>IF(AP91="","Missing Required Date",IF(AQ91&lt;0,"Future Date",IF(AQ91=0,"0 days",IF(AQ91&lt;=2,"1-2 days",IF(AQ91&lt;=7,"3-7 days",IF(AQ91&lt;=14,"8-14 days",IF(AQ91&lt;=30,"15-30 days",IF(AQ91&lt;=60,"31-60 days",IF(AQ91&lt;=70,"61-70 days","71+ days")))))))))</x:f>
        <x:v>Missing Required Date</x:v>
      </x:c>
      <x:c r="AS91" s="25" t="str">
        <x:f>IF(OR(E91="processing",E91="executing",E91="pending"),IF(AP91="","Required aging date missing",IF(AQ91&gt;30,"Escalate &gt;30d",IF(AQ91&gt;14,"Watch &gt;14d","Within 14d"))),"Out of scope")</x:f>
        <x:v>Out of scope</x:v>
      </x:c>
    </x:row>
    <x:row r="92" ht="24" customHeight="1">
      <x:c r="A92" t="str">
        <x:v>3986ddb3-b49e-409a-9e59-64dd4affe2a1</x:v>
      </x:c>
      <x:c r="B92" t="str">
        <x:v>CSSP10783990</x:v>
      </x:c>
      <x:c r="C92" t="str">
        <x:v>diana.ali@petronas.com</x:v>
      </x:c>
      <x:c r="D92" t="str">
        <x:v>decommission-cloud</x:v>
      </x:c>
      <x:c r="E92" t="str">
        <x:v>cancelled</x:v>
      </x:c>
      <x:c r="F92" t="n">
        <x:v>46051.076688877314</x:v>
      </x:c>
      <x:c r="G92" t="n">
        <x:v>46051.077641909724</x:v>
      </x:c>
      <x:c r="H92" t="n">
        <x:v>46051.076688877314</x:v>
      </x:c>
      <x:c r="I92" t="str">
        <x:v>Enterprise Application Integration - EAI WebMethod</x:v>
      </x:c>
      <x:c r="J92" t="str">
        <x:v>EAI WebMethod Integration Platform Cloud Migration and Upgrade</x:v>
      </x:c>
      <x:c r="K92" t="str">
        <x:v>partial</x:v>
      </x:c>
      <x:c r="L92"/>
      <x:c r="M92" t="str">
        <x:v>mahzan.musa@petronas.com</x:v>
      </x:c>
      <x:c r="N92" t="str">
        <x:v>myeai.petronas.com, myeaiext.petronas.com</x:v>
      </x:c>
      <x:c r="O92"/>
      <x:c r="P92" t="str">
        <x:v>Migrated to MuleSoft</x:v>
      </x:c>
      <x:c r="Q92" t="str">
        <x:v>6M</x:v>
      </x:c>
      <x:c r="R92" t="str">
        <x:v>Upgrade</x:v>
      </x:c>
      <x:c r="S92"/>
      <x:c r="T92" t="str">
        <x:v>rejected</x:v>
      </x:c>
      <x:c r="U92" t="str">
        <x:v>diana.ali@petronas.com</x:v>
      </x:c>
      <x:c r="V92" t="n">
        <x:v>46051.0776419213</x:v>
      </x:c>
      <x:c r="W92"/>
      <x:c r="X92"/>
      <x:c r="Y92" t="str">
        <x:v>mahzan.musa@petronas.com</x:v>
      </x:c>
      <x:c r="Z92"/>
      <x:c r="AA92"/>
      <x:c r="AB92"/>
      <x:c r="AC92" t="str">
        <x:v>CCoE Business</x:v>
      </x:c>
      <x:c r="AD92"/>
      <x:c r="AE92"/>
      <x:c r="AF92"/>
      <x:c r="AG92" t="str">
        <x:v>CCoE Operations</x:v>
      </x:c>
      <x:c r="AH92"/>
      <x:c r="AI92"/>
      <x:c r="AJ92" t="str">
        <x:v>A-000253</x:v>
      </x:c>
      <x:c r="AK92" t="n">
        <x:v>1726</x:v>
      </x:c>
      <x:c r="AL92"/>
      <x:c r="AM92"/>
      <x:c r="AN92" t="str">
        <x:v>retention</x:v>
      </x:c>
      <x:c r="AO92" t="n">
        <x:v>90</x:v>
      </x:c>
      <x:c r="AP92" s="23" t="str">
        <x:f>IF(E92="processing",IF(Z92="","",IF(ISNUMBER(Z92),INT(Z92),DATE(VALUE(LEFT(Z92,4)),VALUE(MID(Z92,6,2)),VALUE(MID(Z92,9,2))))),IF(OR(E92="executing",E92="pending"),IF(AD92="","",IF(ISNUMBER(AD92),INT(AD92),DATE(VALUE(LEFT(AD92,4)),VALUE(MID(AD92,6,2)),VALUE(MID(AD92,9,2))))),""))</x:f>
      </x:c>
      <x:c r="AQ92" s="24" t="str">
        <x:f>IF(AP92="","",INT('Configuration'!$B$4)-AP92)</x:f>
      </x:c>
      <x:c r="AR92" s="25" t="str">
        <x:f>IF(AP92="","Missing Required Date",IF(AQ92&lt;0,"Future Date",IF(AQ92=0,"0 days",IF(AQ92&lt;=2,"1-2 days",IF(AQ92&lt;=7,"3-7 days",IF(AQ92&lt;=14,"8-14 days",IF(AQ92&lt;=30,"15-30 days",IF(AQ92&lt;=60,"31-60 days",IF(AQ92&lt;=70,"61-70 days","71+ days")))))))))</x:f>
        <x:v>Missing Required Date</x:v>
      </x:c>
      <x:c r="AS92" s="25" t="str">
        <x:f>IF(OR(E92="processing",E92="executing",E92="pending"),IF(AP92="","Required aging date missing",IF(AQ92&gt;30,"Escalate &gt;30d",IF(AQ92&gt;14,"Watch &gt;14d","Within 14d"))),"Out of scope")</x:f>
        <x:v>Out of scope</x:v>
      </x:c>
    </x:row>
    <x:row r="93" ht="24" customHeight="1">
      <x:c r="A93" t="str">
        <x:v>d778a5ce-abff-4322-ad68-1474fea0794d</x:v>
      </x:c>
      <x:c r="B93" t="str">
        <x:v>CSSP10238871</x:v>
      </x:c>
      <x:c r="C93" t="str">
        <x:v>diana.ali@petronas.com</x:v>
      </x:c>
      <x:c r="D93" t="str">
        <x:v>decommission-cloud</x:v>
      </x:c>
      <x:c r="E93" t="str">
        <x:v>completed</x:v>
      </x:c>
      <x:c r="F93" t="n">
        <x:v>46051.14567229167</x:v>
      </x:c>
      <x:c r="G93" t="n">
        <x:v>46064.311223715275</x:v>
      </x:c>
      <x:c r="H93" t="n">
        <x:v>46051.14567229167</x:v>
      </x:c>
      <x:c r="I93" t="str">
        <x:v>Enterprise Application Integration - EAI WebMethod</x:v>
      </x:c>
      <x:c r="J93" t="str">
        <x:v>EAI WebMethod Integration Platform Cloud Migration and Upgrade</x:v>
      </x:c>
      <x:c r="K93" t="str">
        <x:v>ci</x:v>
      </x:c>
      <x:c r="L93"/>
      <x:c r="M93" t="str">
        <x:v>mahzan.musa@petronas.com</x:v>
      </x:c>
      <x:c r="N93"/>
      <x:c r="O93"/>
      <x:c r="P93" t="str">
        <x:v>The WebMethods integration has been migrated to MuleSoft. We will proceed with an application decommission for now. A full decommission request will be submitted later in February once the stabilization period ends.</x:v>
      </x:c>
      <x:c r="Q93" t="str">
        <x:v>6M</x:v>
      </x:c>
      <x:c r="R93" t="str">
        <x:v>Upgrade</x:v>
      </x:c>
      <x:c r="S93"/>
      <x:c r="T93" t="str">
        <x:v>approved</x:v>
      </x:c>
      <x:c r="U93" t="str">
        <x:v>diana.ali@petronas.com</x:v>
      </x:c>
      <x:c r="V93" t="n">
        <x:v>46051.26499429398</x:v>
      </x:c>
      <x:c r="W93" t="str">
        <x:v>The WebMethods integration has been migrated to MuleSoft. We will proceed with an application decommission for now. A full decommission request will be submitted later in February once the stabilization period ends.</x:v>
      </x:c>
      <x:c r="X93" t="str">
        <x:v>approved</x:v>
      </x:c>
      <x:c r="Y93" t="str">
        <x:v>mahzan.musa@petronas.com</x:v>
      </x:c>
      <x:c r="Z93" t="n">
        <x:v>46057.308362777774</x:v>
      </x:c>
      <x:c r="AA93" t="str">
        <x:v>Approve decommissioning as EAI webMethods replaced with MuleSoft. Migration completed Jan-2026.</x:v>
      </x:c>
      <x:c r="AB93" t="str">
        <x:v>approved</x:v>
      </x:c>
      <x:c r="AC93" t="str">
        <x:v>saniza.ismail@petronas.com</x:v>
      </x:c>
      <x:c r="AD93" t="n">
        <x:v>46064.307258622684</x:v>
      </x:c>
      <x:c r="AE93" t="str">
        <x:v>To change Webmethod EAI to Disposed in CMDB.</x:v>
      </x:c>
      <x:c r="AF93" t="str">
        <x:v>approved</x:v>
      </x:c>
      <x:c r="AG93" t="str">
        <x:v>saniza.ismail@petronas.com</x:v>
      </x:c>
      <x:c r="AH93" t="n">
        <x:v>46064.31122372685</x:v>
      </x:c>
      <x:c r="AI93" t="str">
        <x:v>Change Webmethod EAI CI Status to Disposed in CMDB
1. WebMethods EAI (onCloud 10.7 External)
2. WebMethods EAI (onCloud 10.7 Internal)</x:v>
      </x:c>
      <x:c r="AJ93" t="str">
        <x:v>A-000253</x:v>
      </x:c>
      <x:c r="AK93" t="n">
        <x:v>1726</x:v>
      </x:c>
      <x:c r="AL93" t="str">
        <x:v>S</x:v>
      </x:c>
      <x:c r="AM93" t="str">
        <x:v>REQ000007870614</x:v>
      </x:c>
      <x:c r="AN93" t="str">
        <x:v>retention</x:v>
      </x:c>
      <x:c r="AO93" t="n">
        <x:v>90</x:v>
      </x:c>
      <x:c r="AP93" s="23" t="str">
        <x:f>IF(E93="processing",IF(Z93="","",IF(ISNUMBER(Z93),INT(Z93),DATE(VALUE(LEFT(Z93,4)),VALUE(MID(Z93,6,2)),VALUE(MID(Z93,9,2))))),IF(OR(E93="executing",E93="pending"),IF(AD93="","",IF(ISNUMBER(AD93),INT(AD93),DATE(VALUE(LEFT(AD93,4)),VALUE(MID(AD93,6,2)),VALUE(MID(AD93,9,2))))),""))</x:f>
      </x:c>
      <x:c r="AQ93" s="24" t="str">
        <x:f>IF(AP93="","",INT('Configuration'!$B$4)-AP93)</x:f>
      </x:c>
      <x:c r="AR93" s="25" t="str">
        <x:f>IF(AP93="","Missing Required Date",IF(AQ93&lt;0,"Future Date",IF(AQ93=0,"0 days",IF(AQ93&lt;=2,"1-2 days",IF(AQ93&lt;=7,"3-7 days",IF(AQ93&lt;=14,"8-14 days",IF(AQ93&lt;=30,"15-30 days",IF(AQ93&lt;=60,"31-60 days",IF(AQ93&lt;=70,"61-70 days","71+ days")))))))))</x:f>
        <x:v>Missing Required Date</x:v>
      </x:c>
      <x:c r="AS93" s="25" t="str">
        <x:f>IF(OR(E93="processing",E93="executing",E93="pending"),IF(AP93="","Required aging date missing",IF(AQ93&gt;30,"Escalate &gt;30d",IF(AQ93&gt;14,"Watch &gt;14d","Within 14d"))),"Out of scope")</x:f>
        <x:v>Out of scope</x:v>
      </x:c>
    </x:row>
    <x:row r="94" ht="24" customHeight="1">
      <x:c r="A94" t="str">
        <x:v>553c9672-36e8-48ac-8730-da383cbf82ca</x:v>
      </x:c>
      <x:c r="B94" t="str">
        <x:v>CSSP10654103</x:v>
      </x:c>
      <x:c r="C94" t="str">
        <x:v>izmir.marzuki@petronas.com</x:v>
      </x:c>
      <x:c r="D94" t="str">
        <x:v>decommission-cloud</x:v>
      </x:c>
      <x:c r="E94" t="str">
        <x:v>completed</x:v>
      </x:c>
      <x:c r="F94" t="n">
        <x:v>46051.290883298614</x:v>
      </x:c>
      <x:c r="G94" t="n">
        <x:v>46053.176320694445</x:v>
      </x:c>
      <x:c r="H94" t="n">
        <x:v>46051.290883298614</x:v>
      </x:c>
      <x:c r="I94" t="str">
        <x:v>GoAnywhere MFT</x:v>
      </x:c>
      <x:c r="J94" t="str">
        <x:v>Provision of Hosting Infrastructure-as-a-Service (IaaS) for GoAnywhere MFT for PETRONAS Group</x:v>
      </x:c>
      <x:c r="K94" t="str">
        <x:v>partial</x:v>
      </x:c>
      <x:c r="L94"/>
      <x:c r="M94" t="str">
        <x:v>saiful.zahari@petronas.com</x:v>
      </x:c>
      <x:c r="N94"/>
      <x:c r="O94"/>
      <x:c r="P94" t="str">
        <x:v>1) ptazsg1mftgofilestrggrs is not in used. 2) ptazsg5mftgofilestrglrs is not in used. 3) ptazsg5mftgostrglrs is not in used.</x:v>
      </x:c>
      <x:c r="Q94" t="str">
        <x:v>2W</x:v>
      </x:c>
      <x:c r="R94" t="str">
        <x:v>Not in Used</x:v>
      </x:c>
      <x:c r="S94"/>
      <x:c r="T94" t="str">
        <x:v>approved</x:v>
      </x:c>
      <x:c r="U94" t="str">
        <x:v>izmir.marzuki@petronas.com</x:v>
      </x:c>
      <x:c r="V94" t="n">
        <x:v>46051.2934659838</x:v>
      </x:c>
      <x:c r="W94" t="str">
        <x:v>1) ptazsg1mftgofilestrggrs is not in used. 2) ptazsg5mftgofilestrglrs is not in used. 3) ptazsg5mftgostrglrs is not in used.</x:v>
      </x:c>
      <x:c r="X94" t="str">
        <x:v>approved</x:v>
      </x:c>
      <x:c r="Y94" t="str">
        <x:v>saiful.zahari@petronas.com</x:v>
      </x:c>
      <x:c r="Z94" t="n">
        <x:v>46052.07055008102</x:v>
      </x:c>
      <x:c r="AA94" t="str">
        <x:v>Ensure that all related and non interdependent resources are also deleted eg snapshots and backup (if any)</x:v>
      </x:c>
      <x:c r="AB94" t="str">
        <x:v>approved</x:v>
      </x:c>
      <x:c r="AC94" t="str">
        <x:v>azwan.badari@petronas.com</x:v>
      </x:c>
      <x:c r="AD94" t="n">
        <x:v>46052.1625878125</x:v>
      </x:c>
      <x:c r="AE94" t="str">
        <x:v>Decommission listed storage account</x:v>
      </x:c>
      <x:c r="AF94" t="str">
        <x:v>approved</x:v>
      </x:c>
      <x:c r="AG94" t="str">
        <x:v>azwan.badari@petronas.com</x:v>
      </x:c>
      <x:c r="AH94" t="n">
        <x:v>46053.17632071759</x:v>
      </x:c>
      <x:c r="AI94" t="str">
        <x:v>Completed</x:v>
      </x:c>
      <x:c r="AJ94" t="str">
        <x:v>A-000342</x:v>
      </x:c>
      <x:c r="AK94" t="n">
        <x:v>1335</x:v>
      </x:c>
      <x:c r="AL94" t="str">
        <x:v>M</x:v>
      </x:c>
      <x:c r="AM94" t="str">
        <x:v>REQ000007850888</x:v>
      </x:c>
      <x:c r="AN94" t="str">
        <x:v>noretention</x:v>
      </x:c>
      <x:c r="AO94" t="n">
        <x:v>0</x:v>
      </x:c>
      <x:c r="AP94" s="23" t="str">
        <x:f>IF(E94="processing",IF(Z94="","",IF(ISNUMBER(Z94),INT(Z94),DATE(VALUE(LEFT(Z94,4)),VALUE(MID(Z94,6,2)),VALUE(MID(Z94,9,2))))),IF(OR(E94="executing",E94="pending"),IF(AD94="","",IF(ISNUMBER(AD94),INT(AD94),DATE(VALUE(LEFT(AD94,4)),VALUE(MID(AD94,6,2)),VALUE(MID(AD94,9,2))))),""))</x:f>
      </x:c>
      <x:c r="AQ94" s="24" t="str">
        <x:f>IF(AP94="","",INT('Configuration'!$B$4)-AP94)</x:f>
      </x:c>
      <x:c r="AR94" s="25" t="str">
        <x:f>IF(AP94="","Missing Required Date",IF(AQ94&lt;0,"Future Date",IF(AQ94=0,"0 days",IF(AQ94&lt;=2,"1-2 days",IF(AQ94&lt;=7,"3-7 days",IF(AQ94&lt;=14,"8-14 days",IF(AQ94&lt;=30,"15-30 days",IF(AQ94&lt;=60,"31-60 days",IF(AQ94&lt;=70,"61-70 days","71+ days")))))))))</x:f>
        <x:v>Missing Required Date</x:v>
      </x:c>
      <x:c r="AS94" s="25" t="str">
        <x:f>IF(OR(E94="processing",E94="executing",E94="pending"),IF(AP94="","Required aging date missing",IF(AQ94&gt;30,"Escalate &gt;30d",IF(AQ94&gt;14,"Watch &gt;14d","Within 14d"))),"Out of scope")</x:f>
        <x:v>Out of scope</x:v>
      </x:c>
    </x:row>
    <x:row r="95" ht="24" customHeight="1">
      <x:c r="A95" t="str">
        <x:v>75aa387d-efbb-4f36-b7e7-29d01ccacb86</x:v>
      </x:c>
      <x:c r="B95" t="str">
        <x:v>CSSP10892983</x:v>
      </x:c>
      <x:c r="C95" t="str">
        <x:v>mfaizal.salleh@petronas.com</x:v>
      </x:c>
      <x:c r="D95" t="str">
        <x:v>decommission-cloud</x:v>
      </x:c>
      <x:c r="E95" t="str">
        <x:v>completed</x:v>
      </x:c>
      <x:c r="F95" t="n">
        <x:v>46052.06957261574</x:v>
      </x:c>
      <x:c r="G95" t="n">
        <x:v>46058.291024398146</x:v>
      </x:c>
      <x:c r="H95" t="n">
        <x:v>46052.06957261574</x:v>
      </x:c>
      <x:c r="I95" t="str">
        <x:v>Malaysian Financial Reporting Standards - MFRS</x:v>
      </x:c>
      <x:c r="J95" t="str">
        <x:v>Implementation Malaysian Financial Reporting Standards (MFRS) Statutory Reporting (MFRS16) for PETRONAS Group of Companies</x:v>
      </x:c>
      <x:c r="K95" t="str">
        <x:v>partial</x:v>
      </x:c>
      <x:c r="L95"/>
      <x:c r="M95" t="str">
        <x:v>amirshazlan.mshah@petronas.com.my</x:v>
      </x:c>
      <x:c r="N95"/>
      <x:c r="O95"/>
      <x:c r="P95" t="str">
        <x:v>Not in used</x:v>
      </x:c>
      <x:c r="Q95" t="str">
        <x:v>2W</x:v>
      </x:c>
      <x:c r="R95" t="str">
        <x:v>Not in Used</x:v>
      </x:c>
      <x:c r="S95"/>
      <x:c r="T95" t="str">
        <x:v>approved</x:v>
      </x:c>
      <x:c r="U95" t="str">
        <x:v>mfaizal.salleh@petronas.com</x:v>
      </x:c>
      <x:c r="V95" t="n">
        <x:v>46052.0760990625</x:v>
      </x:c>
      <x:c r="W95" t="str">
        <x:v>Not in used - 
Resource not found 
ptsg4mfrsblobstrg
ptazsguatmfrsrgdiag
ptsg4mfrsfunc01strg
ptsg1mfrsblobstrg
</x:v>
      </x:c>
      <x:c r="X95" t="str">
        <x:v>approved</x:v>
      </x:c>
      <x:c r="Y95" t="str">
        <x:v>amirshazlan.mshah@petronas.com</x:v>
      </x:c>
      <x:c r="Z95" t="n">
        <x:v>46052.092986793985</x:v>
      </x:c>
      <x:c r="AA95" t="str">
        <x:v>approval</x:v>
      </x:c>
      <x:c r="AB95" t="str">
        <x:v>approved</x:v>
      </x:c>
      <x:c r="AC95" t="str">
        <x:v>azwan.badari@petronas.com</x:v>
      </x:c>
      <x:c r="AD95" t="n">
        <x:v>46052.20992331018</x:v>
      </x:c>
      <x:c r="AE95" t="str">
        <x:v>Proceed</x:v>
      </x:c>
      <x:c r="AF95" t="str">
        <x:v>approved</x:v>
      </x:c>
      <x:c r="AG95" t="str">
        <x:v>azlisham.md@petronas.com</x:v>
      </x:c>
      <x:c r="AH95" t="n">
        <x:v>46058.29102440972</x:v>
      </x:c>
      <x:c r="AI95" t="str">
        <x:v>The decommission request has been completed, and the status is now updated accordingly. Kindly verify from your end and confirm once reviewed.
</x:v>
      </x:c>
      <x:c r="AJ95" t="str">
        <x:v>A-000461</x:v>
      </x:c>
      <x:c r="AK95" t="n">
        <x:v>789</x:v>
      </x:c>
      <x:c r="AL95" t="str">
        <x:v>M</x:v>
      </x:c>
      <x:c r="AM95" t="str">
        <x:v>REQ000007851251</x:v>
      </x:c>
      <x:c r="AN95" t="str">
        <x:v>noretention</x:v>
      </x:c>
      <x:c r="AO95" t="n">
        <x:v>0</x:v>
      </x:c>
      <x:c r="AP95" s="23" t="str">
        <x:f>IF(E95="processing",IF(Z95="","",IF(ISNUMBER(Z95),INT(Z95),DATE(VALUE(LEFT(Z95,4)),VALUE(MID(Z95,6,2)),VALUE(MID(Z95,9,2))))),IF(OR(E95="executing",E95="pending"),IF(AD95="","",IF(ISNUMBER(AD95),INT(AD95),DATE(VALUE(LEFT(AD95,4)),VALUE(MID(AD95,6,2)),VALUE(MID(AD95,9,2))))),""))</x:f>
      </x:c>
      <x:c r="AQ95" s="24" t="str">
        <x:f>IF(AP95="","",INT('Configuration'!$B$4)-AP95)</x:f>
      </x:c>
      <x:c r="AR95" s="25" t="str">
        <x:f>IF(AP95="","Missing Required Date",IF(AQ95&lt;0,"Future Date",IF(AQ95=0,"0 days",IF(AQ95&lt;=2,"1-2 days",IF(AQ95&lt;=7,"3-7 days",IF(AQ95&lt;=14,"8-14 days",IF(AQ95&lt;=30,"15-30 days",IF(AQ95&lt;=60,"31-60 days",IF(AQ95&lt;=70,"61-70 days","71+ days")))))))))</x:f>
        <x:v>Missing Required Date</x:v>
      </x:c>
      <x:c r="AS95" s="25" t="str">
        <x:f>IF(OR(E95="processing",E95="executing",E95="pending"),IF(AP95="","Required aging date missing",IF(AQ95&gt;30,"Escalate &gt;30d",IF(AQ95&gt;14,"Watch &gt;14d","Within 14d"))),"Out of scope")</x:f>
        <x:v>Out of scope</x:v>
      </x:c>
    </x:row>
    <x:row r="96" ht="24" customHeight="1">
      <x:c r="A96" t="str">
        <x:v>34877244-ad85-4856-bd47-9fbef95c822d</x:v>
      </x:c>
      <x:c r="B96" t="str">
        <x:v>CSSP10245126</x:v>
      </x:c>
      <x:c r="C96" t="str">
        <x:v>hari.amirchow@petronas.com</x:v>
      </x:c>
      <x:c r="D96" t="str">
        <x:v>decommission-cloud</x:v>
      </x:c>
      <x:c r="E96" t="str">
        <x:v>completed</x:v>
      </x:c>
      <x:c r="F96" t="n">
        <x:v>46052.5995028125</x:v>
      </x:c>
      <x:c r="G96" t="n">
        <x:v>46066.10319702546</x:v>
      </x:c>
      <x:c r="H96" t="n">
        <x:v>46052.5995028125</x:v>
      </x:c>
      <x:c r="I96" t="str">
        <x:v>SAP 40 BPC</x:v>
      </x:c>
      <x:c r="J96" t="str">
        <x:v>Migration and Optimization of SAP P40 to BPC 10.1 using HANA Database for Group Financial Control (GFC)</x:v>
      </x:c>
      <x:c r="K96" t="str">
        <x:v>partial</x:v>
      </x:c>
      <x:c r="L96"/>
      <x:c r="M96" t="str">
        <x:v>rizuanatan@petronas.com</x:v>
      </x:c>
      <x:c r="N96"/>
      <x:c r="O96"/>
      <x:c r="P96" t="str">
        <x:v>Issue with DB corruption. DB had to be restored in new server</x:v>
      </x:c>
      <x:c r="Q96" t="str">
        <x:v>2W</x:v>
      </x:c>
      <x:c r="R96" t="str">
        <x:v>Not in Used</x:v>
      </x:c>
      <x:c r="S96"/>
      <x:c r="T96" t="str">
        <x:v>approved</x:v>
      </x:c>
      <x:c r="U96" t="str">
        <x:v>hari.amirchow@petronas.com</x:v>
      </x:c>
      <x:c r="V96" t="n">
        <x:v>46052.603825150465</x:v>
      </x:c>
      <x:c r="W96" t="str">
        <x:v>Old VM that has been replaced with new VM due to restore issue</x:v>
      </x:c>
      <x:c r="X96" t="str">
        <x:v>approved</x:v>
      </x:c>
      <x:c r="Y96" t="str">
        <x:v>rizuanatan@petronas.com</x:v>
      </x:c>
      <x:c r="Z96" t="n">
        <x:v>46062.1190328588</x:v>
      </x:c>
      <x:c r="AA96" t="str">
        <x:v>Due to a database corruption issue, the server was moved to a new VM. The old VM is no longer being used.</x:v>
      </x:c>
      <x:c r="AB96" t="str">
        <x:v>approved</x:v>
      </x:c>
      <x:c r="AC96" t="str">
        <x:v>azwan.badari@petronas.com</x:v>
      </x:c>
      <x:c r="AD96" t="n">
        <x:v>46062.149009849534</x:v>
      </x:c>
      <x:c r="AE96" t="str">
        <x:v>Proceed to decommission listed VM.</x:v>
      </x:c>
      <x:c r="AF96" t="str">
        <x:v>approved</x:v>
      </x:c>
      <x:c r="AG96" t="str">
        <x:v>azlisham.md@petronas.com</x:v>
      </x:c>
      <x:c r="AH96" t="n">
        <x:v>46066.10319703704</x:v>
      </x:c>
      <x:c r="AI96" t="str">
        <x:v>The decommission request has been completed, and the status is now updated accordingly. Kindly verify from your end and confirm once reviewed.
</x:v>
      </x:c>
      <x:c r="AJ96" t="str">
        <x:v>A-000723</x:v>
      </x:c>
      <x:c r="AK96" t="str">
        <x:v>PSR05474</x:v>
      </x:c>
      <x:c r="AL96" t="str">
        <x:v>M</x:v>
      </x:c>
      <x:c r="AM96" t="str">
        <x:v>REQ000007865007</x:v>
      </x:c>
      <x:c r="AN96" t="str">
        <x:v>noretention</x:v>
      </x:c>
      <x:c r="AO96" t="n">
        <x:v>0</x:v>
      </x:c>
      <x:c r="AP96" s="23" t="str">
        <x:f>IF(E96="processing",IF(Z96="","",IF(ISNUMBER(Z96),INT(Z96),DATE(VALUE(LEFT(Z96,4)),VALUE(MID(Z96,6,2)),VALUE(MID(Z96,9,2))))),IF(OR(E96="executing",E96="pending"),IF(AD96="","",IF(ISNUMBER(AD96),INT(AD96),DATE(VALUE(LEFT(AD96,4)),VALUE(MID(AD96,6,2)),VALUE(MID(AD96,9,2))))),""))</x:f>
      </x:c>
      <x:c r="AQ96" s="24" t="str">
        <x:f>IF(AP96="","",INT('Configuration'!$B$4)-AP96)</x:f>
      </x:c>
      <x:c r="AR96" s="25" t="str">
        <x:f>IF(AP96="","Missing Required Date",IF(AQ96&lt;0,"Future Date",IF(AQ96=0,"0 days",IF(AQ96&lt;=2,"1-2 days",IF(AQ96&lt;=7,"3-7 days",IF(AQ96&lt;=14,"8-14 days",IF(AQ96&lt;=30,"15-30 days",IF(AQ96&lt;=60,"31-60 days",IF(AQ96&lt;=70,"61-70 days","71+ days")))))))))</x:f>
        <x:v>Missing Required Date</x:v>
      </x:c>
      <x:c r="AS96" s="25" t="str">
        <x:f>IF(OR(E96="processing",E96="executing",E96="pending"),IF(AP96="","Required aging date missing",IF(AQ96&gt;30,"Escalate &gt;30d",IF(AQ96&gt;14,"Watch &gt;14d","Within 14d"))),"Out of scope")</x:f>
        <x:v>Out of scope</x:v>
      </x:c>
    </x:row>
    <x:row r="97" ht="24" customHeight="1">
      <x:c r="A97" t="str">
        <x:v>dbdae2f3-d153-4f86-aed1-be13cc473370</x:v>
      </x:c>
      <x:c r="B97" t="str">
        <x:v>CSSP10431985</x:v>
      </x:c>
      <x:c r="C97" t="str">
        <x:v>azad.johari@petronas.com</x:v>
      </x:c>
      <x:c r="D97" t="str">
        <x:v>decommission-cloud</x:v>
      </x:c>
      <x:c r="E97" t="str">
        <x:v>rejected</x:v>
      </x:c>
      <x:c r="F97" t="n">
        <x:v>46057.03354863426</x:v>
      </x:c>
      <x:c r="G97" t="n">
        <x:v>46132.3543505787</x:v>
      </x:c>
      <x:c r="H97" t="n">
        <x:v>46057.03354863426</x:v>
      </x:c>
      <x:c r="I97" t="str">
        <x:v>Talent Analytics - TA</x:v>
      </x:c>
      <x:c r="J97" t="str">
        <x:v>VM for Talent Analytics POC</x:v>
      </x:c>
      <x:c r="K97" t="str">
        <x:v>partial</x:v>
      </x:c>
      <x:c r="L97"/>
      <x:c r="M97" t="str">
        <x:v>amirshazlan.mshah@petronas.com</x:v>
      </x:c>
      <x:c r="N97"/>
      <x:c r="O97"/>
      <x:c r="P97" t="str">
        <x:v>PTSG-1TLDap01, PTSG-5TLDap01 not in used.</x:v>
      </x:c>
      <x:c r="Q97" t="str">
        <x:v>12M</x:v>
      </x:c>
      <x:c r="R97" t="str">
        <x:v>Not in Used</x:v>
      </x:c>
      <x:c r="S97"/>
      <x:c r="T97" t="str">
        <x:v>approved</x:v>
      </x:c>
      <x:c r="U97" t="str">
        <x:v>azad.johari@petronas.com</x:v>
      </x:c>
      <x:c r="V97" t="n">
        <x:v>46057.0353228125</x:v>
      </x:c>
      <x:c r="W97" t="str">
        <x:v>no resource found. these 2 servers to be decomm PTSG-1TLDap01, PTSG-5TLDap01. both in AWS.</x:v>
      </x:c>
      <x:c r="X97" t="str">
        <x:v>approved</x:v>
      </x:c>
      <x:c r="Y97" t="str">
        <x:v>amirshazlan.mshah@petronas.com</x:v>
      </x:c>
      <x:c r="Z97" t="n">
        <x:v>46126.383479571756</x:v>
      </x:c>
      <x:c r="AA97" t="str">
        <x:v>approved</x:v>
      </x:c>
      <x:c r="AB97" t="str">
        <x:v>rejected</x:v>
      </x:c>
      <x:c r="AC97" t="str">
        <x:v>azwan.badari@petronas.com</x:v>
      </x:c>
      <x:c r="AD97" t="n">
        <x:v>46132.3543505787</x:v>
      </x:c>
      <x:c r="AE97" t="str">
        <x:v>Server PTSG-1TLDap01, PTSG-5TLDap01 not found, might has been decommissioned.</x:v>
      </x:c>
      <x:c r="AF97"/>
      <x:c r="AG97" t="str">
        <x:v>CCoE Operations</x:v>
      </x:c>
      <x:c r="AH97"/>
      <x:c r="AI97"/>
      <x:c r="AJ97" t="str">
        <x:v>A-000801</x:v>
      </x:c>
      <x:c r="AK97" t="n">
        <x:v>845</x:v>
      </x:c>
      <x:c r="AL97"/>
      <x:c r="AM97"/>
      <x:c r="AN97" t="str">
        <x:v>noretention</x:v>
      </x:c>
      <x:c r="AO97" t="n">
        <x:v>0</x:v>
      </x:c>
      <x:c r="AP97" s="23" t="str">
        <x:f>IF(E97="processing",IF(Z97="","",IF(ISNUMBER(Z97),INT(Z97),DATE(VALUE(LEFT(Z97,4)),VALUE(MID(Z97,6,2)),VALUE(MID(Z97,9,2))))),IF(OR(E97="executing",E97="pending"),IF(AD97="","",IF(ISNUMBER(AD97),INT(AD97),DATE(VALUE(LEFT(AD97,4)),VALUE(MID(AD97,6,2)),VALUE(MID(AD97,9,2))))),""))</x:f>
      </x:c>
      <x:c r="AQ97" s="24" t="str">
        <x:f>IF(AP97="","",INT('Configuration'!$B$4)-AP97)</x:f>
      </x:c>
      <x:c r="AR97" s="25" t="str">
        <x:f>IF(AP97="","Missing Required Date",IF(AQ97&lt;0,"Future Date",IF(AQ97=0,"0 days",IF(AQ97&lt;=2,"1-2 days",IF(AQ97&lt;=7,"3-7 days",IF(AQ97&lt;=14,"8-14 days",IF(AQ97&lt;=30,"15-30 days",IF(AQ97&lt;=60,"31-60 days",IF(AQ97&lt;=70,"61-70 days","71+ days")))))))))</x:f>
        <x:v>Missing Required Date</x:v>
      </x:c>
      <x:c r="AS97" s="25" t="str">
        <x:f>IF(OR(E97="processing",E97="executing",E97="pending"),IF(AP97="","Required aging date missing",IF(AQ97&gt;30,"Escalate &gt;30d",IF(AQ97&gt;14,"Watch &gt;14d","Within 14d"))),"Out of scope")</x:f>
        <x:v>Out of scope</x:v>
      </x:c>
    </x:row>
    <x:row r="98" ht="24" customHeight="1">
      <x:c r="A98" t="str">
        <x:v>8836aca8-9ff7-4684-975e-5433333a7be1</x:v>
      </x:c>
      <x:c r="B98" t="str">
        <x:v>CSSP10348510</x:v>
      </x:c>
      <x:c r="C98" t="str">
        <x:v>marziah.mahmod@petronas.com</x:v>
      </x:c>
      <x:c r="D98" t="str">
        <x:v>decommission-cloud</x:v>
      </x:c>
      <x:c r="E98" t="str">
        <x:v>completed</x:v>
      </x:c>
      <x:c r="F98" t="n">
        <x:v>46057.04398732639</x:v>
      </x:c>
      <x:c r="G98" t="n">
        <x:v>46078.24838221065</x:v>
      </x:c>
      <x:c r="H98" t="n">
        <x:v>46076.22634980324</x:v>
      </x:c>
      <x:c r="I98" t="str">
        <x:v>Plant Information - PI Enterprise</x:v>
      </x:c>
      <x:c r="J98" t="str">
        <x:v>CTP Old to New LZ - PI Enterprise</x:v>
      </x:c>
      <x:c r="K98" t="str">
        <x:v>full</x:v>
      </x:c>
      <x:c r="L98" t="str">
        <x:v>DCOM20260204e88</x:v>
      </x:c>
      <x:c r="M98" t="str">
        <x:v>mohammadsani.johari@petronas.com.my</x:v>
      </x:c>
      <x:c r="N98" t="str">
        <x:v>PTAWSG-1PIGDA01;10.102.21.191, PTAWSG-1PIGDA02;10.102.22.28</x:v>
      </x:c>
      <x:c r="O98"/>
      <x:c r="P98" t="str">
        <x:v>Server consolidation as part of cost optimization for EPH.</x:v>
      </x:c>
      <x:c r="Q98" t="str">
        <x:v>1M</x:v>
      </x:c>
      <x:c r="R98" t="str">
        <x:v>Consolidation</x:v>
      </x:c>
      <x:c r="S98"/>
      <x:c r="T98" t="str">
        <x:v>approved</x:v>
      </x:c>
      <x:c r="U98" t="str">
        <x:v>marziah.mahmod@petronas.com</x:v>
      </x:c>
      <x:c r="V98" t="n">
        <x:v>46076.29970640046</x:v>
      </x:c>
      <x:c r="W98" t="str">
        <x:v>Server consolidation as part of cost optimization for EPH.</x:v>
      </x:c>
      <x:c r="X98" t="str">
        <x:v>approved</x:v>
      </x:c>
      <x:c r="Y98" t="str">
        <x:v>mohammadsani.johari@petronas.com</x:v>
      </x:c>
      <x:c r="Z98" t="n">
        <x:v>46076.31845005787</x:v>
      </x:c>
      <x:c r="AA98" t="str">
        <x:v>Approved</x:v>
      </x:c>
      <x:c r="AB98" t="str">
        <x:v>approved</x:v>
      </x:c>
      <x:c r="AC98" t="str">
        <x:v>azwan.badari@petronas.com</x:v>
      </x:c>
      <x:c r="AD98" t="n">
        <x:v>46077.100795150465</x:v>
      </x:c>
      <x:c r="AE98" t="str">
        <x:v>PTAWSG-1PIGDA01;10.102.21.191, PTAWSG-1PIGDA02;10.102.22.28 in AWS, PTAW-IAC-PROD-PEnT-Environment-01</x:v>
      </x:c>
      <x:c r="AF98" t="str">
        <x:v>approved</x:v>
      </x:c>
      <x:c r="AG98" t="str">
        <x:v>azlisham.md@petronas.com</x:v>
      </x:c>
      <x:c r="AH98" t="n">
        <x:v>46078.24838222222</x:v>
      </x:c>
      <x:c r="AI98" t="str">
        <x:v>The decommission request has been completed, and the status is now updated accordingly. Kindly verify from your end and confirm once reviewed.
</x:v>
      </x:c>
      <x:c r="AJ98" t="str">
        <x:v>A-000568</x:v>
      </x:c>
      <x:c r="AK98" t="str">
        <x:v>02421_71</x:v>
      </x:c>
      <x:c r="AL98" t="str">
        <x:v>M</x:v>
      </x:c>
      <x:c r="AM98" t="str">
        <x:v>REQ000007889231</x:v>
      </x:c>
      <x:c r="AN98" t="str">
        <x:v>noretention</x:v>
      </x:c>
      <x:c r="AO98" t="n">
        <x:v>0</x:v>
      </x:c>
      <x:c r="AP98" s="23" t="str">
        <x:f>IF(E98="processing",IF(Z98="","",IF(ISNUMBER(Z98),INT(Z98),DATE(VALUE(LEFT(Z98,4)),VALUE(MID(Z98,6,2)),VALUE(MID(Z98,9,2))))),IF(OR(E98="executing",E98="pending"),IF(AD98="","",IF(ISNUMBER(AD98),INT(AD98),DATE(VALUE(LEFT(AD98,4)),VALUE(MID(AD98,6,2)),VALUE(MID(AD98,9,2))))),""))</x:f>
      </x:c>
      <x:c r="AQ98" s="24" t="str">
        <x:f>IF(AP98="","",INT('Configuration'!$B$4)-AP98)</x:f>
      </x:c>
      <x:c r="AR98" s="25" t="str">
        <x:f>IF(AP98="","Missing Required Date",IF(AQ98&lt;0,"Future Date",IF(AQ98=0,"0 days",IF(AQ98&lt;=2,"1-2 days",IF(AQ98&lt;=7,"3-7 days",IF(AQ98&lt;=14,"8-14 days",IF(AQ98&lt;=30,"15-30 days",IF(AQ98&lt;=60,"31-60 days",IF(AQ98&lt;=70,"61-70 days","71+ days")))))))))</x:f>
        <x:v>Missing Required Date</x:v>
      </x:c>
      <x:c r="AS98" s="25" t="str">
        <x:f>IF(OR(E98="processing",E98="executing",E98="pending"),IF(AP98="","Required aging date missing",IF(AQ98&gt;30,"Escalate &gt;30d",IF(AQ98&gt;14,"Watch &gt;14d","Within 14d"))),"Out of scope")</x:f>
        <x:v>Out of scope</x:v>
      </x:c>
    </x:row>
    <x:row r="99" ht="24" customHeight="1">
      <x:c r="A99" t="str">
        <x:v>a210e434-a6eb-4702-8acc-5a76408edc4b</x:v>
      </x:c>
      <x:c r="B99" t="str">
        <x:v>CSSP10650004</x:v>
      </x:c>
      <x:c r="C99" t="str">
        <x:v>syahadah.salleh@petronas.com</x:v>
      </x:c>
      <x:c r="D99" t="str">
        <x:v>decommission-cloud</x:v>
      </x:c>
      <x:c r="E99" t="str">
        <x:v>completed</x:v>
      </x:c>
      <x:c r="F99" t="n">
        <x:v>46057.18969716435</x:v>
      </x:c>
      <x:c r="G99" t="n">
        <x:v>46092.40004934028</x:v>
      </x:c>
      <x:c r="H99" t="n">
        <x:v>46057.18969716435</x:v>
      </x:c>
      <x:c r="I99" t="str">
        <x:v>SharePoint - SPO ShareGate Desktop</x:v>
      </x:c>
      <x:c r="J99" t="str">
        <x:v>Cloud Migration Program - Sharepoint ShareGate Desktop Migration</x:v>
      </x:c>
      <x:c r="K99" t="str">
        <x:v>partial</x:v>
      </x:c>
      <x:c r="L99"/>
      <x:c r="M99" t="str">
        <x:v>nshahidahothman@petronas.com.my</x:v>
      </x:c>
      <x:c r="N99" t="str">
        <x:v>na</x:v>
      </x:c>
      <x:c r="O99" t="str">
        <x:v>na</x:v>
      </x:c>
      <x:c r="P99" t="str">
        <x:v>COC enforcement.</x:v>
      </x:c>
      <x:c r="Q99" t="str">
        <x:v>1M</x:v>
      </x:c>
      <x:c r="R99" t="str">
        <x:v>Not in Used</x:v>
      </x:c>
      <x:c r="S99"/>
      <x:c r="T99" t="str">
        <x:v>approved</x:v>
      </x:c>
      <x:c r="U99" t="str">
        <x:v>syahadah.salleh@petronas.com</x:v>
      </x:c>
      <x:c r="V99" t="n">
        <x:v>46057.19137364583</x:v>
      </x:c>
      <x:c r="W99" t="str">
        <x:v>Storage account not in use, 0 usage for past years.</x:v>
      </x:c>
      <x:c r="X99" t="str">
        <x:v>approved</x:v>
      </x:c>
      <x:c r="Y99" t="str">
        <x:v>nshahidahothman@petronas.com</x:v>
      </x:c>
      <x:c r="Z99" t="n">
        <x:v>46078.248162731485</x:v>
      </x:c>
      <x:c r="AA99" t="str">
        <x:v>proceed</x:v>
      </x:c>
      <x:c r="AB99" t="str">
        <x:v>approved</x:v>
      </x:c>
      <x:c r="AC99" t="str">
        <x:v>azwan.badari@petronas.com</x:v>
      </x:c>
      <x:c r="AD99" t="n">
        <x:v>46079.045031064816</x:v>
      </x:c>
      <x:c r="AE99" t="str">
        <x:v>Decommission selected storage account, ptsg1spsgstrg</x:v>
      </x:c>
      <x:c r="AF99" t="str">
        <x:v>approved</x:v>
      </x:c>
      <x:c r="AG99" t="str">
        <x:v>abdullah.haziq@petronas.com</x:v>
      </x:c>
      <x:c r="AH99" t="n">
        <x:v>46092.400049351854</x:v>
      </x:c>
      <x:c r="AI99" t="str">
        <x:v>completed</x:v>
      </x:c>
      <x:c r="AJ99" t="str">
        <x:v>A-000787</x:v>
      </x:c>
      <x:c r="AK99" t="str">
        <x:v>00915_32</x:v>
      </x:c>
      <x:c r="AL99" t="str">
        <x:v>S</x:v>
      </x:c>
      <x:c r="AM99" t="str">
        <x:v>REQ000007894393</x:v>
      </x:c>
      <x:c r="AN99" t="str">
        <x:v>noretention</x:v>
      </x:c>
      <x:c r="AO99" t="n">
        <x:v>0</x:v>
      </x:c>
      <x:c r="AP99" s="23" t="str">
        <x:f>IF(E99="processing",IF(Z99="","",IF(ISNUMBER(Z99),INT(Z99),DATE(VALUE(LEFT(Z99,4)),VALUE(MID(Z99,6,2)),VALUE(MID(Z99,9,2))))),IF(OR(E99="executing",E99="pending"),IF(AD99="","",IF(ISNUMBER(AD99),INT(AD99),DATE(VALUE(LEFT(AD99,4)),VALUE(MID(AD99,6,2)),VALUE(MID(AD99,9,2))))),""))</x:f>
      </x:c>
      <x:c r="AQ99" s="24" t="str">
        <x:f>IF(AP99="","",INT('Configuration'!$B$4)-AP99)</x:f>
      </x:c>
      <x:c r="AR99" s="25" t="str">
        <x:f>IF(AP99="","Missing Required Date",IF(AQ99&lt;0,"Future Date",IF(AQ99=0,"0 days",IF(AQ99&lt;=2,"1-2 days",IF(AQ99&lt;=7,"3-7 days",IF(AQ99&lt;=14,"8-14 days",IF(AQ99&lt;=30,"15-30 days",IF(AQ99&lt;=60,"31-60 days",IF(AQ99&lt;=70,"61-70 days","71+ days")))))))))</x:f>
        <x:v>Missing Required Date</x:v>
      </x:c>
      <x:c r="AS99" s="25" t="str">
        <x:f>IF(OR(E99="processing",E99="executing",E99="pending"),IF(AP99="","Required aging date missing",IF(AQ99&gt;30,"Escalate &gt;30d",IF(AQ99&gt;14,"Watch &gt;14d","Within 14d"))),"Out of scope")</x:f>
        <x:v>Out of scope</x:v>
      </x:c>
    </x:row>
    <x:row r="100" ht="24" customHeight="1">
      <x:c r="A100" t="str">
        <x:v>f191af8a-ec87-42d5-8835-d7dd954ffe0d</x:v>
      </x:c>
      <x:c r="B100" t="str">
        <x:v>CSSP10132385</x:v>
      </x:c>
      <x:c r="C100" t="str">
        <x:v>izdihar.roslan@petronas.com</x:v>
      </x:c>
      <x:c r="D100" t="str">
        <x:v>decommission-cloud</x:v>
      </x:c>
      <x:c r="E100" t="str">
        <x:v>completed</x:v>
      </x:c>
      <x:c r="F100" t="n">
        <x:v>46057.28393950232</x:v>
      </x:c>
      <x:c r="G100" t="n">
        <x:v>46063.16590309028</x:v>
      </x:c>
      <x:c r="H100" t="n">
        <x:v>46057.28393950232</x:v>
      </x:c>
      <x:c r="I100" t="str">
        <x:v>Lab Information Management System - LIMS PDB</x:v>
      </x:c>
      <x:c r="J100" t="str">
        <x:v>OCI MIGRATION - LIMS PDB</x:v>
      </x:c>
      <x:c r="K100" t="str">
        <x:v>partial</x:v>
      </x:c>
      <x:c r="L100"/>
      <x:c r="M100" t="str">
        <x:v>sazali.mokhtar@petronas.com.my</x:v>
      </x:c>
      <x:c r="N100"/>
      <x:c r="O100"/>
      <x:c r="P100" t="str">
        <x:v>Cloud Repatriation - To decommission old resources in Singapore region due to completed migration in MY region</x:v>
      </x:c>
      <x:c r="Q100" t="str">
        <x:v>2W</x:v>
      </x:c>
      <x:c r="R100" t="str">
        <x:v>Cloud Migration</x:v>
      </x:c>
      <x:c r="S100"/>
      <x:c r="T100" t="str">
        <x:v>approved</x:v>
      </x:c>
      <x:c r="U100" t="str">
        <x:v>izdihar.roslan@petronas.com</x:v>
      </x:c>
      <x:c r="V100" t="n">
        <x:v>46057.288906469905</x:v>
      </x:c>
      <x:c r="W100" t="str">
        <x:v>Cloud Repatriation - To decommission old resources in Singapore region due to completed migration in MY region</x:v>
      </x:c>
      <x:c r="X100" t="str">
        <x:v>approved</x:v>
      </x:c>
      <x:c r="Y100" t="str">
        <x:v>sazali.mokhtar@petronas.com</x:v>
      </x:c>
      <x:c r="Z100" t="n">
        <x:v>46058.07360192129</x:v>
      </x:c>
      <x:c r="AA100" t="str">
        <x:v>Cloud Repatriation - To decommission old resources in Singapore region due to completed migration in MY region.</x:v>
      </x:c>
      <x:c r="AB100" t="str">
        <x:v>approved</x:v>
      </x:c>
      <x:c r="AC100" t="str">
        <x:v>azwan.badari@petronas.com</x:v>
      </x:c>
      <x:c r="AD100" t="n">
        <x:v>46058.143799606485</x:v>
      </x:c>
      <x:c r="AE100" t="str">
        <x:v>Decommission as per listed resources</x:v>
      </x:c>
      <x:c r="AF100" t="str">
        <x:v>approved</x:v>
      </x:c>
      <x:c r="AG100" t="str">
        <x:v>azwan.badari@petronas.com</x:v>
      </x:c>
      <x:c r="AH100" t="n">
        <x:v>46063.16590309028</x:v>
      </x:c>
      <x:c r="AI100" t="str">
        <x:v>Completed</x:v>
      </x:c>
      <x:c r="AJ100" t="str">
        <x:v>A-000426</x:v>
      </x:c>
      <x:c r="AK100" t="str">
        <x:v>00915_209</x:v>
      </x:c>
      <x:c r="AL100" t="str">
        <x:v>M</x:v>
      </x:c>
      <x:c r="AM100" t="str">
        <x:v>REQ000007859789</x:v>
      </x:c>
      <x:c r="AN100" t="str">
        <x:v>disposal</x:v>
      </x:c>
      <x:c r="AO100" t="n">
        <x:v>0</x:v>
      </x:c>
      <x:c r="AP100" s="23" t="str">
        <x:f>IF(E100="processing",IF(Z100="","",IF(ISNUMBER(Z100),INT(Z100),DATE(VALUE(LEFT(Z100,4)),VALUE(MID(Z100,6,2)),VALUE(MID(Z100,9,2))))),IF(OR(E100="executing",E100="pending"),IF(AD100="","",IF(ISNUMBER(AD100),INT(AD100),DATE(VALUE(LEFT(AD100,4)),VALUE(MID(AD100,6,2)),VALUE(MID(AD100,9,2))))),""))</x:f>
      </x:c>
      <x:c r="AQ100" s="24" t="str">
        <x:f>IF(AP100="","",INT('Configuration'!$B$4)-AP100)</x:f>
      </x:c>
      <x:c r="AR100" s="25" t="str">
        <x:f>IF(AP100="","Missing Required Date",IF(AQ100&lt;0,"Future Date",IF(AQ100=0,"0 days",IF(AQ100&lt;=2,"1-2 days",IF(AQ100&lt;=7,"3-7 days",IF(AQ100&lt;=14,"8-14 days",IF(AQ100&lt;=30,"15-30 days",IF(AQ100&lt;=60,"31-60 days",IF(AQ100&lt;=70,"61-70 days","71+ days")))))))))</x:f>
        <x:v>Missing Required Date</x:v>
      </x:c>
      <x:c r="AS100" s="25" t="str">
        <x:f>IF(OR(E100="processing",E100="executing",E100="pending"),IF(AP100="","Required aging date missing",IF(AQ100&gt;30,"Escalate &gt;30d",IF(AQ100&gt;14,"Watch &gt;14d","Within 14d"))),"Out of scope")</x:f>
        <x:v>Out of scope</x:v>
      </x:c>
    </x:row>
    <x:row r="101" ht="24" customHeight="1">
      <x:c r="A101" t="str">
        <x:v>8e017d90-1def-41d9-8d66-b921ead6c49f</x:v>
      </x:c>
      <x:c r="B101" t="str">
        <x:v>CSSP10359052</x:v>
      </x:c>
      <x:c r="C101" t="str">
        <x:v>izdihar.roslan@petronas.com</x:v>
      </x:c>
      <x:c r="D101" t="str">
        <x:v>decommission-cloud</x:v>
      </x:c>
      <x:c r="E101" t="str">
        <x:v>pending</x:v>
      </x:c>
      <x:c r="F101" t="n">
        <x:v>46057.2896978125</x:v>
      </x:c>
      <x:c r="G101" t="n">
        <x:v>46219.262821331016</x:v>
      </x:c>
      <x:c r="H101" t="n">
        <x:v>46057.2896978125</x:v>
      </x:c>
      <x:c r="I101" t="str">
        <x:v>Lab Information Management System - LIMS PDB</x:v>
      </x:c>
      <x:c r="J101" t="str">
        <x:v>OCI MIGRATION - Integrated Lab Information System (PDB)</x:v>
      </x:c>
      <x:c r="K101" t="str">
        <x:v>partial</x:v>
      </x:c>
      <x:c r="L101"/>
      <x:c r="M101" t="str">
        <x:v>sazali.mokhtar@petronas.com.my</x:v>
      </x:c>
      <x:c r="N101"/>
      <x:c r="O101"/>
      <x:c r="P101" t="str">
        <x:v>Cloud Repatriation - To decommission old resources in Singapore region due to completed migration in MY region</x:v>
      </x:c>
      <x:c r="Q101" t="str">
        <x:v>2W</x:v>
      </x:c>
      <x:c r="R101" t="str">
        <x:v>Cloud Migration</x:v>
      </x:c>
      <x:c r="S101"/>
      <x:c r="T101" t="str">
        <x:v>pending</x:v>
      </x:c>
      <x:c r="U101" t="str">
        <x:v>izdihar.roslan@petronas.com</x:v>
      </x:c>
      <x:c r="V101"/>
      <x:c r="W101"/>
      <x:c r="X101"/>
      <x:c r="Y101" t="str">
        <x:v>sazali.mokhtar@petronas.com</x:v>
      </x:c>
      <x:c r="Z101"/>
      <x:c r="AA101"/>
      <x:c r="AB101"/>
      <x:c r="AC101" t="str">
        <x:v>CCoE Business</x:v>
      </x:c>
      <x:c r="AD101"/>
      <x:c r="AE101"/>
      <x:c r="AF101"/>
      <x:c r="AG101" t="str">
        <x:v>CCoE Operations</x:v>
      </x:c>
      <x:c r="AH101"/>
      <x:c r="AI101"/>
      <x:c r="AJ101" t="str">
        <x:v>A-000426</x:v>
      </x:c>
      <x:c r="AK101" t="str">
        <x:v>OCI-00021</x:v>
      </x:c>
      <x:c r="AL101"/>
      <x:c r="AM101"/>
      <x:c r="AN101" t="str">
        <x:v>noretention</x:v>
      </x:c>
      <x:c r="AO101" t="n">
        <x:v>0</x:v>
      </x:c>
      <x:c r="AP101" s="23" t="str">
        <x:f>IF(E101="processing",IF(Z101="","",IF(ISNUMBER(Z101),INT(Z101),DATE(VALUE(LEFT(Z101,4)),VALUE(MID(Z101,6,2)),VALUE(MID(Z101,9,2))))),IF(OR(E101="executing",E101="pending"),IF(AD101="","",IF(ISNUMBER(AD101),INT(AD101),DATE(VALUE(LEFT(AD101,4)),VALUE(MID(AD101,6,2)),VALUE(MID(AD101,9,2))))),""))</x:f>
      </x:c>
      <x:c r="AQ101" s="24" t="str">
        <x:f>IF(AP101="","",INT('Configuration'!$B$4)-AP101)</x:f>
      </x:c>
      <x:c r="AR101" s="25" t="str">
        <x:f>IF(AP101="","Missing Required Date",IF(AQ101&lt;0,"Future Date",IF(AQ101=0,"0 days",IF(AQ101&lt;=2,"1-2 days",IF(AQ101&lt;=7,"3-7 days",IF(AQ101&lt;=14,"8-14 days",IF(AQ101&lt;=30,"15-30 days",IF(AQ101&lt;=60,"31-60 days",IF(AQ101&lt;=70,"61-70 days","71+ days")))))))))</x:f>
        <x:v>Missing Required Date</x:v>
      </x:c>
      <x:c r="AS101" s="25" t="str">
        <x:f>IF(OR(E101="processing",E101="executing",E101="pending"),IF(AP101="","Required aging date missing",IF(AQ101&gt;30,"Escalate &gt;30d",IF(AQ101&gt;14,"Watch &gt;14d","Within 14d"))),"Out of scope")</x:f>
        <x:v>Required aging date missing</x:v>
      </x:c>
    </x:row>
    <x:row r="102" ht="24" customHeight="1">
      <x:c r="A102" t="str">
        <x:v>fe35be98-9b56-46d7-8e50-a9decc18c354</x:v>
      </x:c>
      <x:c r="B102" t="str">
        <x:v>CSSP10117120</x:v>
      </x:c>
      <x:c r="C102" t="str">
        <x:v>izdihar.roslan@petronas.com</x:v>
      </x:c>
      <x:c r="D102" t="str">
        <x:v>decommission-cloud</x:v>
      </x:c>
      <x:c r="E102" t="str">
        <x:v>completed</x:v>
      </x:c>
      <x:c r="F102" t="n">
        <x:v>46057.31085957176</x:v>
      </x:c>
      <x:c r="G102" t="n">
        <x:v>46063.10813641204</x:v>
      </x:c>
      <x:c r="H102" t="n">
        <x:v>46057.31085957176</x:v>
      </x:c>
      <x:c r="I102" t="str">
        <x:v>INCOTDA</x:v>
      </x:c>
      <x:c r="J102" t="str">
        <x:v>Provision of INCOTDA DevSecOps Programme Continuation for DFE</x:v>
      </x:c>
      <x:c r="K102" t="str">
        <x:v>partial</x:v>
      </x:c>
      <x:c r="L102"/>
      <x:c r="M102" t="str">
        <x:v>sazali.mokhtar@petronas.com.my</x:v>
      </x:c>
      <x:c r="N102"/>
      <x:c r="O102"/>
      <x:c r="P102" t="str">
        <x:v>Cloud Repatriation - To decommission old resources in Singapore region due to completed migration in MY region</x:v>
      </x:c>
      <x:c r="Q102" t="str">
        <x:v>2W</x:v>
      </x:c>
      <x:c r="R102" t="str">
        <x:v>Cloud Migration</x:v>
      </x:c>
      <x:c r="S102"/>
      <x:c r="T102" t="str">
        <x:v>approved</x:v>
      </x:c>
      <x:c r="U102" t="str">
        <x:v>izdihar.roslan@petronas.com</x:v>
      </x:c>
      <x:c r="V102" t="n">
        <x:v>46057.311152905095</x:v>
      </x:c>
      <x:c r="W102" t="str">
        <x:v>Cloud Repatriation - To decommission old resources in Singapore region due to completed migration in MY region</x:v>
      </x:c>
      <x:c r="X102" t="str">
        <x:v>approved</x:v>
      </x:c>
      <x:c r="Y102" t="str">
        <x:v>sazali.mokhtar@petronas.com</x:v>
      </x:c>
      <x:c r="Z102" t="n">
        <x:v>46057.329781203705</x:v>
      </x:c>
      <x:c r="AA102" t="str">
        <x:v>Cloud Repatriation – Decommissioning legacy resources in the Singapore region following the completion of migration to the MY region.</x:v>
      </x:c>
      <x:c r="AB102" t="str">
        <x:v>approved</x:v>
      </x:c>
      <x:c r="AC102" t="str">
        <x:v>azwan.badari@petronas.com</x:v>
      </x:c>
      <x:c r="AD102" t="n">
        <x:v>46058.11168594907</x:v>
      </x:c>
      <x:c r="AE102" t="str">
        <x:v>Proceed to decommission as listed resources in SG</x:v>
      </x:c>
      <x:c r="AF102" t="str">
        <x:v>approved</x:v>
      </x:c>
      <x:c r="AG102" t="str">
        <x:v>azwan.badari@petronas.com</x:v>
      </x:c>
      <x:c r="AH102" t="n">
        <x:v>46063.10813641204</x:v>
      </x:c>
      <x:c r="AI102" t="str">
        <x:v>Completed</x:v>
      </x:c>
      <x:c r="AJ102" t="str">
        <x:v>A-001220</x:v>
      </x:c>
      <x:c r="AK102" t="n">
        <x:v>4341</x:v>
      </x:c>
      <x:c r="AL102" t="str">
        <x:v>M</x:v>
      </x:c>
      <x:c r="AM102" t="str">
        <x:v>REQ000007859919</x:v>
      </x:c>
      <x:c r="AN102" t="str">
        <x:v>noretention</x:v>
      </x:c>
      <x:c r="AO102" t="n">
        <x:v>0</x:v>
      </x:c>
      <x:c r="AP102" s="23" t="str">
        <x:f>IF(E102="processing",IF(Z102="","",IF(ISNUMBER(Z102),INT(Z102),DATE(VALUE(LEFT(Z102,4)),VALUE(MID(Z102,6,2)),VALUE(MID(Z102,9,2))))),IF(OR(E102="executing",E102="pending"),IF(AD102="","",IF(ISNUMBER(AD102),INT(AD102),DATE(VALUE(LEFT(AD102,4)),VALUE(MID(AD102,6,2)),VALUE(MID(AD102,9,2))))),""))</x:f>
      </x:c>
      <x:c r="AQ102" s="24" t="str">
        <x:f>IF(AP102="","",INT('Configuration'!$B$4)-AP102)</x:f>
      </x:c>
      <x:c r="AR102" s="25" t="str">
        <x:f>IF(AP102="","Missing Required Date",IF(AQ102&lt;0,"Future Date",IF(AQ102=0,"0 days",IF(AQ102&lt;=2,"1-2 days",IF(AQ102&lt;=7,"3-7 days",IF(AQ102&lt;=14,"8-14 days",IF(AQ102&lt;=30,"15-30 days",IF(AQ102&lt;=60,"31-60 days",IF(AQ102&lt;=70,"61-70 days","71+ days")))))))))</x:f>
        <x:v>Missing Required Date</x:v>
      </x:c>
      <x:c r="AS102" s="25" t="str">
        <x:f>IF(OR(E102="processing",E102="executing",E102="pending"),IF(AP102="","Required aging date missing",IF(AQ102&gt;30,"Escalate &gt;30d",IF(AQ102&gt;14,"Watch &gt;14d","Within 14d"))),"Out of scope")</x:f>
        <x:v>Out of scope</x:v>
      </x:c>
    </x:row>
    <x:row r="103" ht="24" customHeight="1">
      <x:c r="A103" t="str">
        <x:v>f3175e11-9594-4bb3-924e-6372942fda80</x:v>
      </x:c>
      <x:c r="B103" t="str">
        <x:v>CSSP10845786</x:v>
      </x:c>
      <x:c r="C103" t="str">
        <x:v>ivanlim.choonkit@petronas.com</x:v>
      </x:c>
      <x:c r="D103" t="str">
        <x:v>decommission-cloud</x:v>
      </x:c>
      <x:c r="E103" t="str">
        <x:v>rejected</x:v>
      </x:c>
      <x:c r="F103" t="n">
        <x:v>46058.35969225694</x:v>
      </x:c>
      <x:c r="G103" t="n">
        <x:v>46062.15727766204</x:v>
      </x:c>
      <x:c r="H103" t="n">
        <x:v>46058.35969225694</x:v>
      </x:c>
      <x:c r="I103" t="str">
        <x:v>Upstream Mobile Application</x:v>
      </x:c>
      <x:c r="J103" t="str">
        <x:v>Provision of Hosting Services for UP Mobile for Upstream Digital, PCSB</x:v>
      </x:c>
      <x:c r="K103" t="str">
        <x:v>partial</x:v>
      </x:c>
      <x:c r="L103"/>
      <x:c r="M103" t="str">
        <x:v>sharulazlan.ahmad@petronas.com</x:v>
      </x:c>
      <x:c r="N103" t="str">
        <x:v>https://up.petronas.com </x:v>
      </x:c>
      <x:c r="O103" t="str">
        <x:v>PSR03811</x:v>
      </x:c>
      <x:c r="P103" t="str">
        <x:v>DPIA activity to decomm unused resources</x:v>
      </x:c>
      <x:c r="Q103" t="str">
        <x:v>1M</x:v>
      </x:c>
      <x:c r="R103" t="str">
        <x:v>Not in Used</x:v>
      </x:c>
      <x:c r="S103"/>
      <x:c r="T103" t="str">
        <x:v>approved</x:v>
      </x:c>
      <x:c r="U103" t="str">
        <x:v>sharulazlan.ahmad@petronas.com</x:v>
      </x:c>
      <x:c r="V103" t="n">
        <x:v>46059.30391927083</x:v>
      </x:c>
      <x:c r="W103" t="str">
        <x:v>Reviewed and approved</x:v>
      </x:c>
      <x:c r="X103" t="str">
        <x:v>approved</x:v>
      </x:c>
      <x:c r="Y103" t="str">
        <x:v>sharulazlan.ahmad@petronas.com</x:v>
      </x:c>
      <x:c r="Z103" t="n">
        <x:v>46059.304245844905</x:v>
      </x:c>
      <x:c r="AA103" t="str">
        <x:v>Approved</x:v>
      </x:c>
      <x:c r="AB103" t="str">
        <x:v>rejected</x:v>
      </x:c>
      <x:c r="AC103" t="str">
        <x:v>azwan.badari@petronas.com</x:v>
      </x:c>
      <x:c r="AD103" t="n">
        <x:v>46062.15727766204</x:v>
      </x:c>
      <x:c r="AE103" t="str">
        <x:v>To cancelled</x:v>
      </x:c>
      <x:c r="AF103"/>
      <x:c r="AG103" t="str">
        <x:v>CCoE Operations</x:v>
      </x:c>
      <x:c r="AH103"/>
      <x:c r="AI103"/>
      <x:c r="AJ103" t="str">
        <x:v>A-000823</x:v>
      </x:c>
      <x:c r="AK103" t="str">
        <x:v>PSR05960</x:v>
      </x:c>
      <x:c r="AL103"/>
      <x:c r="AM103"/>
      <x:c r="AN103" t="str">
        <x:v>retention</x:v>
      </x:c>
      <x:c r="AO103" t="n">
        <x:v>30</x:v>
      </x:c>
      <x:c r="AP103" s="23" t="str">
        <x:f>IF(E103="processing",IF(Z103="","",IF(ISNUMBER(Z103),INT(Z103),DATE(VALUE(LEFT(Z103,4)),VALUE(MID(Z103,6,2)),VALUE(MID(Z103,9,2))))),IF(OR(E103="executing",E103="pending"),IF(AD103="","",IF(ISNUMBER(AD103),INT(AD103),DATE(VALUE(LEFT(AD103,4)),VALUE(MID(AD103,6,2)),VALUE(MID(AD103,9,2))))),""))</x:f>
      </x:c>
      <x:c r="AQ103" s="24" t="str">
        <x:f>IF(AP103="","",INT('Configuration'!$B$4)-AP103)</x:f>
      </x:c>
      <x:c r="AR103" s="25" t="str">
        <x:f>IF(AP103="","Missing Required Date",IF(AQ103&lt;0,"Future Date",IF(AQ103=0,"0 days",IF(AQ103&lt;=2,"1-2 days",IF(AQ103&lt;=7,"3-7 days",IF(AQ103&lt;=14,"8-14 days",IF(AQ103&lt;=30,"15-30 days",IF(AQ103&lt;=60,"31-60 days",IF(AQ103&lt;=70,"61-70 days","71+ days")))))))))</x:f>
        <x:v>Missing Required Date</x:v>
      </x:c>
      <x:c r="AS103" s="25" t="str">
        <x:f>IF(OR(E103="processing",E103="executing",E103="pending"),IF(AP103="","Required aging date missing",IF(AQ103&gt;30,"Escalate &gt;30d",IF(AQ103&gt;14,"Watch &gt;14d","Within 14d"))),"Out of scope")</x:f>
        <x:v>Out of scope</x:v>
      </x:c>
    </x:row>
    <x:row r="104" ht="24" customHeight="1">
      <x:c r="A104" t="str">
        <x:v>5c1c127f-8997-41a6-97f4-d365211cc1ea</x:v>
      </x:c>
      <x:c r="B104" t="str">
        <x:v>CSSP10957330</x:v>
      </x:c>
      <x:c r="C104" t="str">
        <x:v>ivanlim.choonkit@petronas.com</x:v>
      </x:c>
      <x:c r="D104" t="str">
        <x:v>decommission-cloud</x:v>
      </x:c>
      <x:c r="E104" t="str">
        <x:v>rejected</x:v>
      </x:c>
      <x:c r="F104" t="n">
        <x:v>46058.36844184028</x:v>
      </x:c>
      <x:c r="G104" t="n">
        <x:v>46062.157018136575</x:v>
      </x:c>
      <x:c r="H104" t="n">
        <x:v>46058.36844184028</x:v>
      </x:c>
      <x:c r="I104" t="str">
        <x:v>Upstream Mobile Application</x:v>
      </x:c>
      <x:c r="J104" t="str">
        <x:v>Provision of Hosting Services for UP Mobile for Upstream Digital, PCSB</x:v>
      </x:c>
      <x:c r="K104" t="str">
        <x:v>partial</x:v>
      </x:c>
      <x:c r="L104"/>
      <x:c r="M104" t="str">
        <x:v>sharulazlan.ahmad@petronas.com.my</x:v>
      </x:c>
      <x:c r="N104" t="str">
        <x:v>https://up.petronas.com </x:v>
      </x:c>
      <x:c r="O104" t="str">
        <x:v>003UD1-001</x:v>
      </x:c>
      <x:c r="P104" t="str">
        <x:v>[DPIA] - To decomm resources that are unused</x:v>
      </x:c>
      <x:c r="Q104" t="str">
        <x:v>1M</x:v>
      </x:c>
      <x:c r="R104" t="str">
        <x:v>Not in Used</x:v>
      </x:c>
      <x:c r="S104"/>
      <x:c r="T104" t="str">
        <x:v>approved</x:v>
      </x:c>
      <x:c r="U104" t="str">
        <x:v>sharulazlan.ahmad@petronas.com</x:v>
      </x:c>
      <x:c r="V104" t="n">
        <x:v>46059.30542949074</x:v>
      </x:c>
      <x:c r="W104" t="str">
        <x:v>Reviewed</x:v>
      </x:c>
      <x:c r="X104" t="str">
        <x:v>approved</x:v>
      </x:c>
      <x:c r="Y104" t="str">
        <x:v>sharulazlan.ahmad@petronas.com</x:v>
      </x:c>
      <x:c r="Z104" t="n">
        <x:v>46059.30565318287</x:v>
      </x:c>
      <x:c r="AA104" t="str">
        <x:v>Approved</x:v>
      </x:c>
      <x:c r="AB104" t="str">
        <x:v>rejected</x:v>
      </x:c>
      <x:c r="AC104" t="str">
        <x:v>azwan.badari@petronas.com</x:v>
      </x:c>
      <x:c r="AD104" t="n">
        <x:v>46062.157018136575</x:v>
      </x:c>
      <x:c r="AE104" t="str">
        <x:v>To cancelled</x:v>
      </x:c>
      <x:c r="AF104"/>
      <x:c r="AG104" t="str">
        <x:v>CCoE Operations</x:v>
      </x:c>
      <x:c r="AH104"/>
      <x:c r="AI104"/>
      <x:c r="AJ104" t="str">
        <x:v>A-000823</x:v>
      </x:c>
      <x:c r="AK104" t="str">
        <x:v>PSR05960</x:v>
      </x:c>
      <x:c r="AL104"/>
      <x:c r="AM104"/>
      <x:c r="AN104" t="str">
        <x:v>retention</x:v>
      </x:c>
      <x:c r="AO104" t="n">
        <x:v>30</x:v>
      </x:c>
      <x:c r="AP104" s="23" t="str">
        <x:f>IF(E104="processing",IF(Z104="","",IF(ISNUMBER(Z104),INT(Z104),DATE(VALUE(LEFT(Z104,4)),VALUE(MID(Z104,6,2)),VALUE(MID(Z104,9,2))))),IF(OR(E104="executing",E104="pending"),IF(AD104="","",IF(ISNUMBER(AD104),INT(AD104),DATE(VALUE(LEFT(AD104,4)),VALUE(MID(AD104,6,2)),VALUE(MID(AD104,9,2))))),""))</x:f>
      </x:c>
      <x:c r="AQ104" s="24" t="str">
        <x:f>IF(AP104="","",INT('Configuration'!$B$4)-AP104)</x:f>
      </x:c>
      <x:c r="AR104" s="25" t="str">
        <x:f>IF(AP104="","Missing Required Date",IF(AQ104&lt;0,"Future Date",IF(AQ104=0,"0 days",IF(AQ104&lt;=2,"1-2 days",IF(AQ104&lt;=7,"3-7 days",IF(AQ104&lt;=14,"8-14 days",IF(AQ104&lt;=30,"15-30 days",IF(AQ104&lt;=60,"31-60 days",IF(AQ104&lt;=70,"61-70 days","71+ days")))))))))</x:f>
        <x:v>Missing Required Date</x:v>
      </x:c>
      <x:c r="AS104" s="25" t="str">
        <x:f>IF(OR(E104="processing",E104="executing",E104="pending"),IF(AP104="","Required aging date missing",IF(AQ104&gt;30,"Escalate &gt;30d",IF(AQ104&gt;14,"Watch &gt;14d","Within 14d"))),"Out of scope")</x:f>
        <x:v>Out of scope</x:v>
      </x:c>
    </x:row>
    <x:row r="105" ht="24" customHeight="1">
      <x:c r="A105" t="str">
        <x:v>72939741-a7d4-497b-b140-3cc5701f0c81</x:v>
      </x:c>
      <x:c r="B105" t="str">
        <x:v>CSSP10249306</x:v>
      </x:c>
      <x:c r="C105" t="str">
        <x:v>ivanlim.choonkit@petronas.com</x:v>
      </x:c>
      <x:c r="D105" t="str">
        <x:v>decommission-cloud</x:v>
      </x:c>
      <x:c r="E105" t="str">
        <x:v>completed</x:v>
      </x:c>
      <x:c r="F105" t="n">
        <x:v>46058.37582083333</x:v>
      </x:c>
      <x:c r="G105" t="n">
        <x:v>46065.15117547454</x:v>
      </x:c>
      <x:c r="H105" t="n">
        <x:v>46058.37582083333</x:v>
      </x:c>
      <x:c r="I105" t="str">
        <x:v>Upstream Mobile Application</x:v>
      </x:c>
      <x:c r="J105" t="str">
        <x:v>Provision of Production Environment (Microsoft Azure Cloud Services) Hosting for Upstream Mobile Application for Operational Excellence (OE), PCSB - PCSB Integrated Operations (IO) Up-Mobile Infrastructure (Mobile App) - Production</x:v>
      </x:c>
      <x:c r="K105" t="str">
        <x:v>partial</x:v>
      </x:c>
      <x:c r="L105"/>
      <x:c r="M105" t="str">
        <x:v>sharulazlan.ahmad@petronas.com.my</x:v>
      </x:c>
      <x:c r="N105" t="str">
        <x:v>https://up.petronas.com </x:v>
      </x:c>
      <x:c r="O105" t="str">
        <x:v>003UD1-001</x:v>
      </x:c>
      <x:c r="P105" t="str">
        <x:v>[DPIA] - Decomm resources that is not in used</x:v>
      </x:c>
      <x:c r="Q105" t="str">
        <x:v>1M</x:v>
      </x:c>
      <x:c r="R105" t="str">
        <x:v>Not in Used</x:v>
      </x:c>
      <x:c r="S105"/>
      <x:c r="T105" t="str">
        <x:v>approved</x:v>
      </x:c>
      <x:c r="U105" t="str">
        <x:v>ivanlim.choonkit@petronas.com</x:v>
      </x:c>
      <x:c r="V105" t="n">
        <x:v>46058.3981578125</x:v>
      </x:c>
      <x:c r="W105" t="str">
        <x:v>[DPIA] Upstream Mobile Application - To decomm unused resources</x:v>
      </x:c>
      <x:c r="X105" t="str">
        <x:v>approved</x:v>
      </x:c>
      <x:c r="Y105" t="str">
        <x:v>sharulazlan.ahmad@petronas.com</x:v>
      </x:c>
      <x:c r="Z105" t="n">
        <x:v>46059.304800868056</x:v>
      </x:c>
      <x:c r="AA105" t="str">
        <x:v>Approved</x:v>
      </x:c>
      <x:c r="AB105" t="str">
        <x:v>approved</x:v>
      </x:c>
      <x:c r="AC105" t="str">
        <x:v>azwan.badari@petronas.com</x:v>
      </x:c>
      <x:c r="AD105" t="n">
        <x:v>46062.15926033565</x:v>
      </x:c>
      <x:c r="AE105" t="str">
        <x:v>Decommission selected resources</x:v>
      </x:c>
      <x:c r="AF105" t="str">
        <x:v>approved</x:v>
      </x:c>
      <x:c r="AG105" t="str">
        <x:v>azlisham.md@petronas.com</x:v>
      </x:c>
      <x:c r="AH105" t="n">
        <x:v>46065.15117547454</x:v>
      </x:c>
      <x:c r="AI105" t="str">
        <x:v>The decommission request has been completed, and the status is now updated accordingly. Kindly verify from your end and confirm once reviewed.
</x:v>
      </x:c>
      <x:c r="AJ105" t="str">
        <x:v>A-000823</x:v>
      </x:c>
      <x:c r="AK105" t="str">
        <x:v>PSR04596</x:v>
      </x:c>
      <x:c r="AL105" t="str">
        <x:v>M</x:v>
      </x:c>
      <x:c r="AM105" t="str">
        <x:v>REQ000007865931</x:v>
      </x:c>
      <x:c r="AN105" t="str">
        <x:v>retention</x:v>
      </x:c>
      <x:c r="AO105" t="n">
        <x:v>30</x:v>
      </x:c>
      <x:c r="AP105" s="23" t="str">
        <x:f>IF(E105="processing",IF(Z105="","",IF(ISNUMBER(Z105),INT(Z105),DATE(VALUE(LEFT(Z105,4)),VALUE(MID(Z105,6,2)),VALUE(MID(Z105,9,2))))),IF(OR(E105="executing",E105="pending"),IF(AD105="","",IF(ISNUMBER(AD105),INT(AD105),DATE(VALUE(LEFT(AD105,4)),VALUE(MID(AD105,6,2)),VALUE(MID(AD105,9,2))))),""))</x:f>
      </x:c>
      <x:c r="AQ105" s="24" t="str">
        <x:f>IF(AP105="","",INT('Configuration'!$B$4)-AP105)</x:f>
      </x:c>
      <x:c r="AR105" s="25" t="str">
        <x:f>IF(AP105="","Missing Required Date",IF(AQ105&lt;0,"Future Date",IF(AQ105=0,"0 days",IF(AQ105&lt;=2,"1-2 days",IF(AQ105&lt;=7,"3-7 days",IF(AQ105&lt;=14,"8-14 days",IF(AQ105&lt;=30,"15-30 days",IF(AQ105&lt;=60,"31-60 days",IF(AQ105&lt;=70,"61-70 days","71+ days")))))))))</x:f>
        <x:v>Missing Required Date</x:v>
      </x:c>
      <x:c r="AS105" s="25" t="str">
        <x:f>IF(OR(E105="processing",E105="executing",E105="pending"),IF(AP105="","Required aging date missing",IF(AQ105&gt;30,"Escalate &gt;30d",IF(AQ105&gt;14,"Watch &gt;14d","Within 14d"))),"Out of scope")</x:f>
        <x:v>Out of scope</x:v>
      </x:c>
    </x:row>
    <x:row r="106" ht="24" customHeight="1">
      <x:c r="A106" t="str">
        <x:v>da65f520-e4d4-4105-99d5-f281e22b9290</x:v>
      </x:c>
      <x:c r="B106" t="str">
        <x:v>CSSP10921166</x:v>
      </x:c>
      <x:c r="C106" t="str">
        <x:v>siddiq.faiz@petronas.com</x:v>
      </x:c>
      <x:c r="D106" t="str">
        <x:v>decommission-cloud</x:v>
      </x:c>
      <x:c r="E106" t="str">
        <x:v>completed</x:v>
      </x:c>
      <x:c r="F106" t="n">
        <x:v>46059.55295952546</x:v>
      </x:c>
      <x:c r="G106" t="n">
        <x:v>46065.131144074076</x:v>
      </x:c>
      <x:c r="H106" t="n">
        <x:v>46059.55295952546</x:v>
      </x:c>
      <x:c r="I106" t="str">
        <x:v>GPU Technical Centre (GTC) and Barrier Management Tools</x:v>
      </x:c>
      <x:c r="J106" t="str">
        <x:v>GPU Technical Centre (GTC) and Barrier Management Tools</x:v>
      </x:c>
      <x:c r="K106" t="str">
        <x:v>partial</x:v>
      </x:c>
      <x:c r="L106"/>
      <x:c r="M106" t="str">
        <x:v>syaiful_hendra@petronas.com</x:v>
      </x:c>
      <x:c r="N106"/>
      <x:c r="O106"/>
      <x:c r="P106" t="str">
        <x:v>To decommission ONLY the following server, as it is no longer in use:
Server Function: System 1 Fleet Server
Hostname: CENPGTCSFLAP01
S/N: 8G6WB33
IP Address: 10.14.21.59</x:v>
      </x:c>
      <x:c r="Q106" t="str">
        <x:v>12M</x:v>
      </x:c>
      <x:c r="R106" t="str">
        <x:v>Not in Used</x:v>
      </x:c>
      <x:c r="S106"/>
      <x:c r="T106" t="str">
        <x:v>approved</x:v>
      </x:c>
      <x:c r="U106" t="str">
        <x:v>siddiq.faiz@petronas.com</x:v>
      </x:c>
      <x:c r="V106" t="n">
        <x:v>46059.55564398148</x:v>
      </x:c>
      <x:c r="W106" t="str">
        <x:v>To decommission ONLY the following server, as it is no longer in use:
Server Function: System 1 Fleet Server
Hostname: CENPGTCSFLAP01
S/N: 8G6WB33
IP Address: 10.14.21.59</x:v>
      </x:c>
      <x:c r="X106" t="str">
        <x:v>approved</x:v>
      </x:c>
      <x:c r="Y106" t="str">
        <x:v>syaiful_hendra@petronas.com</x:v>
      </x:c>
      <x:c r="Z106" t="n">
        <x:v>46062.326688981484</x:v>
      </x:c>
      <x:c r="AA106" t="str">
        <x:v>agreed to decomm  1 server out of 3 server. System 1 Evo still functional as normal with remaining 2 server.</x:v>
      </x:c>
      <x:c r="AB106" t="str">
        <x:v>approved</x:v>
      </x:c>
      <x:c r="AC106" t="str">
        <x:v>azwan.badari@petronas.com</x:v>
      </x:c>
      <x:c r="AD106" t="n">
        <x:v>46062.39347964121</x:v>
      </x:c>
      <x:c r="AE106" t="str">
        <x:v>Proceed to decommission physical server in KVDC.</x:v>
      </x:c>
      <x:c r="AF106" t="str">
        <x:v>approved</x:v>
      </x:c>
      <x:c r="AG106" t="str">
        <x:v>azlisham.md@petronas.com</x:v>
      </x:c>
      <x:c r="AH106" t="n">
        <x:v>46065.131144074076</x:v>
      </x:c>
      <x:c r="AI106" t="str">
        <x:v>The decommission request has been completed, and the status is now updated accordingly. Kindly verify from your end and confirm once reviewed.
</x:v>
      </x:c>
      <x:c r="AJ106" t="str">
        <x:v>A-001321</x:v>
      </x:c>
      <x:c r="AK106" t="str">
        <x:v>PSR1014</x:v>
      </x:c>
      <x:c r="AL106" t="str">
        <x:v>L</x:v>
      </x:c>
      <x:c r="AM106" t="str">
        <x:v>REQ000007866855</x:v>
      </x:c>
      <x:c r="AN106" t="str">
        <x:v>disposal</x:v>
      </x:c>
      <x:c r="AO106" t="n">
        <x:v>0</x:v>
      </x:c>
      <x:c r="AP106" s="23" t="str">
        <x:f>IF(E106="processing",IF(Z106="","",IF(ISNUMBER(Z106),INT(Z106),DATE(VALUE(LEFT(Z106,4)),VALUE(MID(Z106,6,2)),VALUE(MID(Z106,9,2))))),IF(OR(E106="executing",E106="pending"),IF(AD106="","",IF(ISNUMBER(AD106),INT(AD106),DATE(VALUE(LEFT(AD106,4)),VALUE(MID(AD106,6,2)),VALUE(MID(AD106,9,2))))),""))</x:f>
      </x:c>
      <x:c r="AQ106" s="24" t="str">
        <x:f>IF(AP106="","",INT('Configuration'!$B$4)-AP106)</x:f>
      </x:c>
      <x:c r="AR106" s="25" t="str">
        <x:f>IF(AP106="","Missing Required Date",IF(AQ106&lt;0,"Future Date",IF(AQ106=0,"0 days",IF(AQ106&lt;=2,"1-2 days",IF(AQ106&lt;=7,"3-7 days",IF(AQ106&lt;=14,"8-14 days",IF(AQ106&lt;=30,"15-30 days",IF(AQ106&lt;=60,"31-60 days",IF(AQ106&lt;=70,"61-70 days","71+ days")))))))))</x:f>
        <x:v>Missing Required Date</x:v>
      </x:c>
      <x:c r="AS106" s="25" t="str">
        <x:f>IF(OR(E106="processing",E106="executing",E106="pending"),IF(AP106="","Required aging date missing",IF(AQ106&gt;30,"Escalate &gt;30d",IF(AQ106&gt;14,"Watch &gt;14d","Within 14d"))),"Out of scope")</x:f>
        <x:v>Out of scope</x:v>
      </x:c>
    </x:row>
    <x:row r="107" ht="24" customHeight="1">
      <x:c r="A107" t="str">
        <x:v>f3a70e1e-5ccf-44c1-84c2-5513331284a8</x:v>
      </x:c>
      <x:c r="B107" t="str">
        <x:v>CSSP10827404</x:v>
      </x:c>
      <x:c r="C107" t="str">
        <x:v>mzurfaiezzuddin.zur@petronas.com</x:v>
      </x:c>
      <x:c r="D107" t="str">
        <x:v>decommission-cloud</x:v>
      </x:c>
      <x:c r="E107" t="str">
        <x:v>completed</x:v>
      </x:c>
      <x:c r="F107" t="n">
        <x:v>46062.04841793981</x:v>
      </x:c>
      <x:c r="G107" t="n">
        <x:v>46069.36041013889</x:v>
      </x:c>
      <x:c r="H107" t="n">
        <x:v>46062.04841793981</x:v>
      </x:c>
      <x:c r="I107" t="str">
        <x:v>Wells DROID</x:v>
      </x:c>
      <x:c r="J107" t="str">
        <x:v>Cloud Migration - Wells Droid 2.0</x:v>
      </x:c>
      <x:c r="K107" t="str">
        <x:v>partial</x:v>
      </x:c>
      <x:c r="L107"/>
      <x:c r="M107" t="str">
        <x:v>sazali.mokhtar@petronas.com</x:v>
      </x:c>
      <x:c r="N107"/>
      <x:c r="O107"/>
      <x:c r="P107" t="str">
        <x:v>Cloud Repatriation - To decommission old resources in Singapore region due to completed migration in MY region</x:v>
      </x:c>
      <x:c r="Q107" t="str">
        <x:v>2W</x:v>
      </x:c>
      <x:c r="R107" t="str">
        <x:v>Cloud Migration</x:v>
      </x:c>
      <x:c r="S107"/>
      <x:c r="T107" t="str">
        <x:v>approved</x:v>
      </x:c>
      <x:c r="U107" t="str">
        <x:v>mzurfaiezzuddin.zur@petronas.com</x:v>
      </x:c>
      <x:c r="V107" t="n">
        <x:v>46062.04970261574</x:v>
      </x:c>
      <x:c r="W107" t="str">
        <x:v>Cloud Repatriation - To decommission old resources in Singapore region due to completed migration in MY region</x:v>
      </x:c>
      <x:c r="X107" t="str">
        <x:v>approved</x:v>
      </x:c>
      <x:c r="Y107" t="str">
        <x:v>sazali.mokhtar@petronas.com</x:v>
      </x:c>
      <x:c r="Z107" t="n">
        <x:v>46064.098356828705</x:v>
      </x:c>
      <x:c r="AA107" t="str">
        <x:v>Reviewed and approved from 40,000 feet above the sea. All the best!</x:v>
      </x:c>
      <x:c r="AB107" t="str">
        <x:v>approved</x:v>
      </x:c>
      <x:c r="AC107" t="str">
        <x:v>azwan.badari@petronas.com</x:v>
      </x:c>
      <x:c r="AD107" t="n">
        <x:v>46064.14671349537</x:v>
      </x:c>
      <x:c r="AE107" t="str">
        <x:v>Repat - Decommission as listed</x:v>
      </x:c>
      <x:c r="AF107" t="str">
        <x:v>approved</x:v>
      </x:c>
      <x:c r="AG107" t="str">
        <x:v>azwan.badari@petronas.com</x:v>
      </x:c>
      <x:c r="AH107" t="n">
        <x:v>46069.36041015046</x:v>
      </x:c>
      <x:c r="AI107" t="str">
        <x:v>Completed</x:v>
      </x:c>
      <x:c r="AJ107" t="str">
        <x:v>A-000859</x:v>
      </x:c>
      <x:c r="AK107" t="str">
        <x:v>00915_133</x:v>
      </x:c>
      <x:c r="AL107" t="str">
        <x:v>M</x:v>
      </x:c>
      <x:c r="AM107" t="str">
        <x:v>REQ000007870571</x:v>
      </x:c>
      <x:c r="AN107" t="str">
        <x:v>noretention</x:v>
      </x:c>
      <x:c r="AO107" t="n">
        <x:v>0</x:v>
      </x:c>
      <x:c r="AP107" s="23" t="str">
        <x:f>IF(E107="processing",IF(Z107="","",IF(ISNUMBER(Z107),INT(Z107),DATE(VALUE(LEFT(Z107,4)),VALUE(MID(Z107,6,2)),VALUE(MID(Z107,9,2))))),IF(OR(E107="executing",E107="pending"),IF(AD107="","",IF(ISNUMBER(AD107),INT(AD107),DATE(VALUE(LEFT(AD107,4)),VALUE(MID(AD107,6,2)),VALUE(MID(AD107,9,2))))),""))</x:f>
      </x:c>
      <x:c r="AQ107" s="24" t="str">
        <x:f>IF(AP107="","",INT('Configuration'!$B$4)-AP107)</x:f>
      </x:c>
      <x:c r="AR107" s="25" t="str">
        <x:f>IF(AP107="","Missing Required Date",IF(AQ107&lt;0,"Future Date",IF(AQ107=0,"0 days",IF(AQ107&lt;=2,"1-2 days",IF(AQ107&lt;=7,"3-7 days",IF(AQ107&lt;=14,"8-14 days",IF(AQ107&lt;=30,"15-30 days",IF(AQ107&lt;=60,"31-60 days",IF(AQ107&lt;=70,"61-70 days","71+ days")))))))))</x:f>
        <x:v>Missing Required Date</x:v>
      </x:c>
      <x:c r="AS107" s="25" t="str">
        <x:f>IF(OR(E107="processing",E107="executing",E107="pending"),IF(AP107="","Required aging date missing",IF(AQ107&gt;30,"Escalate &gt;30d",IF(AQ107&gt;14,"Watch &gt;14d","Within 14d"))),"Out of scope")</x:f>
        <x:v>Out of scope</x:v>
      </x:c>
    </x:row>
    <x:row r="108" ht="24" customHeight="1">
      <x:c r="A108" t="str">
        <x:v>693955db-9694-4d71-86ee-fc7e801a69fc</x:v>
      </x:c>
      <x:c r="B108" t="str">
        <x:v>CSSP10431237</x:v>
      </x:c>
      <x:c r="C108" t="str">
        <x:v>mzurfaiezzuddin.zur@petronas.com</x:v>
      </x:c>
      <x:c r="D108" t="str">
        <x:v>decommission-cloud</x:v>
      </x:c>
      <x:c r="E108" t="str">
        <x:v>completed</x:v>
      </x:c>
      <x:c r="F108" t="n">
        <x:v>46062.086416736114</x:v>
      </x:c>
      <x:c r="G108" t="n">
        <x:v>46069.36910383102</x:v>
      </x:c>
      <x:c r="H108" t="n">
        <x:v>46062.086416736114</x:v>
      </x:c>
      <x:c r="I108" t="str">
        <x:v>Quality Practitioner Registration Scheme - QPRS</x:v>
      </x:c>
      <x:c r="J108" t="str">
        <x:v>[PMOF] Development of Quality Practitioner Registration Scheme (QPRS) for GPD</x:v>
      </x:c>
      <x:c r="K108" t="str">
        <x:v>partial</x:v>
      </x:c>
      <x:c r="L108"/>
      <x:c r="M108" t="str">
        <x:v>sazali.mokhtar@petronas.com</x:v>
      </x:c>
      <x:c r="N108"/>
      <x:c r="O108"/>
      <x:c r="P108" t="str">
        <x:v>Cloud Repatriation - To decommission old resources in Singapore region due to completed migration in MY region</x:v>
      </x:c>
      <x:c r="Q108" t="str">
        <x:v>2W</x:v>
      </x:c>
      <x:c r="R108" t="str">
        <x:v>Cloud Migration</x:v>
      </x:c>
      <x:c r="S108"/>
      <x:c r="T108" t="str">
        <x:v>approved</x:v>
      </x:c>
      <x:c r="U108" t="str">
        <x:v>mzurfaiezzuddin.zur@petronas.com</x:v>
      </x:c>
      <x:c r="V108" t="n">
        <x:v>46062.086910081016</x:v>
      </x:c>
      <x:c r="W108" t="str">
        <x:v>Cloud Repatriation - To decommission old resources in Singapore region due to completed migration in MY region</x:v>
      </x:c>
      <x:c r="X108" t="str">
        <x:v>approved</x:v>
      </x:c>
      <x:c r="Y108" t="str">
        <x:v>sazali.mokhtar@petronas.com</x:v>
      </x:c>
      <x:c r="Z108" t="n">
        <x:v>46064.09436747685</x:v>
      </x:c>
      <x:c r="AA108" t="str">
        <x:v>Special approval from 40,000 ft above the sea.</x:v>
      </x:c>
      <x:c r="AB108" t="str">
        <x:v>approved</x:v>
      </x:c>
      <x:c r="AC108" t="str">
        <x:v>azwan.badari@petronas.com</x:v>
      </x:c>
      <x:c r="AD108" t="n">
        <x:v>46064.14355855324</x:v>
      </x:c>
      <x:c r="AE108" t="str">
        <x:v>Repat - Decommission as listed</x:v>
      </x:c>
      <x:c r="AF108" t="str">
        <x:v>approved</x:v>
      </x:c>
      <x:c r="AG108" t="str">
        <x:v>azwan.badari@petronas.com</x:v>
      </x:c>
      <x:c r="AH108" t="n">
        <x:v>46069.36910383102</x:v>
      </x:c>
      <x:c r="AI108" t="str">
        <x:v>Completed</x:v>
      </x:c>
      <x:c r="AJ108" t="str">
        <x:v>A-000632</x:v>
      </x:c>
      <x:c r="AK108" t="n">
        <x:v>2795</x:v>
      </x:c>
      <x:c r="AL108" t="str">
        <x:v>M</x:v>
      </x:c>
      <x:c r="AM108" t="str">
        <x:v>REQ000007870658</x:v>
      </x:c>
      <x:c r="AN108" t="str">
        <x:v>noretention</x:v>
      </x:c>
      <x:c r="AO108" t="n">
        <x:v>0</x:v>
      </x:c>
      <x:c r="AP108" s="23" t="str">
        <x:f>IF(E108="processing",IF(Z108="","",IF(ISNUMBER(Z108),INT(Z108),DATE(VALUE(LEFT(Z108,4)),VALUE(MID(Z108,6,2)),VALUE(MID(Z108,9,2))))),IF(OR(E108="executing",E108="pending"),IF(AD108="","",IF(ISNUMBER(AD108),INT(AD108),DATE(VALUE(LEFT(AD108,4)),VALUE(MID(AD108,6,2)),VALUE(MID(AD108,9,2))))),""))</x:f>
      </x:c>
      <x:c r="AQ108" s="24" t="str">
        <x:f>IF(AP108="","",INT('Configuration'!$B$4)-AP108)</x:f>
      </x:c>
      <x:c r="AR108" s="25" t="str">
        <x:f>IF(AP108="","Missing Required Date",IF(AQ108&lt;0,"Future Date",IF(AQ108=0,"0 days",IF(AQ108&lt;=2,"1-2 days",IF(AQ108&lt;=7,"3-7 days",IF(AQ108&lt;=14,"8-14 days",IF(AQ108&lt;=30,"15-30 days",IF(AQ108&lt;=60,"31-60 days",IF(AQ108&lt;=70,"61-70 days","71+ days")))))))))</x:f>
        <x:v>Missing Required Date</x:v>
      </x:c>
      <x:c r="AS108" s="25" t="str">
        <x:f>IF(OR(E108="processing",E108="executing",E108="pending"),IF(AP108="","Required aging date missing",IF(AQ108&gt;30,"Escalate &gt;30d",IF(AQ108&gt;14,"Watch &gt;14d","Within 14d"))),"Out of scope")</x:f>
        <x:v>Out of scope</x:v>
      </x:c>
    </x:row>
    <x:row r="109" ht="24" customHeight="1">
      <x:c r="A109" t="str">
        <x:v>fa8b8055-6eae-4c8b-acc0-4c51be888c92</x:v>
      </x:c>
      <x:c r="B109" t="str">
        <x:v>CSSP10192804</x:v>
      </x:c>
      <x:c r="C109" t="str">
        <x:v>joharizam.mahmood@petronas.com</x:v>
      </x:c>
      <x:c r="D109" t="str">
        <x:v>decommission-cloud</x:v>
      </x:c>
      <x:c r="E109" t="str">
        <x:v>completed</x:v>
      </x:c>
      <x:c r="F109" t="n">
        <x:v>46062.41405493055</x:v>
      </x:c>
      <x:c r="G109" t="n">
        <x:v>46076.093769722225</x:v>
      </x:c>
      <x:c r="H109" t="n">
        <x:v>46063.04408354167</x:v>
      </x:c>
      <x:c r="I109" t="str">
        <x:v>Daily Staff Self Check-In</x:v>
      </x:c>
      <x:c r="J109" t="str">
        <x:v>Implementation of Daily Staff Self Check-in Function for PD&amp;T</x:v>
      </x:c>
      <x:c r="K109" t="str">
        <x:v>partial</x:v>
      </x:c>
      <x:c r="L109"/>
      <x:c r="M109" t="str">
        <x:v>khairuldin.zubai@petronas.com.my</x:v>
      </x:c>
      <x:c r="N109"/>
      <x:c r="O109"/>
      <x:c r="P109" t="str">
        <x:v>RGs ptazsg-prod-sscf-rg and ptazsg-dev-sscf-rg is no longer use.</x:v>
      </x:c>
      <x:c r="Q109" t="str">
        <x:v>2W</x:v>
      </x:c>
      <x:c r="R109" t="str">
        <x:v>Obsolete</x:v>
      </x:c>
      <x:c r="S109"/>
      <x:c r="T109" t="str">
        <x:v>approved</x:v>
      </x:c>
      <x:c r="U109" t="str">
        <x:v>joharizam.mahmood@petronas.com</x:v>
      </x:c>
      <x:c r="V109" t="n">
        <x:v>46063.046540497686</x:v>
      </x:c>
      <x:c r="W109" t="str">
        <x:v>All the resources under RGs ptazsg-prod-sscf-rg and ptazsg-dev-sscf-rg are no longer in use.</x:v>
      </x:c>
      <x:c r="X109" t="str">
        <x:v>approved</x:v>
      </x:c>
      <x:c r="Y109" t="str">
        <x:v>khairuldin.zubai@petronas.com</x:v>
      </x:c>
      <x:c r="Z109" t="n">
        <x:v>46066.183479074076</x:v>
      </x:c>
      <x:c r="AA109" t="str">
        <x:v>Confirmed with PUSPA Product Manager Joharizam that the RG is not used by PUSPA and REAL Dashboard</x:v>
      </x:c>
      <x:c r="AB109" t="str">
        <x:v>approved</x:v>
      </x:c>
      <x:c r="AC109" t="str">
        <x:v>azwan.badari@petronas.com</x:v>
      </x:c>
      <x:c r="AD109" t="n">
        <x:v>46072.29119787037</x:v>
      </x:c>
      <x:c r="AE109" t="str">
        <x:v>Proceed the mentioned RG</x:v>
      </x:c>
      <x:c r="AF109" t="str">
        <x:v>approved</x:v>
      </x:c>
      <x:c r="AG109" t="str">
        <x:v>azlisham.md@petronas.com</x:v>
      </x:c>
      <x:c r="AH109" t="n">
        <x:v>46076.093769733794</x:v>
      </x:c>
      <x:c r="AI109" t="str">
        <x:v>The decommission request has been completed, and the status is now updated accordingly. Kindly verify from your end and confirm once reviewed.
</x:v>
      </x:c>
      <x:c r="AJ109" t="str">
        <x:v>A-000791</x:v>
      </x:c>
      <x:c r="AK109" t="n">
        <x:v>906</x:v>
      </x:c>
      <x:c r="AL109" t="str">
        <x:v>M</x:v>
      </x:c>
      <x:c r="AM109" t="str">
        <x:v>REQ000007881184</x:v>
      </x:c>
      <x:c r="AN109" t="str">
        <x:v>noretention</x:v>
      </x:c>
      <x:c r="AO109" t="n">
        <x:v>0</x:v>
      </x:c>
      <x:c r="AP109" s="23" t="str">
        <x:f>IF(E109="processing",IF(Z109="","",IF(ISNUMBER(Z109),INT(Z109),DATE(VALUE(LEFT(Z109,4)),VALUE(MID(Z109,6,2)),VALUE(MID(Z109,9,2))))),IF(OR(E109="executing",E109="pending"),IF(AD109="","",IF(ISNUMBER(AD109),INT(AD109),DATE(VALUE(LEFT(AD109,4)),VALUE(MID(AD109,6,2)),VALUE(MID(AD109,9,2))))),""))</x:f>
      </x:c>
      <x:c r="AQ109" s="24" t="str">
        <x:f>IF(AP109="","",INT('Configuration'!$B$4)-AP109)</x:f>
      </x:c>
      <x:c r="AR109" s="25" t="str">
        <x:f>IF(AP109="","Missing Required Date",IF(AQ109&lt;0,"Future Date",IF(AQ109=0,"0 days",IF(AQ109&lt;=2,"1-2 days",IF(AQ109&lt;=7,"3-7 days",IF(AQ109&lt;=14,"8-14 days",IF(AQ109&lt;=30,"15-30 days",IF(AQ109&lt;=60,"31-60 days",IF(AQ109&lt;=70,"61-70 days","71+ days")))))))))</x:f>
        <x:v>Missing Required Date</x:v>
      </x:c>
      <x:c r="AS109" s="25" t="str">
        <x:f>IF(OR(E109="processing",E109="executing",E109="pending"),IF(AP109="","Required aging date missing",IF(AQ109&gt;30,"Escalate &gt;30d",IF(AQ109&gt;14,"Watch &gt;14d","Within 14d"))),"Out of scope")</x:f>
        <x:v>Out of scope</x:v>
      </x:c>
    </x:row>
    <x:row r="110" ht="24" customHeight="1">
      <x:c r="A110" t="str">
        <x:v>1e270ca8-36b1-40e1-8e64-cd57b362f487</x:v>
      </x:c>
      <x:c r="B110" t="str">
        <x:v>CSSP10232771</x:v>
      </x:c>
      <x:c r="C110" t="str">
        <x:v>joharizam.mahmood@petronas.com</x:v>
      </x:c>
      <x:c r="D110" t="str">
        <x:v>decommission-cloud</x:v>
      </x:c>
      <x:c r="E110" t="str">
        <x:v>completed</x:v>
      </x:c>
      <x:c r="F110" t="n">
        <x:v>46063.070962708334</x:v>
      </x:c>
      <x:c r="G110" t="n">
        <x:v>46073.11500913194</x:v>
      </x:c>
      <x:c r="H110" t="n">
        <x:v>46063.070962708334</x:v>
      </x:c>
      <x:c r="I110" t="str">
        <x:v>PETRONAS Unified Search and Personal Assistant - PUSPA for REAL</x:v>
      </x:c>
      <x:c r="J110" t="str">
        <x:v>PETRONAS Unified Search and Personal Assistant (PUSPA) EPIC 1 and EPIC 2 Development</x:v>
      </x:c>
      <x:c r="K110" t="str">
        <x:v>partial</x:v>
      </x:c>
      <x:c r="L110"/>
      <x:c r="M110" t="str">
        <x:v>khairuldin.zubai@petronas.com.my</x:v>
      </x:c>
      <x:c r="N110"/>
      <x:c r="O110"/>
      <x:c r="P110" t="str">
        <x:v>Request to delete the resource under RG ptazsg-dev-pdb-rg, as it is no longer required by PUSPA+ REAL Dashboard on post‑decommissioning of PUSPA in Sept 2024
</x:v>
      </x:c>
      <x:c r="Q110" t="str">
        <x:v>2W</x:v>
      </x:c>
      <x:c r="R110" t="str">
        <x:v>Not in Used</x:v>
      </x:c>
      <x:c r="S110"/>
      <x:c r="T110" t="str">
        <x:v>approved</x:v>
      </x:c>
      <x:c r="U110" t="str">
        <x:v>joharizam.mahmood@petronas.com</x:v>
      </x:c>
      <x:c r="V110" t="n">
        <x:v>46063.07542486111</x:v>
      </x:c>
      <x:c r="W110" t="str">
        <x:v>All the resources under RG ptazsg-dev-pdb-rg, are no longer required</x:v>
      </x:c>
      <x:c r="X110" t="str">
        <x:v>approved</x:v>
      </x:c>
      <x:c r="Y110" t="str">
        <x:v>khairuldin.zubai@petronas.com</x:v>
      </x:c>
      <x:c r="Z110" t="n">
        <x:v>46066.18265890046</x:v>
      </x:c>
      <x:c r="AA110" t="str">
        <x:v>Confirmed with PUSPA Product Manager Joharizam that the RG is not used by PUSPA and REAL Dashboard</x:v>
      </x:c>
      <x:c r="AB110" t="str">
        <x:v>approved</x:v>
      </x:c>
      <x:c r="AC110" t="str">
        <x:v>azwan.badari@petronas.com</x:v>
      </x:c>
      <x:c r="AD110" t="n">
        <x:v>46072.290084224536</x:v>
      </x:c>
      <x:c r="AE110" t="str">
        <x:v>Proceed</x:v>
      </x:c>
      <x:c r="AF110" t="str">
        <x:v>approved</x:v>
      </x:c>
      <x:c r="AG110" t="str">
        <x:v>azlisham.md@petronas.com</x:v>
      </x:c>
      <x:c r="AH110" t="n">
        <x:v>46073.11500913194</x:v>
      </x:c>
      <x:c r="AI110" t="str">
        <x:v>This request is a duplicate of REQ000007881185/CSSP10853444 for decommissioning resources under resource group ptazsg-dev-pdb-rg.</x:v>
      </x:c>
      <x:c r="AJ110" t="str">
        <x:v>A-001245</x:v>
      </x:c>
      <x:c r="AK110" t="n">
        <x:v>1478</x:v>
      </x:c>
      <x:c r="AL110" t="str">
        <x:v>M</x:v>
      </x:c>
      <x:c r="AM110" t="str">
        <x:v>REQ000007881744</x:v>
      </x:c>
      <x:c r="AN110" t="str">
        <x:v>noretention</x:v>
      </x:c>
      <x:c r="AO110" t="n">
        <x:v>0</x:v>
      </x:c>
      <x:c r="AP110" s="23" t="str">
        <x:f>IF(E110="processing",IF(Z110="","",IF(ISNUMBER(Z110),INT(Z110),DATE(VALUE(LEFT(Z110,4)),VALUE(MID(Z110,6,2)),VALUE(MID(Z110,9,2))))),IF(OR(E110="executing",E110="pending"),IF(AD110="","",IF(ISNUMBER(AD110),INT(AD110),DATE(VALUE(LEFT(AD110,4)),VALUE(MID(AD110,6,2)),VALUE(MID(AD110,9,2))))),""))</x:f>
      </x:c>
      <x:c r="AQ110" s="24" t="str">
        <x:f>IF(AP110="","",INT('Configuration'!$B$4)-AP110)</x:f>
      </x:c>
      <x:c r="AR110" s="25" t="str">
        <x:f>IF(AP110="","Missing Required Date",IF(AQ110&lt;0,"Future Date",IF(AQ110=0,"0 days",IF(AQ110&lt;=2,"1-2 days",IF(AQ110&lt;=7,"3-7 days",IF(AQ110&lt;=14,"8-14 days",IF(AQ110&lt;=30,"15-30 days",IF(AQ110&lt;=60,"31-60 days",IF(AQ110&lt;=70,"61-70 days","71+ days")))))))))</x:f>
        <x:v>Missing Required Date</x:v>
      </x:c>
      <x:c r="AS110" s="25" t="str">
        <x:f>IF(OR(E110="processing",E110="executing",E110="pending"),IF(AP110="","Required aging date missing",IF(AQ110&gt;30,"Escalate &gt;30d",IF(AQ110&gt;14,"Watch &gt;14d","Within 14d"))),"Out of scope")</x:f>
        <x:v>Out of scope</x:v>
      </x:c>
    </x:row>
    <x:row r="111" ht="24" customHeight="1">
      <x:c r="A111" t="str">
        <x:v>0f17e0cb-5535-4b0c-89d0-fb5eea0677e2</x:v>
      </x:c>
      <x:c r="B111" t="str">
        <x:v>CSSP10454800</x:v>
      </x:c>
      <x:c r="C111" t="str">
        <x:v>sulaiman.tawil@petronas.com</x:v>
      </x:c>
      <x:c r="D111" t="str">
        <x:v>decommission-cloud</x:v>
      </x:c>
      <x:c r="E111" t="str">
        <x:v>rejected</x:v>
      </x:c>
      <x:c r="F111" t="n">
        <x:v>46063.12165032407</x:v>
      </x:c>
      <x:c r="G111" t="n">
        <x:v>46063.30405385417</x:v>
      </x:c>
      <x:c r="H111" t="n">
        <x:v>46063.27556483796</x:v>
      </x:c>
      <x:c r="I111" t="str">
        <x:v>Facial Recognition - FR</x:v>
      </x:c>
      <x:c r="J111" t="str">
        <x:v>Implementation of Facial Recognition (FR) for PETRONAS LNG Complex for Group Security, GHSSE</x:v>
      </x:c>
      <x:c r="K111" t="str">
        <x:v>full</x:v>
      </x:c>
      <x:c r="L111" t="str">
        <x:v>DCOM20260210ef0</x:v>
      </x:c>
      <x:c r="M111" t="str">
        <x:v>sulaiman.tawil@petronas.com.my</x:v>
      </x:c>
      <x:c r="N111"/>
      <x:c r="O111"/>
      <x:c r="P111" t="str">
        <x:v>DPIA and Server not in used as confirmed by Fazreel (GS)</x:v>
      </x:c>
      <x:c r="Q111" t="str">
        <x:v>1M</x:v>
      </x:c>
      <x:c r="R111" t="str">
        <x:v>Not in Used</x:v>
      </x:c>
      <x:c r="S111"/>
      <x:c r="T111" t="str">
        <x:v>approved</x:v>
      </x:c>
      <x:c r="U111" t="str">
        <x:v>sulaiman.tawil@petronas.com</x:v>
      </x:c>
      <x:c r="V111" t="n">
        <x:v>46063.27626310185</x:v>
      </x:c>
      <x:c r="W111" t="str">
        <x:v>Please proceed.</x:v>
      </x:c>
      <x:c r="X111" t="str">
        <x:v>rejected</x:v>
      </x:c>
      <x:c r="Y111" t="str">
        <x:v>azwan.badari@petronas.com</x:v>
      </x:c>
      <x:c r="Z111" t="n">
        <x:v>46063.30405385417</x:v>
      </x:c>
      <x:c r="AA111" t="str">
        <x:v>To change the resource to be decommissioned</x:v>
      </x:c>
      <x:c r="AB111"/>
      <x:c r="AC111" t="str">
        <x:v>CCoE Business</x:v>
      </x:c>
      <x:c r="AD111"/>
      <x:c r="AE111"/>
      <x:c r="AF111"/>
      <x:c r="AG111" t="str">
        <x:v>CCoE Business</x:v>
      </x:c>
      <x:c r="AH111"/>
      <x:c r="AI111"/>
      <x:c r="AJ111" t="str">
        <x:v>A-000325</x:v>
      </x:c>
      <x:c r="AK111" t="n">
        <x:v>2794</x:v>
      </x:c>
      <x:c r="AL111"/>
      <x:c r="AM111"/>
      <x:c r="AN111" t="str">
        <x:v>noretention</x:v>
      </x:c>
      <x:c r="AO111" t="n">
        <x:v>0</x:v>
      </x:c>
      <x:c r="AP111" s="23" t="str">
        <x:f>IF(E111="processing",IF(Z111="","",IF(ISNUMBER(Z111),INT(Z111),DATE(VALUE(LEFT(Z111,4)),VALUE(MID(Z111,6,2)),VALUE(MID(Z111,9,2))))),IF(OR(E111="executing",E111="pending"),IF(AD111="","",IF(ISNUMBER(AD111),INT(AD111),DATE(VALUE(LEFT(AD111,4)),VALUE(MID(AD111,6,2)),VALUE(MID(AD111,9,2))))),""))</x:f>
      </x:c>
      <x:c r="AQ111" s="24" t="str">
        <x:f>IF(AP111="","",INT('Configuration'!$B$4)-AP111)</x:f>
      </x:c>
      <x:c r="AR111" s="25" t="str">
        <x:f>IF(AP111="","Missing Required Date",IF(AQ111&lt;0,"Future Date",IF(AQ111=0,"0 days",IF(AQ111&lt;=2,"1-2 days",IF(AQ111&lt;=7,"3-7 days",IF(AQ111&lt;=14,"8-14 days",IF(AQ111&lt;=30,"15-30 days",IF(AQ111&lt;=60,"31-60 days",IF(AQ111&lt;=70,"61-70 days","71+ days")))))))))</x:f>
        <x:v>Missing Required Date</x:v>
      </x:c>
      <x:c r="AS111" s="25" t="str">
        <x:f>IF(OR(E111="processing",E111="executing",E111="pending"),IF(AP111="","Required aging date missing",IF(AQ111&gt;30,"Escalate &gt;30d",IF(AQ111&gt;14,"Watch &gt;14d","Within 14d"))),"Out of scope")</x:f>
        <x:v>Out of scope</x:v>
      </x:c>
    </x:row>
    <x:row r="112" ht="24" customHeight="1">
      <x:c r="A112" t="str">
        <x:v>ba5c1654-d2df-44fe-b524-7bc1f0f471ca</x:v>
      </x:c>
      <x:c r="B112" t="str">
        <x:v>CSSP10652416</x:v>
      </x:c>
      <x:c r="C112" t="str">
        <x:v>sulaiman.tawil@petronas.com</x:v>
      </x:c>
      <x:c r="D112" t="str">
        <x:v>decommission-cloud</x:v>
      </x:c>
      <x:c r="E112" t="str">
        <x:v>rejected</x:v>
      </x:c>
      <x:c r="F112" t="n">
        <x:v>46063.12353199074</x:v>
      </x:c>
      <x:c r="G112" t="n">
        <x:v>46063.303990960645</x:v>
      </x:c>
      <x:c r="H112" t="n">
        <x:v>46063.27261546296</x:v>
      </x:c>
      <x:c r="I112" t="str">
        <x:v>Facial Recognition - FR</x:v>
      </x:c>
      <x:c r="J112" t="str">
        <x:v>REAL Implementation of Facial Recognition Centralize Cloud Server for PETRONAS</x:v>
      </x:c>
      <x:c r="K112" t="str">
        <x:v>full</x:v>
      </x:c>
      <x:c r="L112" t="str">
        <x:v>DCOM2026021063c</x:v>
      </x:c>
      <x:c r="M112" t="str">
        <x:v>sulaiman.tawil@petronas.com.my</x:v>
      </x:c>
      <x:c r="N112"/>
      <x:c r="O112"/>
      <x:c r="P112" t="str">
        <x:v>DPIA and Server not in used as confirmed by Fazreel (GS).</x:v>
      </x:c>
      <x:c r="Q112" t="str">
        <x:v>1M</x:v>
      </x:c>
      <x:c r="R112" t="str">
        <x:v>Not in Used</x:v>
      </x:c>
      <x:c r="S112"/>
      <x:c r="T112" t="str">
        <x:v>approved</x:v>
      </x:c>
      <x:c r="U112" t="str">
        <x:v>sulaiman.tawil@petronas.com</x:v>
      </x:c>
      <x:c r="V112" t="n">
        <x:v>46063.27331255787</x:v>
      </x:c>
      <x:c r="W112" t="str">
        <x:v>Please proceed.</x:v>
      </x:c>
      <x:c r="X112" t="str">
        <x:v>rejected</x:v>
      </x:c>
      <x:c r="Y112" t="str">
        <x:v>azwan.badari@petronas.com</x:v>
      </x:c>
      <x:c r="Z112" t="n">
        <x:v>46063.3039909838</x:v>
      </x:c>
      <x:c r="AA112" t="str">
        <x:v>To change the resource to be decommissioned.</x:v>
      </x:c>
      <x:c r="AB112"/>
      <x:c r="AC112" t="str">
        <x:v>CCoE Business</x:v>
      </x:c>
      <x:c r="AD112"/>
      <x:c r="AE112"/>
      <x:c r="AF112"/>
      <x:c r="AG112" t="str">
        <x:v>CCoE Business</x:v>
      </x:c>
      <x:c r="AH112"/>
      <x:c r="AI112"/>
      <x:c r="AJ112" t="str">
        <x:v>A-000325</x:v>
      </x:c>
      <x:c r="AK112" t="n">
        <x:v>3057</x:v>
      </x:c>
      <x:c r="AL112"/>
      <x:c r="AM112"/>
      <x:c r="AN112" t="str">
        <x:v>noretention</x:v>
      </x:c>
      <x:c r="AO112" t="n">
        <x:v>0</x:v>
      </x:c>
      <x:c r="AP112" s="23" t="str">
        <x:f>IF(E112="processing",IF(Z112="","",IF(ISNUMBER(Z112),INT(Z112),DATE(VALUE(LEFT(Z112,4)),VALUE(MID(Z112,6,2)),VALUE(MID(Z112,9,2))))),IF(OR(E112="executing",E112="pending"),IF(AD112="","",IF(ISNUMBER(AD112),INT(AD112),DATE(VALUE(LEFT(AD112,4)),VALUE(MID(AD112,6,2)),VALUE(MID(AD112,9,2))))),""))</x:f>
      </x:c>
      <x:c r="AQ112" s="24" t="str">
        <x:f>IF(AP112="","",INT('Configuration'!$B$4)-AP112)</x:f>
      </x:c>
      <x:c r="AR112" s="25" t="str">
        <x:f>IF(AP112="","Missing Required Date",IF(AQ112&lt;0,"Future Date",IF(AQ112=0,"0 days",IF(AQ112&lt;=2,"1-2 days",IF(AQ112&lt;=7,"3-7 days",IF(AQ112&lt;=14,"8-14 days",IF(AQ112&lt;=30,"15-30 days",IF(AQ112&lt;=60,"31-60 days",IF(AQ112&lt;=70,"61-70 days","71+ days")))))))))</x:f>
        <x:v>Missing Required Date</x:v>
      </x:c>
      <x:c r="AS112" s="25" t="str">
        <x:f>IF(OR(E112="processing",E112="executing",E112="pending"),IF(AP112="","Required aging date missing",IF(AQ112&gt;30,"Escalate &gt;30d",IF(AQ112&gt;14,"Watch &gt;14d","Within 14d"))),"Out of scope")</x:f>
        <x:v>Out of scope</x:v>
      </x:c>
    </x:row>
    <x:row r="113" ht="24" customHeight="1">
      <x:c r="A113" t="str">
        <x:v>307e04f0-f6f5-4c92-bd50-5dedff02ddd3</x:v>
      </x:c>
      <x:c r="B113" t="str">
        <x:v>CSSP10352771</x:v>
      </x:c>
      <x:c r="C113" t="str">
        <x:v>anisaufa.mohamadafif@petronas.com</x:v>
      </x:c>
      <x:c r="D113" t="str">
        <x:v>decommission-cloud</x:v>
      </x:c>
      <x:c r="E113" t="str">
        <x:v>completed</x:v>
      </x:c>
      <x:c r="F113" t="n">
        <x:v>46063.14253813658</x:v>
      </x:c>
      <x:c r="G113" t="n">
        <x:v>46072.22617755787</x:v>
      </x:c>
      <x:c r="H113" t="n">
        <x:v>46063.14253813658</x:v>
      </x:c>
      <x:c r="I113" t="str">
        <x:v>Enterprise Data Hub - EDH</x:v>
      </x:c>
      <x:c r="J113" t="str">
        <x:v>PETRONAS Enterprise Data Hub</x:v>
      </x:c>
      <x:c r="K113" t="str">
        <x:v>partial</x:v>
      </x:c>
      <x:c r="L113"/>
      <x:c r="M113" t="str">
        <x:v>sahrilnizam.ismail@petronas.com</x:v>
      </x:c>
      <x:c r="N113"/>
      <x:c r="O113"/>
      <x:c r="P113" t="str">
        <x:v>To decommission EDH DQ Servers as the resources have been successfully replicated to Talend Common. EDH Team Leads have also approved to decommission (refer attached email).</x:v>
      </x:c>
      <x:c r="Q113" t="str">
        <x:v>1M</x:v>
      </x:c>
      <x:c r="R113" t="str">
        <x:v>Not in Used</x:v>
      </x:c>
      <x:c r="S113"/>
      <x:c r="T113" t="str">
        <x:v>approved</x:v>
      </x:c>
      <x:c r="U113" t="str">
        <x:v>anisaufa.mohamadafif@petronas.com</x:v>
      </x:c>
      <x:c r="V113" t="n">
        <x:v>46063.271755960646</x:v>
      </x:c>
      <x:c r="W113" t="str">
        <x:v>Submitting for servers tagged to 'AZ-EDH'.</x:v>
      </x:c>
      <x:c r="X113" t="str">
        <x:v>approved</x:v>
      </x:c>
      <x:c r="Y113" t="str">
        <x:v>sahrilnizam.ismail@petronas.com</x:v>
      </x:c>
      <x:c r="Z113" t="n">
        <x:v>46063.36478408565</x:v>
      </x:c>
      <x:c r="AA113" t="str">
        <x:v>Reviewed.</x:v>
      </x:c>
      <x:c r="AB113" t="str">
        <x:v>approved</x:v>
      </x:c>
      <x:c r="AC113" t="str">
        <x:v>azwan.badari@petronas.com</x:v>
      </x:c>
      <x:c r="AD113" t="n">
        <x:v>46064.131288564815</x:v>
      </x:c>
      <x:c r="AE113" t="str">
        <x:v>Decommission VM ptsg-5edhapp03 &amp; ptsg-5edhapp02</x:v>
      </x:c>
      <x:c r="AF113" t="str">
        <x:v>approved</x:v>
      </x:c>
      <x:c r="AG113" t="str">
        <x:v>azlisham.md@petronas.com</x:v>
      </x:c>
      <x:c r="AH113" t="n">
        <x:v>46072.22617755787</x:v>
      </x:c>
      <x:c r="AI113" t="str">
        <x:v>same request with CSSP10360167
</x:v>
      </x:c>
      <x:c r="AJ113" t="str">
        <x:v>A-000262</x:v>
      </x:c>
      <x:c r="AK113" t="str">
        <x:v>AZ-EDH</x:v>
      </x:c>
      <x:c r="AL113" t="str">
        <x:v>M</x:v>
      </x:c>
      <x:c r="AM113" t="str">
        <x:v>REQ000007870651</x:v>
      </x:c>
      <x:c r="AN113" t="str">
        <x:v>retention</x:v>
      </x:c>
      <x:c r="AO113" t="n">
        <x:v>30</x:v>
      </x:c>
      <x:c r="AP113" s="23" t="str">
        <x:f>IF(E113="processing",IF(Z113="","",IF(ISNUMBER(Z113),INT(Z113),DATE(VALUE(LEFT(Z113,4)),VALUE(MID(Z113,6,2)),VALUE(MID(Z113,9,2))))),IF(OR(E113="executing",E113="pending"),IF(AD113="","",IF(ISNUMBER(AD113),INT(AD113),DATE(VALUE(LEFT(AD113,4)),VALUE(MID(AD113,6,2)),VALUE(MID(AD113,9,2))))),""))</x:f>
      </x:c>
      <x:c r="AQ113" s="24" t="str">
        <x:f>IF(AP113="","",INT('Configuration'!$B$4)-AP113)</x:f>
      </x:c>
      <x:c r="AR113" s="25" t="str">
        <x:f>IF(AP113="","Missing Required Date",IF(AQ113&lt;0,"Future Date",IF(AQ113=0,"0 days",IF(AQ113&lt;=2,"1-2 days",IF(AQ113&lt;=7,"3-7 days",IF(AQ113&lt;=14,"8-14 days",IF(AQ113&lt;=30,"15-30 days",IF(AQ113&lt;=60,"31-60 days",IF(AQ113&lt;=70,"61-70 days","71+ days")))))))))</x:f>
        <x:v>Missing Required Date</x:v>
      </x:c>
      <x:c r="AS113" s="25" t="str">
        <x:f>IF(OR(E113="processing",E113="executing",E113="pending"),IF(AP113="","Required aging date missing",IF(AQ113&gt;30,"Escalate &gt;30d",IF(AQ113&gt;14,"Watch &gt;14d","Within 14d"))),"Out of scope")</x:f>
        <x:v>Out of scope</x:v>
      </x:c>
    </x:row>
    <x:row r="114" ht="24" customHeight="1">
      <x:c r="A114" t="str">
        <x:v>126fc6de-ea9c-46a0-9c7e-c29dfb3febc8</x:v>
      </x:c>
      <x:c r="B114" t="str">
        <x:v>CSSP10985343</x:v>
      </x:c>
      <x:c r="C114" t="str">
        <x:v>mzurfaiezzuddin.zur@petronas.com</x:v>
      </x:c>
      <x:c r="D114" t="str">
        <x:v>decommission-cloud</x:v>
      </x:c>
      <x:c r="E114" t="str">
        <x:v>completed</x:v>
      </x:c>
      <x:c r="F114" t="n">
        <x:v>46063.14367128472</x:v>
      </x:c>
      <x:c r="G114" t="n">
        <x:v>46069.35513512731</x:v>
      </x:c>
      <x:c r="H114" t="n">
        <x:v>46063.14367128472</x:v>
      </x:c>
      <x:c r="I114" t="str">
        <x:v>CRAFT</x:v>
      </x:c>
      <x:c r="J114" t="str">
        <x:v>CRAFT</x:v>
      </x:c>
      <x:c r="K114" t="str">
        <x:v>partial</x:v>
      </x:c>
      <x:c r="L114"/>
      <x:c r="M114" t="str">
        <x:v>sazali.mokhtar@petronas.com</x:v>
      </x:c>
      <x:c r="N114"/>
      <x:c r="O114"/>
      <x:c r="P114" t="str">
        <x:v>Cloud Repatriation - To decommission old resources in Singapore region due to completed migration in MY region</x:v>
      </x:c>
      <x:c r="Q114" t="str">
        <x:v>2W</x:v>
      </x:c>
      <x:c r="R114" t="str">
        <x:v>Cloud Migration</x:v>
      </x:c>
      <x:c r="S114"/>
      <x:c r="T114" t="str">
        <x:v>approved</x:v>
      </x:c>
      <x:c r="U114" t="str">
        <x:v>mzurfaiezzuddin.zur@petronas.com</x:v>
      </x:c>
      <x:c r="V114" t="n">
        <x:v>46063.14452832176</x:v>
      </x:c>
      <x:c r="W114" t="str">
        <x:v>Dear Decomm team, please have a review the attachment</x:v>
      </x:c>
      <x:c r="X114" t="str">
        <x:v>approved</x:v>
      </x:c>
      <x:c r="Y114" t="str">
        <x:v>sazali.mokhtar@petronas.com</x:v>
      </x:c>
      <x:c r="Z114" t="n">
        <x:v>46064.09935697917</x:v>
      </x:c>
      <x:c r="AA114" t="str">
        <x:v>Reviewed and approved from 40,000 feet above the sea.
All the best!</x:v>
      </x:c>
      <x:c r="AB114" t="str">
        <x:v>approved</x:v>
      </x:c>
      <x:c r="AC114" t="str">
        <x:v>azwan.badari@petronas.com</x:v>
      </x:c>
      <x:c r="AD114" t="n">
        <x:v>46064.13863488426</x:v>
      </x:c>
      <x:c r="AE114" t="str">
        <x:v>Repat - Decommission as listed</x:v>
      </x:c>
      <x:c r="AF114" t="str">
        <x:v>approved</x:v>
      </x:c>
      <x:c r="AG114" t="str">
        <x:v>azwan.badari@petronas.com</x:v>
      </x:c>
      <x:c r="AH114" t="n">
        <x:v>46069.35513513889</x:v>
      </x:c>
      <x:c r="AI114" t="str">
        <x:v>Completed</x:v>
      </x:c>
      <x:c r="AJ114" t="str">
        <x:v>A-000147</x:v>
      </x:c>
      <x:c r="AK114" t="n">
        <x:v>3215</x:v>
      </x:c>
      <x:c r="AL114" t="str">
        <x:v>M</x:v>
      </x:c>
      <x:c r="AM114" t="str">
        <x:v>REQ000007870656</x:v>
      </x:c>
      <x:c r="AN114" t="str">
        <x:v>noretention</x:v>
      </x:c>
      <x:c r="AO114" t="n">
        <x:v>0</x:v>
      </x:c>
      <x:c r="AP114" s="23" t="str">
        <x:f>IF(E114="processing",IF(Z114="","",IF(ISNUMBER(Z114),INT(Z114),DATE(VALUE(LEFT(Z114,4)),VALUE(MID(Z114,6,2)),VALUE(MID(Z114,9,2))))),IF(OR(E114="executing",E114="pending"),IF(AD114="","",IF(ISNUMBER(AD114),INT(AD114),DATE(VALUE(LEFT(AD114,4)),VALUE(MID(AD114,6,2)),VALUE(MID(AD114,9,2))))),""))</x:f>
      </x:c>
      <x:c r="AQ114" s="24" t="str">
        <x:f>IF(AP114="","",INT('Configuration'!$B$4)-AP114)</x:f>
      </x:c>
      <x:c r="AR114" s="25" t="str">
        <x:f>IF(AP114="","Missing Required Date",IF(AQ114&lt;0,"Future Date",IF(AQ114=0,"0 days",IF(AQ114&lt;=2,"1-2 days",IF(AQ114&lt;=7,"3-7 days",IF(AQ114&lt;=14,"8-14 days",IF(AQ114&lt;=30,"15-30 days",IF(AQ114&lt;=60,"31-60 days",IF(AQ114&lt;=70,"61-70 days","71+ days")))))))))</x:f>
        <x:v>Missing Required Date</x:v>
      </x:c>
      <x:c r="AS114" s="25" t="str">
        <x:f>IF(OR(E114="processing",E114="executing",E114="pending"),IF(AP114="","Required aging date missing",IF(AQ114&gt;30,"Escalate &gt;30d",IF(AQ114&gt;14,"Watch &gt;14d","Within 14d"))),"Out of scope")</x:f>
        <x:v>Out of scope</x:v>
      </x:c>
    </x:row>
    <x:row r="115" ht="24" customHeight="1">
      <x:c r="A115" t="str">
        <x:v>7f3f188d-bb52-4b76-8bed-fdedd6cb18c1</x:v>
      </x:c>
      <x:c r="B115" t="str">
        <x:v>CSSP10360167</x:v>
      </x:c>
      <x:c r="C115" t="str">
        <x:v>anisaufa.mohamadafif@petronas.com</x:v>
      </x:c>
      <x:c r="D115" t="str">
        <x:v>decommission-cloud</x:v>
      </x:c>
      <x:c r="E115" t="str">
        <x:v>completed</x:v>
      </x:c>
      <x:c r="F115" t="n">
        <x:v>46063.272692025464</x:v>
      </x:c>
      <x:c r="G115" t="n">
        <x:v>46072.20979756944</x:v>
      </x:c>
      <x:c r="H115" t="n">
        <x:v>46063.272692025464</x:v>
      </x:c>
      <x:c r="I115" t="str">
        <x:v>Enterprise Data Hub - EDH</x:v>
      </x:c>
      <x:c r="J115" t="str">
        <x:v>PETRONAS Enterprise Data Hub</x:v>
      </x:c>
      <x:c r="K115" t="str">
        <x:v>partial</x:v>
      </x:c>
      <x:c r="L115"/>
      <x:c r="M115" t="str">
        <x:v>sahrilnizam.ismail@petronas.com</x:v>
      </x:c>
      <x:c r="N115"/>
      <x:c r="O115"/>
      <x:c r="P115" t="str">
        <x:v>To decommission EDH DQ Servers as the resources have been successfully replicated to Talend Common. EDH Team Leads have also approved to decommission (refer attached email).</x:v>
      </x:c>
      <x:c r="Q115" t="str">
        <x:v>1M</x:v>
      </x:c>
      <x:c r="R115" t="str">
        <x:v>Not in Used</x:v>
      </x:c>
      <x:c r="S115"/>
      <x:c r="T115" t="str">
        <x:v>approved</x:v>
      </x:c>
      <x:c r="U115" t="str">
        <x:v>anisaufa.mohamadafif@petronas.com</x:v>
      </x:c>
      <x:c r="V115" t="n">
        <x:v>46063.349373530094</x:v>
      </x:c>
      <x:c r="W115" t="str">
        <x:v>Submitting for servers tagged to '01116'.</x:v>
      </x:c>
      <x:c r="X115" t="str">
        <x:v>approved</x:v>
      </x:c>
      <x:c r="Y115" t="str">
        <x:v>sahrilnizam.ismail@petronas.com</x:v>
      </x:c>
      <x:c r="Z115" t="n">
        <x:v>46063.36514722222</x:v>
      </x:c>
      <x:c r="AA115" t="str">
        <x:v>Reviewed.</x:v>
      </x:c>
      <x:c r="AB115" t="str">
        <x:v>approved</x:v>
      </x:c>
      <x:c r="AC115" t="str">
        <x:v>azwan.badari@petronas.com</x:v>
      </x:c>
      <x:c r="AD115" t="n">
        <x:v>46064.12999126157</x:v>
      </x:c>
      <x:c r="AE115" t="str">
        <x:v>Decommission VM ptsg-1edhtjs03</x:v>
      </x:c>
      <x:c r="AF115" t="str">
        <x:v>approved</x:v>
      </x:c>
      <x:c r="AG115" t="str">
        <x:v>azlisham.md@petronas.com</x:v>
      </x:c>
      <x:c r="AH115" t="n">
        <x:v>46072.20979758102</x:v>
      </x:c>
      <x:c r="AI115" t="str">
        <x:v>The decommission request has been completed, and the status is now updated accordingly. Kindly verify from your end and confirm once reviewed.
</x:v>
      </x:c>
      <x:c r="AJ115" t="str">
        <x:v>A-000262</x:v>
      </x:c>
      <x:c r="AK115" t="n">
        <x:v>1116</x:v>
      </x:c>
      <x:c r="AL115" t="str">
        <x:v>M</x:v>
      </x:c>
      <x:c r="AM115" t="str">
        <x:v>REQ000007870564</x:v>
      </x:c>
      <x:c r="AN115" t="str">
        <x:v>retention</x:v>
      </x:c>
      <x:c r="AO115" t="n">
        <x:v>30</x:v>
      </x:c>
      <x:c r="AP115" s="23" t="str">
        <x:f>IF(E115="processing",IF(Z115="","",IF(ISNUMBER(Z115),INT(Z115),DATE(VALUE(LEFT(Z115,4)),VALUE(MID(Z115,6,2)),VALUE(MID(Z115,9,2))))),IF(OR(E115="executing",E115="pending"),IF(AD115="","",IF(ISNUMBER(AD115),INT(AD115),DATE(VALUE(LEFT(AD115,4)),VALUE(MID(AD115,6,2)),VALUE(MID(AD115,9,2))))),""))</x:f>
      </x:c>
      <x:c r="AQ115" s="24" t="str">
        <x:f>IF(AP115="","",INT('Configuration'!$B$4)-AP115)</x:f>
      </x:c>
      <x:c r="AR115" s="25" t="str">
        <x:f>IF(AP115="","Missing Required Date",IF(AQ115&lt;0,"Future Date",IF(AQ115=0,"0 days",IF(AQ115&lt;=2,"1-2 days",IF(AQ115&lt;=7,"3-7 days",IF(AQ115&lt;=14,"8-14 days",IF(AQ115&lt;=30,"15-30 days",IF(AQ115&lt;=60,"31-60 days",IF(AQ115&lt;=70,"61-70 days","71+ days")))))))))</x:f>
        <x:v>Missing Required Date</x:v>
      </x:c>
      <x:c r="AS115" s="25" t="str">
        <x:f>IF(OR(E115="processing",E115="executing",E115="pending"),IF(AP115="","Required aging date missing",IF(AQ115&gt;30,"Escalate &gt;30d",IF(AQ115&gt;14,"Watch &gt;14d","Within 14d"))),"Out of scope")</x:f>
        <x:v>Out of scope</x:v>
      </x:c>
    </x:row>
    <x:row r="116" ht="24" customHeight="1">
      <x:c r="A116" t="str">
        <x:v>08c5365a-16b3-41fc-bfe3-7daffa28ac1a</x:v>
      </x:c>
      <x:c r="B116" t="str">
        <x:v>CSSP10566358</x:v>
      </x:c>
      <x:c r="C116" t="str">
        <x:v>krishnamurthy.s@petronas.com</x:v>
      </x:c>
      <x:c r="D116" t="str">
        <x:v>decommission-cloud</x:v>
      </x:c>
      <x:c r="E116" t="str">
        <x:v>pending</x:v>
      </x:c>
      <x:c r="F116" t="n">
        <x:v>46064.06702991898</x:v>
      </x:c>
      <x:c r="G116" t="n">
        <x:v>46064.10876396991</x:v>
      </x:c>
      <x:c r="H116" t="n">
        <x:v>46064.070066342596</x:v>
      </x:c>
      <x:c r="I116" t="str">
        <x:v>Raphael R4 - Development of Analytics on GasLNG Products Forecast</x:v>
      </x:c>
      <x:c r="J116" t="str">
        <x:v>Project Raphael R4 - Analytics on Gas/LNG Products Forecast</x:v>
      </x:c>
      <x:c r="K116" t="str">
        <x:v>partial</x:v>
      </x:c>
      <x:c r="L116"/>
      <x:c r="M116" t="str">
        <x:v>gopabandhu.patr@petronas.com.my</x:v>
      </x:c>
      <x:c r="N116"/>
      <x:c r="O116"/>
      <x:c r="P116" t="str">
        <x:v>Request to decom the attached resources that no longer used in ArBiTra  Project / Modules.
</x:v>
      </x:c>
      <x:c r="Q116" t="str">
        <x:v>2W</x:v>
      </x:c>
      <x:c r="R116" t="str">
        <x:v>Not in Used</x:v>
      </x:c>
      <x:c r="S116"/>
      <x:c r="T116" t="str">
        <x:v>approved</x:v>
      </x:c>
      <x:c r="U116" t="str">
        <x:v>krishnamurthy.s@petronas.com</x:v>
      </x:c>
      <x:c r="V116" t="n">
        <x:v>46064.10876398148</x:v>
      </x:c>
      <x:c r="W116" t="str">
        <x:v>Request to decom the attached partial resources that no longer used in ArBiTra Project / Modules.</x:v>
      </x:c>
      <x:c r="X116"/>
      <x:c r="Y116" t="str">
        <x:v>gopabandhu.patr@petronas.com</x:v>
      </x:c>
      <x:c r="Z116"/>
      <x:c r="AA116"/>
      <x:c r="AB116"/>
      <x:c r="AC116" t="str">
        <x:v>CCoE Business</x:v>
      </x:c>
      <x:c r="AD116"/>
      <x:c r="AE116"/>
      <x:c r="AF116"/>
      <x:c r="AG116" t="str">
        <x:v>CCoE Business</x:v>
      </x:c>
      <x:c r="AH116"/>
      <x:c r="AI116"/>
      <x:c r="AJ116" t="str">
        <x:v>A-000700</x:v>
      </x:c>
      <x:c r="AK116" t="n">
        <x:v>1892</x:v>
      </x:c>
      <x:c r="AL116"/>
      <x:c r="AM116"/>
      <x:c r="AN116" t="str">
        <x:v>retention</x:v>
      </x:c>
      <x:c r="AO116"/>
      <x:c r="AP116" s="23" t="str">
        <x:f>IF(E116="processing",IF(Z116="","",IF(ISNUMBER(Z116),INT(Z116),DATE(VALUE(LEFT(Z116,4)),VALUE(MID(Z116,6,2)),VALUE(MID(Z116,9,2))))),IF(OR(E116="executing",E116="pending"),IF(AD116="","",IF(ISNUMBER(AD116),INT(AD116),DATE(VALUE(LEFT(AD116,4)),VALUE(MID(AD116,6,2)),VALUE(MID(AD116,9,2))))),""))</x:f>
      </x:c>
      <x:c r="AQ116" s="24" t="str">
        <x:f>IF(AP116="","",INT('Configuration'!$B$4)-AP116)</x:f>
      </x:c>
      <x:c r="AR116" s="25" t="str">
        <x:f>IF(AP116="","Missing Required Date",IF(AQ116&lt;0,"Future Date",IF(AQ116=0,"0 days",IF(AQ116&lt;=2,"1-2 days",IF(AQ116&lt;=7,"3-7 days",IF(AQ116&lt;=14,"8-14 days",IF(AQ116&lt;=30,"15-30 days",IF(AQ116&lt;=60,"31-60 days",IF(AQ116&lt;=70,"61-70 days","71+ days")))))))))</x:f>
        <x:v>Missing Required Date</x:v>
      </x:c>
      <x:c r="AS116" s="25" t="str">
        <x:f>IF(OR(E116="processing",E116="executing",E116="pending"),IF(AP116="","Required aging date missing",IF(AQ116&gt;30,"Escalate &gt;30d",IF(AQ116&gt;14,"Watch &gt;14d","Within 14d"))),"Out of scope")</x:f>
        <x:v>Required aging date missing</x:v>
      </x:c>
    </x:row>
    <x:row r="117" ht="24" customHeight="1">
      <x:c r="A117" t="str">
        <x:v>42cc3a15-3492-48d1-a862-b7d6e7d993c9</x:v>
      </x:c>
      <x:c r="B117" t="str">
        <x:v>CSSP10445227</x:v>
      </x:c>
      <x:c r="C117" t="str">
        <x:v>krishnamurthy.s@petronas.com</x:v>
      </x:c>
      <x:c r="D117" t="str">
        <x:v>decommission-cloud</x:v>
      </x:c>
      <x:c r="E117" t="str">
        <x:v>cancelled</x:v>
      </x:c>
      <x:c r="F117" t="n">
        <x:v>46065.26859399305</x:v>
      </x:c>
      <x:c r="G117" t="n">
        <x:v>46066.16237266204</x:v>
      </x:c>
      <x:c r="H117" t="n">
        <x:v>46065.40012412037</x:v>
      </x:c>
      <x:c r="I117" t="str">
        <x:v>Raphael R4 - Development of Analytics on GasLNG Products Forecast</x:v>
      </x:c>
      <x:c r="J117" t="str">
        <x:v>Project Raphael R4 - Analytics on Gas/LNG Products Forecast</x:v>
      </x:c>
      <x:c r="K117" t="str">
        <x:v>partial</x:v>
      </x:c>
      <x:c r="L117"/>
      <x:c r="M117" t="str">
        <x:v>gopabandhu.patr@petronas.com.my</x:v>
      </x:c>
      <x:c r="N117"/>
      <x:c r="O117"/>
      <x:c r="P117" t="str">
        <x:v>Request to decom the attached resources that no longer used in ArBiTra Project / Modules.</x:v>
      </x:c>
      <x:c r="Q117" t="str">
        <x:v>2W</x:v>
      </x:c>
      <x:c r="R117" t="str">
        <x:v>Not in Used</x:v>
      </x:c>
      <x:c r="S117"/>
      <x:c r="T117" t="str">
        <x:v>rejected</x:v>
      </x:c>
      <x:c r="U117" t="str">
        <x:v>krishnamurthy.s@petronas.com</x:v>
      </x:c>
      <x:c r="V117" t="n">
        <x:v>46066.162372673614</x:v>
      </x:c>
      <x:c r="W117"/>
      <x:c r="X117"/>
      <x:c r="Y117" t="str">
        <x:v>gopabandhu.patr@petronas.com</x:v>
      </x:c>
      <x:c r="Z117"/>
      <x:c r="AA117"/>
      <x:c r="AB117"/>
      <x:c r="AC117" t="str">
        <x:v>CCoE Business</x:v>
      </x:c>
      <x:c r="AD117"/>
      <x:c r="AE117"/>
      <x:c r="AF117"/>
      <x:c r="AG117" t="str">
        <x:v>CCoE Business</x:v>
      </x:c>
      <x:c r="AH117"/>
      <x:c r="AI117"/>
      <x:c r="AJ117" t="str">
        <x:v>A-000700</x:v>
      </x:c>
      <x:c r="AK117" t="n">
        <x:v>1892</x:v>
      </x:c>
      <x:c r="AL117"/>
      <x:c r="AM117"/>
      <x:c r="AN117" t="str">
        <x:v>retention</x:v>
      </x:c>
      <x:c r="AO117"/>
      <x:c r="AP117" s="23" t="str">
        <x:f>IF(E117="processing",IF(Z117="","",IF(ISNUMBER(Z117),INT(Z117),DATE(VALUE(LEFT(Z117,4)),VALUE(MID(Z117,6,2)),VALUE(MID(Z117,9,2))))),IF(OR(E117="executing",E117="pending"),IF(AD117="","",IF(ISNUMBER(AD117),INT(AD117),DATE(VALUE(LEFT(AD117,4)),VALUE(MID(AD117,6,2)),VALUE(MID(AD117,9,2))))),""))</x:f>
      </x:c>
      <x:c r="AQ117" s="24" t="str">
        <x:f>IF(AP117="","",INT('Configuration'!$B$4)-AP117)</x:f>
      </x:c>
      <x:c r="AR117" s="25" t="str">
        <x:f>IF(AP117="","Missing Required Date",IF(AQ117&lt;0,"Future Date",IF(AQ117=0,"0 days",IF(AQ117&lt;=2,"1-2 days",IF(AQ117&lt;=7,"3-7 days",IF(AQ117&lt;=14,"8-14 days",IF(AQ117&lt;=30,"15-30 days",IF(AQ117&lt;=60,"31-60 days",IF(AQ117&lt;=70,"61-70 days","71+ days")))))))))</x:f>
        <x:v>Missing Required Date</x:v>
      </x:c>
      <x:c r="AS117" s="25" t="str">
        <x:f>IF(OR(E117="processing",E117="executing",E117="pending"),IF(AP117="","Required aging date missing",IF(AQ117&gt;30,"Escalate &gt;30d",IF(AQ117&gt;14,"Watch &gt;14d","Within 14d"))),"Out of scope")</x:f>
        <x:v>Out of scope</x:v>
      </x:c>
    </x:row>
    <x:row r="118" ht="24" customHeight="1">
      <x:c r="A118" t="str">
        <x:v>41e0c03f-1a30-4945-a168-216e63abeaef</x:v>
      </x:c>
      <x:c r="B118" t="str">
        <x:v>CSSP10401822</x:v>
      </x:c>
      <x:c r="C118" t="str">
        <x:v>nurainnasiha.ibrahi@petronas.com</x:v>
      </x:c>
      <x:c r="D118" t="str">
        <x:v>decommission-cloud</x:v>
      </x:c>
      <x:c r="E118" t="str">
        <x:v>cancelled</x:v>
      </x:c>
      <x:c r="F118" t="n">
        <x:v>46065.32301298611</x:v>
      </x:c>
      <x:c r="G118" t="n">
        <x:v>46113.12259532407</x:v>
      </x:c>
      <x:c r="H118" t="n">
        <x:v>46065.32301298611</x:v>
      </x:c>
      <x:c r="I118" t="str">
        <x:v>Drillbench and Engineering Desktop - EDT</x:v>
      </x:c>
      <x:c r="J118" t="str">
        <x:v>Cloud Migration- Drillbench &amp;EDM (EDT)</x:v>
      </x:c>
      <x:c r="K118" t="str">
        <x:v>full</x:v>
      </x:c>
      <x:c r="L118" t="str">
        <x:v>dsa</x:v>
      </x:c>
      <x:c r="M118" t="str">
        <x:v>nurainnasiha.ibrahi@petronas.com</x:v>
      </x:c>
      <x:c r="N118" t="str">
        <x:v>sdsa</x:v>
      </x:c>
      <x:c r="O118" t="str">
        <x:v>sdd</x:v>
      </x:c>
      <x:c r="P118" t="str">
        <x:v>saas</x:v>
      </x:c>
      <x:c r="Q118" t="str">
        <x:v>12M</x:v>
      </x:c>
      <x:c r="R118" t="str">
        <x:v>Cloud Migration</x:v>
      </x:c>
      <x:c r="S118"/>
      <x:c r="T118" t="str">
        <x:v>rejected</x:v>
      </x:c>
      <x:c r="U118" t="str">
        <x:v>nurainnasiha.ibrahi@petronas.com</x:v>
      </x:c>
      <x:c r="V118" t="n">
        <x:v>46113.12259533565</x:v>
      </x:c>
      <x:c r="W118"/>
      <x:c r="X118"/>
      <x:c r="Y118" t="str">
        <x:v>nurainnasiha.ibrahi@petronas.com</x:v>
      </x:c>
      <x:c r="Z118"/>
      <x:c r="AA118"/>
      <x:c r="AB118"/>
      <x:c r="AC118" t="str">
        <x:v>CCoE Business</x:v>
      </x:c>
      <x:c r="AD118"/>
      <x:c r="AE118"/>
      <x:c r="AF118"/>
      <x:c r="AG118" t="str">
        <x:v>CCoE Operations</x:v>
      </x:c>
      <x:c r="AH118"/>
      <x:c r="AI118"/>
      <x:c r="AJ118" t="str">
        <x:v>A-000270</x:v>
      </x:c>
      <x:c r="AK118" t="str">
        <x:v>02421_30</x:v>
      </x:c>
      <x:c r="AL118"/>
      <x:c r="AM118"/>
      <x:c r="AN118" t="str">
        <x:v>retention</x:v>
      </x:c>
      <x:c r="AO118" t="n">
        <x:v>4</x:v>
      </x:c>
      <x:c r="AP118" s="23" t="str">
        <x:f>IF(E118="processing",IF(Z118="","",IF(ISNUMBER(Z118),INT(Z118),DATE(VALUE(LEFT(Z118,4)),VALUE(MID(Z118,6,2)),VALUE(MID(Z118,9,2))))),IF(OR(E118="executing",E118="pending"),IF(AD118="","",IF(ISNUMBER(AD118),INT(AD118),DATE(VALUE(LEFT(AD118,4)),VALUE(MID(AD118,6,2)),VALUE(MID(AD118,9,2))))),""))</x:f>
      </x:c>
      <x:c r="AQ118" s="24" t="str">
        <x:f>IF(AP118="","",INT('Configuration'!$B$4)-AP118)</x:f>
      </x:c>
      <x:c r="AR118" s="25" t="str">
        <x:f>IF(AP118="","Missing Required Date",IF(AQ118&lt;0,"Future Date",IF(AQ118=0,"0 days",IF(AQ118&lt;=2,"1-2 days",IF(AQ118&lt;=7,"3-7 days",IF(AQ118&lt;=14,"8-14 days",IF(AQ118&lt;=30,"15-30 days",IF(AQ118&lt;=60,"31-60 days",IF(AQ118&lt;=70,"61-70 days","71+ days")))))))))</x:f>
        <x:v>Missing Required Date</x:v>
      </x:c>
      <x:c r="AS118" s="25" t="str">
        <x:f>IF(OR(E118="processing",E118="executing",E118="pending"),IF(AP118="","Required aging date missing",IF(AQ118&gt;30,"Escalate &gt;30d",IF(AQ118&gt;14,"Watch &gt;14d","Within 14d"))),"Out of scope")</x:f>
        <x:v>Out of scope</x:v>
      </x:c>
    </x:row>
    <x:row r="119" ht="24" customHeight="1">
      <x:c r="A119" t="str">
        <x:v>a853efc9-7d4d-4c3f-9cfa-a0ac6fb33d8f</x:v>
      </x:c>
      <x:c r="B119" t="str">
        <x:v>CSSP10873376</x:v>
      </x:c>
      <x:c r="C119" t="str">
        <x:v>krishnamurthy.s@petronas.com</x:v>
      </x:c>
      <x:c r="D119" t="str">
        <x:v>decommission-cloud</x:v>
      </x:c>
      <x:c r="E119" t="str">
        <x:v>completed</x:v>
      </x:c>
      <x:c r="F119" t="n">
        <x:v>46066.16336332176</x:v>
      </x:c>
      <x:c r="G119" t="n">
        <x:v>46084.32780146991</x:v>
      </x:c>
      <x:c r="H119" t="n">
        <x:v>46072.06820608796</x:v>
      </x:c>
      <x:c r="I119" t="str">
        <x:v>Raphael R4 - Development of Analytics on GasLNG Products Forecast</x:v>
      </x:c>
      <x:c r="J119" t="str">
        <x:v>Project Raphael R4 - Analytics on Gas/LNG Products Forecast</x:v>
      </x:c>
      <x:c r="K119" t="str">
        <x:v>partial</x:v>
      </x:c>
      <x:c r="L119"/>
      <x:c r="M119" t="str">
        <x:v>gopabandhu.patr@petronas.com.my</x:v>
      </x:c>
      <x:c r="N119"/>
      <x:c r="O119"/>
      <x:c r="P119" t="str">
        <x:v>Request to decom the attached resources that no longer used in ArBiTra Project / Modules.</x:v>
      </x:c>
      <x:c r="Q119" t="str">
        <x:v>2W</x:v>
      </x:c>
      <x:c r="R119" t="str">
        <x:v>Not in Used</x:v>
      </x:c>
      <x:c r="S119"/>
      <x:c r="T119" t="str">
        <x:v>approved</x:v>
      </x:c>
      <x:c r="U119" t="str">
        <x:v>gopabandhu.patr@petronas.com</x:v>
      </x:c>
      <x:c r="V119" t="n">
        <x:v>46072.068803912036</x:v>
      </x:c>
      <x:c r="W119" t="str">
        <x:v>Please decom the resources as attached excel sheet mentioned</x:v>
      </x:c>
      <x:c r="X119" t="str">
        <x:v>approved</x:v>
      </x:c>
      <x:c r="Y119" t="str">
        <x:v>gopabandhu.patr@petronas.com</x:v>
      </x:c>
      <x:c r="Z119" t="n">
        <x:v>46073.340155798614</x:v>
      </x:c>
      <x:c r="AA119" t="str">
        <x:v>Please decom the resources mentioned in attachment</x:v>
      </x:c>
      <x:c r="AB119" t="str">
        <x:v>approved</x:v>
      </x:c>
      <x:c r="AC119" t="str">
        <x:v>azwan.badari@petronas.com</x:v>
      </x:c>
      <x:c r="AD119" t="n">
        <x:v>46075.9980053125</x:v>
      </x:c>
      <x:c r="AE119" t="str">
        <x:v>Proceed to decommission as per listed in attachment</x:v>
      </x:c>
      <x:c r="AF119" t="str">
        <x:v>approved</x:v>
      </x:c>
      <x:c r="AG119" t="str">
        <x:v>azwan.badari@petronas.com</x:v>
      </x:c>
      <x:c r="AH119" t="n">
        <x:v>46084.32780148148</x:v>
      </x:c>
      <x:c r="AI119" t="str">
        <x:v>Completed</x:v>
      </x:c>
      <x:c r="AJ119" t="str">
        <x:v>A-000700</x:v>
      </x:c>
      <x:c r="AK119" t="n">
        <x:v>1892</x:v>
      </x:c>
      <x:c r="AL119" t="str">
        <x:v>L</x:v>
      </x:c>
      <x:c r="AM119" t="str">
        <x:v>REQ000007885481</x:v>
      </x:c>
      <x:c r="AN119" t="str">
        <x:v>retention</x:v>
      </x:c>
      <x:c r="AO119"/>
      <x:c r="AP119" s="23" t="str">
        <x:f>IF(E119="processing",IF(Z119="","",IF(ISNUMBER(Z119),INT(Z119),DATE(VALUE(LEFT(Z119,4)),VALUE(MID(Z119,6,2)),VALUE(MID(Z119,9,2))))),IF(OR(E119="executing",E119="pending"),IF(AD119="","",IF(ISNUMBER(AD119),INT(AD119),DATE(VALUE(LEFT(AD119,4)),VALUE(MID(AD119,6,2)),VALUE(MID(AD119,9,2))))),""))</x:f>
      </x:c>
      <x:c r="AQ119" s="24" t="str">
        <x:f>IF(AP119="","",INT('Configuration'!$B$4)-AP119)</x:f>
      </x:c>
      <x:c r="AR119" s="25" t="str">
        <x:f>IF(AP119="","Missing Required Date",IF(AQ119&lt;0,"Future Date",IF(AQ119=0,"0 days",IF(AQ119&lt;=2,"1-2 days",IF(AQ119&lt;=7,"3-7 days",IF(AQ119&lt;=14,"8-14 days",IF(AQ119&lt;=30,"15-30 days",IF(AQ119&lt;=60,"31-60 days",IF(AQ119&lt;=70,"61-70 days","71+ days")))))))))</x:f>
        <x:v>Missing Required Date</x:v>
      </x:c>
      <x:c r="AS119" s="25" t="str">
        <x:f>IF(OR(E119="processing",E119="executing",E119="pending"),IF(AP119="","Required aging date missing",IF(AQ119&gt;30,"Escalate &gt;30d",IF(AQ119&gt;14,"Watch &gt;14d","Within 14d"))),"Out of scope")</x:f>
        <x:v>Out of scope</x:v>
      </x:c>
    </x:row>
    <x:row r="120" ht="24" customHeight="1">
      <x:c r="A120" t="str">
        <x:v>150c05a0-82fb-4c54-95ee-10cfc114a4b9</x:v>
      </x:c>
      <x:c r="B120" t="str">
        <x:v>CSSP10248892</x:v>
      </x:c>
      <x:c r="C120" t="str">
        <x:v>ismail.azman@petronas.com</x:v>
      </x:c>
      <x:c r="D120" t="str">
        <x:v>decommission-cloud</x:v>
      </x:c>
      <x:c r="E120" t="str">
        <x:v>completed</x:v>
      </x:c>
      <x:c r="F120" t="n">
        <x:v>46072.023874004626</x:v>
      </x:c>
      <x:c r="G120" t="n">
        <x:v>46093.12991672454</x:v>
      </x:c>
      <x:c r="H120" t="n">
        <x:v>46072.023874004626</x:v>
      </x:c>
      <x:c r="I120" t="str">
        <x:v>Electronic Permit To Work - ePTW KPOC</x:v>
      </x:c>
      <x:c r="J120" t="str">
        <x:v>Implementation of ePTW system and Support &amp; Maintenance for Kebabangan Petroleum Operating Company Sdn. Bhd (KPOC) for Virtus IP Sdn Bhd - ePTW Commercial (Production) (Formelrly known as: ePTW (KPOC))</x:v>
      </x:c>
      <x:c r="K120" t="str">
        <x:v>partial</x:v>
      </x:c>
      <x:c r="L120"/>
      <x:c r="M120" t="str">
        <x:v>sazali.mokhtar@petronas.com</x:v>
      </x:c>
      <x:c r="N120"/>
      <x:c r="O120"/>
      <x:c r="P120" t="str">
        <x:v>To cleanup VirtusIP residual in Azure</x:v>
      </x:c>
      <x:c r="Q120" t="str">
        <x:v>2W</x:v>
      </x:c>
      <x:c r="R120" t="str">
        <x:v>Not in Used</x:v>
      </x:c>
      <x:c r="S120"/>
      <x:c r="T120" t="str">
        <x:v>approved</x:v>
      </x:c>
      <x:c r="U120" t="str">
        <x:v>ismail.azman@petronas.com</x:v>
      </x:c>
      <x:c r="V120" t="n">
        <x:v>46072.025722094906</x:v>
      </x:c>
      <x:c r="W120" t="str">
        <x:v>selected resources in viazsg</x:v>
      </x:c>
      <x:c r="X120" t="str">
        <x:v>approved</x:v>
      </x:c>
      <x:c r="Y120" t="str">
        <x:v>sazali.mokhtar@petronas.com</x:v>
      </x:c>
      <x:c r="Z120" t="n">
        <x:v>46072.05431025463</x:v>
      </x:c>
      <x:c r="AA120" t="str">
        <x:v>VirtusIP resources cleanup</x:v>
      </x:c>
      <x:c r="AB120" t="str">
        <x:v>approved</x:v>
      </x:c>
      <x:c r="AC120" t="str">
        <x:v>ismail.azman@petronas.com</x:v>
      </x:c>
      <x:c r="AD120" t="n">
        <x:v>46072.07371449074</x:v>
      </x:c>
      <x:c r="AE120" t="str">
        <x:v>assigned to ismail</x:v>
      </x:c>
      <x:c r="AF120" t="str">
        <x:v>approved</x:v>
      </x:c>
      <x:c r="AG120" t="str">
        <x:v>ismail.azman@petronas.com</x:v>
      </x:c>
      <x:c r="AH120" t="n">
        <x:v>46093.12991672454</x:v>
      </x:c>
      <x:c r="AI120" t="str">
        <x:v>all completed</x:v>
      </x:c>
      <x:c r="AJ120" t="str">
        <x:v>A-000295</x:v>
      </x:c>
      <x:c r="AK120" t="n">
        <x:v>2315</x:v>
      </x:c>
      <x:c r="AL120" t="str">
        <x:v>M</x:v>
      </x:c>
      <x:c r="AM120" t="str">
        <x:v>REQ000007880365</x:v>
      </x:c>
      <x:c r="AN120" t="str">
        <x:v>noretention</x:v>
      </x:c>
      <x:c r="AO120" t="n">
        <x:v>0</x:v>
      </x:c>
      <x:c r="AP120" s="23" t="str">
        <x:f>IF(E120="processing",IF(Z120="","",IF(ISNUMBER(Z120),INT(Z120),DATE(VALUE(LEFT(Z120,4)),VALUE(MID(Z120,6,2)),VALUE(MID(Z120,9,2))))),IF(OR(E120="executing",E120="pending"),IF(AD120="","",IF(ISNUMBER(AD120),INT(AD120),DATE(VALUE(LEFT(AD120,4)),VALUE(MID(AD120,6,2)),VALUE(MID(AD120,9,2))))),""))</x:f>
      </x:c>
      <x:c r="AQ120" s="24" t="str">
        <x:f>IF(AP120="","",INT('Configuration'!$B$4)-AP120)</x:f>
      </x:c>
      <x:c r="AR120" s="25" t="str">
        <x:f>IF(AP120="","Missing Required Date",IF(AQ120&lt;0,"Future Date",IF(AQ120=0,"0 days",IF(AQ120&lt;=2,"1-2 days",IF(AQ120&lt;=7,"3-7 days",IF(AQ120&lt;=14,"8-14 days",IF(AQ120&lt;=30,"15-30 days",IF(AQ120&lt;=60,"31-60 days",IF(AQ120&lt;=70,"61-70 days","71+ days")))))))))</x:f>
        <x:v>Missing Required Date</x:v>
      </x:c>
      <x:c r="AS120" s="25" t="str">
        <x:f>IF(OR(E120="processing",E120="executing",E120="pending"),IF(AP120="","Required aging date missing",IF(AQ120&gt;30,"Escalate &gt;30d",IF(AQ120&gt;14,"Watch &gt;14d","Within 14d"))),"Out of scope")</x:f>
        <x:v>Out of scope</x:v>
      </x:c>
    </x:row>
    <x:row r="121" ht="24" customHeight="1">
      <x:c r="A121" t="str">
        <x:v>b8f3fb2f-5d9e-4794-a148-753de99b860d</x:v>
      </x:c>
      <x:c r="B121" t="str">
        <x:v>CSSP10609067</x:v>
      </x:c>
      <x:c r="C121" t="str">
        <x:v>ismail.azman@petronas.com</x:v>
      </x:c>
      <x:c r="D121" t="str">
        <x:v>decommission-cloud</x:v>
      </x:c>
      <x:c r="E121" t="str">
        <x:v>cancelled</x:v>
      </x:c>
      <x:c r="F121" t="n">
        <x:v>46072.026405868055</x:v>
      </x:c>
      <x:c r="G121" t="n">
        <x:v>46072.02796009259</x:v>
      </x:c>
      <x:c r="H121" t="n">
        <x:v>46072.026405868055</x:v>
      </x:c>
      <x:c r="I121" t="str">
        <x:v>Cyber Security Microsoft Defender</x:v>
      </x:c>
      <x:c r="J121" t="str">
        <x:v>OSR00165: Procurement and Infrastructure Deployment for Cyber Defense (Pilot Phase) - Subscription for CyberSec of Microsoft Defender ATP (MDATP)</x:v>
      </x:c>
      <x:c r="K121" t="str">
        <x:v>partial</x:v>
      </x:c>
      <x:c r="L121"/>
      <x:c r="M121" t="str">
        <x:v>sazali.mokhtar@petronas.com</x:v>
      </x:c>
      <x:c r="N121"/>
      <x:c r="O121"/>
      <x:c r="P121" t="str">
        <x:v>To cleanup VirtusIP residual in Azure</x:v>
      </x:c>
      <x:c r="Q121" t="str">
        <x:v>2W</x:v>
      </x:c>
      <x:c r="R121" t="str">
        <x:v>Not in Used</x:v>
      </x:c>
      <x:c r="S121"/>
      <x:c r="T121" t="str">
        <x:v>rejected</x:v>
      </x:c>
      <x:c r="U121" t="str">
        <x:v>ismail.azman@petronas.com</x:v>
      </x:c>
      <x:c r="V121" t="n">
        <x:v>46072.02796010417</x:v>
      </x:c>
      <x:c r="W121"/>
      <x:c r="X121"/>
      <x:c r="Y121" t="str">
        <x:v>sazali.mokhtar@petronas.com</x:v>
      </x:c>
      <x:c r="Z121"/>
      <x:c r="AA121"/>
      <x:c r="AB121"/>
      <x:c r="AC121" t="str">
        <x:v>CCoE Business</x:v>
      </x:c>
      <x:c r="AD121"/>
      <x:c r="AE121"/>
      <x:c r="AF121"/>
      <x:c r="AG121" t="str">
        <x:v>CCoE Operations</x:v>
      </x:c>
      <x:c r="AH121"/>
      <x:c r="AI121"/>
      <x:c r="AJ121" t="str">
        <x:v>A-000158</x:v>
      </x:c>
      <x:c r="AK121" t="str">
        <x:v>OSR00165_7</x:v>
      </x:c>
      <x:c r="AL121"/>
      <x:c r="AM121"/>
      <x:c r="AN121" t="str">
        <x:v>noretention</x:v>
      </x:c>
      <x:c r="AO121" t="n">
        <x:v>0</x:v>
      </x:c>
      <x:c r="AP121" s="23" t="str">
        <x:f>IF(E121="processing",IF(Z121="","",IF(ISNUMBER(Z121),INT(Z121),DATE(VALUE(LEFT(Z121,4)),VALUE(MID(Z121,6,2)),VALUE(MID(Z121,9,2))))),IF(OR(E121="executing",E121="pending"),IF(AD121="","",IF(ISNUMBER(AD121),INT(AD121),DATE(VALUE(LEFT(AD121,4)),VALUE(MID(AD121,6,2)),VALUE(MID(AD121,9,2))))),""))</x:f>
      </x:c>
      <x:c r="AQ121" s="24" t="str">
        <x:f>IF(AP121="","",INT('Configuration'!$B$4)-AP121)</x:f>
      </x:c>
      <x:c r="AR121" s="25" t="str">
        <x:f>IF(AP121="","Missing Required Date",IF(AQ121&lt;0,"Future Date",IF(AQ121=0,"0 days",IF(AQ121&lt;=2,"1-2 days",IF(AQ121&lt;=7,"3-7 days",IF(AQ121&lt;=14,"8-14 days",IF(AQ121&lt;=30,"15-30 days",IF(AQ121&lt;=60,"31-60 days",IF(AQ121&lt;=70,"61-70 days","71+ days")))))))))</x:f>
        <x:v>Missing Required Date</x:v>
      </x:c>
      <x:c r="AS121" s="25" t="str">
        <x:f>IF(OR(E121="processing",E121="executing",E121="pending"),IF(AP121="","Required aging date missing",IF(AQ121&gt;30,"Escalate &gt;30d",IF(AQ121&gt;14,"Watch &gt;14d","Within 14d"))),"Out of scope")</x:f>
        <x:v>Out of scope</x:v>
      </x:c>
    </x:row>
    <x:row r="122" ht="24" customHeight="1">
      <x:c r="A122" t="str">
        <x:v>91b18b9e-1723-431e-8736-f5ae05ca633d</x:v>
      </x:c>
      <x:c r="B122" t="str">
        <x:v>CSSP10597742</x:v>
      </x:c>
      <x:c r="C122" t="str">
        <x:v>azani.matjusoh@petronas.com</x:v>
      </x:c>
      <x:c r="D122" t="str">
        <x:v>decommission-cloud</x:v>
      </x:c>
      <x:c r="E122" t="str">
        <x:v>completed</x:v>
      </x:c>
      <x:c r="F122" t="n">
        <x:v>46073.33310186343</x:v>
      </x:c>
      <x:c r="G122" t="n">
        <x:v>46090.08864342592</x:v>
      </x:c>
      <x:c r="H122" t="n">
        <x:v>46073.33310186343</x:v>
      </x:c>
      <x:c r="I122" t="str">
        <x:v>PERFECT</x:v>
      </x:c>
      <x:c r="J122" t="str">
        <x:v>[Elec. Monitoring] Enhancements Support and Maintenance of PERFECT for GTS</x:v>
      </x:c>
      <x:c r="K122" t="str">
        <x:v>partial</x:v>
      </x:c>
      <x:c r="L122"/>
      <x:c r="M122" t="str">
        <x:v>thanaletchumi.s@petronas.com.my</x:v>
      </x:c>
      <x:c r="N122"/>
      <x:c r="O122"/>
      <x:c r="P122" t="str">
        <x:v>Request to decom AWS infrastructure that hosting PERFECT (https://perfect.petronas.com) application. This is due to the app has been migrated to Azure cloud services. 
Please refer to email communication for the details. Do let us know should you have any other further clarification/confirmation regarding the resources. 
</x:v>
      </x:c>
      <x:c r="Q122" t="str">
        <x:v>12M</x:v>
      </x:c>
      <x:c r="R122" t="str">
        <x:v>Not in Used</x:v>
      </x:c>
      <x:c r="S122"/>
      <x:c r="T122" t="str">
        <x:v>approved</x:v>
      </x:c>
      <x:c r="U122" t="str">
        <x:v>azani.matjusoh@petronas.com</x:v>
      </x:c>
      <x:c r="V122" t="n">
        <x:v>46073.33757309028</x:v>
      </x:c>
      <x:c r="W122" t="str">
        <x:v>To proceed with decommissioning AWS infrastructures (VM) as below: 
1. PTAWSG-1ESMRT01, 10.77.45.79 - production
2. PTAWSG-4ESMRT01, 10.75.66.167 - staging</x:v>
      </x:c>
      <x:c r="X122" t="str">
        <x:v>approved</x:v>
      </x:c>
      <x:c r="Y122" t="str">
        <x:v>thanaletchumi.s@petronas.com</x:v>
      </x:c>
      <x:c r="Z122" t="n">
        <x:v>46085.38963907408</x:v>
      </x:c>
      <x:c r="AA122" t="str">
        <x:v>Proceed</x:v>
      </x:c>
      <x:c r="AB122" t="str">
        <x:v>approved</x:v>
      </x:c>
      <x:c r="AC122" t="str">
        <x:v>azwan.badari@petronas.com</x:v>
      </x:c>
      <x:c r="AD122" t="n">
        <x:v>46085.55781247685</x:v>
      </x:c>
      <x:c r="AE122" t="str">
        <x:v>Proceed to decomm vm and related resources</x:v>
      </x:c>
      <x:c r="AF122" t="str">
        <x:v>approved</x:v>
      </x:c>
      <x:c r="AG122" t="str">
        <x:v>azlisham.md@petronas.com</x:v>
      </x:c>
      <x:c r="AH122" t="n">
        <x:v>46090.08864342592</x:v>
      </x:c>
      <x:c r="AI122" t="str">
        <x:v>The decommission request has been completed, and the status is now updated accordingly. Kindly verify from your end and confirm once reviewed.
</x:v>
      </x:c>
      <x:c r="AJ122" t="str">
        <x:v>A-000557</x:v>
      </x:c>
      <x:c r="AK122" t="n">
        <x:v>2536</x:v>
      </x:c>
      <x:c r="AL122" t="str">
        <x:v>M</x:v>
      </x:c>
      <x:c r="AM122" t="str">
        <x:v>REQ000007914988</x:v>
      </x:c>
      <x:c r="AN122" t="str">
        <x:v>retention</x:v>
      </x:c>
      <x:c r="AO122" t="n">
        <x:v>-365</x:v>
      </x:c>
      <x:c r="AP122" s="23" t="str">
        <x:f>IF(E122="processing",IF(Z122="","",IF(ISNUMBER(Z122),INT(Z122),DATE(VALUE(LEFT(Z122,4)),VALUE(MID(Z122,6,2)),VALUE(MID(Z122,9,2))))),IF(OR(E122="executing",E122="pending"),IF(AD122="","",IF(ISNUMBER(AD122),INT(AD122),DATE(VALUE(LEFT(AD122,4)),VALUE(MID(AD122,6,2)),VALUE(MID(AD122,9,2))))),""))</x:f>
      </x:c>
      <x:c r="AQ122" s="24" t="str">
        <x:f>IF(AP122="","",INT('Configuration'!$B$4)-AP122)</x:f>
      </x:c>
      <x:c r="AR122" s="25" t="str">
        <x:f>IF(AP122="","Missing Required Date",IF(AQ122&lt;0,"Future Date",IF(AQ122=0,"0 days",IF(AQ122&lt;=2,"1-2 days",IF(AQ122&lt;=7,"3-7 days",IF(AQ122&lt;=14,"8-14 days",IF(AQ122&lt;=30,"15-30 days",IF(AQ122&lt;=60,"31-60 days",IF(AQ122&lt;=70,"61-70 days","71+ days")))))))))</x:f>
        <x:v>Missing Required Date</x:v>
      </x:c>
      <x:c r="AS122" s="25" t="str">
        <x:f>IF(OR(E122="processing",E122="executing",E122="pending"),IF(AP122="","Required aging date missing",IF(AQ122&gt;30,"Escalate &gt;30d",IF(AQ122&gt;14,"Watch &gt;14d","Within 14d"))),"Out of scope")</x:f>
        <x:v>Out of scope</x:v>
      </x:c>
    </x:row>
    <x:row r="123" ht="24" customHeight="1">
      <x:c r="A123" t="str">
        <x:v>b0fdcf20-8802-47e8-a3f0-c1aa2df7ac20</x:v>
      </x:c>
      <x:c r="B123" t="str">
        <x:v>CSSP10898265</x:v>
      </x:c>
      <x:c r="C123" t="str">
        <x:v>essam.arab@petronas.com</x:v>
      </x:c>
      <x:c r="D123" t="str">
        <x:v>decommission-cloud</x:v>
      </x:c>
      <x:c r="E123" t="str">
        <x:v>rejected</x:v>
      </x:c>
      <x:c r="F123" t="n">
        <x:v>46076.297517453706</x:v>
      </x:c>
      <x:c r="G123" t="n">
        <x:v>46140.13396640046</x:v>
      </x:c>
      <x:c r="H123" t="n">
        <x:v>46076.297517453706</x:v>
      </x:c>
      <x:c r="I123" t="str">
        <x:v>Alpha LNG</x:v>
      </x:c>
      <x:c r="J123" t="str">
        <x:v>Alpha LNG Tech Refactoring and Modernization (TEV)</x:v>
      </x:c>
      <x:c r="K123" t="str">
        <x:v>partial</x:v>
      </x:c>
      <x:c r="L123"/>
      <x:c r="M123" t="str">
        <x:v>sunny.khiani@petronas.com</x:v>
      </x:c>
      <x:c r="N123"/>
      <x:c r="O123"/>
      <x:c r="P123" t="str">
        <x:v>Not in use (migrated to NLZ)</x:v>
      </x:c>
      <x:c r="Q123" t="str">
        <x:v>2W</x:v>
      </x:c>
      <x:c r="R123" t="str">
        <x:v>Not in Used</x:v>
      </x:c>
      <x:c r="S123"/>
      <x:c r="T123" t="str">
        <x:v>approved</x:v>
      </x:c>
      <x:c r="U123" t="str">
        <x:v>essam.arab@petronas.com</x:v>
      </x:c>
      <x:c r="V123" t="n">
        <x:v>46076.2994718287</x:v>
      </x:c>
      <x:c r="W123" t="str">
        <x:v>IAM users in 116698182371 (PTAWSG-PROD-ENVIRONMENT-01)
arn:aws:iam::116698182371:user/PTAW_ALNG_DEV_SERVICES
arn:aws:iam::116698182371:user/PTAW_ALNG_PROD_SERVICES
arn:aws:iam::116698182371:user/PTAW_ALNG_UAT_SERVICES
arn:aws:iam::116698182371:user/PTAWSG-ALNG-RDS-MIGRATE-USER
arn:aws:iam::116698182371:user/PTAW_S3_ALPHA_LNG_USER</x:v>
      </x:c>
      <x:c r="X123" t="str">
        <x:v>approved</x:v>
      </x:c>
      <x:c r="Y123" t="str">
        <x:v>sunny.khiani@petronas.com</x:v>
      </x:c>
      <x:c r="Z123" t="n">
        <x:v>46136.17380266204</x:v>
      </x:c>
      <x:c r="AA123" t="str">
        <x:v>approved </x:v>
      </x:c>
      <x:c r="AB123" t="str">
        <x:v>approved</x:v>
      </x:c>
      <x:c r="AC123" t="str">
        <x:v>sunny.khiani@petronas.com</x:v>
      </x:c>
      <x:c r="AD123" t="n">
        <x:v>46136.175208125</x:v>
      </x:c>
      <x:c r="AE123" t="str">
        <x:v>approved</x:v>
      </x:c>
      <x:c r="AF123" t="str">
        <x:v>rejected</x:v>
      </x:c>
      <x:c r="AG123" t="str">
        <x:v>azwan.badari@petronas.com</x:v>
      </x:c>
      <x:c r="AH123" t="n">
        <x:v>46140.13396640046</x:v>
      </x:c>
      <x:c r="AI123" t="str">
        <x:v>No resources has been found</x:v>
      </x:c>
      <x:c r="AJ123" t="str">
        <x:v>A-000043</x:v>
      </x:c>
      <x:c r="AK123" t="n">
        <x:v>3537</x:v>
      </x:c>
      <x:c r="AL123" t="str">
        <x:v>M</x:v>
      </x:c>
      <x:c r="AM123" t="str">
        <x:v>REQ000008009891</x:v>
      </x:c>
      <x:c r="AN123" t="str">
        <x:v>noretention</x:v>
      </x:c>
      <x:c r="AO123" t="n">
        <x:v>0</x:v>
      </x:c>
      <x:c r="AP123" s="23" t="str">
        <x:f>IF(E123="processing",IF(Z123="","",IF(ISNUMBER(Z123),INT(Z123),DATE(VALUE(LEFT(Z123,4)),VALUE(MID(Z123,6,2)),VALUE(MID(Z123,9,2))))),IF(OR(E123="executing",E123="pending"),IF(AD123="","",IF(ISNUMBER(AD123),INT(AD123),DATE(VALUE(LEFT(AD123,4)),VALUE(MID(AD123,6,2)),VALUE(MID(AD123,9,2))))),""))</x:f>
      </x:c>
      <x:c r="AQ123" s="24" t="str">
        <x:f>IF(AP123="","",INT('Configuration'!$B$4)-AP123)</x:f>
      </x:c>
      <x:c r="AR123" s="25" t="str">
        <x:f>IF(AP123="","Missing Required Date",IF(AQ123&lt;0,"Future Date",IF(AQ123=0,"0 days",IF(AQ123&lt;=2,"1-2 days",IF(AQ123&lt;=7,"3-7 days",IF(AQ123&lt;=14,"8-14 days",IF(AQ123&lt;=30,"15-30 days",IF(AQ123&lt;=60,"31-60 days",IF(AQ123&lt;=70,"61-70 days","71+ days")))))))))</x:f>
        <x:v>Missing Required Date</x:v>
      </x:c>
      <x:c r="AS123" s="25" t="str">
        <x:f>IF(OR(E123="processing",E123="executing",E123="pending"),IF(AP123="","Required aging date missing",IF(AQ123&gt;30,"Escalate &gt;30d",IF(AQ123&gt;14,"Watch &gt;14d","Within 14d"))),"Out of scope")</x:f>
        <x:v>Out of scope</x:v>
      </x:c>
    </x:row>
    <x:row r="124" ht="24" customHeight="1">
      <x:c r="A124" t="str">
        <x:v>ae54af02-6e4d-4f49-8346-c35ceb7e8122</x:v>
      </x:c>
      <x:c r="B124" t="str">
        <x:v>CSSP10682082</x:v>
      </x:c>
      <x:c r="C124" t="str">
        <x:v>izdihar.roslan@petronas.com</x:v>
      </x:c>
      <x:c r="D124" t="str">
        <x:v>decommission-cloud</x:v>
      </x:c>
      <x:c r="E124" t="str">
        <x:v>completed</x:v>
      </x:c>
      <x:c r="F124" t="n">
        <x:v>46077.013224965274</x:v>
      </x:c>
      <x:c r="G124" t="n">
        <x:v>46079.22044795139</x:v>
      </x:c>
      <x:c r="H124" t="n">
        <x:v>46077.013224965274</x:v>
      </x:c>
      <x:c r="I124" t="str">
        <x:v>Lab Information Management System - LIMS MRCSB</x:v>
      </x:c>
      <x:c r="J124" t="str">
        <x:v>OCI MIGRATION - Lab Information Management System (LIMS) for MRCSB</x:v>
      </x:c>
      <x:c r="K124" t="str">
        <x:v>partial</x:v>
      </x:c>
      <x:c r="L124"/>
      <x:c r="M124" t="str">
        <x:v>sazali.mokhtar@petronas.com.my</x:v>
      </x:c>
      <x:c r="N124"/>
      <x:c r="O124"/>
      <x:c r="P124" t="str">
        <x:v>Cloud Repatriation - To decommission old resources in Singapore region due to completed migration in MY region</x:v>
      </x:c>
      <x:c r="Q124" t="str">
        <x:v>2W</x:v>
      </x:c>
      <x:c r="R124" t="str">
        <x:v>Cloud Migration</x:v>
      </x:c>
      <x:c r="S124"/>
      <x:c r="T124" t="str">
        <x:v>approved</x:v>
      </x:c>
      <x:c r="U124" t="str">
        <x:v>izdihar.roslan@petronas.com</x:v>
      </x:c>
      <x:c r="V124" t="n">
        <x:v>46077.01458782407</x:v>
      </x:c>
      <x:c r="W124" t="str">
        <x:v>Cloud Repatriation - To decommission old resources in Singapore region due to completed migration in MY region</x:v>
      </x:c>
      <x:c r="X124" t="str">
        <x:v>approved</x:v>
      </x:c>
      <x:c r="Y124" t="str">
        <x:v>sazali.mokhtar@petronas.com</x:v>
      </x:c>
      <x:c r="Z124" t="n">
        <x:v>46077.045545891204</x:v>
      </x:c>
      <x:c r="AA124" t="str">
        <x:v>Old resources in SG - Applications successfully migrated to MY.</x:v>
      </x:c>
      <x:c r="AB124" t="str">
        <x:v>approved</x:v>
      </x:c>
      <x:c r="AC124" t="str">
        <x:v>azwan.badari@petronas.com</x:v>
      </x:c>
      <x:c r="AD124" t="n">
        <x:v>46077.11887648148</x:v>
      </x:c>
      <x:c r="AE124" t="str">
        <x:v>Proceed</x:v>
      </x:c>
      <x:c r="AF124" t="str">
        <x:v>approved</x:v>
      </x:c>
      <x:c r="AG124" t="str">
        <x:v>azwan.badari@petronas.com</x:v>
      </x:c>
      <x:c r="AH124" t="n">
        <x:v>46079.220447962965</x:v>
      </x:c>
      <x:c r="AI124" t="str">
        <x:v>Completed</x:v>
      </x:c>
      <x:c r="AJ124" t="str">
        <x:v>A-000424</x:v>
      </x:c>
      <x:c r="AK124" t="str">
        <x:v>00915_93</x:v>
      </x:c>
      <x:c r="AL124" t="str">
        <x:v>M</x:v>
      </x:c>
      <x:c r="AM124" t="str">
        <x:v>REQ000007889241</x:v>
      </x:c>
      <x:c r="AN124" t="str">
        <x:v>noretention</x:v>
      </x:c>
      <x:c r="AO124" t="n">
        <x:v>0</x:v>
      </x:c>
      <x:c r="AP124" s="23" t="str">
        <x:f>IF(E124="processing",IF(Z124="","",IF(ISNUMBER(Z124),INT(Z124),DATE(VALUE(LEFT(Z124,4)),VALUE(MID(Z124,6,2)),VALUE(MID(Z124,9,2))))),IF(OR(E124="executing",E124="pending"),IF(AD124="","",IF(ISNUMBER(AD124),INT(AD124),DATE(VALUE(LEFT(AD124,4)),VALUE(MID(AD124,6,2)),VALUE(MID(AD124,9,2))))),""))</x:f>
      </x:c>
      <x:c r="AQ124" s="24" t="str">
        <x:f>IF(AP124="","",INT('Configuration'!$B$4)-AP124)</x:f>
      </x:c>
      <x:c r="AR124" s="25" t="str">
        <x:f>IF(AP124="","Missing Required Date",IF(AQ124&lt;0,"Future Date",IF(AQ124=0,"0 days",IF(AQ124&lt;=2,"1-2 days",IF(AQ124&lt;=7,"3-7 days",IF(AQ124&lt;=14,"8-14 days",IF(AQ124&lt;=30,"15-30 days",IF(AQ124&lt;=60,"31-60 days",IF(AQ124&lt;=70,"61-70 days","71+ days")))))))))</x:f>
        <x:v>Missing Required Date</x:v>
      </x:c>
      <x:c r="AS124" s="25" t="str">
        <x:f>IF(OR(E124="processing",E124="executing",E124="pending"),IF(AP124="","Required aging date missing",IF(AQ124&gt;30,"Escalate &gt;30d",IF(AQ124&gt;14,"Watch &gt;14d","Within 14d"))),"Out of scope")</x:f>
        <x:v>Out of scope</x:v>
      </x:c>
    </x:row>
    <x:row r="125" ht="24" customHeight="1">
      <x:c r="A125" t="str">
        <x:v>f25143e8-a18a-4de4-8dee-a45563e349c8</x:v>
      </x:c>
      <x:c r="B125" t="str">
        <x:v>CSSP10223994</x:v>
      </x:c>
      <x:c r="C125" t="str">
        <x:v>izdihar.roslan@petronas.com</x:v>
      </x:c>
      <x:c r="D125" t="str">
        <x:v>decommission-cloud</x:v>
      </x:c>
      <x:c r="E125" t="str">
        <x:v>completed</x:v>
      </x:c>
      <x:c r="F125" t="n">
        <x:v>46077.01539961805</x:v>
      </x:c>
      <x:c r="G125" t="n">
        <x:v>46079.220871481484</x:v>
      </x:c>
      <x:c r="H125" t="n">
        <x:v>46077.01539961805</x:v>
      </x:c>
      <x:c r="I125" t="str">
        <x:v>Lab Information Management System - LIMS MRCSB</x:v>
      </x:c>
      <x:c r="J125" t="str">
        <x:v>OCI MIGRATION - Integrated Lab Information System (MRCSB)</x:v>
      </x:c>
      <x:c r="K125" t="str">
        <x:v>partial</x:v>
      </x:c>
      <x:c r="L125"/>
      <x:c r="M125" t="str">
        <x:v>sazali.mokhtar@petronas.com.my</x:v>
      </x:c>
      <x:c r="N125"/>
      <x:c r="O125"/>
      <x:c r="P125" t="str">
        <x:v>Cloud Repatriation - To decommission old resources in Singapore region due to completed migration in MY region</x:v>
      </x:c>
      <x:c r="Q125" t="str">
        <x:v>2W</x:v>
      </x:c>
      <x:c r="R125" t="str">
        <x:v>Cloud Migration</x:v>
      </x:c>
      <x:c r="S125"/>
      <x:c r="T125" t="str">
        <x:v>approved</x:v>
      </x:c>
      <x:c r="U125" t="str">
        <x:v>izdihar.roslan@petronas.com</x:v>
      </x:c>
      <x:c r="V125" t="n">
        <x:v>46077.02018734954</x:v>
      </x:c>
      <x:c r="W125" t="str">
        <x:v>Cloud Repatriation - To decommission old resources in Singapore region due to completed migration in MY region</x:v>
      </x:c>
      <x:c r="X125" t="str">
        <x:v>approved</x:v>
      </x:c>
      <x:c r="Y125" t="str">
        <x:v>sazali.mokhtar@petronas.com</x:v>
      </x:c>
      <x:c r="Z125" t="n">
        <x:v>46077.04624270833</x:v>
      </x:c>
      <x:c r="AA125" t="str">
        <x:v>Old resources in SG - Applications successfully migrated to MY.
</x:v>
      </x:c>
      <x:c r="AB125" t="str">
        <x:v>approved</x:v>
      </x:c>
      <x:c r="AC125" t="str">
        <x:v>azwan.badari@petronas.com</x:v>
      </x:c>
      <x:c r="AD125" t="n">
        <x:v>46077.11910866898</x:v>
      </x:c>
      <x:c r="AE125" t="str">
        <x:v>Proceed</x:v>
      </x:c>
      <x:c r="AF125" t="str">
        <x:v>approved</x:v>
      </x:c>
      <x:c r="AG125" t="str">
        <x:v>azwan.badari@petronas.com</x:v>
      </x:c>
      <x:c r="AH125" t="n">
        <x:v>46079.220871481484</x:v>
      </x:c>
      <x:c r="AI125" t="str">
        <x:v>Completed</x:v>
      </x:c>
      <x:c r="AJ125" t="str">
        <x:v>A-000424</x:v>
      </x:c>
      <x:c r="AK125" t="str">
        <x:v>OCI-00017</x:v>
      </x:c>
      <x:c r="AL125" t="str">
        <x:v>M</x:v>
      </x:c>
      <x:c r="AM125" t="str">
        <x:v>REQ000007889242</x:v>
      </x:c>
      <x:c r="AN125" t="str">
        <x:v>noretention</x:v>
      </x:c>
      <x:c r="AO125" t="n">
        <x:v>0</x:v>
      </x:c>
      <x:c r="AP125" s="23" t="str">
        <x:f>IF(E125="processing",IF(Z125="","",IF(ISNUMBER(Z125),INT(Z125),DATE(VALUE(LEFT(Z125,4)),VALUE(MID(Z125,6,2)),VALUE(MID(Z125,9,2))))),IF(OR(E125="executing",E125="pending"),IF(AD125="","",IF(ISNUMBER(AD125),INT(AD125),DATE(VALUE(LEFT(AD125,4)),VALUE(MID(AD125,6,2)),VALUE(MID(AD125,9,2))))),""))</x:f>
      </x:c>
      <x:c r="AQ125" s="24" t="str">
        <x:f>IF(AP125="","",INT('Configuration'!$B$4)-AP125)</x:f>
      </x:c>
      <x:c r="AR125" s="25" t="str">
        <x:f>IF(AP125="","Missing Required Date",IF(AQ125&lt;0,"Future Date",IF(AQ125=0,"0 days",IF(AQ125&lt;=2,"1-2 days",IF(AQ125&lt;=7,"3-7 days",IF(AQ125&lt;=14,"8-14 days",IF(AQ125&lt;=30,"15-30 days",IF(AQ125&lt;=60,"31-60 days",IF(AQ125&lt;=70,"61-70 days","71+ days")))))))))</x:f>
        <x:v>Missing Required Date</x:v>
      </x:c>
      <x:c r="AS125" s="25" t="str">
        <x:f>IF(OR(E125="processing",E125="executing",E125="pending"),IF(AP125="","Required aging date missing",IF(AQ125&gt;30,"Escalate &gt;30d",IF(AQ125&gt;14,"Watch &gt;14d","Within 14d"))),"Out of scope")</x:f>
        <x:v>Out of scope</x:v>
      </x:c>
    </x:row>
    <x:row r="126" ht="24" customHeight="1">
      <x:c r="A126" t="str">
        <x:v>9c1f7e42-00f1-4054-8ce3-dbda16277e49</x:v>
      </x:c>
      <x:c r="B126" t="str">
        <x:v>CSSP10451863</x:v>
      </x:c>
      <x:c r="C126" t="str">
        <x:v>izdihar.roslan@petronas.com</x:v>
      </x:c>
      <x:c r="D126" t="str">
        <x:v>decommission-cloud</x:v>
      </x:c>
      <x:c r="E126" t="str">
        <x:v>completed</x:v>
      </x:c>
      <x:c r="F126" t="n">
        <x:v>46077.032693506946</x:v>
      </x:c>
      <x:c r="G126" t="n">
        <x:v>46080.060581261576</x:v>
      </x:c>
      <x:c r="H126" t="n">
        <x:v>46077.032693506946</x:v>
      </x:c>
      <x:c r="I126" t="str">
        <x:v>Lab Information Management System - LIMS PRSB</x:v>
      </x:c>
      <x:c r="J126" t="str">
        <x:v>OCI MIGRATION - Lab Information Management System (LIMS) for PRSB</x:v>
      </x:c>
      <x:c r="K126" t="str">
        <x:v>partial</x:v>
      </x:c>
      <x:c r="L126"/>
      <x:c r="M126" t="str">
        <x:v>sazali.mokhtar@petronas.com.my</x:v>
      </x:c>
      <x:c r="N126"/>
      <x:c r="O126"/>
      <x:c r="P126" t="str">
        <x:v>Cloud Repatriation - To decommission old resources in Singapore region due to completed migration in MY region</x:v>
      </x:c>
      <x:c r="Q126" t="str">
        <x:v>2W</x:v>
      </x:c>
      <x:c r="R126" t="str">
        <x:v>Cloud Migration</x:v>
      </x:c>
      <x:c r="S126"/>
      <x:c r="T126" t="str">
        <x:v>approved</x:v>
      </x:c>
      <x:c r="U126" t="str">
        <x:v>izdihar.roslan@petronas.com</x:v>
      </x:c>
      <x:c r="V126" t="n">
        <x:v>46077.034350625</x:v>
      </x:c>
      <x:c r="W126" t="str">
        <x:v>Cloud Repatriation - To decommission old resources in Singapore region due to completed migration in MY region</x:v>
      </x:c>
      <x:c r="X126" t="str">
        <x:v>approved</x:v>
      </x:c>
      <x:c r="Y126" t="str">
        <x:v>sazali.mokhtar@petronas.com</x:v>
      </x:c>
      <x:c r="Z126" t="n">
        <x:v>46077.048200509256</x:v>
      </x:c>
      <x:c r="AA126" t="str">
        <x:v>Old resources in SG - Applications successfully migrated to MY.
</x:v>
      </x:c>
      <x:c r="AB126" t="str">
        <x:v>approved</x:v>
      </x:c>
      <x:c r="AC126" t="str">
        <x:v>azwan.badari@petronas.com</x:v>
      </x:c>
      <x:c r="AD126" t="n">
        <x:v>46077.12382194444</x:v>
      </x:c>
      <x:c r="AE126" t="str">
        <x:v>Proceed</x:v>
      </x:c>
      <x:c r="AF126" t="str">
        <x:v>approved</x:v>
      </x:c>
      <x:c r="AG126" t="str">
        <x:v>azwan.badari@petronas.com</x:v>
      </x:c>
      <x:c r="AH126" t="n">
        <x:v>46080.060581273145</x:v>
      </x:c>
      <x:c r="AI126" t="str">
        <x:v>Completed</x:v>
      </x:c>
      <x:c r="AJ126" t="str">
        <x:v>A-000431</x:v>
      </x:c>
      <x:c r="AK126" t="str">
        <x:v>00915_92</x:v>
      </x:c>
      <x:c r="AL126" t="str">
        <x:v>M</x:v>
      </x:c>
      <x:c r="AM126" t="str">
        <x:v>REQ000007889248</x:v>
      </x:c>
      <x:c r="AN126" t="str">
        <x:v>noretention</x:v>
      </x:c>
      <x:c r="AO126" t="n">
        <x:v>0</x:v>
      </x:c>
      <x:c r="AP126" s="23" t="str">
        <x:f>IF(E126="processing",IF(Z126="","",IF(ISNUMBER(Z126),INT(Z126),DATE(VALUE(LEFT(Z126,4)),VALUE(MID(Z126,6,2)),VALUE(MID(Z126,9,2))))),IF(OR(E126="executing",E126="pending"),IF(AD126="","",IF(ISNUMBER(AD126),INT(AD126),DATE(VALUE(LEFT(AD126,4)),VALUE(MID(AD126,6,2)),VALUE(MID(AD126,9,2))))),""))</x:f>
      </x:c>
      <x:c r="AQ126" s="24" t="str">
        <x:f>IF(AP126="","",INT('Configuration'!$B$4)-AP126)</x:f>
      </x:c>
      <x:c r="AR126" s="25" t="str">
        <x:f>IF(AP126="","Missing Required Date",IF(AQ126&lt;0,"Future Date",IF(AQ126=0,"0 days",IF(AQ126&lt;=2,"1-2 days",IF(AQ126&lt;=7,"3-7 days",IF(AQ126&lt;=14,"8-14 days",IF(AQ126&lt;=30,"15-30 days",IF(AQ126&lt;=60,"31-60 days",IF(AQ126&lt;=70,"61-70 days","71+ days")))))))))</x:f>
        <x:v>Missing Required Date</x:v>
      </x:c>
      <x:c r="AS126" s="25" t="str">
        <x:f>IF(OR(E126="processing",E126="executing",E126="pending"),IF(AP126="","Required aging date missing",IF(AQ126&gt;30,"Escalate &gt;30d",IF(AQ126&gt;14,"Watch &gt;14d","Within 14d"))),"Out of scope")</x:f>
        <x:v>Out of scope</x:v>
      </x:c>
    </x:row>
    <x:row r="127" ht="24" customHeight="1">
      <x:c r="A127" t="str">
        <x:v>7be0516f-35a2-4781-9676-c3f3a461fab1</x:v>
      </x:c>
      <x:c r="B127" t="str">
        <x:v>CSSP10452749</x:v>
      </x:c>
      <x:c r="C127" t="str">
        <x:v>izdihar.roslan@petronas.com</x:v>
      </x:c>
      <x:c r="D127" t="str">
        <x:v>decommission-cloud</x:v>
      </x:c>
      <x:c r="E127" t="str">
        <x:v>completed</x:v>
      </x:c>
      <x:c r="F127" t="n">
        <x:v>46077.03655548611</x:v>
      </x:c>
      <x:c r="G127" t="n">
        <x:v>46080.0604246875</x:v>
      </x:c>
      <x:c r="H127" t="n">
        <x:v>46077.03655548611</x:v>
      </x:c>
      <x:c r="I127" t="str">
        <x:v>Lab Information Management System - LIMS PRSB</x:v>
      </x:c>
      <x:c r="J127" t="str">
        <x:v>OCI MIGRATION - Lab Information Management System (LIMS) for PRSB</x:v>
      </x:c>
      <x:c r="K127" t="str">
        <x:v>partial</x:v>
      </x:c>
      <x:c r="L127"/>
      <x:c r="M127" t="str">
        <x:v>sazali.mokhtar@petronas.com.my</x:v>
      </x:c>
      <x:c r="N127"/>
      <x:c r="O127"/>
      <x:c r="P127" t="str">
        <x:v>Cloud Repatriation - To decommission old resources in Singapore region due to completed migration in MY region</x:v>
      </x:c>
      <x:c r="Q127" t="str">
        <x:v>2W</x:v>
      </x:c>
      <x:c r="R127" t="str">
        <x:v>Cloud Migration</x:v>
      </x:c>
      <x:c r="S127"/>
      <x:c r="T127" t="str">
        <x:v>approved</x:v>
      </x:c>
      <x:c r="U127" t="str">
        <x:v>izdihar.roslan@petronas.com</x:v>
      </x:c>
      <x:c r="V127" t="n">
        <x:v>46077.03686375</x:v>
      </x:c>
      <x:c r="W127" t="str">
        <x:v>Cloud Repatriation - To decommission old resources in Singapore region due to completed migration in MY region</x:v>
      </x:c>
      <x:c r="X127" t="str">
        <x:v>approved</x:v>
      </x:c>
      <x:c r="Y127" t="str">
        <x:v>sazali.mokhtar@petronas.com</x:v>
      </x:c>
      <x:c r="Z127" t="n">
        <x:v>46077.04647238426</x:v>
      </x:c>
      <x:c r="AA127" t="str">
        <x:v>Old resources in SG - Applications successfully migrated to MY.
</x:v>
      </x:c>
      <x:c r="AB127" t="str">
        <x:v>approved</x:v>
      </x:c>
      <x:c r="AC127" t="str">
        <x:v>azwan.badari@petronas.com</x:v>
      </x:c>
      <x:c r="AD127" t="n">
        <x:v>46077.123501539354</x:v>
      </x:c>
      <x:c r="AE127" t="str">
        <x:v>Proceed</x:v>
      </x:c>
      <x:c r="AF127" t="str">
        <x:v>approved</x:v>
      </x:c>
      <x:c r="AG127" t="str">
        <x:v>azwan.badari@petronas.com</x:v>
      </x:c>
      <x:c r="AH127" t="n">
        <x:v>46080.06042469908</x:v>
      </x:c>
      <x:c r="AI127" t="str">
        <x:v>Completed</x:v>
      </x:c>
      <x:c r="AJ127" t="str">
        <x:v>A-000431</x:v>
      </x:c>
      <x:c r="AK127" t="str">
        <x:v>OCI-00020</x:v>
      </x:c>
      <x:c r="AL127" t="str">
        <x:v>M</x:v>
      </x:c>
      <x:c r="AM127" t="str">
        <x:v>REQ000007889247</x:v>
      </x:c>
      <x:c r="AN127" t="str">
        <x:v>noretention</x:v>
      </x:c>
      <x:c r="AO127" t="n">
        <x:v>0</x:v>
      </x:c>
      <x:c r="AP127" s="23" t="str">
        <x:f>IF(E127="processing",IF(Z127="","",IF(ISNUMBER(Z127),INT(Z127),DATE(VALUE(LEFT(Z127,4)),VALUE(MID(Z127,6,2)),VALUE(MID(Z127,9,2))))),IF(OR(E127="executing",E127="pending"),IF(AD127="","",IF(ISNUMBER(AD127),INT(AD127),DATE(VALUE(LEFT(AD127,4)),VALUE(MID(AD127,6,2)),VALUE(MID(AD127,9,2))))),""))</x:f>
      </x:c>
      <x:c r="AQ127" s="24" t="str">
        <x:f>IF(AP127="","",INT('Configuration'!$B$4)-AP127)</x:f>
      </x:c>
      <x:c r="AR127" s="25" t="str">
        <x:f>IF(AP127="","Missing Required Date",IF(AQ127&lt;0,"Future Date",IF(AQ127=0,"0 days",IF(AQ127&lt;=2,"1-2 days",IF(AQ127&lt;=7,"3-7 days",IF(AQ127&lt;=14,"8-14 days",IF(AQ127&lt;=30,"15-30 days",IF(AQ127&lt;=60,"31-60 days",IF(AQ127&lt;=70,"61-70 days","71+ days")))))))))</x:f>
        <x:v>Missing Required Date</x:v>
      </x:c>
      <x:c r="AS127" s="25" t="str">
        <x:f>IF(OR(E127="processing",E127="executing",E127="pending"),IF(AP127="","Required aging date missing",IF(AQ127&gt;30,"Escalate &gt;30d",IF(AQ127&gt;14,"Watch &gt;14d","Within 14d"))),"Out of scope")</x:f>
        <x:v>Out of scope</x:v>
      </x:c>
    </x:row>
    <x:row r="128" ht="24" customHeight="1">
      <x:c r="A128" t="str">
        <x:v>bc4071a9-0344-4fe0-bd07-c41612075aef</x:v>
      </x:c>
      <x:c r="B128" t="str">
        <x:v>CSSP10542876</x:v>
      </x:c>
      <x:c r="C128" t="str">
        <x:v>nurainhayati.zahari@petronas.com</x:v>
      </x:c>
      <x:c r="D128" t="str">
        <x:v>decommission-cloud</x:v>
      </x:c>
      <x:c r="E128" t="str">
        <x:v>completed</x:v>
      </x:c>
      <x:c r="F128" t="n">
        <x:v>46077.05710268518</x:v>
      </x:c>
      <x:c r="G128" t="n">
        <x:v>46083.1337212037</x:v>
      </x:c>
      <x:c r="H128" t="n">
        <x:v>46077.05710268518</x:v>
      </x:c>
      <x:c r="I128" t="str">
        <x:v>Regas Management System - RMS</x:v>
      </x:c>
      <x:c r="J128" t="str">
        <x:v>Regas Management System (RMS) 2.0 for RGTSU</x:v>
      </x:c>
      <x:c r="K128" t="str">
        <x:v>partial</x:v>
      </x:c>
      <x:c r="L128" t="str">
        <x:v>-</x:v>
      </x:c>
      <x:c r="M128" t="str">
        <x:v>sazali.mokhtar@petronas.com.my</x:v>
      </x:c>
      <x:c r="N128"/>
      <x:c r="O128"/>
      <x:c r="P128" t="str">
        <x:v>Cloud Repatriation - To decommission old resources in Singapore region due to completed migration in MY region </x:v>
      </x:c>
      <x:c r="Q128" t="str">
        <x:v>2W</x:v>
      </x:c>
      <x:c r="R128" t="str">
        <x:v>Cloud Migration</x:v>
      </x:c>
      <x:c r="S128"/>
      <x:c r="T128" t="str">
        <x:v>approved</x:v>
      </x:c>
      <x:c r="U128" t="str">
        <x:v>nurainhayati.zahari@petronas.com</x:v>
      </x:c>
      <x:c r="V128" t="n">
        <x:v>46077.06145837963</x:v>
      </x:c>
      <x:c r="W128" t="str">
        <x:v>Cloud Repatriation - To decommission old resources in Singapore region due to completed migration in MY region</x:v>
      </x:c>
      <x:c r="X128" t="str">
        <x:v>approved</x:v>
      </x:c>
      <x:c r="Y128" t="str">
        <x:v>sazali.mokhtar@petronas.com</x:v>
      </x:c>
      <x:c r="Z128" t="n">
        <x:v>46077.091268414355</x:v>
      </x:c>
      <x:c r="AA128" t="str">
        <x:v>Old resources in SG - Applications successfully migrated to MY.
</x:v>
      </x:c>
      <x:c r="AB128" t="str">
        <x:v>approved</x:v>
      </x:c>
      <x:c r="AC128" t="str">
        <x:v>azwan.badari@petronas.com</x:v>
      </x:c>
      <x:c r="AD128" t="n">
        <x:v>46077.1331612963</x:v>
      </x:c>
      <x:c r="AE128" t="str">
        <x:v>Proceed</x:v>
      </x:c>
      <x:c r="AF128" t="str">
        <x:v>approved</x:v>
      </x:c>
      <x:c r="AG128" t="str">
        <x:v>azwan.badari@petronas.com</x:v>
      </x:c>
      <x:c r="AH128" t="n">
        <x:v>46083.1337212037</x:v>
      </x:c>
      <x:c r="AI128" t="str">
        <x:v>Completed</x:v>
      </x:c>
      <x:c r="AJ128" t="str">
        <x:v>A-000692</x:v>
      </x:c>
      <x:c r="AK128" t="n">
        <x:v>3991</x:v>
      </x:c>
      <x:c r="AL128" t="str">
        <x:v>M</x:v>
      </x:c>
      <x:c r="AM128" t="str">
        <x:v>REQ000007889252</x:v>
      </x:c>
      <x:c r="AN128" t="str">
        <x:v>noretention</x:v>
      </x:c>
      <x:c r="AO128" t="n">
        <x:v>0</x:v>
      </x:c>
      <x:c r="AP128" s="23" t="str">
        <x:f>IF(E128="processing",IF(Z128="","",IF(ISNUMBER(Z128),INT(Z128),DATE(VALUE(LEFT(Z128,4)),VALUE(MID(Z128,6,2)),VALUE(MID(Z128,9,2))))),IF(OR(E128="executing",E128="pending"),IF(AD128="","",IF(ISNUMBER(AD128),INT(AD128),DATE(VALUE(LEFT(AD128,4)),VALUE(MID(AD128,6,2)),VALUE(MID(AD128,9,2))))),""))</x:f>
      </x:c>
      <x:c r="AQ128" s="24" t="str">
        <x:f>IF(AP128="","",INT('Configuration'!$B$4)-AP128)</x:f>
      </x:c>
      <x:c r="AR128" s="25" t="str">
        <x:f>IF(AP128="","Missing Required Date",IF(AQ128&lt;0,"Future Date",IF(AQ128=0,"0 days",IF(AQ128&lt;=2,"1-2 days",IF(AQ128&lt;=7,"3-7 days",IF(AQ128&lt;=14,"8-14 days",IF(AQ128&lt;=30,"15-30 days",IF(AQ128&lt;=60,"31-60 days",IF(AQ128&lt;=70,"61-70 days","71+ days")))))))))</x:f>
        <x:v>Missing Required Date</x:v>
      </x:c>
      <x:c r="AS128" s="25" t="str">
        <x:f>IF(OR(E128="processing",E128="executing",E128="pending"),IF(AP128="","Required aging date missing",IF(AQ128&gt;30,"Escalate &gt;30d",IF(AQ128&gt;14,"Watch &gt;14d","Within 14d"))),"Out of scope")</x:f>
        <x:v>Out of scope</x:v>
      </x:c>
    </x:row>
    <x:row r="129" ht="24" customHeight="1">
      <x:c r="A129" t="str">
        <x:v>adf27da8-9b51-4185-86b1-94c5ae38b69a</x:v>
      </x:c>
      <x:c r="B129" t="str">
        <x:v>CSSP10301277</x:v>
      </x:c>
      <x:c r="C129" t="str">
        <x:v>haslina.hashim@petronas.com</x:v>
      </x:c>
      <x:c r="D129" t="str">
        <x:v>decommission-cloud</x:v>
      </x:c>
      <x:c r="E129" t="str">
        <x:v>completed</x:v>
      </x:c>
      <x:c r="F129" t="n">
        <x:v>46077.05950728009</x:v>
      </x:c>
      <x:c r="G129" t="n">
        <x:v>46079.13513849537</x:v>
      </x:c>
      <x:c r="H129" t="n">
        <x:v>46077.05950728009</x:v>
      </x:c>
      <x:c r="I129" t="str">
        <x:v>Corrective Action Key to No Accident - iCAKNA</x:v>
      </x:c>
      <x:c r="J129" t="str">
        <x:v>OCI MIGRATION - ICAKNA</x:v>
      </x:c>
      <x:c r="K129" t="str">
        <x:v>partial</x:v>
      </x:c>
      <x:c r="L129"/>
      <x:c r="M129" t="str">
        <x:v>sazali.mokhtar@petronas.com</x:v>
      </x:c>
      <x:c r="N129"/>
      <x:c r="O129"/>
      <x:c r="P129" t="str">
        <x:v>Cloud Repatriation - To decommission old resources in Singapore region due to completed migration in MY region</x:v>
      </x:c>
      <x:c r="Q129" t="str">
        <x:v>2W</x:v>
      </x:c>
      <x:c r="R129" t="str">
        <x:v>Cloud Migration</x:v>
      </x:c>
      <x:c r="S129"/>
      <x:c r="T129" t="str">
        <x:v>approved</x:v>
      </x:c>
      <x:c r="U129" t="str">
        <x:v>haslina.hashim@petronas.com</x:v>
      </x:c>
      <x:c r="V129" t="n">
        <x:v>46077.06008969907</x:v>
      </x:c>
      <x:c r="W129" t="str">
        <x:v>Please proceed as attached</x:v>
      </x:c>
      <x:c r="X129" t="str">
        <x:v>approved</x:v>
      </x:c>
      <x:c r="Y129" t="str">
        <x:v>sazali.mokhtar@petronas.com</x:v>
      </x:c>
      <x:c r="Z129" t="n">
        <x:v>46077.090879421296</x:v>
      </x:c>
      <x:c r="AA129" t="str">
        <x:v>Old resources in SG - Applications successfully migrated to MY.
</x:v>
      </x:c>
      <x:c r="AB129" t="str">
        <x:v>approved</x:v>
      </x:c>
      <x:c r="AC129" t="str">
        <x:v>azwan.badari@petronas.com</x:v>
      </x:c>
      <x:c r="AD129" t="n">
        <x:v>46077.13298048611</x:v>
      </x:c>
      <x:c r="AE129" t="str">
        <x:v>Proceed</x:v>
      </x:c>
      <x:c r="AF129" t="str">
        <x:v>approved</x:v>
      </x:c>
      <x:c r="AG129" t="str">
        <x:v>azwan.badari@petronas.com</x:v>
      </x:c>
      <x:c r="AH129" t="n">
        <x:v>46079.13513849537</x:v>
      </x:c>
      <x:c r="AI129" t="str">
        <x:v>Completed</x:v>
      </x:c>
      <x:c r="AJ129" t="str">
        <x:v>A-000364</x:v>
      </x:c>
      <x:c r="AK129" t="str">
        <x:v>OCI-00005</x:v>
      </x:c>
      <x:c r="AL129" t="str">
        <x:v>M</x:v>
      </x:c>
      <x:c r="AM129" t="str">
        <x:v>REQ000007889819</x:v>
      </x:c>
      <x:c r="AN129" t="str">
        <x:v>noretention</x:v>
      </x:c>
      <x:c r="AO129" t="n">
        <x:v>0</x:v>
      </x:c>
      <x:c r="AP129" s="23" t="str">
        <x:f>IF(E129="processing",IF(Z129="","",IF(ISNUMBER(Z129),INT(Z129),DATE(VALUE(LEFT(Z129,4)),VALUE(MID(Z129,6,2)),VALUE(MID(Z129,9,2))))),IF(OR(E129="executing",E129="pending"),IF(AD129="","",IF(ISNUMBER(AD129),INT(AD129),DATE(VALUE(LEFT(AD129,4)),VALUE(MID(AD129,6,2)),VALUE(MID(AD129,9,2))))),""))</x:f>
      </x:c>
      <x:c r="AQ129" s="24" t="str">
        <x:f>IF(AP129="","",INT('Configuration'!$B$4)-AP129)</x:f>
      </x:c>
      <x:c r="AR129" s="25" t="str">
        <x:f>IF(AP129="","Missing Required Date",IF(AQ129&lt;0,"Future Date",IF(AQ129=0,"0 days",IF(AQ129&lt;=2,"1-2 days",IF(AQ129&lt;=7,"3-7 days",IF(AQ129&lt;=14,"8-14 days",IF(AQ129&lt;=30,"15-30 days",IF(AQ129&lt;=60,"31-60 days",IF(AQ129&lt;=70,"61-70 days","71+ days")))))))))</x:f>
        <x:v>Missing Required Date</x:v>
      </x:c>
      <x:c r="AS129" s="25" t="str">
        <x:f>IF(OR(E129="processing",E129="executing",E129="pending"),IF(AP129="","Required aging date missing",IF(AQ129&gt;30,"Escalate &gt;30d",IF(AQ129&gt;14,"Watch &gt;14d","Within 14d"))),"Out of scope")</x:f>
        <x:v>Out of scope</x:v>
      </x:c>
    </x:row>
    <x:row r="130" ht="24" customHeight="1">
      <x:c r="A130" t="str">
        <x:v>d8f705b2-6e8f-49f6-8dd8-ae6d5e43e2ed</x:v>
      </x:c>
      <x:c r="B130" t="str">
        <x:v>CSSP10953444</x:v>
      </x:c>
      <x:c r="C130" t="str">
        <x:v>azrin.azizan@petronas.com</x:v>
      </x:c>
      <x:c r="D130" t="str">
        <x:v>decommission-cloud</x:v>
      </x:c>
      <x:c r="E130" t="str">
        <x:v>completed</x:v>
      </x:c>
      <x:c r="F130" t="n">
        <x:v>46078.056057905094</x:v>
      </x:c>
      <x:c r="G130" t="n">
        <x:v>46083.37464863426</x:v>
      </x:c>
      <x:c r="H130" t="n">
        <x:v>46078.056057905094</x:v>
      </x:c>
      <x:c r="I130" t="str">
        <x:v>M365 SharePoint - SPO</x:v>
      </x:c>
      <x:c r="J130" t="str">
        <x:v>Cloud Migration Program - Migration SharePoint 2013 to SharePoint 2019</x:v>
      </x:c>
      <x:c r="K130" t="str">
        <x:v>partial</x:v>
      </x:c>
      <x:c r="L130"/>
      <x:c r="M130" t="str">
        <x:v>nshahidahothman@petronas.com.my</x:v>
      </x:c>
      <x:c r="N130" t="str">
        <x:v>NA</x:v>
      </x:c>
      <x:c r="O130"/>
      <x:c r="P130" t="str">
        <x:v>The Application within these resources/servers already decommission in Dec 2025. We want to proceed with the resources decommission for SP2019 farm.</x:v>
      </x:c>
      <x:c r="Q130" t="str">
        <x:v>2W</x:v>
      </x:c>
      <x:c r="R130" t="str">
        <x:v>Cloud Migration</x:v>
      </x:c>
      <x:c r="S130"/>
      <x:c r="T130" t="str">
        <x:v>approved</x:v>
      </x:c>
      <x:c r="U130" t="str">
        <x:v>azrin.azizan@petronas.com</x:v>
      </x:c>
      <x:c r="V130" t="n">
        <x:v>46078.071023668985</x:v>
      </x:c>
      <x:c r="W130" t="str">
        <x:v>All selected resource was confirmed to decommission since there is no application within the server anymore. </x:v>
      </x:c>
      <x:c r="X130" t="str">
        <x:v>approved</x:v>
      </x:c>
      <x:c r="Y130" t="str">
        <x:v>nshahidahothman@petronas.com</x:v>
      </x:c>
      <x:c r="Z130" t="n">
        <x:v>46078.24961385417</x:v>
      </x:c>
      <x:c r="AA130" t="str">
        <x:v>proceed</x:v>
      </x:c>
      <x:c r="AB130" t="str">
        <x:v>approved</x:v>
      </x:c>
      <x:c r="AC130" t="str">
        <x:v>azwan.badari@petronas.com</x:v>
      </x:c>
      <x:c r="AD130" t="n">
        <x:v>46079.046590729165</x:v>
      </x:c>
      <x:c r="AE130" t="str">
        <x:v>Decommission listed resources</x:v>
      </x:c>
      <x:c r="AF130" t="str">
        <x:v>approved</x:v>
      </x:c>
      <x:c r="AG130" t="str">
        <x:v>azlisham.md@petronas.com</x:v>
      </x:c>
      <x:c r="AH130" t="n">
        <x:v>46083.37464863426</x:v>
      </x:c>
      <x:c r="AI130" t="str">
        <x:v>The decommission request has been completed, and the status is now updated accordingly. Kindly verify from your end and confirm once reviewed.
</x:v>
      </x:c>
      <x:c r="AJ130" t="str">
        <x:v>A-000449</x:v>
      </x:c>
      <x:c r="AK130" t="str">
        <x:v>00915_1</x:v>
      </x:c>
      <x:c r="AL130" t="str">
        <x:v>L</x:v>
      </x:c>
      <x:c r="AM130" t="str">
        <x:v>REQ000007894394</x:v>
      </x:c>
      <x:c r="AN130" t="str">
        <x:v>retention</x:v>
      </x:c>
      <x:c r="AO130" t="n">
        <x:v>14</x:v>
      </x:c>
      <x:c r="AP130" s="23" t="str">
        <x:f>IF(E130="processing",IF(Z130="","",IF(ISNUMBER(Z130),INT(Z130),DATE(VALUE(LEFT(Z130,4)),VALUE(MID(Z130,6,2)),VALUE(MID(Z130,9,2))))),IF(OR(E130="executing",E130="pending"),IF(AD130="","",IF(ISNUMBER(AD130),INT(AD130),DATE(VALUE(LEFT(AD130,4)),VALUE(MID(AD130,6,2)),VALUE(MID(AD130,9,2))))),""))</x:f>
      </x:c>
      <x:c r="AQ130" s="24" t="str">
        <x:f>IF(AP130="","",INT('Configuration'!$B$4)-AP130)</x:f>
      </x:c>
      <x:c r="AR130" s="25" t="str">
        <x:f>IF(AP130="","Missing Required Date",IF(AQ130&lt;0,"Future Date",IF(AQ130=0,"0 days",IF(AQ130&lt;=2,"1-2 days",IF(AQ130&lt;=7,"3-7 days",IF(AQ130&lt;=14,"8-14 days",IF(AQ130&lt;=30,"15-30 days",IF(AQ130&lt;=60,"31-60 days",IF(AQ130&lt;=70,"61-70 days","71+ days")))))))))</x:f>
        <x:v>Missing Required Date</x:v>
      </x:c>
      <x:c r="AS130" s="25" t="str">
        <x:f>IF(OR(E130="processing",E130="executing",E130="pending"),IF(AP130="","Required aging date missing",IF(AQ130&gt;30,"Escalate &gt;30d",IF(AQ130&gt;14,"Watch &gt;14d","Within 14d"))),"Out of scope")</x:f>
        <x:v>Out of scope</x:v>
      </x:c>
    </x:row>
    <x:row r="131" ht="24" customHeight="1">
      <x:c r="A131" t="str">
        <x:v>5b80ce02-9b7b-44df-9c5d-6afe46f80060</x:v>
      </x:c>
      <x:c r="B131" t="str">
        <x:v>CSSP10460886</x:v>
      </x:c>
      <x:c r="C131" t="str">
        <x:v>yuslinda.mustapha@petronas.com</x:v>
      </x:c>
      <x:c r="D131" t="str">
        <x:v>decommission-cloud</x:v>
      </x:c>
      <x:c r="E131" t="str">
        <x:v>completed</x:v>
      </x:c>
      <x:c r="F131" t="n">
        <x:v>46078.057535625</x:v>
      </x:c>
      <x:c r="G131" t="n">
        <x:v>46092.39996355324</x:v>
      </x:c>
      <x:c r="H131" t="n">
        <x:v>46078.057535625</x:v>
      </x:c>
      <x:c r="I131" t="str">
        <x:v>Eticketing system</x:v>
      </x:c>
      <x:c r="J131" t="str">
        <x:v>Cloud Migration Program - eticketing system</x:v>
      </x:c>
      <x:c r="K131" t="str">
        <x:v>partial</x:v>
      </x:c>
      <x:c r="L131"/>
      <x:c r="M131" t="str">
        <x:v>faizalakhtar.abdulla@petronas.com.my</x:v>
      </x:c>
      <x:c r="N131"/>
      <x:c r="O131"/>
      <x:c r="P131" t="str">
        <x:v> DPIA Remediation to decomm etsdstrglrs
 </x:v>
      </x:c>
      <x:c r="Q131" t="str">
        <x:v>2W</x:v>
      </x:c>
      <x:c r="R131" t="str">
        <x:v>Not in Used</x:v>
      </x:c>
      <x:c r="S131"/>
      <x:c r="T131" t="str">
        <x:v>approved</x:v>
      </x:c>
      <x:c r="U131" t="str">
        <x:v>yuslinda.mustapha@petronas.com</x:v>
      </x:c>
      <x:c r="V131" t="n">
        <x:v>46078.05850105324</x:v>
      </x:c>
      <x:c r="W131" t="str">
        <x:v>Kindly approve of DPIA remediation to decomm etsdstrglrs</x:v>
      </x:c>
      <x:c r="X131" t="str">
        <x:v>approved</x:v>
      </x:c>
      <x:c r="Y131" t="str">
        <x:v>faizalakhtar.abdulla@petronas.com</x:v>
      </x:c>
      <x:c r="Z131" t="n">
        <x:v>46078.13609140046</x:v>
      </x:c>
      <x:c r="AA131" t="str">
        <x:v>The etsdstrglrs is currently inactive and not used by the vendor; hence, it is recommended for decommissioning.</x:v>
      </x:c>
      <x:c r="AB131" t="str">
        <x:v>approved</x:v>
      </x:c>
      <x:c r="AC131" t="str">
        <x:v>azwan.badari@petronas.com</x:v>
      </x:c>
      <x:c r="AD131" t="n">
        <x:v>46079.041961041665</x:v>
      </x:c>
      <x:c r="AE131" t="str">
        <x:v>Decommission storage account etsdstrglrs</x:v>
      </x:c>
      <x:c r="AF131" t="str">
        <x:v>approved</x:v>
      </x:c>
      <x:c r="AG131" t="str">
        <x:v>abdullah.haziq@petronas.com</x:v>
      </x:c>
      <x:c r="AH131" t="n">
        <x:v>46092.399963564814</x:v>
      </x:c>
      <x:c r="AI131" t="str">
        <x:v>completed</x:v>
      </x:c>
      <x:c r="AJ131" t="str">
        <x:v>A-000310</x:v>
      </x:c>
      <x:c r="AK131" t="str">
        <x:v>02421_78</x:v>
      </x:c>
      <x:c r="AL131" t="str">
        <x:v>S</x:v>
      </x:c>
      <x:c r="AM131" t="str">
        <x:v>REQ000007894758</x:v>
      </x:c>
      <x:c r="AN131" t="str">
        <x:v>noretention</x:v>
      </x:c>
      <x:c r="AO131" t="n">
        <x:v>0</x:v>
      </x:c>
      <x:c r="AP131" s="23" t="str">
        <x:f>IF(E131="processing",IF(Z131="","",IF(ISNUMBER(Z131),INT(Z131),DATE(VALUE(LEFT(Z131,4)),VALUE(MID(Z131,6,2)),VALUE(MID(Z131,9,2))))),IF(OR(E131="executing",E131="pending"),IF(AD131="","",IF(ISNUMBER(AD131),INT(AD131),DATE(VALUE(LEFT(AD131,4)),VALUE(MID(AD131,6,2)),VALUE(MID(AD131,9,2))))),""))</x:f>
      </x:c>
      <x:c r="AQ131" s="24" t="str">
        <x:f>IF(AP131="","",INT('Configuration'!$B$4)-AP131)</x:f>
      </x:c>
      <x:c r="AR131" s="25" t="str">
        <x:f>IF(AP131="","Missing Required Date",IF(AQ131&lt;0,"Future Date",IF(AQ131=0,"0 days",IF(AQ131&lt;=2,"1-2 days",IF(AQ131&lt;=7,"3-7 days",IF(AQ131&lt;=14,"8-14 days",IF(AQ131&lt;=30,"15-30 days",IF(AQ131&lt;=60,"31-60 days",IF(AQ131&lt;=70,"61-70 days","71+ days")))))))))</x:f>
        <x:v>Missing Required Date</x:v>
      </x:c>
      <x:c r="AS131" s="25" t="str">
        <x:f>IF(OR(E131="processing",E131="executing",E131="pending"),IF(AP131="","Required aging date missing",IF(AQ131&gt;30,"Escalate &gt;30d",IF(AQ131&gt;14,"Watch &gt;14d","Within 14d"))),"Out of scope")</x:f>
        <x:v>Out of scope</x:v>
      </x:c>
    </x:row>
    <x:row r="132" ht="24" customHeight="1">
      <x:c r="A132" t="str">
        <x:v>63795a02-cc7c-47b3-b79e-12cf67d7e97d</x:v>
      </x:c>
      <x:c r="B132" t="str">
        <x:v>CSSP10743566</x:v>
      </x:c>
      <x:c r="C132" t="str">
        <x:v>mfaris.abubakar@petronas.com</x:v>
      </x:c>
      <x:c r="D132" t="str">
        <x:v>decommission-cloud</x:v>
      </x:c>
      <x:c r="E132" t="str">
        <x:v>completed</x:v>
      </x:c>
      <x:c r="F132" t="n">
        <x:v>46078.16580927083</x:v>
      </x:c>
      <x:c r="G132" t="n">
        <x:v>46092.40060891204</x:v>
      </x:c>
      <x:c r="H132" t="n">
        <x:v>46078.16580928241</x:v>
      </x:c>
      <x:c r="I132" t="str">
        <x:v>M365 Provisioning Engine - PE</x:v>
      </x:c>
      <x:c r="J132" t="str">
        <x:v>M365 - WS7- Connect Workplace: Self Provisioning (Modern Workplace Provisioning Engine)</x:v>
      </x:c>
      <x:c r="K132" t="str">
        <x:v>partial</x:v>
      </x:c>
      <x:c r="L132"/>
      <x:c r="M132" t="str">
        <x:v>nshahidahothman@petronas.com.my</x:v>
      </x:c>
      <x:c r="N132"/>
      <x:c r="O132"/>
      <x:c r="P132" t="str">
        <x:v>not in used</x:v>
      </x:c>
      <x:c r="Q132" t="str">
        <x:v>2W</x:v>
      </x:c>
      <x:c r="R132" t="str">
        <x:v>Not in Used</x:v>
      </x:c>
      <x:c r="S132"/>
      <x:c r="T132" t="str">
        <x:v>approved</x:v>
      </x:c>
      <x:c r="U132" t="str">
        <x:v>mfaris.abubakar@petronas.com</x:v>
      </x:c>
      <x:c r="V132" t="n">
        <x:v>46078.20165563657</x:v>
      </x:c>
      <x:c r="W132" t="str">
        <x:v>Resource Group not in used:
PTAZSG-DEV-M365-PE-RG
PTAZSG-UAT-M365-PE-RG</x:v>
      </x:c>
      <x:c r="X132" t="str">
        <x:v>approved</x:v>
      </x:c>
      <x:c r="Y132" t="str">
        <x:v>nshahidahothman@petronas.com</x:v>
      </x:c>
      <x:c r="Z132" t="n">
        <x:v>46078.25078765046</x:v>
      </x:c>
      <x:c r="AA132" t="str">
        <x:v>proceed</x:v>
      </x:c>
      <x:c r="AB132" t="str">
        <x:v>approved</x:v>
      </x:c>
      <x:c r="AC132" t="str">
        <x:v>azwan.badari@petronas.com</x:v>
      </x:c>
      <x:c r="AD132" t="n">
        <x:v>46079.047367210645</x:v>
      </x:c>
      <x:c r="AE132" t="str">
        <x:v>Decommission listed resources</x:v>
      </x:c>
      <x:c r="AF132" t="str">
        <x:v>approved</x:v>
      </x:c>
      <x:c r="AG132" t="str">
        <x:v>abdullah.haziq@petronas.com</x:v>
      </x:c>
      <x:c r="AH132" t="n">
        <x:v>46092.40060892361</x:v>
      </x:c>
      <x:c r="AI132" t="str">
        <x:v>Completed deleted. except disk 2 below as the VM is not selected to be delete.
ptsg-4peap01_osdisk_1_7e9c81932348432f88ee3363bcdd5c01 
ptsg-5peap01_osdisk_1_b2a8eb8c92eb4948bcd89c471fa7cff8</x:v>
      </x:c>
      <x:c r="AJ132" t="str">
        <x:v>A-000446</x:v>
      </x:c>
      <x:c r="AK132" t="str">
        <x:v>00916_1</x:v>
      </x:c>
      <x:c r="AL132" t="str">
        <x:v>M</x:v>
      </x:c>
      <x:c r="AM132" t="str">
        <x:v>REQ000007894396</x:v>
      </x:c>
      <x:c r="AN132" t="str">
        <x:v>noretention</x:v>
      </x:c>
      <x:c r="AO132" t="n">
        <x:v>0</x:v>
      </x:c>
      <x:c r="AP132" s="23" t="str">
        <x:f>IF(E132="processing",IF(Z132="","",IF(ISNUMBER(Z132),INT(Z132),DATE(VALUE(LEFT(Z132,4)),VALUE(MID(Z132,6,2)),VALUE(MID(Z132,9,2))))),IF(OR(E132="executing",E132="pending"),IF(AD132="","",IF(ISNUMBER(AD132),INT(AD132),DATE(VALUE(LEFT(AD132,4)),VALUE(MID(AD132,6,2)),VALUE(MID(AD132,9,2))))),""))</x:f>
      </x:c>
      <x:c r="AQ132" s="24" t="str">
        <x:f>IF(AP132="","",INT('Configuration'!$B$4)-AP132)</x:f>
      </x:c>
      <x:c r="AR132" s="25" t="str">
        <x:f>IF(AP132="","Missing Required Date",IF(AQ132&lt;0,"Future Date",IF(AQ132=0,"0 days",IF(AQ132&lt;=2,"1-2 days",IF(AQ132&lt;=7,"3-7 days",IF(AQ132&lt;=14,"8-14 days",IF(AQ132&lt;=30,"15-30 days",IF(AQ132&lt;=60,"31-60 days",IF(AQ132&lt;=70,"61-70 days","71+ days")))))))))</x:f>
        <x:v>Missing Required Date</x:v>
      </x:c>
      <x:c r="AS132" s="25" t="str">
        <x:f>IF(OR(E132="processing",E132="executing",E132="pending"),IF(AP132="","Required aging date missing",IF(AQ132&gt;30,"Escalate &gt;30d",IF(AQ132&gt;14,"Watch &gt;14d","Within 14d"))),"Out of scope")</x:f>
        <x:v>Out of scope</x:v>
      </x:c>
    </x:row>
    <x:row r="133" ht="24" customHeight="1">
      <x:c r="A133" t="str">
        <x:v>d2475fce-5264-4565-9016-0c2c01261da6</x:v>
      </x:c>
      <x:c r="B133" t="str">
        <x:v>CSSP10700193</x:v>
      </x:c>
      <x:c r="C133" t="str">
        <x:v>sitizuraidah.mramli@petronas.com</x:v>
      </x:c>
      <x:c r="D133" t="str">
        <x:v>decommission-cloud</x:v>
      </x:c>
      <x:c r="E133" t="str">
        <x:v>completed</x:v>
      </x:c>
      <x:c r="F133" t="n">
        <x:v>46079.34474086806</x:v>
      </x:c>
      <x:c r="G133" t="n">
        <x:v>46093.271410127316</x:v>
      </x:c>
      <x:c r="H133" t="n">
        <x:v>46080.088985</x:v>
      </x:c>
      <x:c r="I133" t="str">
        <x:v>Enterprise Service Management - ESM</x:v>
      </x:c>
      <x:c r="J133" t="str">
        <x:v>Cloud Migration Program - Enterprise Service Management</x:v>
      </x:c>
      <x:c r="K133" t="str">
        <x:v>full</x:v>
      </x:c>
      <x:c r="L133" t="str">
        <x:v>DCOM202602257c6</x:v>
      </x:c>
      <x:c r="M133" t="str">
        <x:v>norazmanz@petronas.com.my</x:v>
      </x:c>
      <x:c r="N133" t="str">
        <x:v>agent.picssc.petronas.com, system.picssc.petronas.com, picssc.petronas.com, servicebroker.picssc.petronas.com, report.picssc.petronas.com, login.picssc.petronas.com</x:v>
      </x:c>
      <x:c r="O133"/>
      <x:c r="P133" t="str">
        <x:v>No longer in used and no backup is required as the required reports have already been extracted and stored in the PRPC repository. </x:v>
      </x:c>
      <x:c r="Q133" t="str">
        <x:v>2W</x:v>
      </x:c>
      <x:c r="R133" t="str">
        <x:v>Not in Used</x:v>
      </x:c>
      <x:c r="S133"/>
      <x:c r="T133" t="str">
        <x:v>approved</x:v>
      </x:c>
      <x:c r="U133" t="str">
        <x:v>sitizuraidah.mramli@petronas.com</x:v>
      </x:c>
      <x:c r="V133" t="n">
        <x:v>46080.112799016206</x:v>
      </x:c>
      <x:c r="W133" t="str">
        <x:v>All good. Pls proceed to decomm. Thanks</x:v>
      </x:c>
      <x:c r="X133" t="str">
        <x:v>approved</x:v>
      </x:c>
      <x:c r="Y133" t="str">
        <x:v>norazmanz@petronas.com</x:v>
      </x:c>
      <x:c r="Z133" t="n">
        <x:v>46084.26205572917</x:v>
      </x:c>
      <x:c r="AA133" t="str">
        <x:v>Proceed as per plan</x:v>
      </x:c>
      <x:c r="AB133" t="str">
        <x:v>approved</x:v>
      </x:c>
      <x:c r="AC133" t="str">
        <x:v>azwan.badari@petronas.com</x:v>
      </x:c>
      <x:c r="AD133" t="n">
        <x:v>46090.00398421296</x:v>
      </x:c>
      <x:c r="AE133" t="str">
        <x:v>Decommission resources and DNS</x:v>
      </x:c>
      <x:c r="AF133" t="str">
        <x:v>approved</x:v>
      </x:c>
      <x:c r="AG133" t="str">
        <x:v>azwan.badari@petronas.com</x:v>
      </x:c>
      <x:c r="AH133" t="n">
        <x:v>46093.27141013889</x:v>
      </x:c>
      <x:c r="AI133" t="str">
        <x:v>Completed</x:v>
      </x:c>
      <x:c r="AJ133" t="str">
        <x:v>A-000306</x:v>
      </x:c>
      <x:c r="AK133" t="str">
        <x:v>02421_92</x:v>
      </x:c>
      <x:c r="AL133" t="str">
        <x:v>L</x:v>
      </x:c>
      <x:c r="AM133" t="str">
        <x:v>REQ000007919544</x:v>
      </x:c>
      <x:c r="AN133" t="str">
        <x:v>noretention</x:v>
      </x:c>
      <x:c r="AO133" t="n">
        <x:v>0</x:v>
      </x:c>
      <x:c r="AP133" s="23" t="str">
        <x:f>IF(E133="processing",IF(Z133="","",IF(ISNUMBER(Z133),INT(Z133),DATE(VALUE(LEFT(Z133,4)),VALUE(MID(Z133,6,2)),VALUE(MID(Z133,9,2))))),IF(OR(E133="executing",E133="pending"),IF(AD133="","",IF(ISNUMBER(AD133),INT(AD133),DATE(VALUE(LEFT(AD133,4)),VALUE(MID(AD133,6,2)),VALUE(MID(AD133,9,2))))),""))</x:f>
      </x:c>
      <x:c r="AQ133" s="24" t="str">
        <x:f>IF(AP133="","",INT('Configuration'!$B$4)-AP133)</x:f>
      </x:c>
      <x:c r="AR133" s="25" t="str">
        <x:f>IF(AP133="","Missing Required Date",IF(AQ133&lt;0,"Future Date",IF(AQ133=0,"0 days",IF(AQ133&lt;=2,"1-2 days",IF(AQ133&lt;=7,"3-7 days",IF(AQ133&lt;=14,"8-14 days",IF(AQ133&lt;=30,"15-30 days",IF(AQ133&lt;=60,"31-60 days",IF(AQ133&lt;=70,"61-70 days","71+ days")))))))))</x:f>
        <x:v>Missing Required Date</x:v>
      </x:c>
      <x:c r="AS133" s="25" t="str">
        <x:f>IF(OR(E133="processing",E133="executing",E133="pending"),IF(AP133="","Required aging date missing",IF(AQ133&gt;30,"Escalate &gt;30d",IF(AQ133&gt;14,"Watch &gt;14d","Within 14d"))),"Out of scope")</x:f>
        <x:v>Out of scope</x:v>
      </x:c>
    </x:row>
    <x:row r="134" ht="24" customHeight="1">
      <x:c r="A134" t="str">
        <x:v>27dddc97-26cb-464b-aa2e-794ce099e006</x:v>
      </x:c>
      <x:c r="B134" t="str">
        <x:v>CSSP10667841</x:v>
      </x:c>
      <x:c r="C134" t="str">
        <x:v>maxim.nawangwe@petronas.com</x:v>
      </x:c>
      <x:c r="D134" t="str">
        <x:v>decommission-cloud</x:v>
      </x:c>
      <x:c r="E134" t="str">
        <x:v>completed</x:v>
      </x:c>
      <x:c r="F134" t="n">
        <x:v>46080.17327709491</x:v>
      </x:c>
      <x:c r="G134" t="n">
        <x:v>46092.20641709491</x:v>
      </x:c>
      <x:c r="H134" t="n">
        <x:v>46080.17327709491</x:v>
      </x:c>
      <x:c r="I134" t="str">
        <x:v>Danger Dodgers</x:v>
      </x:c>
      <x:c r="J134" t="str">
        <x:v>Pilot Deployment of Danger Dodgers at PCFK</x:v>
      </x:c>
      <x:c r="K134" t="str">
        <x:v>partial</x:v>
      </x:c>
      <x:c r="L134"/>
      <x:c r="M134" t="str">
        <x:v>bryan.dewitt@petronas.com</x:v>
      </x:c>
      <x:c r="N134"/>
      <x:c r="O134"/>
      <x:c r="P134" t="str">
        <x:v>Moving out of the pilot phase to our first release, we intend to decommision the following:
- Danger Dodgers Incognito Instance
- Danger Dodgers S3 Instance
The old cloudfront was repurposed to point to the new S3 instance, we do not need to decommission that.</x:v>
      </x:c>
      <x:c r="Q134" t="str">
        <x:v>2W</x:v>
      </x:c>
      <x:c r="R134" t="str">
        <x:v>Obsolete</x:v>
      </x:c>
      <x:c r="S134"/>
      <x:c r="T134" t="str">
        <x:v>approved</x:v>
      </x:c>
      <x:c r="U134" t="str">
        <x:v>maxim.nawangwe@petronas.com</x:v>
      </x:c>
      <x:c r="V134" t="n">
        <x:v>46080.18902708333</x:v>
      </x:c>
      <x:c r="W134" t="str">
        <x:v>AWS congnito should also be decommed, but it's not in the list above.</x:v>
      </x:c>
      <x:c r="X134" t="str">
        <x:v>approved</x:v>
      </x:c>
      <x:c r="Y134" t="str">
        <x:v>bryan.dewitt@petronas.com</x:v>
      </x:c>
      <x:c r="Z134" t="n">
        <x:v>46080.27551988426</x:v>
      </x:c>
      <x:c r="AA134" t="str">
        <x:v>approved</x:v>
      </x:c>
      <x:c r="AB134" t="str">
        <x:v>approved</x:v>
      </x:c>
      <x:c r="AC134" t="str">
        <x:v>azwan.badari@petronas.com</x:v>
      </x:c>
      <x:c r="AD134" t="n">
        <x:v>46083.161482905096</x:v>
      </x:c>
      <x:c r="AE134" t="str">
        <x:v>Proceed to decomm listed resources and PTAWSG-IAC-PROD-DANGERDODGERS-UserPool (Cognito)</x:v>
      </x:c>
      <x:c r="AF134" t="str">
        <x:v>approved</x:v>
      </x:c>
      <x:c r="AG134" t="str">
        <x:v>azwan.badari@petronas.com</x:v>
      </x:c>
      <x:c r="AH134" t="n">
        <x:v>46092.20641709491</x:v>
      </x:c>
      <x:c r="AI134" t="str">
        <x:v>Completed</x:v>
      </x:c>
      <x:c r="AJ134" t="str">
        <x:v>A-000192</x:v>
      </x:c>
      <x:c r="AK134" t="n">
        <x:v>3624</x:v>
      </x:c>
      <x:c r="AL134" t="str">
        <x:v>M</x:v>
      </x:c>
      <x:c r="AM134" t="str">
        <x:v>REQ000007906650</x:v>
      </x:c>
      <x:c r="AN134" t="str">
        <x:v>noretention</x:v>
      </x:c>
      <x:c r="AO134" t="n">
        <x:v>0</x:v>
      </x:c>
      <x:c r="AP134" s="23" t="str">
        <x:f>IF(E134="processing",IF(Z134="","",IF(ISNUMBER(Z134),INT(Z134),DATE(VALUE(LEFT(Z134,4)),VALUE(MID(Z134,6,2)),VALUE(MID(Z134,9,2))))),IF(OR(E134="executing",E134="pending"),IF(AD134="","",IF(ISNUMBER(AD134),INT(AD134),DATE(VALUE(LEFT(AD134,4)),VALUE(MID(AD134,6,2)),VALUE(MID(AD134,9,2))))),""))</x:f>
      </x:c>
      <x:c r="AQ134" s="24" t="str">
        <x:f>IF(AP134="","",INT('Configuration'!$B$4)-AP134)</x:f>
      </x:c>
      <x:c r="AR134" s="25" t="str">
        <x:f>IF(AP134="","Missing Required Date",IF(AQ134&lt;0,"Future Date",IF(AQ134=0,"0 days",IF(AQ134&lt;=2,"1-2 days",IF(AQ134&lt;=7,"3-7 days",IF(AQ134&lt;=14,"8-14 days",IF(AQ134&lt;=30,"15-30 days",IF(AQ134&lt;=60,"31-60 days",IF(AQ134&lt;=70,"61-70 days","71+ days")))))))))</x:f>
        <x:v>Missing Required Date</x:v>
      </x:c>
      <x:c r="AS134" s="25" t="str">
        <x:f>IF(OR(E134="processing",E134="executing",E134="pending"),IF(AP134="","Required aging date missing",IF(AQ134&gt;30,"Escalate &gt;30d",IF(AQ134&gt;14,"Watch &gt;14d","Within 14d"))),"Out of scope")</x:f>
        <x:v>Out of scope</x:v>
      </x:c>
    </x:row>
    <x:row r="135" ht="24" customHeight="1">
      <x:c r="A135" t="str">
        <x:v>e8690469-1ca2-4af5-927c-1c4c47bbe31c</x:v>
      </x:c>
      <x:c r="B135" t="str">
        <x:v>CSSP10315344</x:v>
      </x:c>
      <x:c r="C135" t="str">
        <x:v>mfazreel.mfaridazme@petronas.com</x:v>
      </x:c>
      <x:c r="D135" t="str">
        <x:v>decommission-cloud</x:v>
      </x:c>
      <x:c r="E135" t="str">
        <x:v>cancelled</x:v>
      </x:c>
      <x:c r="F135" t="n">
        <x:v>46080.27799765046</x:v>
      </x:c>
      <x:c r="G135" t="n">
        <x:v>46080.28176908565</x:v>
      </x:c>
      <x:c r="H135" t="n">
        <x:v>46080.27799765046</x:v>
      </x:c>
      <x:c r="I135" t="str">
        <x:v>Facial Recognition - FR</x:v>
      </x:c>
      <x:c r="J135" t="str">
        <x:v>Implementation of Facial Recognition (FR) for PETRONAS LNG Complex for Group Security, GHSSE</x:v>
      </x:c>
      <x:c r="K135" t="str">
        <x:v>partial</x:v>
      </x:c>
      <x:c r="L135"/>
      <x:c r="M135" t="str">
        <x:v>nursharul.mnor@petronas.com</x:v>
      </x:c>
      <x:c r="N135"/>
      <x:c r="O135"/>
      <x:c r="P135" t="str">
        <x:v>DPIA</x:v>
      </x:c>
      <x:c r="Q135" t="str">
        <x:v>2W</x:v>
      </x:c>
      <x:c r="R135" t="str">
        <x:v>Cloud Migration</x:v>
      </x:c>
      <x:c r="S135"/>
      <x:c r="T135" t="str">
        <x:v>rejected</x:v>
      </x:c>
      <x:c r="U135" t="str">
        <x:v>mfazreel.mfaridazme@petronas.com</x:v>
      </x:c>
      <x:c r="V135" t="n">
        <x:v>46080.28176913194</x:v>
      </x:c>
      <x:c r="W135"/>
      <x:c r="X135"/>
      <x:c r="Y135" t="str">
        <x:v>nursharul.mnor@petronas.com</x:v>
      </x:c>
      <x:c r="Z135"/>
      <x:c r="AA135"/>
      <x:c r="AB135"/>
      <x:c r="AC135" t="str">
        <x:v>CCoE Business</x:v>
      </x:c>
      <x:c r="AD135"/>
      <x:c r="AE135"/>
      <x:c r="AF135"/>
      <x:c r="AG135" t="str">
        <x:v>CCoE Operations</x:v>
      </x:c>
      <x:c r="AH135"/>
      <x:c r="AI135"/>
      <x:c r="AJ135" t="str">
        <x:v>A-000325</x:v>
      </x:c>
      <x:c r="AK135" t="n">
        <x:v>2794</x:v>
      </x:c>
      <x:c r="AL135"/>
      <x:c r="AM135"/>
      <x:c r="AN135" t="str">
        <x:v>noretention</x:v>
      </x:c>
      <x:c r="AO135" t="n">
        <x:v>0</x:v>
      </x:c>
      <x:c r="AP135" s="23" t="str">
        <x:f>IF(E135="processing",IF(Z135="","",IF(ISNUMBER(Z135),INT(Z135),DATE(VALUE(LEFT(Z135,4)),VALUE(MID(Z135,6,2)),VALUE(MID(Z135,9,2))))),IF(OR(E135="executing",E135="pending"),IF(AD135="","",IF(ISNUMBER(AD135),INT(AD135),DATE(VALUE(LEFT(AD135,4)),VALUE(MID(AD135,6,2)),VALUE(MID(AD135,9,2))))),""))</x:f>
      </x:c>
      <x:c r="AQ135" s="24" t="str">
        <x:f>IF(AP135="","",INT('Configuration'!$B$4)-AP135)</x:f>
      </x:c>
      <x:c r="AR135" s="25" t="str">
        <x:f>IF(AP135="","Missing Required Date",IF(AQ135&lt;0,"Future Date",IF(AQ135=0,"0 days",IF(AQ135&lt;=2,"1-2 days",IF(AQ135&lt;=7,"3-7 days",IF(AQ135&lt;=14,"8-14 days",IF(AQ135&lt;=30,"15-30 days",IF(AQ135&lt;=60,"31-60 days",IF(AQ135&lt;=70,"61-70 days","71+ days")))))))))</x:f>
        <x:v>Missing Required Date</x:v>
      </x:c>
      <x:c r="AS135" s="25" t="str">
        <x:f>IF(OR(E135="processing",E135="executing",E135="pending"),IF(AP135="","Required aging date missing",IF(AQ135&gt;30,"Escalate &gt;30d",IF(AQ135&gt;14,"Watch &gt;14d","Within 14d"))),"Out of scope")</x:f>
        <x:v>Out of scope</x:v>
      </x:c>
    </x:row>
    <x:row r="136" ht="24" customHeight="1">
      <x:c r="A136" t="str">
        <x:v>e0ec58c4-f7eb-47a1-94f5-708818f71ef4</x:v>
      </x:c>
      <x:c r="B136" t="str">
        <x:v>CSSP10620367</x:v>
      </x:c>
      <x:c r="C136" t="str">
        <x:v>mfazreel.mfaridazme@petronas.com</x:v>
      </x:c>
      <x:c r="D136" t="str">
        <x:v>decommission-cloud</x:v>
      </x:c>
      <x:c r="E136" t="str">
        <x:v>pending</x:v>
      </x:c>
      <x:c r="F136" t="n">
        <x:v>46080.28805756944</x:v>
      </x:c>
      <x:c r="G136" t="n">
        <x:v>46080.28838196759</x:v>
      </x:c>
      <x:c r="H136" t="n">
        <x:v>46080.28805756944</x:v>
      </x:c>
      <x:c r="I136" t="str">
        <x:v>Facial Recognition - FR</x:v>
      </x:c>
      <x:c r="J136" t="str">
        <x:v>Implementation of Facial Recognition (FR) for PETRONAS LNG Complex for Group Security, GHSSE</x:v>
      </x:c>
      <x:c r="K136" t="str">
        <x:v>full</x:v>
      </x:c>
      <x:c r="L136" t="str">
        <x:v>DCOM20260227572</x:v>
      </x:c>
      <x:c r="M136" t="str">
        <x:v>nursharul.mnor@petronas.com</x:v>
      </x:c>
      <x:c r="N136"/>
      <x:c r="O136"/>
      <x:c r="P136" t="str">
        <x:v>DPIA</x:v>
      </x:c>
      <x:c r="Q136" t="str">
        <x:v>2W</x:v>
      </x:c>
      <x:c r="R136" t="str">
        <x:v>Cloud Migration</x:v>
      </x:c>
      <x:c r="S136"/>
      <x:c r="T136" t="str">
        <x:v>approved</x:v>
      </x:c>
      <x:c r="U136" t="str">
        <x:v>mfazreel.mfaridazme@petronas.com</x:v>
      </x:c>
      <x:c r="V136" t="n">
        <x:v>46080.288381990744</x:v>
      </x:c>
      <x:c r="W136" t="str">
        <x:v>DPIA</x:v>
      </x:c>
      <x:c r="X136"/>
      <x:c r="Y136" t="str">
        <x:v>nursharul.mnor@petronas.com</x:v>
      </x:c>
      <x:c r="Z136"/>
      <x:c r="AA136"/>
      <x:c r="AB136"/>
      <x:c r="AC136" t="str">
        <x:v>CCoE Business</x:v>
      </x:c>
      <x:c r="AD136"/>
      <x:c r="AE136"/>
      <x:c r="AF136"/>
      <x:c r="AG136" t="str">
        <x:v>CCoE Operations</x:v>
      </x:c>
      <x:c r="AH136"/>
      <x:c r="AI136"/>
      <x:c r="AJ136" t="str">
        <x:v>A-000325</x:v>
      </x:c>
      <x:c r="AK136" t="n">
        <x:v>2794</x:v>
      </x:c>
      <x:c r="AL136"/>
      <x:c r="AM136"/>
      <x:c r="AN136" t="str">
        <x:v>noretention</x:v>
      </x:c>
      <x:c r="AO136" t="n">
        <x:v>0</x:v>
      </x:c>
      <x:c r="AP136" s="23" t="str">
        <x:f>IF(E136="processing",IF(Z136="","",IF(ISNUMBER(Z136),INT(Z136),DATE(VALUE(LEFT(Z136,4)),VALUE(MID(Z136,6,2)),VALUE(MID(Z136,9,2))))),IF(OR(E136="executing",E136="pending"),IF(AD136="","",IF(ISNUMBER(AD136),INT(AD136),DATE(VALUE(LEFT(AD136,4)),VALUE(MID(AD136,6,2)),VALUE(MID(AD136,9,2))))),""))</x:f>
      </x:c>
      <x:c r="AQ136" s="24" t="str">
        <x:f>IF(AP136="","",INT('Configuration'!$B$4)-AP136)</x:f>
      </x:c>
      <x:c r="AR136" s="25" t="str">
        <x:f>IF(AP136="","Missing Required Date",IF(AQ136&lt;0,"Future Date",IF(AQ136=0,"0 days",IF(AQ136&lt;=2,"1-2 days",IF(AQ136&lt;=7,"3-7 days",IF(AQ136&lt;=14,"8-14 days",IF(AQ136&lt;=30,"15-30 days",IF(AQ136&lt;=60,"31-60 days",IF(AQ136&lt;=70,"61-70 days","71+ days")))))))))</x:f>
        <x:v>Missing Required Date</x:v>
      </x:c>
      <x:c r="AS136" s="25" t="str">
        <x:f>IF(OR(E136="processing",E136="executing",E136="pending"),IF(AP136="","Required aging date missing",IF(AQ136&gt;30,"Escalate &gt;30d",IF(AQ136&gt;14,"Watch &gt;14d","Within 14d"))),"Out of scope")</x:f>
        <x:v>Required aging date missing</x:v>
      </x:c>
    </x:row>
    <x:row r="137" ht="24" customHeight="1">
      <x:c r="A137" t="str">
        <x:v>284b73f8-a90b-4f1a-8573-b7fc886dee5d</x:v>
      </x:c>
      <x:c r="B137" t="str">
        <x:v>CSSP10126661</x:v>
      </x:c>
      <x:c r="C137" t="str">
        <x:v>haslina.hashim@petronas.com</x:v>
      </x:c>
      <x:c r="D137" t="str">
        <x:v>decommission-cloud</x:v>
      </x:c>
      <x:c r="E137" t="str">
        <x:v>completed</x:v>
      </x:c>
      <x:c r="F137" t="n">
        <x:v>46080.38420162037</x:v>
      </x:c>
      <x:c r="G137" t="n">
        <x:v>46092.08383030093</x:v>
      </x:c>
      <x:c r="H137" t="n">
        <x:v>46080.38420162037</x:v>
      </x:c>
      <x:c r="I137" t="str">
        <x:v>MyINSIGHTS</x:v>
      </x:c>
      <x:c r="J137" t="str">
        <x:v>myINSIGHTS</x:v>
      </x:c>
      <x:c r="K137" t="str">
        <x:v>partial</x:v>
      </x:c>
      <x:c r="L137"/>
      <x:c r="M137" t="str">
        <x:v>sazali.mokhtar@petronas.com</x:v>
      </x:c>
      <x:c r="N137"/>
      <x:c r="O137"/>
      <x:c r="P137" t="str">
        <x:v>Cloud Repatriation - To decommission old resources in Singapore region due to completed migration in MY region</x:v>
      </x:c>
      <x:c r="Q137" t="str">
        <x:v>2W</x:v>
      </x:c>
      <x:c r="R137" t="str">
        <x:v>Cloud Migration</x:v>
      </x:c>
      <x:c r="S137"/>
      <x:c r="T137" t="str">
        <x:v>approved</x:v>
      </x:c>
      <x:c r="U137" t="str">
        <x:v>haslina.hashim@petronas.com</x:v>
      </x:c>
      <x:c r="V137" t="n">
        <x:v>46080.384556412035</x:v>
      </x:c>
      <x:c r="W137" t="str">
        <x:v>Please proceed. Refer to attached list</x:v>
      </x:c>
      <x:c r="X137" t="str">
        <x:v>approved</x:v>
      </x:c>
      <x:c r="Y137" t="str">
        <x:v>sazali.mokhtar@petronas.com</x:v>
      </x:c>
      <x:c r="Z137" t="n">
        <x:v>46085.04854332176</x:v>
      </x:c>
      <x:c r="AA137" t="str">
        <x:v>Old resources in Singapore - Repat completed.</x:v>
      </x:c>
      <x:c r="AB137" t="str">
        <x:v>approved</x:v>
      </x:c>
      <x:c r="AC137" t="str">
        <x:v>azwan.badari@petronas.com</x:v>
      </x:c>
      <x:c r="AD137" t="n">
        <x:v>46090.002409409724</x:v>
      </x:c>
      <x:c r="AE137" t="str">
        <x:v>Decommission listed resources. Refer to attachment for confirmation.</x:v>
      </x:c>
      <x:c r="AF137" t="str">
        <x:v>approved</x:v>
      </x:c>
      <x:c r="AG137" t="str">
        <x:v>azwan.badari@petronas.com</x:v>
      </x:c>
      <x:c r="AH137" t="n">
        <x:v>46092.0838303125</x:v>
      </x:c>
      <x:c r="AI137" t="str">
        <x:v>Completed</x:v>
      </x:c>
      <x:c r="AJ137" t="str">
        <x:v>A-000484</x:v>
      </x:c>
      <x:c r="AK137" t="n">
        <x:v>2787</x:v>
      </x:c>
      <x:c r="AL137" t="str">
        <x:v>M</x:v>
      </x:c>
      <x:c r="AM137" t="str">
        <x:v>REQ000007919360</x:v>
      </x:c>
      <x:c r="AN137" t="str">
        <x:v>noretention</x:v>
      </x:c>
      <x:c r="AO137" t="n">
        <x:v>0</x:v>
      </x:c>
      <x:c r="AP137" s="23" t="str">
        <x:f>IF(E137="processing",IF(Z137="","",IF(ISNUMBER(Z137),INT(Z137),DATE(VALUE(LEFT(Z137,4)),VALUE(MID(Z137,6,2)),VALUE(MID(Z137,9,2))))),IF(OR(E137="executing",E137="pending"),IF(AD137="","",IF(ISNUMBER(AD137),INT(AD137),DATE(VALUE(LEFT(AD137,4)),VALUE(MID(AD137,6,2)),VALUE(MID(AD137,9,2))))),""))</x:f>
      </x:c>
      <x:c r="AQ137" s="24" t="str">
        <x:f>IF(AP137="","",INT('Configuration'!$B$4)-AP137)</x:f>
      </x:c>
      <x:c r="AR137" s="25" t="str">
        <x:f>IF(AP137="","Missing Required Date",IF(AQ137&lt;0,"Future Date",IF(AQ137=0,"0 days",IF(AQ137&lt;=2,"1-2 days",IF(AQ137&lt;=7,"3-7 days",IF(AQ137&lt;=14,"8-14 days",IF(AQ137&lt;=30,"15-30 days",IF(AQ137&lt;=60,"31-60 days",IF(AQ137&lt;=70,"61-70 days","71+ days")))))))))</x:f>
        <x:v>Missing Required Date</x:v>
      </x:c>
      <x:c r="AS137" s="25" t="str">
        <x:f>IF(OR(E137="processing",E137="executing",E137="pending"),IF(AP137="","Required aging date missing",IF(AQ137&gt;30,"Escalate &gt;30d",IF(AQ137&gt;14,"Watch &gt;14d","Within 14d"))),"Out of scope")</x:f>
        <x:v>Out of scope</x:v>
      </x:c>
    </x:row>
    <x:row r="138" ht="24" customHeight="1">
      <x:c r="A138" t="str">
        <x:v>0180d9e4-6521-45d6-b7f1-f8849d558667</x:v>
      </x:c>
      <x:c r="B138" t="str">
        <x:v>CSSP10562704</x:v>
      </x:c>
      <x:c r="C138" t="str">
        <x:v>muhamadhafiz.muham@petronas.com</x:v>
      </x:c>
      <x:c r="D138" t="str">
        <x:v>decommission-cloud</x:v>
      </x:c>
      <x:c r="E138" t="str">
        <x:v>completed</x:v>
      </x:c>
      <x:c r="F138" t="n">
        <x:v>46083.07548494213</x:v>
      </x:c>
      <x:c r="G138" t="n">
        <x:v>46093.30448304398</x:v>
      </x:c>
      <x:c r="H138" t="n">
        <x:v>46083.07548494213</x:v>
      </x:c>
      <x:c r="I138" t="str">
        <x:v>Go Dashboard - GGO</x:v>
      </x:c>
      <x:c r="J138" t="str">
        <x:v>GO Dashboard DevOps 2025</x:v>
      </x:c>
      <x:c r="K138" t="str">
        <x:v>partial</x:v>
      </x:c>
      <x:c r="L138"/>
      <x:c r="M138" t="str">
        <x:v>huajin.tan@petronas.com.my</x:v>
      </x:c>
      <x:c r="N138" t="str">
        <x:v>go.petronas.com</x:v>
      </x:c>
      <x:c r="O138" t="n">
        <x:v>4640</x:v>
      </x:c>
      <x:c r="P138" t="str">
        <x:v>The system is being decommissioned as it is no longer in use and has no current or foreseeable business requirement.</x:v>
      </x:c>
      <x:c r="Q138" t="str">
        <x:v>2W</x:v>
      </x:c>
      <x:c r="R138" t="str">
        <x:v>Not in Used</x:v>
      </x:c>
      <x:c r="S138"/>
      <x:c r="T138" t="str">
        <x:v>approved</x:v>
      </x:c>
      <x:c r="U138" t="str">
        <x:v>muhamadhafiz.muham@petronas.com</x:v>
      </x:c>
      <x:c r="V138" t="n">
        <x:v>46083.08581783565</x:v>
      </x:c>
      <x:c r="W138" t="str">
        <x:v>To decommission database below
1. Non-prod (407331559142)
Host: ptawsg-5ggodb01.c444fcimx0qx.ap-southeast-1.rds.amazonaws.com
2. Prod (947558275301)
Host: ptawsg-1ggodb01-extendedrds.c9qfkmwd4m57.ap-southeast-1.rds.amazonaws.com</x:v>
      </x:c>
      <x:c r="X138" t="str">
        <x:v>approved</x:v>
      </x:c>
      <x:c r="Y138" t="str">
        <x:v>huajin.tan@petronas.com</x:v>
      </x:c>
      <x:c r="Z138" t="n">
        <x:v>46090.34208028935</x:v>
      </x:c>
      <x:c r="AA138" t="str">
        <x:v>Please proceed</x:v>
      </x:c>
      <x:c r="AB138" t="str">
        <x:v>approved</x:v>
      </x:c>
      <x:c r="AC138" t="str">
        <x:v>azwan.badari@petronas.com</x:v>
      </x:c>
      <x:c r="AD138" t="n">
        <x:v>46091.248926099535</x:v>
      </x:c>
      <x:c r="AE138" t="str">
        <x:v>1. Non-prod (407331559142) Host: ptawsg-5ggodb01.c444fcimx0qx.ap-southeast-1.rds.amazonaws.com 
2. Prod (947558275301) Host: ptawsg-1ggodb01-extendedrds.c9qfkmwd4m57.ap-southeast-1.rds.amazonaws.com</x:v>
      </x:c>
      <x:c r="AF138" t="str">
        <x:v>approved</x:v>
      </x:c>
      <x:c r="AG138" t="str">
        <x:v>azwan.badari@petronas.com</x:v>
      </x:c>
      <x:c r="AH138" t="n">
        <x:v>46093.30448305556</x:v>
      </x:c>
      <x:c r="AI138" t="str">
        <x:v>Completed</x:v>
      </x:c>
      <x:c r="AJ138" t="str">
        <x:v>A-000335</x:v>
      </x:c>
      <x:c r="AK138" t="n">
        <x:v>4640</x:v>
      </x:c>
      <x:c r="AL138" t="str">
        <x:v>M</x:v>
      </x:c>
      <x:c r="AM138" t="str">
        <x:v>REQ000007924011</x:v>
      </x:c>
      <x:c r="AN138" t="str">
        <x:v>noretention</x:v>
      </x:c>
      <x:c r="AO138" t="n">
        <x:v>0</x:v>
      </x:c>
      <x:c r="AP138" s="23" t="str">
        <x:f>IF(E138="processing",IF(Z138="","",IF(ISNUMBER(Z138),INT(Z138),DATE(VALUE(LEFT(Z138,4)),VALUE(MID(Z138,6,2)),VALUE(MID(Z138,9,2))))),IF(OR(E138="executing",E138="pending"),IF(AD138="","",IF(ISNUMBER(AD138),INT(AD138),DATE(VALUE(LEFT(AD138,4)),VALUE(MID(AD138,6,2)),VALUE(MID(AD138,9,2))))),""))</x:f>
      </x:c>
      <x:c r="AQ138" s="24" t="str">
        <x:f>IF(AP138="","",INT('Configuration'!$B$4)-AP138)</x:f>
      </x:c>
      <x:c r="AR138" s="25" t="str">
        <x:f>IF(AP138="","Missing Required Date",IF(AQ138&lt;0,"Future Date",IF(AQ138=0,"0 days",IF(AQ138&lt;=2,"1-2 days",IF(AQ138&lt;=7,"3-7 days",IF(AQ138&lt;=14,"8-14 days",IF(AQ138&lt;=30,"15-30 days",IF(AQ138&lt;=60,"31-60 days",IF(AQ138&lt;=70,"61-70 days","71+ days")))))))))</x:f>
        <x:v>Missing Required Date</x:v>
      </x:c>
      <x:c r="AS138" s="25" t="str">
        <x:f>IF(OR(E138="processing",E138="executing",E138="pending"),IF(AP138="","Required aging date missing",IF(AQ138&gt;30,"Escalate &gt;30d",IF(AQ138&gt;14,"Watch &gt;14d","Within 14d"))),"Out of scope")</x:f>
        <x:v>Out of scope</x:v>
      </x:c>
    </x:row>
    <x:row r="139" ht="24" customHeight="1">
      <x:c r="A139" t="str">
        <x:v>a413421a-9288-4d70-a675-5a22b7cbf26f</x:v>
      </x:c>
      <x:c r="B139" t="str">
        <x:v>CSSP10634478</x:v>
      </x:c>
      <x:c r="C139" t="str">
        <x:v>mzurfaiezzuddin.zur@petronas.com</x:v>
      </x:c>
      <x:c r="D139" t="str">
        <x:v>decommission-cloud</x:v>
      </x:c>
      <x:c r="E139" t="str">
        <x:v>completed</x:v>
      </x:c>
      <x:c r="F139" t="n">
        <x:v>46083.3020699537</x:v>
      </x:c>
      <x:c r="G139" t="n">
        <x:v>46092.12302525463</x:v>
      </x:c>
      <x:c r="H139" t="n">
        <x:v>46083.3020699537</x:v>
      </x:c>
      <x:c r="I139" t="str">
        <x:v>Wells DROID</x:v>
      </x:c>
      <x:c r="J139" t="str">
        <x:v>Cloud Migration - Wells Droid 2.0</x:v>
      </x:c>
      <x:c r="K139" t="str">
        <x:v>partial</x:v>
      </x:c>
      <x:c r="L139"/>
      <x:c r="M139" t="str">
        <x:v>sazali.mokhtar@petronas.com</x:v>
      </x:c>
      <x:c r="N139"/>
      <x:c r="O139"/>
      <x:c r="P139" t="str">
        <x:v>Cloud Repatriation - To decommission old resources in Singapore region due to completed migration in MY region</x:v>
      </x:c>
      <x:c r="Q139" t="str">
        <x:v>2W</x:v>
      </x:c>
      <x:c r="R139" t="str">
        <x:v>Cloud Migration</x:v>
      </x:c>
      <x:c r="S139"/>
      <x:c r="T139" t="str">
        <x:v>approved</x:v>
      </x:c>
      <x:c r="U139" t="str">
        <x:v>mzurfaiezzuddin.zur@petronas.com</x:v>
      </x:c>
      <x:c r="V139" t="n">
        <x:v>46083.30318952546</x:v>
      </x:c>
      <x:c r="W139" t="str">
        <x:v>Cloud Repatriation - To decommission old resources in Singapore region due to completed migration in MY region</x:v>
      </x:c>
      <x:c r="X139" t="str">
        <x:v>approved</x:v>
      </x:c>
      <x:c r="Y139" t="str">
        <x:v>sazali.mokhtar@petronas.com</x:v>
      </x:c>
      <x:c r="Z139" t="n">
        <x:v>46085.04959944444</x:v>
      </x:c>
      <x:c r="AA139" t="str">
        <x:v>To decommission old resources in Singapore region due to completed migration in MY region</x:v>
      </x:c>
      <x:c r="AB139" t="str">
        <x:v>approved</x:v>
      </x:c>
      <x:c r="AC139" t="str">
        <x:v>azwan.badari@petronas.com</x:v>
      </x:c>
      <x:c r="AD139" t="n">
        <x:v>46090.00138541667</x:v>
      </x:c>
      <x:c r="AE139" t="str">
        <x:v>Decommission listed resources. Refer to attachment for confirmation.</x:v>
      </x:c>
      <x:c r="AF139" t="str">
        <x:v>approved</x:v>
      </x:c>
      <x:c r="AG139" t="str">
        <x:v>azwan.badari@petronas.com</x:v>
      </x:c>
      <x:c r="AH139" t="n">
        <x:v>46092.123025266206</x:v>
      </x:c>
      <x:c r="AI139" t="str">
        <x:v>Completed</x:v>
      </x:c>
      <x:c r="AJ139" t="str">
        <x:v>A-000859</x:v>
      </x:c>
      <x:c r="AK139" t="str">
        <x:v>00915_133</x:v>
      </x:c>
      <x:c r="AL139" t="str">
        <x:v>M</x:v>
      </x:c>
      <x:c r="AM139" t="str">
        <x:v>REQ000007919359</x:v>
      </x:c>
      <x:c r="AN139" t="str">
        <x:v>noretention</x:v>
      </x:c>
      <x:c r="AO139" t="n">
        <x:v>0</x:v>
      </x:c>
      <x:c r="AP139" s="23" t="str">
        <x:f>IF(E139="processing",IF(Z139="","",IF(ISNUMBER(Z139),INT(Z139),DATE(VALUE(LEFT(Z139,4)),VALUE(MID(Z139,6,2)),VALUE(MID(Z139,9,2))))),IF(OR(E139="executing",E139="pending"),IF(AD139="","",IF(ISNUMBER(AD139),INT(AD139),DATE(VALUE(LEFT(AD139,4)),VALUE(MID(AD139,6,2)),VALUE(MID(AD139,9,2))))),""))</x:f>
      </x:c>
      <x:c r="AQ139" s="24" t="str">
        <x:f>IF(AP139="","",INT('Configuration'!$B$4)-AP139)</x:f>
      </x:c>
      <x:c r="AR139" s="25" t="str">
        <x:f>IF(AP139="","Missing Required Date",IF(AQ139&lt;0,"Future Date",IF(AQ139=0,"0 days",IF(AQ139&lt;=2,"1-2 days",IF(AQ139&lt;=7,"3-7 days",IF(AQ139&lt;=14,"8-14 days",IF(AQ139&lt;=30,"15-30 days",IF(AQ139&lt;=60,"31-60 days",IF(AQ139&lt;=70,"61-70 days","71+ days")))))))))</x:f>
        <x:v>Missing Required Date</x:v>
      </x:c>
      <x:c r="AS139" s="25" t="str">
        <x:f>IF(OR(E139="processing",E139="executing",E139="pending"),IF(AP139="","Required aging date missing",IF(AQ139&gt;30,"Escalate &gt;30d",IF(AQ139&gt;14,"Watch &gt;14d","Within 14d"))),"Out of scope")</x:f>
        <x:v>Out of scope</x:v>
      </x:c>
    </x:row>
    <x:row r="140" ht="24" customHeight="1">
      <x:c r="A140" t="str">
        <x:v>717f1bd9-2693-4342-be18-97cad6badf9f</x:v>
      </x:c>
      <x:c r="B140" t="str">
        <x:v>CSSP10435001</x:v>
      </x:c>
      <x:c r="C140" t="str">
        <x:v>syahadah.salleh@petronas.com</x:v>
      </x:c>
      <x:c r="D140" t="str">
        <x:v>decommission-cloud</x:v>
      </x:c>
      <x:c r="E140" t="str">
        <x:v>cancelled</x:v>
      </x:c>
      <x:c r="F140" t="n">
        <x:v>46083.33635280093</x:v>
      </x:c>
      <x:c r="G140" t="n">
        <x:v>46083.33691375</x:v>
      </x:c>
      <x:c r="H140" t="n">
        <x:v>46083.33635280093</x:v>
      </x:c>
      <x:c r="I140" t="str">
        <x:v>PETRONAS Electrical Safety and Operability Review - P-ELSOR</x:v>
      </x:c>
      <x:c r="J140" t="str">
        <x:v>P-ELSOR 3.0</x:v>
      </x:c>
      <x:c r="K140" t="str">
        <x:v>partial</x:v>
      </x:c>
      <x:c r="L140"/>
      <x:c r="M140" t="str">
        <x:v>nshahidahothman@petronas.com.my</x:v>
      </x:c>
      <x:c r="N140"/>
      <x:c r="O140"/>
      <x:c r="P140" t="str">
        <x:v>test</x:v>
      </x:c>
      <x:c r="Q140" t="str">
        <x:v>3M</x:v>
      </x:c>
      <x:c r="R140" t="str">
        <x:v>Cloud Migration</x:v>
      </x:c>
      <x:c r="S140"/>
      <x:c r="T140" t="str">
        <x:v>rejected</x:v>
      </x:c>
      <x:c r="U140" t="str">
        <x:v>syahadah.salleh@petronas.com</x:v>
      </x:c>
      <x:c r="V140" t="n">
        <x:v>46083.336913784726</x:v>
      </x:c>
      <x:c r="W140"/>
      <x:c r="X140"/>
      <x:c r="Y140" t="str">
        <x:v>nshahidahothman@petronas.com</x:v>
      </x:c>
      <x:c r="Z140"/>
      <x:c r="AA140"/>
      <x:c r="AB140"/>
      <x:c r="AC140" t="str">
        <x:v>CCoE Business</x:v>
      </x:c>
      <x:c r="AD140"/>
      <x:c r="AE140"/>
      <x:c r="AF140"/>
      <x:c r="AG140" t="str">
        <x:v>CCoE Operations</x:v>
      </x:c>
      <x:c r="AH140"/>
      <x:c r="AI140"/>
      <x:c r="AJ140" t="str">
        <x:v>A-000556</x:v>
      </x:c>
      <x:c r="AK140" t="n">
        <x:v>1950</x:v>
      </x:c>
      <x:c r="AL140"/>
      <x:c r="AM140"/>
      <x:c r="AN140" t="str">
        <x:v>noretention</x:v>
      </x:c>
      <x:c r="AO140" t="n">
        <x:v>0</x:v>
      </x:c>
      <x:c r="AP140" s="23" t="str">
        <x:f>IF(E140="processing",IF(Z140="","",IF(ISNUMBER(Z140),INT(Z140),DATE(VALUE(LEFT(Z140,4)),VALUE(MID(Z140,6,2)),VALUE(MID(Z140,9,2))))),IF(OR(E140="executing",E140="pending"),IF(AD140="","",IF(ISNUMBER(AD140),INT(AD140),DATE(VALUE(LEFT(AD140,4)),VALUE(MID(AD140,6,2)),VALUE(MID(AD140,9,2))))),""))</x:f>
      </x:c>
      <x:c r="AQ140" s="24" t="str">
        <x:f>IF(AP140="","",INT('Configuration'!$B$4)-AP140)</x:f>
      </x:c>
      <x:c r="AR140" s="25" t="str">
        <x:f>IF(AP140="","Missing Required Date",IF(AQ140&lt;0,"Future Date",IF(AQ140=0,"0 days",IF(AQ140&lt;=2,"1-2 days",IF(AQ140&lt;=7,"3-7 days",IF(AQ140&lt;=14,"8-14 days",IF(AQ140&lt;=30,"15-30 days",IF(AQ140&lt;=60,"31-60 days",IF(AQ140&lt;=70,"61-70 days","71+ days")))))))))</x:f>
        <x:v>Missing Required Date</x:v>
      </x:c>
      <x:c r="AS140" s="25" t="str">
        <x:f>IF(OR(E140="processing",E140="executing",E140="pending"),IF(AP140="","Required aging date missing",IF(AQ140&gt;30,"Escalate &gt;30d",IF(AQ140&gt;14,"Watch &gt;14d","Within 14d"))),"Out of scope")</x:f>
        <x:v>Out of scope</x:v>
      </x:c>
    </x:row>
    <x:row r="141" ht="24" customHeight="1">
      <x:c r="A141" t="str">
        <x:v>21f7373f-046f-4095-abd1-39eb8fcece47</x:v>
      </x:c>
      <x:c r="B141" t="str">
        <x:v>CSSP10290355</x:v>
      </x:c>
      <x:c r="C141" t="str">
        <x:v>rosdi.kasim@petronas.com</x:v>
      </x:c>
      <x:c r="D141" t="str">
        <x:v>decommission-cloud</x:v>
      </x:c>
      <x:c r="E141" t="str">
        <x:v>cancelled</x:v>
      </x:c>
      <x:c r="F141" t="n">
        <x:v>46085.00597019676</x:v>
      </x:c>
      <x:c r="G141" t="n">
        <x:v>46085.011772337966</x:v>
      </x:c>
      <x:c r="H141" t="n">
        <x:v>46085.00985158565</x:v>
      </x:c>
      <x:c r="I141" t="str">
        <x:v>Electronic Permit To Work Plus - ePTW+</x:v>
      </x:c>
      <x:c r="J141" t="str">
        <x:v>Implementation of Disaster Recovery for ePTW+</x:v>
      </x:c>
      <x:c r="K141" t="str">
        <x:v>partial</x:v>
      </x:c>
      <x:c r="L141"/>
      <x:c r="M141" t="str">
        <x:v>bryan.dewitt@petronas.com</x:v>
      </x:c>
      <x:c r="N141"/>
      <x:c r="O141"/>
      <x:c r="P141" t="str">
        <x:v>Not used.</x:v>
      </x:c>
      <x:c r="Q141" t="str">
        <x:v>2W</x:v>
      </x:c>
      <x:c r="R141" t="str">
        <x:v>Not in Used</x:v>
      </x:c>
      <x:c r="S141"/>
      <x:c r="T141" t="str">
        <x:v>rejected</x:v>
      </x:c>
      <x:c r="U141" t="str">
        <x:v>rosdi.kasim@petronas.com</x:v>
      </x:c>
      <x:c r="V141" t="n">
        <x:v>46085.011772349535</x:v>
      </x:c>
      <x:c r="W141"/>
      <x:c r="X141"/>
      <x:c r="Y141" t="str">
        <x:v>bryan.dewitt@petronas.com</x:v>
      </x:c>
      <x:c r="Z141"/>
      <x:c r="AA141"/>
      <x:c r="AB141"/>
      <x:c r="AC141" t="str">
        <x:v>CCoE Business</x:v>
      </x:c>
      <x:c r="AD141"/>
      <x:c r="AE141"/>
      <x:c r="AF141"/>
      <x:c r="AG141" t="str">
        <x:v>CCoE Business</x:v>
      </x:c>
      <x:c r="AH141"/>
      <x:c r="AI141"/>
      <x:c r="AJ141" t="str">
        <x:v>A-000297</x:v>
      </x:c>
      <x:c r="AK141" t="n">
        <x:v>1823</x:v>
      </x:c>
      <x:c r="AL141"/>
      <x:c r="AM141"/>
      <x:c r="AN141" t="str">
        <x:v>noretention</x:v>
      </x:c>
      <x:c r="AO141" t="n">
        <x:v>0</x:v>
      </x:c>
      <x:c r="AP141" s="23" t="str">
        <x:f>IF(E141="processing",IF(Z141="","",IF(ISNUMBER(Z141),INT(Z141),DATE(VALUE(LEFT(Z141,4)),VALUE(MID(Z141,6,2)),VALUE(MID(Z141,9,2))))),IF(OR(E141="executing",E141="pending"),IF(AD141="","",IF(ISNUMBER(AD141),INT(AD141),DATE(VALUE(LEFT(AD141,4)),VALUE(MID(AD141,6,2)),VALUE(MID(AD141,9,2))))),""))</x:f>
      </x:c>
      <x:c r="AQ141" s="24" t="str">
        <x:f>IF(AP141="","",INT('Configuration'!$B$4)-AP141)</x:f>
      </x:c>
      <x:c r="AR141" s="25" t="str">
        <x:f>IF(AP141="","Missing Required Date",IF(AQ141&lt;0,"Future Date",IF(AQ141=0,"0 days",IF(AQ141&lt;=2,"1-2 days",IF(AQ141&lt;=7,"3-7 days",IF(AQ141&lt;=14,"8-14 days",IF(AQ141&lt;=30,"15-30 days",IF(AQ141&lt;=60,"31-60 days",IF(AQ141&lt;=70,"61-70 days","71+ days")))))))))</x:f>
        <x:v>Missing Required Date</x:v>
      </x:c>
      <x:c r="AS141" s="25" t="str">
        <x:f>IF(OR(E141="processing",E141="executing",E141="pending"),IF(AP141="","Required aging date missing",IF(AQ141&gt;30,"Escalate &gt;30d",IF(AQ141&gt;14,"Watch &gt;14d","Within 14d"))),"Out of scope")</x:f>
        <x:v>Out of scope</x:v>
      </x:c>
    </x:row>
    <x:row r="142" ht="24" customHeight="1">
      <x:c r="A142" t="str">
        <x:v>3e13d1e8-fd25-4022-8c5f-a74f91d0844b</x:v>
      </x:c>
      <x:c r="B142" t="str">
        <x:v>CSSP10480747</x:v>
      </x:c>
      <x:c r="C142" t="str">
        <x:v>rosdi.kasim@petronas.com</x:v>
      </x:c>
      <x:c r="D142" t="str">
        <x:v>decommission-cloud</x:v>
      </x:c>
      <x:c r="E142" t="str">
        <x:v>completed</x:v>
      </x:c>
      <x:c r="F142" t="n">
        <x:v>46085.01319346065</x:v>
      </x:c>
      <x:c r="G142" t="n">
        <x:v>46091.06811756945</x:v>
      </x:c>
      <x:c r="H142" t="n">
        <x:v>46085.01319346065</x:v>
      </x:c>
      <x:c r="I142" t="str">
        <x:v>Electronic Permit To Work - ePTW MLNG</x:v>
      </x:c>
      <x:c r="J142" t="str">
        <x:v>Application Development Of New Modules and Function for ePTW/ePTW TA Web and ePTW+ Mobile Application For Malaysia LNG Sdn Bhd</x:v>
      </x:c>
      <x:c r="K142" t="str">
        <x:v>partial</x:v>
      </x:c>
      <x:c r="L142"/>
      <x:c r="M142" t="str">
        <x:v>bryan.dewitt@petronas.com</x:v>
      </x:c>
      <x:c r="N142"/>
      <x:c r="O142"/>
      <x:c r="P142" t="str">
        <x:v>Not used.</x:v>
      </x:c>
      <x:c r="Q142" t="str">
        <x:v>2W</x:v>
      </x:c>
      <x:c r="R142" t="str">
        <x:v>Not in Used</x:v>
      </x:c>
      <x:c r="S142"/>
      <x:c r="T142" t="str">
        <x:v>approved</x:v>
      </x:c>
      <x:c r="U142" t="str">
        <x:v>rosdi.kasim@petronas.com</x:v>
      </x:c>
      <x:c r="V142" t="n">
        <x:v>46085.02091403935</x:v>
      </x:c>
      <x:c r="W142" t="str">
        <x:v>All these 4 VMs are not being used. The project is dormant and may be decommissioned entirely soon.
PTSG-5ePTWap01 172.25.68.59
PTSG-5ePTWap02 172.25.68.60
PTSG-5ePTWap03
PTSG-5ePTWap04 172.25.68.62</x:v>
      </x:c>
      <x:c r="X142" t="str">
        <x:v>approved</x:v>
      </x:c>
      <x:c r="Y142" t="str">
        <x:v>bryan.dewitt@petronas.com</x:v>
      </x:c>
      <x:c r="Z142" t="n">
        <x:v>46085.2900855787</x:v>
      </x:c>
      <x:c r="AA142" t="str">
        <x:v>approved</x:v>
      </x:c>
      <x:c r="AB142" t="str">
        <x:v>approved</x:v>
      </x:c>
      <x:c r="AC142" t="str">
        <x:v>azwan.badari@petronas.com</x:v>
      </x:c>
      <x:c r="AD142" t="n">
        <x:v>46089.99882836806</x:v>
      </x:c>
      <x:c r="AE142" t="str">
        <x:v>Decommission listed resources</x:v>
      </x:c>
      <x:c r="AF142" t="str">
        <x:v>approved</x:v>
      </x:c>
      <x:c r="AG142" t="str">
        <x:v>azlisham.md@petronas.com</x:v>
      </x:c>
      <x:c r="AH142" t="n">
        <x:v>46091.06811756945</x:v>
      </x:c>
      <x:c r="AI142" t="str">
        <x:v>The decommission request has been completed, and the status is now updated accordingly. Kindly verify from your end and confirm once reviewed.
</x:v>
      </x:c>
      <x:c r="AJ142" t="str">
        <x:v>A-000296</x:v>
      </x:c>
      <x:c r="AK142" t="str">
        <x:v>PSR04526</x:v>
      </x:c>
      <x:c r="AL142" t="str">
        <x:v>M</x:v>
      </x:c>
      <x:c r="AM142" t="str">
        <x:v>REQ000007919354</x:v>
      </x:c>
      <x:c r="AN142" t="str">
        <x:v>noretention</x:v>
      </x:c>
      <x:c r="AO142" t="n">
        <x:v>0</x:v>
      </x:c>
      <x:c r="AP142" s="23" t="str">
        <x:f>IF(E142="processing",IF(Z142="","",IF(ISNUMBER(Z142),INT(Z142),DATE(VALUE(LEFT(Z142,4)),VALUE(MID(Z142,6,2)),VALUE(MID(Z142,9,2))))),IF(OR(E142="executing",E142="pending"),IF(AD142="","",IF(ISNUMBER(AD142),INT(AD142),DATE(VALUE(LEFT(AD142,4)),VALUE(MID(AD142,6,2)),VALUE(MID(AD142,9,2))))),""))</x:f>
      </x:c>
      <x:c r="AQ142" s="24" t="str">
        <x:f>IF(AP142="","",INT('Configuration'!$B$4)-AP142)</x:f>
      </x:c>
      <x:c r="AR142" s="25" t="str">
        <x:f>IF(AP142="","Missing Required Date",IF(AQ142&lt;0,"Future Date",IF(AQ142=0,"0 days",IF(AQ142&lt;=2,"1-2 days",IF(AQ142&lt;=7,"3-7 days",IF(AQ142&lt;=14,"8-14 days",IF(AQ142&lt;=30,"15-30 days",IF(AQ142&lt;=60,"31-60 days",IF(AQ142&lt;=70,"61-70 days","71+ days")))))))))</x:f>
        <x:v>Missing Required Date</x:v>
      </x:c>
      <x:c r="AS142" s="25" t="str">
        <x:f>IF(OR(E142="processing",E142="executing",E142="pending"),IF(AP142="","Required aging date missing",IF(AQ142&gt;30,"Escalate &gt;30d",IF(AQ142&gt;14,"Watch &gt;14d","Within 14d"))),"Out of scope")</x:f>
        <x:v>Out of scope</x:v>
      </x:c>
    </x:row>
    <x:row r="143" ht="24" customHeight="1">
      <x:c r="A143" t="str">
        <x:v>000e790b-1f48-4c25-94ce-4fba6fae8e32</x:v>
      </x:c>
      <x:c r="B143" t="str">
        <x:v>CSSP10240447</x:v>
      </x:c>
      <x:c r="C143" t="str">
        <x:v>rajila.vadakkalthund@petronas.com</x:v>
      </x:c>
      <x:c r="D143" t="str">
        <x:v>decommission-cloud</x:v>
      </x:c>
      <x:c r="E143" t="str">
        <x:v>completed</x:v>
      </x:c>
      <x:c r="F143" t="n">
        <x:v>46085.05178738426</x:v>
      </x:c>
      <x:c r="G143" t="n">
        <x:v>46093.32801385417</x:v>
      </x:c>
      <x:c r="H143" t="n">
        <x:v>46085.05178738426</x:v>
      </x:c>
      <x:c r="I143" t="str">
        <x:v>Drillbench and Engineering Desktop - EDT</x:v>
      </x:c>
      <x:c r="J143" t="str">
        <x:v>Cloud Migration- Drillbench &amp;EDM (EDT)</x:v>
      </x:c>
      <x:c r="K143" t="str">
        <x:v>partial</x:v>
      </x:c>
      <x:c r="L143"/>
      <x:c r="M143" t="str">
        <x:v>afiqah.aziz@petronas.com.my</x:v>
      </x:c>
      <x:c r="N143"/>
      <x:c r="O143"/>
      <x:c r="P143" t="str">
        <x:v>The server is not being used any more</x:v>
      </x:c>
      <x:c r="Q143" t="str">
        <x:v>12M</x:v>
      </x:c>
      <x:c r="R143" t="str">
        <x:v>Not in Used</x:v>
      </x:c>
      <x:c r="S143"/>
      <x:c r="T143" t="str">
        <x:v>approved</x:v>
      </x:c>
      <x:c r="U143" t="str">
        <x:v>rajila.vadakkalthund@petronas.com</x:v>
      </x:c>
      <x:c r="V143" t="n">
        <x:v>46091.0756484375</x:v>
      </x:c>
      <x:c r="W143" t="str">
        <x:v>Decommissioning of server PTSG-1EDTPFS01</x:v>
      </x:c>
      <x:c r="X143" t="str">
        <x:v>approved</x:v>
      </x:c>
      <x:c r="Y143" t="str">
        <x:v>afiqah.aziz@petronas.com</x:v>
      </x:c>
      <x:c r="Z143" t="n">
        <x:v>46091.24303586806</x:v>
      </x:c>
      <x:c r="AA143" t="str">
        <x:v>As no more utilisation, agreed to decomm</x:v>
      </x:c>
      <x:c r="AB143" t="str">
        <x:v>approved</x:v>
      </x:c>
      <x:c r="AC143" t="str">
        <x:v>azwan.badari@petronas.com</x:v>
      </x:c>
      <x:c r="AD143" t="n">
        <x:v>46091.30614388889</x:v>
      </x:c>
      <x:c r="AE143" t="str">
        <x:v>Decommission selected resources</x:v>
      </x:c>
      <x:c r="AF143" t="str">
        <x:v>approved</x:v>
      </x:c>
      <x:c r="AG143" t="str">
        <x:v>azlisham.md@petronas.com</x:v>
      </x:c>
      <x:c r="AH143" t="n">
        <x:v>46093.32801386574</x:v>
      </x:c>
      <x:c r="AI143" t="str">
        <x:v>The decommission request has been completed, and the status is now updated accordingly. Kindly verify from your end and confirm once reviewed.
</x:v>
      </x:c>
      <x:c r="AJ143" t="str">
        <x:v>A-000270</x:v>
      </x:c>
      <x:c r="AK143" t="str">
        <x:v>02421_30</x:v>
      </x:c>
      <x:c r="AL143" t="str">
        <x:v>M</x:v>
      </x:c>
      <x:c r="AM143" t="str">
        <x:v>REQ000007924646</x:v>
      </x:c>
      <x:c r="AN143" t="str">
        <x:v>retention</x:v>
      </x:c>
      <x:c r="AO143" t="n">
        <x:v>365</x:v>
      </x:c>
      <x:c r="AP143" s="23" t="str">
        <x:f>IF(E143="processing",IF(Z143="","",IF(ISNUMBER(Z143),INT(Z143),DATE(VALUE(LEFT(Z143,4)),VALUE(MID(Z143,6,2)),VALUE(MID(Z143,9,2))))),IF(OR(E143="executing",E143="pending"),IF(AD143="","",IF(ISNUMBER(AD143),INT(AD143),DATE(VALUE(LEFT(AD143,4)),VALUE(MID(AD143,6,2)),VALUE(MID(AD143,9,2))))),""))</x:f>
      </x:c>
      <x:c r="AQ143" s="24" t="str">
        <x:f>IF(AP143="","",INT('Configuration'!$B$4)-AP143)</x:f>
      </x:c>
      <x:c r="AR143" s="25" t="str">
        <x:f>IF(AP143="","Missing Required Date",IF(AQ143&lt;0,"Future Date",IF(AQ143=0,"0 days",IF(AQ143&lt;=2,"1-2 days",IF(AQ143&lt;=7,"3-7 days",IF(AQ143&lt;=14,"8-14 days",IF(AQ143&lt;=30,"15-30 days",IF(AQ143&lt;=60,"31-60 days",IF(AQ143&lt;=70,"61-70 days","71+ days")))))))))</x:f>
        <x:v>Missing Required Date</x:v>
      </x:c>
      <x:c r="AS143" s="25" t="str">
        <x:f>IF(OR(E143="processing",E143="executing",E143="pending"),IF(AP143="","Required aging date missing",IF(AQ143&gt;30,"Escalate &gt;30d",IF(AQ143&gt;14,"Watch &gt;14d","Within 14d"))),"Out of scope")</x:f>
        <x:v>Out of scope</x:v>
      </x:c>
    </x:row>
    <x:row r="144" ht="24" customHeight="1">
      <x:c r="A144" t="str">
        <x:v>a1c5df6e-b6f1-4c3c-86c3-8a23673e62ac</x:v>
      </x:c>
      <x:c r="B144" t="str">
        <x:v>CSSP10932890</x:v>
      </x:c>
      <x:c r="C144" t="str">
        <x:v>mkhairulazhar.jamil@petronas.com</x:v>
      </x:c>
      <x:c r="D144" t="str">
        <x:v>decommission-cloud</x:v>
      </x:c>
      <x:c r="E144" t="str">
        <x:v>completed</x:v>
      </x:c>
      <x:c r="F144" t="n">
        <x:v>46085.289279826386</x:v>
      </x:c>
      <x:c r="G144" t="n">
        <x:v>46170.05359957176</x:v>
      </x:c>
      <x:c r="H144" t="n">
        <x:v>46086.080942326385</x:v>
      </x:c>
      <x:c r="I144" t="str">
        <x:v>COMPASS</x:v>
      </x:c>
      <x:c r="J144" t="str">
        <x:v>COMPASS Phase 2</x:v>
      </x:c>
      <x:c r="K144" t="str">
        <x:v>partial</x:v>
      </x:c>
      <x:c r="L144"/>
      <x:c r="M144" t="str">
        <x:v>amirshazlan.mshah@petronas.com.my</x:v>
      </x:c>
      <x:c r="N144" t="str">
        <x:v>compass.petronas.com</x:v>
      </x:c>
      <x:c r="O144"/>
      <x:c r="P144" t="str">
        <x:v>Migrated to new VM. </x:v>
      </x:c>
      <x:c r="Q144" t="str">
        <x:v>2W</x:v>
      </x:c>
      <x:c r="R144" t="str">
        <x:v>Cloud Migration</x:v>
      </x:c>
      <x:c r="S144"/>
      <x:c r="T144" t="str">
        <x:v>approved</x:v>
      </x:c>
      <x:c r="U144" t="str">
        <x:v>mkhairulazhar.jamil@petronas.com</x:v>
      </x:c>
      <x:c r="V144" t="n">
        <x:v>46086.11148439815</x:v>
      </x:c>
      <x:c r="W144" t="str">
        <x:v>The following resources to be decommissioned as confirmed by COMPASS app team.
1. Development Server 
PTSG-4CMPSap02
172.25.52.199 
2. Staging Server 
PTSG-4CMPSap01
172.25.52.250 
3. Production Server 
PTSG-1CMPSap02 
172.25.192.23 
4. COMPASS Module 2 STAG POSTGRESQL DB [SINGLE] 
Host: ptsg-4compasspgsql02.postgres.database.azure.com 
Port: 5432 
DB: decarb-opt 
5. COMPASS Module 2 PROD POSTGRESQL DB [SINGLE] 
Host: ptazsg-1compass-psql01.postgres.database.azure.com 
Port: 5432 
DB: postgres (default DB) (TODO: to create compass-opt db) 
6. COMPASS Module 2 STAG POSTGRESQL DB [FLEXI]  
Host: ptsg-4compasspgsql-flexi.postgres.database.azure.com 
172.25.56.129 
Port: 5432 
DB: decarb-opt 
</x:v>
      </x:c>
      <x:c r="X144" t="str">
        <x:v>approved</x:v>
      </x:c>
      <x:c r="Y144" t="str">
        <x:v>amirshazlan.mshah@petronas.com</x:v>
      </x:c>
      <x:c r="Z144" t="n">
        <x:v>46127.087778402776</x:v>
      </x:c>
      <x:c r="AA144" t="str">
        <x:v>request to set autogrow for db approved</x:v>
      </x:c>
      <x:c r="AB144" t="str">
        <x:v>approved</x:v>
      </x:c>
      <x:c r="AC144" t="str">
        <x:v>azwan.badari@petronas.com</x:v>
      </x:c>
      <x:c r="AD144" t="n">
        <x:v>46156.16041300926</x:v>
      </x:c>
      <x:c r="AE144" t="str">
        <x:v>The following resources to be decommissioned as confirmed by COMPASS app team. 
1. Development Server PTSG-4CMPSap02 172.25.52.199 
2. Staging Server PTSG-4CMPSap01 172.25.52.250 
3. Production Server PTSG-1CMPSap02 172.25.192.23
4. DB: decarb-opt only in Host: ptsg-4compasspgsql02.postgres.database.azure.com
5. DB: postgres (default DB) only in Host: ptazsg-1compass-psql01.postgres.database.azure.com
6. DB: decarb-opt only in Host: ptsg-4compasspgsql-flexi.postgres.database.azure.com 172.25.56.129</x:v>
      </x:c>
      <x:c r="AF144" t="str">
        <x:v>approved</x:v>
      </x:c>
      <x:c r="AG144" t="str">
        <x:v>azlisham.md@petronas.com</x:v>
      </x:c>
      <x:c r="AH144" t="n">
        <x:v>46170.053599583334</x:v>
      </x:c>
      <x:c r="AI144" t="str">
        <x:v>The decommission request has been completed, and the status is now updated accordingly. Kindly verify from your end and confirm once reviewed.
The user has requested to place the decommissioning of ptsg-4compasspgsql-flexi on hold, pending deletion.</x:v>
      </x:c>
      <x:c r="AJ144" t="str">
        <x:v>A-000124</x:v>
      </x:c>
      <x:c r="AK144" t="n">
        <x:v>1709</x:v>
      </x:c>
      <x:c r="AL144" t="str">
        <x:v>M</x:v>
      </x:c>
      <x:c r="AM144" t="str">
        <x:v>REQ000008048018</x:v>
      </x:c>
      <x:c r="AN144" t="str">
        <x:v>disposal</x:v>
      </x:c>
      <x:c r="AO144" t="n">
        <x:v>0</x:v>
      </x:c>
      <x:c r="AP144" s="23" t="str">
        <x:f>IF(E144="processing",IF(Z144="","",IF(ISNUMBER(Z144),INT(Z144),DATE(VALUE(LEFT(Z144,4)),VALUE(MID(Z144,6,2)),VALUE(MID(Z144,9,2))))),IF(OR(E144="executing",E144="pending"),IF(AD144="","",IF(ISNUMBER(AD144),INT(AD144),DATE(VALUE(LEFT(AD144,4)),VALUE(MID(AD144,6,2)),VALUE(MID(AD144,9,2))))),""))</x:f>
      </x:c>
      <x:c r="AQ144" s="24" t="str">
        <x:f>IF(AP144="","",INT('Configuration'!$B$4)-AP144)</x:f>
      </x:c>
      <x:c r="AR144" s="25" t="str">
        <x:f>IF(AP144="","Missing Required Date",IF(AQ144&lt;0,"Future Date",IF(AQ144=0,"0 days",IF(AQ144&lt;=2,"1-2 days",IF(AQ144&lt;=7,"3-7 days",IF(AQ144&lt;=14,"8-14 days",IF(AQ144&lt;=30,"15-30 days",IF(AQ144&lt;=60,"31-60 days",IF(AQ144&lt;=70,"61-70 days","71+ days")))))))))</x:f>
        <x:v>Missing Required Date</x:v>
      </x:c>
      <x:c r="AS144" s="25" t="str">
        <x:f>IF(OR(E144="processing",E144="executing",E144="pending"),IF(AP144="","Required aging date missing",IF(AQ144&gt;30,"Escalate &gt;30d",IF(AQ144&gt;14,"Watch &gt;14d","Within 14d"))),"Out of scope")</x:f>
        <x:v>Out of scope</x:v>
      </x:c>
    </x:row>
    <x:row r="145" ht="24" customHeight="1">
      <x:c r="A145" t="str">
        <x:v>0109eed2-8e73-4f32-9fd6-8475681a48b6</x:v>
      </x:c>
      <x:c r="B145" t="str">
        <x:v>CSSP10278874</x:v>
      </x:c>
      <x:c r="C145" t="str">
        <x:v>diana.ali@petronas.com</x:v>
      </x:c>
      <x:c r="D145" t="str">
        <x:v>decommission-cloud</x:v>
      </x:c>
      <x:c r="E145" t="str">
        <x:v>completed</x:v>
      </x:c>
      <x:c r="F145" t="n">
        <x:v>46086.615896180556</x:v>
      </x:c>
      <x:c r="G145" t="n">
        <x:v>46093.16797584491</x:v>
      </x:c>
      <x:c r="H145" t="n">
        <x:v>46086.615896180556</x:v>
      </x:c>
      <x:c r="I145" t="str">
        <x:v>Enterprise Application Integration - EAI WebMethod</x:v>
      </x:c>
      <x:c r="J145" t="str">
        <x:v>EAI WebMethod Integration Platform Cloud Migration and Upgrade</x:v>
      </x:c>
      <x:c r="K145" t="str">
        <x:v>full</x:v>
      </x:c>
      <x:c r="L145" t="str">
        <x:v>DCOM2026030502b</x:v>
      </x:c>
      <x:c r="M145" t="str">
        <x:v>mahzan.musa@petronas.com</x:v>
      </x:c>
      <x:c r="N145" t="str">
        <x:v>myeaiint.petronas.com, myeaiext.petronas.com</x:v>
      </x:c>
      <x:c r="O145"/>
      <x:c r="P145" t="str">
        <x:v>The WebMethods integration has been migrated to MuleSoft.</x:v>
      </x:c>
      <x:c r="Q145" t="str">
        <x:v>3M</x:v>
      </x:c>
      <x:c r="R145" t="str">
        <x:v>Upgrade</x:v>
      </x:c>
      <x:c r="S145"/>
      <x:c r="T145" t="str">
        <x:v>approved</x:v>
      </x:c>
      <x:c r="U145" t="str">
        <x:v>diana.ali@petronas.com</x:v>
      </x:c>
      <x:c r="V145" t="n">
        <x:v>46086.617367465275</x:v>
      </x:c>
      <x:c r="W145" t="str">
        <x:v>Full decomission of EAI . EAI WebMethods integration has been fully migrated to MuleSoft.</x:v>
      </x:c>
      <x:c r="X145" t="str">
        <x:v>approved</x:v>
      </x:c>
      <x:c r="Y145" t="str">
        <x:v>mahzan.musa@petronas.com</x:v>
      </x:c>
      <x:c r="Z145" t="n">
        <x:v>46090.264049502315</x:v>
      </x:c>
      <x:c r="AA145" t="str">
        <x:v>approved as platform has been migrated to MuleSoft</x:v>
      </x:c>
      <x:c r="AB145" t="str">
        <x:v>approved</x:v>
      </x:c>
      <x:c r="AC145" t="str">
        <x:v>azwan.badari@petronas.com</x:v>
      </x:c>
      <x:c r="AD145" t="n">
        <x:v>46091.24806758102</x:v>
      </x:c>
      <x:c r="AE145" t="str">
        <x:v>Proceed</x:v>
      </x:c>
      <x:c r="AF145" t="str">
        <x:v>approved</x:v>
      </x:c>
      <x:c r="AG145" t="str">
        <x:v>azlisham.md@petronas.com</x:v>
      </x:c>
      <x:c r="AH145" t="n">
        <x:v>46093.16797585648</x:v>
      </x:c>
      <x:c r="AI145" t="str">
        <x:v>The decommission request has been completed, and the status is now updated accordingly. Kindly verify from your end and confirm once reviewed.
</x:v>
      </x:c>
      <x:c r="AJ145" t="str">
        <x:v>A-000253</x:v>
      </x:c>
      <x:c r="AK145" t="n">
        <x:v>1726</x:v>
      </x:c>
      <x:c r="AL145" t="str">
        <x:v>L</x:v>
      </x:c>
      <x:c r="AM145" t="str">
        <x:v>REQ000007924010</x:v>
      </x:c>
      <x:c r="AN145" t="str">
        <x:v>retention</x:v>
      </x:c>
      <x:c r="AO145" t="n">
        <x:v>90</x:v>
      </x:c>
      <x:c r="AP145" s="23" t="str">
        <x:f>IF(E145="processing",IF(Z145="","",IF(ISNUMBER(Z145),INT(Z145),DATE(VALUE(LEFT(Z145,4)),VALUE(MID(Z145,6,2)),VALUE(MID(Z145,9,2))))),IF(OR(E145="executing",E145="pending"),IF(AD145="","",IF(ISNUMBER(AD145),INT(AD145),DATE(VALUE(LEFT(AD145,4)),VALUE(MID(AD145,6,2)),VALUE(MID(AD145,9,2))))),""))</x:f>
      </x:c>
      <x:c r="AQ145" s="24" t="str">
        <x:f>IF(AP145="","",INT('Configuration'!$B$4)-AP145)</x:f>
      </x:c>
      <x:c r="AR145" s="25" t="str">
        <x:f>IF(AP145="","Missing Required Date",IF(AQ145&lt;0,"Future Date",IF(AQ145=0,"0 days",IF(AQ145&lt;=2,"1-2 days",IF(AQ145&lt;=7,"3-7 days",IF(AQ145&lt;=14,"8-14 days",IF(AQ145&lt;=30,"15-30 days",IF(AQ145&lt;=60,"31-60 days",IF(AQ145&lt;=70,"61-70 days","71+ days")))))))))</x:f>
        <x:v>Missing Required Date</x:v>
      </x:c>
      <x:c r="AS145" s="25" t="str">
        <x:f>IF(OR(E145="processing",E145="executing",E145="pending"),IF(AP145="","Required aging date missing",IF(AQ145&gt;30,"Escalate &gt;30d",IF(AQ145&gt;14,"Watch &gt;14d","Within 14d"))),"Out of scope")</x:f>
        <x:v>Out of scope</x:v>
      </x:c>
    </x:row>
    <x:row r="146" ht="24" customHeight="1">
      <x:c r="A146" t="str">
        <x:v>64416d70-6e34-43be-8b8a-77e22bdc39ee</x:v>
      </x:c>
      <x:c r="B146" t="str">
        <x:v>CSSP10656783</x:v>
      </x:c>
      <x:c r="C146" t="str">
        <x:v>mzurfaiezzuddin.zur@petronas.com</x:v>
      </x:c>
      <x:c r="D146" t="str">
        <x:v>decommission-cloud</x:v>
      </x:c>
      <x:c r="E146" t="str">
        <x:v>completed</x:v>
      </x:c>
      <x:c r="F146" t="n">
        <x:v>46090.095560092595</x:v>
      </x:c>
      <x:c r="G146" t="n">
        <x:v>46111.290794305554</x:v>
      </x:c>
      <x:c r="H146" t="n">
        <x:v>46090.095560092595</x:v>
      </x:c>
      <x:c r="I146" t="str">
        <x:v>Orion MLNG</x:v>
      </x:c>
      <x:c r="J146" t="str">
        <x:v>Full-Fledge Deployment of ORION Engine and Front-End Development</x:v>
      </x:c>
      <x:c r="K146" t="str">
        <x:v>partial</x:v>
      </x:c>
      <x:c r="L146"/>
      <x:c r="M146" t="str">
        <x:v>sazali.mokhtar@petronas.com</x:v>
      </x:c>
      <x:c r="N146"/>
      <x:c r="O146"/>
      <x:c r="P146" t="str">
        <x:v>Cloud Repatriation - To decommission old resources in Singapore region due to completed migration in MY region</x:v>
      </x:c>
      <x:c r="Q146" t="str">
        <x:v>2W</x:v>
      </x:c>
      <x:c r="R146" t="str">
        <x:v>Cloud Migration</x:v>
      </x:c>
      <x:c r="S146"/>
      <x:c r="T146" t="str">
        <x:v>approved</x:v>
      </x:c>
      <x:c r="U146" t="str">
        <x:v>mzurfaiezzuddin.zur@petronas.com</x:v>
      </x:c>
      <x:c r="V146" t="n">
        <x:v>46090.09713716435</x:v>
      </x:c>
      <x:c r="W146" t="str">
        <x:v>Cloud Repatriation - To decommission old resources in Singapore region due to completed migration in MY region</x:v>
      </x:c>
      <x:c r="X146" t="str">
        <x:v>approved</x:v>
      </x:c>
      <x:c r="Y146" t="str">
        <x:v>sazali.mokhtar@petronas.com</x:v>
      </x:c>
      <x:c r="Z146" t="n">
        <x:v>46099.221968020836</x:v>
      </x:c>
      <x:c r="AA146" t="str">
        <x:v>Cloud Repatriation - To decommission old resources in Singapore region due to completed migration in MY region</x:v>
      </x:c>
      <x:c r="AB146" t="str">
        <x:v>approved</x:v>
      </x:c>
      <x:c r="AC146" t="str">
        <x:v>azwan.badari@petronas.com</x:v>
      </x:c>
      <x:c r="AD146" t="n">
        <x:v>46107.14695997685</x:v>
      </x:c>
      <x:c r="AE146" t="str">
        <x:v>Repat - Decommission selected resources</x:v>
      </x:c>
      <x:c r="AF146" t="str">
        <x:v>approved</x:v>
      </x:c>
      <x:c r="AG146" t="str">
        <x:v>azwan.badari@petronas.com</x:v>
      </x:c>
      <x:c r="AH146" t="n">
        <x:v>46111.29079431713</x:v>
      </x:c>
      <x:c r="AI146" t="str">
        <x:v>Completed</x:v>
      </x:c>
      <x:c r="AJ146" t="str">
        <x:v>A-000530</x:v>
      </x:c>
      <x:c r="AK146" t="n">
        <x:v>3579</x:v>
      </x:c>
      <x:c r="AL146" t="str">
        <x:v>M</x:v>
      </x:c>
      <x:c r="AM146" t="str">
        <x:v>REQ000007948447</x:v>
      </x:c>
      <x:c r="AN146" t="str">
        <x:v>noretention</x:v>
      </x:c>
      <x:c r="AO146" t="n">
        <x:v>0</x:v>
      </x:c>
      <x:c r="AP146" s="23" t="str">
        <x:f>IF(E146="processing",IF(Z146="","",IF(ISNUMBER(Z146),INT(Z146),DATE(VALUE(LEFT(Z146,4)),VALUE(MID(Z146,6,2)),VALUE(MID(Z146,9,2))))),IF(OR(E146="executing",E146="pending"),IF(AD146="","",IF(ISNUMBER(AD146),INT(AD146),DATE(VALUE(LEFT(AD146,4)),VALUE(MID(AD146,6,2)),VALUE(MID(AD146,9,2))))),""))</x:f>
      </x:c>
      <x:c r="AQ146" s="24" t="str">
        <x:f>IF(AP146="","",INT('Configuration'!$B$4)-AP146)</x:f>
      </x:c>
      <x:c r="AR146" s="25" t="str">
        <x:f>IF(AP146="","Missing Required Date",IF(AQ146&lt;0,"Future Date",IF(AQ146=0,"0 days",IF(AQ146&lt;=2,"1-2 days",IF(AQ146&lt;=7,"3-7 days",IF(AQ146&lt;=14,"8-14 days",IF(AQ146&lt;=30,"15-30 days",IF(AQ146&lt;=60,"31-60 days",IF(AQ146&lt;=70,"61-70 days","71+ days")))))))))</x:f>
        <x:v>Missing Required Date</x:v>
      </x:c>
      <x:c r="AS146" s="25" t="str">
        <x:f>IF(OR(E146="processing",E146="executing",E146="pending"),IF(AP146="","Required aging date missing",IF(AQ146&gt;30,"Escalate &gt;30d",IF(AQ146&gt;14,"Watch &gt;14d","Within 14d"))),"Out of scope")</x:f>
        <x:v>Out of scope</x:v>
      </x:c>
    </x:row>
    <x:row r="147" ht="24" customHeight="1">
      <x:c r="A147" t="str">
        <x:v>d73e9b44-6b7a-44f8-9d40-d7e492fd4c8d</x:v>
      </x:c>
      <x:c r="B147" t="str">
        <x:v>CSSP10768875</x:v>
      </x:c>
      <x:c r="C147" t="str">
        <x:v>zulhasyidi.hassan@petronas.com</x:v>
      </x:c>
      <x:c r="D147" t="str">
        <x:v>decommission-cloud</x:v>
      </x:c>
      <x:c r="E147" t="str">
        <x:v>completed</x:v>
      </x:c>
      <x:c r="F147" t="n">
        <x:v>46090.31270055556</x:v>
      </x:c>
      <x:c r="G147" t="n">
        <x:v>46094.34097380787</x:v>
      </x:c>
      <x:c r="H147" t="n">
        <x:v>46090.31270055556</x:v>
      </x:c>
      <x:c r="I147" t="str">
        <x:v>SmartSignal</x:v>
      </x:c>
      <x:c r="J147" t="str">
        <x:v>CTP Old to New LZ - GE Smart Signal for GTS</x:v>
      </x:c>
      <x:c r="K147" t="str">
        <x:v>full</x:v>
      </x:c>
      <x:c r="L147" t="str">
        <x:v>DCOM2026030982f</x:v>
      </x:c>
      <x:c r="M147" t="str">
        <x:v>mohammadsani.johari@petronas.com.my</x:v>
      </x:c>
      <x:c r="N147" t="str">
        <x:v>mmpdsmartsignal.petronas.com</x:v>
      </x:c>
      <x:c r="O147"/>
      <x:c r="P147" t="str">
        <x:v>no longer in use.</x:v>
      </x:c>
      <x:c r="Q147" t="str">
        <x:v>1M</x:v>
      </x:c>
      <x:c r="R147" t="str">
        <x:v>Not in Used</x:v>
      </x:c>
      <x:c r="S147"/>
      <x:c r="T147" t="str">
        <x:v>approved</x:v>
      </x:c>
      <x:c r="U147" t="str">
        <x:v>zulhasyidi.hassan@petronas.com</x:v>
      </x:c>
      <x:c r="V147" t="n">
        <x:v>46090.33072543982</x:v>
      </x:c>
      <x:c r="W147" t="str">
        <x:v>Decomm related to smart signal only, exclude data platform resources which was wrongly tagged.</x:v>
      </x:c>
      <x:c r="X147" t="str">
        <x:v>approved</x:v>
      </x:c>
      <x:c r="Y147" t="str">
        <x:v>mohammadsani.johari@petronas.com</x:v>
      </x:c>
      <x:c r="Z147" t="n">
        <x:v>46093.05255792824</x:v>
      </x:c>
      <x:c r="AA147" t="str">
        <x:v>Approved.</x:v>
      </x:c>
      <x:c r="AB147" t="str">
        <x:v>approved</x:v>
      </x:c>
      <x:c r="AC147" t="str">
        <x:v>azwan.badari@petronas.com</x:v>
      </x:c>
      <x:c r="AD147" t="n">
        <x:v>46093.28865918981</x:v>
      </x:c>
      <x:c r="AE147" t="str">
        <x:v>Decommission PTAWSG-4SSAP01, PTAWSG-4SSDB01, PTAWSG-4SSWB01 in PTAW-IAC-NonPROD-PEnT-Environment-01</x:v>
      </x:c>
      <x:c r="AF147" t="str">
        <x:v>approved</x:v>
      </x:c>
      <x:c r="AG147" t="str">
        <x:v>azwan.badari@petronas.com</x:v>
      </x:c>
      <x:c r="AH147" t="n">
        <x:v>46094.34097380787</x:v>
      </x:c>
      <x:c r="AI147" t="str">
        <x:v>Completed</x:v>
      </x:c>
      <x:c r="AJ147" t="str">
        <x:v>A-000781</x:v>
      </x:c>
      <x:c r="AK147" t="str">
        <x:v>02421_99</x:v>
      </x:c>
      <x:c r="AL147" t="str">
        <x:v>M</x:v>
      </x:c>
      <x:c r="AM147" t="str">
        <x:v>REQ000007930758</x:v>
      </x:c>
      <x:c r="AN147" t="str">
        <x:v>disposal</x:v>
      </x:c>
      <x:c r="AO147" t="n">
        <x:v>0</x:v>
      </x:c>
      <x:c r="AP147" s="23" t="str">
        <x:f>IF(E147="processing",IF(Z147="","",IF(ISNUMBER(Z147),INT(Z147),DATE(VALUE(LEFT(Z147,4)),VALUE(MID(Z147,6,2)),VALUE(MID(Z147,9,2))))),IF(OR(E147="executing",E147="pending"),IF(AD147="","",IF(ISNUMBER(AD147),INT(AD147),DATE(VALUE(LEFT(AD147,4)),VALUE(MID(AD147,6,2)),VALUE(MID(AD147,9,2))))),""))</x:f>
      </x:c>
      <x:c r="AQ147" s="24" t="str">
        <x:f>IF(AP147="","",INT('Configuration'!$B$4)-AP147)</x:f>
      </x:c>
      <x:c r="AR147" s="25" t="str">
        <x:f>IF(AP147="","Missing Required Date",IF(AQ147&lt;0,"Future Date",IF(AQ147=0,"0 days",IF(AQ147&lt;=2,"1-2 days",IF(AQ147&lt;=7,"3-7 days",IF(AQ147&lt;=14,"8-14 days",IF(AQ147&lt;=30,"15-30 days",IF(AQ147&lt;=60,"31-60 days",IF(AQ147&lt;=70,"61-70 days","71+ days")))))))))</x:f>
        <x:v>Missing Required Date</x:v>
      </x:c>
      <x:c r="AS147" s="25" t="str">
        <x:f>IF(OR(E147="processing",E147="executing",E147="pending"),IF(AP147="","Required aging date missing",IF(AQ147&gt;30,"Escalate &gt;30d",IF(AQ147&gt;14,"Watch &gt;14d","Within 14d"))),"Out of scope")</x:f>
        <x:v>Out of scope</x:v>
      </x:c>
    </x:row>
    <x:row r="148" ht="24" customHeight="1">
      <x:c r="A148" t="str">
        <x:v>5c0f8534-0f8b-416a-b9b1-4638b5157553</x:v>
      </x:c>
      <x:c r="B148" t="str">
        <x:v>CSSP10412234</x:v>
      </x:c>
      <x:c r="C148" t="str">
        <x:v>cus.ng@petronas.com</x:v>
      </x:c>
      <x:c r="D148" t="str">
        <x:v>decommission-cloud</x:v>
      </x:c>
      <x:c r="E148" t="str">
        <x:v>cancelled</x:v>
      </x:c>
      <x:c r="F148" t="n">
        <x:v>46091.41399354167</x:v>
      </x:c>
      <x:c r="G148" t="n">
        <x:v>46091.4155815162</x:v>
      </x:c>
      <x:c r="H148" t="n">
        <x:v>46091.41399354167</x:v>
      </x:c>
      <x:c r="I148" t="str">
        <x:v>Static Equipment Analytic Library - SEAL</x:v>
      </x:c>
      <x:c r="J148" t="str">
        <x:v>Static Equipment Analytic Library (SEAL) as Upstream Static Equipment Advanced Analytical Tools for Upstream COE</x:v>
      </x:c>
      <x:c r="K148" t="str">
        <x:v>partial</x:v>
      </x:c>
      <x:c r="L148"/>
      <x:c r="M148" t="str">
        <x:v>ghimyee.tang@petronas.com.my</x:v>
      </x:c>
      <x:c r="N148" t="str">
        <x:v>sealmrsstaging.petronas.com:443</x:v>
      </x:c>
      <x:c r="O148"/>
      <x:c r="P148" t="str">
        <x:v>To fully remove or disable the asset (including Azure App Service and DNS records) for URL – sealmrsstaging.petronas.com:443
This is an old ununsed SEALMRS Staging URL that is no longer needed.
Vulnerability Management reported a Severe SSL/TLS configuration finding for the following URL via BitSight. They have advised to decommission it. 
Issues: TLS 1.0 enabled, TLS 1.1 enabled, SSL certificate name mismatch (Status: BAD, impacting BitSight rating)</x:v>
      </x:c>
      <x:c r="Q148" t="str">
        <x:v>1M</x:v>
      </x:c>
      <x:c r="R148" t="str">
        <x:v>Not in Used</x:v>
      </x:c>
      <x:c r="S148"/>
      <x:c r="T148" t="str">
        <x:v>rejected</x:v>
      </x:c>
      <x:c r="U148" t="str">
        <x:v>cus.ng@petronas.com</x:v>
      </x:c>
      <x:c r="V148" t="n">
        <x:v>46091.41558152778</x:v>
      </x:c>
      <x:c r="W148"/>
      <x:c r="X148"/>
      <x:c r="Y148" t="str">
        <x:v>ghimyee.tang@petronas.com</x:v>
      </x:c>
      <x:c r="Z148"/>
      <x:c r="AA148"/>
      <x:c r="AB148"/>
      <x:c r="AC148" t="str">
        <x:v>CCoE Business</x:v>
      </x:c>
      <x:c r="AD148"/>
      <x:c r="AE148"/>
      <x:c r="AF148"/>
      <x:c r="AG148" t="str">
        <x:v>CCoE Operations</x:v>
      </x:c>
      <x:c r="AH148"/>
      <x:c r="AI148"/>
      <x:c r="AJ148" t="str">
        <x:v>A-000755</x:v>
      </x:c>
      <x:c r="AK148" t="n">
        <x:v>2173</x:v>
      </x:c>
      <x:c r="AL148"/>
      <x:c r="AM148"/>
      <x:c r="AN148" t="str">
        <x:v>disposal</x:v>
      </x:c>
      <x:c r="AO148" t="n">
        <x:v>0</x:v>
      </x:c>
      <x:c r="AP148" s="23" t="str">
        <x:f>IF(E148="processing",IF(Z148="","",IF(ISNUMBER(Z148),INT(Z148),DATE(VALUE(LEFT(Z148,4)),VALUE(MID(Z148,6,2)),VALUE(MID(Z148,9,2))))),IF(OR(E148="executing",E148="pending"),IF(AD148="","",IF(ISNUMBER(AD148),INT(AD148),DATE(VALUE(LEFT(AD148,4)),VALUE(MID(AD148,6,2)),VALUE(MID(AD148,9,2))))),""))</x:f>
      </x:c>
      <x:c r="AQ148" s="24" t="str">
        <x:f>IF(AP148="","",INT('Configuration'!$B$4)-AP148)</x:f>
      </x:c>
      <x:c r="AR148" s="25" t="str">
        <x:f>IF(AP148="","Missing Required Date",IF(AQ148&lt;0,"Future Date",IF(AQ148=0,"0 days",IF(AQ148&lt;=2,"1-2 days",IF(AQ148&lt;=7,"3-7 days",IF(AQ148&lt;=14,"8-14 days",IF(AQ148&lt;=30,"15-30 days",IF(AQ148&lt;=60,"31-60 days",IF(AQ148&lt;=70,"61-70 days","71+ days")))))))))</x:f>
        <x:v>Missing Required Date</x:v>
      </x:c>
      <x:c r="AS148" s="25" t="str">
        <x:f>IF(OR(E148="processing",E148="executing",E148="pending"),IF(AP148="","Required aging date missing",IF(AQ148&gt;30,"Escalate &gt;30d",IF(AQ148&gt;14,"Watch &gt;14d","Within 14d"))),"Out of scope")</x:f>
        <x:v>Out of scope</x:v>
      </x:c>
    </x:row>
    <x:row r="149" ht="24" customHeight="1">
      <x:c r="A149" t="str">
        <x:v>b3f3a5cb-c8ec-4cf0-8ea1-9857501fffbf</x:v>
      </x:c>
      <x:c r="B149" t="str">
        <x:v>CSSP10850861</x:v>
      </x:c>
      <x:c r="C149" t="str">
        <x:v>aliuddin.abdrauf@petronas.com</x:v>
      </x:c>
      <x:c r="D149" t="str">
        <x:v>decommission-cloud</x:v>
      </x:c>
      <x:c r="E149" t="str">
        <x:v>cancelled</x:v>
      </x:c>
      <x:c r="F149" t="n">
        <x:v>46092.34172646991</x:v>
      </x:c>
      <x:c r="G149" t="n">
        <x:v>46092.36049976852</x:v>
      </x:c>
      <x:c r="H149" t="n">
        <x:v>46092.34172648148</x:v>
      </x:c>
      <x:c r="I149" t="str">
        <x:v>Wells DROID</x:v>
      </x:c>
      <x:c r="J149" t="str">
        <x:v>Cloud Migration - Wells Droid 2.0</x:v>
      </x:c>
      <x:c r="K149" t="str">
        <x:v>partial</x:v>
      </x:c>
      <x:c r="L149"/>
      <x:c r="M149" t="str">
        <x:v>eanand.ehambaram@petronas.com</x:v>
      </x:c>
      <x:c r="N149" t="str">
        <x:v>droidtesting.petronas.com</x:v>
      </x:c>
      <x:c r="O149"/>
      <x:c r="P149" t="str">
        <x:v>this url does not bind to any resources</x:v>
      </x:c>
      <x:c r="Q149" t="str">
        <x:v>2W</x:v>
      </x:c>
      <x:c r="R149" t="str">
        <x:v>Not in Used</x:v>
      </x:c>
      <x:c r="S149"/>
      <x:c r="T149" t="str">
        <x:v>rejected</x:v>
      </x:c>
      <x:c r="U149" t="str">
        <x:v>aliuddin.abdrauf@petronas.com</x:v>
      </x:c>
      <x:c r="V149" t="n">
        <x:v>46092.36049976852</x:v>
      </x:c>
      <x:c r="W149"/>
      <x:c r="X149"/>
      <x:c r="Y149" t="str">
        <x:v>eanand.ehambaram@petronas.com</x:v>
      </x:c>
      <x:c r="Z149"/>
      <x:c r="AA149"/>
      <x:c r="AB149"/>
      <x:c r="AC149" t="str">
        <x:v>CCoE Business</x:v>
      </x:c>
      <x:c r="AD149"/>
      <x:c r="AE149"/>
      <x:c r="AF149"/>
      <x:c r="AG149" t="str">
        <x:v>CCoE Operations</x:v>
      </x:c>
      <x:c r="AH149"/>
      <x:c r="AI149"/>
      <x:c r="AJ149" t="str">
        <x:v>A-000859</x:v>
      </x:c>
      <x:c r="AK149" t="str">
        <x:v>00915_133</x:v>
      </x:c>
      <x:c r="AL149"/>
      <x:c r="AM149"/>
      <x:c r="AN149" t="str">
        <x:v>noretention</x:v>
      </x:c>
      <x:c r="AO149" t="n">
        <x:v>0</x:v>
      </x:c>
      <x:c r="AP149" s="23" t="str">
        <x:f>IF(E149="processing",IF(Z149="","",IF(ISNUMBER(Z149),INT(Z149),DATE(VALUE(LEFT(Z149,4)),VALUE(MID(Z149,6,2)),VALUE(MID(Z149,9,2))))),IF(OR(E149="executing",E149="pending"),IF(AD149="","",IF(ISNUMBER(AD149),INT(AD149),DATE(VALUE(LEFT(AD149,4)),VALUE(MID(AD149,6,2)),VALUE(MID(AD149,9,2))))),""))</x:f>
      </x:c>
      <x:c r="AQ149" s="24" t="str">
        <x:f>IF(AP149="","",INT('Configuration'!$B$4)-AP149)</x:f>
      </x:c>
      <x:c r="AR149" s="25" t="str">
        <x:f>IF(AP149="","Missing Required Date",IF(AQ149&lt;0,"Future Date",IF(AQ149=0,"0 days",IF(AQ149&lt;=2,"1-2 days",IF(AQ149&lt;=7,"3-7 days",IF(AQ149&lt;=14,"8-14 days",IF(AQ149&lt;=30,"15-30 days",IF(AQ149&lt;=60,"31-60 days",IF(AQ149&lt;=70,"61-70 days","71+ days")))))))))</x:f>
        <x:v>Missing Required Date</x:v>
      </x:c>
      <x:c r="AS149" s="25" t="str">
        <x:f>IF(OR(E149="processing",E149="executing",E149="pending"),IF(AP149="","Required aging date missing",IF(AQ149&gt;30,"Escalate &gt;30d",IF(AQ149&gt;14,"Watch &gt;14d","Within 14d"))),"Out of scope")</x:f>
        <x:v>Out of scope</x:v>
      </x:c>
    </x:row>
    <x:row r="150" ht="24" customHeight="1">
      <x:c r="A150" t="str">
        <x:v>947dde13-4595-4559-962a-0ac936a6aa63</x:v>
      </x:c>
      <x:c r="B150" t="str">
        <x:v>CSSP10128136</x:v>
      </x:c>
      <x:c r="C150" t="str">
        <x:v>amirasufiya.mradz@petronas.com</x:v>
      </x:c>
      <x:c r="D150" t="str">
        <x:v>decommission-cloud</x:v>
      </x:c>
      <x:c r="E150" t="str">
        <x:v>completed</x:v>
      </x:c>
      <x:c r="F150" t="n">
        <x:v>46097.22667715278</x:v>
      </x:c>
      <x:c r="G150" t="n">
        <x:v>46114.378272256945</x:v>
      </x:c>
      <x:c r="H150" t="n">
        <x:v>46099.35736538195</x:v>
      </x:c>
      <x:c r="I150" t="str">
        <x:v>Operations Planning-RGT2 - OPP</x:v>
      </x:c>
      <x:c r="J150" t="str">
        <x:v>OCI MIGRATION - OPP RGT2 PRPC</x:v>
      </x:c>
      <x:c r="K150" t="str">
        <x:v>full</x:v>
      </x:c>
      <x:c r="L150" t="str">
        <x:v>DCOM20260318865</x:v>
      </x:c>
      <x:c r="M150" t="str">
        <x:v>siowfui.chen@petronas.com.my</x:v>
      </x:c>
      <x:c r="N150" t="str">
        <x:v>rgtpopp.petronas.com</x:v>
      </x:c>
      <x:c r="O150"/>
      <x:c r="P150" t="str">
        <x:v>as per approved memo to decommission Operations Planning-RGT2 (OPP)</x:v>
      </x:c>
      <x:c r="Q150" t="str">
        <x:v>12M</x:v>
      </x:c>
      <x:c r="R150" t="str">
        <x:v>Obsolete</x:v>
      </x:c>
      <x:c r="S150"/>
      <x:c r="T150" t="str">
        <x:v>approved</x:v>
      </x:c>
      <x:c r="U150" t="str">
        <x:v>amirasufiya.mradz@petronas.com</x:v>
      </x:c>
      <x:c r="V150" t="n">
        <x:v>46099.36993204861</x:v>
      </x:c>
      <x:c r="W150" t="str">
        <x:v>2 Database Storage in AWS: ptawsg-1plngdb01; ptawsg-5plngdb01</x:v>
      </x:c>
      <x:c r="X150" t="str">
        <x:v>approved</x:v>
      </x:c>
      <x:c r="Y150" t="str">
        <x:v>siowfui.chen@petronas.com</x:v>
      </x:c>
      <x:c r="Z150" t="n">
        <x:v>46112.138374166665</x:v>
      </x:c>
      <x:c r="AA150" t="str">
        <x:v>Reviewed</x:v>
      </x:c>
      <x:c r="AB150" t="str">
        <x:v>approved</x:v>
      </x:c>
      <x:c r="AC150" t="str">
        <x:v>azwan.badari@petronas.com</x:v>
      </x:c>
      <x:c r="AD150" t="n">
        <x:v>46112.279189189816</x:v>
      </x:c>
      <x:c r="AE150" t="str">
        <x:v>Proceed to decommission selected OCI in PTAW-IAC-NonPROD-DownStream-Environment-01 &amp; PTAW-IAC-PROD-DownStream-Environment-01</x:v>
      </x:c>
      <x:c r="AF150" t="str">
        <x:v>approved</x:v>
      </x:c>
      <x:c r="AG150" t="str">
        <x:v>azlisham.md@petronas.com</x:v>
      </x:c>
      <x:c r="AH150" t="n">
        <x:v>46114.37827228009</x:v>
      </x:c>
      <x:c r="AI150" t="str">
        <x:v>The decommission request has been completed, and the status is now updated accordingly. Kindly verify from your end and confirm once reviewed.
</x:v>
      </x:c>
      <x:c r="AJ150" t="str">
        <x:v>A-000527</x:v>
      </x:c>
      <x:c r="AK150" t="str">
        <x:v>OCI-00033</x:v>
      </x:c>
      <x:c r="AL150" t="str">
        <x:v>M</x:v>
      </x:c>
      <x:c r="AM150" t="str">
        <x:v>REQ000007957430</x:v>
      </x:c>
      <x:c r="AN150" t="str">
        <x:v>retention</x:v>
      </x:c>
      <x:c r="AO150" t="n">
        <x:v>365</x:v>
      </x:c>
      <x:c r="AP150" s="23" t="str">
        <x:f>IF(E150="processing",IF(Z150="","",IF(ISNUMBER(Z150),INT(Z150),DATE(VALUE(LEFT(Z150,4)),VALUE(MID(Z150,6,2)),VALUE(MID(Z150,9,2))))),IF(OR(E150="executing",E150="pending"),IF(AD150="","",IF(ISNUMBER(AD150),INT(AD150),DATE(VALUE(LEFT(AD150,4)),VALUE(MID(AD150,6,2)),VALUE(MID(AD150,9,2))))),""))</x:f>
      </x:c>
      <x:c r="AQ150" s="24" t="str">
        <x:f>IF(AP150="","",INT('Configuration'!$B$4)-AP150)</x:f>
      </x:c>
      <x:c r="AR150" s="25" t="str">
        <x:f>IF(AP150="","Missing Required Date",IF(AQ150&lt;0,"Future Date",IF(AQ150=0,"0 days",IF(AQ150&lt;=2,"1-2 days",IF(AQ150&lt;=7,"3-7 days",IF(AQ150&lt;=14,"8-14 days",IF(AQ150&lt;=30,"15-30 days",IF(AQ150&lt;=60,"31-60 days",IF(AQ150&lt;=70,"61-70 days","71+ days")))))))))</x:f>
        <x:v>Missing Required Date</x:v>
      </x:c>
      <x:c r="AS150" s="25" t="str">
        <x:f>IF(OR(E150="processing",E150="executing",E150="pending"),IF(AP150="","Required aging date missing",IF(AQ150&gt;30,"Escalate &gt;30d",IF(AQ150&gt;14,"Watch &gt;14d","Within 14d"))),"Out of scope")</x:f>
        <x:v>Out of scope</x:v>
      </x:c>
    </x:row>
    <x:row r="151" ht="24" customHeight="1">
      <x:c r="A151" t="str">
        <x:v>b20df41a-cbc6-40b9-b34e-db14f38d89ec</x:v>
      </x:c>
      <x:c r="B151" t="str">
        <x:v>CSSP10778403</x:v>
      </x:c>
      <x:c r="C151" t="str">
        <x:v>haslina.hashim@petronas.com</x:v>
      </x:c>
      <x:c r="D151" t="str">
        <x:v>decommission-cloud</x:v>
      </x:c>
      <x:c r="E151" t="str">
        <x:v>completed</x:v>
      </x:c>
      <x:c r="F151" t="n">
        <x:v>46097.32502586806</x:v>
      </x:c>
      <x:c r="G151" t="n">
        <x:v>46111.1324958912</x:v>
      </x:c>
      <x:c r="H151" t="n">
        <x:v>46097.32502586806</x:v>
      </x:c>
      <x:c r="I151" t="str">
        <x:v>ArBiTra PTLCL</x:v>
      </x:c>
      <x:c r="J151" t="str">
        <x:v>Professional Service, Software License and Infra for ArBiTra to PTLCL 2022-2023</x:v>
      </x:c>
      <x:c r="K151" t="str">
        <x:v>partial</x:v>
      </x:c>
      <x:c r="L151"/>
      <x:c r="M151" t="str">
        <x:v>sazali.mokhtar@petronas.com</x:v>
      </x:c>
      <x:c r="N151"/>
      <x:c r="O151"/>
      <x:c r="P151" t="str">
        <x:v>Cloud Repatriation - To decommission old resources in Singapore region due to completed migration in MY region. Please refer below attachment. Only the highlighted resources can be decom.</x:v>
      </x:c>
      <x:c r="Q151" t="str">
        <x:v>2W</x:v>
      </x:c>
      <x:c r="R151" t="str">
        <x:v>Cloud Migration</x:v>
      </x:c>
      <x:c r="S151"/>
      <x:c r="T151" t="str">
        <x:v>approved</x:v>
      </x:c>
      <x:c r="U151" t="str">
        <x:v>haslina.hashim@petronas.com</x:v>
      </x:c>
      <x:c r="V151" t="n">
        <x:v>46097.32554542824</x:v>
      </x:c>
      <x:c r="W151" t="str">
        <x:v>Please proceed with the highlighted resources only as per focal agreed </x:v>
      </x:c>
      <x:c r="X151" t="str">
        <x:v>approved</x:v>
      </x:c>
      <x:c r="Y151" t="str">
        <x:v>sazali.mokhtar@petronas.com</x:v>
      </x:c>
      <x:c r="Z151" t="n">
        <x:v>46099.22131472222</x:v>
      </x:c>
      <x:c r="AA151" t="str">
        <x:v>Cloud Repatriation - To decommission old resources in Singapore region due to completed migration in MY region. Please refer below attachment. Only the highlighted resources can be decom.</x:v>
      </x:c>
      <x:c r="AB151" t="str">
        <x:v>approved</x:v>
      </x:c>
      <x:c r="AC151" t="str">
        <x:v>azwan.badari@petronas.com</x:v>
      </x:c>
      <x:c r="AD151" t="n">
        <x:v>46107.14421763889</x:v>
      </x:c>
      <x:c r="AE151" t="str">
        <x:v>Repat - Decommission selected resources.
ptawsg-iac-nonprod-downstream-arbitra-pvtsto-dev-bucket
ptawsg-iac-prod-downstream-arbitra-pvtsto-bucket</x:v>
      </x:c>
      <x:c r="AF151" t="str">
        <x:v>approved</x:v>
      </x:c>
      <x:c r="AG151" t="str">
        <x:v>azwan.badari@petronas.com</x:v>
      </x:c>
      <x:c r="AH151" t="n">
        <x:v>46111.13249590278</x:v>
      </x:c>
      <x:c r="AI151" t="str">
        <x:v>Completed</x:v>
      </x:c>
      <x:c r="AJ151" t="str">
        <x:v>A-000064</x:v>
      </x:c>
      <x:c r="AK151" t="n">
        <x:v>2804</x:v>
      </x:c>
      <x:c r="AL151" t="str">
        <x:v>S</x:v>
      </x:c>
      <x:c r="AM151" t="str">
        <x:v>REQ000007948823</x:v>
      </x:c>
      <x:c r="AN151" t="str">
        <x:v>noretention</x:v>
      </x:c>
      <x:c r="AO151" t="n">
        <x:v>0</x:v>
      </x:c>
      <x:c r="AP151" s="23" t="str">
        <x:f>IF(E151="processing",IF(Z151="","",IF(ISNUMBER(Z151),INT(Z151),DATE(VALUE(LEFT(Z151,4)),VALUE(MID(Z151,6,2)),VALUE(MID(Z151,9,2))))),IF(OR(E151="executing",E151="pending"),IF(AD151="","",IF(ISNUMBER(AD151),INT(AD151),DATE(VALUE(LEFT(AD151,4)),VALUE(MID(AD151,6,2)),VALUE(MID(AD151,9,2))))),""))</x:f>
      </x:c>
      <x:c r="AQ151" s="24" t="str">
        <x:f>IF(AP151="","",INT('Configuration'!$B$4)-AP151)</x:f>
      </x:c>
      <x:c r="AR151" s="25" t="str">
        <x:f>IF(AP151="","Missing Required Date",IF(AQ151&lt;0,"Future Date",IF(AQ151=0,"0 days",IF(AQ151&lt;=2,"1-2 days",IF(AQ151&lt;=7,"3-7 days",IF(AQ151&lt;=14,"8-14 days",IF(AQ151&lt;=30,"15-30 days",IF(AQ151&lt;=60,"31-60 days",IF(AQ151&lt;=70,"61-70 days","71+ days")))))))))</x:f>
        <x:v>Missing Required Date</x:v>
      </x:c>
      <x:c r="AS151" s="25" t="str">
        <x:f>IF(OR(E151="processing",E151="executing",E151="pending"),IF(AP151="","Required aging date missing",IF(AQ151&gt;30,"Escalate &gt;30d",IF(AQ151&gt;14,"Watch &gt;14d","Within 14d"))),"Out of scope")</x:f>
        <x:v>Out of scope</x:v>
      </x:c>
    </x:row>
    <x:row r="152" ht="24" customHeight="1">
      <x:c r="A152" t="str">
        <x:v>10cb509f-6ff3-46be-9540-2606af854f62</x:v>
      </x:c>
      <x:c r="B152" t="str">
        <x:v>CSSP10179535</x:v>
      </x:c>
      <x:c r="C152" t="str">
        <x:v>mfadhlulwafi.mahadi@petronas.com</x:v>
      </x:c>
      <x:c r="D152" t="str">
        <x:v>decommission-cloud</x:v>
      </x:c>
      <x:c r="E152" t="str">
        <x:v>completed</x:v>
      </x:c>
      <x:c r="F152" t="n">
        <x:v>46098.104137256945</x:v>
      </x:c>
      <x:c r="G152" t="n">
        <x:v>46136.780996180554</x:v>
      </x:c>
      <x:c r="H152" t="n">
        <x:v>46098.12904787037</x:v>
      </x:c>
      <x:c r="I152" t="str">
        <x:v>Upstream HSE - UHSE Online</x:v>
      </x:c>
      <x:c r="J152" t="str">
        <x:v>Cloud Migration Program - UHSE Online Apps</x:v>
      </x:c>
      <x:c r="K152" t="str">
        <x:v>full</x:v>
      </x:c>
      <x:c r="L152" t="str">
        <x:v>DCOM20260317bc3</x:v>
      </x:c>
      <x:c r="M152" t="str">
        <x:v>rafedah.mdtap@petronas.com.my</x:v>
      </x:c>
      <x:c r="N152" t="str">
        <x:v>uhseonline.petronas.com, uhselaunchpad.petronas.com</x:v>
      </x:c>
      <x:c r="O152"/>
      <x:c r="P152" t="str">
        <x:v>Applications is part of INDY 500 and has been agreed to be decommissioned. Please refer to attachment.
CI Name:
•	Upstream HSE Launchpad 2.0
•	Upstream HSE Online 2.0
•	Upstream HSE Online PCINO
</x:v>
      </x:c>
      <x:c r="Q152" t="str">
        <x:v>3M</x:v>
      </x:c>
      <x:c r="R152" t="str">
        <x:v>Not in Used</x:v>
      </x:c>
      <x:c r="S152"/>
      <x:c r="T152" t="str">
        <x:v>approved</x:v>
      </x:c>
      <x:c r="U152" t="str">
        <x:v>mfadhlulwafi.mahadi@petronas.com</x:v>
      </x:c>
      <x:c r="V152" t="n">
        <x:v>46098.14605758102</x:v>
      </x:c>
      <x:c r="W152" t="str">
        <x:v>Resource has been reviewed. The list is correct and aligned with the resources in Azure Portal</x:v>
      </x:c>
      <x:c r="X152" t="str">
        <x:v>approved</x:v>
      </x:c>
      <x:c r="Y152" t="str">
        <x:v>rafedah.mdtap@petronas.com</x:v>
      </x:c>
      <x:c r="Z152" t="n">
        <x:v>46114.09911289352</x:v>
      </x:c>
      <x:c r="AA152" t="str">
        <x:v>Approved as planned</x:v>
      </x:c>
      <x:c r="AB152" t="str">
        <x:v>approved</x:v>
      </x:c>
      <x:c r="AC152" t="str">
        <x:v>azwan.badari@petronas.com</x:v>
      </x:c>
      <x:c r="AD152" t="n">
        <x:v>46118.08481277778</x:v>
      </x:c>
      <x:c r="AE152" t="str">
        <x:v>Decommission all resources under code 00915_8.
For PROD managed database in PTAZSG-IAC-PROD-SQLMI-CORPORATE-RG with code 00915_8, do backup and share the backup file with requester for their self-keeping.
Remove DNS uhseonline.petronas.com &amp; uhselaunchpad.petronas.com.</x:v>
      </x:c>
      <x:c r="AF152" t="str">
        <x:v>approved</x:v>
      </x:c>
      <x:c r="AG152" t="str">
        <x:v>azlisham.md@petronas.com</x:v>
      </x:c>
      <x:c r="AH152" t="n">
        <x:v>46136.78099619213</x:v>
      </x:c>
      <x:c r="AI152" t="str">
        <x:v>The decommission request has been completed, and the status is now updated accordingly. Kindly verify from your end and confirm once reviewed.
</x:v>
      </x:c>
      <x:c r="AJ152" t="str">
        <x:v>A-000821</x:v>
      </x:c>
      <x:c r="AK152" t="str">
        <x:v>00915_8</x:v>
      </x:c>
      <x:c r="AL152" t="str">
        <x:v>M</x:v>
      </x:c>
      <x:c r="AM152" t="str">
        <x:v>REQ000007970011</x:v>
      </x:c>
      <x:c r="AN152" t="str">
        <x:v>retention</x:v>
      </x:c>
      <x:c r="AO152"/>
      <x:c r="AP152" s="23" t="str">
        <x:f>IF(E152="processing",IF(Z152="","",IF(ISNUMBER(Z152),INT(Z152),DATE(VALUE(LEFT(Z152,4)),VALUE(MID(Z152,6,2)),VALUE(MID(Z152,9,2))))),IF(OR(E152="executing",E152="pending"),IF(AD152="","",IF(ISNUMBER(AD152),INT(AD152),DATE(VALUE(LEFT(AD152,4)),VALUE(MID(AD152,6,2)),VALUE(MID(AD152,9,2))))),""))</x:f>
      </x:c>
      <x:c r="AQ152" s="24" t="str">
        <x:f>IF(AP152="","",INT('Configuration'!$B$4)-AP152)</x:f>
      </x:c>
      <x:c r="AR152" s="25" t="str">
        <x:f>IF(AP152="","Missing Required Date",IF(AQ152&lt;0,"Future Date",IF(AQ152=0,"0 days",IF(AQ152&lt;=2,"1-2 days",IF(AQ152&lt;=7,"3-7 days",IF(AQ152&lt;=14,"8-14 days",IF(AQ152&lt;=30,"15-30 days",IF(AQ152&lt;=60,"31-60 days",IF(AQ152&lt;=70,"61-70 days","71+ days")))))))))</x:f>
        <x:v>Missing Required Date</x:v>
      </x:c>
      <x:c r="AS152" s="25" t="str">
        <x:f>IF(OR(E152="processing",E152="executing",E152="pending"),IF(AP152="","Required aging date missing",IF(AQ152&gt;30,"Escalate &gt;30d",IF(AQ152&gt;14,"Watch &gt;14d","Within 14d"))),"Out of scope")</x:f>
        <x:v>Out of scope</x:v>
      </x:c>
    </x:row>
    <x:row r="153" ht="24" customHeight="1">
      <x:c r="A153" t="str">
        <x:v>fcc48c21-b379-4022-9a1b-822a5e281d5e</x:v>
      </x:c>
      <x:c r="B153" t="str">
        <x:v>CSSP10552164</x:v>
      </x:c>
      <x:c r="C153" t="str">
        <x:v>jeswinkaur@petronas.com</x:v>
      </x:c>
      <x:c r="D153" t="str">
        <x:v>decommission-cloud</x:v>
      </x:c>
      <x:c r="E153" t="str">
        <x:v>completed</x:v>
      </x:c>
      <x:c r="F153" t="n">
        <x:v>46099.3277591088</x:v>
      </x:c>
      <x:c r="G153" t="n">
        <x:v>46108.002864155096</x:v>
      </x:c>
      <x:c r="H153" t="n">
        <x:v>46099.3277591088</x:v>
      </x:c>
      <x:c r="I153" t="str">
        <x:v>UAUC HSSE</x:v>
      </x:c>
      <x:c r="J153" t="str">
        <x:v>Implementation of PETRONAS HSSE UAUC Module for GHSSE</x:v>
      </x:c>
      <x:c r="K153" t="str">
        <x:v>partial</x:v>
      </x:c>
      <x:c r="L153"/>
      <x:c r="M153" t="str">
        <x:v>isman.isni@petronas.com.my</x:v>
      </x:c>
      <x:c r="N153"/>
      <x:c r="O153"/>
      <x:c r="P153" t="str">
        <x:v>The server running Windows 2016 in Azure due for EOSL and confirmation from Bryan that the server is not in used anymore,
</x:v>
      </x:c>
      <x:c r="Q153" t="str">
        <x:v>6M</x:v>
      </x:c>
      <x:c r="R153" t="str">
        <x:v>Obsolete</x:v>
      </x:c>
      <x:c r="S153"/>
      <x:c r="T153" t="str">
        <x:v>approved</x:v>
      </x:c>
      <x:c r="U153" t="str">
        <x:v>jeswinkaur@petronas.com</x:v>
      </x:c>
      <x:c r="V153" t="n">
        <x:v>46099.32969667824</x:v>
      </x:c>
      <x:c r="W153" t="str">
        <x:v>Agreed to decomm</x:v>
      </x:c>
      <x:c r="X153" t="str">
        <x:v>approved</x:v>
      </x:c>
      <x:c r="Y153" t="str">
        <x:v>isman.isni@petronas.com</x:v>
      </x:c>
      <x:c r="Z153" t="n">
        <x:v>46099.40502824074</x:v>
      </x:c>
      <x:c r="AA153" t="str">
        <x:v>As per confirmed by the SA that this is not required anymore</x:v>
      </x:c>
      <x:c r="AB153" t="str">
        <x:v>approved</x:v>
      </x:c>
      <x:c r="AC153" t="str">
        <x:v>azwan.badari@petronas.com</x:v>
      </x:c>
      <x:c r="AD153" t="n">
        <x:v>46107.141470752314</x:v>
      </x:c>
      <x:c r="AE153" t="str">
        <x:v>Decommission server ptsg-4uaucwb01 (172.25.50.14) only</x:v>
      </x:c>
      <x:c r="AF153" t="str">
        <x:v>approved</x:v>
      </x:c>
      <x:c r="AG153" t="str">
        <x:v>azlisham.md@petronas.com</x:v>
      </x:c>
      <x:c r="AH153" t="n">
        <x:v>46108.002864166665</x:v>
      </x:c>
      <x:c r="AI153" t="str">
        <x:v>The decommission request has been completed, and the status is now updated accordingly. Kindly verify from your end and confirm once reviewed.
</x:v>
      </x:c>
      <x:c r="AJ153" t="str">
        <x:v>A-000817</x:v>
      </x:c>
      <x:c r="AK153" t="str">
        <x:v>PSR05623</x:v>
      </x:c>
      <x:c r="AL153" t="str">
        <x:v>S</x:v>
      </x:c>
      <x:c r="AM153" t="str">
        <x:v>REQ000007948822</x:v>
      </x:c>
      <x:c r="AN153" t="str">
        <x:v>disposal</x:v>
      </x:c>
      <x:c r="AO153" t="n">
        <x:v>0</x:v>
      </x:c>
      <x:c r="AP153" s="23" t="str">
        <x:f>IF(E153="processing",IF(Z153="","",IF(ISNUMBER(Z153),INT(Z153),DATE(VALUE(LEFT(Z153,4)),VALUE(MID(Z153,6,2)),VALUE(MID(Z153,9,2))))),IF(OR(E153="executing",E153="pending"),IF(AD153="","",IF(ISNUMBER(AD153),INT(AD153),DATE(VALUE(LEFT(AD153,4)),VALUE(MID(AD153,6,2)),VALUE(MID(AD153,9,2))))),""))</x:f>
      </x:c>
      <x:c r="AQ153" s="24" t="str">
        <x:f>IF(AP153="","",INT('Configuration'!$B$4)-AP153)</x:f>
      </x:c>
      <x:c r="AR153" s="25" t="str">
        <x:f>IF(AP153="","Missing Required Date",IF(AQ153&lt;0,"Future Date",IF(AQ153=0,"0 days",IF(AQ153&lt;=2,"1-2 days",IF(AQ153&lt;=7,"3-7 days",IF(AQ153&lt;=14,"8-14 days",IF(AQ153&lt;=30,"15-30 days",IF(AQ153&lt;=60,"31-60 days",IF(AQ153&lt;=70,"61-70 days","71+ days")))))))))</x:f>
        <x:v>Missing Required Date</x:v>
      </x:c>
      <x:c r="AS153" s="25" t="str">
        <x:f>IF(OR(E153="processing",E153="executing",E153="pending"),IF(AP153="","Required aging date missing",IF(AQ153&gt;30,"Escalate &gt;30d",IF(AQ153&gt;14,"Watch &gt;14d","Within 14d"))),"Out of scope")</x:f>
        <x:v>Out of scope</x:v>
      </x:c>
    </x:row>
    <x:row r="154" ht="24" customHeight="1">
      <x:c r="A154" t="str">
        <x:v>4b317099-ccce-4b7c-8eb9-6b5bdf86dc44</x:v>
      </x:c>
      <x:c r="B154" t="str">
        <x:v>CSSP10825013</x:v>
      </x:c>
      <x:c r="C154" t="str">
        <x:v>norhayati.saad@petronas.com</x:v>
      </x:c>
      <x:c r="D154" t="str">
        <x:v>decommission-cloud</x:v>
      </x:c>
      <x:c r="E154" t="str">
        <x:v>completed</x:v>
      </x:c>
      <x:c r="F154" t="n">
        <x:v>46107.05720952546</x:v>
      </x:c>
      <x:c r="G154" t="n">
        <x:v>46112.111678472225</x:v>
      </x:c>
      <x:c r="H154" t="n">
        <x:v>46107.05720952546</x:v>
      </x:c>
      <x:c r="I154" t="str">
        <x:v>Quality Plus</x:v>
      </x:c>
      <x:c r="J154" t="str">
        <x:v>Development of Quality+ for GPD</x:v>
      </x:c>
      <x:c r="K154" t="str">
        <x:v>partial</x:v>
      </x:c>
      <x:c r="L154"/>
      <x:c r="M154" t="str">
        <x:v>sazali.mokhtar@petronas.com</x:v>
      </x:c>
      <x:c r="N154"/>
      <x:c r="O154"/>
      <x:c r="P154" t="str">
        <x:v>Cloud Repatriation - To decommission old resources in Singapore region due to completed migration in MY region</x:v>
      </x:c>
      <x:c r="Q154" t="str">
        <x:v>2W</x:v>
      </x:c>
      <x:c r="R154" t="str">
        <x:v>Cloud Migration</x:v>
      </x:c>
      <x:c r="S154"/>
      <x:c r="T154" t="str">
        <x:v>approved</x:v>
      </x:c>
      <x:c r="U154" t="str">
        <x:v>norhayati.saad@petronas.com</x:v>
      </x:c>
      <x:c r="V154" t="n">
        <x:v>46107.05935974537</x:v>
      </x:c>
      <x:c r="W154" t="str">
        <x:v>only 3 items are selected. S3 and secret manager only. SG Production are using the nonprod resources, confirmed by app support.</x:v>
      </x:c>
      <x:c r="X154" t="str">
        <x:v>approved</x:v>
      </x:c>
      <x:c r="Y154" t="str">
        <x:v>sazali.mokhtar@petronas.com</x:v>
      </x:c>
      <x:c r="Z154" t="n">
        <x:v>46111.069004826386</x:v>
      </x:c>
      <x:c r="AA154" t="str">
        <x:v>Cloud Repatriation - To decommission old resources in Singapore region due to completed migration in MY region</x:v>
      </x:c>
      <x:c r="AB154" t="str">
        <x:v>approved</x:v>
      </x:c>
      <x:c r="AC154" t="str">
        <x:v>azwan.badari@petronas.com</x:v>
      </x:c>
      <x:c r="AD154" t="n">
        <x:v>46111.0847437037</x:v>
      </x:c>
      <x:c r="AE154" t="str">
        <x:v>Proceed as listed resources</x:v>
      </x:c>
      <x:c r="AF154" t="str">
        <x:v>approved</x:v>
      </x:c>
      <x:c r="AG154" t="str">
        <x:v>azwan.badari@petronas.com</x:v>
      </x:c>
      <x:c r="AH154" t="n">
        <x:v>46112.111678483794</x:v>
      </x:c>
      <x:c r="AI154" t="str">
        <x:v>Completed</x:v>
      </x:c>
      <x:c r="AJ154" t="str">
        <x:v>A-000680</x:v>
      </x:c>
      <x:c r="AK154" t="n">
        <x:v>3159</x:v>
      </x:c>
      <x:c r="AL154" t="str">
        <x:v>M</x:v>
      </x:c>
      <x:c r="AM154" t="str">
        <x:v>REQ000007952704</x:v>
      </x:c>
      <x:c r="AN154" t="str">
        <x:v>noretention</x:v>
      </x:c>
      <x:c r="AO154" t="n">
        <x:v>0</x:v>
      </x:c>
      <x:c r="AP154" s="23" t="str">
        <x:f>IF(E154="processing",IF(Z154="","",IF(ISNUMBER(Z154),INT(Z154),DATE(VALUE(LEFT(Z154,4)),VALUE(MID(Z154,6,2)),VALUE(MID(Z154,9,2))))),IF(OR(E154="executing",E154="pending"),IF(AD154="","",IF(ISNUMBER(AD154),INT(AD154),DATE(VALUE(LEFT(AD154,4)),VALUE(MID(AD154,6,2)),VALUE(MID(AD154,9,2))))),""))</x:f>
      </x:c>
      <x:c r="AQ154" s="24" t="str">
        <x:f>IF(AP154="","",INT('Configuration'!$B$4)-AP154)</x:f>
      </x:c>
      <x:c r="AR154" s="25" t="str">
        <x:f>IF(AP154="","Missing Required Date",IF(AQ154&lt;0,"Future Date",IF(AQ154=0,"0 days",IF(AQ154&lt;=2,"1-2 days",IF(AQ154&lt;=7,"3-7 days",IF(AQ154&lt;=14,"8-14 days",IF(AQ154&lt;=30,"15-30 days",IF(AQ154&lt;=60,"31-60 days",IF(AQ154&lt;=70,"61-70 days","71+ days")))))))))</x:f>
        <x:v>Missing Required Date</x:v>
      </x:c>
      <x:c r="AS154" s="25" t="str">
        <x:f>IF(OR(E154="processing",E154="executing",E154="pending"),IF(AP154="","Required aging date missing",IF(AQ154&gt;30,"Escalate &gt;30d",IF(AQ154&gt;14,"Watch &gt;14d","Within 14d"))),"Out of scope")</x:f>
        <x:v>Out of scope</x:v>
      </x:c>
    </x:row>
    <x:row r="155" ht="24" customHeight="1">
      <x:c r="A155" t="str">
        <x:v>3657bc8b-90d9-4f97-b456-cd5e335caf29</x:v>
      </x:c>
      <x:c r="B155" t="str">
        <x:v>CSSP10195466</x:v>
      </x:c>
      <x:c r="C155" t="str">
        <x:v>fairuz.aziz@petronas.com</x:v>
      </x:c>
      <x:c r="D155" t="str">
        <x:v>decommission-cloud</x:v>
      </x:c>
      <x:c r="E155" t="str">
        <x:v>completed</x:v>
      </x:c>
      <x:c r="F155" t="n">
        <x:v>46107.08323460648</x:v>
      </x:c>
      <x:c r="G155" t="n">
        <x:v>46112.34570052083</x:v>
      </x:c>
      <x:c r="H155" t="n">
        <x:v>46107.08323460648</x:v>
      </x:c>
      <x:c r="I155" t="str">
        <x:v>.NET Shared Infra</x:v>
      </x:c>
      <x:c r="J155" t="str">
        <x:v>Cloud Migration Program - .NET Shared Infra (SWE Dot Net)</x:v>
      </x:c>
      <x:c r="K155" t="str">
        <x:v>partial</x:v>
      </x:c>
      <x:c r="L155"/>
      <x:c r="M155" t="str">
        <x:v>ahmadkamal.aziz@petronas.com.my</x:v>
      </x:c>
      <x:c r="N155"/>
      <x:c r="O155"/>
      <x:c r="P155" t="str">
        <x:v>These servers are currently powered off, as no applications are running on them.
Below is the list of servers:
PTAWSG-1NETwb01, 10.77.32.157
PTAWSG-1NETwb02, 10.77.104.216
PTAWSG-4NETwb01, 10.75.67.79</x:v>
      </x:c>
      <x:c r="Q155" t="str">
        <x:v>2W</x:v>
      </x:c>
      <x:c r="R155" t="str">
        <x:v>Consolidation</x:v>
      </x:c>
      <x:c r="S155"/>
      <x:c r="T155" t="str">
        <x:v>approved</x:v>
      </x:c>
      <x:c r="U155" t="str">
        <x:v>fairuz.aziz@petronas.com</x:v>
      </x:c>
      <x:c r="V155" t="n">
        <x:v>46107.09273049769</x:v>
      </x:c>
      <x:c r="W155" t="str">
        <x:v>These servers are not listed under related resources. Please find the VM details as below:
PTAWSG-1NETwb01, 10.77.32.157 
PTAWSG-1NETwb02, 10.77.104.216 
PTAWSG-4NETwb01, 10.75.67.79
Please reach out to me if you require further information.</x:v>
      </x:c>
      <x:c r="X155" t="str">
        <x:v>approved</x:v>
      </x:c>
      <x:c r="Y155" t="str">
        <x:v>ahmadkamal.aziz@petronas.com</x:v>
      </x:c>
      <x:c r="Z155" t="n">
        <x:v>46111.31946938657</x:v>
      </x:c>
      <x:c r="AA155" t="str">
        <x:v>Please proceed</x:v>
      </x:c>
      <x:c r="AB155" t="str">
        <x:v>approved</x:v>
      </x:c>
      <x:c r="AC155" t="str">
        <x:v>azwan.badari@petronas.com</x:v>
      </x:c>
      <x:c r="AD155" t="n">
        <x:v>46111.380117581015</x:v>
      </x:c>
      <x:c r="AE155" t="str">
        <x:v>Proceed to decommission mentioned EC2.
PTAWSG-1NETwb01, 10.77.32.157 PTAWSG-1NETwb02, 10.77.104.216 in PTAWSG-PROD-ENVIRONMENT-01.
PTAWSG-4NETwb01, 10.75.67.79 in PTAWSG-STG-ENVIRONMENT-01</x:v>
      </x:c>
      <x:c r="AF155" t="str">
        <x:v>approved</x:v>
      </x:c>
      <x:c r="AG155" t="str">
        <x:v>azlisham.md@petronas.com</x:v>
      </x:c>
      <x:c r="AH155" t="n">
        <x:v>46112.34570052083</x:v>
      </x:c>
      <x:c r="AI155" t="str">
        <x:v>The decommission request has been completed, and the status is now updated accordingly. Kindly verify from your end and confirm once reviewed.
</x:v>
      </x:c>
      <x:c r="AJ155" t="str">
        <x:v>P-000004</x:v>
      </x:c>
      <x:c r="AK155" t="str">
        <x:v>00915_57</x:v>
      </x:c>
      <x:c r="AL155" t="str">
        <x:v>M</x:v>
      </x:c>
      <x:c r="AM155" t="str">
        <x:v>REQ000007955262</x:v>
      </x:c>
      <x:c r="AN155" t="str">
        <x:v>noretention</x:v>
      </x:c>
      <x:c r="AO155" t="n">
        <x:v>0</x:v>
      </x:c>
      <x:c r="AP155" s="23" t="str">
        <x:f>IF(E155="processing",IF(Z155="","",IF(ISNUMBER(Z155),INT(Z155),DATE(VALUE(LEFT(Z155,4)),VALUE(MID(Z155,6,2)),VALUE(MID(Z155,9,2))))),IF(OR(E155="executing",E155="pending"),IF(AD155="","",IF(ISNUMBER(AD155),INT(AD155),DATE(VALUE(LEFT(AD155,4)),VALUE(MID(AD155,6,2)),VALUE(MID(AD155,9,2))))),""))</x:f>
      </x:c>
      <x:c r="AQ155" s="24" t="str">
        <x:f>IF(AP155="","",INT('Configuration'!$B$4)-AP155)</x:f>
      </x:c>
      <x:c r="AR155" s="25" t="str">
        <x:f>IF(AP155="","Missing Required Date",IF(AQ155&lt;0,"Future Date",IF(AQ155=0,"0 days",IF(AQ155&lt;=2,"1-2 days",IF(AQ155&lt;=7,"3-7 days",IF(AQ155&lt;=14,"8-14 days",IF(AQ155&lt;=30,"15-30 days",IF(AQ155&lt;=60,"31-60 days",IF(AQ155&lt;=70,"61-70 days","71+ days")))))))))</x:f>
        <x:v>Missing Required Date</x:v>
      </x:c>
      <x:c r="AS155" s="25" t="str">
        <x:f>IF(OR(E155="processing",E155="executing",E155="pending"),IF(AP155="","Required aging date missing",IF(AQ155&gt;30,"Escalate &gt;30d",IF(AQ155&gt;14,"Watch &gt;14d","Within 14d"))),"Out of scope")</x:f>
        <x:v>Out of scope</x:v>
      </x:c>
    </x:row>
    <x:row r="156" ht="24" customHeight="1">
      <x:c r="A156" t="str">
        <x:v>a80120d7-f839-4588-9cfd-278a99b04ec7</x:v>
      </x:c>
      <x:c r="B156" t="str">
        <x:v>CSSP10850015</x:v>
      </x:c>
      <x:c r="C156" t="str">
        <x:v>norasikin.ahmad@petronas.com</x:v>
      </x:c>
      <x:c r="D156" t="str">
        <x:v>decommission-cloud</x:v>
      </x:c>
      <x:c r="E156" t="str">
        <x:v>completed</x:v>
      </x:c>
      <x:c r="F156" t="n">
        <x:v>46108.11135622685</x:v>
      </x:c>
      <x:c r="G156" t="n">
        <x:v>46112.090667743054</x:v>
      </x:c>
      <x:c r="H156" t="n">
        <x:v>46108.11135622685</x:v>
      </x:c>
      <x:c r="I156" t="str">
        <x:v>MMPD ICON</x:v>
      </x:c>
      <x:c r="J156" t="str">
        <x:v>ICON</x:v>
      </x:c>
      <x:c r="K156" t="str">
        <x:v>partial</x:v>
      </x:c>
      <x:c r="L156"/>
      <x:c r="M156" t="str">
        <x:v>sazali.mokhtar@petronas.com.my</x:v>
      </x:c>
      <x:c r="N156"/>
      <x:c r="O156"/>
      <x:c r="P156" t="str">
        <x:v>Cloud Repatriation Project to Malaysia region and decommisioning recources in Singapore region.</x:v>
      </x:c>
      <x:c r="Q156" t="str">
        <x:v>2W</x:v>
      </x:c>
      <x:c r="R156" t="str">
        <x:v>Cloud Migration</x:v>
      </x:c>
      <x:c r="S156"/>
      <x:c r="T156" t="str">
        <x:v>approved</x:v>
      </x:c>
      <x:c r="U156" t="str">
        <x:v>norasikin.ahmad@petronas.com</x:v>
      </x:c>
      <x:c r="V156" t="n">
        <x:v>46108.11483608796</x:v>
      </x:c>
      <x:c r="W156" t="str">
        <x:v>To decomm resources in Singapore</x:v>
      </x:c>
      <x:c r="X156" t="str">
        <x:v>approved</x:v>
      </x:c>
      <x:c r="Y156" t="str">
        <x:v>sazali.mokhtar@petronas.com</x:v>
      </x:c>
      <x:c r="Z156" t="n">
        <x:v>46111.06872525463</x:v>
      </x:c>
      <x:c r="AA156" t="str">
        <x:v>Cloud Repatriation Project to Malaysia region and decommisioning recources in Singapore region.</x:v>
      </x:c>
      <x:c r="AB156" t="str">
        <x:v>approved</x:v>
      </x:c>
      <x:c r="AC156" t="str">
        <x:v>azwan.badari@petronas.com</x:v>
      </x:c>
      <x:c r="AD156" t="n">
        <x:v>46111.08410644676</x:v>
      </x:c>
      <x:c r="AE156" t="str">
        <x:v>Proceed to decomm as listed</x:v>
      </x:c>
      <x:c r="AF156" t="str">
        <x:v>approved</x:v>
      </x:c>
      <x:c r="AG156" t="str">
        <x:v>azwan.badari@petronas.com</x:v>
      </x:c>
      <x:c r="AH156" t="n">
        <x:v>46112.090667743054</x:v>
      </x:c>
      <x:c r="AI156" t="str">
        <x:v>Completed</x:v>
      </x:c>
      <x:c r="AJ156" t="str">
        <x:v>A-000367</x:v>
      </x:c>
      <x:c r="AK156" t="n">
        <x:v>2983</x:v>
      </x:c>
      <x:c r="AL156" t="str">
        <x:v>M</x:v>
      </x:c>
      <x:c r="AM156" t="str">
        <x:v>REQ000007952703</x:v>
      </x:c>
      <x:c r="AN156" t="str">
        <x:v>noretention</x:v>
      </x:c>
      <x:c r="AO156" t="n">
        <x:v>0</x:v>
      </x:c>
      <x:c r="AP156" s="23" t="str">
        <x:f>IF(E156="processing",IF(Z156="","",IF(ISNUMBER(Z156),INT(Z156),DATE(VALUE(LEFT(Z156,4)),VALUE(MID(Z156,6,2)),VALUE(MID(Z156,9,2))))),IF(OR(E156="executing",E156="pending"),IF(AD156="","",IF(ISNUMBER(AD156),INT(AD156),DATE(VALUE(LEFT(AD156,4)),VALUE(MID(AD156,6,2)),VALUE(MID(AD156,9,2))))),""))</x:f>
      </x:c>
      <x:c r="AQ156" s="24" t="str">
        <x:f>IF(AP156="","",INT('Configuration'!$B$4)-AP156)</x:f>
      </x:c>
      <x:c r="AR156" s="25" t="str">
        <x:f>IF(AP156="","Missing Required Date",IF(AQ156&lt;0,"Future Date",IF(AQ156=0,"0 days",IF(AQ156&lt;=2,"1-2 days",IF(AQ156&lt;=7,"3-7 days",IF(AQ156&lt;=14,"8-14 days",IF(AQ156&lt;=30,"15-30 days",IF(AQ156&lt;=60,"31-60 days",IF(AQ156&lt;=70,"61-70 days","71+ days")))))))))</x:f>
        <x:v>Missing Required Date</x:v>
      </x:c>
      <x:c r="AS156" s="25" t="str">
        <x:f>IF(OR(E156="processing",E156="executing",E156="pending"),IF(AP156="","Required aging date missing",IF(AQ156&gt;30,"Escalate &gt;30d",IF(AQ156&gt;14,"Watch &gt;14d","Within 14d"))),"Out of scope")</x:f>
        <x:v>Out of scope</x:v>
      </x:c>
    </x:row>
    <x:row r="157" ht="24" customHeight="1">
      <x:c r="A157" t="str">
        <x:v>fdd7fdc0-db05-44f0-8c62-ebbf1dacd129</x:v>
      </x:c>
      <x:c r="B157" t="str">
        <x:v>CSSP10212993</x:v>
      </x:c>
      <x:c r="C157" t="str">
        <x:v>cus.ng@petronas.com</x:v>
      </x:c>
      <x:c r="D157" t="str">
        <x:v>decommission-cloud</x:v>
      </x:c>
      <x:c r="E157" t="str">
        <x:v>cancelled</x:v>
      </x:c>
      <x:c r="F157" t="n">
        <x:v>46108.17340528935</x:v>
      </x:c>
      <x:c r="G157" t="n">
        <x:v>46119.31295025463</x:v>
      </x:c>
      <x:c r="H157" t="n">
        <x:v>46108.17340528935</x:v>
      </x:c>
      <x:c r="I157" t="str">
        <x:v>Static Equipment Analytic Library - SEAL</x:v>
      </x:c>
      <x:c r="J157" t="str">
        <x:v>Static Equipment Analytic Library (SEAL) as Upstream Static Equipment Advanced Analytical Tools for Upstream COE</x:v>
      </x:c>
      <x:c r="K157" t="str">
        <x:v>partial</x:v>
      </x:c>
      <x:c r="L157"/>
      <x:c r="M157" t="str">
        <x:v>ghimyee.tang@petronas.com.my</x:v>
      </x:c>
      <x:c r="N157" t="str">
        <x:v>sealmrsstaging.petronas.com:443</x:v>
      </x:c>
      <x:c r="O157"/>
      <x:c r="P157" t="str">
        <x:v>To decommision URL and resources related to sealmrsstaging.petronas.com:443 only. This is an old URL that is currently un-used and need to be decommissioned due to vulnerabilities issues raised by CD Vulnerability Management. 
Currently, we have a new active staging URL (https://sealstaging.petronas.com/) - this is the one currently in-use.</x:v>
      </x:c>
      <x:c r="Q157" t="str">
        <x:v>1M</x:v>
      </x:c>
      <x:c r="R157" t="str">
        <x:v>Not in Used</x:v>
      </x:c>
      <x:c r="S157"/>
      <x:c r="T157" t="str">
        <x:v>rejected</x:v>
      </x:c>
      <x:c r="U157" t="str">
        <x:v>cus.ng@petronas.com</x:v>
      </x:c>
      <x:c r="V157" t="n">
        <x:v>46119.312950266205</x:v>
      </x:c>
      <x:c r="W157"/>
      <x:c r="X157"/>
      <x:c r="Y157" t="str">
        <x:v>ghimyee.tang@petronas.com</x:v>
      </x:c>
      <x:c r="Z157"/>
      <x:c r="AA157"/>
      <x:c r="AB157"/>
      <x:c r="AC157" t="str">
        <x:v>CCoE Business</x:v>
      </x:c>
      <x:c r="AD157"/>
      <x:c r="AE157"/>
      <x:c r="AF157"/>
      <x:c r="AG157" t="str">
        <x:v>CCoE Operations</x:v>
      </x:c>
      <x:c r="AH157"/>
      <x:c r="AI157"/>
      <x:c r="AJ157" t="str">
        <x:v>A-000755</x:v>
      </x:c>
      <x:c r="AK157" t="n">
        <x:v>2173</x:v>
      </x:c>
      <x:c r="AL157"/>
      <x:c r="AM157"/>
      <x:c r="AN157" t="str">
        <x:v>disposal</x:v>
      </x:c>
      <x:c r="AO157" t="n">
        <x:v>0</x:v>
      </x:c>
      <x:c r="AP157" s="23" t="str">
        <x:f>IF(E157="processing",IF(Z157="","",IF(ISNUMBER(Z157),INT(Z157),DATE(VALUE(LEFT(Z157,4)),VALUE(MID(Z157,6,2)),VALUE(MID(Z157,9,2))))),IF(OR(E157="executing",E157="pending"),IF(AD157="","",IF(ISNUMBER(AD157),INT(AD157),DATE(VALUE(LEFT(AD157,4)),VALUE(MID(AD157,6,2)),VALUE(MID(AD157,9,2))))),""))</x:f>
      </x:c>
      <x:c r="AQ157" s="24" t="str">
        <x:f>IF(AP157="","",INT('Configuration'!$B$4)-AP157)</x:f>
      </x:c>
      <x:c r="AR157" s="25" t="str">
        <x:f>IF(AP157="","Missing Required Date",IF(AQ157&lt;0,"Future Date",IF(AQ157=0,"0 days",IF(AQ157&lt;=2,"1-2 days",IF(AQ157&lt;=7,"3-7 days",IF(AQ157&lt;=14,"8-14 days",IF(AQ157&lt;=30,"15-30 days",IF(AQ157&lt;=60,"31-60 days",IF(AQ157&lt;=70,"61-70 days","71+ days")))))))))</x:f>
        <x:v>Missing Required Date</x:v>
      </x:c>
      <x:c r="AS157" s="25" t="str">
        <x:f>IF(OR(E157="processing",E157="executing",E157="pending"),IF(AP157="","Required aging date missing",IF(AQ157&gt;30,"Escalate &gt;30d",IF(AQ157&gt;14,"Watch &gt;14d","Within 14d"))),"Out of scope")</x:f>
        <x:v>Out of scope</x:v>
      </x:c>
    </x:row>
    <x:row r="158" ht="24" customHeight="1">
      <x:c r="A158" t="str">
        <x:v>14f2fed5-bb6c-491d-b9d3-707953294e1d</x:v>
      </x:c>
      <x:c r="B158" t="str">
        <x:v>CSSP10545760</x:v>
      </x:c>
      <x:c r="C158" t="str">
        <x:v>azeerahanim.akash@petronas.com</x:v>
      </x:c>
      <x:c r="D158" t="str">
        <x:v>decommission-cloud</x:v>
      </x:c>
      <x:c r="E158" t="str">
        <x:v>completed</x:v>
      </x:c>
      <x:c r="F158" t="n">
        <x:v>46112.10200351852</x:v>
      </x:c>
      <x:c r="G158" t="n">
        <x:v>46133.1277541088</x:v>
      </x:c>
      <x:c r="H158" t="n">
        <x:v>46112.11524057871</x:v>
      </x:c>
      <x:c r="I158" t="str">
        <x:v>P360 DQ Database</x:v>
      </x:c>
      <x:c r="J158" t="str">
        <x:v>Enhancement Data Quality Management of PETRONAS360 for DCO</x:v>
      </x:c>
      <x:c r="K158" t="str">
        <x:v>full</x:v>
      </x:c>
      <x:c r="L158" t="str">
        <x:v>DCOM20260331941</x:v>
      </x:c>
      <x:c r="M158" t="str">
        <x:v>adi.razali@petronas.com.my</x:v>
      </x:c>
      <x:c r="N158" t="str">
        <x:v>dataplus.petronas.com</x:v>
      </x:c>
      <x:c r="O158"/>
      <x:c r="P158" t="str">
        <x:v>To decommission ALL resources related to DataPlus (remove entire Resource Groups: PTAZSG-PROD-EDH-SSP-RG)</x:v>
      </x:c>
      <x:c r="Q158" t="str">
        <x:v>1M</x:v>
      </x:c>
      <x:c r="R158" t="str">
        <x:v>Not in Used</x:v>
      </x:c>
      <x:c r="S158"/>
      <x:c r="T158" t="str">
        <x:v>approved</x:v>
      </x:c>
      <x:c r="U158" t="str">
        <x:v>azeerahanim.akash@petronas.com</x:v>
      </x:c>
      <x:c r="V158" t="n">
        <x:v>46112.116337025465</x:v>
      </x:c>
      <x:c r="W158" t="str">
        <x:v>To request for full decommissioning of Dataplus resources along with its group in PTAZSG-PROD-EDH-SSP-RG.</x:v>
      </x:c>
      <x:c r="X158" t="str">
        <x:v>approved</x:v>
      </x:c>
      <x:c r="Y158" t="str">
        <x:v>adi.razali@petronas.com</x:v>
      </x:c>
      <x:c r="Z158" t="n">
        <x:v>46127.100981076386</x:v>
      </x:c>
      <x:c r="AA158" t="str">
        <x:v>Proceed</x:v>
      </x:c>
      <x:c r="AB158" t="str">
        <x:v>approved</x:v>
      </x:c>
      <x:c r="AC158" t="str">
        <x:v>azwan.badari@petronas.com</x:v>
      </x:c>
      <x:c r="AD158" t="n">
        <x:v>46127.318465069446</x:v>
      </x:c>
      <x:c r="AE158" t="str">
        <x:v>Decommission all resources in PTAZSG-PROD-EDH-SSP-RG</x:v>
      </x:c>
      <x:c r="AF158" t="str">
        <x:v>approved</x:v>
      </x:c>
      <x:c r="AG158" t="str">
        <x:v>azwan.badari@petronas.com</x:v>
      </x:c>
      <x:c r="AH158" t="n">
        <x:v>46133.1277541088</x:v>
      </x:c>
      <x:c r="AI158" t="str">
        <x:v>Completed</x:v>
      </x:c>
      <x:c r="AJ158" t="str">
        <x:v>A-001314</x:v>
      </x:c>
      <x:c r="AK158" t="n">
        <x:v>3901</x:v>
      </x:c>
      <x:c r="AL158" t="str">
        <x:v>M</x:v>
      </x:c>
      <x:c r="AM158" t="str">
        <x:v>REQ000007991752</x:v>
      </x:c>
      <x:c r="AN158" t="str">
        <x:v>noretention</x:v>
      </x:c>
      <x:c r="AO158" t="n">
        <x:v>0</x:v>
      </x:c>
      <x:c r="AP158" s="23" t="str">
        <x:f>IF(E158="processing",IF(Z158="","",IF(ISNUMBER(Z158),INT(Z158),DATE(VALUE(LEFT(Z158,4)),VALUE(MID(Z158,6,2)),VALUE(MID(Z158,9,2))))),IF(OR(E158="executing",E158="pending"),IF(AD158="","",IF(ISNUMBER(AD158),INT(AD158),DATE(VALUE(LEFT(AD158,4)),VALUE(MID(AD158,6,2)),VALUE(MID(AD158,9,2))))),""))</x:f>
      </x:c>
      <x:c r="AQ158" s="24" t="str">
        <x:f>IF(AP158="","",INT('Configuration'!$B$4)-AP158)</x:f>
      </x:c>
      <x:c r="AR158" s="25" t="str">
        <x:f>IF(AP158="","Missing Required Date",IF(AQ158&lt;0,"Future Date",IF(AQ158=0,"0 days",IF(AQ158&lt;=2,"1-2 days",IF(AQ158&lt;=7,"3-7 days",IF(AQ158&lt;=14,"8-14 days",IF(AQ158&lt;=30,"15-30 days",IF(AQ158&lt;=60,"31-60 days",IF(AQ158&lt;=70,"61-70 days","71+ days")))))))))</x:f>
        <x:v>Missing Required Date</x:v>
      </x:c>
      <x:c r="AS158" s="25" t="str">
        <x:f>IF(OR(E158="processing",E158="executing",E158="pending"),IF(AP158="","Required aging date missing",IF(AQ158&gt;30,"Escalate &gt;30d",IF(AQ158&gt;14,"Watch &gt;14d","Within 14d"))),"Out of scope")</x:f>
        <x:v>Out of scope</x:v>
      </x:c>
    </x:row>
    <x:row r="159" ht="24" customHeight="1">
      <x:c r="A159" t="str">
        <x:v>6d9182e6-9890-472f-9a1a-04e783bc316e</x:v>
      </x:c>
      <x:c r="B159" t="str">
        <x:v>CSSP10733147</x:v>
      </x:c>
      <x:c r="C159" t="str">
        <x:v>cus.ng@petronas.com</x:v>
      </x:c>
      <x:c r="D159" t="str">
        <x:v>decommission-cloud</x:v>
      </x:c>
      <x:c r="E159" t="str">
        <x:v>cancelled</x:v>
      </x:c>
      <x:c r="F159" t="n">
        <x:v>46112.404651689816</x:v>
      </x:c>
      <x:c r="G159" t="n">
        <x:v>46119.31324778935</x:v>
      </x:c>
      <x:c r="H159" t="n">
        <x:v>46112.404651689816</x:v>
      </x:c>
      <x:c r="I159" t="str">
        <x:v>HSSEMARS</x:v>
      </x:c>
      <x:c r="J159" t="str">
        <x:v>MARS 6.0 Enhancement Plan</x:v>
      </x:c>
      <x:c r="K159" t="str">
        <x:v>partial</x:v>
      </x:c>
      <x:c r="L159"/>
      <x:c r="M159" t="str">
        <x:v>ghimyee.tang@petronas.com.my</x:v>
      </x:c>
      <x:c r="N159" t="str">
        <x:v>sealmrsstaging.petronas.com:443</x:v>
      </x:c>
      <x:c r="O159"/>
      <x:c r="P159" t="str">
        <x:v>sealmrsstaging.petronas.com:443 is an old unused URL - CD Vulnerability Team has raised a severe SSL findings and advices to decomm this URL and related resources.</x:v>
      </x:c>
      <x:c r="Q159" t="str">
        <x:v>1M</x:v>
      </x:c>
      <x:c r="R159" t="str">
        <x:v>Not in Used</x:v>
      </x:c>
      <x:c r="S159"/>
      <x:c r="T159" t="str">
        <x:v>rejected</x:v>
      </x:c>
      <x:c r="U159" t="str">
        <x:v>cus.ng@petronas.com</x:v>
      </x:c>
      <x:c r="V159" t="n">
        <x:v>46119.31324780093</x:v>
      </x:c>
      <x:c r="W159"/>
      <x:c r="X159"/>
      <x:c r="Y159" t="str">
        <x:v>ghimyee.tang@petronas.com</x:v>
      </x:c>
      <x:c r="Z159"/>
      <x:c r="AA159"/>
      <x:c r="AB159"/>
      <x:c r="AC159" t="str">
        <x:v>CCoE Business</x:v>
      </x:c>
      <x:c r="AD159"/>
      <x:c r="AE159"/>
      <x:c r="AF159"/>
      <x:c r="AG159" t="str">
        <x:v>CCoE Operations</x:v>
      </x:c>
      <x:c r="AH159"/>
      <x:c r="AI159"/>
      <x:c r="AJ159" t="str">
        <x:v>A-001222</x:v>
      </x:c>
      <x:c r="AK159" t="n">
        <x:v>4141</x:v>
      </x:c>
      <x:c r="AL159"/>
      <x:c r="AM159"/>
      <x:c r="AN159" t="str">
        <x:v>disposal</x:v>
      </x:c>
      <x:c r="AO159" t="n">
        <x:v>0</x:v>
      </x:c>
      <x:c r="AP159" s="23" t="str">
        <x:f>IF(E159="processing",IF(Z159="","",IF(ISNUMBER(Z159),INT(Z159),DATE(VALUE(LEFT(Z159,4)),VALUE(MID(Z159,6,2)),VALUE(MID(Z159,9,2))))),IF(OR(E159="executing",E159="pending"),IF(AD159="","",IF(ISNUMBER(AD159),INT(AD159),DATE(VALUE(LEFT(AD159,4)),VALUE(MID(AD159,6,2)),VALUE(MID(AD159,9,2))))),""))</x:f>
      </x:c>
      <x:c r="AQ159" s="24" t="str">
        <x:f>IF(AP159="","",INT('Configuration'!$B$4)-AP159)</x:f>
      </x:c>
      <x:c r="AR159" s="25" t="str">
        <x:f>IF(AP159="","Missing Required Date",IF(AQ159&lt;0,"Future Date",IF(AQ159=0,"0 days",IF(AQ159&lt;=2,"1-2 days",IF(AQ159&lt;=7,"3-7 days",IF(AQ159&lt;=14,"8-14 days",IF(AQ159&lt;=30,"15-30 days",IF(AQ159&lt;=60,"31-60 days",IF(AQ159&lt;=70,"61-70 days","71+ days")))))))))</x:f>
        <x:v>Missing Required Date</x:v>
      </x:c>
      <x:c r="AS159" s="25" t="str">
        <x:f>IF(OR(E159="processing",E159="executing",E159="pending"),IF(AP159="","Required aging date missing",IF(AQ159&gt;30,"Escalate &gt;30d",IF(AQ159&gt;14,"Watch &gt;14d","Within 14d"))),"Out of scope")</x:f>
        <x:v>Out of scope</x:v>
      </x:c>
    </x:row>
    <x:row r="160" ht="24" customHeight="1">
      <x:c r="A160" t="str">
        <x:v>d14bafd5-20df-43d4-bfdc-4f7112db271c</x:v>
      </x:c>
      <x:c r="B160" t="str">
        <x:v>CSSP10531664</x:v>
      </x:c>
      <x:c r="C160" t="str">
        <x:v>mzurfaiezzuddin.zur@petronas.com</x:v>
      </x:c>
      <x:c r="D160" t="str">
        <x:v>decommission-cloud</x:v>
      </x:c>
      <x:c r="E160" t="str">
        <x:v>completed</x:v>
      </x:c>
      <x:c r="F160" t="n">
        <x:v>46113.11938070602</x:v>
      </x:c>
      <x:c r="G160" t="n">
        <x:v>46125.16558631945</x:v>
      </x:c>
      <x:c r="H160" t="n">
        <x:v>46113.11938070602</x:v>
      </x:c>
      <x:c r="I160" t="str">
        <x:v>Lab Information Management System - LIMS PCGB</x:v>
      </x:c>
      <x:c r="J160" t="str">
        <x:v>Cloud Migration - Integrated Laboratory Information Management System (iLIMS) for PCGB Dev</x:v>
      </x:c>
      <x:c r="K160" t="str">
        <x:v>partial</x:v>
      </x:c>
      <x:c r="L160"/>
      <x:c r="M160" t="str">
        <x:v>sazali.mokhtar@petronas.com</x:v>
      </x:c>
      <x:c r="N160"/>
      <x:c r="O160"/>
      <x:c r="P160" t="str">
        <x:v>Cloud Repatriation - To decommission old resources in SG region due to completed migration in MY region</x:v>
      </x:c>
      <x:c r="Q160" t="str">
        <x:v>2W</x:v>
      </x:c>
      <x:c r="R160" t="str">
        <x:v>Cloud Migration</x:v>
      </x:c>
      <x:c r="S160"/>
      <x:c r="T160" t="str">
        <x:v>approved</x:v>
      </x:c>
      <x:c r="U160" t="str">
        <x:v>mzurfaiezzuddin.zur@petronas.com</x:v>
      </x:c>
      <x:c r="V160" t="n">
        <x:v>46113.12090783565</x:v>
      </x:c>
      <x:c r="W160" t="str">
        <x:v>Cloud Repatriation - To decommission old resources in SG region due to completed migration in MY region</x:v>
      </x:c>
      <x:c r="X160" t="str">
        <x:v>approved</x:v>
      </x:c>
      <x:c r="Y160" t="str">
        <x:v>sazali.mokhtar@petronas.com</x:v>
      </x:c>
      <x:c r="Z160" t="n">
        <x:v>46114.16392613426</x:v>
      </x:c>
      <x:c r="AA160" t="str">
        <x:v>Cloud Repatriation - To decommission old resources in SG region due to completed migration in MY region</x:v>
      </x:c>
      <x:c r="AB160" t="str">
        <x:v>approved</x:v>
      </x:c>
      <x:c r="AC160" t="str">
        <x:v>azwan.badari@petronas.com</x:v>
      </x:c>
      <x:c r="AD160" t="n">
        <x:v>46118.121135381945</x:v>
      </x:c>
      <x:c r="AE160" t="str">
        <x:v>Decommission as listed</x:v>
      </x:c>
      <x:c r="AF160" t="str">
        <x:v>approved</x:v>
      </x:c>
      <x:c r="AG160" t="str">
        <x:v>azwan.badari@petronas.com</x:v>
      </x:c>
      <x:c r="AH160" t="n">
        <x:v>46125.165586331015</x:v>
      </x:c>
      <x:c r="AI160" t="str">
        <x:v>Completed</x:v>
      </x:c>
      <x:c r="AJ160" t="str">
        <x:v>A-000380</x:v>
      </x:c>
      <x:c r="AK160" t="str">
        <x:v>00915_211</x:v>
      </x:c>
      <x:c r="AL160" t="str">
        <x:v>M</x:v>
      </x:c>
      <x:c r="AM160" t="str">
        <x:v>REQ000007970951</x:v>
      </x:c>
      <x:c r="AN160" t="str">
        <x:v>noretention</x:v>
      </x:c>
      <x:c r="AO160" t="n">
        <x:v>0</x:v>
      </x:c>
      <x:c r="AP160" s="23" t="str">
        <x:f>IF(E160="processing",IF(Z160="","",IF(ISNUMBER(Z160),INT(Z160),DATE(VALUE(LEFT(Z160,4)),VALUE(MID(Z160,6,2)),VALUE(MID(Z160,9,2))))),IF(OR(E160="executing",E160="pending"),IF(AD160="","",IF(ISNUMBER(AD160),INT(AD160),DATE(VALUE(LEFT(AD160,4)),VALUE(MID(AD160,6,2)),VALUE(MID(AD160,9,2))))),""))</x:f>
      </x:c>
      <x:c r="AQ160" s="24" t="str">
        <x:f>IF(AP160="","",INT('Configuration'!$B$4)-AP160)</x:f>
      </x:c>
      <x:c r="AR160" s="25" t="str">
        <x:f>IF(AP160="","Missing Required Date",IF(AQ160&lt;0,"Future Date",IF(AQ160=0,"0 days",IF(AQ160&lt;=2,"1-2 days",IF(AQ160&lt;=7,"3-7 days",IF(AQ160&lt;=14,"8-14 days",IF(AQ160&lt;=30,"15-30 days",IF(AQ160&lt;=60,"31-60 days",IF(AQ160&lt;=70,"61-70 days","71+ days")))))))))</x:f>
        <x:v>Missing Required Date</x:v>
      </x:c>
      <x:c r="AS160" s="25" t="str">
        <x:f>IF(OR(E160="processing",E160="executing",E160="pending"),IF(AP160="","Required aging date missing",IF(AQ160&gt;30,"Escalate &gt;30d",IF(AQ160&gt;14,"Watch &gt;14d","Within 14d"))),"Out of scope")</x:f>
        <x:v>Out of scope</x:v>
      </x:c>
    </x:row>
    <x:row r="161" ht="24" customHeight="1">
      <x:c r="A161" t="str">
        <x:v>f5ac3597-ff4e-49a7-b4e5-daacd8e4e8ec</x:v>
      </x:c>
      <x:c r="B161" t="str">
        <x:v>CSSP10451318</x:v>
      </x:c>
      <x:c r="C161" t="str">
        <x:v>mzurfaiezzuddin.zur@petronas.com</x:v>
      </x:c>
      <x:c r="D161" t="str">
        <x:v>decommission-cloud</x:v>
      </x:c>
      <x:c r="E161" t="str">
        <x:v>cancelled</x:v>
      </x:c>
      <x:c r="F161" t="n">
        <x:v>46113.12278239583</x:v>
      </x:c>
      <x:c r="G161" t="n">
        <x:v>46113.122962939815</x:v>
      </x:c>
      <x:c r="H161" t="n">
        <x:v>46113.12278239583</x:v>
      </x:c>
      <x:c r="I161" t="str">
        <x:v>Lab Information Management System - LIMS PCGB</x:v>
      </x:c>
      <x:c r="J161" t="str">
        <x:v>Provisioning of Virtual Machine for LIMS with ELN for STAR+ Project for PCGB</x:v>
      </x:c>
      <x:c r="K161" t="str">
        <x:v>partial</x:v>
      </x:c>
      <x:c r="L161"/>
      <x:c r="M161" t="str">
        <x:v>sazali.mokhtar@petronas.com</x:v>
      </x:c>
      <x:c r="N161"/>
      <x:c r="O161"/>
      <x:c r="P161" t="str">
        <x:v>Cloud Repatriation - To decommission old resources in SG region due to completed migration in MY region</x:v>
      </x:c>
      <x:c r="Q161" t="str">
        <x:v>2W</x:v>
      </x:c>
      <x:c r="R161" t="str">
        <x:v>Cloud Migration</x:v>
      </x:c>
      <x:c r="S161"/>
      <x:c r="T161" t="str">
        <x:v>rejected</x:v>
      </x:c>
      <x:c r="U161" t="str">
        <x:v>mzurfaiezzuddin.zur@petronas.com</x:v>
      </x:c>
      <x:c r="V161" t="n">
        <x:v>46113.122962939815</x:v>
      </x:c>
      <x:c r="W161"/>
      <x:c r="X161"/>
      <x:c r="Y161" t="str">
        <x:v>sazali.mokhtar@petronas.com</x:v>
      </x:c>
      <x:c r="Z161"/>
      <x:c r="AA161"/>
      <x:c r="AB161"/>
      <x:c r="AC161" t="str">
        <x:v>CCoE Business</x:v>
      </x:c>
      <x:c r="AD161"/>
      <x:c r="AE161"/>
      <x:c r="AF161"/>
      <x:c r="AG161" t="str">
        <x:v>CCoE Operations</x:v>
      </x:c>
      <x:c r="AH161"/>
      <x:c r="AI161"/>
      <x:c r="AJ161" t="str">
        <x:v>A-000380</x:v>
      </x:c>
      <x:c r="AK161" t="str">
        <x:v>SR00080</x:v>
      </x:c>
      <x:c r="AL161"/>
      <x:c r="AM161"/>
      <x:c r="AN161" t="str">
        <x:v>noretention</x:v>
      </x:c>
      <x:c r="AO161" t="n">
        <x:v>0</x:v>
      </x:c>
      <x:c r="AP161" s="23" t="str">
        <x:f>IF(E161="processing",IF(Z161="","",IF(ISNUMBER(Z161),INT(Z161),DATE(VALUE(LEFT(Z161,4)),VALUE(MID(Z161,6,2)),VALUE(MID(Z161,9,2))))),IF(OR(E161="executing",E161="pending"),IF(AD161="","",IF(ISNUMBER(AD161),INT(AD161),DATE(VALUE(LEFT(AD161,4)),VALUE(MID(AD161,6,2)),VALUE(MID(AD161,9,2))))),""))</x:f>
      </x:c>
      <x:c r="AQ161" s="24" t="str">
        <x:f>IF(AP161="","",INT('Configuration'!$B$4)-AP161)</x:f>
      </x:c>
      <x:c r="AR161" s="25" t="str">
        <x:f>IF(AP161="","Missing Required Date",IF(AQ161&lt;0,"Future Date",IF(AQ161=0,"0 days",IF(AQ161&lt;=2,"1-2 days",IF(AQ161&lt;=7,"3-7 days",IF(AQ161&lt;=14,"8-14 days",IF(AQ161&lt;=30,"15-30 days",IF(AQ161&lt;=60,"31-60 days",IF(AQ161&lt;=70,"61-70 days","71+ days")))))))))</x:f>
        <x:v>Missing Required Date</x:v>
      </x:c>
      <x:c r="AS161" s="25" t="str">
        <x:f>IF(OR(E161="processing",E161="executing",E161="pending"),IF(AP161="","Required aging date missing",IF(AQ161&gt;30,"Escalate &gt;30d",IF(AQ161&gt;14,"Watch &gt;14d","Within 14d"))),"Out of scope")</x:f>
        <x:v>Out of scope</x:v>
      </x:c>
    </x:row>
    <x:row r="162" ht="24" customHeight="1">
      <x:c r="A162" t="str">
        <x:v>83a75e8a-b7e0-4af5-a68b-c3afd66801a0</x:v>
      </x:c>
      <x:c r="B162" t="str">
        <x:v>CSSP10463624</x:v>
      </x:c>
      <x:c r="C162" t="str">
        <x:v>mzurfaiezzuddin.zur@petronas.com</x:v>
      </x:c>
      <x:c r="D162" t="str">
        <x:v>decommission-cloud</x:v>
      </x:c>
      <x:c r="E162" t="str">
        <x:v>completed</x:v>
      </x:c>
      <x:c r="F162" t="n">
        <x:v>46113.12338174768</x:v>
      </x:c>
      <x:c r="G162" t="n">
        <x:v>46124.45970811343</x:v>
      </x:c>
      <x:c r="H162" t="n">
        <x:v>46113.12338174768</x:v>
      </x:c>
      <x:c r="I162" t="str">
        <x:v>Lab Information Management System - LIMS PCGB</x:v>
      </x:c>
      <x:c r="J162" t="str">
        <x:v>OCI MIGRATION - Integrated Laboratory Information Management System (iLIMS) for PCGB Dev</x:v>
      </x:c>
      <x:c r="K162" t="str">
        <x:v>partial</x:v>
      </x:c>
      <x:c r="L162"/>
      <x:c r="M162" t="str">
        <x:v>sazali.mokhtar@petronas.com</x:v>
      </x:c>
      <x:c r="N162"/>
      <x:c r="O162"/>
      <x:c r="P162" t="str">
        <x:v>Cloud Repatriation - To decommission old resources in SG region due to completed migration in MY region</x:v>
      </x:c>
      <x:c r="Q162" t="str">
        <x:v>2W</x:v>
      </x:c>
      <x:c r="R162" t="str">
        <x:v>Cloud Migration</x:v>
      </x:c>
      <x:c r="S162"/>
      <x:c r="T162" t="str">
        <x:v>approved</x:v>
      </x:c>
      <x:c r="U162" t="str">
        <x:v>mzurfaiezzuddin.zur@petronas.com</x:v>
      </x:c>
      <x:c r="V162" t="n">
        <x:v>46113.123660335645</x:v>
      </x:c>
      <x:c r="W162" t="str">
        <x:v>Cloud Repatriation - To decommission old resources in SG region due to completed migration in MY region</x:v>
      </x:c>
      <x:c r="X162" t="str">
        <x:v>approved</x:v>
      </x:c>
      <x:c r="Y162" t="str">
        <x:v>sazali.mokhtar@petronas.com</x:v>
      </x:c>
      <x:c r="Z162" t="n">
        <x:v>46114.15195530093</x:v>
      </x:c>
      <x:c r="AA162" t="str">
        <x:v>Cloud Repatriation - To decommission old resources in SG region due to completed migration in MY region</x:v>
      </x:c>
      <x:c r="AB162" t="str">
        <x:v>approved</x:v>
      </x:c>
      <x:c r="AC162" t="str">
        <x:v>azwan.badari@petronas.com</x:v>
      </x:c>
      <x:c r="AD162" t="n">
        <x:v>46118.11829150463</x:v>
      </x:c>
      <x:c r="AE162" t="str">
        <x:v>Decommission as listed</x:v>
      </x:c>
      <x:c r="AF162" t="str">
        <x:v>approved</x:v>
      </x:c>
      <x:c r="AG162" t="str">
        <x:v>azwan.badari@petronas.com</x:v>
      </x:c>
      <x:c r="AH162" t="n">
        <x:v>46124.459708125</x:v>
      </x:c>
      <x:c r="AI162" t="str">
        <x:v>Completed</x:v>
      </x:c>
      <x:c r="AJ162" t="str">
        <x:v>A-000380</x:v>
      </x:c>
      <x:c r="AK162" t="str">
        <x:v>00915_211</x:v>
      </x:c>
      <x:c r="AL162" t="str">
        <x:v>M</x:v>
      </x:c>
      <x:c r="AM162" t="str">
        <x:v>REQ000007970313</x:v>
      </x:c>
      <x:c r="AN162" t="str">
        <x:v>noretention</x:v>
      </x:c>
      <x:c r="AO162" t="n">
        <x:v>0</x:v>
      </x:c>
      <x:c r="AP162" s="23" t="str">
        <x:f>IF(E162="processing",IF(Z162="","",IF(ISNUMBER(Z162),INT(Z162),DATE(VALUE(LEFT(Z162,4)),VALUE(MID(Z162,6,2)),VALUE(MID(Z162,9,2))))),IF(OR(E162="executing",E162="pending"),IF(AD162="","",IF(ISNUMBER(AD162),INT(AD162),DATE(VALUE(LEFT(AD162,4)),VALUE(MID(AD162,6,2)),VALUE(MID(AD162,9,2))))),""))</x:f>
      </x:c>
      <x:c r="AQ162" s="24" t="str">
        <x:f>IF(AP162="","",INT('Configuration'!$B$4)-AP162)</x:f>
      </x:c>
      <x:c r="AR162" s="25" t="str">
        <x:f>IF(AP162="","Missing Required Date",IF(AQ162&lt;0,"Future Date",IF(AQ162=0,"0 days",IF(AQ162&lt;=2,"1-2 days",IF(AQ162&lt;=7,"3-7 days",IF(AQ162&lt;=14,"8-14 days",IF(AQ162&lt;=30,"15-30 days",IF(AQ162&lt;=60,"31-60 days",IF(AQ162&lt;=70,"61-70 days","71+ days")))))))))</x:f>
        <x:v>Missing Required Date</x:v>
      </x:c>
      <x:c r="AS162" s="25" t="str">
        <x:f>IF(OR(E162="processing",E162="executing",E162="pending"),IF(AP162="","Required aging date missing",IF(AQ162&gt;30,"Escalate &gt;30d",IF(AQ162&gt;14,"Watch &gt;14d","Within 14d"))),"Out of scope")</x:f>
        <x:v>Out of scope</x:v>
      </x:c>
    </x:row>
    <x:row r="163" ht="24" customHeight="1">
      <x:c r="A163" t="str">
        <x:v>a511ff93-60c4-470c-bc32-1f28d467076e</x:v>
      </x:c>
      <x:c r="B163" t="str">
        <x:v>CSSP10772569</x:v>
      </x:c>
      <x:c r="C163" t="str">
        <x:v>mzurfaiezzuddin.zur@petronas.com</x:v>
      </x:c>
      <x:c r="D163" t="str">
        <x:v>decommission-cloud</x:v>
      </x:c>
      <x:c r="E163" t="str">
        <x:v>completed</x:v>
      </x:c>
      <x:c r="F163" t="n">
        <x:v>46113.12485665509</x:v>
      </x:c>
      <x:c r="G163" t="n">
        <x:v>46120.16560127315</x:v>
      </x:c>
      <x:c r="H163" t="n">
        <x:v>46113.12485665509</x:v>
      </x:c>
      <x:c r="I163" t="str">
        <x:v>Lab Information Management System - LIMS PCGB</x:v>
      </x:c>
      <x:c r="J163" t="str">
        <x:v>OCI MIGRATION - Integrated Lab Information System (PCG)</x:v>
      </x:c>
      <x:c r="K163" t="str">
        <x:v>partial</x:v>
      </x:c>
      <x:c r="L163"/>
      <x:c r="M163" t="str">
        <x:v>sazali.mokhtar@petronas.com</x:v>
      </x:c>
      <x:c r="N163"/>
      <x:c r="O163"/>
      <x:c r="P163" t="str">
        <x:v>Cloud Repatriation - To decommission old resources in SG region due to completed migration in MY region</x:v>
      </x:c>
      <x:c r="Q163" t="str">
        <x:v>2W</x:v>
      </x:c>
      <x:c r="R163" t="str">
        <x:v>Cloud Migration</x:v>
      </x:c>
      <x:c r="S163"/>
      <x:c r="T163" t="str">
        <x:v>approved</x:v>
      </x:c>
      <x:c r="U163" t="str">
        <x:v>mzurfaiezzuddin.zur@petronas.com</x:v>
      </x:c>
      <x:c r="V163" t="n">
        <x:v>46113.12512199074</x:v>
      </x:c>
      <x:c r="W163" t="str">
        <x:v>Cloud Repatriation - To decommission old resources in SG region due to completed migration in MY region</x:v>
      </x:c>
      <x:c r="X163" t="str">
        <x:v>approved</x:v>
      </x:c>
      <x:c r="Y163" t="str">
        <x:v>sazali.mokhtar@petronas.com</x:v>
      </x:c>
      <x:c r="Z163" t="n">
        <x:v>46114.15154200231</x:v>
      </x:c>
      <x:c r="AA163" t="str">
        <x:v>Cloud Repatriation - To decommission old resources in SG region due to completed migration in MY region</x:v>
      </x:c>
      <x:c r="AB163" t="str">
        <x:v>approved</x:v>
      </x:c>
      <x:c r="AC163" t="str">
        <x:v>azwan.badari@petronas.com</x:v>
      </x:c>
      <x:c r="AD163" t="n">
        <x:v>46118.114197083334</x:v>
      </x:c>
      <x:c r="AE163" t="str">
        <x:v>Decommission listed resources</x:v>
      </x:c>
      <x:c r="AF163" t="str">
        <x:v>approved</x:v>
      </x:c>
      <x:c r="AG163" t="str">
        <x:v>azwan.badari@petronas.com</x:v>
      </x:c>
      <x:c r="AH163" t="n">
        <x:v>46120.16560128472</x:v>
      </x:c>
      <x:c r="AI163" t="str">
        <x:v>Completed</x:v>
      </x:c>
      <x:c r="AJ163" t="str">
        <x:v>A-000380</x:v>
      </x:c>
      <x:c r="AK163" t="str">
        <x:v>OCI-00016</x:v>
      </x:c>
      <x:c r="AL163" t="str">
        <x:v>M</x:v>
      </x:c>
      <x:c r="AM163" t="str">
        <x:v>REQ000007970945</x:v>
      </x:c>
      <x:c r="AN163" t="str">
        <x:v>noretention</x:v>
      </x:c>
      <x:c r="AO163" t="n">
        <x:v>0</x:v>
      </x:c>
      <x:c r="AP163" s="23" t="str">
        <x:f>IF(E163="processing",IF(Z163="","",IF(ISNUMBER(Z163),INT(Z163),DATE(VALUE(LEFT(Z163,4)),VALUE(MID(Z163,6,2)),VALUE(MID(Z163,9,2))))),IF(OR(E163="executing",E163="pending"),IF(AD163="","",IF(ISNUMBER(AD163),INT(AD163),DATE(VALUE(LEFT(AD163,4)),VALUE(MID(AD163,6,2)),VALUE(MID(AD163,9,2))))),""))</x:f>
      </x:c>
      <x:c r="AQ163" s="24" t="str">
        <x:f>IF(AP163="","",INT('Configuration'!$B$4)-AP163)</x:f>
      </x:c>
      <x:c r="AR163" s="25" t="str">
        <x:f>IF(AP163="","Missing Required Date",IF(AQ163&lt;0,"Future Date",IF(AQ163=0,"0 days",IF(AQ163&lt;=2,"1-2 days",IF(AQ163&lt;=7,"3-7 days",IF(AQ163&lt;=14,"8-14 days",IF(AQ163&lt;=30,"15-30 days",IF(AQ163&lt;=60,"31-60 days",IF(AQ163&lt;=70,"61-70 days","71+ days")))))))))</x:f>
        <x:v>Missing Required Date</x:v>
      </x:c>
      <x:c r="AS163" s="25" t="str">
        <x:f>IF(OR(E163="processing",E163="executing",E163="pending"),IF(AP163="","Required aging date missing",IF(AQ163&gt;30,"Escalate &gt;30d",IF(AQ163&gt;14,"Watch &gt;14d","Within 14d"))),"Out of scope")</x:f>
        <x:v>Out of scope</x:v>
      </x:c>
    </x:row>
    <x:row r="164" ht="24" customHeight="1">
      <x:c r="A164" t="str">
        <x:v>ef0f40a1-a7d0-4522-801f-28a0a17bfda3</x:v>
      </x:c>
      <x:c r="B164" t="str">
        <x:v>CSSP10423338</x:v>
      </x:c>
      <x:c r="C164" t="str">
        <x:v>norasikin.ahmad@petronas.com</x:v>
      </x:c>
      <x:c r="D164" t="str">
        <x:v>decommission-cloud</x:v>
      </x:c>
      <x:c r="E164" t="str">
        <x:v>completed</x:v>
      </x:c>
      <x:c r="F164" t="n">
        <x:v>46113.13437923611</x:v>
      </x:c>
      <x:c r="G164" t="n">
        <x:v>46122.44377572917</x:v>
      </x:c>
      <x:c r="H164" t="n">
        <x:v>46113.13437923611</x:v>
      </x:c>
      <x:c r="I164" t="str">
        <x:v>PETRONAS Drone Command Centre - P-DCC</x:v>
      </x:c>
      <x:c r="J164" t="str">
        <x:v>Drone Centre Cloud Storage for Drone Operations Across OPUs – Contract &amp; Collaboration Works</x:v>
      </x:c>
      <x:c r="K164" t="str">
        <x:v>partial</x:v>
      </x:c>
      <x:c r="L164"/>
      <x:c r="M164" t="str">
        <x:v>sazali.mokhtar@petronas.com.my</x:v>
      </x:c>
      <x:c r="N164"/>
      <x:c r="O164"/>
      <x:c r="P164" t="str">
        <x:v>Cloud Repatriation Project to Malaysia region and decommisioning recources in Singapore region.</x:v>
      </x:c>
      <x:c r="Q164" t="str">
        <x:v>2W</x:v>
      </x:c>
      <x:c r="R164" t="str">
        <x:v>Cloud Migration</x:v>
      </x:c>
      <x:c r="S164"/>
      <x:c r="T164" t="str">
        <x:v>approved</x:v>
      </x:c>
      <x:c r="U164" t="str">
        <x:v>norasikin.ahmad@petronas.com</x:v>
      </x:c>
      <x:c r="V164" t="n">
        <x:v>46113.135130821756</x:v>
      </x:c>
      <x:c r="W164" t="str">
        <x:v>Cloud Repatriation Project to Malaysia region and decommisioning recources in Singapore region.</x:v>
      </x:c>
      <x:c r="X164" t="str">
        <x:v>approved</x:v>
      </x:c>
      <x:c r="Y164" t="str">
        <x:v>sazali.mokhtar@petronas.com</x:v>
      </x:c>
      <x:c r="Z164" t="n">
        <x:v>46113.14233042824</x:v>
      </x:c>
      <x:c r="AA164" t="str">
        <x:v>Cloud Repatriation Project to Malaysia region and decommisioning recources in Singapore region.</x:v>
      </x:c>
      <x:c r="AB164" t="str">
        <x:v>approved</x:v>
      </x:c>
      <x:c r="AC164" t="str">
        <x:v>azwan.badari@petronas.com</x:v>
      </x:c>
      <x:c r="AD164" t="n">
        <x:v>46113.16370435185</x:v>
      </x:c>
      <x:c r="AE164" t="str">
        <x:v>Decommission resources as per attached</x:v>
      </x:c>
      <x:c r="AF164" t="str">
        <x:v>approved</x:v>
      </x:c>
      <x:c r="AG164" t="str">
        <x:v>azwan.badari@petronas.com</x:v>
      </x:c>
      <x:c r="AH164" t="n">
        <x:v>46122.44377574074</x:v>
      </x:c>
      <x:c r="AI164" t="str">
        <x:v>Completed</x:v>
      </x:c>
      <x:c r="AJ164" t="str">
        <x:v>A-000237</x:v>
      </x:c>
      <x:c r="AK164" t="n">
        <x:v>4264</x:v>
      </x:c>
      <x:c r="AL164" t="str">
        <x:v>S</x:v>
      </x:c>
      <x:c r="AM164" t="str">
        <x:v>REQ000007960488</x:v>
      </x:c>
      <x:c r="AN164" t="str">
        <x:v>noretention</x:v>
      </x:c>
      <x:c r="AO164" t="n">
        <x:v>0</x:v>
      </x:c>
      <x:c r="AP164" s="23" t="str">
        <x:f>IF(E164="processing",IF(Z164="","",IF(ISNUMBER(Z164),INT(Z164),DATE(VALUE(LEFT(Z164,4)),VALUE(MID(Z164,6,2)),VALUE(MID(Z164,9,2))))),IF(OR(E164="executing",E164="pending"),IF(AD164="","",IF(ISNUMBER(AD164),INT(AD164),DATE(VALUE(LEFT(AD164,4)),VALUE(MID(AD164,6,2)),VALUE(MID(AD164,9,2))))),""))</x:f>
      </x:c>
      <x:c r="AQ164" s="24" t="str">
        <x:f>IF(AP164="","",INT('Configuration'!$B$4)-AP164)</x:f>
      </x:c>
      <x:c r="AR164" s="25" t="str">
        <x:f>IF(AP164="","Missing Required Date",IF(AQ164&lt;0,"Future Date",IF(AQ164=0,"0 days",IF(AQ164&lt;=2,"1-2 days",IF(AQ164&lt;=7,"3-7 days",IF(AQ164&lt;=14,"8-14 days",IF(AQ164&lt;=30,"15-30 days",IF(AQ164&lt;=60,"31-60 days",IF(AQ164&lt;=70,"61-70 days","71+ days")))))))))</x:f>
        <x:v>Missing Required Date</x:v>
      </x:c>
      <x:c r="AS164" s="25" t="str">
        <x:f>IF(OR(E164="processing",E164="executing",E164="pending"),IF(AP164="","Required aging date missing",IF(AQ164&gt;30,"Escalate &gt;30d",IF(AQ164&gt;14,"Watch &gt;14d","Within 14d"))),"Out of scope")</x:f>
        <x:v>Out of scope</x:v>
      </x:c>
    </x:row>
    <x:row r="165" ht="24" customHeight="1">
      <x:c r="A165" t="str">
        <x:v>e4e009c7-7206-417d-97c8-945baddc9887</x:v>
      </x:c>
      <x:c r="B165" t="str">
        <x:v>CSSP10895487</x:v>
      </x:c>
      <x:c r="C165" t="str">
        <x:v>norfarhanael.shukor@petronas.com</x:v>
      </x:c>
      <x:c r="D165" t="str">
        <x:v>decommission-cloud</x:v>
      </x:c>
      <x:c r="E165" t="str">
        <x:v>completed</x:v>
      </x:c>
      <x:c r="F165" t="n">
        <x:v>46115.30886550926</x:v>
      </x:c>
      <x:c r="G165" t="n">
        <x:v>46125.21172386574</x:v>
      </x:c>
      <x:c r="H165" t="n">
        <x:v>46115.30886550926</x:v>
      </x:c>
      <x:c r="I165" t="str">
        <x:v>Product Stewardship - PDST</x:v>
      </x:c>
      <x:c r="J165" t="str">
        <x:v>Product Stewardship - PDST created for PRIVATECLOUD project record</x:v>
      </x:c>
      <x:c r="K165" t="str">
        <x:v>full</x:v>
      </x:c>
      <x:c r="L165" t="str">
        <x:v>DCOM20260403c44</x:v>
      </x:c>
      <x:c r="M165" t="str">
        <x:v>norazmanz@petronas.com.my</x:v>
      </x:c>
      <x:c r="N165" t="str">
        <x:v>ps.petronas.com, ps.staging.petronas.com</x:v>
      </x:c>
      <x:c r="O165"/>
      <x:c r="P165" t="str">
        <x:v>The application is not longer in used due to completion of ICT Carve out for PRefChem activity.</x:v>
      </x:c>
      <x:c r="Q165" t="str">
        <x:v>12M</x:v>
      </x:c>
      <x:c r="R165" t="str">
        <x:v>Not in Used</x:v>
      </x:c>
      <x:c r="S165"/>
      <x:c r="T165" t="str">
        <x:v>approved</x:v>
      </x:c>
      <x:c r="U165" t="str">
        <x:v>norfarhanael.shukor@petronas.com</x:v>
      </x:c>
      <x:c r="V165" t="n">
        <x:v>46115.30977400463</x:v>
      </x:c>
      <x:c r="W165" t="str">
        <x:v>Full Decommission of Product Stewardship application for all servers &amp; DNS.</x:v>
      </x:c>
      <x:c r="X165" t="str">
        <x:v>approved</x:v>
      </x:c>
      <x:c r="Y165" t="str">
        <x:v>norazmanz@petronas.com</x:v>
      </x:c>
      <x:c r="Z165" t="n">
        <x:v>46116.486716666666</x:v>
      </x:c>
      <x:c r="AA165" t="str">
        <x:v>Proceed as per plan</x:v>
      </x:c>
      <x:c r="AB165" t="str">
        <x:v>approved</x:v>
      </x:c>
      <x:c r="AC165" t="str">
        <x:v>azwan.badari@petronas.com</x:v>
      </x:c>
      <x:c r="AD165" t="n">
        <x:v>46119.37596488426</x:v>
      </x:c>
      <x:c r="AE165" t="str">
        <x:v>Decommission onpremise VM.
VPICPPDSTAP01	    10.54.225.168
VPICPPDSTAP02	10.54.225.169
VPICPPDSTAP03	10.54.225.170
VPICPPDSTDB01	10.54.226.50
VPICSPDSTAP01	    10.54.239.21
VPICSPDSTAP02	10.54.239.22
VPICSPDSTAP03	10.54.239.23
VPICSPDSTDB01	10.54.239.24</x:v>
      </x:c>
      <x:c r="AF165" t="str">
        <x:v>approved</x:v>
      </x:c>
      <x:c r="AG165" t="str">
        <x:v>azlisham.md@petronas.com</x:v>
      </x:c>
      <x:c r="AH165" t="n">
        <x:v>46125.21172387731</x:v>
      </x:c>
      <x:c r="AI165" t="str">
        <x:v>The decommission request has been completed, and the status is now updated accordingly. Kindly verify from your end and confirm once reviewed.
</x:v>
      </x:c>
      <x:c r="AJ165" t="str">
        <x:v>A-000551</x:v>
      </x:c>
      <x:c r="AK165" t="n">
        <x:v>10132</x:v>
      </x:c>
      <x:c r="AL165" t="str">
        <x:v>M</x:v>
      </x:c>
      <x:c r="AM165" t="str">
        <x:v>REQ000007975334</x:v>
      </x:c>
      <x:c r="AN165" t="str">
        <x:v>retention</x:v>
      </x:c>
      <x:c r="AO165" t="n">
        <x:v>365</x:v>
      </x:c>
      <x:c r="AP165" s="23" t="str">
        <x:f>IF(E165="processing",IF(Z165="","",IF(ISNUMBER(Z165),INT(Z165),DATE(VALUE(LEFT(Z165,4)),VALUE(MID(Z165,6,2)),VALUE(MID(Z165,9,2))))),IF(OR(E165="executing",E165="pending"),IF(AD165="","",IF(ISNUMBER(AD165),INT(AD165),DATE(VALUE(LEFT(AD165,4)),VALUE(MID(AD165,6,2)),VALUE(MID(AD165,9,2))))),""))</x:f>
      </x:c>
      <x:c r="AQ165" s="24" t="str">
        <x:f>IF(AP165="","",INT('Configuration'!$B$4)-AP165)</x:f>
      </x:c>
      <x:c r="AR165" s="25" t="str">
        <x:f>IF(AP165="","Missing Required Date",IF(AQ165&lt;0,"Future Date",IF(AQ165=0,"0 days",IF(AQ165&lt;=2,"1-2 days",IF(AQ165&lt;=7,"3-7 days",IF(AQ165&lt;=14,"8-14 days",IF(AQ165&lt;=30,"15-30 days",IF(AQ165&lt;=60,"31-60 days",IF(AQ165&lt;=70,"61-70 days","71+ days")))))))))</x:f>
        <x:v>Missing Required Date</x:v>
      </x:c>
      <x:c r="AS165" s="25" t="str">
        <x:f>IF(OR(E165="processing",E165="executing",E165="pending"),IF(AP165="","Required aging date missing",IF(AQ165&gt;30,"Escalate &gt;30d",IF(AQ165&gt;14,"Watch &gt;14d","Within 14d"))),"Out of scope")</x:f>
        <x:v>Out of scope</x:v>
      </x:c>
    </x:row>
    <x:row r="166" ht="24" customHeight="1">
      <x:c r="A166" t="str">
        <x:v>ced601a0-8712-49c0-901c-f622e399085f</x:v>
      </x:c>
      <x:c r="B166" t="str">
        <x:v>CSSP10309494</x:v>
      </x:c>
      <x:c r="C166" t="str">
        <x:v>darren.leevuiphin@petronas.com</x:v>
      </x:c>
      <x:c r="D166" t="str">
        <x:v>decommission-cloud</x:v>
      </x:c>
      <x:c r="E166" t="str">
        <x:v>completed</x:v>
      </x:c>
      <x:c r="F166" t="n">
        <x:v>46118.04706525463</x:v>
      </x:c>
      <x:c r="G166" t="n">
        <x:v>46122.09333408565</x:v>
      </x:c>
      <x:c r="H166" t="n">
        <x:v>46118.04706525463</x:v>
      </x:c>
      <x:c r="I166" t="str">
        <x:v>Offline Data Management - ODM ABF</x:v>
      </x:c>
      <x:c r="J166" t="str">
        <x:v>Cloud Migration Program - Offline Data Management (ODM) ABF</x:v>
      </x:c>
      <x:c r="K166" t="str">
        <x:v>full</x:v>
      </x:c>
      <x:c r="L166" t="str">
        <x:v>N/A</x:v>
      </x:c>
      <x:c r="M166" t="str">
        <x:v>omar.norazmi@petronas.com.my</x:v>
      </x:c>
      <x:c r="N166"/>
      <x:c r="O166"/>
      <x:c r="P166" t="str">
        <x:v>EBC has moved from ODM to APM. Contract with ODM Vendor has also ended. </x:v>
      </x:c>
      <x:c r="Q166" t="str">
        <x:v>12M</x:v>
      </x:c>
      <x:c r="R166" t="str">
        <x:v>Upgrade</x:v>
      </x:c>
      <x:c r="S166"/>
      <x:c r="T166" t="str">
        <x:v>approved</x:v>
      </x:c>
      <x:c r="U166" t="str">
        <x:v>darren.leevuiphin@petronas.com</x:v>
      </x:c>
      <x:c r="V166" t="n">
        <x:v>46118.05089490741</x:v>
      </x:c>
      <x:c r="W166" t="str">
        <x:v>Decom ODM as EBC has moved to APM</x:v>
      </x:c>
      <x:c r="X166" t="str">
        <x:v>approved</x:v>
      </x:c>
      <x:c r="Y166" t="str">
        <x:v>omar.norazmi@petronas.com</x:v>
      </x:c>
      <x:c r="Z166" t="n">
        <x:v>46118.31326065972</x:v>
      </x:c>
      <x:c r="AA166" t="str">
        <x:v>agreed to decomm application.</x:v>
      </x:c>
      <x:c r="AB166" t="str">
        <x:v>approved</x:v>
      </x:c>
      <x:c r="AC166" t="str">
        <x:v>azwan.badari@petronas.com</x:v>
      </x:c>
      <x:c r="AD166" t="n">
        <x:v>46119.26788097222</x:v>
      </x:c>
      <x:c r="AE166" t="str">
        <x:v>Decommission all resources under 00915_24 including dbODMSNew-ABF managed database in PTAZSG-IAC-PROD-SQLMI-GNE-RG</x:v>
      </x:c>
      <x:c r="AF166" t="str">
        <x:v>approved</x:v>
      </x:c>
      <x:c r="AG166" t="str">
        <x:v>azlisham.md@petronas.com</x:v>
      </x:c>
      <x:c r="AH166" t="n">
        <x:v>46122.093334108795</x:v>
      </x:c>
      <x:c r="AI166" t="str">
        <x:v>The decommission request has been completed, and the status is now updated accordingly. Kindly verify from your end and confirm once reviewed.
</x:v>
      </x:c>
      <x:c r="AJ166" t="str">
        <x:v>A-000512</x:v>
      </x:c>
      <x:c r="AK166" t="str">
        <x:v>00915_24</x:v>
      </x:c>
      <x:c r="AL166" t="str">
        <x:v>M</x:v>
      </x:c>
      <x:c r="AM166" t="str">
        <x:v>REQ000007974279</x:v>
      </x:c>
      <x:c r="AN166" t="str">
        <x:v>retention</x:v>
      </x:c>
      <x:c r="AO166" t="n">
        <x:v>365</x:v>
      </x:c>
      <x:c r="AP166" s="23" t="str">
        <x:f>IF(E166="processing",IF(Z166="","",IF(ISNUMBER(Z166),INT(Z166),DATE(VALUE(LEFT(Z166,4)),VALUE(MID(Z166,6,2)),VALUE(MID(Z166,9,2))))),IF(OR(E166="executing",E166="pending"),IF(AD166="","",IF(ISNUMBER(AD166),INT(AD166),DATE(VALUE(LEFT(AD166,4)),VALUE(MID(AD166,6,2)),VALUE(MID(AD166,9,2))))),""))</x:f>
      </x:c>
      <x:c r="AQ166" s="24" t="str">
        <x:f>IF(AP166="","",INT('Configuration'!$B$4)-AP166)</x:f>
      </x:c>
      <x:c r="AR166" s="25" t="str">
        <x:f>IF(AP166="","Missing Required Date",IF(AQ166&lt;0,"Future Date",IF(AQ166=0,"0 days",IF(AQ166&lt;=2,"1-2 days",IF(AQ166&lt;=7,"3-7 days",IF(AQ166&lt;=14,"8-14 days",IF(AQ166&lt;=30,"15-30 days",IF(AQ166&lt;=60,"31-60 days",IF(AQ166&lt;=70,"61-70 days","71+ days")))))))))</x:f>
        <x:v>Missing Required Date</x:v>
      </x:c>
      <x:c r="AS166" s="25" t="str">
        <x:f>IF(OR(E166="processing",E166="executing",E166="pending"),IF(AP166="","Required aging date missing",IF(AQ166&gt;30,"Escalate &gt;30d",IF(AQ166&gt;14,"Watch &gt;14d","Within 14d"))),"Out of scope")</x:f>
        <x:v>Out of scope</x:v>
      </x:c>
    </x:row>
    <x:row r="167" ht="24" customHeight="1">
      <x:c r="A167" t="str">
        <x:v>4b63c679-a423-4c37-8e2a-c971543863f6</x:v>
      </x:c>
      <x:c r="B167" t="str">
        <x:v>CSSP10971886</x:v>
      </x:c>
      <x:c r="C167" t="str">
        <x:v>mzurfaiezzuddin.zur@petronas.com</x:v>
      </x:c>
      <x:c r="D167" t="str">
        <x:v>decommission-cloud</x:v>
      </x:c>
      <x:c r="E167" t="str">
        <x:v>cancelled</x:v>
      </x:c>
      <x:c r="F167" t="n">
        <x:v>46118.084872025465</x:v>
      </x:c>
      <x:c r="G167" t="n">
        <x:v>46118.08506960648</x:v>
      </x:c>
      <x:c r="H167" t="n">
        <x:v>46118.084872025465</x:v>
      </x:c>
      <x:c r="I167" t="str">
        <x:v>Project Management Workbench Plus - PMW+</x:v>
      </x:c>
      <x:c r="J167" t="str">
        <x:v>PMW Plus</x:v>
      </x:c>
      <x:c r="K167" t="str">
        <x:v>partial</x:v>
      </x:c>
      <x:c r="L167"/>
      <x:c r="M167" t="str">
        <x:v>sazali.mokhtar@petronas.com</x:v>
      </x:c>
      <x:c r="N167"/>
      <x:c r="O167"/>
      <x:c r="P167" t="str">
        <x:v>Cloud Repatriation Project to Malaysia region and decommisioning recources in Singapore region.</x:v>
      </x:c>
      <x:c r="Q167" t="str">
        <x:v>2W</x:v>
      </x:c>
      <x:c r="R167" t="str">
        <x:v>Cloud Migration</x:v>
      </x:c>
      <x:c r="S167"/>
      <x:c r="T167" t="str">
        <x:v>rejected</x:v>
      </x:c>
      <x:c r="U167" t="str">
        <x:v>mzurfaiezzuddin.zur@petronas.com</x:v>
      </x:c>
      <x:c r="V167" t="n">
        <x:v>46118.08506961806</x:v>
      </x:c>
      <x:c r="W167"/>
      <x:c r="X167"/>
      <x:c r="Y167" t="str">
        <x:v>sazali.mokhtar@petronas.com</x:v>
      </x:c>
      <x:c r="Z167"/>
      <x:c r="AA167"/>
      <x:c r="AB167"/>
      <x:c r="AC167" t="str">
        <x:v>CCoE Business</x:v>
      </x:c>
      <x:c r="AD167"/>
      <x:c r="AE167"/>
      <x:c r="AF167"/>
      <x:c r="AG167" t="str">
        <x:v>CCoE Operations</x:v>
      </x:c>
      <x:c r="AH167"/>
      <x:c r="AI167"/>
      <x:c r="AJ167" t="str">
        <x:v>A-000635</x:v>
      </x:c>
      <x:c r="AK167" t="n">
        <x:v>3563</x:v>
      </x:c>
      <x:c r="AL167"/>
      <x:c r="AM167"/>
      <x:c r="AN167" t="str">
        <x:v>noretention</x:v>
      </x:c>
      <x:c r="AO167" t="n">
        <x:v>0</x:v>
      </x:c>
      <x:c r="AP167" s="23" t="str">
        <x:f>IF(E167="processing",IF(Z167="","",IF(ISNUMBER(Z167),INT(Z167),DATE(VALUE(LEFT(Z167,4)),VALUE(MID(Z167,6,2)),VALUE(MID(Z167,9,2))))),IF(OR(E167="executing",E167="pending"),IF(AD167="","",IF(ISNUMBER(AD167),INT(AD167),DATE(VALUE(LEFT(AD167,4)),VALUE(MID(AD167,6,2)),VALUE(MID(AD167,9,2))))),""))</x:f>
      </x:c>
      <x:c r="AQ167" s="24" t="str">
        <x:f>IF(AP167="","",INT('Configuration'!$B$4)-AP167)</x:f>
      </x:c>
      <x:c r="AR167" s="25" t="str">
        <x:f>IF(AP167="","Missing Required Date",IF(AQ167&lt;0,"Future Date",IF(AQ167=0,"0 days",IF(AQ167&lt;=2,"1-2 days",IF(AQ167&lt;=7,"3-7 days",IF(AQ167&lt;=14,"8-14 days",IF(AQ167&lt;=30,"15-30 days",IF(AQ167&lt;=60,"31-60 days",IF(AQ167&lt;=70,"61-70 days","71+ days")))))))))</x:f>
        <x:v>Missing Required Date</x:v>
      </x:c>
      <x:c r="AS167" s="25" t="str">
        <x:f>IF(OR(E167="processing",E167="executing",E167="pending"),IF(AP167="","Required aging date missing",IF(AQ167&gt;30,"Escalate &gt;30d",IF(AQ167&gt;14,"Watch &gt;14d","Within 14d"))),"Out of scope")</x:f>
        <x:v>Out of scope</x:v>
      </x:c>
    </x:row>
    <x:row r="168" ht="24" customHeight="1">
      <x:c r="A168" t="str">
        <x:v>e25a200b-3586-4f3e-821b-072cefa4a9b0</x:v>
      </x:c>
      <x:c r="B168" t="str">
        <x:v>CSSP10112184</x:v>
      </x:c>
      <x:c r="C168" t="str">
        <x:v>mzurfaiezzuddin.zur@petronas.com</x:v>
      </x:c>
      <x:c r="D168" t="str">
        <x:v>decommission-cloud</x:v>
      </x:c>
      <x:c r="E168" t="str">
        <x:v>completed</x:v>
      </x:c>
      <x:c r="F168" t="n">
        <x:v>46118.0862278125</x:v>
      </x:c>
      <x:c r="G168" t="n">
        <x:v>46199.31525619213</x:v>
      </x:c>
      <x:c r="H168" t="n">
        <x:v>46118.0862278125</x:v>
      </x:c>
      <x:c r="I168" t="str">
        <x:v>Project Management Workbench Plus - PMW+</x:v>
      </x:c>
      <x:c r="J168" t="str">
        <x:v>PMW Plus</x:v>
      </x:c>
      <x:c r="K168" t="str">
        <x:v>partial</x:v>
      </x:c>
      <x:c r="L168"/>
      <x:c r="M168" t="str">
        <x:v>sazali.mokhtar@petronas.com</x:v>
      </x:c>
      <x:c r="N168"/>
      <x:c r="O168"/>
      <x:c r="P168" t="str">
        <x:v>Cloud Repatriation Project to Malaysia region and decommisioning recources in Singapore region.</x:v>
      </x:c>
      <x:c r="Q168" t="str">
        <x:v>2W</x:v>
      </x:c>
      <x:c r="R168" t="str">
        <x:v>Cloud Migration</x:v>
      </x:c>
      <x:c r="S168"/>
      <x:c r="T168" t="str">
        <x:v>approved</x:v>
      </x:c>
      <x:c r="U168" t="str">
        <x:v>mzurfaiezzuddin.zur@petronas.com</x:v>
      </x:c>
      <x:c r="V168" t="n">
        <x:v>46118.087092407404</x:v>
      </x:c>
      <x:c r="W168" t="str">
        <x:v>Cloud Repatriation Project to Malaysia region and decommisioning recources in Singapore region.</x:v>
      </x:c>
      <x:c r="X168" t="str">
        <x:v>approved</x:v>
      </x:c>
      <x:c r="Y168" t="str">
        <x:v>sazali.mokhtar@petronas.com</x:v>
      </x:c>
      <x:c r="Z168" t="n">
        <x:v>46184.07373416667</x:v>
      </x:c>
      <x:c r="AA168" t="str">
        <x:v>Cloud Repatriation Project to Malaysia region and decommisioning recources in Singapore region.</x:v>
      </x:c>
      <x:c r="AB168" t="str">
        <x:v>approved</x:v>
      </x:c>
      <x:c r="AC168" t="str">
        <x:v>azwan.badari@petronas.com</x:v>
      </x:c>
      <x:c r="AD168" t="n">
        <x:v>46184.096266215274</x:v>
      </x:c>
      <x:c r="AE168" t="str">
        <x:v>To decommission 03563 - PMW Plus resources in SG</x:v>
      </x:c>
      <x:c r="AF168" t="str">
        <x:v>approved</x:v>
      </x:c>
      <x:c r="AG168" t="str">
        <x:v>azwan.badari@petronas.com</x:v>
      </x:c>
      <x:c r="AH168" t="n">
        <x:v>46199.31525620371</x:v>
      </x:c>
      <x:c r="AI168" t="str">
        <x:v>Completed</x:v>
      </x:c>
      <x:c r="AJ168" t="str">
        <x:v>A-000635</x:v>
      </x:c>
      <x:c r="AK168" t="n">
        <x:v>3563</x:v>
      </x:c>
      <x:c r="AL168" t="str">
        <x:v>M</x:v>
      </x:c>
      <x:c r="AM168" t="str">
        <x:v>REQ000008094193</x:v>
      </x:c>
      <x:c r="AN168" t="str">
        <x:v>noretention</x:v>
      </x:c>
      <x:c r="AO168" t="n">
        <x:v>0</x:v>
      </x:c>
      <x:c r="AP168" s="23" t="str">
        <x:f>IF(E168="processing",IF(Z168="","",IF(ISNUMBER(Z168),INT(Z168),DATE(VALUE(LEFT(Z168,4)),VALUE(MID(Z168,6,2)),VALUE(MID(Z168,9,2))))),IF(OR(E168="executing",E168="pending"),IF(AD168="","",IF(ISNUMBER(AD168),INT(AD168),DATE(VALUE(LEFT(AD168,4)),VALUE(MID(AD168,6,2)),VALUE(MID(AD168,9,2))))),""))</x:f>
      </x:c>
      <x:c r="AQ168" s="24" t="str">
        <x:f>IF(AP168="","",INT('Configuration'!$B$4)-AP168)</x:f>
      </x:c>
      <x:c r="AR168" s="25" t="str">
        <x:f>IF(AP168="","Missing Required Date",IF(AQ168&lt;0,"Future Date",IF(AQ168=0,"0 days",IF(AQ168&lt;=2,"1-2 days",IF(AQ168&lt;=7,"3-7 days",IF(AQ168&lt;=14,"8-14 days",IF(AQ168&lt;=30,"15-30 days",IF(AQ168&lt;=60,"31-60 days",IF(AQ168&lt;=70,"61-70 days","71+ days")))))))))</x:f>
        <x:v>Missing Required Date</x:v>
      </x:c>
      <x:c r="AS168" s="25" t="str">
        <x:f>IF(OR(E168="processing",E168="executing",E168="pending"),IF(AP168="","Required aging date missing",IF(AQ168&gt;30,"Escalate &gt;30d",IF(AQ168&gt;14,"Watch &gt;14d","Within 14d"))),"Out of scope")</x:f>
        <x:v>Out of scope</x:v>
      </x:c>
    </x:row>
    <x:row r="169" ht="24" customHeight="1">
      <x:c r="A169" t="str">
        <x:v>c43d4db7-baf9-421f-b6ea-895f86cff998</x:v>
      </x:c>
      <x:c r="B169" t="str">
        <x:v>CSSP10436840</x:v>
      </x:c>
      <x:c r="C169" t="str">
        <x:v>cus.ng@petronas.com</x:v>
      </x:c>
      <x:c r="D169" t="str">
        <x:v>decommission-cloud</x:v>
      </x:c>
      <x:c r="E169" t="str">
        <x:v>completed</x:v>
      </x:c>
      <x:c r="F169" t="n">
        <x:v>46119.31901806713</x:v>
      </x:c>
      <x:c r="G169" t="n">
        <x:v>46124.433784340275</x:v>
      </x:c>
      <x:c r="H169" t="n">
        <x:v>46119.31901806713</x:v>
      </x:c>
      <x:c r="I169" t="str">
        <x:v>Static Equipment Analytic Library - SEAL</x:v>
      </x:c>
      <x:c r="J169" t="str">
        <x:v>Static Equipment Analytic Library (SEAL) as Upstream Static Equipment Advanced Analytical Tools for Upstream COE</x:v>
      </x:c>
      <x:c r="K169" t="str">
        <x:v>partial</x:v>
      </x:c>
      <x:c r="L169"/>
      <x:c r="M169" t="str">
        <x:v>ghimyee.tang@petronas.com.my</x:v>
      </x:c>
      <x:c r="N169" t="str">
        <x:v>sealmrsstaging.petronas.com:443</x:v>
      </x:c>
      <x:c r="O169"/>
      <x:c r="P169" t="str">
        <x:v>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x:v>
      </x:c>
      <x:c r="Q169" t="str">
        <x:v>2W</x:v>
      </x:c>
      <x:c r="R169" t="str">
        <x:v>Cyber Security Issue</x:v>
      </x:c>
      <x:c r="S169"/>
      <x:c r="T169" t="str">
        <x:v>approved</x:v>
      </x:c>
      <x:c r="U169" t="str">
        <x:v>cus.ng@petronas.com</x:v>
      </x:c>
      <x:c r="V169" t="n">
        <x:v>46119.31977065972</x:v>
      </x:c>
      <x:c r="W169" t="str">
        <x:v>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x:v>
      </x:c>
      <x:c r="X169" t="str">
        <x:v>approved</x:v>
      </x:c>
      <x:c r="Y169" t="str">
        <x:v>ghimyee.tang@petronas.com</x:v>
      </x:c>
      <x:c r="Z169" t="n">
        <x:v>46120.26929030092</x:v>
      </x:c>
      <x:c r="AA169" t="str">
        <x:v>Approve to decommission the unused old URL due to severe SSL vulnerability findings from CD Vulnerability.</x:v>
      </x:c>
      <x:c r="AB169" t="str">
        <x:v>approved</x:v>
      </x:c>
      <x:c r="AC169" t="str">
        <x:v>azwan.badari@petronas.com</x:v>
      </x:c>
      <x:c r="AD169" t="n">
        <x:v>46121.260527094906</x:v>
      </x:c>
      <x:c r="AE169" t="str">
        <x:v>Decommission DNS sealmrsstaging.petronas.com</x:v>
      </x:c>
      <x:c r="AF169" t="str">
        <x:v>approved</x:v>
      </x:c>
      <x:c r="AG169" t="str">
        <x:v>azwan.badari@petronas.com</x:v>
      </x:c>
      <x:c r="AH169" t="n">
        <x:v>46124.433784340275</x:v>
      </x:c>
      <x:c r="AI169" t="str">
        <x:v>Completed</x:v>
      </x:c>
      <x:c r="AJ169" t="str">
        <x:v>A-000755</x:v>
      </x:c>
      <x:c r="AK169" t="n">
        <x:v>2173</x:v>
      </x:c>
      <x:c r="AL169" t="str">
        <x:v>M</x:v>
      </x:c>
      <x:c r="AM169" t="str">
        <x:v>REQ000007979550</x:v>
      </x:c>
      <x:c r="AN169" t="str">
        <x:v>retention</x:v>
      </x:c>
      <x:c r="AO169" t="n">
        <x:v>14</x:v>
      </x:c>
      <x:c r="AP169" s="23" t="str">
        <x:f>IF(E169="processing",IF(Z169="","",IF(ISNUMBER(Z169),INT(Z169),DATE(VALUE(LEFT(Z169,4)),VALUE(MID(Z169,6,2)),VALUE(MID(Z169,9,2))))),IF(OR(E169="executing",E169="pending"),IF(AD169="","",IF(ISNUMBER(AD169),INT(AD169),DATE(VALUE(LEFT(AD169,4)),VALUE(MID(AD169,6,2)),VALUE(MID(AD169,9,2))))),""))</x:f>
      </x:c>
      <x:c r="AQ169" s="24" t="str">
        <x:f>IF(AP169="","",INT('Configuration'!$B$4)-AP169)</x:f>
      </x:c>
      <x:c r="AR169" s="25" t="str">
        <x:f>IF(AP169="","Missing Required Date",IF(AQ169&lt;0,"Future Date",IF(AQ169=0,"0 days",IF(AQ169&lt;=2,"1-2 days",IF(AQ169&lt;=7,"3-7 days",IF(AQ169&lt;=14,"8-14 days",IF(AQ169&lt;=30,"15-30 days",IF(AQ169&lt;=60,"31-60 days",IF(AQ169&lt;=70,"61-70 days","71+ days")))))))))</x:f>
        <x:v>Missing Required Date</x:v>
      </x:c>
      <x:c r="AS169" s="25" t="str">
        <x:f>IF(OR(E169="processing",E169="executing",E169="pending"),IF(AP169="","Required aging date missing",IF(AQ169&gt;30,"Escalate &gt;30d",IF(AQ169&gt;14,"Watch &gt;14d","Within 14d"))),"Out of scope")</x:f>
        <x:v>Out of scope</x:v>
      </x:c>
    </x:row>
    <x:row r="170" ht="24" customHeight="1">
      <x:c r="A170" t="str">
        <x:v>3ede6421-8a4f-43ae-b12d-60c561181223</x:v>
      </x:c>
      <x:c r="B170" t="str">
        <x:v>CSSP10433701</x:v>
      </x:c>
      <x:c r="C170" t="str">
        <x:v>selwyn.limtzeyong@petronas.com</x:v>
      </x:c>
      <x:c r="D170" t="str">
        <x:v>decommission-cloud</x:v>
      </x:c>
      <x:c r="E170" t="str">
        <x:v>completed</x:v>
      </x:c>
      <x:c r="F170" t="n">
        <x:v>46119.36506984954</x:v>
      </x:c>
      <x:c r="G170" t="n">
        <x:v>46134.313210775465</x:v>
      </x:c>
      <x:c r="H170" t="n">
        <x:v>46120.27579190972</x:v>
      </x:c>
      <x:c r="I170" t="str">
        <x:v>NextGEN</x:v>
      </x:c>
      <x:c r="J170" t="str">
        <x:v>Deployment of NextGEN Geoscience &amp; Geology Data Discovery Platform for Upstream Exploration</x:v>
      </x:c>
      <x:c r="K170" t="str">
        <x:v>full</x:v>
      </x:c>
      <x:c r="L170" t="str">
        <x:v>DCOM20260408fe6</x:v>
      </x:c>
      <x:c r="M170" t="str">
        <x:v>hoongkum.chan@petronas.com</x:v>
      </x:c>
      <x:c r="N170" t="str">
        <x:v>seek.petronas.com, seek-stg.petronas.com</x:v>
      </x:c>
      <x:c r="O170"/>
      <x:c r="P170" t="str">
        <x:v>ePBE(SEEK) and NextGen(EDIS) both share the same Resource Group and cloud infra. Upstream Exploration has decided to decom both applications due to reasons below:-
1) NextGen(EDIS) is no longer in used due to Neo4j component being decommissioned previously. Neo4j contract has expired.
2) ePBE(SEEK) will be succeeded by TriCipta's version of SEEK AI which is still in development.
Please refer to attached email confirmation from Business.</x:v>
      </x:c>
      <x:c r="Q170" t="str">
        <x:v>6M</x:v>
      </x:c>
      <x:c r="R170" t="str">
        <x:v>Not in Used</x:v>
      </x:c>
      <x:c r="S170"/>
      <x:c r="T170" t="str">
        <x:v>approved</x:v>
      </x:c>
      <x:c r="U170" t="str">
        <x:v>selwyn.limtzeyong@petronas.com</x:v>
      </x:c>
      <x:c r="V170" t="n">
        <x:v>46120.35056042824</x:v>
      </x:c>
      <x:c r="W170" t="str">
        <x:v>To fully decom the applications residing in the Resource Groups below. Both application NextGen (EDIS) and ePBE (SEEK) leverage on the same cloud infra in the same Resource Group. Both applications need to be decom. Please refer to attached email approval from Business.
DEV:
1) PTAZSG-IAC-DEV-NXGEO-RG
2) PTAZSG-DEV-NXGEO-RG
UAT:
1) PTAZSG-IAC-UAT-NXGEO-JAI-RG
2) PTAZSG-UAT-NXGEO-RG
PROD:
1) PTAZSG-IAC-PROD-NXGEO-JAI-RG
2) PTAZSG-PROD-NXGEO-RG</x:v>
      </x:c>
      <x:c r="X170" t="str">
        <x:v>approved</x:v>
      </x:c>
      <x:c r="Y170" t="str">
        <x:v>hoongkum.chan@petronas.com</x:v>
      </x:c>
      <x:c r="Z170" t="n">
        <x:v>46120.37595983796</x:v>
      </x:c>
      <x:c r="AA170" t="str">
        <x:v>Business has informed and agreed to initiate the decomm. </x:v>
      </x:c>
      <x:c r="AB170" t="str">
        <x:v>approved</x:v>
      </x:c>
      <x:c r="AC170" t="str">
        <x:v>azwan.badari@petronas.com</x:v>
      </x:c>
      <x:c r="AD170" t="n">
        <x:v>46121.255672893516</x:v>
      </x:c>
      <x:c r="AE170" t="str">
        <x:v>Decommission all resources for NXGEO 03674.
DEV:
1) PTAZSG-IAC-DEV-NXGEO-RG
2) PTAZSG-DEV-NXGEO-RG
UAT:
1) PTAZSG-IAC-UAT-NXGEO-JAI-RG
2) PTAZSG-UAT-NXGEO-RG
PROD:
1) PTAZSG-IAC-PROD-NXGEO-JAI-RG
2) PTAZSG-PROD-NXGEO-RG</x:v>
      </x:c>
      <x:c r="AF170" t="str">
        <x:v>approved</x:v>
      </x:c>
      <x:c r="AG170" t="str">
        <x:v>azlisham.md@petronas.com</x:v>
      </x:c>
      <x:c r="AH170" t="n">
        <x:v>46134.313210775465</x:v>
      </x:c>
      <x:c r="AI170" t="str">
        <x:v>The decommission request has been completed, and the status is now updated accordingly. Kindly verify from your end and confirm once reviewed.
</x:v>
      </x:c>
      <x:c r="AJ170" t="str">
        <x:v>A-000503</x:v>
      </x:c>
      <x:c r="AK170" t="n">
        <x:v>3674</x:v>
      </x:c>
      <x:c r="AL170" t="str">
        <x:v>L</x:v>
      </x:c>
      <x:c r="AM170" t="str">
        <x:v>REQ000007978914</x:v>
      </x:c>
      <x:c r="AN170" t="str">
        <x:v>retention</x:v>
      </x:c>
      <x:c r="AO170" t="n">
        <x:v>180</x:v>
      </x:c>
      <x:c r="AP170" s="23" t="str">
        <x:f>IF(E170="processing",IF(Z170="","",IF(ISNUMBER(Z170),INT(Z170),DATE(VALUE(LEFT(Z170,4)),VALUE(MID(Z170,6,2)),VALUE(MID(Z170,9,2))))),IF(OR(E170="executing",E170="pending"),IF(AD170="","",IF(ISNUMBER(AD170),INT(AD170),DATE(VALUE(LEFT(AD170,4)),VALUE(MID(AD170,6,2)),VALUE(MID(AD170,9,2))))),""))</x:f>
      </x:c>
      <x:c r="AQ170" s="24" t="str">
        <x:f>IF(AP170="","",INT('Configuration'!$B$4)-AP170)</x:f>
      </x:c>
      <x:c r="AR170" s="25" t="str">
        <x:f>IF(AP170="","Missing Required Date",IF(AQ170&lt;0,"Future Date",IF(AQ170=0,"0 days",IF(AQ170&lt;=2,"1-2 days",IF(AQ170&lt;=7,"3-7 days",IF(AQ170&lt;=14,"8-14 days",IF(AQ170&lt;=30,"15-30 days",IF(AQ170&lt;=60,"31-60 days",IF(AQ170&lt;=70,"61-70 days","71+ days")))))))))</x:f>
        <x:v>Missing Required Date</x:v>
      </x:c>
      <x:c r="AS170" s="25" t="str">
        <x:f>IF(OR(E170="processing",E170="executing",E170="pending"),IF(AP170="","Required aging date missing",IF(AQ170&gt;30,"Escalate &gt;30d",IF(AQ170&gt;14,"Watch &gt;14d","Within 14d"))),"Out of scope")</x:f>
        <x:v>Out of scope</x:v>
      </x:c>
    </x:row>
    <x:row r="171" ht="24" customHeight="1">
      <x:c r="A171" t="str">
        <x:v>cc80b4f4-d46a-45a2-819b-fd967d2344b7</x:v>
      </x:c>
      <x:c r="B171" t="str">
        <x:v>CSSP10575380</x:v>
      </x:c>
      <x:c r="C171" t="str">
        <x:v>hadrie.hariffadila@petronas.com</x:v>
      </x:c>
      <x:c r="D171" t="str">
        <x:v>decommission-cloud</x:v>
      </x:c>
      <x:c r="E171" t="str">
        <x:v>completed</x:v>
      </x:c>
      <x:c r="F171" t="n">
        <x:v>46120.12451217593</x:v>
      </x:c>
      <x:c r="G171" t="n">
        <x:v>46121.17389239583</x:v>
      </x:c>
      <x:c r="H171" t="n">
        <x:v>46120.12451217593</x:v>
      </x:c>
      <x:c r="I171" t="str">
        <x:v>Model Catalogue - MC</x:v>
      </x:c>
      <x:c r="J171" t="str">
        <x:v>Implementation of Upstream Model Integration Solution for Upstream Technology, Digital Innovation</x:v>
      </x:c>
      <x:c r="K171" t="str">
        <x:v>partial</x:v>
      </x:c>
      <x:c r="L171"/>
      <x:c r="M171" t="str">
        <x:v>norzahilah.matdau@petronas.com.my</x:v>
      </x:c>
      <x:c r="N171"/>
      <x:c r="O171"/>
      <x:c r="P171" t="str">
        <x:v>No longer in use. </x:v>
      </x:c>
      <x:c r="Q171" t="str">
        <x:v>2W</x:v>
      </x:c>
      <x:c r="R171" t="str">
        <x:v>Not in Used</x:v>
      </x:c>
      <x:c r="S171"/>
      <x:c r="T171" t="str">
        <x:v>approved</x:v>
      </x:c>
      <x:c r="U171" t="str">
        <x:v>hadrie.hariffadila@petronas.com</x:v>
      </x:c>
      <x:c r="V171" t="n">
        <x:v>46120.1273041088</x:v>
      </x:c>
      <x:c r="W171" t="str">
        <x:v>To decommission ptsg1utdistr02 since it was replaced with ptsg1utdistr03</x:v>
      </x:c>
      <x:c r="X171" t="str">
        <x:v>approved</x:v>
      </x:c>
      <x:c r="Y171" t="str">
        <x:v>norzahilah.matdau@petronas.com</x:v>
      </x:c>
      <x:c r="Z171" t="n">
        <x:v>46120.27249319445</x:v>
      </x:c>
      <x:c r="AA171" t="str">
        <x:v>to decom as this server is no longer in use for the MC integration work.</x:v>
      </x:c>
      <x:c r="AB171" t="str">
        <x:v>approved</x:v>
      </x:c>
      <x:c r="AC171" t="str">
        <x:v>azwan.badari@petronas.com</x:v>
      </x:c>
      <x:c r="AD171" t="n">
        <x:v>46121.077047673614</x:v>
      </x:c>
      <x:c r="AE171" t="str">
        <x:v>Decommission storage ptsg1utdistr02 only</x:v>
      </x:c>
      <x:c r="AF171" t="str">
        <x:v>approved</x:v>
      </x:c>
      <x:c r="AG171" t="str">
        <x:v>azlisham.md@petronas.com</x:v>
      </x:c>
      <x:c r="AH171" t="n">
        <x:v>46121.17389240741</x:v>
      </x:c>
      <x:c r="AI171" t="str">
        <x:v>The decommission request has been completed, and the status is now updated accordingly. Kindly verify from your end and confirm once reviewed.
</x:v>
      </x:c>
      <x:c r="AJ171" t="str">
        <x:v>A-000456</x:v>
      </x:c>
      <x:c r="AK171" t="n">
        <x:v>3746</x:v>
      </x:c>
      <x:c r="AL171" t="str">
        <x:v>S</x:v>
      </x:c>
      <x:c r="AM171" t="str">
        <x:v>REQ000007978856</x:v>
      </x:c>
      <x:c r="AN171" t="str">
        <x:v>noretention</x:v>
      </x:c>
      <x:c r="AO171" t="n">
        <x:v>0</x:v>
      </x:c>
      <x:c r="AP171" s="23" t="str">
        <x:f>IF(E171="processing",IF(Z171="","",IF(ISNUMBER(Z171),INT(Z171),DATE(VALUE(LEFT(Z171,4)),VALUE(MID(Z171,6,2)),VALUE(MID(Z171,9,2))))),IF(OR(E171="executing",E171="pending"),IF(AD171="","",IF(ISNUMBER(AD171),INT(AD171),DATE(VALUE(LEFT(AD171,4)),VALUE(MID(AD171,6,2)),VALUE(MID(AD171,9,2))))),""))</x:f>
      </x:c>
      <x:c r="AQ171" s="24" t="str">
        <x:f>IF(AP171="","",INT('Configuration'!$B$4)-AP171)</x:f>
      </x:c>
      <x:c r="AR171" s="25" t="str">
        <x:f>IF(AP171="","Missing Required Date",IF(AQ171&lt;0,"Future Date",IF(AQ171=0,"0 days",IF(AQ171&lt;=2,"1-2 days",IF(AQ171&lt;=7,"3-7 days",IF(AQ171&lt;=14,"8-14 days",IF(AQ171&lt;=30,"15-30 days",IF(AQ171&lt;=60,"31-60 days",IF(AQ171&lt;=70,"61-70 days","71+ days")))))))))</x:f>
        <x:v>Missing Required Date</x:v>
      </x:c>
      <x:c r="AS171" s="25" t="str">
        <x:f>IF(OR(E171="processing",E171="executing",E171="pending"),IF(AP171="","Required aging date missing",IF(AQ171&gt;30,"Escalate &gt;30d",IF(AQ171&gt;14,"Watch &gt;14d","Within 14d"))),"Out of scope")</x:f>
        <x:v>Out of scope</x:v>
      </x:c>
    </x:row>
    <x:row r="172" ht="24" customHeight="1">
      <x:c r="A172" t="str">
        <x:v>ce1f2e1c-7f1d-4f47-baef-74f9bcee1af8</x:v>
      </x:c>
      <x:c r="B172" t="str">
        <x:v>CSSP10958726</x:v>
      </x:c>
      <x:c r="C172" t="str">
        <x:v>nuralia.anuar@petronas.com</x:v>
      </x:c>
      <x:c r="D172" t="str">
        <x:v>decommission-cloud</x:v>
      </x:c>
      <x:c r="E172" t="str">
        <x:v>completed</x:v>
      </x:c>
      <x:c r="F172" t="n">
        <x:v>46122.316942060184</x:v>
      </x:c>
      <x:c r="G172" t="n">
        <x:v>46132.00035971065</x:v>
      </x:c>
      <x:c r="H172" t="n">
        <x:v>46122.316942060184</x:v>
      </x:c>
      <x:c r="I172" t="str">
        <x:v>Data Science Advanced Analytics</x:v>
      </x:c>
      <x:c r="J172" t="str">
        <x:v>Provisioning Dedicated Advanced Analytics subscription (Terraform-enabled Azure Cloud Infrastructure) for Data Science Department</x:v>
      </x:c>
      <x:c r="K172" t="str">
        <x:v>partial</x:v>
      </x:c>
      <x:c r="L172"/>
      <x:c r="M172" t="str">
        <x:v>ng.kokkwan@petronas.com.my</x:v>
      </x:c>
      <x:c r="N172"/>
      <x:c r="O172"/>
      <x:c r="P172" t="str">
        <x:v>We were previously using an outdated Ubuntu OS (18.04). We have since migrated to an updated OS on a new VM, and the old VM is no longer required.</x:v>
      </x:c>
      <x:c r="Q172" t="str">
        <x:v>1M</x:v>
      </x:c>
      <x:c r="R172" t="str">
        <x:v>Not in Used</x:v>
      </x:c>
      <x:c r="S172"/>
      <x:c r="T172" t="str">
        <x:v>approved</x:v>
      </x:c>
      <x:c r="U172" t="str">
        <x:v>nuralia.anuar@petronas.com</x:v>
      </x:c>
      <x:c r="V172" t="n">
        <x:v>46122.32457314815</x:v>
      </x:c>
      <x:c r="W172" t="str">
        <x:v>Decommissioning PTSG-1GUROBIap01 and all disks attached to it. The new VM replacing this is PTSG-1GUROBIap02. The application connected to the new VM has been running smoothly for a month and it is safe to decommission the old VM
 </x:v>
      </x:c>
      <x:c r="X172" t="str">
        <x:v>approved</x:v>
      </x:c>
      <x:c r="Y172" t="str">
        <x:v>ng.kokkwan@petronas.com</x:v>
      </x:c>
      <x:c r="Z172" t="n">
        <x:v>46126.3830671875</x:v>
      </x:c>
      <x:c r="AA172" t="str">
        <x:v>To decomm unused VM due to migration completed</x:v>
      </x:c>
      <x:c r="AB172" t="str">
        <x:v>approved</x:v>
      </x:c>
      <x:c r="AC172" t="str">
        <x:v>azwan.badari@petronas.com</x:v>
      </x:c>
      <x:c r="AD172" t="n">
        <x:v>46127.08788049768</x:v>
      </x:c>
      <x:c r="AE172" t="str">
        <x:v>Decommission PTSG-1GUROBIap01 (172.25.164.5) in PTAZSG-IAC-DAA-PROD-GUROBI-RG</x:v>
      </x:c>
      <x:c r="AF172" t="str">
        <x:v>approved</x:v>
      </x:c>
      <x:c r="AG172" t="str">
        <x:v>azwan.badari@petronas.com</x:v>
      </x:c>
      <x:c r="AH172" t="n">
        <x:v>46132.00035971065</x:v>
      </x:c>
      <x:c r="AI172" t="str">
        <x:v>Completed</x:v>
      </x:c>
      <x:c r="AJ172" t="str">
        <x:v>A-000239</x:v>
      </x:c>
      <x:c r="AK172" t="n">
        <x:v>2902</x:v>
      </x:c>
      <x:c r="AL172" t="str">
        <x:v>S</x:v>
      </x:c>
      <x:c r="AM172" t="str">
        <x:v>REQ000007989983</x:v>
      </x:c>
      <x:c r="AN172" t="str">
        <x:v>retention</x:v>
      </x:c>
      <x:c r="AO172" t="n">
        <x:v>14</x:v>
      </x:c>
      <x:c r="AP172" s="23" t="str">
        <x:f>IF(E172="processing",IF(Z172="","",IF(ISNUMBER(Z172),INT(Z172),DATE(VALUE(LEFT(Z172,4)),VALUE(MID(Z172,6,2)),VALUE(MID(Z172,9,2))))),IF(OR(E172="executing",E172="pending"),IF(AD172="","",IF(ISNUMBER(AD172),INT(AD172),DATE(VALUE(LEFT(AD172,4)),VALUE(MID(AD172,6,2)),VALUE(MID(AD172,9,2))))),""))</x:f>
      </x:c>
      <x:c r="AQ172" s="24" t="str">
        <x:f>IF(AP172="","",INT('Configuration'!$B$4)-AP172)</x:f>
      </x:c>
      <x:c r="AR172" s="25" t="str">
        <x:f>IF(AP172="","Missing Required Date",IF(AQ172&lt;0,"Future Date",IF(AQ172=0,"0 days",IF(AQ172&lt;=2,"1-2 days",IF(AQ172&lt;=7,"3-7 days",IF(AQ172&lt;=14,"8-14 days",IF(AQ172&lt;=30,"15-30 days",IF(AQ172&lt;=60,"31-60 days",IF(AQ172&lt;=70,"61-70 days","71+ days")))))))))</x:f>
        <x:v>Missing Required Date</x:v>
      </x:c>
      <x:c r="AS172" s="25" t="str">
        <x:f>IF(OR(E172="processing",E172="executing",E172="pending"),IF(AP172="","Required aging date missing",IF(AQ172&gt;30,"Escalate &gt;30d",IF(AQ172&gt;14,"Watch &gt;14d","Within 14d"))),"Out of scope")</x:f>
        <x:v>Out of scope</x:v>
      </x:c>
    </x:row>
    <x:row r="173" ht="24" customHeight="1">
      <x:c r="A173" t="str">
        <x:v>571e976b-f777-456a-8434-dc76bcb18ee5</x:v>
      </x:c>
      <x:c r="B173" t="str">
        <x:v>CSSP10746801</x:v>
      </x:c>
      <x:c r="C173" t="str">
        <x:v>azeerahanim.akash@petronas.com</x:v>
      </x:c>
      <x:c r="D173" t="str">
        <x:v>decommission-cloud</x:v>
      </x:c>
      <x:c r="E173" t="str">
        <x:v>cancelled</x:v>
      </x:c>
      <x:c r="F173" t="n">
        <x:v>46122.33547861111</x:v>
      </x:c>
      <x:c r="G173" t="n">
        <x:v>46122.339215127315</x:v>
      </x:c>
      <x:c r="H173" t="n">
        <x:v>46122.33547861111</x:v>
      </x:c>
      <x:c r="I173" t="str">
        <x:v>Enterprise Data Hub - EDH</x:v>
      </x:c>
      <x:c r="J173" t="str">
        <x:v>PETRONAS Enterprise Data Hub</x:v>
      </x:c>
      <x:c r="K173" t="str">
        <x:v>partial</x:v>
      </x:c>
      <x:c r="L173"/>
      <x:c r="M173" t="str">
        <x:v>sahril</x:v>
      </x:c>
      <x:c r="N173"/>
      <x:c r="O173"/>
      <x:c r="P173" t="str">
        <x:v>To decommission virtual machine PTSG-5TLDDQTJS01 due to not in used</x:v>
      </x:c>
      <x:c r="Q173" t="str">
        <x:v>3M</x:v>
      </x:c>
      <x:c r="R173" t="str">
        <x:v>Not in Used</x:v>
      </x:c>
      <x:c r="S173"/>
      <x:c r="T173" t="str">
        <x:v>rejected</x:v>
      </x:c>
      <x:c r="U173" t="str">
        <x:v>azeerahanim.akash@petronas.com</x:v>
      </x:c>
      <x:c r="V173" t="n">
        <x:v>46122.33921513889</x:v>
      </x:c>
      <x:c r="W173"/>
      <x:c r="X173"/>
      <x:c r="Y173" t="str">
        <x:v>sahril</x:v>
      </x:c>
      <x:c r="Z173"/>
      <x:c r="AA173"/>
      <x:c r="AB173"/>
      <x:c r="AC173" t="str">
        <x:v>CCoE Business</x:v>
      </x:c>
      <x:c r="AD173"/>
      <x:c r="AE173"/>
      <x:c r="AF173"/>
      <x:c r="AG173" t="str">
        <x:v>CCoE Operations</x:v>
      </x:c>
      <x:c r="AH173"/>
      <x:c r="AI173"/>
      <x:c r="AJ173" t="str">
        <x:v>A-000262</x:v>
      </x:c>
      <x:c r="AK173" t="n">
        <x:v>1116</x:v>
      </x:c>
      <x:c r="AL173"/>
      <x:c r="AM173"/>
      <x:c r="AN173" t="str">
        <x:v>noretention</x:v>
      </x:c>
      <x:c r="AO173" t="n">
        <x:v>0</x:v>
      </x:c>
      <x:c r="AP173" s="23" t="str">
        <x:f>IF(E173="processing",IF(Z173="","",IF(ISNUMBER(Z173),INT(Z173),DATE(VALUE(LEFT(Z173,4)),VALUE(MID(Z173,6,2)),VALUE(MID(Z173,9,2))))),IF(OR(E173="executing",E173="pending"),IF(AD173="","",IF(ISNUMBER(AD173),INT(AD173),DATE(VALUE(LEFT(AD173,4)),VALUE(MID(AD173,6,2)),VALUE(MID(AD173,9,2))))),""))</x:f>
      </x:c>
      <x:c r="AQ173" s="24" t="str">
        <x:f>IF(AP173="","",INT('Configuration'!$B$4)-AP173)</x:f>
      </x:c>
      <x:c r="AR173" s="25" t="str">
        <x:f>IF(AP173="","Missing Required Date",IF(AQ173&lt;0,"Future Date",IF(AQ173=0,"0 days",IF(AQ173&lt;=2,"1-2 days",IF(AQ173&lt;=7,"3-7 days",IF(AQ173&lt;=14,"8-14 days",IF(AQ173&lt;=30,"15-30 days",IF(AQ173&lt;=60,"31-60 days",IF(AQ173&lt;=70,"61-70 days","71+ days")))))))))</x:f>
        <x:v>Missing Required Date</x:v>
      </x:c>
      <x:c r="AS173" s="25" t="str">
        <x:f>IF(OR(E173="processing",E173="executing",E173="pending"),IF(AP173="","Required aging date missing",IF(AQ173&gt;30,"Escalate &gt;30d",IF(AQ173&gt;14,"Watch &gt;14d","Within 14d"))),"Out of scope")</x:f>
        <x:v>Out of scope</x:v>
      </x:c>
    </x:row>
    <x:row r="174" ht="24" customHeight="1">
      <x:c r="A174" t="str">
        <x:v>68908e56-1e6a-4d0c-8d31-3a88953755a2</x:v>
      </x:c>
      <x:c r="B174" t="str">
        <x:v>CSSP10657684</x:v>
      </x:c>
      <x:c r="C174" t="str">
        <x:v>azeerahanim.akash@petronas.com</x:v>
      </x:c>
      <x:c r="D174" t="str">
        <x:v>decommission-cloud</x:v>
      </x:c>
      <x:c r="E174" t="str">
        <x:v>completed</x:v>
      </x:c>
      <x:c r="F174" t="n">
        <x:v>46125.289070810184</x:v>
      </x:c>
      <x:c r="G174" t="n">
        <x:v>46128.38945298611</x:v>
      </x:c>
      <x:c r="H174" t="n">
        <x:v>46125.289070810184</x:v>
      </x:c>
      <x:c r="I174" t="str">
        <x:v>Enterprise Data Hub - EDH Common Talend</x:v>
      </x:c>
      <x:c r="J174" t="str">
        <x:v>Enterprise Data Hub - Common Talend Infrastructure</x:v>
      </x:c>
      <x:c r="K174" t="str">
        <x:v>partial</x:v>
      </x:c>
      <x:c r="L174"/>
      <x:c r="M174" t="str">
        <x:v>sahrilnizam.ismail@petronas.com</x:v>
      </x:c>
      <x:c r="N174"/>
      <x:c r="O174"/>
      <x:c r="P174" t="str">
        <x:v>To decommission unused virtual machine in Talend Common - PTSG-5TLDDQTJS01. IP Address - 172.25.68.115</x:v>
      </x:c>
      <x:c r="Q174" t="str">
        <x:v>1M</x:v>
      </x:c>
      <x:c r="R174" t="str">
        <x:v>Not in Used</x:v>
      </x:c>
      <x:c r="S174"/>
      <x:c r="T174" t="str">
        <x:v>approved</x:v>
      </x:c>
      <x:c r="U174" t="str">
        <x:v>azeerahanim.akash@petronas.com</x:v>
      </x:c>
      <x:c r="V174" t="n">
        <x:v>46125.29007927083</x:v>
      </x:c>
      <x:c r="W174" t="str">
        <x:v>Hostname - PTSG-5TLDDQTJS01
IP Address - 172.25.68.115</x:v>
      </x:c>
      <x:c r="X174" t="str">
        <x:v>approved</x:v>
      </x:c>
      <x:c r="Y174" t="str">
        <x:v>sahrilnizam.ismail@petronas.com</x:v>
      </x:c>
      <x:c r="Z174" t="n">
        <x:v>46125.2919318287</x:v>
      </x:c>
      <x:c r="AA174" t="str">
        <x:v>Reviewed</x:v>
      </x:c>
      <x:c r="AB174" t="str">
        <x:v>approved</x:v>
      </x:c>
      <x:c r="AC174" t="str">
        <x:v>azwan.badari@petronas.com</x:v>
      </x:c>
      <x:c r="AD174" t="n">
        <x:v>46126.073887638886</x:v>
      </x:c>
      <x:c r="AE174" t="str">
        <x:v>To decommission VM PTSG-5TLDDQTJS01. IP Address - 172.25.68.115</x:v>
      </x:c>
      <x:c r="AF174" t="str">
        <x:v>approved</x:v>
      </x:c>
      <x:c r="AG174" t="str">
        <x:v>azlisham.md@petronas.com</x:v>
      </x:c>
      <x:c r="AH174" t="n">
        <x:v>46128.38945298611</x:v>
      </x:c>
      <x:c r="AI174" t="str">
        <x:v>The decommission request has been completed, and the status is now updated accordingly. Kindly verify from your end and confirm once reviewed.
</x:v>
      </x:c>
      <x:c r="AJ174" t="str">
        <x:v>A-000266</x:v>
      </x:c>
      <x:c r="AK174" t="str">
        <x:v>PC-00007</x:v>
      </x:c>
      <x:c r="AL174" t="str">
        <x:v>S</x:v>
      </x:c>
      <x:c r="AM174" t="str">
        <x:v>REQ000007987625</x:v>
      </x:c>
      <x:c r="AN174" t="str">
        <x:v>noretention</x:v>
      </x:c>
      <x:c r="AO174" t="n">
        <x:v>0</x:v>
      </x:c>
      <x:c r="AP174" s="23" t="str">
        <x:f>IF(E174="processing",IF(Z174="","",IF(ISNUMBER(Z174),INT(Z174),DATE(VALUE(LEFT(Z174,4)),VALUE(MID(Z174,6,2)),VALUE(MID(Z174,9,2))))),IF(OR(E174="executing",E174="pending"),IF(AD174="","",IF(ISNUMBER(AD174),INT(AD174),DATE(VALUE(LEFT(AD174,4)),VALUE(MID(AD174,6,2)),VALUE(MID(AD174,9,2))))),""))</x:f>
      </x:c>
      <x:c r="AQ174" s="24" t="str">
        <x:f>IF(AP174="","",INT('Configuration'!$B$4)-AP174)</x:f>
      </x:c>
      <x:c r="AR174" s="25" t="str">
        <x:f>IF(AP174="","Missing Required Date",IF(AQ174&lt;0,"Future Date",IF(AQ174=0,"0 days",IF(AQ174&lt;=2,"1-2 days",IF(AQ174&lt;=7,"3-7 days",IF(AQ174&lt;=14,"8-14 days",IF(AQ174&lt;=30,"15-30 days",IF(AQ174&lt;=60,"31-60 days",IF(AQ174&lt;=70,"61-70 days","71+ days")))))))))</x:f>
        <x:v>Missing Required Date</x:v>
      </x:c>
      <x:c r="AS174" s="25" t="str">
        <x:f>IF(OR(E174="processing",E174="executing",E174="pending"),IF(AP174="","Required aging date missing",IF(AQ174&gt;30,"Escalate &gt;30d",IF(AQ174&gt;14,"Watch &gt;14d","Within 14d"))),"Out of scope")</x:f>
        <x:v>Out of scope</x:v>
      </x:c>
    </x:row>
    <x:row r="175" ht="24" customHeight="1">
      <x:c r="A175" t="str">
        <x:v>99b92242-175d-42f8-9255-64956b534f0e</x:v>
      </x:c>
      <x:c r="B175" t="str">
        <x:v>CSSP10182189</x:v>
      </x:c>
      <x:c r="C175" t="str">
        <x:v>nurainnasiha.ibrahi@petronas.com</x:v>
      </x:c>
      <x:c r="D175" t="str">
        <x:v>decommission-cloud</x:v>
      </x:c>
      <x:c r="E175" t="str">
        <x:v>cancelled</x:v>
      </x:c>
      <x:c r="F175" t="n">
        <x:v>46127.07766633102</x:v>
      </x:c>
      <x:c r="G175" t="n">
        <x:v>46220.056889340274</x:v>
      </x:c>
      <x:c r="H175" t="n">
        <x:v>46127.07766633102</x:v>
      </x:c>
      <x:c r="I175" t="str">
        <x:v>Palisade</x:v>
      </x:c>
      <x:c r="J175" t="str">
        <x:v>PDU SecOps of Business Excellence (BE) and Development (Dev.) Chapter's for Upstream Digital &amp; Technology</x:v>
      </x:c>
      <x:c r="K175" t="str">
        <x:v>partial</x:v>
      </x:c>
      <x:c r="L175"/>
      <x:c r="M175" t="str">
        <x:v>nurainnasiha.ibrahi@petronas.com</x:v>
      </x:c>
      <x:c r="N175"/>
      <x:c r="O175"/>
      <x:c r="P175" t="str">
        <x:v>test</x:v>
      </x:c>
      <x:c r="Q175" t="str">
        <x:v>12M</x:v>
      </x:c>
      <x:c r="R175" t="str">
        <x:v>Not in Used</x:v>
      </x:c>
      <x:c r="S175"/>
      <x:c r="T175" t="str">
        <x:v>rejected</x:v>
      </x:c>
      <x:c r="U175" t="str">
        <x:v>nurainnasiha.ibrahi@petronas.com</x:v>
      </x:c>
      <x:c r="V175" t="n">
        <x:v>46220.05688935185</x:v>
      </x:c>
      <x:c r="W175"/>
      <x:c r="X175"/>
      <x:c r="Y175" t="str">
        <x:v>nurainnasiha.ibrahi@petronas.com</x:v>
      </x:c>
      <x:c r="Z175"/>
      <x:c r="AA175"/>
      <x:c r="AB175"/>
      <x:c r="AC175" t="str">
        <x:v>CCoE Business</x:v>
      </x:c>
      <x:c r="AD175"/>
      <x:c r="AE175"/>
      <x:c r="AF175"/>
      <x:c r="AG175" t="str">
        <x:v>CCoE Operations</x:v>
      </x:c>
      <x:c r="AH175"/>
      <x:c r="AI175"/>
      <x:c r="AJ175" t="str">
        <x:v>A-001224</x:v>
      </x:c>
      <x:c r="AK175" t="str">
        <x:v>03265_4</x:v>
      </x:c>
      <x:c r="AL175"/>
      <x:c r="AM175"/>
      <x:c r="AN175" t="str">
        <x:v>retention</x:v>
      </x:c>
      <x:c r="AO175" t="n">
        <x:v>120</x:v>
      </x:c>
      <x:c r="AP175" s="23" t="str">
        <x:f>IF(E175="processing",IF(Z175="","",IF(ISNUMBER(Z175),INT(Z175),DATE(VALUE(LEFT(Z175,4)),VALUE(MID(Z175,6,2)),VALUE(MID(Z175,9,2))))),IF(OR(E175="executing",E175="pending"),IF(AD175="","",IF(ISNUMBER(AD175),INT(AD175),DATE(VALUE(LEFT(AD175,4)),VALUE(MID(AD175,6,2)),VALUE(MID(AD175,9,2))))),""))</x:f>
      </x:c>
      <x:c r="AQ175" s="24" t="str">
        <x:f>IF(AP175="","",INT('Configuration'!$B$4)-AP175)</x:f>
      </x:c>
      <x:c r="AR175" s="25" t="str">
        <x:f>IF(AP175="","Missing Required Date",IF(AQ175&lt;0,"Future Date",IF(AQ175=0,"0 days",IF(AQ175&lt;=2,"1-2 days",IF(AQ175&lt;=7,"3-7 days",IF(AQ175&lt;=14,"8-14 days",IF(AQ175&lt;=30,"15-30 days",IF(AQ175&lt;=60,"31-60 days",IF(AQ175&lt;=70,"61-70 days","71+ days")))))))))</x:f>
        <x:v>Missing Required Date</x:v>
      </x:c>
      <x:c r="AS175" s="25" t="str">
        <x:f>IF(OR(E175="processing",E175="executing",E175="pending"),IF(AP175="","Required aging date missing",IF(AQ175&gt;30,"Escalate &gt;30d",IF(AQ175&gt;14,"Watch &gt;14d","Within 14d"))),"Out of scope")</x:f>
        <x:v>Out of scope</x:v>
      </x:c>
    </x:row>
    <x:row r="176" ht="24" customHeight="1">
      <x:c r="A176" t="str">
        <x:v>4703c302-ea21-49ba-96ea-29eba18353ee</x:v>
      </x:c>
      <x:c r="B176" t="str">
        <x:v>CSSP10162067</x:v>
      </x:c>
      <x:c r="C176" t="str">
        <x:v>rajila.vadakkalthund@petronas.com</x:v>
      </x:c>
      <x:c r="D176" t="str">
        <x:v>decommission-cloud</x:v>
      </x:c>
      <x:c r="E176" t="str">
        <x:v>pending</x:v>
      </x:c>
      <x:c r="F176" t="n">
        <x:v>46129.05779442129</x:v>
      </x:c>
      <x:c r="G176" t="n">
        <x:v>46129.05779442129</x:v>
      </x:c>
      <x:c r="H176" t="n">
        <x:v>46129.05779442129</x:v>
      </x:c>
      <x:c r="I176" t="str">
        <x:v>Palisade</x:v>
      </x:c>
      <x:c r="J176" t="str">
        <x:v>PDU SecOps of Business Excellence (BE) and Development (Dev.) Chapter's for Upstream Digital &amp; Technology</x:v>
      </x:c>
      <x:c r="K176" t="str">
        <x:v>partial</x:v>
      </x:c>
      <x:c r="L176"/>
      <x:c r="M176" t="str">
        <x:v>nurhasuna_khalid@petronas.com.my</x:v>
      </x:c>
      <x:c r="N176"/>
      <x:c r="O176"/>
      <x:c r="P176" t="str">
        <x:v>The server is not being used any more</x:v>
      </x:c>
      <x:c r="Q176" t="str">
        <x:v>12M</x:v>
      </x:c>
      <x:c r="R176" t="str">
        <x:v>Not in Used</x:v>
      </x:c>
      <x:c r="S176"/>
      <x:c r="T176" t="str">
        <x:v>pending</x:v>
      </x:c>
      <x:c r="U176" t="str">
        <x:v>rajila.vadakkalthund@petronas.com</x:v>
      </x:c>
      <x:c r="V176"/>
      <x:c r="W176"/>
      <x:c r="X176"/>
      <x:c r="Y176" t="str">
        <x:v>nurhasuna_khalid@petronas.com</x:v>
      </x:c>
      <x:c r="Z176"/>
      <x:c r="AA176"/>
      <x:c r="AB176"/>
      <x:c r="AC176" t="str">
        <x:v>CCoE Business</x:v>
      </x:c>
      <x:c r="AD176"/>
      <x:c r="AE176"/>
      <x:c r="AF176"/>
      <x:c r="AG176" t="str">
        <x:v>CCoE Operations</x:v>
      </x:c>
      <x:c r="AH176"/>
      <x:c r="AI176"/>
      <x:c r="AJ176" t="str">
        <x:v>A-001224</x:v>
      </x:c>
      <x:c r="AK176" t="str">
        <x:v>03265_4</x:v>
      </x:c>
      <x:c r="AL176"/>
      <x:c r="AM176"/>
      <x:c r="AN176" t="str">
        <x:v>retention</x:v>
      </x:c>
      <x:c r="AO176" t="n">
        <x:v>365</x:v>
      </x:c>
      <x:c r="AP176" s="23" t="str">
        <x:f>IF(E176="processing",IF(Z176="","",IF(ISNUMBER(Z176),INT(Z176),DATE(VALUE(LEFT(Z176,4)),VALUE(MID(Z176,6,2)),VALUE(MID(Z176,9,2))))),IF(OR(E176="executing",E176="pending"),IF(AD176="","",IF(ISNUMBER(AD176),INT(AD176),DATE(VALUE(LEFT(AD176,4)),VALUE(MID(AD176,6,2)),VALUE(MID(AD176,9,2))))),""))</x:f>
      </x:c>
      <x:c r="AQ176" s="24" t="str">
        <x:f>IF(AP176="","",INT('Configuration'!$B$4)-AP176)</x:f>
      </x:c>
      <x:c r="AR176" s="25" t="str">
        <x:f>IF(AP176="","Missing Required Date",IF(AQ176&lt;0,"Future Date",IF(AQ176=0,"0 days",IF(AQ176&lt;=2,"1-2 days",IF(AQ176&lt;=7,"3-7 days",IF(AQ176&lt;=14,"8-14 days",IF(AQ176&lt;=30,"15-30 days",IF(AQ176&lt;=60,"31-60 days",IF(AQ176&lt;=70,"61-70 days","71+ days")))))))))</x:f>
        <x:v>Missing Required Date</x:v>
      </x:c>
      <x:c r="AS176" s="25" t="str">
        <x:f>IF(OR(E176="processing",E176="executing",E176="pending"),IF(AP176="","Required aging date missing",IF(AQ176&gt;30,"Escalate &gt;30d",IF(AQ176&gt;14,"Watch &gt;14d","Within 14d"))),"Out of scope")</x:f>
        <x:v>Required aging date missing</x:v>
      </x:c>
    </x:row>
    <x:row r="177" ht="24" customHeight="1">
      <x:c r="A177" t="str">
        <x:v>006c8385-cb7a-440c-9acc-72d7365c2078</x:v>
      </x:c>
      <x:c r="B177" t="str">
        <x:v>CSSP10861911</x:v>
      </x:c>
      <x:c r="C177" t="str">
        <x:v>azad.johari@petronas.com</x:v>
      </x:c>
      <x:c r="D177" t="str">
        <x:v>decommission-cloud</x:v>
      </x:c>
      <x:c r="E177" t="str">
        <x:v>rejected</x:v>
      </x:c>
      <x:c r="F177" t="n">
        <x:v>46129.06113125</x:v>
      </x:c>
      <x:c r="G177" t="n">
        <x:v>46140.246479918984</x:v>
      </x:c>
      <x:c r="H177" t="n">
        <x:v>46129.06113125</x:v>
      </x:c>
      <x:c r="I177" t="str">
        <x:v>Talent Engine</x:v>
      </x:c>
      <x:c r="J177" t="str">
        <x:v>Cloud Migration - Talent Engine 2.0</x:v>
      </x:c>
      <x:c r="K177" t="str">
        <x:v>full</x:v>
      </x:c>
      <x:c r="L177" t="str">
        <x:v>TBA</x:v>
      </x:c>
      <x:c r="M177" t="str">
        <x:v>amirshazlan.mshah@petronas.com</x:v>
      </x:c>
      <x:c r="N177" t="str">
        <x:v>te2.petronas.com</x:v>
      </x:c>
      <x:c r="O177" t="str">
        <x:v>n/a</x:v>
      </x:c>
      <x:c r="P177" t="str">
        <x:v>Business agreed to retire the app.</x:v>
      </x:c>
      <x:c r="Q177" t="str">
        <x:v>2W</x:v>
      </x:c>
      <x:c r="R177" t="str">
        <x:v>Obsolete</x:v>
      </x:c>
      <x:c r="S177"/>
      <x:c r="T177" t="str">
        <x:v>approved</x:v>
      </x:c>
      <x:c r="U177" t="str">
        <x:v>amirshazlan.mshah@petronas.com</x:v>
      </x:c>
      <x:c r="V177" t="n">
        <x:v>46135.96394258102</x:v>
      </x:c>
      <x:c r="W177" t="str">
        <x:v>approved for decommission</x:v>
      </x:c>
      <x:c r="X177" t="str">
        <x:v>rejected</x:v>
      </x:c>
      <x:c r="Y177" t="str">
        <x:v>amirshazlan.mshah@petronas.com</x:v>
      </x:c>
      <x:c r="Z177" t="n">
        <x:v>46140.246479918984</x:v>
      </x:c>
      <x:c r="AA177" t="str">
        <x:v>resubnmission pending</x:v>
      </x:c>
      <x:c r="AB177"/>
      <x:c r="AC177" t="str">
        <x:v>CCoE Business</x:v>
      </x:c>
      <x:c r="AD177"/>
      <x:c r="AE177"/>
      <x:c r="AF177"/>
      <x:c r="AG177" t="str">
        <x:v>CCoE Operations</x:v>
      </x:c>
      <x:c r="AH177"/>
      <x:c r="AI177"/>
      <x:c r="AJ177" t="str">
        <x:v>A-000800</x:v>
      </x:c>
      <x:c r="AK177" t="str">
        <x:v>00915_90</x:v>
      </x:c>
      <x:c r="AL177"/>
      <x:c r="AM177"/>
      <x:c r="AN177" t="str">
        <x:v>retention</x:v>
      </x:c>
      <x:c r="AO177" t="n">
        <x:v>90</x:v>
      </x:c>
      <x:c r="AP177" s="23" t="str">
        <x:f>IF(E177="processing",IF(Z177="","",IF(ISNUMBER(Z177),INT(Z177),DATE(VALUE(LEFT(Z177,4)),VALUE(MID(Z177,6,2)),VALUE(MID(Z177,9,2))))),IF(OR(E177="executing",E177="pending"),IF(AD177="","",IF(ISNUMBER(AD177),INT(AD177),DATE(VALUE(LEFT(AD177,4)),VALUE(MID(AD177,6,2)),VALUE(MID(AD177,9,2))))),""))</x:f>
      </x:c>
      <x:c r="AQ177" s="24" t="str">
        <x:f>IF(AP177="","",INT('Configuration'!$B$4)-AP177)</x:f>
      </x:c>
      <x:c r="AR177" s="25" t="str">
        <x:f>IF(AP177="","Missing Required Date",IF(AQ177&lt;0,"Future Date",IF(AQ177=0,"0 days",IF(AQ177&lt;=2,"1-2 days",IF(AQ177&lt;=7,"3-7 days",IF(AQ177&lt;=14,"8-14 days",IF(AQ177&lt;=30,"15-30 days",IF(AQ177&lt;=60,"31-60 days",IF(AQ177&lt;=70,"61-70 days","71+ days")))))))))</x:f>
        <x:v>Missing Required Date</x:v>
      </x:c>
      <x:c r="AS177" s="25" t="str">
        <x:f>IF(OR(E177="processing",E177="executing",E177="pending"),IF(AP177="","Required aging date missing",IF(AQ177&gt;30,"Escalate &gt;30d",IF(AQ177&gt;14,"Watch &gt;14d","Within 14d"))),"Out of scope")</x:f>
        <x:v>Out of scope</x:v>
      </x:c>
    </x:row>
    <x:row r="178" ht="24" customHeight="1">
      <x:c r="A178" t="str">
        <x:v>aec48937-4d99-43fe-a2ea-a8a903ee9c37</x:v>
      </x:c>
      <x:c r="B178" t="str">
        <x:v>CSSP10780664</x:v>
      </x:c>
      <x:c r="C178" t="str">
        <x:v>shahrizar.mbasir@petronas.com</x:v>
      </x:c>
      <x:c r="D178" t="str">
        <x:v>decommission-cloud</x:v>
      </x:c>
      <x:c r="E178" t="str">
        <x:v>cancelled</x:v>
      </x:c>
      <x:c r="F178" t="n">
        <x:v>46132.11869681713</x:v>
      </x:c>
      <x:c r="G178" t="n">
        <x:v>46134.34008523148</x:v>
      </x:c>
      <x:c r="H178" t="n">
        <x:v>46134.33834483796</x:v>
      </x:c>
      <x:c r="I178" t="str">
        <x:v>TO.PRODIGI - Centralised Database and Analytics</x:v>
      </x:c>
      <x:c r="J178" t="str">
        <x:v>DevOps services of Centralized Database &amp; Analytics for Turkmenistan Operation</x:v>
      </x:c>
      <x:c r="K178" t="str">
        <x:v>partial</x:v>
      </x:c>
      <x:c r="L178"/>
      <x:c r="M178" t="str">
        <x:v>ghimyee.tang@petronas.com.my</x:v>
      </x:c>
      <x:c r="N178" t="str">
        <x:v>to-prodigi-dev.petronas.com</x:v>
      </x:c>
      <x:c r="O178"/>
      <x:c r="P178"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78" t="str">
        <x:v>2W</x:v>
      </x:c>
      <x:c r="R178" t="str">
        <x:v>Not in Used</x:v>
      </x:c>
      <x:c r="S178"/>
      <x:c r="T178" t="str">
        <x:v>rejected</x:v>
      </x:c>
      <x:c r="U178" t="str">
        <x:v>shahrizar.mbasir@petronas.com</x:v>
      </x:c>
      <x:c r="V178" t="n">
        <x:v>46134.34008524306</x:v>
      </x:c>
      <x:c r="W178"/>
      <x:c r="X178"/>
      <x:c r="Y178" t="str">
        <x:v>ghimyee.tang@petronas.com</x:v>
      </x:c>
      <x:c r="Z178"/>
      <x:c r="AA178"/>
      <x:c r="AB178"/>
      <x:c r="AC178" t="str">
        <x:v>CCoE Business</x:v>
      </x:c>
      <x:c r="AD178"/>
      <x:c r="AE178"/>
      <x:c r="AF178"/>
      <x:c r="AG178" t="str">
        <x:v>CCoE Business</x:v>
      </x:c>
      <x:c r="AH178"/>
      <x:c r="AI178"/>
      <x:c r="AJ178" t="str">
        <x:v>A-000812</x:v>
      </x:c>
      <x:c r="AK178" t="n">
        <x:v>2573</x:v>
      </x:c>
      <x:c r="AL178"/>
      <x:c r="AM178"/>
      <x:c r="AN178" t="str">
        <x:v>noretention</x:v>
      </x:c>
      <x:c r="AO178" t="n">
        <x:v>0</x:v>
      </x:c>
      <x:c r="AP178" s="23" t="str">
        <x:f>IF(E178="processing",IF(Z178="","",IF(ISNUMBER(Z178),INT(Z178),DATE(VALUE(LEFT(Z178,4)),VALUE(MID(Z178,6,2)),VALUE(MID(Z178,9,2))))),IF(OR(E178="executing",E178="pending"),IF(AD178="","",IF(ISNUMBER(AD178),INT(AD178),DATE(VALUE(LEFT(AD178,4)),VALUE(MID(AD178,6,2)),VALUE(MID(AD178,9,2))))),""))</x:f>
      </x:c>
      <x:c r="AQ178" s="24" t="str">
        <x:f>IF(AP178="","",INT('Configuration'!$B$4)-AP178)</x:f>
      </x:c>
      <x:c r="AR178" s="25" t="str">
        <x:f>IF(AP178="","Missing Required Date",IF(AQ178&lt;0,"Future Date",IF(AQ178=0,"0 days",IF(AQ178&lt;=2,"1-2 days",IF(AQ178&lt;=7,"3-7 days",IF(AQ178&lt;=14,"8-14 days",IF(AQ178&lt;=30,"15-30 days",IF(AQ178&lt;=60,"31-60 days",IF(AQ178&lt;=70,"61-70 days","71+ days")))))))))</x:f>
        <x:v>Missing Required Date</x:v>
      </x:c>
      <x:c r="AS178" s="25" t="str">
        <x:f>IF(OR(E178="processing",E178="executing",E178="pending"),IF(AP178="","Required aging date missing",IF(AQ178&gt;30,"Escalate &gt;30d",IF(AQ178&gt;14,"Watch &gt;14d","Within 14d"))),"Out of scope")</x:f>
        <x:v>Out of scope</x:v>
      </x:c>
    </x:row>
    <x:row r="179" ht="24" customHeight="1">
      <x:c r="A179" t="str">
        <x:v>47f9d558-bcb8-4915-9008-2c6452a478ec</x:v>
      </x:c>
      <x:c r="B179" t="str">
        <x:v>CSSP10741939</x:v>
      </x:c>
      <x:c r="C179" t="str">
        <x:v>wanmiqbal.wanmhdnoor@petronas.com</x:v>
      </x:c>
      <x:c r="D179" t="str">
        <x:v>decommission-cloud</x:v>
      </x:c>
      <x:c r="E179" t="str">
        <x:v>completed</x:v>
      </x:c>
      <x:c r="F179" t="n">
        <x:v>46132.139100960645</x:v>
      </x:c>
      <x:c r="G179" t="n">
        <x:v>46136.0835984838</x:v>
      </x:c>
      <x:c r="H179" t="n">
        <x:v>46132.139100960645</x:v>
      </x:c>
      <x:c r="I179" t="str">
        <x:v>Decision Ready Data - DRD NervCentre</x:v>
      </x:c>
      <x:c r="J179" t="str">
        <x:v>Implementation of Decision Ready Data (DRD) for NervCentre</x:v>
      </x:c>
      <x:c r="K179" t="str">
        <x:v>full</x:v>
      </x:c>
      <x:c r="L179" t="str">
        <x:v>DCOM2026042005a</x:v>
      </x:c>
      <x:c r="M179" t="str">
        <x:v>mohammadsani.johari@petronas.com</x:v>
      </x:c>
      <x:c r="N179" t="str">
        <x:v>https://nc.nadi.petronas.com.my, https://dev-nc.nadi.petronas.com.my</x:v>
      </x:c>
      <x:c r="O179"/>
      <x:c r="P179" t="str">
        <x:v>The application dashboard is no longer actively used and there are no known operational dependencies at this point.</x:v>
      </x:c>
      <x:c r="Q179" t="str">
        <x:v>3M</x:v>
      </x:c>
      <x:c r="R179" t="str">
        <x:v>Not in Used</x:v>
      </x:c>
      <x:c r="S179"/>
      <x:c r="T179" t="str">
        <x:v>approved</x:v>
      </x:c>
      <x:c r="U179" t="str">
        <x:v>wanmiqbal.wanmhdnoor@petronas.com</x:v>
      </x:c>
      <x:c r="V179" t="n">
        <x:v>46132.140034502314</x:v>
      </x:c>
      <x:c r="W179" t="str">
        <x:v>Full decommissioning</x:v>
      </x:c>
      <x:c r="X179" t="str">
        <x:v>approved</x:v>
      </x:c>
      <x:c r="Y179" t="str">
        <x:v>mohammadsani.johari@petronas.com</x:v>
      </x:c>
      <x:c r="Z179" t="n">
        <x:v>46132.14775940972</x:v>
      </x:c>
      <x:c r="AA179" t="str">
        <x:v>Proceed as per User request.</x:v>
      </x:c>
      <x:c r="AB179" t="str">
        <x:v>approved</x:v>
      </x:c>
      <x:c r="AC179" t="str">
        <x:v>azwan.badari@petronas.com</x:v>
      </x:c>
      <x:c r="AD179" t="n">
        <x:v>46132.3179116088</x:v>
      </x:c>
      <x:c r="AE179" t="str">
        <x:v>Full decommission resources for 03067 in AWS</x:v>
      </x:c>
      <x:c r="AF179" t="str">
        <x:v>approved</x:v>
      </x:c>
      <x:c r="AG179" t="str">
        <x:v>azwan.badari@petronas.com</x:v>
      </x:c>
      <x:c r="AH179" t="n">
        <x:v>46136.083598495374</x:v>
      </x:c>
      <x:c r="AI179" t="str">
        <x:v>Completed</x:v>
      </x:c>
      <x:c r="AJ179" t="str">
        <x:v>A-000233</x:v>
      </x:c>
      <x:c r="AK179" t="n">
        <x:v>3067</x:v>
      </x:c>
      <x:c r="AL179" t="str">
        <x:v>L</x:v>
      </x:c>
      <x:c r="AM179" t="str">
        <x:v>REQ000008000240</x:v>
      </x:c>
      <x:c r="AN179" t="str">
        <x:v>disposal</x:v>
      </x:c>
      <x:c r="AO179" t="n">
        <x:v>0</x:v>
      </x:c>
      <x:c r="AP179" s="23" t="str">
        <x:f>IF(E179="processing",IF(Z179="","",IF(ISNUMBER(Z179),INT(Z179),DATE(VALUE(LEFT(Z179,4)),VALUE(MID(Z179,6,2)),VALUE(MID(Z179,9,2))))),IF(OR(E179="executing",E179="pending"),IF(AD179="","",IF(ISNUMBER(AD179),INT(AD179),DATE(VALUE(LEFT(AD179,4)),VALUE(MID(AD179,6,2)),VALUE(MID(AD179,9,2))))),""))</x:f>
      </x:c>
      <x:c r="AQ179" s="24" t="str">
        <x:f>IF(AP179="","",INT('Configuration'!$B$4)-AP179)</x:f>
      </x:c>
      <x:c r="AR179" s="25" t="str">
        <x:f>IF(AP179="","Missing Required Date",IF(AQ179&lt;0,"Future Date",IF(AQ179=0,"0 days",IF(AQ179&lt;=2,"1-2 days",IF(AQ179&lt;=7,"3-7 days",IF(AQ179&lt;=14,"8-14 days",IF(AQ179&lt;=30,"15-30 days",IF(AQ179&lt;=60,"31-60 days",IF(AQ179&lt;=70,"61-70 days","71+ days")))))))))</x:f>
        <x:v>Missing Required Date</x:v>
      </x:c>
      <x:c r="AS179" s="25" t="str">
        <x:f>IF(OR(E179="processing",E179="executing",E179="pending"),IF(AP179="","Required aging date missing",IF(AQ179&gt;30,"Escalate &gt;30d",IF(AQ179&gt;14,"Watch &gt;14d","Within 14d"))),"Out of scope")</x:f>
        <x:v>Out of scope</x:v>
      </x:c>
    </x:row>
    <x:row r="180" ht="24" customHeight="1">
      <x:c r="A180" t="str">
        <x:v>b00688dd-9809-42bb-803d-719017359e8f</x:v>
      </x:c>
      <x:c r="B180" t="str">
        <x:v>CSSP10524135</x:v>
      </x:c>
      <x:c r="C180" t="str">
        <x:v>shahrizar.mbasir@petronas.com</x:v>
      </x:c>
      <x:c r="D180" t="str">
        <x:v>decommission-cloud</x:v>
      </x:c>
      <x:c r="E180" t="str">
        <x:v>cancelled</x:v>
      </x:c>
      <x:c r="F180" t="n">
        <x:v>46133.103149664355</x:v>
      </x:c>
      <x:c r="G180" t="n">
        <x:v>46133.103778136574</x:v>
      </x:c>
      <x:c r="H180" t="n">
        <x:v>46133.103149664355</x:v>
      </x:c>
      <x:c r="I180" t="str">
        <x:v>TO.PRODIGI - Centralised Database and Analytics</x:v>
      </x:c>
      <x:c r="J180" t="str">
        <x:v>DevOps services of Centralized Database &amp; Analytics for Turkmenistan Operation</x:v>
      </x:c>
      <x:c r="K180" t="str">
        <x:v>partial</x:v>
      </x:c>
      <x:c r="L180"/>
      <x:c r="M180" t="str">
        <x:v>ghimyee.tang@petronas.com</x:v>
      </x:c>
      <x:c r="N180"/>
      <x:c r="O180"/>
      <x:c r="P180"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0" t="str">
        <x:v>2W</x:v>
      </x:c>
      <x:c r="R180" t="str">
        <x:v>Not in Used</x:v>
      </x:c>
      <x:c r="S180"/>
      <x:c r="T180" t="str">
        <x:v>rejected</x:v>
      </x:c>
      <x:c r="U180" t="str">
        <x:v>shahrizar.mbasir@petronas.com</x:v>
      </x:c>
      <x:c r="V180" t="n">
        <x:v>46133.10377814815</x:v>
      </x:c>
      <x:c r="W180"/>
      <x:c r="X180"/>
      <x:c r="Y180" t="str">
        <x:v>ghimyee.tang@petronas.com</x:v>
      </x:c>
      <x:c r="Z180"/>
      <x:c r="AA180"/>
      <x:c r="AB180"/>
      <x:c r="AC180" t="str">
        <x:v>CCoE Business</x:v>
      </x:c>
      <x:c r="AD180"/>
      <x:c r="AE180"/>
      <x:c r="AF180"/>
      <x:c r="AG180" t="str">
        <x:v>CCoE Operations</x:v>
      </x:c>
      <x:c r="AH180"/>
      <x:c r="AI180"/>
      <x:c r="AJ180" t="str">
        <x:v>A-000812</x:v>
      </x:c>
      <x:c r="AK180" t="n">
        <x:v>2573</x:v>
      </x:c>
      <x:c r="AL180"/>
      <x:c r="AM180"/>
      <x:c r="AN180" t="str">
        <x:v>noretention</x:v>
      </x:c>
      <x:c r="AO180" t="n">
        <x:v>0</x:v>
      </x:c>
      <x:c r="AP180" s="23" t="str">
        <x:f>IF(E180="processing",IF(Z180="","",IF(ISNUMBER(Z180),INT(Z180),DATE(VALUE(LEFT(Z180,4)),VALUE(MID(Z180,6,2)),VALUE(MID(Z180,9,2))))),IF(OR(E180="executing",E180="pending"),IF(AD180="","",IF(ISNUMBER(AD180),INT(AD180),DATE(VALUE(LEFT(AD180,4)),VALUE(MID(AD180,6,2)),VALUE(MID(AD180,9,2))))),""))</x:f>
      </x:c>
      <x:c r="AQ180" s="24" t="str">
        <x:f>IF(AP180="","",INT('Configuration'!$B$4)-AP180)</x:f>
      </x:c>
      <x:c r="AR180" s="25" t="str">
        <x:f>IF(AP180="","Missing Required Date",IF(AQ180&lt;0,"Future Date",IF(AQ180=0,"0 days",IF(AQ180&lt;=2,"1-2 days",IF(AQ180&lt;=7,"3-7 days",IF(AQ180&lt;=14,"8-14 days",IF(AQ180&lt;=30,"15-30 days",IF(AQ180&lt;=60,"31-60 days",IF(AQ180&lt;=70,"61-70 days","71+ days")))))))))</x:f>
        <x:v>Missing Required Date</x:v>
      </x:c>
      <x:c r="AS180" s="25" t="str">
        <x:f>IF(OR(E180="processing",E180="executing",E180="pending"),IF(AP180="","Required aging date missing",IF(AQ180&gt;30,"Escalate &gt;30d",IF(AQ180&gt;14,"Watch &gt;14d","Within 14d"))),"Out of scope")</x:f>
        <x:v>Out of scope</x:v>
      </x:c>
    </x:row>
    <x:row r="181" ht="24" customHeight="1">
      <x:c r="A181" t="str">
        <x:v>67574a18-953c-45b5-972c-6df7e0b0635e</x:v>
      </x:c>
      <x:c r="B181" t="str">
        <x:v>CSSP10880692</x:v>
      </x:c>
      <x:c r="C181" t="str">
        <x:v>shahrizar.mbasir@petronas.com</x:v>
      </x:c>
      <x:c r="D181" t="str">
        <x:v>decommission-cloud</x:v>
      </x:c>
      <x:c r="E181" t="str">
        <x:v>rejected</x:v>
      </x:c>
      <x:c r="F181" t="n">
        <x:v>46134.33761825231</x:v>
      </x:c>
      <x:c r="G181" t="n">
        <x:v>46134.36321886574</x:v>
      </x:c>
      <x:c r="H181" t="n">
        <x:v>46134.33761825231</x:v>
      </x:c>
      <x:c r="I181" t="str">
        <x:v>TO.PRODIGI - Centralised Database and Analytics</x:v>
      </x:c>
      <x:c r="J181" t="str">
        <x:v>DevOps services of Centralized Database &amp; Analytics for Turkmenistan Operation</x:v>
      </x:c>
      <x:c r="K181" t="str">
        <x:v>full</x:v>
      </x:c>
      <x:c r="L181" t="str">
        <x:v>DCOM20260422e59</x:v>
      </x:c>
      <x:c r="M181" t="str">
        <x:v>ghimyee.tang@petronas.com.my</x:v>
      </x:c>
      <x:c r="N181"/>
      <x:c r="O181"/>
      <x:c r="P181"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1" t="str">
        <x:v>2W</x:v>
      </x:c>
      <x:c r="R181" t="str">
        <x:v>Not in Used</x:v>
      </x:c>
      <x:c r="S181"/>
      <x:c r="T181" t="str">
        <x:v>approved</x:v>
      </x:c>
      <x:c r="U181" t="str">
        <x:v>shahrizar.mbasir@petronas.com</x:v>
      </x:c>
      <x:c r="V181" t="n">
        <x:v>46134.339617777776</x:v>
      </x:c>
      <x:c r="W181" t="str">
        <x:v>I have reviewed that all related resources name is for development environment that is no longer use</x:v>
      </x:c>
      <x:c r="X181" t="str">
        <x:v>rejected</x:v>
      </x:c>
      <x:c r="Y181" t="str">
        <x:v>ghimyee.tang@petronas.com</x:v>
      </x:c>
      <x:c r="Z181" t="n">
        <x:v>46134.36321887731</x:v>
      </x:c>
      <x:c r="AA181" t="str">
        <x:v>Rejecting per offline conversation</x:v>
      </x:c>
      <x:c r="AB181"/>
      <x:c r="AC181" t="str">
        <x:v>CCoE Business</x:v>
      </x:c>
      <x:c r="AD181"/>
      <x:c r="AE181"/>
      <x:c r="AF181"/>
      <x:c r="AG181" t="str">
        <x:v>CCoE Operations</x:v>
      </x:c>
      <x:c r="AH181"/>
      <x:c r="AI181"/>
      <x:c r="AJ181" t="str">
        <x:v>A-000812</x:v>
      </x:c>
      <x:c r="AK181" t="n">
        <x:v>2573</x:v>
      </x:c>
      <x:c r="AL181"/>
      <x:c r="AM181"/>
      <x:c r="AN181" t="str">
        <x:v>noretention</x:v>
      </x:c>
      <x:c r="AO181" t="n">
        <x:v>0</x:v>
      </x:c>
      <x:c r="AP181" s="23" t="str">
        <x:f>IF(E181="processing",IF(Z181="","",IF(ISNUMBER(Z181),INT(Z181),DATE(VALUE(LEFT(Z181,4)),VALUE(MID(Z181,6,2)),VALUE(MID(Z181,9,2))))),IF(OR(E181="executing",E181="pending"),IF(AD181="","",IF(ISNUMBER(AD181),INT(AD181),DATE(VALUE(LEFT(AD181,4)),VALUE(MID(AD181,6,2)),VALUE(MID(AD181,9,2))))),""))</x:f>
      </x:c>
      <x:c r="AQ181" s="24" t="str">
        <x:f>IF(AP181="","",INT('Configuration'!$B$4)-AP181)</x:f>
      </x:c>
      <x:c r="AR181" s="25" t="str">
        <x:f>IF(AP181="","Missing Required Date",IF(AQ181&lt;0,"Future Date",IF(AQ181=0,"0 days",IF(AQ181&lt;=2,"1-2 days",IF(AQ181&lt;=7,"3-7 days",IF(AQ181&lt;=14,"8-14 days",IF(AQ181&lt;=30,"15-30 days",IF(AQ181&lt;=60,"31-60 days",IF(AQ181&lt;=70,"61-70 days","71+ days")))))))))</x:f>
        <x:v>Missing Required Date</x:v>
      </x:c>
      <x:c r="AS181" s="25" t="str">
        <x:f>IF(OR(E181="processing",E181="executing",E181="pending"),IF(AP181="","Required aging date missing",IF(AQ181&gt;30,"Escalate &gt;30d",IF(AQ181&gt;14,"Watch &gt;14d","Within 14d"))),"Out of scope")</x:f>
        <x:v>Out of scope</x:v>
      </x:c>
    </x:row>
    <x:row r="182" ht="24" customHeight="1">
      <x:c r="A182" t="str">
        <x:v>b4420729-4c8a-4050-aaa2-32ec201e91d2</x:v>
      </x:c>
      <x:c r="B182" t="str">
        <x:v>CSSP10621142</x:v>
      </x:c>
      <x:c r="C182" t="str">
        <x:v>shahrizar.mbasir@petronas.com</x:v>
      </x:c>
      <x:c r="D182" t="str">
        <x:v>decommission-cloud</x:v>
      </x:c>
      <x:c r="E182" t="str">
        <x:v>completed</x:v>
      </x:c>
      <x:c r="F182" t="n">
        <x:v>46134.37320844908</x:v>
      </x:c>
      <x:c r="G182" t="n">
        <x:v>46139.091910358795</x:v>
      </x:c>
      <x:c r="H182" t="n">
        <x:v>46134.37354515046</x:v>
      </x:c>
      <x:c r="I182" t="str">
        <x:v>TO.PRODIGI - Centralised Database and Analytics</x:v>
      </x:c>
      <x:c r="J182" t="str">
        <x:v>DevOps services of Centralized Database &amp; Analytics for Turkmenistan Operation</x:v>
      </x:c>
      <x:c r="K182" t="str">
        <x:v>partial</x:v>
      </x:c>
      <x:c r="L182"/>
      <x:c r="M182" t="str">
        <x:v>ghimyee.tang@petronas.com.my</x:v>
      </x:c>
      <x:c r="N182"/>
      <x:c r="O182"/>
      <x:c r="P182"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2" t="str">
        <x:v>1M</x:v>
      </x:c>
      <x:c r="R182" t="str">
        <x:v>Not in Used</x:v>
      </x:c>
      <x:c r="S182"/>
      <x:c r="T182" t="str">
        <x:v>approved</x:v>
      </x:c>
      <x:c r="U182" t="str">
        <x:v>shahrizar.mbasir@petronas.com</x:v>
      </x:c>
      <x:c r="V182" t="n">
        <x:v>46134.37441521991</x:v>
      </x:c>
      <x:c r="W182" t="str">
        <x:v>I have review that all the resource name is not use anymore in development environment</x:v>
      </x:c>
      <x:c r="X182" t="str">
        <x:v>approved</x:v>
      </x:c>
      <x:c r="Y182" t="str">
        <x:v>ghimyee.tang@petronas.com</x:v>
      </x:c>
      <x:c r="Z182" t="n">
        <x:v>46135.12415924769</x:v>
      </x:c>
      <x:c r="AA182" t="str">
        <x:v>As confirmed by project delivery team, TO.PRODIGI is no longer using the mentioned Azure Cloud environment</x:v>
      </x:c>
      <x:c r="AB182" t="str">
        <x:v>approved</x:v>
      </x:c>
      <x:c r="AC182" t="str">
        <x:v>azwan.badari@petronas.com</x:v>
      </x:c>
      <x:c r="AD182" t="n">
        <x:v>46135.14605546296</x:v>
      </x:c>
      <x:c r="AE182" t="str">
        <x:v>Proceed to decomm all resources in ptazsg-iac-dev-toprodigi-rg</x:v>
      </x:c>
      <x:c r="AF182" t="str">
        <x:v>approved</x:v>
      </x:c>
      <x:c r="AG182" t="str">
        <x:v>azwan.badari@petronas.com</x:v>
      </x:c>
      <x:c r="AH182" t="n">
        <x:v>46139.09191037037</x:v>
      </x:c>
      <x:c r="AI182" t="str">
        <x:v>Completed</x:v>
      </x:c>
      <x:c r="AJ182" t="str">
        <x:v>A-000812</x:v>
      </x:c>
      <x:c r="AK182" t="n">
        <x:v>2573</x:v>
      </x:c>
      <x:c r="AL182" t="str">
        <x:v>M</x:v>
      </x:c>
      <x:c r="AM182" t="str">
        <x:v>REQ000008007380</x:v>
      </x:c>
      <x:c r="AN182" t="str">
        <x:v>noretention</x:v>
      </x:c>
      <x:c r="AO182" t="n">
        <x:v>0</x:v>
      </x:c>
      <x:c r="AP182" s="23" t="str">
        <x:f>IF(E182="processing",IF(Z182="","",IF(ISNUMBER(Z182),INT(Z182),DATE(VALUE(LEFT(Z182,4)),VALUE(MID(Z182,6,2)),VALUE(MID(Z182,9,2))))),IF(OR(E182="executing",E182="pending"),IF(AD182="","",IF(ISNUMBER(AD182),INT(AD182),DATE(VALUE(LEFT(AD182,4)),VALUE(MID(AD182,6,2)),VALUE(MID(AD182,9,2))))),""))</x:f>
      </x:c>
      <x:c r="AQ182" s="24" t="str">
        <x:f>IF(AP182="","",INT('Configuration'!$B$4)-AP182)</x:f>
      </x:c>
      <x:c r="AR182" s="25" t="str">
        <x:f>IF(AP182="","Missing Required Date",IF(AQ182&lt;0,"Future Date",IF(AQ182=0,"0 days",IF(AQ182&lt;=2,"1-2 days",IF(AQ182&lt;=7,"3-7 days",IF(AQ182&lt;=14,"8-14 days",IF(AQ182&lt;=30,"15-30 days",IF(AQ182&lt;=60,"31-60 days",IF(AQ182&lt;=70,"61-70 days","71+ days")))))))))</x:f>
        <x:v>Missing Required Date</x:v>
      </x:c>
      <x:c r="AS182" s="25" t="str">
        <x:f>IF(OR(E182="processing",E182="executing",E182="pending"),IF(AP182="","Required aging date missing",IF(AQ182&gt;30,"Escalate &gt;30d",IF(AQ182&gt;14,"Watch &gt;14d","Within 14d"))),"Out of scope")</x:f>
        <x:v>Out of scope</x:v>
      </x:c>
    </x:row>
    <x:row r="183" ht="24" customHeight="1">
      <x:c r="A183" t="str">
        <x:v>7c314f07-316d-4bf8-beb0-ef8090c0dbd7</x:v>
      </x:c>
      <x:c r="B183" t="str">
        <x:v>CSSP10567623</x:v>
      </x:c>
      <x:c r="C183" t="str">
        <x:v>bryan.dewitt@petronas.com</x:v>
      </x:c>
      <x:c r="D183" t="str">
        <x:v>decommission-cloud</x:v>
      </x:c>
      <x:c r="E183" t="str">
        <x:v>completed</x:v>
      </x:c>
      <x:c r="F183" t="n">
        <x:v>46134.389299386574</x:v>
      </x:c>
      <x:c r="G183" t="n">
        <x:v>46142.33770739583</x:v>
      </x:c>
      <x:c r="H183" t="n">
        <x:v>46134.389299386574</x:v>
      </x:c>
      <x:c r="I183" t="str">
        <x:v>PETRONAS Continuous Emission System - PCEMS</x:v>
      </x:c>
      <x:c r="J183" t="str">
        <x:v>Cloud Migration - Implementation of Continuous Emission Monitoring System (CEMS) DIS for PC Methanol Sdn Bhd</x:v>
      </x:c>
      <x:c r="K183" t="str">
        <x:v>partial</x:v>
      </x:c>
      <x:c r="L183"/>
      <x:c r="M183" t="str">
        <x:v>chris.wong@petronas.com.my</x:v>
      </x:c>
      <x:c r="N183" t="str">
        <x:v>pcems.petronas.com</x:v>
      </x:c>
      <x:c r="O183"/>
      <x:c r="P183" t="str">
        <x:v>decomission url only , application is located in shared vm will be stopped</x:v>
      </x:c>
      <x:c r="Q183" t="str">
        <x:v>1M</x:v>
      </x:c>
      <x:c r="R183" t="str">
        <x:v>Obsolete</x:v>
      </x:c>
      <x:c r="S183"/>
      <x:c r="T183" t="str">
        <x:v>approved</x:v>
      </x:c>
      <x:c r="U183" t="str">
        <x:v>bryan.dewitt@petronas.com</x:v>
      </x:c>
      <x:c r="V183" t="n">
        <x:v>46134.389911087965</x:v>
      </x:c>
      <x:c r="W183" t="str">
        <x:v>resources in shared environment, proceed with url decommission</x:v>
      </x:c>
      <x:c r="X183" t="str">
        <x:v>approved</x:v>
      </x:c>
      <x:c r="Y183" t="str">
        <x:v>chris.wong@petronas.com</x:v>
      </x:c>
      <x:c r="Z183" t="n">
        <x:v>46136.37770547454</x:v>
      </x:c>
      <x:c r="AA183" t="str">
        <x:v>Decomm for URL only.</x:v>
      </x:c>
      <x:c r="AB183" t="str">
        <x:v>approved</x:v>
      </x:c>
      <x:c r="AC183" t="str">
        <x:v>azwan.badari@petronas.com</x:v>
      </x:c>
      <x:c r="AD183" t="n">
        <x:v>46139.10646674768</x:v>
      </x:c>
      <x:c r="AE183" t="str">
        <x:v>Decommission URL pcems.petronas.com only.</x:v>
      </x:c>
      <x:c r="AF183" t="str">
        <x:v>approved</x:v>
      </x:c>
      <x:c r="AG183" t="str">
        <x:v>azwan.badari@petronas.com</x:v>
      </x:c>
      <x:c r="AH183" t="n">
        <x:v>46142.33770739583</x:v>
      </x:c>
      <x:c r="AI183" t="str">
        <x:v>Completed</x:v>
      </x:c>
      <x:c r="AJ183" t="str">
        <x:v>A-000548</x:v>
      </x:c>
      <x:c r="AK183" t="str">
        <x:v>00915_171</x:v>
      </x:c>
      <x:c r="AL183" t="str">
        <x:v>S</x:v>
      </x:c>
      <x:c r="AM183" t="str">
        <x:v>REQ000008012892</x:v>
      </x:c>
      <x:c r="AN183" t="str">
        <x:v>noretention</x:v>
      </x:c>
      <x:c r="AO183" t="n">
        <x:v>0</x:v>
      </x:c>
      <x:c r="AP183" s="23" t="str">
        <x:f>IF(E183="processing",IF(Z183="","",IF(ISNUMBER(Z183),INT(Z183),DATE(VALUE(LEFT(Z183,4)),VALUE(MID(Z183,6,2)),VALUE(MID(Z183,9,2))))),IF(OR(E183="executing",E183="pending"),IF(AD183="","",IF(ISNUMBER(AD183),INT(AD183),DATE(VALUE(LEFT(AD183,4)),VALUE(MID(AD183,6,2)),VALUE(MID(AD183,9,2))))),""))</x:f>
      </x:c>
      <x:c r="AQ183" s="24" t="str">
        <x:f>IF(AP183="","",INT('Configuration'!$B$4)-AP183)</x:f>
      </x:c>
      <x:c r="AR183" s="25" t="str">
        <x:f>IF(AP183="","Missing Required Date",IF(AQ183&lt;0,"Future Date",IF(AQ183=0,"0 days",IF(AQ183&lt;=2,"1-2 days",IF(AQ183&lt;=7,"3-7 days",IF(AQ183&lt;=14,"8-14 days",IF(AQ183&lt;=30,"15-30 days",IF(AQ183&lt;=60,"31-60 days",IF(AQ183&lt;=70,"61-70 days","71+ days")))))))))</x:f>
        <x:v>Missing Required Date</x:v>
      </x:c>
      <x:c r="AS183" s="25" t="str">
        <x:f>IF(OR(E183="processing",E183="executing",E183="pending"),IF(AP183="","Required aging date missing",IF(AQ183&gt;30,"Escalate &gt;30d",IF(AQ183&gt;14,"Watch &gt;14d","Within 14d"))),"Out of scope")</x:f>
        <x:v>Out of scope</x:v>
      </x:c>
    </x:row>
    <x:row r="184" ht="24" customHeight="1">
      <x:c r="A184" t="str">
        <x:v>68388bcc-94f5-4bc2-9c7e-9ce5e0012a72</x:v>
      </x:c>
      <x:c r="B184" t="str">
        <x:v>CSSP10305446</x:v>
      </x:c>
      <x:c r="C184" t="str">
        <x:v>rajila.vadakkalthund@petronas.com</x:v>
      </x:c>
      <x:c r="D184" t="str">
        <x:v>decommission-cloud</x:v>
      </x:c>
      <x:c r="E184" t="str">
        <x:v>completed</x:v>
      </x:c>
      <x:c r="F184" t="n">
        <x:v>46139.22066888889</x:v>
      </x:c>
      <x:c r="G184" t="n">
        <x:v>46148.11320392361</x:v>
      </x:c>
      <x:c r="H184" t="n">
        <x:v>46139.22066888889</x:v>
      </x:c>
      <x:c r="I184" t="str">
        <x:v>Palisade</x:v>
      </x:c>
      <x:c r="J184" t="str">
        <x:v>PDU SecOps of Business Excellence (BE) and Development (Dev.) Chapter's for Upstream Digital &amp; Technology</x:v>
      </x:c>
      <x:c r="K184" t="str">
        <x:v>partial</x:v>
      </x:c>
      <x:c r="L184"/>
      <x:c r="M184" t="str">
        <x:v>nurhasuna_khalid@petronas.com.my</x:v>
      </x:c>
      <x:c r="N184"/>
      <x:c r="O184"/>
      <x:c r="P184" t="str">
        <x:v>The server is not being used any more</x:v>
      </x:c>
      <x:c r="Q184" t="str">
        <x:v>12M</x:v>
      </x:c>
      <x:c r="R184" t="str">
        <x:v>Not in Used</x:v>
      </x:c>
      <x:c r="S184"/>
      <x:c r="T184" t="str">
        <x:v>approved</x:v>
      </x:c>
      <x:c r="U184" t="str">
        <x:v>rajila.vadakkalthund@petronas.com</x:v>
      </x:c>
      <x:c r="V184" t="n">
        <x:v>46139.22336229167</x:v>
      </x:c>
      <x:c r="W184" t="str">
        <x:v>PTSG-1PALSDwb02 server is no longer in use</x:v>
      </x:c>
      <x:c r="X184" t="str">
        <x:v>approved</x:v>
      </x:c>
      <x:c r="Y184" t="str">
        <x:v>nurhasuna_khalid@petronas.com</x:v>
      </x:c>
      <x:c r="Z184" t="n">
        <x:v>46146.25803520833</x:v>
      </x:c>
      <x:c r="AA184" t="str">
        <x:v>Please proceed</x:v>
      </x:c>
      <x:c r="AB184" t="str">
        <x:v>approved</x:v>
      </x:c>
      <x:c r="AC184" t="str">
        <x:v>azwan.badari@petronas.com</x:v>
      </x:c>
      <x:c r="AD184" t="n">
        <x:v>46147.094662916665</x:v>
      </x:c>
      <x:c r="AE184" t="str">
        <x:v>Decommission PTSG-1PALSDwb02 (172.25.200.77) only</x:v>
      </x:c>
      <x:c r="AF184" t="str">
        <x:v>approved</x:v>
      </x:c>
      <x:c r="AG184" t="str">
        <x:v>azwan.badari@petronas.com</x:v>
      </x:c>
      <x:c r="AH184" t="n">
        <x:v>46148.11320393519</x:v>
      </x:c>
      <x:c r="AI184" t="str">
        <x:v>Completed</x:v>
      </x:c>
      <x:c r="AJ184" t="str">
        <x:v>A-001224</x:v>
      </x:c>
      <x:c r="AK184" t="str">
        <x:v>03265_4</x:v>
      </x:c>
      <x:c r="AL184" t="str">
        <x:v>S</x:v>
      </x:c>
      <x:c r="AM184" t="str">
        <x:v>REQ000008028631</x:v>
      </x:c>
      <x:c r="AN184" t="str">
        <x:v>retention</x:v>
      </x:c>
      <x:c r="AO184" t="n">
        <x:v>365</x:v>
      </x:c>
      <x:c r="AP184" s="23" t="str">
        <x:f>IF(E184="processing",IF(Z184="","",IF(ISNUMBER(Z184),INT(Z184),DATE(VALUE(LEFT(Z184,4)),VALUE(MID(Z184,6,2)),VALUE(MID(Z184,9,2))))),IF(OR(E184="executing",E184="pending"),IF(AD184="","",IF(ISNUMBER(AD184),INT(AD184),DATE(VALUE(LEFT(AD184,4)),VALUE(MID(AD184,6,2)),VALUE(MID(AD184,9,2))))),""))</x:f>
      </x:c>
      <x:c r="AQ184" s="24" t="str">
        <x:f>IF(AP184="","",INT('Configuration'!$B$4)-AP184)</x:f>
      </x:c>
      <x:c r="AR184" s="25" t="str">
        <x:f>IF(AP184="","Missing Required Date",IF(AQ184&lt;0,"Future Date",IF(AQ184=0,"0 days",IF(AQ184&lt;=2,"1-2 days",IF(AQ184&lt;=7,"3-7 days",IF(AQ184&lt;=14,"8-14 days",IF(AQ184&lt;=30,"15-30 days",IF(AQ184&lt;=60,"31-60 days",IF(AQ184&lt;=70,"61-70 days","71+ days")))))))))</x:f>
        <x:v>Missing Required Date</x:v>
      </x:c>
      <x:c r="AS184" s="25" t="str">
        <x:f>IF(OR(E184="processing",E184="executing",E184="pending"),IF(AP184="","Required aging date missing",IF(AQ184&gt;30,"Escalate &gt;30d",IF(AQ184&gt;14,"Watch &gt;14d","Within 14d"))),"Out of scope")</x:f>
        <x:v>Out of scope</x:v>
      </x:c>
    </x:row>
    <x:row r="185" ht="24" customHeight="1">
      <x:c r="A185" t="str">
        <x:v>a5eeef8d-028c-4b2d-86e1-1c3e2df327ae</x:v>
      </x:c>
      <x:c r="B185" t="str">
        <x:v>CSSP10599920</x:v>
      </x:c>
      <x:c r="C185" t="str">
        <x:v>sriram.vengadaramanu@petronas.com</x:v>
      </x:c>
      <x:c r="D185" t="str">
        <x:v>decommission-cloud</x:v>
      </x:c>
      <x:c r="E185" t="str">
        <x:v>cancelled</x:v>
      </x:c>
      <x:c r="F185" t="n">
        <x:v>46139.24312200231</x:v>
      </x:c>
      <x:c r="G185" t="n">
        <x:v>46139.24354594907</x:v>
      </x:c>
      <x:c r="H185" t="n">
        <x:v>46139.24312200231</x:v>
      </x:c>
      <x:c r="I185" t="str">
        <x:v>Real Time Analytics for Motor - REALM</x:v>
      </x:c>
      <x:c r="J185" t="str">
        <x:v>Development of Real Time Analytics for Motor (REALM) for GTS</x:v>
      </x:c>
      <x:c r="K185" t="str">
        <x:v>partial</x:v>
      </x:c>
      <x:c r="L185"/>
      <x:c r="M185" t="str">
        <x:v>gggg</x:v>
      </x:c>
      <x:c r="N185"/>
      <x:c r="O185"/>
      <x:c r="P185" t="str">
        <x:v>Business has confirmed that the resource is no longer in use</x:v>
      </x:c>
      <x:c r="Q185" t="str">
        <x:v>1M</x:v>
      </x:c>
      <x:c r="R185" t="str">
        <x:v>Not in Used</x:v>
      </x:c>
      <x:c r="S185"/>
      <x:c r="T185" t="str">
        <x:v>rejected</x:v>
      </x:c>
      <x:c r="U185" t="str">
        <x:v>sriram.vengadaramanu@petronas.com</x:v>
      </x:c>
      <x:c r="V185" t="n">
        <x:v>46139.24354596065</x:v>
      </x:c>
      <x:c r="W185"/>
      <x:c r="X185"/>
      <x:c r="Y185" t="str">
        <x:v>gggg</x:v>
      </x:c>
      <x:c r="Z185"/>
      <x:c r="AA185"/>
      <x:c r="AB185"/>
      <x:c r="AC185" t="str">
        <x:v>CCoE Business</x:v>
      </x:c>
      <x:c r="AD185"/>
      <x:c r="AE185"/>
      <x:c r="AF185"/>
      <x:c r="AG185" t="str">
        <x:v>CCoE Operations</x:v>
      </x:c>
      <x:c r="AH185"/>
      <x:c r="AI185"/>
      <x:c r="AJ185" t="str">
        <x:v>A-000685</x:v>
      </x:c>
      <x:c r="AK185" t="n">
        <x:v>3277</x:v>
      </x:c>
      <x:c r="AL185"/>
      <x:c r="AM185"/>
      <x:c r="AN185" t="str">
        <x:v>disposal</x:v>
      </x:c>
      <x:c r="AO185" t="n">
        <x:v>0</x:v>
      </x:c>
      <x:c r="AP185" s="23" t="str">
        <x:f>IF(E185="processing",IF(Z185="","",IF(ISNUMBER(Z185),INT(Z185),DATE(VALUE(LEFT(Z185,4)),VALUE(MID(Z185,6,2)),VALUE(MID(Z185,9,2))))),IF(OR(E185="executing",E185="pending"),IF(AD185="","",IF(ISNUMBER(AD185),INT(AD185),DATE(VALUE(LEFT(AD185,4)),VALUE(MID(AD185,6,2)),VALUE(MID(AD185,9,2))))),""))</x:f>
      </x:c>
      <x:c r="AQ185" s="24" t="str">
        <x:f>IF(AP185="","",INT('Configuration'!$B$4)-AP185)</x:f>
      </x:c>
      <x:c r="AR185" s="25" t="str">
        <x:f>IF(AP185="","Missing Required Date",IF(AQ185&lt;0,"Future Date",IF(AQ185=0,"0 days",IF(AQ185&lt;=2,"1-2 days",IF(AQ185&lt;=7,"3-7 days",IF(AQ185&lt;=14,"8-14 days",IF(AQ185&lt;=30,"15-30 days",IF(AQ185&lt;=60,"31-60 days",IF(AQ185&lt;=70,"61-70 days","71+ days")))))))))</x:f>
        <x:v>Missing Required Date</x:v>
      </x:c>
      <x:c r="AS185" s="25" t="str">
        <x:f>IF(OR(E185="processing",E185="executing",E185="pending"),IF(AP185="","Required aging date missing",IF(AQ185&gt;30,"Escalate &gt;30d",IF(AQ185&gt;14,"Watch &gt;14d","Within 14d"))),"Out of scope")</x:f>
        <x:v>Out of scope</x:v>
      </x:c>
    </x:row>
    <x:row r="186" ht="24" customHeight="1">
      <x:c r="A186" t="str">
        <x:v>3db74546-5a79-4a6a-9204-e434fadf9b75</x:v>
      </x:c>
      <x:c r="B186" t="str">
        <x:v>CSSP10614931</x:v>
      </x:c>
      <x:c r="C186" t="str">
        <x:v>sriram.vengadaramanu@petronas.com</x:v>
      </x:c>
      <x:c r="D186" t="str">
        <x:v>decommission-cloud</x:v>
      </x:c>
      <x:c r="E186" t="str">
        <x:v>completed</x:v>
      </x:c>
      <x:c r="F186" t="n">
        <x:v>46139.24849592592</x:v>
      </x:c>
      <x:c r="G186" t="n">
        <x:v>46142.312653877314</x:v>
      </x:c>
      <x:c r="H186" t="n">
        <x:v>46139.24849592592</x:v>
      </x:c>
      <x:c r="I186" t="str">
        <x:v>Real Time Analytics for Motor - REALM</x:v>
      </x:c>
      <x:c r="J186" t="str">
        <x:v>Development of Real Time Analytics for Motor (REALM) for GTS</x:v>
      </x:c>
      <x:c r="K186" t="str">
        <x:v>partial</x:v>
      </x:c>
      <x:c r="L186"/>
      <x:c r="M186" t="str">
        <x:v>mohammadsani.johari@petronas.com.my</x:v>
      </x:c>
      <x:c r="N186"/>
      <x:c r="O186"/>
      <x:c r="P186" t="str">
        <x:v>Business has confirmed that resource is no longer in use.</x:v>
      </x:c>
      <x:c r="Q186" t="str">
        <x:v>3M</x:v>
      </x:c>
      <x:c r="R186" t="str">
        <x:v>Not in Used</x:v>
      </x:c>
      <x:c r="S186"/>
      <x:c r="T186" t="str">
        <x:v>approved</x:v>
      </x:c>
      <x:c r="U186" t="str">
        <x:v>sriram.vengadaramanu@petronas.com</x:v>
      </x:c>
      <x:c r="V186" t="n">
        <x:v>46139.249662766204</x:v>
      </x:c>
      <x:c r="W186" t="str">
        <x:v>REALM has 6 resource components that host the REALM OutSystems dashboard that is no longer in use and ready for decommission </x:v>
      </x:c>
      <x:c r="X186" t="str">
        <x:v>approved</x:v>
      </x:c>
      <x:c r="Y186" t="str">
        <x:v>mohammadsani.johari@petronas.com</x:v>
      </x:c>
      <x:c r="Z186" t="n">
        <x:v>46139.30213503472</x:v>
      </x:c>
      <x:c r="AA186" t="str">
        <x:v>Approved as per Business decision..</x:v>
      </x:c>
      <x:c r="AB186" t="str">
        <x:v>approved</x:v>
      </x:c>
      <x:c r="AC186" t="str">
        <x:v>azwan.badari@petronas.com</x:v>
      </x:c>
      <x:c r="AD186" t="n">
        <x:v>46140.15102913194</x:v>
      </x:c>
      <x:c r="AE186" t="str">
        <x:v>Decommission ptawsg-5realdb1 (10.84.101.30) in PTAW-IAC-NonPROD-PEnT-Environment-01</x:v>
      </x:c>
      <x:c r="AF186" t="str">
        <x:v>approved</x:v>
      </x:c>
      <x:c r="AG186" t="str">
        <x:v>azwan.badari@petronas.com</x:v>
      </x:c>
      <x:c r="AH186" t="n">
        <x:v>46142.312653877314</x:v>
      </x:c>
      <x:c r="AI186" t="str">
        <x:v>Completed</x:v>
      </x:c>
      <x:c r="AJ186" t="str">
        <x:v>A-000685</x:v>
      </x:c>
      <x:c r="AK186" t="n">
        <x:v>3277</x:v>
      </x:c>
      <x:c r="AL186" t="str">
        <x:v>S</x:v>
      </x:c>
      <x:c r="AM186" t="str">
        <x:v>REQ000008015778</x:v>
      </x:c>
      <x:c r="AN186" t="str">
        <x:v>disposal</x:v>
      </x:c>
      <x:c r="AO186" t="n">
        <x:v>0</x:v>
      </x:c>
      <x:c r="AP186" s="23" t="str">
        <x:f>IF(E186="processing",IF(Z186="","",IF(ISNUMBER(Z186),INT(Z186),DATE(VALUE(LEFT(Z186,4)),VALUE(MID(Z186,6,2)),VALUE(MID(Z186,9,2))))),IF(OR(E186="executing",E186="pending"),IF(AD186="","",IF(ISNUMBER(AD186),INT(AD186),DATE(VALUE(LEFT(AD186,4)),VALUE(MID(AD186,6,2)),VALUE(MID(AD186,9,2))))),""))</x:f>
      </x:c>
      <x:c r="AQ186" s="24" t="str">
        <x:f>IF(AP186="","",INT('Configuration'!$B$4)-AP186)</x:f>
      </x:c>
      <x:c r="AR186" s="25" t="str">
        <x:f>IF(AP186="","Missing Required Date",IF(AQ186&lt;0,"Future Date",IF(AQ186=0,"0 days",IF(AQ186&lt;=2,"1-2 days",IF(AQ186&lt;=7,"3-7 days",IF(AQ186&lt;=14,"8-14 days",IF(AQ186&lt;=30,"15-30 days",IF(AQ186&lt;=60,"31-60 days",IF(AQ186&lt;=70,"61-70 days","71+ days")))))))))</x:f>
        <x:v>Missing Required Date</x:v>
      </x:c>
      <x:c r="AS186" s="25" t="str">
        <x:f>IF(OR(E186="processing",E186="executing",E186="pending"),IF(AP186="","Required aging date missing",IF(AQ186&gt;30,"Escalate &gt;30d",IF(AQ186&gt;14,"Watch &gt;14d","Within 14d"))),"Out of scope")</x:f>
        <x:v>Out of scope</x:v>
      </x:c>
    </x:row>
    <x:row r="187" ht="24" customHeight="1">
      <x:c r="A187" t="str">
        <x:v>9e935b8b-09b3-4142-b43c-35fd5013c367</x:v>
      </x:c>
      <x:c r="B187" t="str">
        <x:v>CSSP10378006</x:v>
      </x:c>
      <x:c r="C187" t="str">
        <x:v>azad.johari@petronas.com</x:v>
      </x:c>
      <x:c r="D187" t="str">
        <x:v>decommission-cloud</x:v>
      </x:c>
      <x:c r="E187" t="str">
        <x:v>completed</x:v>
      </x:c>
      <x:c r="F187" t="n">
        <x:v>46140.05925644676</x:v>
      </x:c>
      <x:c r="G187" t="n">
        <x:v>46142.33874247685</x:v>
      </x:c>
      <x:c r="H187" t="n">
        <x:v>46140.24325951389</x:v>
      </x:c>
      <x:c r="I187" t="str">
        <x:v>Talent Engine</x:v>
      </x:c>
      <x:c r="J187" t="str">
        <x:v>Cloud Migration - Talent Engine 2.0</x:v>
      </x:c>
      <x:c r="K187" t="str">
        <x:v>full</x:v>
      </x:c>
      <x:c r="L187" t="str">
        <x:v>DCOM20260428a57</x:v>
      </x:c>
      <x:c r="M187" t="str">
        <x:v>amirshazlan.mshah@petronas.com</x:v>
      </x:c>
      <x:c r="N187" t="str">
        <x:v>te2.petronas.com</x:v>
      </x:c>
      <x:c r="O187"/>
      <x:c r="P187" t="str">
        <x:v>App is not in used.</x:v>
      </x:c>
      <x:c r="Q187" t="str">
        <x:v>2W</x:v>
      </x:c>
      <x:c r="R187" t="str">
        <x:v>Obsolete</x:v>
      </x:c>
      <x:c r="S187"/>
      <x:c r="T187" t="str">
        <x:v>approved</x:v>
      </x:c>
      <x:c r="U187" t="str">
        <x:v>azad.johari@petronas.com</x:v>
      </x:c>
      <x:c r="V187" t="n">
        <x:v>46140.24517704861</x:v>
      </x:c>
      <x:c r="W187" t="str">
        <x:v>All resources are selected based on naming convention.</x:v>
      </x:c>
      <x:c r="X187" t="str">
        <x:v>approved</x:v>
      </x:c>
      <x:c r="Y187" t="str">
        <x:v>amirshazlan.mshah@petronas.com</x:v>
      </x:c>
      <x:c r="Z187" t="n">
        <x:v>46140.24697943287</x:v>
      </x:c>
      <x:c r="AA187" t="str">
        <x:v>approved for next steps</x:v>
      </x:c>
      <x:c r="AB187" t="str">
        <x:v>approved</x:v>
      </x:c>
      <x:c r="AC187" t="str">
        <x:v>azwan.badari@petronas.com</x:v>
      </x:c>
      <x:c r="AD187" t="n">
        <x:v>46140.2810146412</x:v>
      </x:c>
      <x:c r="AE187" t="str">
        <x:v>Decommission all resources for 00915_90.
te2.petronas.com
te2-s.petronas.com
</x:v>
      </x:c>
      <x:c r="AF187" t="str">
        <x:v>approved</x:v>
      </x:c>
      <x:c r="AG187" t="str">
        <x:v>azwan.badari@petronas.com</x:v>
      </x:c>
      <x:c r="AH187" t="n">
        <x:v>46142.33874248843</x:v>
      </x:c>
      <x:c r="AI187" t="str">
        <x:v>Completed</x:v>
      </x:c>
      <x:c r="AJ187" t="str">
        <x:v>A-000800</x:v>
      </x:c>
      <x:c r="AK187" t="str">
        <x:v>00915_90</x:v>
      </x:c>
      <x:c r="AL187" t="str">
        <x:v>L</x:v>
      </x:c>
      <x:c r="AM187" t="str">
        <x:v>REQ000008016386</x:v>
      </x:c>
      <x:c r="AN187" t="str">
        <x:v>retention</x:v>
      </x:c>
      <x:c r="AO187" t="n">
        <x:v>14</x:v>
      </x:c>
      <x:c r="AP187" s="23" t="str">
        <x:f>IF(E187="processing",IF(Z187="","",IF(ISNUMBER(Z187),INT(Z187),DATE(VALUE(LEFT(Z187,4)),VALUE(MID(Z187,6,2)),VALUE(MID(Z187,9,2))))),IF(OR(E187="executing",E187="pending"),IF(AD187="","",IF(ISNUMBER(AD187),INT(AD187),DATE(VALUE(LEFT(AD187,4)),VALUE(MID(AD187,6,2)),VALUE(MID(AD187,9,2))))),""))</x:f>
      </x:c>
      <x:c r="AQ187" s="24" t="str">
        <x:f>IF(AP187="","",INT('Configuration'!$B$4)-AP187)</x:f>
      </x:c>
      <x:c r="AR187" s="25" t="str">
        <x:f>IF(AP187="","Missing Required Date",IF(AQ187&lt;0,"Future Date",IF(AQ187=0,"0 days",IF(AQ187&lt;=2,"1-2 days",IF(AQ187&lt;=7,"3-7 days",IF(AQ187&lt;=14,"8-14 days",IF(AQ187&lt;=30,"15-30 days",IF(AQ187&lt;=60,"31-60 days",IF(AQ187&lt;=70,"61-70 days","71+ days")))))))))</x:f>
        <x:v>Missing Required Date</x:v>
      </x:c>
      <x:c r="AS187" s="25" t="str">
        <x:f>IF(OR(E187="processing",E187="executing",E187="pending"),IF(AP187="","Required aging date missing",IF(AQ187&gt;30,"Escalate &gt;30d",IF(AQ187&gt;14,"Watch &gt;14d","Within 14d"))),"Out of scope")</x:f>
        <x:v>Out of scope</x:v>
      </x:c>
    </x:row>
    <x:row r="188" ht="24" customHeight="1">
      <x:c r="A188" t="str">
        <x:v>6682110a-6b2c-4dac-bf24-23719c1b8422</x:v>
      </x:c>
      <x:c r="B188" t="str">
        <x:v>CSSP10763156</x:v>
      </x:c>
      <x:c r="C188" t="str">
        <x:v>mzurfaiezzuddin.zur@petronas.com</x:v>
      </x:c>
      <x:c r="D188" t="str">
        <x:v>decommission-cloud</x:v>
      </x:c>
      <x:c r="E188" t="str">
        <x:v>completed</x:v>
      </x:c>
      <x:c r="F188" t="n">
        <x:v>46140.06829726852</x:v>
      </x:c>
      <x:c r="G188" t="n">
        <x:v>46199.30449136574</x:v>
      </x:c>
      <x:c r="H188" t="n">
        <x:v>46140.06829726852</x:v>
      </x:c>
      <x:c r="I188" t="str">
        <x:v>OE Tracking System PGB</x:v>
      </x:c>
      <x:c r="J188" t="str">
        <x:v>CTP Old to New LZ - PGB OE</x:v>
      </x:c>
      <x:c r="K188" t="str">
        <x:v>partial</x:v>
      </x:c>
      <x:c r="L188"/>
      <x:c r="M188" t="str">
        <x:v>sazali.mokhtar@petronas.com</x:v>
      </x:c>
      <x:c r="N188"/>
      <x:c r="O188"/>
      <x:c r="P188" t="str">
        <x:v>Cloud Repatriation - To decommission old resources in Singapore region due to completed migration in MY region</x:v>
      </x:c>
      <x:c r="Q188" t="str">
        <x:v>2W</x:v>
      </x:c>
      <x:c r="R188" t="str">
        <x:v>Cloud Migration</x:v>
      </x:c>
      <x:c r="S188"/>
      <x:c r="T188" t="str">
        <x:v>approved</x:v>
      </x:c>
      <x:c r="U188" t="str">
        <x:v>mzurfaiezzuddin.zur@petronas.com</x:v>
      </x:c>
      <x:c r="V188" t="n">
        <x:v>46140.06910476852</x:v>
      </x:c>
      <x:c r="W188" t="str">
        <x:v>Cloud Repatriation - To decommission old resources in Singapore region due to completed migration in MY region</x:v>
      </x:c>
      <x:c r="X188" t="str">
        <x:v>approved</x:v>
      </x:c>
      <x:c r="Y188" t="str">
        <x:v>sazali.mokhtar@petronas.com</x:v>
      </x:c>
      <x:c r="Z188" t="n">
        <x:v>46184.07279053241</x:v>
      </x:c>
      <x:c r="AA188" t="str">
        <x:v>Cloud Repatriation - To decommission old resources in Singapore region due to completed migration in MY region</x:v>
      </x:c>
      <x:c r="AB188" t="str">
        <x:v>approved</x:v>
      </x:c>
      <x:c r="AC188" t="str">
        <x:v>azwan.badari@petronas.com</x:v>
      </x:c>
      <x:c r="AD188" t="n">
        <x:v>46184.1054933912</x:v>
      </x:c>
      <x:c r="AE188" t="str">
        <x:v>Decommission PGB OE (02421_76) in SG</x:v>
      </x:c>
      <x:c r="AF188" t="str">
        <x:v>approved</x:v>
      </x:c>
      <x:c r="AG188" t="str">
        <x:v>azwan.badari@petronas.com</x:v>
      </x:c>
      <x:c r="AH188" t="n">
        <x:v>46199.30449137731</x:v>
      </x:c>
      <x:c r="AI188" t="str">
        <x:v>Completed</x:v>
      </x:c>
      <x:c r="AJ188" t="str">
        <x:v>A-000522</x:v>
      </x:c>
      <x:c r="AK188" t="str">
        <x:v>02421_76</x:v>
      </x:c>
      <x:c r="AL188" t="str">
        <x:v>M</x:v>
      </x:c>
      <x:c r="AM188" t="str">
        <x:v>REQ000008094202</x:v>
      </x:c>
      <x:c r="AN188" t="str">
        <x:v>noretention</x:v>
      </x:c>
      <x:c r="AO188" t="n">
        <x:v>0</x:v>
      </x:c>
      <x:c r="AP188" s="23" t="str">
        <x:f>IF(E188="processing",IF(Z188="","",IF(ISNUMBER(Z188),INT(Z188),DATE(VALUE(LEFT(Z188,4)),VALUE(MID(Z188,6,2)),VALUE(MID(Z188,9,2))))),IF(OR(E188="executing",E188="pending"),IF(AD188="","",IF(ISNUMBER(AD188),INT(AD188),DATE(VALUE(LEFT(AD188,4)),VALUE(MID(AD188,6,2)),VALUE(MID(AD188,9,2))))),""))</x:f>
      </x:c>
      <x:c r="AQ188" s="24" t="str">
        <x:f>IF(AP188="","",INT('Configuration'!$B$4)-AP188)</x:f>
      </x:c>
      <x:c r="AR188" s="25" t="str">
        <x:f>IF(AP188="","Missing Required Date",IF(AQ188&lt;0,"Future Date",IF(AQ188=0,"0 days",IF(AQ188&lt;=2,"1-2 days",IF(AQ188&lt;=7,"3-7 days",IF(AQ188&lt;=14,"8-14 days",IF(AQ188&lt;=30,"15-30 days",IF(AQ188&lt;=60,"31-60 days",IF(AQ188&lt;=70,"61-70 days","71+ days")))))))))</x:f>
        <x:v>Missing Required Date</x:v>
      </x:c>
      <x:c r="AS188" s="25" t="str">
        <x:f>IF(OR(E188="processing",E188="executing",E188="pending"),IF(AP188="","Required aging date missing",IF(AQ188&gt;30,"Escalate &gt;30d",IF(AQ188&gt;14,"Watch &gt;14d","Within 14d"))),"Out of scope")</x:f>
        <x:v>Out of scope</x:v>
      </x:c>
    </x:row>
    <x:row r="189" ht="24" customHeight="1">
      <x:c r="A189" t="str">
        <x:v>30539520-1427-42da-b0d9-5671843e8790</x:v>
      </x:c>
      <x:c r="B189" t="str">
        <x:v>CSSP10348826</x:v>
      </x:c>
      <x:c r="C189" t="str">
        <x:v>mizzudin.manuar@petronas.com</x:v>
      </x:c>
      <x:c r="D189" t="str">
        <x:v>decommission-cloud</x:v>
      </x:c>
      <x:c r="E189" t="str">
        <x:v>cancelled</x:v>
      </x:c>
      <x:c r="F189" t="n">
        <x:v>46147.27477614583</x:v>
      </x:c>
      <x:c r="G189" t="n">
        <x:v>46147.275956122685</x:v>
      </x:c>
      <x:c r="H189" t="n">
        <x:v>46147.27477614583</x:v>
      </x:c>
      <x:c r="I189" t="str">
        <x:v>Predictive Rotating Equipment Analytics - PROTEAN</x:v>
      </x:c>
      <x:c r="J189" t="str">
        <x:v>Development of Predictive Analytics for PETRONAS Rotating Equipment Analytics (PROTEAN) for Upstream Center of Excellence</x:v>
      </x:c>
      <x:c r="K189" t="str">
        <x:v>partial</x:v>
      </x:c>
      <x:c r="L189"/>
      <x:c r="M189" t="str">
        <x:v>mohammadsani.johari@petronas.com</x:v>
      </x:c>
      <x:c r="N189"/>
      <x:c r="O189"/>
      <x:c r="P189" t="str">
        <x:v>Not in use</x:v>
      </x:c>
      <x:c r="Q189" t="str">
        <x:v>2W</x:v>
      </x:c>
      <x:c r="R189" t="str">
        <x:v>Not in Used</x:v>
      </x:c>
      <x:c r="S189"/>
      <x:c r="T189" t="str">
        <x:v>rejected</x:v>
      </x:c>
      <x:c r="U189" t="str">
        <x:v>mizzudin.manuar@petronas.com</x:v>
      </x:c>
      <x:c r="V189" t="n">
        <x:v>46147.27595613426</x:v>
      </x:c>
      <x:c r="W189"/>
      <x:c r="X189"/>
      <x:c r="Y189" t="str">
        <x:v>mohammadsani.johari@petronas.com</x:v>
      </x:c>
      <x:c r="Z189"/>
      <x:c r="AA189"/>
      <x:c r="AB189"/>
      <x:c r="AC189" t="str">
        <x:v>CCoE Business</x:v>
      </x:c>
      <x:c r="AD189"/>
      <x:c r="AE189"/>
      <x:c r="AF189"/>
      <x:c r="AG189" t="str">
        <x:v>CCoE Operations</x:v>
      </x:c>
      <x:c r="AH189"/>
      <x:c r="AI189"/>
      <x:c r="AJ189" t="str">
        <x:v>A-000664</x:v>
      </x:c>
      <x:c r="AK189" t="n">
        <x:v>1443</x:v>
      </x:c>
      <x:c r="AL189"/>
      <x:c r="AM189"/>
      <x:c r="AN189" t="str">
        <x:v>retention</x:v>
      </x:c>
      <x:c r="AO189" t="n">
        <x:v>1</x:v>
      </x:c>
      <x:c r="AP189" s="23" t="str">
        <x:f>IF(E189="processing",IF(Z189="","",IF(ISNUMBER(Z189),INT(Z189),DATE(VALUE(LEFT(Z189,4)),VALUE(MID(Z189,6,2)),VALUE(MID(Z189,9,2))))),IF(OR(E189="executing",E189="pending"),IF(AD189="","",IF(ISNUMBER(AD189),INT(AD189),DATE(VALUE(LEFT(AD189,4)),VALUE(MID(AD189,6,2)),VALUE(MID(AD189,9,2))))),""))</x:f>
      </x:c>
      <x:c r="AQ189" s="24" t="str">
        <x:f>IF(AP189="","",INT('Configuration'!$B$4)-AP189)</x:f>
      </x:c>
      <x:c r="AR189" s="25" t="str">
        <x:f>IF(AP189="","Missing Required Date",IF(AQ189&lt;0,"Future Date",IF(AQ189=0,"0 days",IF(AQ189&lt;=2,"1-2 days",IF(AQ189&lt;=7,"3-7 days",IF(AQ189&lt;=14,"8-14 days",IF(AQ189&lt;=30,"15-30 days",IF(AQ189&lt;=60,"31-60 days",IF(AQ189&lt;=70,"61-70 days","71+ days")))))))))</x:f>
        <x:v>Missing Required Date</x:v>
      </x:c>
      <x:c r="AS189" s="25" t="str">
        <x:f>IF(OR(E189="processing",E189="executing",E189="pending"),IF(AP189="","Required aging date missing",IF(AQ189&gt;30,"Escalate &gt;30d",IF(AQ189&gt;14,"Watch &gt;14d","Within 14d"))),"Out of scope")</x:f>
        <x:v>Out of scope</x:v>
      </x:c>
    </x:row>
    <x:row r="190" ht="24" customHeight="1">
      <x:c r="A190" t="str">
        <x:v>d5d33c3c-75ee-45e4-b57e-f2914806c146</x:v>
      </x:c>
      <x:c r="B190" t="str">
        <x:v>CSSP10793668</x:v>
      </x:c>
      <x:c r="C190" t="str">
        <x:v>mizzudin.manuar@petronas.com</x:v>
      </x:c>
      <x:c r="D190" t="str">
        <x:v>decommission-cloud</x:v>
      </x:c>
      <x:c r="E190" t="str">
        <x:v>cancelled</x:v>
      </x:c>
      <x:c r="F190" t="n">
        <x:v>46147.27752340278</x:v>
      </x:c>
      <x:c r="G190" t="n">
        <x:v>46147.278167777775</x:v>
      </x:c>
      <x:c r="H190" t="n">
        <x:v>46147.27752340278</x:v>
      </x:c>
      <x:c r="I190" t="str">
        <x:v>Predictive Rotating Equipment Analytics - PROTEAN</x:v>
      </x:c>
      <x:c r="J190" t="str">
        <x:v>Enhancement of Predictive Analytics for PETRONAS Rotating Equipment Analytics (PROTEAN) for Upstream Center of Excellence</x:v>
      </x:c>
      <x:c r="K190" t="str">
        <x:v>partial</x:v>
      </x:c>
      <x:c r="L190"/>
      <x:c r="M190" t="str">
        <x:v>mohammadsani.johari@petronas.com</x:v>
      </x:c>
      <x:c r="N190"/>
      <x:c r="O190"/>
      <x:c r="P190" t="str">
        <x:v>not in use</x:v>
      </x:c>
      <x:c r="Q190" t="str">
        <x:v>2W</x:v>
      </x:c>
      <x:c r="R190" t="str">
        <x:v>Not in Used</x:v>
      </x:c>
      <x:c r="S190"/>
      <x:c r="T190" t="str">
        <x:v>rejected</x:v>
      </x:c>
      <x:c r="U190" t="str">
        <x:v>mizzudin.manuar@petronas.com</x:v>
      </x:c>
      <x:c r="V190" t="n">
        <x:v>46147.27816780093</x:v>
      </x:c>
      <x:c r="W190"/>
      <x:c r="X190"/>
      <x:c r="Y190" t="str">
        <x:v>mohammadsani.johari@petronas.com</x:v>
      </x:c>
      <x:c r="Z190"/>
      <x:c r="AA190"/>
      <x:c r="AB190"/>
      <x:c r="AC190" t="str">
        <x:v>CCoE Business</x:v>
      </x:c>
      <x:c r="AD190"/>
      <x:c r="AE190"/>
      <x:c r="AF190"/>
      <x:c r="AG190" t="str">
        <x:v>CCoE Operations</x:v>
      </x:c>
      <x:c r="AH190"/>
      <x:c r="AI190"/>
      <x:c r="AJ190" t="str">
        <x:v>A-000664</x:v>
      </x:c>
      <x:c r="AK190" t="n">
        <x:v>2066</x:v>
      </x:c>
      <x:c r="AL190"/>
      <x:c r="AM190"/>
      <x:c r="AN190" t="str">
        <x:v>retention</x:v>
      </x:c>
      <x:c r="AO190" t="n">
        <x:v>1</x:v>
      </x:c>
      <x:c r="AP190" s="23" t="str">
        <x:f>IF(E190="processing",IF(Z190="","",IF(ISNUMBER(Z190),INT(Z190),DATE(VALUE(LEFT(Z190,4)),VALUE(MID(Z190,6,2)),VALUE(MID(Z190,9,2))))),IF(OR(E190="executing",E190="pending"),IF(AD190="","",IF(ISNUMBER(AD190),INT(AD190),DATE(VALUE(LEFT(AD190,4)),VALUE(MID(AD190,6,2)),VALUE(MID(AD190,9,2))))),""))</x:f>
      </x:c>
      <x:c r="AQ190" s="24" t="str">
        <x:f>IF(AP190="","",INT('Configuration'!$B$4)-AP190)</x:f>
      </x:c>
      <x:c r="AR190" s="25" t="str">
        <x:f>IF(AP190="","Missing Required Date",IF(AQ190&lt;0,"Future Date",IF(AQ190=0,"0 days",IF(AQ190&lt;=2,"1-2 days",IF(AQ190&lt;=7,"3-7 days",IF(AQ190&lt;=14,"8-14 days",IF(AQ190&lt;=30,"15-30 days",IF(AQ190&lt;=60,"31-60 days",IF(AQ190&lt;=70,"61-70 days","71+ days")))))))))</x:f>
        <x:v>Missing Required Date</x:v>
      </x:c>
      <x:c r="AS190" s="25" t="str">
        <x:f>IF(OR(E190="processing",E190="executing",E190="pending"),IF(AP190="","Required aging date missing",IF(AQ190&gt;30,"Escalate &gt;30d",IF(AQ190&gt;14,"Watch &gt;14d","Within 14d"))),"Out of scope")</x:f>
        <x:v>Out of scope</x:v>
      </x:c>
    </x:row>
    <x:row r="191" ht="24" customHeight="1">
      <x:c r="A191" t="str">
        <x:v>d5a2ca21-eb2d-46ad-b73c-7177841433b9</x:v>
      </x:c>
      <x:c r="B191" t="str">
        <x:v>CSSP10368977</x:v>
      </x:c>
      <x:c r="C191" t="str">
        <x:v>mizzudin.manuar@petronas.com</x:v>
      </x:c>
      <x:c r="D191" t="str">
        <x:v>decommission-cloud</x:v>
      </x:c>
      <x:c r="E191" t="str">
        <x:v>cancelled</x:v>
      </x:c>
      <x:c r="F191" t="n">
        <x:v>46147.284422523146</x:v>
      </x:c>
      <x:c r="G191" t="n">
        <x:v>46147.28607765046</x:v>
      </x:c>
      <x:c r="H191" t="n">
        <x:v>46147.284422523146</x:v>
      </x:c>
      <x:c r="I191" t="str">
        <x:v>Predictive Rotating Equipment Analytics - PROTEAN</x:v>
      </x:c>
      <x:c r="J191" t="str">
        <x:v>Cloud Migration Program - PROTEAN (PETRONAS Rotating Equipment Analytics)</x:v>
      </x:c>
      <x:c r="K191" t="str">
        <x:v>partial</x:v>
      </x:c>
      <x:c r="L191"/>
      <x:c r="M191" t="str">
        <x:v>mohammadsani.johari@petronas.com</x:v>
      </x:c>
      <x:c r="N191"/>
      <x:c r="O191"/>
      <x:c r="P191" t="str">
        <x:v>not in use</x:v>
      </x:c>
      <x:c r="Q191" t="str">
        <x:v>2W</x:v>
      </x:c>
      <x:c r="R191" t="str">
        <x:v>Not in Used</x:v>
      </x:c>
      <x:c r="S191"/>
      <x:c r="T191" t="str">
        <x:v>rejected</x:v>
      </x:c>
      <x:c r="U191" t="str">
        <x:v>mizzudin.manuar@petronas.com</x:v>
      </x:c>
      <x:c r="V191" t="n">
        <x:v>46147.28607768519</x:v>
      </x:c>
      <x:c r="W191"/>
      <x:c r="X191"/>
      <x:c r="Y191" t="str">
        <x:v>mohammadsani.johari@petronas.com</x:v>
      </x:c>
      <x:c r="Z191"/>
      <x:c r="AA191"/>
      <x:c r="AB191"/>
      <x:c r="AC191" t="str">
        <x:v>CCoE Business</x:v>
      </x:c>
      <x:c r="AD191"/>
      <x:c r="AE191"/>
      <x:c r="AF191"/>
      <x:c r="AG191" t="str">
        <x:v>CCoE Operations</x:v>
      </x:c>
      <x:c r="AH191"/>
      <x:c r="AI191"/>
      <x:c r="AJ191" t="str">
        <x:v>A-000664</x:v>
      </x:c>
      <x:c r="AK191" t="str">
        <x:v>00915_241</x:v>
      </x:c>
      <x:c r="AL191"/>
      <x:c r="AM191"/>
      <x:c r="AN191" t="str">
        <x:v>retention</x:v>
      </x:c>
      <x:c r="AO191" t="n">
        <x:v>1</x:v>
      </x:c>
      <x:c r="AP191" s="23" t="str">
        <x:f>IF(E191="processing",IF(Z191="","",IF(ISNUMBER(Z191),INT(Z191),DATE(VALUE(LEFT(Z191,4)),VALUE(MID(Z191,6,2)),VALUE(MID(Z191,9,2))))),IF(OR(E191="executing",E191="pending"),IF(AD191="","",IF(ISNUMBER(AD191),INT(AD191),DATE(VALUE(LEFT(AD191,4)),VALUE(MID(AD191,6,2)),VALUE(MID(AD191,9,2))))),""))</x:f>
      </x:c>
      <x:c r="AQ191" s="24" t="str">
        <x:f>IF(AP191="","",INT('Configuration'!$B$4)-AP191)</x:f>
      </x:c>
      <x:c r="AR191" s="25" t="str">
        <x:f>IF(AP191="","Missing Required Date",IF(AQ191&lt;0,"Future Date",IF(AQ191=0,"0 days",IF(AQ191&lt;=2,"1-2 days",IF(AQ191&lt;=7,"3-7 days",IF(AQ191&lt;=14,"8-14 days",IF(AQ191&lt;=30,"15-30 days",IF(AQ191&lt;=60,"31-60 days",IF(AQ191&lt;=70,"61-70 days","71+ days")))))))))</x:f>
        <x:v>Missing Required Date</x:v>
      </x:c>
      <x:c r="AS191" s="25" t="str">
        <x:f>IF(OR(E191="processing",E191="executing",E191="pending"),IF(AP191="","Required aging date missing",IF(AQ191&gt;30,"Escalate &gt;30d",IF(AQ191&gt;14,"Watch &gt;14d","Within 14d"))),"Out of scope")</x:f>
        <x:v>Out of scope</x:v>
      </x:c>
    </x:row>
    <x:row r="192" ht="24" customHeight="1">
      <x:c r="A192" t="str">
        <x:v>69ac51a5-7a83-47e9-a9ed-af205e4b9264</x:v>
      </x:c>
      <x:c r="B192" t="str">
        <x:v>CSSP10893834</x:v>
      </x:c>
      <x:c r="C192" t="str">
        <x:v>mizzudin.manuar@petronas.com</x:v>
      </x:c>
      <x:c r="D192" t="str">
        <x:v>decommission-cloud</x:v>
      </x:c>
      <x:c r="E192" t="str">
        <x:v>cancelled</x:v>
      </x:c>
      <x:c r="F192" t="n">
        <x:v>46147.28675936343</x:v>
      </x:c>
      <x:c r="G192" t="n">
        <x:v>46147.28765233796</x:v>
      </x:c>
      <x:c r="H192" t="n">
        <x:v>46147.28675936343</x:v>
      </x:c>
      <x:c r="I192" t="str">
        <x:v>Predictive Rotating Equipment Analytics - PROTEAN</x:v>
      </x:c>
      <x:c r="J192" t="str">
        <x:v>Implementation of PETRONAS Rotating Equipment Analytics (PROTEAN) at MLNG</x:v>
      </x:c>
      <x:c r="K192" t="str">
        <x:v>partial</x:v>
      </x:c>
      <x:c r="L192"/>
      <x:c r="M192" t="str">
        <x:v>mohammadsani.johari@petronas.com</x:v>
      </x:c>
      <x:c r="N192"/>
      <x:c r="O192"/>
      <x:c r="P192" t="str">
        <x:v>not in use</x:v>
      </x:c>
      <x:c r="Q192" t="str">
        <x:v>2W</x:v>
      </x:c>
      <x:c r="R192" t="str">
        <x:v>Not in Used</x:v>
      </x:c>
      <x:c r="S192"/>
      <x:c r="T192" t="str">
        <x:v>rejected</x:v>
      </x:c>
      <x:c r="U192" t="str">
        <x:v>mizzudin.manuar@petronas.com</x:v>
      </x:c>
      <x:c r="V192" t="n">
        <x:v>46147.287652349536</x:v>
      </x:c>
      <x:c r="W192"/>
      <x:c r="X192"/>
      <x:c r="Y192" t="str">
        <x:v>mohammadsani.johari@petronas.com</x:v>
      </x:c>
      <x:c r="Z192"/>
      <x:c r="AA192"/>
      <x:c r="AB192"/>
      <x:c r="AC192" t="str">
        <x:v>CCoE Business</x:v>
      </x:c>
      <x:c r="AD192"/>
      <x:c r="AE192"/>
      <x:c r="AF192"/>
      <x:c r="AG192" t="str">
        <x:v>CCoE Operations</x:v>
      </x:c>
      <x:c r="AH192"/>
      <x:c r="AI192"/>
      <x:c r="AJ192" t="str">
        <x:v>A-000664</x:v>
      </x:c>
      <x:c r="AK192" t="n">
        <x:v>3494</x:v>
      </x:c>
      <x:c r="AL192"/>
      <x:c r="AM192"/>
      <x:c r="AN192" t="str">
        <x:v>retention</x:v>
      </x:c>
      <x:c r="AO192" t="n">
        <x:v>1</x:v>
      </x:c>
      <x:c r="AP192" s="23" t="str">
        <x:f>IF(E192="processing",IF(Z192="","",IF(ISNUMBER(Z192),INT(Z192),DATE(VALUE(LEFT(Z192,4)),VALUE(MID(Z192,6,2)),VALUE(MID(Z192,9,2))))),IF(OR(E192="executing",E192="pending"),IF(AD192="","",IF(ISNUMBER(AD192),INT(AD192),DATE(VALUE(LEFT(AD192,4)),VALUE(MID(AD192,6,2)),VALUE(MID(AD192,9,2))))),""))</x:f>
      </x:c>
      <x:c r="AQ192" s="24" t="str">
        <x:f>IF(AP192="","",INT('Configuration'!$B$4)-AP192)</x:f>
      </x:c>
      <x:c r="AR192" s="25" t="str">
        <x:f>IF(AP192="","Missing Required Date",IF(AQ192&lt;0,"Future Date",IF(AQ192=0,"0 days",IF(AQ192&lt;=2,"1-2 days",IF(AQ192&lt;=7,"3-7 days",IF(AQ192&lt;=14,"8-14 days",IF(AQ192&lt;=30,"15-30 days",IF(AQ192&lt;=60,"31-60 days",IF(AQ192&lt;=70,"61-70 days","71+ days")))))))))</x:f>
        <x:v>Missing Required Date</x:v>
      </x:c>
      <x:c r="AS192" s="25" t="str">
        <x:f>IF(OR(E192="processing",E192="executing",E192="pending"),IF(AP192="","Required aging date missing",IF(AQ192&gt;30,"Escalate &gt;30d",IF(AQ192&gt;14,"Watch &gt;14d","Within 14d"))),"Out of scope")</x:f>
        <x:v>Out of scope</x:v>
      </x:c>
    </x:row>
    <x:row r="193" ht="24" customHeight="1">
      <x:c r="A193" t="str">
        <x:v>1f18c89d-bf71-4ca3-a743-4b12664d51ad</x:v>
      </x:c>
      <x:c r="B193" t="str">
        <x:v>CSSP10815603</x:v>
      </x:c>
      <x:c r="C193" t="str">
        <x:v>norhayati.saad@petronas.com</x:v>
      </x:c>
      <x:c r="D193" t="str">
        <x:v>decommission-cloud</x:v>
      </x:c>
      <x:c r="E193" t="str">
        <x:v>cancelled</x:v>
      </x:c>
      <x:c r="F193" t="n">
        <x:v>46148.09781258102</x:v>
      </x:c>
      <x:c r="G193" t="n">
        <x:v>46148.194012604166</x:v>
      </x:c>
      <x:c r="H193" t="n">
        <x:v>46148.09781258102</x:v>
      </x:c>
      <x:c r="I193" t="str">
        <x:v>Integrated Computing and Security - ICS MRCSB</x:v>
      </x:c>
      <x:c r="J193" t="str">
        <x:v>OCI MIGRATION - ICSPROD: ACS Time Attendance System, HeadCount System, HSE Training Management System (HTMS), MANTRACKS, Meeting Room Booking System, Occupational Health Management System (OHMS)</x:v>
      </x:c>
      <x:c r="K193" t="str">
        <x:v>partial</x:v>
      </x:c>
      <x:c r="L193"/>
      <x:c r="M193" t="str">
        <x:v>sazali.mokhtar@petronas.com</x:v>
      </x:c>
      <x:c r="N193"/>
      <x:c r="O193"/>
      <x:c r="P193" t="str">
        <x:v>Cloud Repatriation - To decommission old resources in Singapore region due to completed migration in MY region</x:v>
      </x:c>
      <x:c r="Q193" t="str">
        <x:v>2W</x:v>
      </x:c>
      <x:c r="R193" t="str">
        <x:v>Cloud Migration</x:v>
      </x:c>
      <x:c r="S193"/>
      <x:c r="T193" t="str">
        <x:v>rejected</x:v>
      </x:c>
      <x:c r="U193" t="str">
        <x:v>norhayati.saad@petronas.com</x:v>
      </x:c>
      <x:c r="V193" t="n">
        <x:v>46148.19401261574</x:v>
      </x:c>
      <x:c r="W193"/>
      <x:c r="X193"/>
      <x:c r="Y193" t="str">
        <x:v>sazali.mokhtar@petronas.com</x:v>
      </x:c>
      <x:c r="Z193"/>
      <x:c r="AA193"/>
      <x:c r="AB193"/>
      <x:c r="AC193" t="str">
        <x:v>CCoE Business</x:v>
      </x:c>
      <x:c r="AD193"/>
      <x:c r="AE193"/>
      <x:c r="AF193"/>
      <x:c r="AG193" t="str">
        <x:v>CCoE Operations</x:v>
      </x:c>
      <x:c r="AH193"/>
      <x:c r="AI193"/>
      <x:c r="AJ193" t="str">
        <x:v>A-000368</x:v>
      </x:c>
      <x:c r="AK193" t="str">
        <x:v>AWSOCI_001</x:v>
      </x:c>
      <x:c r="AL193"/>
      <x:c r="AM193"/>
      <x:c r="AN193" t="str">
        <x:v>noretention</x:v>
      </x:c>
      <x:c r="AO193" t="n">
        <x:v>0</x:v>
      </x:c>
      <x:c r="AP193" s="23" t="str">
        <x:f>IF(E193="processing",IF(Z193="","",IF(ISNUMBER(Z193),INT(Z193),DATE(VALUE(LEFT(Z193,4)),VALUE(MID(Z193,6,2)),VALUE(MID(Z193,9,2))))),IF(OR(E193="executing",E193="pending"),IF(AD193="","",IF(ISNUMBER(AD193),INT(AD193),DATE(VALUE(LEFT(AD193,4)),VALUE(MID(AD193,6,2)),VALUE(MID(AD193,9,2))))),""))</x:f>
      </x:c>
      <x:c r="AQ193" s="24" t="str">
        <x:f>IF(AP193="","",INT('Configuration'!$B$4)-AP193)</x:f>
      </x:c>
      <x:c r="AR193" s="25" t="str">
        <x:f>IF(AP193="","Missing Required Date",IF(AQ193&lt;0,"Future Date",IF(AQ193=0,"0 days",IF(AQ193&lt;=2,"1-2 days",IF(AQ193&lt;=7,"3-7 days",IF(AQ193&lt;=14,"8-14 days",IF(AQ193&lt;=30,"15-30 days",IF(AQ193&lt;=60,"31-60 days",IF(AQ193&lt;=70,"61-70 days","71+ days")))))))))</x:f>
        <x:v>Missing Required Date</x:v>
      </x:c>
      <x:c r="AS193" s="25" t="str">
        <x:f>IF(OR(E193="processing",E193="executing",E193="pending"),IF(AP193="","Required aging date missing",IF(AQ193&gt;30,"Escalate &gt;30d",IF(AQ193&gt;14,"Watch &gt;14d","Within 14d"))),"Out of scope")</x:f>
        <x:v>Out of scope</x:v>
      </x:c>
    </x:row>
    <x:row r="194" ht="24" customHeight="1">
      <x:c r="A194" t="str">
        <x:v>c39c0832-4a3f-4963-b09a-28839a07de0e</x:v>
      </x:c>
      <x:c r="B194" t="str">
        <x:v>CSSP10209084</x:v>
      </x:c>
      <x:c r="C194" t="str">
        <x:v>azril.samad@petronas.com</x:v>
      </x:c>
      <x:c r="D194" t="str">
        <x:v>decommission-cloud</x:v>
      </x:c>
      <x:c r="E194" t="str">
        <x:v>completed</x:v>
      </x:c>
      <x:c r="F194" t="n">
        <x:v>46148.16625650463</x:v>
      </x:c>
      <x:c r="G194" t="n">
        <x:v>46161.33211163194</x:v>
      </x:c>
      <x:c r="H194" t="n">
        <x:v>46148.16625650463</x:v>
      </x:c>
      <x:c r="I194" t="str">
        <x:v>Video Analytics - VA</x:v>
      </x:c>
      <x:c r="J194" t="str">
        <x:v>Video Analytics Pilot Implementation for PeTT Tower 1</x:v>
      </x:c>
      <x:c r="K194" t="str">
        <x:v>full</x:v>
      </x:c>
      <x:c r="L194" t="str">
        <x:v>DCOM20260506dbf</x:v>
      </x:c>
      <x:c r="M194" t="str">
        <x:v>mfauzi.atan@petronas.com.my</x:v>
      </x:c>
      <x:c r="N194"/>
      <x:c r="O194"/>
      <x:c r="P194" t="str">
        <x:v>VA not in used anymore to monitor and analyze personal that enter VIP floor</x:v>
      </x:c>
      <x:c r="Q194" t="str">
        <x:v>12M</x:v>
      </x:c>
      <x:c r="R194" t="str">
        <x:v>Not in Used</x:v>
      </x:c>
      <x:c r="S194"/>
      <x:c r="T194" t="str">
        <x:v>approved</x:v>
      </x:c>
      <x:c r="U194" t="str">
        <x:v>azril.samad@petronas.com</x:v>
      </x:c>
      <x:c r="V194" t="n">
        <x:v>46148.24025549769</x:v>
      </x:c>
      <x:c r="W194" t="str">
        <x:v>Server need to be decommissioning is a physical server, server info as attached</x:v>
      </x:c>
      <x:c r="X194" t="str">
        <x:v>approved</x:v>
      </x:c>
      <x:c r="Y194" t="str">
        <x:v>mfauzi.atan@petronas.com</x:v>
      </x:c>
      <x:c r="Z194" t="n">
        <x:v>46155.33521841435</x:v>
      </x:c>
      <x:c r="AA194" t="str">
        <x:v>Approval has been granted as agreed in the REAL Programme Sub‑PWC meeting. You may proceed with the decommissioning.</x:v>
      </x:c>
      <x:c r="AB194" t="str">
        <x:v>approved</x:v>
      </x:c>
      <x:c r="AC194" t="str">
        <x:v>azwan.badari@petronas.com</x:v>
      </x:c>
      <x:c r="AD194" t="n">
        <x:v>46156.09948118056</x:v>
      </x:c>
      <x:c r="AE194" t="str">
        <x:v>Proceed to decomm the mentioned physical server</x:v>
      </x:c>
      <x:c r="AF194" t="str">
        <x:v>approved</x:v>
      </x:c>
      <x:c r="AG194" t="str">
        <x:v>azlisham.md@petronas.com</x:v>
      </x:c>
      <x:c r="AH194" t="n">
        <x:v>46161.33211163194</x:v>
      </x:c>
      <x:c r="AI194" t="str">
        <x:v>The decommission request has been completed, and the status is now updated accordingly. Kindly verify from your end and confirm once reviewed.
</x:v>
      </x:c>
      <x:c r="AJ194" t="str">
        <x:v>A-000829</x:v>
      </x:c>
      <x:c r="AK194" t="n">
        <x:v>3002</x:v>
      </x:c>
      <x:c r="AL194" t="str">
        <x:v>L</x:v>
      </x:c>
      <x:c r="AM194" t="str">
        <x:v>REQ000008047186</x:v>
      </x:c>
      <x:c r="AN194" t="str">
        <x:v>retention</x:v>
      </x:c>
      <x:c r="AO194" t="n">
        <x:v>365</x:v>
      </x:c>
      <x:c r="AP194" s="23" t="str">
        <x:f>IF(E194="processing",IF(Z194="","",IF(ISNUMBER(Z194),INT(Z194),DATE(VALUE(LEFT(Z194,4)),VALUE(MID(Z194,6,2)),VALUE(MID(Z194,9,2))))),IF(OR(E194="executing",E194="pending"),IF(AD194="","",IF(ISNUMBER(AD194),INT(AD194),DATE(VALUE(LEFT(AD194,4)),VALUE(MID(AD194,6,2)),VALUE(MID(AD194,9,2))))),""))</x:f>
      </x:c>
      <x:c r="AQ194" s="24" t="str">
        <x:f>IF(AP194="","",INT('Configuration'!$B$4)-AP194)</x:f>
      </x:c>
      <x:c r="AR194" s="25" t="str">
        <x:f>IF(AP194="","Missing Required Date",IF(AQ194&lt;0,"Future Date",IF(AQ194=0,"0 days",IF(AQ194&lt;=2,"1-2 days",IF(AQ194&lt;=7,"3-7 days",IF(AQ194&lt;=14,"8-14 days",IF(AQ194&lt;=30,"15-30 days",IF(AQ194&lt;=60,"31-60 days",IF(AQ194&lt;=70,"61-70 days","71+ days")))))))))</x:f>
        <x:v>Missing Required Date</x:v>
      </x:c>
      <x:c r="AS194" s="25" t="str">
        <x:f>IF(OR(E194="processing",E194="executing",E194="pending"),IF(AP194="","Required aging date missing",IF(AQ194&gt;30,"Escalate &gt;30d",IF(AQ194&gt;14,"Watch &gt;14d","Within 14d"))),"Out of scope")</x:f>
        <x:v>Out of scope</x:v>
      </x:c>
    </x:row>
    <x:row r="195" ht="24" customHeight="1">
      <x:c r="A195" t="str">
        <x:v>13faefb1-4529-4555-a487-7171e4af722c</x:v>
      </x:c>
      <x:c r="B195" t="str">
        <x:v>CSSP10207194</x:v>
      </x:c>
      <x:c r="C195" t="str">
        <x:v>norhayati.saad@petronas.com</x:v>
      </x:c>
      <x:c r="D195" t="str">
        <x:v>decommission-cloud</x:v>
      </x:c>
      <x:c r="E195" t="str">
        <x:v>cancelled</x:v>
      </x:c>
      <x:c r="F195" t="n">
        <x:v>46148.19542685185</x:v>
      </x:c>
      <x:c r="G195" t="n">
        <x:v>46156.0700465162</x:v>
      </x:c>
      <x:c r="H195" t="n">
        <x:v>46148.19542685185</x:v>
      </x:c>
      <x:c r="I195" t="str">
        <x:v>Integrated Computing and Security - ICS MRCSB</x:v>
      </x:c>
      <x:c r="J195" t="str">
        <x:v>OCI MIGRATION - ACS Time Attendance System, HeadCount System, HSE Training Management System (HTMS), MANTRACKS, Meeting Room Booking System, Occupational Health Management System (OHMS)</x:v>
      </x:c>
      <x:c r="K195" t="str">
        <x:v>partial</x:v>
      </x:c>
      <x:c r="L195"/>
      <x:c r="M195" t="str">
        <x:v>sazali.mokhtar@petronas.com</x:v>
      </x:c>
      <x:c r="N195"/>
      <x:c r="O195"/>
      <x:c r="P195" t="str">
        <x:v>Cloud Repatriation - To decommission old resources in Singapore region due to completed migration in MY region</x:v>
      </x:c>
      <x:c r="Q195" t="str">
        <x:v>2W</x:v>
      </x:c>
      <x:c r="R195" t="str">
        <x:v>Cloud Migration</x:v>
      </x:c>
      <x:c r="S195"/>
      <x:c r="T195" t="str">
        <x:v>rejected</x:v>
      </x:c>
      <x:c r="U195" t="str">
        <x:v>norhayati.saad@petronas.com</x:v>
      </x:c>
      <x:c r="V195" t="n">
        <x:v>46156.07004652778</x:v>
      </x:c>
      <x:c r="W195"/>
      <x:c r="X195"/>
      <x:c r="Y195" t="str">
        <x:v>sazali.mokhtar@petronas.com</x:v>
      </x:c>
      <x:c r="Z195"/>
      <x:c r="AA195"/>
      <x:c r="AB195"/>
      <x:c r="AC195" t="str">
        <x:v>CCoE Business</x:v>
      </x:c>
      <x:c r="AD195"/>
      <x:c r="AE195"/>
      <x:c r="AF195"/>
      <x:c r="AG195" t="str">
        <x:v>CCoE Operations</x:v>
      </x:c>
      <x:c r="AH195"/>
      <x:c r="AI195"/>
      <x:c r="AJ195" t="str">
        <x:v>A-000368</x:v>
      </x:c>
      <x:c r="AK195" t="str">
        <x:v>OCI-00029</x:v>
      </x:c>
      <x:c r="AL195"/>
      <x:c r="AM195"/>
      <x:c r="AN195" t="str">
        <x:v>noretention</x:v>
      </x:c>
      <x:c r="AO195" t="n">
        <x:v>0</x:v>
      </x:c>
      <x:c r="AP195" s="23" t="str">
        <x:f>IF(E195="processing",IF(Z195="","",IF(ISNUMBER(Z195),INT(Z195),DATE(VALUE(LEFT(Z195,4)),VALUE(MID(Z195,6,2)),VALUE(MID(Z195,9,2))))),IF(OR(E195="executing",E195="pending"),IF(AD195="","",IF(ISNUMBER(AD195),INT(AD195),DATE(VALUE(LEFT(AD195,4)),VALUE(MID(AD195,6,2)),VALUE(MID(AD195,9,2))))),""))</x:f>
      </x:c>
      <x:c r="AQ195" s="24" t="str">
        <x:f>IF(AP195="","",INT('Configuration'!$B$4)-AP195)</x:f>
      </x:c>
      <x:c r="AR195" s="25" t="str">
        <x:f>IF(AP195="","Missing Required Date",IF(AQ195&lt;0,"Future Date",IF(AQ195=0,"0 days",IF(AQ195&lt;=2,"1-2 days",IF(AQ195&lt;=7,"3-7 days",IF(AQ195&lt;=14,"8-14 days",IF(AQ195&lt;=30,"15-30 days",IF(AQ195&lt;=60,"31-60 days",IF(AQ195&lt;=70,"61-70 days","71+ days")))))))))</x:f>
        <x:v>Missing Required Date</x:v>
      </x:c>
      <x:c r="AS195" s="25" t="str">
        <x:f>IF(OR(E195="processing",E195="executing",E195="pending"),IF(AP195="","Required aging date missing",IF(AQ195&gt;30,"Escalate &gt;30d",IF(AQ195&gt;14,"Watch &gt;14d","Within 14d"))),"Out of scope")</x:f>
        <x:v>Out of scope</x:v>
      </x:c>
    </x:row>
    <x:row r="196" ht="24" customHeight="1">
      <x:c r="A196" t="str">
        <x:v>1d1a1ce9-935e-4b7d-96c8-c70b28b529e2</x:v>
      </x:c>
      <x:c r="B196" t="str">
        <x:v>CSSP10420125</x:v>
      </x:c>
      <x:c r="C196" t="str">
        <x:v>mzurfaiezzuddin.zur@petronas.com</x:v>
      </x:c>
      <x:c r="D196" t="str">
        <x:v>decommission-cloud</x:v>
      </x:c>
      <x:c r="E196" t="str">
        <x:v>executing</x:v>
      </x:c>
      <x:c r="F196" t="n">
        <x:v>46154.10718013889</x:v>
      </x:c>
      <x:c r="G196" t="n">
        <x:v>46237.27009903935</x:v>
      </x:c>
      <x:c r="H196" t="n">
        <x:v>46154.10718013889</x:v>
      </x:c>
      <x:c r="I196" t="str">
        <x:v>PIVOT Predict RT</x:v>
      </x:c>
      <x:c r="J196" t="str">
        <x:v>OSR00154: Support and Maintenance for PIVOT Program for Group Digital – CAPEX – PIVOT Predict RT</x:v>
      </x:c>
      <x:c r="K196" t="str">
        <x:v>partial</x:v>
      </x:c>
      <x:c r="L196"/>
      <x:c r="M196" t="str">
        <x:v>sazali.mokhtar@petronas.com</x:v>
      </x:c>
      <x:c r="N196"/>
      <x:c r="O196"/>
      <x:c r="P196" t="str">
        <x:v>Cloud Repatriation - To decommission old resources in Singapore region due to completed migration in MY region</x:v>
      </x:c>
      <x:c r="Q196" t="str">
        <x:v>2W</x:v>
      </x:c>
      <x:c r="R196" t="str">
        <x:v>Cloud Migration</x:v>
      </x:c>
      <x:c r="S196"/>
      <x:c r="T196" t="str">
        <x:v>approved</x:v>
      </x:c>
      <x:c r="U196" t="str">
        <x:v>mzurfaiezzuddin.zur@petronas.com</x:v>
      </x:c>
      <x:c r="V196" t="n">
        <x:v>46154.108389155095</x:v>
      </x:c>
      <x:c r="W196" t="str">
        <x:v>Cloud Repatriation - To decommission old resources in Singapore region due to completed migration in MY region</x:v>
      </x:c>
      <x:c r="X196" t="str">
        <x:v>approved</x:v>
      </x:c>
      <x:c r="Y196" t="str">
        <x:v>sazali.mokhtar@petronas.com</x:v>
      </x:c>
      <x:c r="Z196" t="n">
        <x:v>46184.073266527776</x:v>
      </x:c>
      <x:c r="AA196" t="str">
        <x:v>Cloud Repatriation - To decommission old resources in Singapore region due to completed migration in MY region</x:v>
      </x:c>
      <x:c r="AB196" t="str">
        <x:v>approved</x:v>
      </x:c>
      <x:c r="AC196" t="str">
        <x:v>abhishek.bhowate@petronas.com</x:v>
      </x:c>
      <x:c r="AD196" t="n">
        <x:v>46237.270099050926</x:v>
      </x:c>
      <x:c r="AE196" t="str">
        <x:v>approved</x:v>
      </x:c>
      <x:c r="AF196"/>
      <x:c r="AG196" t="str">
        <x:v>swaminadh.chirakala@petronas.com</x:v>
      </x:c>
      <x:c r="AH196"/>
      <x:c r="AI196"/>
      <x:c r="AJ196" t="str">
        <x:v>A-000611</x:v>
      </x:c>
      <x:c r="AK196" t="str">
        <x:v>OSR00154_2</x:v>
      </x:c>
      <x:c r="AL196" t="str">
        <x:v>M</x:v>
      </x:c>
      <x:c r="AM196" t="str">
        <x:v>REQ000008214221</x:v>
      </x:c>
      <x:c r="AN196" t="str">
        <x:v>noretention</x:v>
      </x:c>
      <x:c r="AO196" t="n">
        <x:v>0</x:v>
      </x:c>
      <x:c r="AP196" s="23" t="n">
        <x:f>IF(E196="processing",IF(Z196="","",IF(ISNUMBER(Z196),INT(Z196),DATE(VALUE(LEFT(Z196,4)),VALUE(MID(Z196,6,2)),VALUE(MID(Z196,9,2))))),IF(OR(E196="executing",E196="pending"),IF(AD196="","",IF(ISNUMBER(AD196),INT(AD196),DATE(VALUE(LEFT(AD196,4)),VALUE(MID(AD196,6,2)),VALUE(MID(AD196,9,2))))),""))</x:f>
        <x:v>46237</x:v>
      </x:c>
      <x:c r="AQ196" s="24" t="n">
        <x:f>IF(AP196="","",INT('Configuration'!$B$4)-AP196)</x:f>
        <x:v>14</x:v>
      </x:c>
      <x:c r="AR196" s="25" t="str">
        <x:f>IF(AP196="","Missing Required Date",IF(AQ196&lt;0,"Future Date",IF(AQ196=0,"0 days",IF(AQ196&lt;=2,"1-2 days",IF(AQ196&lt;=7,"3-7 days",IF(AQ196&lt;=14,"8-14 days",IF(AQ196&lt;=30,"15-30 days",IF(AQ196&lt;=60,"31-60 days",IF(AQ196&lt;=70,"61-70 days","71+ days")))))))))</x:f>
        <x:v>8-14 days</x:v>
      </x:c>
      <x:c r="AS196" s="25" t="str">
        <x:f>IF(OR(E196="processing",E196="executing",E196="pending"),IF(AP196="","Required aging date missing",IF(AQ196&gt;30,"Escalate &gt;30d",IF(AQ196&gt;14,"Watch &gt;14d","Within 14d"))),"Out of scope")</x:f>
        <x:v>Within 14d</x:v>
      </x:c>
    </x:row>
    <x:row r="197" ht="24" customHeight="1">
      <x:c r="A197" t="str">
        <x:v>28ed5a8c-6d01-429e-a54b-77975b46c7aa</x:v>
      </x:c>
      <x:c r="B197" t="str">
        <x:v>CSSP10179613</x:v>
      </x:c>
      <x:c r="C197" t="str">
        <x:v>mzurfaiezzuddin.zur@petronas.com</x:v>
      </x:c>
      <x:c r="D197" t="str">
        <x:v>decommission-cloud</x:v>
      </x:c>
      <x:c r="E197" t="str">
        <x:v>completed</x:v>
      </x:c>
      <x:c r="F197" t="n">
        <x:v>46154.130463217596</x:v>
      </x:c>
      <x:c r="G197" t="n">
        <x:v>46209.08926409722</x:v>
      </x:c>
      <x:c r="H197" t="n">
        <x:v>46154.130463217596</x:v>
      </x:c>
      <x:c r="I197" t="str">
        <x:v>Integrated Computing and Security - ICS MRCSB</x:v>
      </x:c>
      <x:c r="J197" t="str">
        <x:v>OCI MIGRATION - ICSPROD: ACS Time Attendance System, HeadCount System, HSE Training Management System (HTMS), MANTRACKS, Meeting Room Booking System, Occupational Health Management System (OHMS)</x:v>
      </x:c>
      <x:c r="K197" t="str">
        <x:v>partial</x:v>
      </x:c>
      <x:c r="L197"/>
      <x:c r="M197" t="str">
        <x:v>sazali.mokhtar@petronas.com</x:v>
      </x:c>
      <x:c r="N197"/>
      <x:c r="O197"/>
      <x:c r="P197" t="str">
        <x:v>Cloud Repatriation - To decommission old resources in Singapore region due to completed migration in MY region</x:v>
      </x:c>
      <x:c r="Q197" t="str">
        <x:v>2W</x:v>
      </x:c>
      <x:c r="R197" t="str">
        <x:v>Cloud Migration</x:v>
      </x:c>
      <x:c r="S197"/>
      <x:c r="T197" t="str">
        <x:v>approved</x:v>
      </x:c>
      <x:c r="U197" t="str">
        <x:v>mzurfaiezzuddin.zur@petronas.com</x:v>
      </x:c>
      <x:c r="V197" t="n">
        <x:v>46154.13086045139</x:v>
      </x:c>
      <x:c r="W197" t="str">
        <x:v>Cloud Repatriation - To decommission old resources in Singapore region due to completed migration in MY region</x:v>
      </x:c>
      <x:c r="X197" t="str">
        <x:v>approved</x:v>
      </x:c>
      <x:c r="Y197" t="str">
        <x:v>sazali.mokhtar@petronas.com</x:v>
      </x:c>
      <x:c r="Z197" t="n">
        <x:v>46184.071406724535</x:v>
      </x:c>
      <x:c r="AA197" t="str">
        <x:v>Cloud Repatriation - To decommission old resources in Singapore region due to completed migration in MY region</x:v>
      </x:c>
      <x:c r="AB197" t="str">
        <x:v>approved</x:v>
      </x:c>
      <x:c r="AC197" t="str">
        <x:v>azwan.badari@petronas.com</x:v>
      </x:c>
      <x:c r="AD197" t="n">
        <x:v>46197.397345185185</x:v>
      </x:c>
      <x:c r="AE197" t="str">
        <x:v>Refer to attached list</x:v>
      </x:c>
      <x:c r="AF197" t="str">
        <x:v>approved</x:v>
      </x:c>
      <x:c r="AG197" t="str">
        <x:v>azlisham.md@petronas.com</x:v>
      </x:c>
      <x:c r="AH197" t="n">
        <x:v>46209.0892641088</x:v>
      </x:c>
      <x:c r="AI197" t="str">
        <x:v>The decommission request has been completed, and the status is now updated accordingly. Kindly verify from your end and confirm once reviewed.
</x:v>
      </x:c>
      <x:c r="AJ197" t="str">
        <x:v>A-000368</x:v>
      </x:c>
      <x:c r="AK197" t="str">
        <x:v>AWSOCI_001</x:v>
      </x:c>
      <x:c r="AL197" t="str">
        <x:v>M</x:v>
      </x:c>
      <x:c r="AM197" t="str">
        <x:v>REQ000008119650</x:v>
      </x:c>
      <x:c r="AN197" t="str">
        <x:v>noretention</x:v>
      </x:c>
      <x:c r="AO197" t="n">
        <x:v>0</x:v>
      </x:c>
      <x:c r="AP197" s="23" t="str">
        <x:f>IF(E197="processing",IF(Z197="","",IF(ISNUMBER(Z197),INT(Z197),DATE(VALUE(LEFT(Z197,4)),VALUE(MID(Z197,6,2)),VALUE(MID(Z197,9,2))))),IF(OR(E197="executing",E197="pending"),IF(AD197="","",IF(ISNUMBER(AD197),INT(AD197),DATE(VALUE(LEFT(AD197,4)),VALUE(MID(AD197,6,2)),VALUE(MID(AD197,9,2))))),""))</x:f>
      </x:c>
      <x:c r="AQ197" s="24" t="str">
        <x:f>IF(AP197="","",INT('Configuration'!$B$4)-AP197)</x:f>
      </x:c>
      <x:c r="AR197" s="25" t="str">
        <x:f>IF(AP197="","Missing Required Date",IF(AQ197&lt;0,"Future Date",IF(AQ197=0,"0 days",IF(AQ197&lt;=2,"1-2 days",IF(AQ197&lt;=7,"3-7 days",IF(AQ197&lt;=14,"8-14 days",IF(AQ197&lt;=30,"15-30 days",IF(AQ197&lt;=60,"31-60 days",IF(AQ197&lt;=70,"61-70 days","71+ days")))))))))</x:f>
        <x:v>Missing Required Date</x:v>
      </x:c>
      <x:c r="AS197" s="25" t="str">
        <x:f>IF(OR(E197="processing",E197="executing",E197="pending"),IF(AP197="","Required aging date missing",IF(AQ197&gt;30,"Escalate &gt;30d",IF(AQ197&gt;14,"Watch &gt;14d","Within 14d"))),"Out of scope")</x:f>
        <x:v>Out of scope</x:v>
      </x:c>
    </x:row>
    <x:row r="198" ht="24" customHeight="1">
      <x:c r="A198" t="str">
        <x:v>457e2146-e81a-4745-a837-4ff03e8ef757</x:v>
      </x:c>
      <x:c r="B198" t="str">
        <x:v>CSSP10587615</x:v>
      </x:c>
      <x:c r="C198" t="str">
        <x:v>mzurfaiezzuddin.zur@petronas.com</x:v>
      </x:c>
      <x:c r="D198" t="str">
        <x:v>decommission-cloud</x:v>
      </x:c>
      <x:c r="E198" t="str">
        <x:v>completed</x:v>
      </x:c>
      <x:c r="F198" t="n">
        <x:v>46154.131949490744</x:v>
      </x:c>
      <x:c r="G198" t="n">
        <x:v>46204.35559331018</x:v>
      </x:c>
      <x:c r="H198" t="n">
        <x:v>46154.131949490744</x:v>
      </x:c>
      <x:c r="I198" t="str">
        <x:v>Integrated Computing and Security - ICS MRCSB</x:v>
      </x:c>
      <x:c r="J198" t="str">
        <x:v>OCI MIGRATION - ACS Time Attendance System, HeadCount System, HSE Training Management System (HTMS), MANTRACKS, Meeting Room Booking System, Occupational Health Management System (OHMS)</x:v>
      </x:c>
      <x:c r="K198" t="str">
        <x:v>partial</x:v>
      </x:c>
      <x:c r="L198"/>
      <x:c r="M198" t="str">
        <x:v>sazali.mokhtar@petronas.com</x:v>
      </x:c>
      <x:c r="N198"/>
      <x:c r="O198"/>
      <x:c r="P198" t="str">
        <x:v>Cloud Repatriation - To decommission old resources in Singapore region due to completed migration in MY region</x:v>
      </x:c>
      <x:c r="Q198" t="str">
        <x:v>2W</x:v>
      </x:c>
      <x:c r="R198" t="str">
        <x:v>Cloud Migration</x:v>
      </x:c>
      <x:c r="S198"/>
      <x:c r="T198" t="str">
        <x:v>approved</x:v>
      </x:c>
      <x:c r="U198" t="str">
        <x:v>mzurfaiezzuddin.zur@petronas.com</x:v>
      </x:c>
      <x:c r="V198" t="n">
        <x:v>46154.13225189815</x:v>
      </x:c>
      <x:c r="W198" t="str">
        <x:v>Cloud Repatriation - To decommission old resources in Singapore region due to completed migration in MY region</x:v>
      </x:c>
      <x:c r="X198" t="str">
        <x:v>approved</x:v>
      </x:c>
      <x:c r="Y198" t="str">
        <x:v>sazali.mokhtar@petronas.com</x:v>
      </x:c>
      <x:c r="Z198" t="n">
        <x:v>46184.0706468287</x:v>
      </x:c>
      <x:c r="AA198" t="str">
        <x:v>Cloud Repatriation - To decommission old resources in Singapore region due to completed migration in MY region</x:v>
      </x:c>
      <x:c r="AB198" t="str">
        <x:v>approved</x:v>
      </x:c>
      <x:c r="AC198" t="str">
        <x:v>azwan.badari@petronas.com</x:v>
      </x:c>
      <x:c r="AD198" t="n">
        <x:v>46197.39798722222</x:v>
      </x:c>
      <x:c r="AE198" t="str">
        <x:v>Refer to attachment and selected resources</x:v>
      </x:c>
      <x:c r="AF198" t="str">
        <x:v>approved</x:v>
      </x:c>
      <x:c r="AG198" t="str">
        <x:v>azlisham.md@petronas.com</x:v>
      </x:c>
      <x:c r="AH198" t="n">
        <x:v>46204.35559332176</x:v>
      </x:c>
      <x:c r="AI198" t="str">
        <x:v>The decommission request has been completed, and the status is now updated accordingly. Kindly verify from your end and confirm once reviewed.
</x:v>
      </x:c>
      <x:c r="AJ198" t="str">
        <x:v>A-000368</x:v>
      </x:c>
      <x:c r="AK198" t="str">
        <x:v>OCI-00029</x:v>
      </x:c>
      <x:c r="AL198" t="str">
        <x:v>M</x:v>
      </x:c>
      <x:c r="AM198" t="str">
        <x:v>REQ000008119756</x:v>
      </x:c>
      <x:c r="AN198" t="str">
        <x:v>noretention</x:v>
      </x:c>
      <x:c r="AO198" t="n">
        <x:v>0</x:v>
      </x:c>
      <x:c r="AP198" s="23" t="str">
        <x:f>IF(E198="processing",IF(Z198="","",IF(ISNUMBER(Z198),INT(Z198),DATE(VALUE(LEFT(Z198,4)),VALUE(MID(Z198,6,2)),VALUE(MID(Z198,9,2))))),IF(OR(E198="executing",E198="pending"),IF(AD198="","",IF(ISNUMBER(AD198),INT(AD198),DATE(VALUE(LEFT(AD198,4)),VALUE(MID(AD198,6,2)),VALUE(MID(AD198,9,2))))),""))</x:f>
      </x:c>
      <x:c r="AQ198" s="24" t="str">
        <x:f>IF(AP198="","",INT('Configuration'!$B$4)-AP198)</x:f>
      </x:c>
      <x:c r="AR198" s="25" t="str">
        <x:f>IF(AP198="","Missing Required Date",IF(AQ198&lt;0,"Future Date",IF(AQ198=0,"0 days",IF(AQ198&lt;=2,"1-2 days",IF(AQ198&lt;=7,"3-7 days",IF(AQ198&lt;=14,"8-14 days",IF(AQ198&lt;=30,"15-30 days",IF(AQ198&lt;=60,"31-60 days",IF(AQ198&lt;=70,"61-70 days","71+ days")))))))))</x:f>
        <x:v>Missing Required Date</x:v>
      </x:c>
      <x:c r="AS198" s="25" t="str">
        <x:f>IF(OR(E198="processing",E198="executing",E198="pending"),IF(AP198="","Required aging date missing",IF(AQ198&gt;30,"Escalate &gt;30d",IF(AQ198&gt;14,"Watch &gt;14d","Within 14d"))),"Out of scope")</x:f>
        <x:v>Out of scope</x:v>
      </x:c>
    </x:row>
    <x:row r="199" ht="24" customHeight="1">
      <x:c r="A199" t="str">
        <x:v>485a878f-5174-4515-8b68-b126c8064645</x:v>
      </x:c>
      <x:c r="B199" t="str">
        <x:v>CSSP10257750</x:v>
      </x:c>
      <x:c r="C199" t="str">
        <x:v>mzurfaiezzuddin.zur@petronas.com</x:v>
      </x:c>
      <x:c r="D199" t="str">
        <x:v>decommission-cloud</x:v>
      </x:c>
      <x:c r="E199" t="str">
        <x:v>completed</x:v>
      </x:c>
      <x:c r="F199" t="n">
        <x:v>46154.33913465278</x:v>
      </x:c>
      <x:c r="G199" t="n">
        <x:v>46203.37496537037</x:v>
      </x:c>
      <x:c r="H199" t="n">
        <x:v>46154.33913465278</x:v>
      </x:c>
      <x:c r="I199" t="str">
        <x:v>Offshore/Onshore Safety Integrated System - OSIS</x:v>
      </x:c>
      <x:c r="J199" t="str">
        <x:v>Development of Offshore/Onshore Safety Integrated System (OSIS) for Upstream HSE</x:v>
      </x:c>
      <x:c r="K199" t="str">
        <x:v>partial</x:v>
      </x:c>
      <x:c r="L199"/>
      <x:c r="M199" t="str">
        <x:v>sazali.mokhtar@petronas.com</x:v>
      </x:c>
      <x:c r="N199"/>
      <x:c r="O199"/>
      <x:c r="P199" t="str">
        <x:v>Cloud Repatriation - To decommission old resources in Singapore region due to completed migration in MY region</x:v>
      </x:c>
      <x:c r="Q199" t="str">
        <x:v>2W</x:v>
      </x:c>
      <x:c r="R199" t="str">
        <x:v>Cloud Migration</x:v>
      </x:c>
      <x:c r="S199"/>
      <x:c r="T199" t="str">
        <x:v>approved</x:v>
      </x:c>
      <x:c r="U199" t="str">
        <x:v>mzurfaiezzuddin.zur@petronas.com</x:v>
      </x:c>
      <x:c r="V199" t="n">
        <x:v>46154.34029733796</x:v>
      </x:c>
      <x:c r="W199" t="str">
        <x:v>Cloud Repatriation - To decommission old resources in Singapore region due to completed migration in MY region</x:v>
      </x:c>
      <x:c r="X199" t="str">
        <x:v>approved</x:v>
      </x:c>
      <x:c r="Y199" t="str">
        <x:v>sazali.mokhtar@petronas.com</x:v>
      </x:c>
      <x:c r="Z199" t="n">
        <x:v>46184.069686006944</x:v>
      </x:c>
      <x:c r="AA199" t="str">
        <x:v>Cloud Repatriation - To decommission old resources in Singapore region due to completed migration in MY region</x:v>
      </x:c>
      <x:c r="AB199" t="str">
        <x:v>approved</x:v>
      </x:c>
      <x:c r="AC199" t="str">
        <x:v>azwan.badari@petronas.com</x:v>
      </x:c>
      <x:c r="AD199" t="n">
        <x:v>46195.069912175924</x:v>
      </x:c>
      <x:c r="AE199" t="str">
        <x:v>Cloud repat. Decommission resources in SG</x:v>
      </x:c>
      <x:c r="AF199" t="str">
        <x:v>approved</x:v>
      </x:c>
      <x:c r="AG199" t="str">
        <x:v>azlisham.md@petronas.com</x:v>
      </x:c>
      <x:c r="AH199" t="n">
        <x:v>46203.37496538195</x:v>
      </x:c>
      <x:c r="AI199" t="str">
        <x:v>The decommission request has been completed, and the status is now updated accordingly. Kindly verify from your end and confirm once reviewed.
</x:v>
      </x:c>
      <x:c r="AJ199" t="str">
        <x:v>A-000533</x:v>
      </x:c>
      <x:c r="AK199" t="str">
        <x:v>PSR05669</x:v>
      </x:c>
      <x:c r="AL199" t="str">
        <x:v>M</x:v>
      </x:c>
      <x:c r="AM199" t="str">
        <x:v>REQ000008111459</x:v>
      </x:c>
      <x:c r="AN199" t="str">
        <x:v>noretention</x:v>
      </x:c>
      <x:c r="AO199" t="n">
        <x:v>0</x:v>
      </x:c>
      <x:c r="AP199" s="23" t="str">
        <x:f>IF(E199="processing",IF(Z199="","",IF(ISNUMBER(Z199),INT(Z199),DATE(VALUE(LEFT(Z199,4)),VALUE(MID(Z199,6,2)),VALUE(MID(Z199,9,2))))),IF(OR(E199="executing",E199="pending"),IF(AD199="","",IF(ISNUMBER(AD199),INT(AD199),DATE(VALUE(LEFT(AD199,4)),VALUE(MID(AD199,6,2)),VALUE(MID(AD199,9,2))))),""))</x:f>
      </x:c>
      <x:c r="AQ199" s="24" t="str">
        <x:f>IF(AP199="","",INT('Configuration'!$B$4)-AP199)</x:f>
      </x:c>
      <x:c r="AR199" s="25" t="str">
        <x:f>IF(AP199="","Missing Required Date",IF(AQ199&lt;0,"Future Date",IF(AQ199=0,"0 days",IF(AQ199&lt;=2,"1-2 days",IF(AQ199&lt;=7,"3-7 days",IF(AQ199&lt;=14,"8-14 days",IF(AQ199&lt;=30,"15-30 days",IF(AQ199&lt;=60,"31-60 days",IF(AQ199&lt;=70,"61-70 days","71+ days")))))))))</x:f>
        <x:v>Missing Required Date</x:v>
      </x:c>
      <x:c r="AS199" s="25" t="str">
        <x:f>IF(OR(E199="processing",E199="executing",E199="pending"),IF(AP199="","Required aging date missing",IF(AQ199&gt;30,"Escalate &gt;30d",IF(AQ199&gt;14,"Watch &gt;14d","Within 14d"))),"Out of scope")</x:f>
        <x:v>Out of scope</x:v>
      </x:c>
    </x:row>
    <x:row r="200" ht="24" customHeight="1">
      <x:c r="A200" t="str">
        <x:v>5534cd2f-21a3-4124-96eb-a1d92b545afc</x:v>
      </x:c>
      <x:c r="B200" t="str">
        <x:v>CSSP10599205</x:v>
      </x:c>
      <x:c r="C200" t="str">
        <x:v>hidayah.khalid@petronas.com</x:v>
      </x:c>
      <x:c r="D200" t="str">
        <x:v>decommission-cloud</x:v>
      </x:c>
      <x:c r="E200" t="str">
        <x:v>cancelled</x:v>
      </x:c>
      <x:c r="F200" t="n">
        <x:v>46154.37760428241</x:v>
      </x:c>
      <x:c r="G200" t="n">
        <x:v>46154.48169390046</x:v>
      </x:c>
      <x:c r="H200" t="n">
        <x:v>46154.37760428241</x:v>
      </x:c>
      <x:c r="I200" t="str">
        <x:v>Group Legal Workbench and System Integration - Project IDEAL</x:v>
      </x:c>
      <x:c r="J200" t="str">
        <x:v>Enhancement of Group Legal Workbench and System Integration (Project IDEAL) for Group Legal</x:v>
      </x:c>
      <x:c r="K200" t="str">
        <x:v>partial</x:v>
      </x:c>
      <x:c r="L200"/>
      <x:c r="M200" t="str">
        <x:v>nshahidah.othman@petronas.com</x:v>
      </x:c>
      <x:c r="N200"/>
      <x:c r="O200"/>
      <x:c r="P200" t="str">
        <x:v>lwb</x:v>
      </x:c>
      <x:c r="Q200" t="str">
        <x:v>1M</x:v>
      </x:c>
      <x:c r="R200" t="str">
        <x:v>Not in Used</x:v>
      </x:c>
      <x:c r="S200"/>
      <x:c r="T200" t="str">
        <x:v>rejected</x:v>
      </x:c>
      <x:c r="U200" t="str">
        <x:v>hidayah.khalid@petronas.com</x:v>
      </x:c>
      <x:c r="V200" t="n">
        <x:v>46154.48169390046</x:v>
      </x:c>
      <x:c r="W200"/>
      <x:c r="X200"/>
      <x:c r="Y200" t="str">
        <x:v>nshahidah.othman@petronas.com</x:v>
      </x:c>
      <x:c r="Z200"/>
      <x:c r="AA200"/>
      <x:c r="AB200"/>
      <x:c r="AC200" t="str">
        <x:v>CCoE Business</x:v>
      </x:c>
      <x:c r="AD200"/>
      <x:c r="AE200"/>
      <x:c r="AF200"/>
      <x:c r="AG200" t="str">
        <x:v>CCoE Operations</x:v>
      </x:c>
      <x:c r="AH200"/>
      <x:c r="AI200"/>
      <x:c r="AJ200" t="str">
        <x:v>A-000438</x:v>
      </x:c>
      <x:c r="AK200" t="n">
        <x:v>1561</x:v>
      </x:c>
      <x:c r="AL200"/>
      <x:c r="AM200"/>
      <x:c r="AN200" t="str">
        <x:v>noretention</x:v>
      </x:c>
      <x:c r="AO200" t="n">
        <x:v>0</x:v>
      </x:c>
      <x:c r="AP200" s="23" t="str">
        <x:f>IF(E200="processing",IF(Z200="","",IF(ISNUMBER(Z200),INT(Z200),DATE(VALUE(LEFT(Z200,4)),VALUE(MID(Z200,6,2)),VALUE(MID(Z200,9,2))))),IF(OR(E200="executing",E200="pending"),IF(AD200="","",IF(ISNUMBER(AD200),INT(AD200),DATE(VALUE(LEFT(AD200,4)),VALUE(MID(AD200,6,2)),VALUE(MID(AD200,9,2))))),""))</x:f>
      </x:c>
      <x:c r="AQ200" s="24" t="str">
        <x:f>IF(AP200="","",INT('Configuration'!$B$4)-AP200)</x:f>
      </x:c>
      <x:c r="AR200" s="25" t="str">
        <x:f>IF(AP200="","Missing Required Date",IF(AQ200&lt;0,"Future Date",IF(AQ200=0,"0 days",IF(AQ200&lt;=2,"1-2 days",IF(AQ200&lt;=7,"3-7 days",IF(AQ200&lt;=14,"8-14 days",IF(AQ200&lt;=30,"15-30 days",IF(AQ200&lt;=60,"31-60 days",IF(AQ200&lt;=70,"61-70 days","71+ days")))))))))</x:f>
        <x:v>Missing Required Date</x:v>
      </x:c>
      <x:c r="AS200" s="25" t="str">
        <x:f>IF(OR(E200="processing",E200="executing",E200="pending"),IF(AP200="","Required aging date missing",IF(AQ200&gt;30,"Escalate &gt;30d",IF(AQ200&gt;14,"Watch &gt;14d","Within 14d"))),"Out of scope")</x:f>
        <x:v>Out of scope</x:v>
      </x:c>
    </x:row>
    <x:row r="201" ht="24" customHeight="1">
      <x:c r="A201" t="str">
        <x:v>f8ee2757-53c3-49df-a9c3-76a49aacee25</x:v>
      </x:c>
      <x:c r="B201" t="str">
        <x:v>CSSP10486009</x:v>
      </x:c>
      <x:c r="C201" t="str">
        <x:v>mizzudin.manuar@petronas.com</x:v>
      </x:c>
      <x:c r="D201" t="str">
        <x:v>decommission-cloud</x:v>
      </x:c>
      <x:c r="E201" t="str">
        <x:v>completed</x:v>
      </x:c>
      <x:c r="F201" t="n">
        <x:v>46155.09378915509</x:v>
      </x:c>
      <x:c r="G201" t="n">
        <x:v>46188.34168075232</x:v>
      </x:c>
      <x:c r="H201" t="n">
        <x:v>46155.09576359954</x:v>
      </x:c>
      <x:c r="I201" t="str">
        <x:v>Predictive Rotating Equipment Analytics - PROTEAN</x:v>
      </x:c>
      <x:c r="J201" t="str">
        <x:v>Implementation of PETRONAS Rotating Equipment Analytics (PROTEAN) at MLNG</x:v>
      </x:c>
      <x:c r="K201" t="str">
        <x:v>full</x:v>
      </x:c>
      <x:c r="L201" t="str">
        <x:v>DCOM202605132ca</x:v>
      </x:c>
      <x:c r="M201" t="str">
        <x:v>mohammadsani.johari@petronas.com</x:v>
      </x:c>
      <x:c r="N201"/>
      <x:c r="O201"/>
      <x:c r="P201" t="str">
        <x:v>Not in use</x:v>
      </x:c>
      <x:c r="Q201" t="str">
        <x:v>1M</x:v>
      </x:c>
      <x:c r="R201" t="str">
        <x:v>Not in Used</x:v>
      </x:c>
      <x:c r="S201"/>
      <x:c r="T201" t="str">
        <x:v>approved</x:v>
      </x:c>
      <x:c r="U201" t="str">
        <x:v>mizzudin.manuar@petronas.com</x:v>
      </x:c>
      <x:c r="V201" t="n">
        <x:v>46155.10563762731</x:v>
      </x:c>
      <x:c r="W201" t="str">
        <x:v>PROTEANxAPA cloud servers used during POC last time and no longer in use</x:v>
      </x:c>
      <x:c r="X201" t="str">
        <x:v>approved</x:v>
      </x:c>
      <x:c r="Y201" t="str">
        <x:v>mohammadsani.johari@petronas.com</x:v>
      </x:c>
      <x:c r="Z201" t="n">
        <x:v>46167.3978334375</x:v>
      </x:c>
      <x:c r="AA201" t="str">
        <x:v>Proceed. Server not in use anymore.</x:v>
      </x:c>
      <x:c r="AB201" t="str">
        <x:v>approved</x:v>
      </x:c>
      <x:c r="AC201" t="str">
        <x:v>azwan.badari@petronas.com</x:v>
      </x:c>
      <x:c r="AD201" t="n">
        <x:v>46176.07670851852</x:v>
      </x:c>
      <x:c r="AE201" t="str">
        <x:v>Decommission all resources with project code 03494</x:v>
      </x:c>
      <x:c r="AF201" t="str">
        <x:v>approved</x:v>
      </x:c>
      <x:c r="AG201" t="str">
        <x:v>azlisham.md@petronas.com</x:v>
      </x:c>
      <x:c r="AH201" t="n">
        <x:v>46188.341680763886</x:v>
      </x:c>
      <x:c r="AI201" t="str">
        <x:v>The decommission request has been completed, and the status is now updated accordingly. Kindly verify from your end and confirm once reviewed.
</x:v>
      </x:c>
      <x:c r="AJ201" t="str">
        <x:v>A-000664</x:v>
      </x:c>
      <x:c r="AK201" t="n">
        <x:v>3494</x:v>
      </x:c>
      <x:c r="AL201" t="str">
        <x:v>M</x:v>
      </x:c>
      <x:c r="AM201" t="str">
        <x:v>REQ000008077075</x:v>
      </x:c>
      <x:c r="AN201" t="str">
        <x:v>retention</x:v>
      </x:c>
      <x:c r="AO201"/>
      <x:c r="AP201" s="23" t="str">
        <x:f>IF(E201="processing",IF(Z201="","",IF(ISNUMBER(Z201),INT(Z201),DATE(VALUE(LEFT(Z201,4)),VALUE(MID(Z201,6,2)),VALUE(MID(Z201,9,2))))),IF(OR(E201="executing",E201="pending"),IF(AD201="","",IF(ISNUMBER(AD201),INT(AD201),DATE(VALUE(LEFT(AD201,4)),VALUE(MID(AD201,6,2)),VALUE(MID(AD201,9,2))))),""))</x:f>
      </x:c>
      <x:c r="AQ201" s="24" t="str">
        <x:f>IF(AP201="","",INT('Configuration'!$B$4)-AP201)</x:f>
      </x:c>
      <x:c r="AR201" s="25" t="str">
        <x:f>IF(AP201="","Missing Required Date",IF(AQ201&lt;0,"Future Date",IF(AQ201=0,"0 days",IF(AQ201&lt;=2,"1-2 days",IF(AQ201&lt;=7,"3-7 days",IF(AQ201&lt;=14,"8-14 days",IF(AQ201&lt;=30,"15-30 days",IF(AQ201&lt;=60,"31-60 days",IF(AQ201&lt;=70,"61-70 days","71+ days")))))))))</x:f>
        <x:v>Missing Required Date</x:v>
      </x:c>
      <x:c r="AS201" s="25" t="str">
        <x:f>IF(OR(E201="processing",E201="executing",E201="pending"),IF(AP201="","Required aging date missing",IF(AQ201&gt;30,"Escalate &gt;30d",IF(AQ201&gt;14,"Watch &gt;14d","Within 14d"))),"Out of scope")</x:f>
        <x:v>Out of scope</x:v>
      </x:c>
    </x:row>
    <x:row r="202" ht="24" customHeight="1">
      <x:c r="A202" t="str">
        <x:v>266c5d6c-c9d9-4149-9bd1-419b0d1ee9d7</x:v>
      </x:c>
      <x:c r="B202" t="str">
        <x:v>CSSP10167128</x:v>
      </x:c>
      <x:c r="C202" t="str">
        <x:v>kanishalakshmi.bakt@petronas.com</x:v>
      </x:c>
      <x:c r="D202" t="str">
        <x:v>decommission-cloud</x:v>
      </x:c>
      <x:c r="E202" t="str">
        <x:v>completed</x:v>
      </x:c>
      <x:c r="F202" t="n">
        <x:v>46155.14079942129</x:v>
      </x:c>
      <x:c r="G202" t="n">
        <x:v>46184.14050101852</x:v>
      </x:c>
      <x:c r="H202" t="n">
        <x:v>46161.17262619213</x:v>
      </x:c>
      <x:c r="I202" t="str">
        <x:v>SiteCore</x:v>
      </x:c>
      <x:c r="J202" t="str">
        <x:v>Sitecore License Purchase via CSP Marketplace (Marketplace)</x:v>
      </x:c>
      <x:c r="K202" t="str">
        <x:v>full</x:v>
      </x:c>
      <x:c r="L202" t="str">
        <x:v>DCOM2026051997f</x:v>
      </x:c>
      <x:c r="M202" t="str">
        <x:v>mfaizal.sidek@petronas.com.my</x:v>
      </x:c>
      <x:c r="N202" t="str">
        <x:v>N/A</x:v>
      </x:c>
      <x:c r="O202"/>
      <x:c r="P202" t="str">
        <x:v>The Sitecore license will expire soon by the end of this month on 31st May 2026. Currently, one application, myPIC, is running on this platform.
URL: https://mypic.com.my/
</x:v>
      </x:c>
      <x:c r="Q202" t="str">
        <x:v>12M</x:v>
      </x:c>
      <x:c r="R202" t="str">
        <x:v>End of Lease</x:v>
      </x:c>
      <x:c r="S202"/>
      <x:c r="T202" t="str">
        <x:v>approved</x:v>
      </x:c>
      <x:c r="U202" t="str">
        <x:v>kanishalakshmi.bakt@petronas.com</x:v>
      </x:c>
      <x:c r="V202" t="n">
        <x:v>46161.175308784725</x:v>
      </x:c>
      <x:c r="W202" t="str">
        <x:v>Reviewed and verified the provided information. Certain fields are marked as N/A or unavailable as the Sitecore license procurement was handled via CSP Marketplace and not through the standard Procurement/AppCentre process.</x:v>
      </x:c>
      <x:c r="X202" t="str">
        <x:v>approved</x:v>
      </x:c>
      <x:c r="Y202" t="str">
        <x:v>mfaizal.sidek@petronas.com</x:v>
      </x:c>
      <x:c r="Z202" t="n">
        <x:v>46177.26034443287</x:v>
      </x:c>
      <x:c r="AA202" t="str">
        <x:v>Proceed with the decommission</x:v>
      </x:c>
      <x:c r="AB202" t="str">
        <x:v>approved</x:v>
      </x:c>
      <x:c r="AC202" t="str">
        <x:v>azwan.badari@petronas.com</x:v>
      </x:c>
      <x:c r="AD202" t="n">
        <x:v>46182.25930104167</x:v>
      </x:c>
      <x:c r="AE202" t="str">
        <x:v>Decommission PTAZSG-PROD-SiteCore-RG</x:v>
      </x:c>
      <x:c r="AF202" t="str">
        <x:v>approved</x:v>
      </x:c>
      <x:c r="AG202" t="str">
        <x:v>azlisham.md@petronas.com</x:v>
      </x:c>
      <x:c r="AH202" t="n">
        <x:v>46184.140501030095</x:v>
      </x:c>
      <x:c r="AI202" t="str">
        <x:v>PTAZSG-PROD-SiteCore-XM-Cloud: The subscription couldn't be canceled because the 72-hour refund window has passed and there are pending payments within the current billing term.</x:v>
      </x:c>
      <x:c r="AJ202" t="str">
        <x:v>M-000033</x:v>
      </x:c>
      <x:c r="AK202" t="str">
        <x:v>PC-00059_MP</x:v>
      </x:c>
      <x:c r="AL202" t="str">
        <x:v>S</x:v>
      </x:c>
      <x:c r="AM202" t="str">
        <x:v>REQ000008089952</x:v>
      </x:c>
      <x:c r="AN202" t="str">
        <x:v>noretention</x:v>
      </x:c>
      <x:c r="AO202" t="n">
        <x:v>0</x:v>
      </x:c>
      <x:c r="AP202" s="23" t="str">
        <x:f>IF(E202="processing",IF(Z202="","",IF(ISNUMBER(Z202),INT(Z202),DATE(VALUE(LEFT(Z202,4)),VALUE(MID(Z202,6,2)),VALUE(MID(Z202,9,2))))),IF(OR(E202="executing",E202="pending"),IF(AD202="","",IF(ISNUMBER(AD202),INT(AD202),DATE(VALUE(LEFT(AD202,4)),VALUE(MID(AD202,6,2)),VALUE(MID(AD202,9,2))))),""))</x:f>
      </x:c>
      <x:c r="AQ202" s="24" t="str">
        <x:f>IF(AP202="","",INT('Configuration'!$B$4)-AP202)</x:f>
      </x:c>
      <x:c r="AR202" s="25" t="str">
        <x:f>IF(AP202="","Missing Required Date",IF(AQ202&lt;0,"Future Date",IF(AQ202=0,"0 days",IF(AQ202&lt;=2,"1-2 days",IF(AQ202&lt;=7,"3-7 days",IF(AQ202&lt;=14,"8-14 days",IF(AQ202&lt;=30,"15-30 days",IF(AQ202&lt;=60,"31-60 days",IF(AQ202&lt;=70,"61-70 days","71+ days")))))))))</x:f>
        <x:v>Missing Required Date</x:v>
      </x:c>
      <x:c r="AS202" s="25" t="str">
        <x:f>IF(OR(E202="processing",E202="executing",E202="pending"),IF(AP202="","Required aging date missing",IF(AQ202&gt;30,"Escalate &gt;30d",IF(AQ202&gt;14,"Watch &gt;14d","Within 14d"))),"Out of scope")</x:f>
        <x:v>Out of scope</x:v>
      </x:c>
    </x:row>
    <x:row r="203" ht="24" customHeight="1">
      <x:c r="A203" t="str">
        <x:v>ec70558a-8662-4220-9494-0694ed293dfd</x:v>
      </x:c>
      <x:c r="B203" t="str">
        <x:v>CSSP10937474</x:v>
      </x:c>
      <x:c r="C203" t="str">
        <x:v>luqmanhakim.ismai@petronas.com</x:v>
      </x:c>
      <x:c r="D203" t="str">
        <x:v>decommission-cloud</x:v>
      </x:c>
      <x:c r="E203" t="str">
        <x:v>cancelled</x:v>
      </x:c>
      <x:c r="F203" t="n">
        <x:v>46155.16148582176</x:v>
      </x:c>
      <x:c r="G203" t="n">
        <x:v>46160.30709854166</x:v>
      </x:c>
      <x:c r="H203" t="n">
        <x:v>46156.04813577546</x:v>
      </x:c>
      <x:c r="I203" t="str">
        <x:v>SAP 36 SRM Enterprise Buyer Professional</x:v>
      </x:c>
      <x:c r="J203" t="str">
        <x:v>DR Simulation for SAP Group Application - P36</x:v>
      </x:c>
      <x:c r="K203" t="str">
        <x:v>partial</x:v>
      </x:c>
      <x:c r="L203"/>
      <x:c r="M203" t="str">
        <x:v>rizuanatan@petronas.com</x:v>
      </x:c>
      <x:c r="N203" t="str">
        <x:v>ptsg-1ebpap06DR (172.25.152.22), ptsg-1ebpdb06DR (172.25.152.19), ptsg-1ebpsc06dr (172.25.152.8)</x:v>
      </x:c>
      <x:c r="O203"/>
      <x:c r="P203" t="str">
        <x:v>These DR servers are no longer in use and should be cleaned up to optimize costs.</x:v>
      </x:c>
      <x:c r="Q203" t="str">
        <x:v>2W</x:v>
      </x:c>
      <x:c r="R203" t="str">
        <x:v>Not in Used</x:v>
      </x:c>
      <x:c r="S203"/>
      <x:c r="T203" t="str">
        <x:v>rejected</x:v>
      </x:c>
      <x:c r="U203" t="str">
        <x:v>luqmanhakim.ismai@petronas.com</x:v>
      </x:c>
      <x:c r="V203" t="n">
        <x:v>46160.30709854166</x:v>
      </x:c>
      <x:c r="W203"/>
      <x:c r="X203"/>
      <x:c r="Y203" t="str">
        <x:v>rizuanatan@petronas.com</x:v>
      </x:c>
      <x:c r="Z203"/>
      <x:c r="AA203"/>
      <x:c r="AB203"/>
      <x:c r="AC203" t="str">
        <x:v>CCoE Business</x:v>
      </x:c>
      <x:c r="AD203"/>
      <x:c r="AE203"/>
      <x:c r="AF203"/>
      <x:c r="AG203" t="str">
        <x:v>CCoE Business</x:v>
      </x:c>
      <x:c r="AH203"/>
      <x:c r="AI203"/>
      <x:c r="AJ203" t="str">
        <x:v>A-000719</x:v>
      </x:c>
      <x:c r="AK203" t="str">
        <x:v>PC-00032_3</x:v>
      </x:c>
      <x:c r="AL203"/>
      <x:c r="AM203"/>
      <x:c r="AN203" t="str">
        <x:v>disposal</x:v>
      </x:c>
      <x:c r="AO203" t="n">
        <x:v>0</x:v>
      </x:c>
      <x:c r="AP203" s="23" t="str">
        <x:f>IF(E203="processing",IF(Z203="","",IF(ISNUMBER(Z203),INT(Z203),DATE(VALUE(LEFT(Z203,4)),VALUE(MID(Z203,6,2)),VALUE(MID(Z203,9,2))))),IF(OR(E203="executing",E203="pending"),IF(AD203="","",IF(ISNUMBER(AD203),INT(AD203),DATE(VALUE(LEFT(AD203,4)),VALUE(MID(AD203,6,2)),VALUE(MID(AD203,9,2))))),""))</x:f>
      </x:c>
      <x:c r="AQ203" s="24" t="str">
        <x:f>IF(AP203="","",INT('Configuration'!$B$4)-AP203)</x:f>
      </x:c>
      <x:c r="AR203" s="25" t="str">
        <x:f>IF(AP203="","Missing Required Date",IF(AQ203&lt;0,"Future Date",IF(AQ203=0,"0 days",IF(AQ203&lt;=2,"1-2 days",IF(AQ203&lt;=7,"3-7 days",IF(AQ203&lt;=14,"8-14 days",IF(AQ203&lt;=30,"15-30 days",IF(AQ203&lt;=60,"31-60 days",IF(AQ203&lt;=70,"61-70 days","71+ days")))))))))</x:f>
        <x:v>Missing Required Date</x:v>
      </x:c>
      <x:c r="AS203" s="25" t="str">
        <x:f>IF(OR(E203="processing",E203="executing",E203="pending"),IF(AP203="","Required aging date missing",IF(AQ203&gt;30,"Escalate &gt;30d",IF(AQ203&gt;14,"Watch &gt;14d","Within 14d"))),"Out of scope")</x:f>
        <x:v>Out of scope</x:v>
      </x:c>
    </x:row>
    <x:row r="204" ht="24" customHeight="1">
      <x:c r="A204" t="str">
        <x:v>bd0443fb-ed78-4525-87fc-2eba75822ed5</x:v>
      </x:c>
      <x:c r="B204" t="str">
        <x:v>CSSP10532596</x:v>
      </x:c>
      <x:c r="C204" t="str">
        <x:v>luqmanhakim.ismai@petronas.com</x:v>
      </x:c>
      <x:c r="D204" t="str">
        <x:v>decommission-cloud</x:v>
      </x:c>
      <x:c r="E204" t="str">
        <x:v>cancelled</x:v>
      </x:c>
      <x:c r="F204" t="n">
        <x:v>46155.164576284726</x:v>
      </x:c>
      <x:c r="G204" t="n">
        <x:v>46155.16662340278</x:v>
      </x:c>
      <x:c r="H204" t="n">
        <x:v>46155.164576284726</x:v>
      </x:c>
      <x:c r="I204" t="str">
        <x:v>SAP 36 SRM Enterprise Buyer Professional</x:v>
      </x:c>
      <x:c r="J204" t="str">
        <x:v>DR Simulation for SAP Group Application - P36</x:v>
      </x:c>
      <x:c r="K204" t="str">
        <x:v>partial</x:v>
      </x:c>
      <x:c r="L204"/>
      <x:c r="M204" t="str">
        <x:v>rizuanatan@petronas.com</x:v>
      </x:c>
      <x:c r="N204" t="str">
        <x:v>ptsg-1ebpap06DR (172.25.152.22) ptsg-1ebpdb06DR (172.25.152.19) ptsg-1ebpsc06dr (172.25.152.8)</x:v>
      </x:c>
      <x:c r="O204"/>
      <x:c r="P204" t="str">
        <x:v>Server is no longer use. This is for cost optimization. </x:v>
      </x:c>
      <x:c r="Q204" t="str">
        <x:v>2W</x:v>
      </x:c>
      <x:c r="R204" t="str">
        <x:v>Not in Used</x:v>
      </x:c>
      <x:c r="S204"/>
      <x:c r="T204" t="str">
        <x:v>rejected</x:v>
      </x:c>
      <x:c r="U204" t="str">
        <x:v>luqmanhakim.ismai@petronas.com</x:v>
      </x:c>
      <x:c r="V204" t="n">
        <x:v>46155.16662341435</x:v>
      </x:c>
      <x:c r="W204"/>
      <x:c r="X204"/>
      <x:c r="Y204" t="str">
        <x:v>rizuanatan@petronas.com</x:v>
      </x:c>
      <x:c r="Z204"/>
      <x:c r="AA204"/>
      <x:c r="AB204"/>
      <x:c r="AC204" t="str">
        <x:v>CCoE Business</x:v>
      </x:c>
      <x:c r="AD204"/>
      <x:c r="AE204"/>
      <x:c r="AF204"/>
      <x:c r="AG204" t="str">
        <x:v>CCoE Operations</x:v>
      </x:c>
      <x:c r="AH204"/>
      <x:c r="AI204"/>
      <x:c r="AJ204" t="str">
        <x:v>A-000719</x:v>
      </x:c>
      <x:c r="AK204" t="str">
        <x:v>PC-00032_3</x:v>
      </x:c>
      <x:c r="AL204"/>
      <x:c r="AM204"/>
      <x:c r="AN204" t="str">
        <x:v>noretention</x:v>
      </x:c>
      <x:c r="AO204" t="n">
        <x:v>0</x:v>
      </x:c>
      <x:c r="AP204" s="23" t="str">
        <x:f>IF(E204="processing",IF(Z204="","",IF(ISNUMBER(Z204),INT(Z204),DATE(VALUE(LEFT(Z204,4)),VALUE(MID(Z204,6,2)),VALUE(MID(Z204,9,2))))),IF(OR(E204="executing",E204="pending"),IF(AD204="","",IF(ISNUMBER(AD204),INT(AD204),DATE(VALUE(LEFT(AD204,4)),VALUE(MID(AD204,6,2)),VALUE(MID(AD204,9,2))))),""))</x:f>
      </x:c>
      <x:c r="AQ204" s="24" t="str">
        <x:f>IF(AP204="","",INT('Configuration'!$B$4)-AP204)</x:f>
      </x:c>
      <x:c r="AR204" s="25" t="str">
        <x:f>IF(AP204="","Missing Required Date",IF(AQ204&lt;0,"Future Date",IF(AQ204=0,"0 days",IF(AQ204&lt;=2,"1-2 days",IF(AQ204&lt;=7,"3-7 days",IF(AQ204&lt;=14,"8-14 days",IF(AQ204&lt;=30,"15-30 days",IF(AQ204&lt;=60,"31-60 days",IF(AQ204&lt;=70,"61-70 days","71+ days")))))))))</x:f>
        <x:v>Missing Required Date</x:v>
      </x:c>
      <x:c r="AS204" s="25" t="str">
        <x:f>IF(OR(E204="processing",E204="executing",E204="pending"),IF(AP204="","Required aging date missing",IF(AQ204&gt;30,"Escalate &gt;30d",IF(AQ204&gt;14,"Watch &gt;14d","Within 14d"))),"Out of scope")</x:f>
        <x:v>Out of scope</x:v>
      </x:c>
    </x:row>
    <x:row r="205" ht="24" customHeight="1">
      <x:c r="A205" t="str">
        <x:v>fc078412-7345-4052-a86b-ae14393c37d2</x:v>
      </x:c>
      <x:c r="B205" t="str">
        <x:v>CSSP10900134</x:v>
      </x:c>
      <x:c r="C205" t="str">
        <x:v>hasnulauzani.hassan@petronas.com</x:v>
      </x:c>
      <x:c r="D205" t="str">
        <x:v>decommission-cloud</x:v>
      </x:c>
      <x:c r="E205" t="str">
        <x:v>completed</x:v>
      </x:c>
      <x:c r="F205" t="n">
        <x:v>46155.32837347222</x:v>
      </x:c>
      <x:c r="G205" t="n">
        <x:v>46163.31495980324</x:v>
      </x:c>
      <x:c r="H205" t="n">
        <x:v>46155.32837347222</x:v>
      </x:c>
      <x:c r="I205" t="str">
        <x:v>Tender Response Management System - TeRMS</x:v>
      </x:c>
      <x:c r="J205" t="str">
        <x:v>Cloud Migration Program - TeRMS: Tender Response Management System 2.0</x:v>
      </x:c>
      <x:c r="K205" t="str">
        <x:v>full</x:v>
      </x:c>
      <x:c r="L205" t="str">
        <x:v>S000004981</x:v>
      </x:c>
      <x:c r="M205" t="str">
        <x:v>hasnulauzani.hassan@petronas.com</x:v>
      </x:c>
      <x:c r="N205"/>
      <x:c r="O205"/>
      <x:c r="P205" t="str">
        <x:v>This application is already decom in quite sometimes. Need to have total decom</x:v>
      </x:c>
      <x:c r="Q205" t="str">
        <x:v>2W</x:v>
      </x:c>
      <x:c r="R205" t="str">
        <x:v>Not in Used</x:v>
      </x:c>
      <x:c r="S205"/>
      <x:c r="T205" t="str">
        <x:v>approved</x:v>
      </x:c>
      <x:c r="U205" t="str">
        <x:v>hasnulauzani.hassan@petronas.com</x:v>
      </x:c>
      <x:c r="V205" t="n">
        <x:v>46155.32892475694</x:v>
      </x:c>
      <x:c r="W205" t="str">
        <x:v>All good to go</x:v>
      </x:c>
      <x:c r="X205" t="str">
        <x:v>approved</x:v>
      </x:c>
      <x:c r="Y205" t="str">
        <x:v>hasnulauzani.hassan@petronas.com</x:v>
      </x:c>
      <x:c r="Z205" t="n">
        <x:v>46155.32968954861</x:v>
      </x:c>
      <x:c r="AA205" t="str">
        <x:v>Good to go</x:v>
      </x:c>
      <x:c r="AB205" t="str">
        <x:v>approved</x:v>
      </x:c>
      <x:c r="AC205" t="str">
        <x:v>azwan.badari@petronas.com</x:v>
      </x:c>
      <x:c r="AD205" t="n">
        <x:v>46160.01285922454</x:v>
      </x:c>
      <x:c r="AE205" t="str">
        <x:v>Decommission all Terms RG,
PTAZSG-PROD-TeRMS-RG
PTAZSG-UAT-TeRMS-RG
PTAZSG-DEV-TeRMS-RG</x:v>
      </x:c>
      <x:c r="AF205" t="str">
        <x:v>approved</x:v>
      </x:c>
      <x:c r="AG205" t="str">
        <x:v>azwan.badari@petronas.com</x:v>
      </x:c>
      <x:c r="AH205" t="n">
        <x:v>46163.31495980324</x:v>
      </x:c>
      <x:c r="AI205" t="str">
        <x:v>Completed</x:v>
      </x:c>
      <x:c r="AJ205" t="str">
        <x:v>A-000807</x:v>
      </x:c>
      <x:c r="AK205" t="str">
        <x:v>00915_58</x:v>
      </x:c>
      <x:c r="AL205" t="str">
        <x:v>M</x:v>
      </x:c>
      <x:c r="AM205" t="str">
        <x:v>REQ000008052597</x:v>
      </x:c>
      <x:c r="AN205" t="str">
        <x:v>noretention</x:v>
      </x:c>
      <x:c r="AO205" t="n">
        <x:v>0</x:v>
      </x:c>
      <x:c r="AP205" s="23" t="str">
        <x:f>IF(E205="processing",IF(Z205="","",IF(ISNUMBER(Z205),INT(Z205),DATE(VALUE(LEFT(Z205,4)),VALUE(MID(Z205,6,2)),VALUE(MID(Z205,9,2))))),IF(OR(E205="executing",E205="pending"),IF(AD205="","",IF(ISNUMBER(AD205),INT(AD205),DATE(VALUE(LEFT(AD205,4)),VALUE(MID(AD205,6,2)),VALUE(MID(AD205,9,2))))),""))</x:f>
      </x:c>
      <x:c r="AQ205" s="24" t="str">
        <x:f>IF(AP205="","",INT('Configuration'!$B$4)-AP205)</x:f>
      </x:c>
      <x:c r="AR205" s="25" t="str">
        <x:f>IF(AP205="","Missing Required Date",IF(AQ205&lt;0,"Future Date",IF(AQ205=0,"0 days",IF(AQ205&lt;=2,"1-2 days",IF(AQ205&lt;=7,"3-7 days",IF(AQ205&lt;=14,"8-14 days",IF(AQ205&lt;=30,"15-30 days",IF(AQ205&lt;=60,"31-60 days",IF(AQ205&lt;=70,"61-70 days","71+ days")))))))))</x:f>
        <x:v>Missing Required Date</x:v>
      </x:c>
      <x:c r="AS205" s="25" t="str">
        <x:f>IF(OR(E205="processing",E205="executing",E205="pending"),IF(AP205="","Required aging date missing",IF(AQ205&gt;30,"Escalate &gt;30d",IF(AQ205&gt;14,"Watch &gt;14d","Within 14d"))),"Out of scope")</x:f>
        <x:v>Out of scope</x:v>
      </x:c>
    </x:row>
    <x:row r="206" ht="24" customHeight="1">
      <x:c r="A206" t="str">
        <x:v>e7eb9d5f-95e3-4e28-b1a6-aa56c63bf39e</x:v>
      </x:c>
      <x:c r="B206" t="str">
        <x:v>CSSP10402366</x:v>
      </x:c>
      <x:c r="C206" t="str">
        <x:v>mhaikal.mzamri@petronas.com</x:v>
      </x:c>
      <x:c r="D206" t="str">
        <x:v>decommission-cloud</x:v>
      </x:c>
      <x:c r="E206" t="str">
        <x:v>completed</x:v>
      </x:c>
      <x:c r="F206" t="n">
        <x:v>46155.349497951385</x:v>
      </x:c>
      <x:c r="G206" t="n">
        <x:v>46177.27076488426</x:v>
      </x:c>
      <x:c r="H206" t="n">
        <x:v>46155.349497951385</x:v>
      </x:c>
      <x:c r="I206" t="str">
        <x:v>SAP 30 ECC6</x:v>
      </x:c>
      <x:c r="J206" t="str">
        <x:v>S/4HANA Technical Conversion and Migration of SAP Systems P30 and P50</x:v>
      </x:c>
      <x:c r="K206" t="str">
        <x:v>full</x:v>
      </x:c>
      <x:c r="L206" t="str">
        <x:v>DCOM20260513626</x:v>
      </x:c>
      <x:c r="M206" t="str">
        <x:v>safura.ibadullah@petronas.com.my</x:v>
      </x:c>
      <x:c r="N206"/>
      <x:c r="O206"/>
      <x:c r="P206" t="str">
        <x:v>System already been migrated to SAP RISE environment</x:v>
      </x:c>
      <x:c r="Q206" t="str">
        <x:v>1M</x:v>
      </x:c>
      <x:c r="R206" t="str">
        <x:v>Cloud Migration</x:v>
      </x:c>
      <x:c r="S206"/>
      <x:c r="T206" t="str">
        <x:v>approved</x:v>
      </x:c>
      <x:c r="U206" t="str">
        <x:v>mhaikal.mzamri@petronas.com</x:v>
      </x:c>
      <x:c r="V206" t="n">
        <x:v>46155.35521357639</x:v>
      </x:c>
      <x:c r="W206" t="str">
        <x:v>System already been migrated to SAP RISE environment</x:v>
      </x:c>
      <x:c r="X206" t="str">
        <x:v>approved</x:v>
      </x:c>
      <x:c r="Y206" t="str">
        <x:v>safura.ibadullah@petronas.com</x:v>
      </x:c>
      <x:c r="Z206" t="n">
        <x:v>46156.15846741898</x:v>
      </x:c>
      <x:c r="AA206" t="str">
        <x:v>S/4HANA Technical Conversion and Migration of SAP Systems P30 and P50 completed in RISE.</x:v>
      </x:c>
      <x:c r="AB206" t="str">
        <x:v>approved</x:v>
      </x:c>
      <x:c r="AC206" t="str">
        <x:v>azwan.badari@petronas.com</x:v>
      </x:c>
      <x:c r="AD206" t="n">
        <x:v>46160.054701099536</x:v>
      </x:c>
      <x:c r="AE206" t="str">
        <x:v>Decommission selected resources</x:v>
      </x:c>
      <x:c r="AF206" t="str">
        <x:v>approved</x:v>
      </x:c>
      <x:c r="AG206" t="str">
        <x:v>azlisham.md@petronas.com</x:v>
      </x:c>
      <x:c r="AH206" t="n">
        <x:v>46177.27076490741</x:v>
      </x:c>
      <x:c r="AI206" t="str">
        <x:v>The decommission request has been completed, and the status is now updated accordingly. Kindly verify from your end and confirm once reviewed.
</x:v>
      </x:c>
      <x:c r="AJ206" t="str">
        <x:v>A-000714</x:v>
      </x:c>
      <x:c r="AK206" t="str">
        <x:v>OSR00410</x:v>
      </x:c>
      <x:c r="AL206" t="str">
        <x:v>M</x:v>
      </x:c>
      <x:c r="AM206" t="str">
        <x:v>REQ000008053120</x:v>
      </x:c>
      <x:c r="AN206" t="str">
        <x:v>retention</x:v>
      </x:c>
      <x:c r="AO206" t="n">
        <x:v>30</x:v>
      </x:c>
      <x:c r="AP206" s="23" t="str">
        <x:f>IF(E206="processing",IF(Z206="","",IF(ISNUMBER(Z206),INT(Z206),DATE(VALUE(LEFT(Z206,4)),VALUE(MID(Z206,6,2)),VALUE(MID(Z206,9,2))))),IF(OR(E206="executing",E206="pending"),IF(AD206="","",IF(ISNUMBER(AD206),INT(AD206),DATE(VALUE(LEFT(AD206,4)),VALUE(MID(AD206,6,2)),VALUE(MID(AD206,9,2))))),""))</x:f>
      </x:c>
      <x:c r="AQ206" s="24" t="str">
        <x:f>IF(AP206="","",INT('Configuration'!$B$4)-AP206)</x:f>
      </x:c>
      <x:c r="AR206" s="25" t="str">
        <x:f>IF(AP206="","Missing Required Date",IF(AQ206&lt;0,"Future Date",IF(AQ206=0,"0 days",IF(AQ206&lt;=2,"1-2 days",IF(AQ206&lt;=7,"3-7 days",IF(AQ206&lt;=14,"8-14 days",IF(AQ206&lt;=30,"15-30 days",IF(AQ206&lt;=60,"31-60 days",IF(AQ206&lt;=70,"61-70 days","71+ days")))))))))</x:f>
        <x:v>Missing Required Date</x:v>
      </x:c>
      <x:c r="AS206" s="25" t="str">
        <x:f>IF(OR(E206="processing",E206="executing",E206="pending"),IF(AP206="","Required aging date missing",IF(AQ206&gt;30,"Escalate &gt;30d",IF(AQ206&gt;14,"Watch &gt;14d","Within 14d"))),"Out of scope")</x:f>
        <x:v>Out of scope</x:v>
      </x:c>
    </x:row>
    <x:row r="207" ht="24" customHeight="1">
      <x:c r="A207" t="str">
        <x:v>8ec3717a-84dd-4e4f-aafa-71b2887586ca</x:v>
      </x:c>
      <x:c r="B207" t="str">
        <x:v>CSSP10577934</x:v>
      </x:c>
      <x:c r="C207" t="str">
        <x:v>mhaikal.mzamri@petronas.com</x:v>
      </x:c>
      <x:c r="D207" t="str">
        <x:v>decommission-cloud</x:v>
      </x:c>
      <x:c r="E207" t="str">
        <x:v>completed</x:v>
      </x:c>
      <x:c r="F207" t="n">
        <x:v>46155.35832675926</x:v>
      </x:c>
      <x:c r="G207" t="n">
        <x:v>46177.52006091435</x:v>
      </x:c>
      <x:c r="H207" t="n">
        <x:v>46155.35832675926</x:v>
      </x:c>
      <x:c r="I207" t="str">
        <x:v>SAP 50 ECC6</x:v>
      </x:c>
      <x:c r="J207" t="str">
        <x:v>S/4HANA Technical Conversion and Migration of SAP Systems P30 and P50</x:v>
      </x:c>
      <x:c r="K207" t="str">
        <x:v>full</x:v>
      </x:c>
      <x:c r="L207" t="str">
        <x:v>DCOM202605132c2</x:v>
      </x:c>
      <x:c r="M207" t="str">
        <x:v>safura.ibadullah@petronas.com.my</x:v>
      </x:c>
      <x:c r="N207"/>
      <x:c r="O207"/>
      <x:c r="P207" t="str">
        <x:v>System already been migrated to SAP RISE environment</x:v>
      </x:c>
      <x:c r="Q207" t="str">
        <x:v>1M</x:v>
      </x:c>
      <x:c r="R207" t="str">
        <x:v>Cloud Migration</x:v>
      </x:c>
      <x:c r="S207"/>
      <x:c r="T207" t="str">
        <x:v>approved</x:v>
      </x:c>
      <x:c r="U207" t="str">
        <x:v>mhaikal.mzamri@petronas.com</x:v>
      </x:c>
      <x:c r="V207" t="n">
        <x:v>46155.35856788194</x:v>
      </x:c>
      <x:c r="W207" t="str">
        <x:v>System already been migrated to SAP RISE environment</x:v>
      </x:c>
      <x:c r="X207" t="str">
        <x:v>approved</x:v>
      </x:c>
      <x:c r="Y207" t="str">
        <x:v>safura.ibadullah@petronas.com</x:v>
      </x:c>
      <x:c r="Z207" t="n">
        <x:v>46156.159054421296</x:v>
      </x:c>
      <x:c r="AA207" t="str">
        <x:v>S/4HANA Technical Conversion and Migration of SAP Systems P30 and P50 completed in SAP RISE.</x:v>
      </x:c>
      <x:c r="AB207" t="str">
        <x:v>approved</x:v>
      </x:c>
      <x:c r="AC207" t="str">
        <x:v>azwan.badari@petronas.com</x:v>
      </x:c>
      <x:c r="AD207" t="n">
        <x:v>46160.054421574074</x:v>
      </x:c>
      <x:c r="AE207" t="str">
        <x:v>Decommission selected resources</x:v>
      </x:c>
      <x:c r="AF207" t="str">
        <x:v>approved</x:v>
      </x:c>
      <x:c r="AG207" t="str">
        <x:v>azlisham.md@petronas.com</x:v>
      </x:c>
      <x:c r="AH207" t="n">
        <x:v>46177.52006092593</x:v>
      </x:c>
      <x:c r="AI207" t="str">
        <x:v>The decommission request has been completed, and the status is now updated accordingly. Kindly verify from your end and confirm once reviewed.
</x:v>
      </x:c>
      <x:c r="AJ207" t="str">
        <x:v>A-000726</x:v>
      </x:c>
      <x:c r="AK207" t="str">
        <x:v>OSR00410_1</x:v>
      </x:c>
      <x:c r="AL207" t="str">
        <x:v>M</x:v>
      </x:c>
      <x:c r="AM207" t="str">
        <x:v>REQ000008053217</x:v>
      </x:c>
      <x:c r="AN207" t="str">
        <x:v>retention</x:v>
      </x:c>
      <x:c r="AO207" t="n">
        <x:v>30</x:v>
      </x:c>
      <x:c r="AP207" s="23" t="str">
        <x:f>IF(E207="processing",IF(Z207="","",IF(ISNUMBER(Z207),INT(Z207),DATE(VALUE(LEFT(Z207,4)),VALUE(MID(Z207,6,2)),VALUE(MID(Z207,9,2))))),IF(OR(E207="executing",E207="pending"),IF(AD207="","",IF(ISNUMBER(AD207),INT(AD207),DATE(VALUE(LEFT(AD207,4)),VALUE(MID(AD207,6,2)),VALUE(MID(AD207,9,2))))),""))</x:f>
      </x:c>
      <x:c r="AQ207" s="24" t="str">
        <x:f>IF(AP207="","",INT('Configuration'!$B$4)-AP207)</x:f>
      </x:c>
      <x:c r="AR207" s="25" t="str">
        <x:f>IF(AP207="","Missing Required Date",IF(AQ207&lt;0,"Future Date",IF(AQ207=0,"0 days",IF(AQ207&lt;=2,"1-2 days",IF(AQ207&lt;=7,"3-7 days",IF(AQ207&lt;=14,"8-14 days",IF(AQ207&lt;=30,"15-30 days",IF(AQ207&lt;=60,"31-60 days",IF(AQ207&lt;=70,"61-70 days","71+ days")))))))))</x:f>
        <x:v>Missing Required Date</x:v>
      </x:c>
      <x:c r="AS207" s="25" t="str">
        <x:f>IF(OR(E207="processing",E207="executing",E207="pending"),IF(AP207="","Required aging date missing",IF(AQ207&gt;30,"Escalate &gt;30d",IF(AQ207&gt;14,"Watch &gt;14d","Within 14d"))),"Out of scope")</x:f>
        <x:v>Out of scope</x:v>
      </x:c>
    </x:row>
    <x:row r="208" ht="24" customHeight="1">
      <x:c r="A208" t="str">
        <x:v>1000a2e7-295b-44f7-83c0-c2e67e4b671e</x:v>
      </x:c>
      <x:c r="B208" t="str">
        <x:v>CSSP10217006</x:v>
      </x:c>
      <x:c r="C208" t="str">
        <x:v>mhaikal.mzamri@petronas.com</x:v>
      </x:c>
      <x:c r="D208" t="str">
        <x:v>decommission-cloud</x:v>
      </x:c>
      <x:c r="E208" t="str">
        <x:v>completed</x:v>
      </x:c>
      <x:c r="F208" t="n">
        <x:v>46155.36263675926</x:v>
      </x:c>
      <x:c r="G208" t="n">
        <x:v>46177.2726503125</x:v>
      </x:c>
      <x:c r="H208" t="n">
        <x:v>46155.36263675926</x:v>
      </x:c>
      <x:c r="I208" t="str">
        <x:v>SAP 58 FIORI</x:v>
      </x:c>
      <x:c r="J208" t="str">
        <x:v>Cloud Migration Program - SAP FIORI Development (SAPID 58 (P58, D58, T58))</x:v>
      </x:c>
      <x:c r="K208" t="str">
        <x:v>full</x:v>
      </x:c>
      <x:c r="L208" t="str">
        <x:v>DCOM2026051313c</x:v>
      </x:c>
      <x:c r="M208" t="str">
        <x:v>safura.ibadullah@petronas.com.my</x:v>
      </x:c>
      <x:c r="N208"/>
      <x:c r="O208"/>
      <x:c r="P208" t="str">
        <x:v>system is no longer in use</x:v>
      </x:c>
      <x:c r="Q208" t="str">
        <x:v>2W</x:v>
      </x:c>
      <x:c r="R208" t="str">
        <x:v>Cloud Migration</x:v>
      </x:c>
      <x:c r="S208"/>
      <x:c r="T208" t="str">
        <x:v>approved</x:v>
      </x:c>
      <x:c r="U208" t="str">
        <x:v>mhaikal.mzamri@petronas.com</x:v>
      </x:c>
      <x:c r="V208" t="n">
        <x:v>46155.363068101855</x:v>
      </x:c>
      <x:c r="W208" t="str">
        <x:v>System no longer in use</x:v>
      </x:c>
      <x:c r="X208" t="str">
        <x:v>approved</x:v>
      </x:c>
      <x:c r="Y208" t="str">
        <x:v>safura.ibadullah@petronas.com</x:v>
      </x:c>
      <x:c r="Z208" t="n">
        <x:v>46156.15668601852</x:v>
      </x:c>
      <x:c r="AA208" t="str">
        <x:v>Fiori migration to S/4HANA P30 and P50</x:v>
      </x:c>
      <x:c r="AB208" t="str">
        <x:v>approved</x:v>
      </x:c>
      <x:c r="AC208" t="str">
        <x:v>azwan.badari@petronas.com</x:v>
      </x:c>
      <x:c r="AD208" t="n">
        <x:v>46160.025985810185</x:v>
      </x:c>
      <x:c r="AE208" t="str">
        <x:v>Decommission all resources in RG
PTAZSG-PROD-SAP-FIORI-P58-RG
PTAZSG-UAT-SAP-FIORI-T58-RG
PTAZSG-DEV-SAP-FIORI-D58-RG</x:v>
      </x:c>
      <x:c r="AF208" t="str">
        <x:v>approved</x:v>
      </x:c>
      <x:c r="AG208" t="str">
        <x:v>azlisham.md@petronas.com</x:v>
      </x:c>
      <x:c r="AH208" t="n">
        <x:v>46177.27265032408</x:v>
      </x:c>
      <x:c r="AI208" t="str">
        <x:v>The decommission request has been completed, and the status is now updated accordingly. Kindly verify from your end and confirm once reviewed.
</x:v>
      </x:c>
      <x:c r="AJ208" t="str">
        <x:v>A-000729</x:v>
      </x:c>
      <x:c r="AK208" t="str">
        <x:v>00915_37</x:v>
      </x:c>
      <x:c r="AL208" t="str">
        <x:v>M</x:v>
      </x:c>
      <x:c r="AM208" t="str">
        <x:v>REQ000008052600</x:v>
      </x:c>
      <x:c r="AN208" t="str">
        <x:v>retention</x:v>
      </x:c>
      <x:c r="AO208" t="n">
        <x:v>30</x:v>
      </x:c>
      <x:c r="AP208" s="23" t="str">
        <x:f>IF(E208="processing",IF(Z208="","",IF(ISNUMBER(Z208),INT(Z208),DATE(VALUE(LEFT(Z208,4)),VALUE(MID(Z208,6,2)),VALUE(MID(Z208,9,2))))),IF(OR(E208="executing",E208="pending"),IF(AD208="","",IF(ISNUMBER(AD208),INT(AD208),DATE(VALUE(LEFT(AD208,4)),VALUE(MID(AD208,6,2)),VALUE(MID(AD208,9,2))))),""))</x:f>
      </x:c>
      <x:c r="AQ208" s="24" t="str">
        <x:f>IF(AP208="","",INT('Configuration'!$B$4)-AP208)</x:f>
      </x:c>
      <x:c r="AR208" s="25" t="str">
        <x:f>IF(AP208="","Missing Required Date",IF(AQ208&lt;0,"Future Date",IF(AQ208=0,"0 days",IF(AQ208&lt;=2,"1-2 days",IF(AQ208&lt;=7,"3-7 days",IF(AQ208&lt;=14,"8-14 days",IF(AQ208&lt;=30,"15-30 days",IF(AQ208&lt;=60,"31-60 days",IF(AQ208&lt;=70,"61-70 days","71+ days")))))))))</x:f>
        <x:v>Missing Required Date</x:v>
      </x:c>
      <x:c r="AS208" s="25" t="str">
        <x:f>IF(OR(E208="processing",E208="executing",E208="pending"),IF(AP208="","Required aging date missing",IF(AQ208&gt;30,"Escalate &gt;30d",IF(AQ208&gt;14,"Watch &gt;14d","Within 14d"))),"Out of scope")</x:f>
        <x:v>Out of scope</x:v>
      </x:c>
    </x:row>
    <x:row r="209" ht="24" customHeight="1">
      <x:c r="A209" t="str">
        <x:v>b120eb33-939d-4490-a910-d455d4670457</x:v>
      </x:c>
      <x:c r="B209" t="str">
        <x:v>CSSP10754449</x:v>
      </x:c>
      <x:c r="C209" t="str">
        <x:v>nursyazana.z@petronas.com</x:v>
      </x:c>
      <x:c r="D209" t="str">
        <x:v>decommission-cloud</x:v>
      </x:c>
      <x:c r="E209" t="str">
        <x:v>completed</x:v>
      </x:c>
      <x:c r="F209" t="n">
        <x:v>46156.050457129626</x:v>
      </x:c>
      <x:c r="G209" t="n">
        <x:v>46176.29035008102</x:v>
      </x:c>
      <x:c r="H209" t="n">
        <x:v>46156.050457129626</x:v>
      </x:c>
      <x:c r="I209" t="str">
        <x:v>Upstream High-Performance Computing - HPC Technology Refresh</x:v>
      </x:c>
      <x:c r="J209" t="str">
        <x:v>Implementation of Upstream High-Performance Computing (HPC) Technology Refresh for Upstream</x:v>
      </x:c>
      <x:c r="K209" t="str">
        <x:v>full</x:v>
      </x:c>
      <x:c r="L209" t="str">
        <x:v>DCOM20260514e51</x:v>
      </x:c>
      <x:c r="M209" t="str">
        <x:v>mhafiz.samsudin@petronas.com</x:v>
      </x:c>
      <x:c r="N209"/>
      <x:c r="O209" t="n">
        <x:v>3406</x:v>
      </x:c>
      <x:c r="P209" t="str">
        <x:v>Decommission will be done by Cegal team and by batches due to some of the lustre still doing data copy. This request is purposely for record only</x:v>
      </x:c>
      <x:c r="Q209" t="str">
        <x:v>12M</x:v>
      </x:c>
      <x:c r="R209" t="str">
        <x:v>Not in Used</x:v>
      </x:c>
      <x:c r="S209"/>
      <x:c r="T209" t="str">
        <x:v>approved</x:v>
      </x:c>
      <x:c r="U209" t="str">
        <x:v>nursyazana.z@petronas.com</x:v>
      </x:c>
      <x:c r="V209" t="n">
        <x:v>46156.05191288194</x:v>
      </x:c>
      <x:c r="W209" t="str">
        <x:v>Appreciate COC team do not delete anything first. Decommissioning will be done by cegal and by batches due to some of the data currently in the midst of copy.</x:v>
      </x:c>
      <x:c r="X209" t="str">
        <x:v>approved</x:v>
      </x:c>
      <x:c r="Y209" t="str">
        <x:v>mhafiz.samsudin@petronas.com</x:v>
      </x:c>
      <x:c r="Z209" t="n">
        <x:v>46171.03524203704</x:v>
      </x:c>
      <x:c r="AA209" t="str">
        <x:v>Reviewed and Approved. Kindly expedite to avoid further redundant cost to Upstream.</x:v>
      </x:c>
      <x:c r="AB209" t="str">
        <x:v>approved</x:v>
      </x:c>
      <x:c r="AC209" t="str">
        <x:v>azwan.badari@petronas.com</x:v>
      </x:c>
      <x:c r="AD209" t="n">
        <x:v>46176.28479642361</x:v>
      </x:c>
      <x:c r="AE209" t="str">
        <x:v>For decommission records only</x:v>
      </x:c>
      <x:c r="AF209" t="str">
        <x:v>approved</x:v>
      </x:c>
      <x:c r="AG209" t="str">
        <x:v>azlisham.md@petronas.com</x:v>
      </x:c>
      <x:c r="AH209" t="n">
        <x:v>46176.29035009259</x:v>
      </x:c>
      <x:c r="AI209" t="str">
        <x:v>just for record</x:v>
      </x:c>
      <x:c r="AJ209" t="str">
        <x:v>A-000357</x:v>
      </x:c>
      <x:c r="AK209" t="n">
        <x:v>3406</x:v>
      </x:c>
      <x:c r="AL209" t="str">
        <x:v>L</x:v>
      </x:c>
      <x:c r="AM209" t="str">
        <x:v>REQ000008077903</x:v>
      </x:c>
      <x:c r="AN209" t="str">
        <x:v>retention</x:v>
      </x:c>
      <x:c r="AO209" t="n">
        <x:v>90</x:v>
      </x:c>
      <x:c r="AP209" s="23" t="str">
        <x:f>IF(E209="processing",IF(Z209="","",IF(ISNUMBER(Z209),INT(Z209),DATE(VALUE(LEFT(Z209,4)),VALUE(MID(Z209,6,2)),VALUE(MID(Z209,9,2))))),IF(OR(E209="executing",E209="pending"),IF(AD209="","",IF(ISNUMBER(AD209),INT(AD209),DATE(VALUE(LEFT(AD209,4)),VALUE(MID(AD209,6,2)),VALUE(MID(AD209,9,2))))),""))</x:f>
      </x:c>
      <x:c r="AQ209" s="24" t="str">
        <x:f>IF(AP209="","",INT('Configuration'!$B$4)-AP209)</x:f>
      </x:c>
      <x:c r="AR209" s="25" t="str">
        <x:f>IF(AP209="","Missing Required Date",IF(AQ209&lt;0,"Future Date",IF(AQ209=0,"0 days",IF(AQ209&lt;=2,"1-2 days",IF(AQ209&lt;=7,"3-7 days",IF(AQ209&lt;=14,"8-14 days",IF(AQ209&lt;=30,"15-30 days",IF(AQ209&lt;=60,"31-60 days",IF(AQ209&lt;=70,"61-70 days","71+ days")))))))))</x:f>
        <x:v>Missing Required Date</x:v>
      </x:c>
      <x:c r="AS209" s="25" t="str">
        <x:f>IF(OR(E209="processing",E209="executing",E209="pending"),IF(AP209="","Required aging date missing",IF(AQ209&gt;30,"Escalate &gt;30d",IF(AQ209&gt;14,"Watch &gt;14d","Within 14d"))),"Out of scope")</x:f>
        <x:v>Out of scope</x:v>
      </x:c>
    </x:row>
    <x:row r="210" ht="24" customHeight="1">
      <x:c r="A210" t="str">
        <x:v>f9fb3fd1-64f4-4b66-8b40-30927f8cb67b</x:v>
      </x:c>
      <x:c r="B210" t="str">
        <x:v>CSSP10309904</x:v>
      </x:c>
      <x:c r="C210" t="str">
        <x:v>mohamadfaisal.maasah@petronas.com</x:v>
      </x:c>
      <x:c r="D210" t="str">
        <x:v>decommission-cloud</x:v>
      </x:c>
      <x:c r="E210" t="str">
        <x:v>cancelled</x:v>
      </x:c>
      <x:c r="F210" t="n">
        <x:v>46156.058368958336</x:v>
      </x:c>
      <x:c r="G210" t="n">
        <x:v>46156.065795173614</x:v>
      </x:c>
      <x:c r="H210" t="n">
        <x:v>46156.058368958336</x:v>
      </x:c>
      <x:c r="I210" t="str">
        <x:v>Digital Fields</x:v>
      </x:c>
      <x:c r="J210" t="str">
        <x:v>Subscription of Cloud Services for Proxy Well Model (PWM) and Sand Advisor (SAr) for Scaling Digital Field for Center of Excellence</x:v>
      </x:c>
      <x:c r="K210" t="str">
        <x:v>partial</x:v>
      </x:c>
      <x:c r="L210"/>
      <x:c r="M210" t="str">
        <x:v>halim.matnoh@petronas.com</x:v>
      </x:c>
      <x:c r="N210" t="str">
        <x:v>not applicable</x:v>
      </x:c>
      <x:c r="O210" t="n">
        <x:v>1152</x:v>
      </x:c>
      <x:c r="P210" t="str">
        <x:v>per business agreement on decommissioning resource related to application</x:v>
      </x:c>
      <x:c r="Q210" t="str">
        <x:v>2W</x:v>
      </x:c>
      <x:c r="R210" t="str">
        <x:v>Not in Used</x:v>
      </x:c>
      <x:c r="S210"/>
      <x:c r="T210" t="str">
        <x:v>rejected</x:v>
      </x:c>
      <x:c r="U210" t="str">
        <x:v>mohamadfaisal.maasah@petronas.com</x:v>
      </x:c>
      <x:c r="V210" t="n">
        <x:v>46156.06579518518</x:v>
      </x:c>
      <x:c r="W210"/>
      <x:c r="X210"/>
      <x:c r="Y210" t="str">
        <x:v>halim.matnoh@petronas.com</x:v>
      </x:c>
      <x:c r="Z210"/>
      <x:c r="AA210"/>
      <x:c r="AB210"/>
      <x:c r="AC210" t="str">
        <x:v>CCoE Business</x:v>
      </x:c>
      <x:c r="AD210"/>
      <x:c r="AE210"/>
      <x:c r="AF210"/>
      <x:c r="AG210" t="str">
        <x:v>CCoE Operations</x:v>
      </x:c>
      <x:c r="AH210"/>
      <x:c r="AI210"/>
      <x:c r="AJ210" t="str">
        <x:v>A-000206</x:v>
      </x:c>
      <x:c r="AK210" t="n">
        <x:v>1152</x:v>
      </x:c>
      <x:c r="AL210"/>
      <x:c r="AM210"/>
      <x:c r="AN210" t="str">
        <x:v>noretention</x:v>
      </x:c>
      <x:c r="AO210" t="n">
        <x:v>0</x:v>
      </x:c>
      <x:c r="AP210" s="23" t="str">
        <x:f>IF(E210="processing",IF(Z210="","",IF(ISNUMBER(Z210),INT(Z210),DATE(VALUE(LEFT(Z210,4)),VALUE(MID(Z210,6,2)),VALUE(MID(Z210,9,2))))),IF(OR(E210="executing",E210="pending"),IF(AD210="","",IF(ISNUMBER(AD210),INT(AD210),DATE(VALUE(LEFT(AD210,4)),VALUE(MID(AD210,6,2)),VALUE(MID(AD210,9,2))))),""))</x:f>
      </x:c>
      <x:c r="AQ210" s="24" t="str">
        <x:f>IF(AP210="","",INT('Configuration'!$B$4)-AP210)</x:f>
      </x:c>
      <x:c r="AR210" s="25" t="str">
        <x:f>IF(AP210="","Missing Required Date",IF(AQ210&lt;0,"Future Date",IF(AQ210=0,"0 days",IF(AQ210&lt;=2,"1-2 days",IF(AQ210&lt;=7,"3-7 days",IF(AQ210&lt;=14,"8-14 days",IF(AQ210&lt;=30,"15-30 days",IF(AQ210&lt;=60,"31-60 days",IF(AQ210&lt;=70,"61-70 days","71+ days")))))))))</x:f>
        <x:v>Missing Required Date</x:v>
      </x:c>
      <x:c r="AS210" s="25" t="str">
        <x:f>IF(OR(E210="processing",E210="executing",E210="pending"),IF(AP210="","Required aging date missing",IF(AQ210&gt;30,"Escalate &gt;30d",IF(AQ210&gt;14,"Watch &gt;14d","Within 14d"))),"Out of scope")</x:f>
        <x:v>Out of scope</x:v>
      </x:c>
    </x:row>
    <x:row r="211" ht="24" customHeight="1">
      <x:c r="A211" t="str">
        <x:v>756f5134-f188-4a26-8875-475adfa99b6b</x:v>
      </x:c>
      <x:c r="B211" t="str">
        <x:v>CSSP10287067</x:v>
      </x:c>
      <x:c r="C211" t="str">
        <x:v>mohamadfaisal.maasah@petronas.com</x:v>
      </x:c>
      <x:c r="D211" t="str">
        <x:v>decommission-cloud</x:v>
      </x:c>
      <x:c r="E211" t="str">
        <x:v>completed</x:v>
      </x:c>
      <x:c r="F211" t="n">
        <x:v>46156.06747673611</x:v>
      </x:c>
      <x:c r="G211" t="n">
        <x:v>46213.00206690972</x:v>
      </x:c>
      <x:c r="H211" t="n">
        <x:v>46156.06747673611</x:v>
      </x:c>
      <x:c r="I211" t="str">
        <x:v>Digital Fields</x:v>
      </x:c>
      <x:c r="J211" t="str">
        <x:v>Subscription of Cloud Services for Proxy Well Model (PWM) and Sand Advisor (SAr) for Scaling Digital Field for Center of Excellence</x:v>
      </x:c>
      <x:c r="K211" t="str">
        <x:v>full</x:v>
      </x:c>
      <x:c r="L211" t="str">
        <x:v>DCOM20260514fd1</x:v>
      </x:c>
      <x:c r="M211" t="str">
        <x:v>halim.matnoh@petronas.com</x:v>
      </x:c>
      <x:c r="N211" t="str">
        <x:v>not applicable</x:v>
      </x:c>
      <x:c r="O211" t="n">
        <x:v>1152</x:v>
      </x:c>
      <x:c r="P211" t="str">
        <x:v>per business agreement to decomm the unused resources for VFM</x:v>
      </x:c>
      <x:c r="Q211" t="str">
        <x:v>2W</x:v>
      </x:c>
      <x:c r="R211" t="str">
        <x:v>Not in Used</x:v>
      </x:c>
      <x:c r="S211"/>
      <x:c r="T211" t="str">
        <x:v>approved</x:v>
      </x:c>
      <x:c r="U211" t="str">
        <x:v>mohamadfaisal.maasah@petronas.com</x:v>
      </x:c>
      <x:c r="V211" t="n">
        <x:v>46156.080706458335</x:v>
      </x:c>
      <x:c r="W211" t="str">
        <x:v>business focal agreeed to decomm with backup being done.
backup has been completed and can proceed for decommissioning</x:v>
      </x:c>
      <x:c r="X211" t="str">
        <x:v>approved</x:v>
      </x:c>
      <x:c r="Y211" t="str">
        <x:v>halim.matnoh@petronas.com</x:v>
      </x:c>
      <x:c r="Z211" t="n">
        <x:v>46195.15977017361</x:v>
      </x:c>
      <x:c r="AA211" t="str">
        <x:v>proceed</x:v>
      </x:c>
      <x:c r="AB211" t="str">
        <x:v>approved</x:v>
      </x:c>
      <x:c r="AC211" t="str">
        <x:v>amarja.kawade@petronas.com</x:v>
      </x:c>
      <x:c r="AD211" t="n">
        <x:v>46205.1628003588</x:v>
      </x:c>
      <x:c r="AE211" t="str">
        <x:v>To decommission all resources in PTAZSG-IAC-DAA-PROD-VFM-WPAA-RG and remove DNS records for vfm.petronas.com</x:v>
      </x:c>
      <x:c r="AF211" t="str">
        <x:v>approved</x:v>
      </x:c>
      <x:c r="AG211" t="str">
        <x:v>azwan.badari@petronas.com</x:v>
      </x:c>
      <x:c r="AH211" t="n">
        <x:v>46213.00206690972</x:v>
      </x:c>
      <x:c r="AI211" t="str">
        <x:v>Completed by Amarja. Together with request CSSP10246852</x:v>
      </x:c>
      <x:c r="AJ211" t="str">
        <x:v>A-000206</x:v>
      </x:c>
      <x:c r="AK211" t="n">
        <x:v>1152</x:v>
      </x:c>
      <x:c r="AL211" t="str">
        <x:v>M</x:v>
      </x:c>
      <x:c r="AM211" t="str">
        <x:v>REQ000008138577</x:v>
      </x:c>
      <x:c r="AN211" t="str">
        <x:v>noretention</x:v>
      </x:c>
      <x:c r="AO211" t="n">
        <x:v>0</x:v>
      </x:c>
      <x:c r="AP211" s="23" t="str">
        <x:f>IF(E211="processing",IF(Z211="","",IF(ISNUMBER(Z211),INT(Z211),DATE(VALUE(LEFT(Z211,4)),VALUE(MID(Z211,6,2)),VALUE(MID(Z211,9,2))))),IF(OR(E211="executing",E211="pending"),IF(AD211="","",IF(ISNUMBER(AD211),INT(AD211),DATE(VALUE(LEFT(AD211,4)),VALUE(MID(AD211,6,2)),VALUE(MID(AD211,9,2))))),""))</x:f>
      </x:c>
      <x:c r="AQ211" s="24" t="str">
        <x:f>IF(AP211="","",INT('Configuration'!$B$4)-AP211)</x:f>
      </x:c>
      <x:c r="AR211" s="25" t="str">
        <x:f>IF(AP211="","Missing Required Date",IF(AQ211&lt;0,"Future Date",IF(AQ211=0,"0 days",IF(AQ211&lt;=2,"1-2 days",IF(AQ211&lt;=7,"3-7 days",IF(AQ211&lt;=14,"8-14 days",IF(AQ211&lt;=30,"15-30 days",IF(AQ211&lt;=60,"31-60 days",IF(AQ211&lt;=70,"61-70 days","71+ days")))))))))</x:f>
        <x:v>Missing Required Date</x:v>
      </x:c>
      <x:c r="AS211" s="25" t="str">
        <x:f>IF(OR(E211="processing",E211="executing",E211="pending"),IF(AP211="","Required aging date missing",IF(AQ211&gt;30,"Escalate &gt;30d",IF(AQ211&gt;14,"Watch &gt;14d","Within 14d"))),"Out of scope")</x:f>
        <x:v>Out of scope</x:v>
      </x:c>
    </x:row>
    <x:row r="212" ht="24" customHeight="1">
      <x:c r="A212" t="str">
        <x:v>415056df-5773-498c-967e-4fca6872c6e0</x:v>
      </x:c>
      <x:c r="B212" t="str">
        <x:v>CSSP10122979</x:v>
      </x:c>
      <x:c r="C212" t="str">
        <x:v>norhayati.saad@petronas.com</x:v>
      </x:c>
      <x:c r="D212" t="str">
        <x:v>decommission-cloud</x:v>
      </x:c>
      <x:c r="E212" t="str">
        <x:v>completed</x:v>
      </x:c>
      <x:c r="F212" t="n">
        <x:v>46156.071725636575</x:v>
      </x:c>
      <x:c r="G212" t="n">
        <x:v>46209.10968123843</x:v>
      </x:c>
      <x:c r="H212" t="n">
        <x:v>46156.071725636575</x:v>
      </x:c>
      <x:c r="I212" t="str">
        <x:v>Integrated Computing and Security - ICS MRCSB</x:v>
      </x:c>
      <x:c r="J212" t="str">
        <x:v>OCI MIGRATION - ACS Time Attendance System, HeadCount System, HSE Training Management System (HTMS), MANTRACKS, Meeting Room Booking System, Occupational Health Management System (OHMS)</x:v>
      </x:c>
      <x:c r="K212" t="str">
        <x:v>partial</x:v>
      </x:c>
      <x:c r="L212"/>
      <x:c r="M212" t="str">
        <x:v>sazali.mokhtar@petronas.com</x:v>
      </x:c>
      <x:c r="N212"/>
      <x:c r="O212"/>
      <x:c r="P212" t="str">
        <x:v>Cloud Repatriation - To decommission old resources in Singapore region due to completed migration in MY region</x:v>
      </x:c>
      <x:c r="Q212" t="str">
        <x:v>2W</x:v>
      </x:c>
      <x:c r="R212" t="str">
        <x:v>Cloud Migration</x:v>
      </x:c>
      <x:c r="S212"/>
      <x:c r="T212" t="str">
        <x:v>approved</x:v>
      </x:c>
      <x:c r="U212" t="str">
        <x:v>norhayati.saad@petronas.com</x:v>
      </x:c>
      <x:c r="V212" t="n">
        <x:v>46156.072648726855</x:v>
      </x:c>
      <x:c r="W212" t="str">
        <x:v>Cloud Repatriation - To decommission old resources in Singapore region due to completed migration in MY region</x:v>
      </x:c>
      <x:c r="X212" t="str">
        <x:v>approved</x:v>
      </x:c>
      <x:c r="Y212" t="str">
        <x:v>sazali.mokhtar@petronas.com</x:v>
      </x:c>
      <x:c r="Z212" t="n">
        <x:v>46184.069080775465</x:v>
      </x:c>
      <x:c r="AA212" t="str">
        <x:v>Cloud Repatriation - To decommission old resources in Singapore region due to completed migration in MY region</x:v>
      </x:c>
      <x:c r="AB212" t="str">
        <x:v>approved</x:v>
      </x:c>
      <x:c r="AC212" t="str">
        <x:v>azwan.badari@petronas.com</x:v>
      </x:c>
      <x:c r="AD212" t="n">
        <x:v>46197.399577268516</x:v>
      </x:c>
      <x:c r="AE212" t="str">
        <x:v>Refer to attachment</x:v>
      </x:c>
      <x:c r="AF212" t="str">
        <x:v>approved</x:v>
      </x:c>
      <x:c r="AG212" t="str">
        <x:v>azlisham.md@petronas.com</x:v>
      </x:c>
      <x:c r="AH212" t="n">
        <x:v>46209.10968123843</x:v>
      </x:c>
      <x:c r="AI212" t="str">
        <x:v>The decommission request has been completed, and the status is now updated accordingly. Kindly verify from your end and confirm once reviewed.
</x:v>
      </x:c>
      <x:c r="AJ212" t="str">
        <x:v>A-000368</x:v>
      </x:c>
      <x:c r="AK212" t="str">
        <x:v>OCI-00029</x:v>
      </x:c>
      <x:c r="AL212" t="str">
        <x:v>M</x:v>
      </x:c>
      <x:c r="AM212" t="str">
        <x:v>REQ000008119651</x:v>
      </x:c>
      <x:c r="AN212" t="str">
        <x:v>noretention</x:v>
      </x:c>
      <x:c r="AO212" t="n">
        <x:v>0</x:v>
      </x:c>
      <x:c r="AP212" s="23" t="str">
        <x:f>IF(E212="processing",IF(Z212="","",IF(ISNUMBER(Z212),INT(Z212),DATE(VALUE(LEFT(Z212,4)),VALUE(MID(Z212,6,2)),VALUE(MID(Z212,9,2))))),IF(OR(E212="executing",E212="pending"),IF(AD212="","",IF(ISNUMBER(AD212),INT(AD212),DATE(VALUE(LEFT(AD212,4)),VALUE(MID(AD212,6,2)),VALUE(MID(AD212,9,2))))),""))</x:f>
      </x:c>
      <x:c r="AQ212" s="24" t="str">
        <x:f>IF(AP212="","",INT('Configuration'!$B$4)-AP212)</x:f>
      </x:c>
      <x:c r="AR212" s="25" t="str">
        <x:f>IF(AP212="","Missing Required Date",IF(AQ212&lt;0,"Future Date",IF(AQ212=0,"0 days",IF(AQ212&lt;=2,"1-2 days",IF(AQ212&lt;=7,"3-7 days",IF(AQ212&lt;=14,"8-14 days",IF(AQ212&lt;=30,"15-30 days",IF(AQ212&lt;=60,"31-60 days",IF(AQ212&lt;=70,"61-70 days","71+ days")))))))))</x:f>
        <x:v>Missing Required Date</x:v>
      </x:c>
      <x:c r="AS212" s="25" t="str">
        <x:f>IF(OR(E212="processing",E212="executing",E212="pending"),IF(AP212="","Required aging date missing",IF(AQ212&gt;30,"Escalate &gt;30d",IF(AQ212&gt;14,"Watch &gt;14d","Within 14d"))),"Out of scope")</x:f>
        <x:v>Out of scope</x:v>
      </x:c>
    </x:row>
    <x:row r="213" ht="24" customHeight="1">
      <x:c r="A213" t="str">
        <x:v>fabc8b2c-9e98-4931-8a32-a902fa44e59d</x:v>
      </x:c>
      <x:c r="B213" t="str">
        <x:v>CSSP10207809</x:v>
      </x:c>
      <x:c r="C213" t="str">
        <x:v>norhayati.saad@petronas.com</x:v>
      </x:c>
      <x:c r="D213" t="str">
        <x:v>decommission-cloud</x:v>
      </x:c>
      <x:c r="E213" t="str">
        <x:v>completed</x:v>
      </x:c>
      <x:c r="F213" t="n">
        <x:v>46156.07348802083</x:v>
      </x:c>
      <x:c r="G213" t="n">
        <x:v>46204.29616693287</x:v>
      </x:c>
      <x:c r="H213" t="n">
        <x:v>46156.07348802083</x:v>
      </x:c>
      <x:c r="I213" t="str">
        <x:v>Integrated Computing and Security - ICS MRCSB</x:v>
      </x:c>
      <x:c r="J213" t="str">
        <x:v>OCI MIGRATION - ICSPROD: ACS Time Attendance System, HeadCount System, HSE Training Management System (HTMS), MANTRACKS, Meeting Room Booking System, Occupational Health Management System (OHMS)</x:v>
      </x:c>
      <x:c r="K213" t="str">
        <x:v>partial</x:v>
      </x:c>
      <x:c r="L213"/>
      <x:c r="M213" t="str">
        <x:v>sazali.mokhtar@petronas.com</x:v>
      </x:c>
      <x:c r="N213"/>
      <x:c r="O213"/>
      <x:c r="P213" t="str">
        <x:v>Cloud Repatriation - To decommission old resources in Singapore region due to completed migration in MY region</x:v>
      </x:c>
      <x:c r="Q213" t="str">
        <x:v>2W</x:v>
      </x:c>
      <x:c r="R213" t="str">
        <x:v>Cloud Migration</x:v>
      </x:c>
      <x:c r="S213"/>
      <x:c r="T213" t="str">
        <x:v>approved</x:v>
      </x:c>
      <x:c r="U213" t="str">
        <x:v>norhayati.saad@petronas.com</x:v>
      </x:c>
      <x:c r="V213" t="n">
        <x:v>46156.07583739583</x:v>
      </x:c>
      <x:c r="W213" t="str">
        <x:v>please decomm ptawsg-5icspdb01, PTAWSG-5ICSap01, PTAWSG-1ICSap01 and ptawsg-1icsprodb01. This cssp also related with CSSP10122979</x:v>
      </x:c>
      <x:c r="X213" t="str">
        <x:v>approved</x:v>
      </x:c>
      <x:c r="Y213" t="str">
        <x:v>sazali.mokhtar@petronas.com</x:v>
      </x:c>
      <x:c r="Z213" t="n">
        <x:v>46184.0683547338</x:v>
      </x:c>
      <x:c r="AA213" t="str">
        <x:v>Cloud Repatriation - To decommission old resources in Singapore region due to completed migration in MY region</x:v>
      </x:c>
      <x:c r="AB213" t="str">
        <x:v>approved</x:v>
      </x:c>
      <x:c r="AC213" t="str">
        <x:v>azwan.badari@petronas.com</x:v>
      </x:c>
      <x:c r="AD213" t="n">
        <x:v>46197.39973489584</x:v>
      </x:c>
      <x:c r="AE213" t="str">
        <x:v>Refer to attachment</x:v>
      </x:c>
      <x:c r="AF213" t="str">
        <x:v>approved</x:v>
      </x:c>
      <x:c r="AG213" t="str">
        <x:v>azlisham.md@petronas.com</x:v>
      </x:c>
      <x:c r="AH213" t="n">
        <x:v>46204.29616694444</x:v>
      </x:c>
      <x:c r="AI213" t="str">
        <x:v>The decommission request has been completed, and the status is now updated accordingly. Kindly verify from your end and confirm once reviewed.
</x:v>
      </x:c>
      <x:c r="AJ213" t="str">
        <x:v>A-000368</x:v>
      </x:c>
      <x:c r="AK213" t="str">
        <x:v>AWSOCI_001</x:v>
      </x:c>
      <x:c r="AL213" t="str">
        <x:v>M</x:v>
      </x:c>
      <x:c r="AM213" t="str">
        <x:v>REQ000008119652</x:v>
      </x:c>
      <x:c r="AN213" t="str">
        <x:v>noretention</x:v>
      </x:c>
      <x:c r="AO213" t="n">
        <x:v>0</x:v>
      </x:c>
      <x:c r="AP213" s="23" t="str">
        <x:f>IF(E213="processing",IF(Z213="","",IF(ISNUMBER(Z213),INT(Z213),DATE(VALUE(LEFT(Z213,4)),VALUE(MID(Z213,6,2)),VALUE(MID(Z213,9,2))))),IF(OR(E213="executing",E213="pending"),IF(AD213="","",IF(ISNUMBER(AD213),INT(AD213),DATE(VALUE(LEFT(AD213,4)),VALUE(MID(AD213,6,2)),VALUE(MID(AD213,9,2))))),""))</x:f>
      </x:c>
      <x:c r="AQ213" s="24" t="str">
        <x:f>IF(AP213="","",INT('Configuration'!$B$4)-AP213)</x:f>
      </x:c>
      <x:c r="AR213" s="25" t="str">
        <x:f>IF(AP213="","Missing Required Date",IF(AQ213&lt;0,"Future Date",IF(AQ213=0,"0 days",IF(AQ213&lt;=2,"1-2 days",IF(AQ213&lt;=7,"3-7 days",IF(AQ213&lt;=14,"8-14 days",IF(AQ213&lt;=30,"15-30 days",IF(AQ213&lt;=60,"31-60 days",IF(AQ213&lt;=70,"61-70 days","71+ days")))))))))</x:f>
        <x:v>Missing Required Date</x:v>
      </x:c>
      <x:c r="AS213" s="25" t="str">
        <x:f>IF(OR(E213="processing",E213="executing",E213="pending"),IF(AP213="","Required aging date missing",IF(AQ213&gt;30,"Escalate &gt;30d",IF(AQ213&gt;14,"Watch &gt;14d","Within 14d"))),"Out of scope")</x:f>
        <x:v>Out of scope</x:v>
      </x:c>
    </x:row>
    <x:row r="214" ht="24" customHeight="1">
      <x:c r="A214" t="str">
        <x:v>21ebe187-b5a8-468d-aa99-63c14ab854c4</x:v>
      </x:c>
      <x:c r="B214" t="str">
        <x:v>CSSP10246852</x:v>
      </x:c>
      <x:c r="C214" t="str">
        <x:v>mohamadfaisal.maasah@petronas.com</x:v>
      </x:c>
      <x:c r="D214" t="str">
        <x:v>decommission-cloud</x:v>
      </x:c>
      <x:c r="E214" t="str">
        <x:v>completed</x:v>
      </x:c>
      <x:c r="F214" t="n">
        <x:v>46156.091822372684</x:v>
      </x:c>
      <x:c r="G214" t="n">
        <x:v>46213.001630983796</x:v>
      </x:c>
      <x:c r="H214" t="n">
        <x:v>46156.091822372684</x:v>
      </x:c>
      <x:c r="I214" t="str">
        <x:v>Digital Fields</x:v>
      </x:c>
      <x:c r="J214" t="str">
        <x:v>Subscription of Cloud Services for Proxy Well Model (PWM) and Sand Advisor (SAr) for Scaling Digital Field for Center of Excellence</x:v>
      </x:c>
      <x:c r="K214" t="str">
        <x:v>full</x:v>
      </x:c>
      <x:c r="L214" t="str">
        <x:v>DCOM20260514fd1</x:v>
      </x:c>
      <x:c r="M214" t="str">
        <x:v>halim.matnoh@petronas.com</x:v>
      </x:c>
      <x:c r="N214" t="str">
        <x:v>not applicable</x:v>
      </x:c>
      <x:c r="O214" t="str">
        <x:v>01152_1</x:v>
      </x:c>
      <x:c r="P214" t="str">
        <x:v>to decomm 01152_1 as part of decommissioning for VFM WPAA solution</x:v>
      </x:c>
      <x:c r="Q214" t="str">
        <x:v>2W</x:v>
      </x:c>
      <x:c r="R214" t="str">
        <x:v>Not in Used</x:v>
      </x:c>
      <x:c r="S214"/>
      <x:c r="T214" t="str">
        <x:v>approved</x:v>
      </x:c>
      <x:c r="U214" t="str">
        <x:v>mohamadfaisal.maasah@petronas.com</x:v>
      </x:c>
      <x:c r="V214" t="n">
        <x:v>46188.357732083336</x:v>
      </x:c>
      <x:c r="W214" t="str">
        <x:v>to decomm 01152_1 as part of decommissioning for VFM WPAA solution</x:v>
      </x:c>
      <x:c r="X214" t="str">
        <x:v>approved</x:v>
      </x:c>
      <x:c r="Y214" t="str">
        <x:v>halim.matnoh@petronas.com</x:v>
      </x:c>
      <x:c r="Z214" t="n">
        <x:v>46195.16067460648</x:v>
      </x:c>
      <x:c r="AA214" t="str">
        <x:v>proceed</x:v>
      </x:c>
      <x:c r="AB214" t="str">
        <x:v>approved</x:v>
      </x:c>
      <x:c r="AC214" t="str">
        <x:v>amarja.kawade@petronas.com</x:v>
      </x:c>
      <x:c r="AD214" t="n">
        <x:v>46205.15854921296</x:v>
      </x:c>
      <x:c r="AE214" t="str">
        <x:v>to decommission all resources in PTAZSG-IAC-DAA-PROD-SCP-RG and remove DNS records for scp.petronas.com &amp; vps.petronas.com</x:v>
      </x:c>
      <x:c r="AF214" t="str">
        <x:v>approved</x:v>
      </x:c>
      <x:c r="AG214" t="str">
        <x:v>azwan.badari@petronas.com</x:v>
      </x:c>
      <x:c r="AH214" t="n">
        <x:v>46213.001630983796</x:v>
      </x:c>
      <x:c r="AI214" t="str">
        <x:v>Completed</x:v>
      </x:c>
      <x:c r="AJ214" t="str">
        <x:v>A-000206</x:v>
      </x:c>
      <x:c r="AK214" t="n">
        <x:v>1152</x:v>
      </x:c>
      <x:c r="AL214" t="str">
        <x:v>M</x:v>
      </x:c>
      <x:c r="AM214" t="str">
        <x:v>REQ000008138569</x:v>
      </x:c>
      <x:c r="AN214" t="str">
        <x:v>noretention</x:v>
      </x:c>
      <x:c r="AO214" t="n">
        <x:v>0</x:v>
      </x:c>
      <x:c r="AP214" s="23" t="str">
        <x:f>IF(E214="processing",IF(Z214="","",IF(ISNUMBER(Z214),INT(Z214),DATE(VALUE(LEFT(Z214,4)),VALUE(MID(Z214,6,2)),VALUE(MID(Z214,9,2))))),IF(OR(E214="executing",E214="pending"),IF(AD214="","",IF(ISNUMBER(AD214),INT(AD214),DATE(VALUE(LEFT(AD214,4)),VALUE(MID(AD214,6,2)),VALUE(MID(AD214,9,2))))),""))</x:f>
      </x:c>
      <x:c r="AQ214" s="24" t="str">
        <x:f>IF(AP214="","",INT('Configuration'!$B$4)-AP214)</x:f>
      </x:c>
      <x:c r="AR214" s="25" t="str">
        <x:f>IF(AP214="","Missing Required Date",IF(AQ214&lt;0,"Future Date",IF(AQ214=0,"0 days",IF(AQ214&lt;=2,"1-2 days",IF(AQ214&lt;=7,"3-7 days",IF(AQ214&lt;=14,"8-14 days",IF(AQ214&lt;=30,"15-30 days",IF(AQ214&lt;=60,"31-60 days",IF(AQ214&lt;=70,"61-70 days","71+ days")))))))))</x:f>
        <x:v>Missing Required Date</x:v>
      </x:c>
      <x:c r="AS214" s="25" t="str">
        <x:f>IF(OR(E214="processing",E214="executing",E214="pending"),IF(AP214="","Required aging date missing",IF(AQ214&gt;30,"Escalate &gt;30d",IF(AQ214&gt;14,"Watch &gt;14d","Within 14d"))),"Out of scope")</x:f>
        <x:v>Out of scope</x:v>
      </x:c>
    </x:row>
    <x:row r="215" ht="24" customHeight="1">
      <x:c r="A215" t="str">
        <x:v>302bc997-0693-40ef-8a39-f041b82f4eb2</x:v>
      </x:c>
      <x:c r="B215" t="str">
        <x:v>CSSP10725106</x:v>
      </x:c>
      <x:c r="C215" t="str">
        <x:v>taiyen.fa@petronas.com</x:v>
      </x:c>
      <x:c r="D215" t="str">
        <x:v>decommission-cloud</x:v>
      </x:c>
      <x:c r="E215" t="str">
        <x:v>completed</x:v>
      </x:c>
      <x:c r="F215" t="n">
        <x:v>46156.271295011575</x:v>
      </x:c>
      <x:c r="G215" t="n">
        <x:v>46177.25674892361</x:v>
      </x:c>
      <x:c r="H215" t="n">
        <x:v>46161.39208549768</x:v>
      </x:c>
      <x:c r="I215" t="str">
        <x:v>Alpha Gas</x:v>
      </x:c>
      <x:c r="J215" t="str">
        <x:v>Alpha Gas Run and Maintain 2025</x:v>
      </x:c>
      <x:c r="K215" t="str">
        <x:v>full</x:v>
      </x:c>
      <x:c r="L215" t="str">
        <x:v>DCOM2026051933d</x:v>
      </x:c>
      <x:c r="M215" t="str">
        <x:v>hazulfadli_hasan@petronas.com.my</x:v>
      </x:c>
      <x:c r="N215"/>
      <x:c r="O215"/>
      <x:c r="P215" t="str">
        <x:v>The product discontinuation is due to limited realised value, low user adoption and an unfavourable cost-benefit outlook for PEGT.</x:v>
      </x:c>
      <x:c r="Q215" t="str">
        <x:v>2W</x:v>
      </x:c>
      <x:c r="R215" t="str">
        <x:v>Not in Used</x:v>
      </x:c>
      <x:c r="S215"/>
      <x:c r="T215" t="str">
        <x:v>approved</x:v>
      </x:c>
      <x:c r="U215" t="str">
        <x:v>taiyen.fa@petronas.com</x:v>
      </x:c>
      <x:c r="V215" t="n">
        <x:v>46164.167837291665</x:v>
      </x:c>
      <x:c r="W215" t="str">
        <x:v>Additional AWS resources to decomission:
RDS Snapshots
arn:aws:rds:ap-southeast-1:730737176335:snapshot:final-ptawsg-4alphagasdb01-f0ac1a4e
arn:aws:rds:ap-southeast-1:730737176335:snapshot:final-ptawsg-5alphagasdb01-f27f7141
arn:aws:rds:ap-southeast-1:402513966462:snapshot:final-ptawsg-1alphagasdb01-457cf018
S3 Buckets
ptawsg-iac-nonprod-pdnt-alphagas-dev-bucket
ptawsg-iac-nonprod-pdnt-alphagas-stg-bucket
ptawsg-iac-prod-pdnt-alphagas-bucket
AWS Backup Vault
arn:aws:backup:ap-southeast-1:730737176335:backup-vault:PTAWSG-IAC-NonPROD-DEV-PDnT-ALPHAGAS-VAULT-S3
arn:aws:backup:ap-southeast-1:730737176335:backup-vault:PTAWSG-IAC-NonPROD-STG-PDnT-ALPHAGAS-VAULT-S3
arn:aws:backup:ap-southeast-1:402513966462:backup-vault:PTAWSG-IAC-PROD-PDnT-ALPHAGAS-VAULT-S3</x:v>
      </x:c>
      <x:c r="X215" t="str">
        <x:v>approved</x:v>
      </x:c>
      <x:c r="Y215" t="str">
        <x:v>hazulfadli_hasan@petronas.com</x:v>
      </x:c>
      <x:c r="Z215" t="n">
        <x:v>46164.29054394676</x:v>
      </x:c>
      <x:c r="AA215" t="str">
        <x:v>Reviewed and align with PEGT management decision </x:v>
      </x:c>
      <x:c r="AB215" t="str">
        <x:v>approved</x:v>
      </x:c>
      <x:c r="AC215" t="str">
        <x:v>azwan.badari@petronas.com</x:v>
      </x:c>
      <x:c r="AD215" t="n">
        <x:v>46167.07193493056</x:v>
      </x:c>
      <x:c r="AE215" t="str">
        <x:v>Decommission all resources for AlphaGas (04555) and DNS.
alphagas.petronas.com
dev.alphagas.petronas.com
stg.alphagas.petronas.com</x:v>
      </x:c>
      <x:c r="AF215" t="str">
        <x:v>approved</x:v>
      </x:c>
      <x:c r="AG215" t="str">
        <x:v>azwan.badari@petronas.com</x:v>
      </x:c>
      <x:c r="AH215" t="n">
        <x:v>46177.256748935186</x:v>
      </x:c>
      <x:c r="AI215" t="str">
        <x:v>Completed</x:v>
      </x:c>
      <x:c r="AJ215" t="str">
        <x:v>A-000042</x:v>
      </x:c>
      <x:c r="AK215" t="n">
        <x:v>4555</x:v>
      </x:c>
      <x:c r="AL215" t="str">
        <x:v>L</x:v>
      </x:c>
      <x:c r="AM215" t="str">
        <x:v>REQ000008066611</x:v>
      </x:c>
      <x:c r="AN215" t="str">
        <x:v>disposal</x:v>
      </x:c>
      <x:c r="AO215" t="n">
        <x:v>0</x:v>
      </x:c>
      <x:c r="AP215" s="23" t="str">
        <x:f>IF(E215="processing",IF(Z215="","",IF(ISNUMBER(Z215),INT(Z215),DATE(VALUE(LEFT(Z215,4)),VALUE(MID(Z215,6,2)),VALUE(MID(Z215,9,2))))),IF(OR(E215="executing",E215="pending"),IF(AD215="","",IF(ISNUMBER(AD215),INT(AD215),DATE(VALUE(LEFT(AD215,4)),VALUE(MID(AD215,6,2)),VALUE(MID(AD215,9,2))))),""))</x:f>
      </x:c>
      <x:c r="AQ215" s="24" t="str">
        <x:f>IF(AP215="","",INT('Configuration'!$B$4)-AP215)</x:f>
      </x:c>
      <x:c r="AR215" s="25" t="str">
        <x:f>IF(AP215="","Missing Required Date",IF(AQ215&lt;0,"Future Date",IF(AQ215=0,"0 days",IF(AQ215&lt;=2,"1-2 days",IF(AQ215&lt;=7,"3-7 days",IF(AQ215&lt;=14,"8-14 days",IF(AQ215&lt;=30,"15-30 days",IF(AQ215&lt;=60,"31-60 days",IF(AQ215&lt;=70,"61-70 days","71+ days")))))))))</x:f>
        <x:v>Missing Required Date</x:v>
      </x:c>
      <x:c r="AS215" s="25" t="str">
        <x:f>IF(OR(E215="processing",E215="executing",E215="pending"),IF(AP215="","Required aging date missing",IF(AQ215&gt;30,"Escalate &gt;30d",IF(AQ215&gt;14,"Watch &gt;14d","Within 14d"))),"Out of scope")</x:f>
        <x:v>Out of scope</x:v>
      </x:c>
    </x:row>
    <x:row r="216" ht="24" customHeight="1">
      <x:c r="A216" t="str">
        <x:v>cad1143c-1c95-448c-b393-be3699fc7ff4</x:v>
      </x:c>
      <x:c r="B216" t="str">
        <x:v>CSSP10128428</x:v>
      </x:c>
      <x:c r="C216" t="str">
        <x:v>izdihar.roslan@petronas.com</x:v>
      </x:c>
      <x:c r="D216" t="str">
        <x:v>decommission-cloud</x:v>
      </x:c>
      <x:c r="E216" t="str">
        <x:v>completed</x:v>
      </x:c>
      <x:c r="F216" t="n">
        <x:v>46156.3205771412</x:v>
      </x:c>
      <x:c r="G216" t="n">
        <x:v>46217.297702766205</x:v>
      </x:c>
      <x:c r="H216" t="n">
        <x:v>46156.3205771412</x:v>
      </x:c>
      <x:c r="I216" t="str">
        <x:v>Lab Information Management System - LIMS PGB</x:v>
      </x:c>
      <x:c r="J216" t="str">
        <x:v>OCI MIGRATION - LIMS PGB</x:v>
      </x:c>
      <x:c r="K216" t="str">
        <x:v>partial</x:v>
      </x:c>
      <x:c r="L216"/>
      <x:c r="M216" t="str">
        <x:v>sazali.mokhtar@petronas.com</x:v>
      </x:c>
      <x:c r="N216"/>
      <x:c r="O216"/>
      <x:c r="P216" t="str">
        <x:v>Cloud Repatriation - To decommission old resources in Singapore region due to completed migration in MY region</x:v>
      </x:c>
      <x:c r="Q216" t="str">
        <x:v>2W</x:v>
      </x:c>
      <x:c r="R216" t="str">
        <x:v>Cloud Migration</x:v>
      </x:c>
      <x:c r="S216"/>
      <x:c r="T216" t="str">
        <x:v>approved</x:v>
      </x:c>
      <x:c r="U216" t="str">
        <x:v>izdihar.roslan@petronas.com</x:v>
      </x:c>
      <x:c r="V216" t="n">
        <x:v>46156.32162744213</x:v>
      </x:c>
      <x:c r="W216" t="str">
        <x:v>Cloud Repatriation - To decommission old resources in Singapore region due to completed migration in MY region</x:v>
      </x:c>
      <x:c r="X216" t="str">
        <x:v>approved</x:v>
      </x:c>
      <x:c r="Y216" t="str">
        <x:v>sazali.mokhtar@petronas.com</x:v>
      </x:c>
      <x:c r="Z216" t="n">
        <x:v>46184.06733737268</x:v>
      </x:c>
      <x:c r="AA216" t="str">
        <x:v>Cloud Repatriation - To decommission old resources in Singapore region due to completed migration in MY region</x:v>
      </x:c>
      <x:c r="AB216" t="str">
        <x:v>approved</x:v>
      </x:c>
      <x:c r="AC216" t="str">
        <x:v>azwan.badari@petronas.com</x:v>
      </x:c>
      <x:c r="AD216" t="n">
        <x:v>46188.13995243055</x:v>
      </x:c>
      <x:c r="AE216" t="str">
        <x:v>Decommission resources in SG</x:v>
      </x:c>
      <x:c r="AF216" t="str">
        <x:v>approved</x:v>
      </x:c>
      <x:c r="AG216" t="str">
        <x:v>azlisham.md@petronas.com</x:v>
      </x:c>
      <x:c r="AH216" t="n">
        <x:v>46217.297702777774</x:v>
      </x:c>
      <x:c r="AI216" t="str">
        <x:v>The decommission request has been completed, and the status is now updated accordingly. Kindly verify from your end and confirm once reviewed.
</x:v>
      </x:c>
      <x:c r="AJ216" t="str">
        <x:v>A-000428</x:v>
      </x:c>
      <x:c r="AK216" t="str">
        <x:v>00915_224</x:v>
      </x:c>
      <x:c r="AL216" t="str">
        <x:v>M</x:v>
      </x:c>
      <x:c r="AM216" t="str">
        <x:v>REQ000008100447</x:v>
      </x:c>
      <x:c r="AN216" t="str">
        <x:v>disposal</x:v>
      </x:c>
      <x:c r="AO216" t="n">
        <x:v>0</x:v>
      </x:c>
      <x:c r="AP216" s="23" t="str">
        <x:f>IF(E216="processing",IF(Z216="","",IF(ISNUMBER(Z216),INT(Z216),DATE(VALUE(LEFT(Z216,4)),VALUE(MID(Z216,6,2)),VALUE(MID(Z216,9,2))))),IF(OR(E216="executing",E216="pending"),IF(AD216="","",IF(ISNUMBER(AD216),INT(AD216),DATE(VALUE(LEFT(AD216,4)),VALUE(MID(AD216,6,2)),VALUE(MID(AD216,9,2))))),""))</x:f>
      </x:c>
      <x:c r="AQ216" s="24" t="str">
        <x:f>IF(AP216="","",INT('Configuration'!$B$4)-AP216)</x:f>
      </x:c>
      <x:c r="AR216" s="25" t="str">
        <x:f>IF(AP216="","Missing Required Date",IF(AQ216&lt;0,"Future Date",IF(AQ216=0,"0 days",IF(AQ216&lt;=2,"1-2 days",IF(AQ216&lt;=7,"3-7 days",IF(AQ216&lt;=14,"8-14 days",IF(AQ216&lt;=30,"15-30 days",IF(AQ216&lt;=60,"31-60 days",IF(AQ216&lt;=70,"61-70 days","71+ days")))))))))</x:f>
        <x:v>Missing Required Date</x:v>
      </x:c>
      <x:c r="AS216" s="25" t="str">
        <x:f>IF(OR(E216="processing",E216="executing",E216="pending"),IF(AP216="","Required aging date missing",IF(AQ216&gt;30,"Escalate &gt;30d",IF(AQ216&gt;14,"Watch &gt;14d","Within 14d"))),"Out of scope")</x:f>
        <x:v>Out of scope</x:v>
      </x:c>
    </x:row>
    <x:row r="217" ht="24" customHeight="1">
      <x:c r="A217" t="str">
        <x:v>05ee937d-9af7-4e68-a0fc-abf2b24526a4</x:v>
      </x:c>
      <x:c r="B217" t="str">
        <x:v>CSSP10777099</x:v>
      </x:c>
      <x:c r="C217" t="str">
        <x:v>izdihar.roslan@petronas.com</x:v>
      </x:c>
      <x:c r="D217" t="str">
        <x:v>decommission-cloud</x:v>
      </x:c>
      <x:c r="E217" t="str">
        <x:v>completed</x:v>
      </x:c>
      <x:c r="F217" t="n">
        <x:v>46156.322693263886</x:v>
      </x:c>
      <x:c r="G217" t="n">
        <x:v>46198.24800104167</x:v>
      </x:c>
      <x:c r="H217" t="n">
        <x:v>46156.322693263886</x:v>
      </x:c>
      <x:c r="I217" t="str">
        <x:v>Lab Information Management System - LIMS PGB</x:v>
      </x:c>
      <x:c r="J217" t="str">
        <x:v>OCI MIGRATION - Integrated Lab Information System (PGB)</x:v>
      </x:c>
      <x:c r="K217" t="str">
        <x:v>partial</x:v>
      </x:c>
      <x:c r="L217"/>
      <x:c r="M217" t="str">
        <x:v>sazali.mokhtar@petronas.com</x:v>
      </x:c>
      <x:c r="N217"/>
      <x:c r="O217"/>
      <x:c r="P217" t="str">
        <x:v>Cloud Repatriation - To decommission old resources in Singapore region due to completed migration in MY region</x:v>
      </x:c>
      <x:c r="Q217" t="str">
        <x:v>2W</x:v>
      </x:c>
      <x:c r="R217" t="str">
        <x:v>Cloud Migration</x:v>
      </x:c>
      <x:c r="S217"/>
      <x:c r="T217" t="str">
        <x:v>approved</x:v>
      </x:c>
      <x:c r="U217" t="str">
        <x:v>izdihar.roslan@petronas.com</x:v>
      </x:c>
      <x:c r="V217" t="n">
        <x:v>46156.322948009256</x:v>
      </x:c>
      <x:c r="W217" t="str">
        <x:v>Cloud Repatriation - To decommission old resources in Singapore region due to completed migration in MY region</x:v>
      </x:c>
      <x:c r="X217" t="str">
        <x:v>approved</x:v>
      </x:c>
      <x:c r="Y217" t="str">
        <x:v>sazali.mokhtar@petronas.com</x:v>
      </x:c>
      <x:c r="Z217" t="n">
        <x:v>46184.066488125</x:v>
      </x:c>
      <x:c r="AA217" t="str">
        <x:v>Cloud Repatriation - To decommission old resources in Singapore region due to completed migration in MY region</x:v>
      </x:c>
      <x:c r="AB217" t="str">
        <x:v>approved</x:v>
      </x:c>
      <x:c r="AC217" t="str">
        <x:v>azwan.badari@petronas.com</x:v>
      </x:c>
      <x:c r="AD217" t="n">
        <x:v>46188.13920064815</x:v>
      </x:c>
      <x:c r="AE217" t="str">
        <x:v>Decommission resources in SG</x:v>
      </x:c>
      <x:c r="AF217" t="str">
        <x:v>approved</x:v>
      </x:c>
      <x:c r="AG217" t="str">
        <x:v>azlisham.md@petronas.com</x:v>
      </x:c>
      <x:c r="AH217" t="n">
        <x:v>46198.24800105324</x:v>
      </x:c>
      <x:c r="AI217" t="str">
        <x:v>The decommission request has been completed, and the status is now updated accordingly. Kindly verify from your end and confirm once reviewed.
</x:v>
      </x:c>
      <x:c r="AJ217" t="str">
        <x:v>A-000428</x:v>
      </x:c>
      <x:c r="AK217" t="str">
        <x:v>OCI-00026</x:v>
      </x:c>
      <x:c r="AL217" t="str">
        <x:v>M</x:v>
      </x:c>
      <x:c r="AM217" t="str">
        <x:v>REQ000008099890</x:v>
      </x:c>
      <x:c r="AN217" t="str">
        <x:v>disposal</x:v>
      </x:c>
      <x:c r="AO217" t="n">
        <x:v>0</x:v>
      </x:c>
      <x:c r="AP217" s="23" t="str">
        <x:f>IF(E217="processing",IF(Z217="","",IF(ISNUMBER(Z217),INT(Z217),DATE(VALUE(LEFT(Z217,4)),VALUE(MID(Z217,6,2)),VALUE(MID(Z217,9,2))))),IF(OR(E217="executing",E217="pending"),IF(AD217="","",IF(ISNUMBER(AD217),INT(AD217),DATE(VALUE(LEFT(AD217,4)),VALUE(MID(AD217,6,2)),VALUE(MID(AD217,9,2))))),""))</x:f>
      </x:c>
      <x:c r="AQ217" s="24" t="str">
        <x:f>IF(AP217="","",INT('Configuration'!$B$4)-AP217)</x:f>
      </x:c>
      <x:c r="AR217" s="25" t="str">
        <x:f>IF(AP217="","Missing Required Date",IF(AQ217&lt;0,"Future Date",IF(AQ217=0,"0 days",IF(AQ217&lt;=2,"1-2 days",IF(AQ217&lt;=7,"3-7 days",IF(AQ217&lt;=14,"8-14 days",IF(AQ217&lt;=30,"15-30 days",IF(AQ217&lt;=60,"31-60 days",IF(AQ217&lt;=70,"61-70 days","71+ days")))))))))</x:f>
        <x:v>Missing Required Date</x:v>
      </x:c>
      <x:c r="AS217" s="25" t="str">
        <x:f>IF(OR(E217="processing",E217="executing",E217="pending"),IF(AP217="","Required aging date missing",IF(AQ217&gt;30,"Escalate &gt;30d",IF(AQ217&gt;14,"Watch &gt;14d","Within 14d"))),"Out of scope")</x:f>
        <x:v>Out of scope</x:v>
      </x:c>
    </x:row>
    <x:row r="218" ht="24" customHeight="1">
      <x:c r="A218" t="str">
        <x:v>8a2c351c-bd7d-44f7-b6c4-d64ff5cd2a02</x:v>
      </x:c>
      <x:c r="B218" t="str">
        <x:v>CSSP10355804</x:v>
      </x:c>
      <x:c r="C218" t="str">
        <x:v>luqmanhakim.ismai@petronas.com</x:v>
      </x:c>
      <x:c r="D218" t="str">
        <x:v>decommission-cloud</x:v>
      </x:c>
      <x:c r="E218" t="str">
        <x:v>cancelled</x:v>
      </x:c>
      <x:c r="F218" t="n">
        <x:v>46157.02472997685</x:v>
      </x:c>
      <x:c r="G218" t="n">
        <x:v>46160.30774204861</x:v>
      </x:c>
      <x:c r="H218" t="n">
        <x:v>46157.02472997685</x:v>
      </x:c>
      <x:c r="I218" t="str">
        <x:v>SAP 36 SRM Enterprise Buyer Professional</x:v>
      </x:c>
      <x:c r="J218" t="str">
        <x:v>Cloud Migration Program - Portal for SRM Enterprise Buyer Professional (SAP36)</x:v>
      </x:c>
      <x:c r="K218" t="str">
        <x:v>partial</x:v>
      </x:c>
      <x:c r="L218"/>
      <x:c r="M218" t="str">
        <x:v>rizuanatan@petronas.com</x:v>
      </x:c>
      <x:c r="N218"/>
      <x:c r="O218"/>
      <x:c r="P218" t="str">
        <x:v>Test</x:v>
      </x:c>
      <x:c r="Q218" t="str">
        <x:v>2W</x:v>
      </x:c>
      <x:c r="R218" t="str">
        <x:v>Not in Used</x:v>
      </x:c>
      <x:c r="S218"/>
      <x:c r="T218" t="str">
        <x:v>rejected</x:v>
      </x:c>
      <x:c r="U218" t="str">
        <x:v>luqmanhakim.ismai@petronas.com</x:v>
      </x:c>
      <x:c r="V218" t="n">
        <x:v>46160.30774204861</x:v>
      </x:c>
      <x:c r="W218"/>
      <x:c r="X218"/>
      <x:c r="Y218" t="str">
        <x:v>rizuanatan@petronas.com</x:v>
      </x:c>
      <x:c r="Z218"/>
      <x:c r="AA218"/>
      <x:c r="AB218"/>
      <x:c r="AC218" t="str">
        <x:v>CCoE Business</x:v>
      </x:c>
      <x:c r="AD218"/>
      <x:c r="AE218"/>
      <x:c r="AF218"/>
      <x:c r="AG218" t="str">
        <x:v>CCoE Operations</x:v>
      </x:c>
      <x:c r="AH218"/>
      <x:c r="AI218"/>
      <x:c r="AJ218" t="str">
        <x:v>A-000719</x:v>
      </x:c>
      <x:c r="AK218" t="str">
        <x:v>00915_131</x:v>
      </x:c>
      <x:c r="AL218"/>
      <x:c r="AM218"/>
      <x:c r="AN218" t="str">
        <x:v>noretention</x:v>
      </x:c>
      <x:c r="AO218" t="n">
        <x:v>0</x:v>
      </x:c>
      <x:c r="AP218" s="23" t="str">
        <x:f>IF(E218="processing",IF(Z218="","",IF(ISNUMBER(Z218),INT(Z218),DATE(VALUE(LEFT(Z218,4)),VALUE(MID(Z218,6,2)),VALUE(MID(Z218,9,2))))),IF(OR(E218="executing",E218="pending"),IF(AD218="","",IF(ISNUMBER(AD218),INT(AD218),DATE(VALUE(LEFT(AD218,4)),VALUE(MID(AD218,6,2)),VALUE(MID(AD218,9,2))))),""))</x:f>
      </x:c>
      <x:c r="AQ218" s="24" t="str">
        <x:f>IF(AP218="","",INT('Configuration'!$B$4)-AP218)</x:f>
      </x:c>
      <x:c r="AR218" s="25" t="str">
        <x:f>IF(AP218="","Missing Required Date",IF(AQ218&lt;0,"Future Date",IF(AQ218=0,"0 days",IF(AQ218&lt;=2,"1-2 days",IF(AQ218&lt;=7,"3-7 days",IF(AQ218&lt;=14,"8-14 days",IF(AQ218&lt;=30,"15-30 days",IF(AQ218&lt;=60,"31-60 days",IF(AQ218&lt;=70,"61-70 days","71+ days")))))))))</x:f>
        <x:v>Missing Required Date</x:v>
      </x:c>
      <x:c r="AS218" s="25" t="str">
        <x:f>IF(OR(E218="processing",E218="executing",E218="pending"),IF(AP218="","Required aging date missing",IF(AQ218&gt;30,"Escalate &gt;30d",IF(AQ218&gt;14,"Watch &gt;14d","Within 14d"))),"Out of scope")</x:f>
        <x:v>Out of scope</x:v>
      </x:c>
    </x:row>
    <x:row r="219" ht="24" customHeight="1">
      <x:c r="A219" t="str">
        <x:v>ad3d6371-3967-402c-a27c-2ee69a0652ca</x:v>
      </x:c>
      <x:c r="B219" t="str">
        <x:v>CSSP10562864</x:v>
      </x:c>
      <x:c r="C219" t="str">
        <x:v>haslina.hashim@petronas.com</x:v>
      </x:c>
      <x:c r="D219" t="str">
        <x:v>decommission-cloud</x:v>
      </x:c>
      <x:c r="E219" t="str">
        <x:v>completed</x:v>
      </x:c>
      <x:c r="F219" t="n">
        <x:v>46160.10242762732</x:v>
      </x:c>
      <x:c r="G219" t="n">
        <x:v>46197.33616951389</x:v>
      </x:c>
      <x:c r="H219" t="n">
        <x:v>46160.10242762732</x:v>
      </x:c>
      <x:c r="I219" t="str">
        <x:v>Zidane LVC</x:v>
      </x:c>
      <x:c r="J219" t="str">
        <x:v>Provision of Professional Service, Software License and Infra for Umbrella ArBiTra for PLL 2022-2023</x:v>
      </x:c>
      <x:c r="K219" t="str">
        <x:v>partial</x:v>
      </x:c>
      <x:c r="L219"/>
      <x:c r="M219" t="str">
        <x:v>sazali.mokhtar@petronas.com</x:v>
      </x:c>
      <x:c r="N219"/>
      <x:c r="O219"/>
      <x:c r="P219" t="str">
        <x:v>Cloud Repatriation - To decommission old resources in Singapore region due to completed migration in MY region. Please refer below attachment. Only the highlighted resources can be decom.</x:v>
      </x:c>
      <x:c r="Q219" t="str">
        <x:v>2W</x:v>
      </x:c>
      <x:c r="R219" t="str">
        <x:v>Cloud Migration</x:v>
      </x:c>
      <x:c r="S219"/>
      <x:c r="T219" t="str">
        <x:v>approved</x:v>
      </x:c>
      <x:c r="U219" t="str">
        <x:v>haslina.hashim@petronas.com</x:v>
      </x:c>
      <x:c r="V219" t="n">
        <x:v>46160.102847407405</x:v>
      </x:c>
      <x:c r="W219" t="str">
        <x:v>Please proceed with the attached lists</x:v>
      </x:c>
      <x:c r="X219" t="str">
        <x:v>approved</x:v>
      </x:c>
      <x:c r="Y219" t="str">
        <x:v>sazali.mokhtar@petronas.com</x:v>
      </x:c>
      <x:c r="Z219" t="n">
        <x:v>46167.346322094905</x:v>
      </x:c>
      <x:c r="AA219" t="str">
        <x:v>Cloud Repatriation - To decommission old resources in Singapore region due to completed migration in MY region. </x:v>
      </x:c>
      <x:c r="AB219" t="str">
        <x:v>approved</x:v>
      </x:c>
      <x:c r="AC219" t="str">
        <x:v>azwan.badari@petronas.com</x:v>
      </x:c>
      <x:c r="AD219" t="n">
        <x:v>46176.28335730324</x:v>
      </x:c>
      <x:c r="AE219" t="str">
        <x:v>Decommission 02835 resources in SG</x:v>
      </x:c>
      <x:c r="AF219" t="str">
        <x:v>approved</x:v>
      </x:c>
      <x:c r="AG219" t="str">
        <x:v>azwan.badari@petronas.com</x:v>
      </x:c>
      <x:c r="AH219" t="n">
        <x:v>46197.33616951389</x:v>
      </x:c>
      <x:c r="AI219" t="str">
        <x:v>Completed</x:v>
      </x:c>
      <x:c r="AJ219" t="str">
        <x:v>A-000063</x:v>
      </x:c>
      <x:c r="AK219" t="n">
        <x:v>2835</x:v>
      </x:c>
      <x:c r="AL219" t="str">
        <x:v>M</x:v>
      </x:c>
      <x:c r="AM219" t="str">
        <x:v>REQ000008078369</x:v>
      </x:c>
      <x:c r="AN219" t="str">
        <x:v>noretention</x:v>
      </x:c>
      <x:c r="AO219" t="n">
        <x:v>0</x:v>
      </x:c>
      <x:c r="AP219" s="23" t="str">
        <x:f>IF(E219="processing",IF(Z219="","",IF(ISNUMBER(Z219),INT(Z219),DATE(VALUE(LEFT(Z219,4)),VALUE(MID(Z219,6,2)),VALUE(MID(Z219,9,2))))),IF(OR(E219="executing",E219="pending"),IF(AD219="","",IF(ISNUMBER(AD219),INT(AD219),DATE(VALUE(LEFT(AD219,4)),VALUE(MID(AD219,6,2)),VALUE(MID(AD219,9,2))))),""))</x:f>
      </x:c>
      <x:c r="AQ219" s="24" t="str">
        <x:f>IF(AP219="","",INT('Configuration'!$B$4)-AP219)</x:f>
      </x:c>
      <x:c r="AR219" s="25" t="str">
        <x:f>IF(AP219="","Missing Required Date",IF(AQ219&lt;0,"Future Date",IF(AQ219=0,"0 days",IF(AQ219&lt;=2,"1-2 days",IF(AQ219&lt;=7,"3-7 days",IF(AQ219&lt;=14,"8-14 days",IF(AQ219&lt;=30,"15-30 days",IF(AQ219&lt;=60,"31-60 days",IF(AQ219&lt;=70,"61-70 days","71+ days")))))))))</x:f>
        <x:v>Missing Required Date</x:v>
      </x:c>
      <x:c r="AS219" s="25" t="str">
        <x:f>IF(OR(E219="processing",E219="executing",E219="pending"),IF(AP219="","Required aging date missing",IF(AQ219&gt;30,"Escalate &gt;30d",IF(AQ219&gt;14,"Watch &gt;14d","Within 14d"))),"Out of scope")</x:f>
        <x:v>Out of scope</x:v>
      </x:c>
    </x:row>
    <x:row r="220" ht="24" customHeight="1">
      <x:c r="A220" t="str">
        <x:v>27921864-7aa8-4168-946a-4d611d246d01</x:v>
      </x:c>
      <x:c r="B220" t="str">
        <x:v>CSSP10322010</x:v>
      </x:c>
      <x:c r="C220" t="str">
        <x:v>luqmanhakim.ismai@petronas.com</x:v>
      </x:c>
      <x:c r="D220" t="str">
        <x:v>decommission-cloud</x:v>
      </x:c>
      <x:c r="E220" t="str">
        <x:v>completed</x:v>
      </x:c>
      <x:c r="F220" t="n">
        <x:v>46160.11730074074</x:v>
      </x:c>
      <x:c r="G220" t="n">
        <x:v>46164.30622398148</x:v>
      </x:c>
      <x:c r="H220" t="n">
        <x:v>46160.11730074074</x:v>
      </x:c>
      <x:c r="I220" t="str">
        <x:v>SAP 36 SRM Enterprise Buyer Professional</x:v>
      </x:c>
      <x:c r="J220" t="str">
        <x:v>Cloud Migration Program - Portal for SRM Enterprise Buyer Professional (SAP36)</x:v>
      </x:c>
      <x:c r="K220" t="str">
        <x:v>partial</x:v>
      </x:c>
      <x:c r="L220"/>
      <x:c r="M220" t="str">
        <x:v>rizuanatan@petronas.com</x:v>
      </x:c>
      <x:c r="N220"/>
      <x:c r="O220"/>
      <x:c r="P220" t="str">
        <x:v>These DR servers [ptsg-1ebpap06DR (172.25.152.22), ptsg-1ebpdb06DR (172.25.152.19), ptsg-1ebpsc06dr (172.25.152.8)] are no longer in use and should be cleaned up to optimize costs.
</x:v>
      </x:c>
      <x:c r="Q220" t="str">
        <x:v>2W</x:v>
      </x:c>
      <x:c r="R220" t="str">
        <x:v>Not in Used</x:v>
      </x:c>
      <x:c r="S220"/>
      <x:c r="T220" t="str">
        <x:v>approved</x:v>
      </x:c>
      <x:c r="U220" t="str">
        <x:v>luqmanhakim.ismai@petronas.com</x:v>
      </x:c>
      <x:c r="V220" t="n">
        <x:v>46160.306201099535</x:v>
      </x:c>
      <x:c r="W220" t="str">
        <x:v>These resources were used for DR simulations. However, they are no longer in use and should be cleaned up to optimize costs.</x:v>
      </x:c>
      <x:c r="X220" t="str">
        <x:v>approved</x:v>
      </x:c>
      <x:c r="Y220" t="str">
        <x:v>rizuanatan@petronas.com</x:v>
      </x:c>
      <x:c r="Z220" t="n">
        <x:v>46162.40449284722</x:v>
      </x:c>
      <x:c r="AA220" t="str">
        <x:v>Please proceed</x:v>
      </x:c>
      <x:c r="AB220" t="str">
        <x:v>approved</x:v>
      </x:c>
      <x:c r="AC220" t="str">
        <x:v>azwan.badari@petronas.com</x:v>
      </x:c>
      <x:c r="AD220" t="n">
        <x:v>46162.977706956015</x:v>
      </x:c>
      <x:c r="AE220" t="str">
        <x:v>Decommission 
ptsg-1ebpap06DR (172.25.152.22), 
ptsg-1ebpdb06DR (172.25.152.19), 
ptsg-1ebpsc06dr (172.25.152.8)</x:v>
      </x:c>
      <x:c r="AF220" t="str">
        <x:v>approved</x:v>
      </x:c>
      <x:c r="AG220" t="str">
        <x:v>azwan.badari@petronas.com</x:v>
      </x:c>
      <x:c r="AH220" t="n">
        <x:v>46164.30622399306</x:v>
      </x:c>
      <x:c r="AI220" t="str">
        <x:v>Completed</x:v>
      </x:c>
      <x:c r="AJ220" t="str">
        <x:v>A-000719</x:v>
      </x:c>
      <x:c r="AK220" t="str">
        <x:v>00915_131</x:v>
      </x:c>
      <x:c r="AL220" t="str">
        <x:v>S</x:v>
      </x:c>
      <x:c r="AM220" t="str">
        <x:v>REQ000008060807</x:v>
      </x:c>
      <x:c r="AN220" t="str">
        <x:v>noretention</x:v>
      </x:c>
      <x:c r="AO220" t="n">
        <x:v>0</x:v>
      </x:c>
      <x:c r="AP220" s="23" t="str">
        <x:f>IF(E220="processing",IF(Z220="","",IF(ISNUMBER(Z220),INT(Z220),DATE(VALUE(LEFT(Z220,4)),VALUE(MID(Z220,6,2)),VALUE(MID(Z220,9,2))))),IF(OR(E220="executing",E220="pending"),IF(AD220="","",IF(ISNUMBER(AD220),INT(AD220),DATE(VALUE(LEFT(AD220,4)),VALUE(MID(AD220,6,2)),VALUE(MID(AD220,9,2))))),""))</x:f>
      </x:c>
      <x:c r="AQ220" s="24" t="str">
        <x:f>IF(AP220="","",INT('Configuration'!$B$4)-AP220)</x:f>
      </x:c>
      <x:c r="AR220" s="25" t="str">
        <x:f>IF(AP220="","Missing Required Date",IF(AQ220&lt;0,"Future Date",IF(AQ220=0,"0 days",IF(AQ220&lt;=2,"1-2 days",IF(AQ220&lt;=7,"3-7 days",IF(AQ220&lt;=14,"8-14 days",IF(AQ220&lt;=30,"15-30 days",IF(AQ220&lt;=60,"31-60 days",IF(AQ220&lt;=70,"61-70 days","71+ days")))))))))</x:f>
        <x:v>Missing Required Date</x:v>
      </x:c>
      <x:c r="AS220" s="25" t="str">
        <x:f>IF(OR(E220="processing",E220="executing",E220="pending"),IF(AP220="","Required aging date missing",IF(AQ220&gt;30,"Escalate &gt;30d",IF(AQ220&gt;14,"Watch &gt;14d","Within 14d"))),"Out of scope")</x:f>
        <x:v>Out of scope</x:v>
      </x:c>
    </x:row>
    <x:row r="221" ht="24" customHeight="1">
      <x:c r="A221" t="str">
        <x:v>656e40ce-8f02-4e32-8bb3-f5f9c5e4d40e</x:v>
      </x:c>
      <x:c r="B221" t="str">
        <x:v>CSSP10776636</x:v>
      </x:c>
      <x:c r="C221" t="str">
        <x:v>haslina.hashim@petronas.com</x:v>
      </x:c>
      <x:c r="D221" t="str">
        <x:v>decommission-cloud</x:v>
      </x:c>
      <x:c r="E221" t="str">
        <x:v>cancelled</x:v>
      </x:c>
      <x:c r="F221" t="n">
        <x:v>46161.08342449074</x:v>
      </x:c>
      <x:c r="G221" t="n">
        <x:v>46161.083687199076</x:v>
      </x:c>
      <x:c r="H221" t="n">
        <x:v>46161.08342449074</x:v>
      </x:c>
      <x:c r="I221" t="str">
        <x:v>Zidane OVC</x:v>
      </x:c>
      <x:c r="J221" t="str">
        <x:v>Professional Service, Software License and Infra for ArBiTra to PTLCL 2022-2023</x:v>
      </x:c>
      <x:c r="K221" t="str">
        <x:v>partial</x:v>
      </x:c>
      <x:c r="L221"/>
      <x:c r="M221" t="str">
        <x:v>sazali.mokhtar@petronas.com</x:v>
      </x:c>
      <x:c r="N221"/>
      <x:c r="O221"/>
      <x:c r="P221" t="str">
        <x:v>Cloud Repatriation - To decommission old resources in Singapore region due to completed migration in MY region. Please refer below attachment. Only the highlighted resources can be decom. For OVC consists variety Project code.</x:v>
      </x:c>
      <x:c r="Q221" t="str">
        <x:v>2W</x:v>
      </x:c>
      <x:c r="R221" t="str">
        <x:v>Cloud Migration</x:v>
      </x:c>
      <x:c r="S221"/>
      <x:c r="T221" t="str">
        <x:v>rejected</x:v>
      </x:c>
      <x:c r="U221" t="str">
        <x:v>haslina.hashim@petronas.com</x:v>
      </x:c>
      <x:c r="V221" t="n">
        <x:v>46161.083687210645</x:v>
      </x:c>
      <x:c r="W221"/>
      <x:c r="X221"/>
      <x:c r="Y221" t="str">
        <x:v>sazali.mokhtar@petronas.com</x:v>
      </x:c>
      <x:c r="Z221"/>
      <x:c r="AA221"/>
      <x:c r="AB221"/>
      <x:c r="AC221" t="str">
        <x:v>CCoE Business</x:v>
      </x:c>
      <x:c r="AD221"/>
      <x:c r="AE221"/>
      <x:c r="AF221"/>
      <x:c r="AG221" t="str">
        <x:v>CCoE Operations</x:v>
      </x:c>
      <x:c r="AH221"/>
      <x:c r="AI221"/>
      <x:c r="AJ221" t="str">
        <x:v>A-000064</x:v>
      </x:c>
      <x:c r="AK221" t="n">
        <x:v>2804</x:v>
      </x:c>
      <x:c r="AL221"/>
      <x:c r="AM221"/>
      <x:c r="AN221" t="str">
        <x:v>noretention</x:v>
      </x:c>
      <x:c r="AO221" t="n">
        <x:v>0</x:v>
      </x:c>
      <x:c r="AP221" s="23" t="str">
        <x:f>IF(E221="processing",IF(Z221="","",IF(ISNUMBER(Z221),INT(Z221),DATE(VALUE(LEFT(Z221,4)),VALUE(MID(Z221,6,2)),VALUE(MID(Z221,9,2))))),IF(OR(E221="executing",E221="pending"),IF(AD221="","",IF(ISNUMBER(AD221),INT(AD221),DATE(VALUE(LEFT(AD221,4)),VALUE(MID(AD221,6,2)),VALUE(MID(AD221,9,2))))),""))</x:f>
      </x:c>
      <x:c r="AQ221" s="24" t="str">
        <x:f>IF(AP221="","",INT('Configuration'!$B$4)-AP221)</x:f>
      </x:c>
      <x:c r="AR221" s="25" t="str">
        <x:f>IF(AP221="","Missing Required Date",IF(AQ221&lt;0,"Future Date",IF(AQ221=0,"0 days",IF(AQ221&lt;=2,"1-2 days",IF(AQ221&lt;=7,"3-7 days",IF(AQ221&lt;=14,"8-14 days",IF(AQ221&lt;=30,"15-30 days",IF(AQ221&lt;=60,"31-60 days",IF(AQ221&lt;=70,"61-70 days","71+ days")))))))))</x:f>
        <x:v>Missing Required Date</x:v>
      </x:c>
      <x:c r="AS221" s="25" t="str">
        <x:f>IF(OR(E221="processing",E221="executing",E221="pending"),IF(AP221="","Required aging date missing",IF(AQ221&gt;30,"Escalate &gt;30d",IF(AQ221&gt;14,"Watch &gt;14d","Within 14d"))),"Out of scope")</x:f>
        <x:v>Out of scope</x:v>
      </x:c>
    </x:row>
    <x:row r="222" ht="24" customHeight="1">
      <x:c r="A222" t="str">
        <x:v>da7d2785-40aa-4885-a4a7-d2c1600ec001</x:v>
      </x:c>
      <x:c r="B222" t="str">
        <x:v>CSSP10586110</x:v>
      </x:c>
      <x:c r="C222" t="str">
        <x:v>haslina.hashim@petronas.com</x:v>
      </x:c>
      <x:c r="D222" t="str">
        <x:v>decommission-cloud</x:v>
      </x:c>
      <x:c r="E222" t="str">
        <x:v>completed</x:v>
      </x:c>
      <x:c r="F222" t="n">
        <x:v>46161.085132280095</x:v>
      </x:c>
      <x:c r="G222" t="n">
        <x:v>46197.35044652778</x:v>
      </x:c>
      <x:c r="H222" t="n">
        <x:v>46161.085132280095</x:v>
      </x:c>
      <x:c r="I222" t="str">
        <x:v>Zidane OVC</x:v>
      </x:c>
      <x:c r="J222" t="str">
        <x:v>Professional Service, Software License and Infra for ArBiTra to PTLCL 2022-2023</x:v>
      </x:c>
      <x:c r="K222" t="str">
        <x:v>partial</x:v>
      </x:c>
      <x:c r="L222"/>
      <x:c r="M222" t="str">
        <x:v>sazali.mokhtar@petronas.com</x:v>
      </x:c>
      <x:c r="N222"/>
      <x:c r="O222"/>
      <x:c r="P222" t="str">
        <x:v>Cloud Repatriation - To decommission old resources in Singapore region due to completed migration in MY region. Please refer below attachment. Only the highlighted resources can be decom. This OVC consists multiple project code.</x:v>
      </x:c>
      <x:c r="Q222" t="str">
        <x:v>2W</x:v>
      </x:c>
      <x:c r="R222" t="str">
        <x:v>Cloud Migration</x:v>
      </x:c>
      <x:c r="S222"/>
      <x:c r="T222" t="str">
        <x:v>approved</x:v>
      </x:c>
      <x:c r="U222" t="str">
        <x:v>haslina.hashim@petronas.com</x:v>
      </x:c>
      <x:c r="V222" t="n">
        <x:v>46161.08887917824</x:v>
      </x:c>
      <x:c r="W222" t="str">
        <x:v>Please proceed</x:v>
      </x:c>
      <x:c r="X222" t="str">
        <x:v>approved</x:v>
      </x:c>
      <x:c r="Y222" t="str">
        <x:v>sazali.mokhtar@petronas.com</x:v>
      </x:c>
      <x:c r="Z222" t="n">
        <x:v>46184.065662256944</x:v>
      </x:c>
      <x:c r="AA222" t="str">
        <x:v>Cloud Repatriation - To decommission old resources in Singapore region due to completed migration in MY region. Please refer below attachment. Only the highlighted resources can be decom. This OVC consists multiple project code.</x:v>
      </x:c>
      <x:c r="AB222" t="str">
        <x:v>approved</x:v>
      </x:c>
      <x:c r="AC222" t="str">
        <x:v>azwan.badari@petronas.com</x:v>
      </x:c>
      <x:c r="AD222" t="n">
        <x:v>46184.25714657408</x:v>
      </x:c>
      <x:c r="AE222" t="str">
        <x:v>Decommission Zidane OVC (02804) resources in SG</x:v>
      </x:c>
      <x:c r="AF222" t="str">
        <x:v>approved</x:v>
      </x:c>
      <x:c r="AG222" t="str">
        <x:v>azwan.badari@petronas.com</x:v>
      </x:c>
      <x:c r="AH222" t="n">
        <x:v>46197.35044653935</x:v>
      </x:c>
      <x:c r="AI222" t="str">
        <x:v>Completed</x:v>
      </x:c>
      <x:c r="AJ222" t="str">
        <x:v>A-000064</x:v>
      </x:c>
      <x:c r="AK222" t="n">
        <x:v>2804</x:v>
      </x:c>
      <x:c r="AL222" t="str">
        <x:v>M</x:v>
      </x:c>
      <x:c r="AM222" t="str">
        <x:v>REQ000008094916</x:v>
      </x:c>
      <x:c r="AN222" t="str">
        <x:v>noretention</x:v>
      </x:c>
      <x:c r="AO222" t="n">
        <x:v>0</x:v>
      </x:c>
      <x:c r="AP222" s="23" t="str">
        <x:f>IF(E222="processing",IF(Z222="","",IF(ISNUMBER(Z222),INT(Z222),DATE(VALUE(LEFT(Z222,4)),VALUE(MID(Z222,6,2)),VALUE(MID(Z222,9,2))))),IF(OR(E222="executing",E222="pending"),IF(AD222="","",IF(ISNUMBER(AD222),INT(AD222),DATE(VALUE(LEFT(AD222,4)),VALUE(MID(AD222,6,2)),VALUE(MID(AD222,9,2))))),""))</x:f>
      </x:c>
      <x:c r="AQ222" s="24" t="str">
        <x:f>IF(AP222="","",INT('Configuration'!$B$4)-AP222)</x:f>
      </x:c>
      <x:c r="AR222" s="25" t="str">
        <x:f>IF(AP222="","Missing Required Date",IF(AQ222&lt;0,"Future Date",IF(AQ222=0,"0 days",IF(AQ222&lt;=2,"1-2 days",IF(AQ222&lt;=7,"3-7 days",IF(AQ222&lt;=14,"8-14 days",IF(AQ222&lt;=30,"15-30 days",IF(AQ222&lt;=60,"31-60 days",IF(AQ222&lt;=70,"61-70 days","71+ days")))))))))</x:f>
        <x:v>Missing Required Date</x:v>
      </x:c>
      <x:c r="AS222" s="25" t="str">
        <x:f>IF(OR(E222="processing",E222="executing",E222="pending"),IF(AP222="","Required aging date missing",IF(AQ222&gt;30,"Escalate &gt;30d",IF(AQ222&gt;14,"Watch &gt;14d","Within 14d"))),"Out of scope")</x:f>
        <x:v>Out of scope</x:v>
      </x:c>
    </x:row>
    <x:row r="223" ht="24" customHeight="1">
      <x:c r="A223" t="str">
        <x:v>f37409d8-c053-4ffd-931c-fa207b5bb522</x:v>
      </x:c>
      <x:c r="B223" t="str">
        <x:v>CSSP10474006</x:v>
      </x:c>
      <x:c r="C223" t="str">
        <x:v>mohammadarshad.hali@petronas.com</x:v>
      </x:c>
      <x:c r="D223" t="str">
        <x:v>decommission-cloud</x:v>
      </x:c>
      <x:c r="E223" t="str">
        <x:v>pending</x:v>
      </x:c>
      <x:c r="F223" t="n">
        <x:v>46161.118041215275</x:v>
      </x:c>
      <x:c r="G223" t="n">
        <x:v>46161.16822730324</x:v>
      </x:c>
      <x:c r="H223" t="n">
        <x:v>46161.12681598379</x:v>
      </x:c>
      <x:c r="I223" t="str">
        <x:v>Refinery of the Future - ROTF PRPC</x:v>
      </x:c>
      <x:c r="J223" t="str">
        <x:v>CTP - Refinery of the future (ROTF) - Feedstock</x:v>
      </x:c>
      <x:c r="K223" t="str">
        <x:v>full</x:v>
      </x:c>
      <x:c r="L223" t="str">
        <x:v>DCOM20260519a6d</x:v>
      </x:c>
      <x:c r="M223" t="str">
        <x:v>syariman.azlantan@petronas.com.my</x:v>
      </x:c>
      <x:c r="N223" t="str">
        <x:v>https://protf.petronas.com/</x:v>
      </x:c>
      <x:c r="O223"/>
      <x:c r="P223" t="str">
        <x:v>PRefChem Carve Out for ROTF has been completed, and application is no longer use by PRPC/PRefChem</x:v>
      </x:c>
      <x:c r="Q223" t="str">
        <x:v>12M</x:v>
      </x:c>
      <x:c r="R223" t="str">
        <x:v>Not in Used</x:v>
      </x:c>
      <x:c r="S223"/>
      <x:c r="T223" t="str">
        <x:v>approved</x:v>
      </x:c>
      <x:c r="U223" t="str">
        <x:v>mohammadarshad.hali@petronas.com</x:v>
      </x:c>
      <x:c r="V223" t="n">
        <x:v>46161.16822732639</x:v>
      </x:c>
      <x:c r="W223" t="str">
        <x:v>Approved by PIC Growth &amp; Sustainability Committee (PGSC), and acknowledge by PRefChem.</x:v>
      </x:c>
      <x:c r="X223"/>
      <x:c r="Y223" t="str">
        <x:v>syariman.azlantan@petronas.com</x:v>
      </x:c>
      <x:c r="Z223"/>
      <x:c r="AA223"/>
      <x:c r="AB223"/>
      <x:c r="AC223" t="str">
        <x:v>CCoE Business</x:v>
      </x:c>
      <x:c r="AD223"/>
      <x:c r="AE223"/>
      <x:c r="AF223"/>
      <x:c r="AG223" t="str">
        <x:v>CCoE Business</x:v>
      </x:c>
      <x:c r="AH223"/>
      <x:c r="AI223"/>
      <x:c r="AJ223" t="str">
        <x:v>A-000695</x:v>
      </x:c>
      <x:c r="AK223" t="str">
        <x:v>02421_65</x:v>
      </x:c>
      <x:c r="AL223"/>
      <x:c r="AM223"/>
      <x:c r="AN223" t="str">
        <x:v>disposal</x:v>
      </x:c>
      <x:c r="AO223" t="n">
        <x:v>0</x:v>
      </x:c>
      <x:c r="AP223" s="23" t="str">
        <x:f>IF(E223="processing",IF(Z223="","",IF(ISNUMBER(Z223),INT(Z223),DATE(VALUE(LEFT(Z223,4)),VALUE(MID(Z223,6,2)),VALUE(MID(Z223,9,2))))),IF(OR(E223="executing",E223="pending"),IF(AD223="","",IF(ISNUMBER(AD223),INT(AD223),DATE(VALUE(LEFT(AD223,4)),VALUE(MID(AD223,6,2)),VALUE(MID(AD223,9,2))))),""))</x:f>
      </x:c>
      <x:c r="AQ223" s="24" t="str">
        <x:f>IF(AP223="","",INT('Configuration'!$B$4)-AP223)</x:f>
      </x:c>
      <x:c r="AR223" s="25" t="str">
        <x:f>IF(AP223="","Missing Required Date",IF(AQ223&lt;0,"Future Date",IF(AQ223=0,"0 days",IF(AQ223&lt;=2,"1-2 days",IF(AQ223&lt;=7,"3-7 days",IF(AQ223&lt;=14,"8-14 days",IF(AQ223&lt;=30,"15-30 days",IF(AQ223&lt;=60,"31-60 days",IF(AQ223&lt;=70,"61-70 days","71+ days")))))))))</x:f>
        <x:v>Missing Required Date</x:v>
      </x:c>
      <x:c r="AS223" s="25" t="str">
        <x:f>IF(OR(E223="processing",E223="executing",E223="pending"),IF(AP223="","Required aging date missing",IF(AQ223&gt;30,"Escalate &gt;30d",IF(AQ223&gt;14,"Watch &gt;14d","Within 14d"))),"Out of scope")</x:f>
        <x:v>Required aging date missing</x:v>
      </x:c>
    </x:row>
    <x:row r="224" ht="24" customHeight="1">
      <x:c r="A224" t="str">
        <x:v>e521e0b7-42b0-4af5-860a-9310b5731816</x:v>
      </x:c>
      <x:c r="B224" t="str">
        <x:v>CSSP10791971</x:v>
      </x:c>
      <x:c r="C224" t="str">
        <x:v>shahrizar.mbasir@petronas.com</x:v>
      </x:c>
      <x:c r="D224" t="str">
        <x:v>decommission-cloud</x:v>
      </x:c>
      <x:c r="E224" t="str">
        <x:v>pending</x:v>
      </x:c>
      <x:c r="F224" t="n">
        <x:v>46161.34000105324</x:v>
      </x:c>
      <x:c r="G224" t="n">
        <x:v>46161.34000105324</x:v>
      </x:c>
      <x:c r="H224" t="n">
        <x:v>46161.34000105324</x:v>
      </x:c>
      <x:c r="I224" t="str">
        <x:v>TO.PRODIGI - Centralised Database and Analytics</x:v>
      </x:c>
      <x:c r="J224" t="str">
        <x:v>DevOps services of Centralized Database &amp; Analytics for Turkmenistan Operation</x:v>
      </x:c>
      <x:c r="K224" t="str">
        <x:v>partial</x:v>
      </x:c>
      <x:c r="L224"/>
      <x:c r="M224" t="str">
        <x:v>ghimyee.tang@petronas.com.my</x:v>
      </x:c>
      <x:c r="N224"/>
      <x:c r="O224"/>
      <x:c r="P224" t="str">
        <x:v>test</x:v>
      </x:c>
      <x:c r="Q224" t="str">
        <x:v>6M</x:v>
      </x:c>
      <x:c r="R224" t="str">
        <x:v>End of Lease</x:v>
      </x:c>
      <x:c r="S224"/>
      <x:c r="T224" t="str">
        <x:v>pending</x:v>
      </x:c>
      <x:c r="U224" t="str">
        <x:v>shahrizar.mbasir@petronas.com</x:v>
      </x:c>
      <x:c r="V224"/>
      <x:c r="W224"/>
      <x:c r="X224"/>
      <x:c r="Y224" t="str">
        <x:v>ghimyee.tang@petronas.com</x:v>
      </x:c>
      <x:c r="Z224"/>
      <x:c r="AA224"/>
      <x:c r="AB224"/>
      <x:c r="AC224" t="str">
        <x:v>CCoE Business</x:v>
      </x:c>
      <x:c r="AD224"/>
      <x:c r="AE224"/>
      <x:c r="AF224"/>
      <x:c r="AG224" t="str">
        <x:v>CCoE Operations</x:v>
      </x:c>
      <x:c r="AH224"/>
      <x:c r="AI224"/>
      <x:c r="AJ224" t="str">
        <x:v>A-000812</x:v>
      </x:c>
      <x:c r="AK224" t="n">
        <x:v>2573</x:v>
      </x:c>
      <x:c r="AL224"/>
      <x:c r="AM224"/>
      <x:c r="AN224" t="str">
        <x:v>retention</x:v>
      </x:c>
      <x:c r="AO224" t="n">
        <x:v>10</x:v>
      </x:c>
      <x:c r="AP224" s="23" t="str">
        <x:f>IF(E224="processing",IF(Z224="","",IF(ISNUMBER(Z224),INT(Z224),DATE(VALUE(LEFT(Z224,4)),VALUE(MID(Z224,6,2)),VALUE(MID(Z224,9,2))))),IF(OR(E224="executing",E224="pending"),IF(AD224="","",IF(ISNUMBER(AD224),INT(AD224),DATE(VALUE(LEFT(AD224,4)),VALUE(MID(AD224,6,2)),VALUE(MID(AD224,9,2))))),""))</x:f>
      </x:c>
      <x:c r="AQ224" s="24" t="str">
        <x:f>IF(AP224="","",INT('Configuration'!$B$4)-AP224)</x:f>
      </x:c>
      <x:c r="AR224" s="25" t="str">
        <x:f>IF(AP224="","Missing Required Date",IF(AQ224&lt;0,"Future Date",IF(AQ224=0,"0 days",IF(AQ224&lt;=2,"1-2 days",IF(AQ224&lt;=7,"3-7 days",IF(AQ224&lt;=14,"8-14 days",IF(AQ224&lt;=30,"15-30 days",IF(AQ224&lt;=60,"31-60 days",IF(AQ224&lt;=70,"61-70 days","71+ days")))))))))</x:f>
        <x:v>Missing Required Date</x:v>
      </x:c>
      <x:c r="AS224" s="25" t="str">
        <x:f>IF(OR(E224="processing",E224="executing",E224="pending"),IF(AP224="","Required aging date missing",IF(AQ224&gt;30,"Escalate &gt;30d",IF(AQ224&gt;14,"Watch &gt;14d","Within 14d"))),"Out of scope")</x:f>
        <x:v>Required aging date missing</x:v>
      </x:c>
    </x:row>
    <x:row r="225" ht="24" customHeight="1">
      <x:c r="A225" t="str">
        <x:v>4af683f3-8293-4b43-8847-e0fcb68608a7</x:v>
      </x:c>
      <x:c r="B225" t="str">
        <x:v>CSSP10954799</x:v>
      </x:c>
      <x:c r="C225" t="str">
        <x:v>cus.ng@petronas.com</x:v>
      </x:c>
      <x:c r="D225" t="str">
        <x:v>decommission-cloud</x:v>
      </x:c>
      <x:c r="E225" t="str">
        <x:v>cancelled</x:v>
      </x:c>
      <x:c r="F225" t="n">
        <x:v>46162.090370011574</x:v>
      </x:c>
      <x:c r="G225" t="n">
        <x:v>46162.09939315972</x:v>
      </x:c>
      <x:c r="H225" t="n">
        <x:v>46162.090370011574</x:v>
      </x:c>
      <x:c r="I225" t="str">
        <x:v>Structural Integrity Compliance System - SICS</x:v>
      </x:c>
      <x:c r="J225" t="str">
        <x:v>Cloud Migration Program - Structure Information Control System (SICS) - U-IMAGe Operationalization - Structural Integrity Compliance System (SICS) for Floating Structure Integrity Management (FSIM)</x:v>
      </x:c>
      <x:c r="K225" t="str">
        <x:v>partial</x:v>
      </x:c>
      <x:c r="L225"/>
      <x:c r="M225" t="str">
        <x:v>cus.ng@petronas.com</x:v>
      </x:c>
      <x:c r="N225"/>
      <x:c r="O225"/>
      <x:c r="P225" t="str">
        <x:v>test</x:v>
      </x:c>
      <x:c r="Q225" t="str">
        <x:v>2W</x:v>
      </x:c>
      <x:c r="R225" t="str">
        <x:v>Not in Used</x:v>
      </x:c>
      <x:c r="S225"/>
      <x:c r="T225" t="str">
        <x:v>rejected</x:v>
      </x:c>
      <x:c r="U225" t="str">
        <x:v>cus.ng@petronas.com</x:v>
      </x:c>
      <x:c r="V225" t="n">
        <x:v>46162.099393171295</x:v>
      </x:c>
      <x:c r="W225"/>
      <x:c r="X225"/>
      <x:c r="Y225" t="str">
        <x:v>cus.ng@petronas.com</x:v>
      </x:c>
      <x:c r="Z225"/>
      <x:c r="AA225"/>
      <x:c r="AB225"/>
      <x:c r="AC225" t="str">
        <x:v>CCoE Business</x:v>
      </x:c>
      <x:c r="AD225"/>
      <x:c r="AE225"/>
      <x:c r="AF225"/>
      <x:c r="AG225" t="str">
        <x:v>CCoE Operations</x:v>
      </x:c>
      <x:c r="AH225"/>
      <x:c r="AI225"/>
      <x:c r="AJ225" t="str">
        <x:v>A-000762</x:v>
      </x:c>
      <x:c r="AK225" t="str">
        <x:v>00915_5</x:v>
      </x:c>
      <x:c r="AL225"/>
      <x:c r="AM225"/>
      <x:c r="AN225" t="str">
        <x:v>retention</x:v>
      </x:c>
      <x:c r="AO225" t="n">
        <x:v>30</x:v>
      </x:c>
      <x:c r="AP225" s="23" t="str">
        <x:f>IF(E225="processing",IF(Z225="","",IF(ISNUMBER(Z225),INT(Z225),DATE(VALUE(LEFT(Z225,4)),VALUE(MID(Z225,6,2)),VALUE(MID(Z225,9,2))))),IF(OR(E225="executing",E225="pending"),IF(AD225="","",IF(ISNUMBER(AD225),INT(AD225),DATE(VALUE(LEFT(AD225,4)),VALUE(MID(AD225,6,2)),VALUE(MID(AD225,9,2))))),""))</x:f>
      </x:c>
      <x:c r="AQ225" s="24" t="str">
        <x:f>IF(AP225="","",INT('Configuration'!$B$4)-AP225)</x:f>
      </x:c>
      <x:c r="AR225" s="25" t="str">
        <x:f>IF(AP225="","Missing Required Date",IF(AQ225&lt;0,"Future Date",IF(AQ225=0,"0 days",IF(AQ225&lt;=2,"1-2 days",IF(AQ225&lt;=7,"3-7 days",IF(AQ225&lt;=14,"8-14 days",IF(AQ225&lt;=30,"15-30 days",IF(AQ225&lt;=60,"31-60 days",IF(AQ225&lt;=70,"61-70 days","71+ days")))))))))</x:f>
        <x:v>Missing Required Date</x:v>
      </x:c>
      <x:c r="AS225" s="25" t="str">
        <x:f>IF(OR(E225="processing",E225="executing",E225="pending"),IF(AP225="","Required aging date missing",IF(AQ225&gt;30,"Escalate &gt;30d",IF(AQ225&gt;14,"Watch &gt;14d","Within 14d"))),"Out of scope")</x:f>
        <x:v>Out of scope</x:v>
      </x:c>
    </x:row>
    <x:row r="226" ht="24" customHeight="1">
      <x:c r="A226" t="str">
        <x:v>228d385c-9e03-4866-909c-b83ad90066ca</x:v>
      </x:c>
      <x:c r="B226" t="str">
        <x:v>CSSP10771542</x:v>
      </x:c>
      <x:c r="C226" t="str">
        <x:v>luqmanhakim.ismai@petronas.com</x:v>
      </x:c>
      <x:c r="D226" t="str">
        <x:v>decommission-cloud</x:v>
      </x:c>
      <x:c r="E226" t="str">
        <x:v>cancelled</x:v>
      </x:c>
      <x:c r="F226" t="n">
        <x:v>46162.297458981484</x:v>
      </x:c>
      <x:c r="G226" t="n">
        <x:v>46162.30741765046</x:v>
      </x:c>
      <x:c r="H226" t="n">
        <x:v>46162.297458981484</x:v>
      </x:c>
      <x:c r="I226" t="str">
        <x:v>Master Data Management - MDM Tool SAP</x:v>
      </x:c>
      <x:c r="J226" t="str">
        <x:v>Setup and Installation of Master Data Management (MDM) Tool for PETRONAS (SAP)</x:v>
      </x:c>
      <x:c r="K226" t="str">
        <x:v>partial</x:v>
      </x:c>
      <x:c r="L226"/>
      <x:c r="M226" t="str">
        <x:v>rizuanatan@petronas.com</x:v>
      </x:c>
      <x:c r="N226"/>
      <x:c r="O226"/>
      <x:c r="P226" t="str">
        <x:v>The server PTSG-1MDMDB01 is no longer in use and can be decommissioned to optimize and save resources.</x:v>
      </x:c>
      <x:c r="Q226" t="str">
        <x:v>2W</x:v>
      </x:c>
      <x:c r="R226" t="str">
        <x:v>Not in Used</x:v>
      </x:c>
      <x:c r="S226"/>
      <x:c r="T226" t="str">
        <x:v>rejected</x:v>
      </x:c>
      <x:c r="U226" t="str">
        <x:v>luqmanhakim.ismai@petronas.com</x:v>
      </x:c>
      <x:c r="V226" t="n">
        <x:v>46162.307417662036</x:v>
      </x:c>
      <x:c r="W226"/>
      <x:c r="X226"/>
      <x:c r="Y226" t="str">
        <x:v>rizuanatan@petronas.com</x:v>
      </x:c>
      <x:c r="Z226"/>
      <x:c r="AA226"/>
      <x:c r="AB226"/>
      <x:c r="AC226" t="str">
        <x:v>CCoE Business</x:v>
      </x:c>
      <x:c r="AD226"/>
      <x:c r="AE226"/>
      <x:c r="AF226"/>
      <x:c r="AG226" t="str">
        <x:v>CCoE Operations</x:v>
      </x:c>
      <x:c r="AH226"/>
      <x:c r="AI226"/>
      <x:c r="AJ226" t="str">
        <x:v>A-000457</x:v>
      </x:c>
      <x:c r="AK226" t="str">
        <x:v>PSR05041</x:v>
      </x:c>
      <x:c r="AL226"/>
      <x:c r="AM226"/>
      <x:c r="AN226" t="str">
        <x:v>noretention</x:v>
      </x:c>
      <x:c r="AO226" t="n">
        <x:v>0</x:v>
      </x:c>
      <x:c r="AP226" s="23" t="str">
        <x:f>IF(E226="processing",IF(Z226="","",IF(ISNUMBER(Z226),INT(Z226),DATE(VALUE(LEFT(Z226,4)),VALUE(MID(Z226,6,2)),VALUE(MID(Z226,9,2))))),IF(OR(E226="executing",E226="pending"),IF(AD226="","",IF(ISNUMBER(AD226),INT(AD226),DATE(VALUE(LEFT(AD226,4)),VALUE(MID(AD226,6,2)),VALUE(MID(AD226,9,2))))),""))</x:f>
      </x:c>
      <x:c r="AQ226" s="24" t="str">
        <x:f>IF(AP226="","",INT('Configuration'!$B$4)-AP226)</x:f>
      </x:c>
      <x:c r="AR226" s="25" t="str">
        <x:f>IF(AP226="","Missing Required Date",IF(AQ226&lt;0,"Future Date",IF(AQ226=0,"0 days",IF(AQ226&lt;=2,"1-2 days",IF(AQ226&lt;=7,"3-7 days",IF(AQ226&lt;=14,"8-14 days",IF(AQ226&lt;=30,"15-30 days",IF(AQ226&lt;=60,"31-60 days",IF(AQ226&lt;=70,"61-70 days","71+ days")))))))))</x:f>
        <x:v>Missing Required Date</x:v>
      </x:c>
      <x:c r="AS226" s="25" t="str">
        <x:f>IF(OR(E226="processing",E226="executing",E226="pending"),IF(AP226="","Required aging date missing",IF(AQ226&gt;30,"Escalate &gt;30d",IF(AQ226&gt;14,"Watch &gt;14d","Within 14d"))),"Out of scope")</x:f>
        <x:v>Out of scope</x:v>
      </x:c>
    </x:row>
    <x:row r="227" ht="24" customHeight="1">
      <x:c r="A227" t="str">
        <x:v>5b9a9bf2-0125-4ad4-9763-c13616ae75b5</x:v>
      </x:c>
      <x:c r="B227" t="str">
        <x:v>CSSP10820059</x:v>
      </x:c>
      <x:c r="C227" t="str">
        <x:v>luqmanhakim.ismai@petronas.com</x:v>
      </x:c>
      <x:c r="D227" t="str">
        <x:v>decommission-cloud</x:v>
      </x:c>
      <x:c r="E227" t="str">
        <x:v>rejected</x:v>
      </x:c>
      <x:c r="F227" t="n">
        <x:v>46162.30263023148</x:v>
      </x:c>
      <x:c r="G227" t="n">
        <x:v>46162.40694013889</x:v>
      </x:c>
      <x:c r="H227" t="n">
        <x:v>46162.30263023148</x:v>
      </x:c>
      <x:c r="I227" t="str">
        <x:v>SAP 39 SRM SPS</x:v>
      </x:c>
      <x:c r="J227" t="str">
        <x:v>Cloud Migration Program - SAP39</x:v>
      </x:c>
      <x:c r="K227" t="str">
        <x:v>partial</x:v>
      </x:c>
      <x:c r="L227"/>
      <x:c r="M227" t="str">
        <x:v>rizuanatan@petronas.com</x:v>
      </x:c>
      <x:c r="N227"/>
      <x:c r="O227"/>
      <x:c r="P227" t="str">
        <x:v>The server PTSG-1MDMDB01 is no longer in use and can be decommissioned to optimize and save resources.</x:v>
      </x:c>
      <x:c r="Q227" t="str">
        <x:v>2W</x:v>
      </x:c>
      <x:c r="R227" t="str">
        <x:v>Not in Used</x:v>
      </x:c>
      <x:c r="S227"/>
      <x:c r="T227" t="str">
        <x:v>approved</x:v>
      </x:c>
      <x:c r="U227" t="str">
        <x:v>luqmanhakim.ismai@petronas.com</x:v>
      </x:c>
      <x:c r="V227" t="n">
        <x:v>46162.30389836805</x:v>
      </x:c>
      <x:c r="W227" t="str">
        <x:v>The server PTSG-1MDMDB01 is no longer in use and can be decommissioned to optimize and save resources.</x:v>
      </x:c>
      <x:c r="X227" t="str">
        <x:v>rejected</x:v>
      </x:c>
      <x:c r="Y227" t="str">
        <x:v>rizuanatan@petronas.com</x:v>
      </x:c>
      <x:c r="Z227" t="n">
        <x:v>46162.40694015046</x:v>
      </x:c>
      <x:c r="AA227"/>
      <x:c r="AB227"/>
      <x:c r="AC227" t="str">
        <x:v>CCoE Business</x:v>
      </x:c>
      <x:c r="AD227"/>
      <x:c r="AE227"/>
      <x:c r="AF227"/>
      <x:c r="AG227" t="str">
        <x:v>CCoE Operations</x:v>
      </x:c>
      <x:c r="AH227"/>
      <x:c r="AI227"/>
      <x:c r="AJ227" t="str">
        <x:v>A-000722</x:v>
      </x:c>
      <x:c r="AK227" t="str">
        <x:v>02421_102</x:v>
      </x:c>
      <x:c r="AL227"/>
      <x:c r="AM227"/>
      <x:c r="AN227" t="str">
        <x:v>noretention</x:v>
      </x:c>
      <x:c r="AO227" t="n">
        <x:v>0</x:v>
      </x:c>
      <x:c r="AP227" s="23" t="str">
        <x:f>IF(E227="processing",IF(Z227="","",IF(ISNUMBER(Z227),INT(Z227),DATE(VALUE(LEFT(Z227,4)),VALUE(MID(Z227,6,2)),VALUE(MID(Z227,9,2))))),IF(OR(E227="executing",E227="pending"),IF(AD227="","",IF(ISNUMBER(AD227),INT(AD227),DATE(VALUE(LEFT(AD227,4)),VALUE(MID(AD227,6,2)),VALUE(MID(AD227,9,2))))),""))</x:f>
      </x:c>
      <x:c r="AQ227" s="24" t="str">
        <x:f>IF(AP227="","",INT('Configuration'!$B$4)-AP227)</x:f>
      </x:c>
      <x:c r="AR227" s="25" t="str">
        <x:f>IF(AP227="","Missing Required Date",IF(AQ227&lt;0,"Future Date",IF(AQ227=0,"0 days",IF(AQ227&lt;=2,"1-2 days",IF(AQ227&lt;=7,"3-7 days",IF(AQ227&lt;=14,"8-14 days",IF(AQ227&lt;=30,"15-30 days",IF(AQ227&lt;=60,"31-60 days",IF(AQ227&lt;=70,"61-70 days","71+ days")))))))))</x:f>
        <x:v>Missing Required Date</x:v>
      </x:c>
      <x:c r="AS227" s="25" t="str">
        <x:f>IF(OR(E227="processing",E227="executing",E227="pending"),IF(AP227="","Required aging date missing",IF(AQ227&gt;30,"Escalate &gt;30d",IF(AQ227&gt;14,"Watch &gt;14d","Within 14d"))),"Out of scope")</x:f>
        <x:v>Out of scope</x:v>
      </x:c>
    </x:row>
    <x:row r="228" ht="24" customHeight="1">
      <x:c r="A228" t="str">
        <x:v>caa6d113-b915-487a-a062-11846b5787b5</x:v>
      </x:c>
      <x:c r="B228" t="str">
        <x:v>CSSP10539408</x:v>
      </x:c>
      <x:c r="C228" t="str">
        <x:v>luqmanhakim.ismai@petronas.com</x:v>
      </x:c>
      <x:c r="D228" t="str">
        <x:v>decommission-cloud</x:v>
      </x:c>
      <x:c r="E228" t="str">
        <x:v>completed</x:v>
      </x:c>
      <x:c r="F228" t="n">
        <x:v>46162.310851064816</x:v>
      </x:c>
      <x:c r="G228" t="n">
        <x:v>46164.29881332176</x:v>
      </x:c>
      <x:c r="H228" t="n">
        <x:v>46162.310851064816</x:v>
      </x:c>
      <x:c r="I228" t="str">
        <x:v>SAP Printer Server</x:v>
      </x:c>
      <x:c r="J228" t="str">
        <x:v>Cloud Migration Program - SAP Printer server for other SAP's systems</x:v>
      </x:c>
      <x:c r="K228" t="str">
        <x:v>partial</x:v>
      </x:c>
      <x:c r="L228"/>
      <x:c r="M228" t="str">
        <x:v>rizuanatan@petronas.com</x:v>
      </x:c>
      <x:c r="N228"/>
      <x:c r="O228"/>
      <x:c r="P228" t="str">
        <x:v>The server PTSG-1SAPPR02 is no longer in use and can be decommissioned to optimize and save resources.</x:v>
      </x:c>
      <x:c r="Q228" t="str">
        <x:v>2W</x:v>
      </x:c>
      <x:c r="R228" t="str">
        <x:v>Not in Used</x:v>
      </x:c>
      <x:c r="S228"/>
      <x:c r="T228" t="str">
        <x:v>approved</x:v>
      </x:c>
      <x:c r="U228" t="str">
        <x:v>luqmanhakim.ismai@petronas.com</x:v>
      </x:c>
      <x:c r="V228" t="n">
        <x:v>46162.32324440972</x:v>
      </x:c>
      <x:c r="W228" t="str">
        <x:v>The server PTSG-1SAPPR02 is no longer in use and can be decommissioned to optimize and save resources.</x:v>
      </x:c>
      <x:c r="X228" t="str">
        <x:v>approved</x:v>
      </x:c>
      <x:c r="Y228" t="str">
        <x:v>rizuanatan@petronas.com</x:v>
      </x:c>
      <x:c r="Z228" t="n">
        <x:v>46162.4003050463</x:v>
      </x:c>
      <x:c r="AA228" t="str">
        <x:v>Please proceed</x:v>
      </x:c>
      <x:c r="AB228" t="str">
        <x:v>approved</x:v>
      </x:c>
      <x:c r="AC228" t="str">
        <x:v>azwan.badari@petronas.com</x:v>
      </x:c>
      <x:c r="AD228" t="n">
        <x:v>46162.980426539354</x:v>
      </x:c>
      <x:c r="AE228" t="str">
        <x:v>Decommission PTSG-1SAPPR02 - 172.25.33.230</x:v>
      </x:c>
      <x:c r="AF228" t="str">
        <x:v>approved</x:v>
      </x:c>
      <x:c r="AG228" t="str">
        <x:v>azwan.badari@petronas.com</x:v>
      </x:c>
      <x:c r="AH228" t="n">
        <x:v>46164.29881332176</x:v>
      </x:c>
      <x:c r="AI228" t="str">
        <x:v>Completed</x:v>
      </x:c>
      <x:c r="AJ228" t="str">
        <x:v>A-000745</x:v>
      </x:c>
      <x:c r="AK228" t="str">
        <x:v>00915_52</x:v>
      </x:c>
      <x:c r="AL228" t="str">
        <x:v>S</x:v>
      </x:c>
      <x:c r="AM228" t="str">
        <x:v>REQ000008060809</x:v>
      </x:c>
      <x:c r="AN228" t="str">
        <x:v>noretention</x:v>
      </x:c>
      <x:c r="AO228" t="n">
        <x:v>0</x:v>
      </x:c>
      <x:c r="AP228" s="23" t="str">
        <x:f>IF(E228="processing",IF(Z228="","",IF(ISNUMBER(Z228),INT(Z228),DATE(VALUE(LEFT(Z228,4)),VALUE(MID(Z228,6,2)),VALUE(MID(Z228,9,2))))),IF(OR(E228="executing",E228="pending"),IF(AD228="","",IF(ISNUMBER(AD228),INT(AD228),DATE(VALUE(LEFT(AD228,4)),VALUE(MID(AD228,6,2)),VALUE(MID(AD228,9,2))))),""))</x:f>
      </x:c>
      <x:c r="AQ228" s="24" t="str">
        <x:f>IF(AP228="","",INT('Configuration'!$B$4)-AP228)</x:f>
      </x:c>
      <x:c r="AR228" s="25" t="str">
        <x:f>IF(AP228="","Missing Required Date",IF(AQ228&lt;0,"Future Date",IF(AQ228=0,"0 days",IF(AQ228&lt;=2,"1-2 days",IF(AQ228&lt;=7,"3-7 days",IF(AQ228&lt;=14,"8-14 days",IF(AQ228&lt;=30,"15-30 days",IF(AQ228&lt;=60,"31-60 days",IF(AQ228&lt;=70,"61-70 days","71+ days")))))))))</x:f>
        <x:v>Missing Required Date</x:v>
      </x:c>
      <x:c r="AS228" s="25" t="str">
        <x:f>IF(OR(E228="processing",E228="executing",E228="pending"),IF(AP228="","Required aging date missing",IF(AQ228&gt;30,"Escalate &gt;30d",IF(AQ228&gt;14,"Watch &gt;14d","Within 14d"))),"Out of scope")</x:f>
        <x:v>Out of scope</x:v>
      </x:c>
    </x:row>
    <x:row r="229" ht="24" customHeight="1">
      <x:c r="A229" t="str">
        <x:v>b5216083-454f-4895-bbdb-a4e52d8440b3</x:v>
      </x:c>
      <x:c r="B229" t="str">
        <x:v>CSSP10917429</x:v>
      </x:c>
      <x:c r="C229" t="str">
        <x:v>luqmanhakim.ismai@petronas.com</x:v>
      </x:c>
      <x:c r="D229" t="str">
        <x:v>decommission-cloud</x:v>
      </x:c>
      <x:c r="E229" t="str">
        <x:v>rejected</x:v>
      </x:c>
      <x:c r="F229" t="n">
        <x:v>46162.31625837963</x:v>
      </x:c>
      <x:c r="G229" t="n">
        <x:v>46162.40610799768</x:v>
      </x:c>
      <x:c r="H229" t="n">
        <x:v>46162.31625837963</x:v>
      </x:c>
      <x:c r="I229" t="str">
        <x:v>SAP 39 SRM SPS</x:v>
      </x:c>
      <x:c r="J229" t="str">
        <x:v>Cloud Migration Program - SAP39</x:v>
      </x:c>
      <x:c r="K229" t="str">
        <x:v>partial</x:v>
      </x:c>
      <x:c r="L229"/>
      <x:c r="M229" t="str">
        <x:v>rizuanatan@petronas.com</x:v>
      </x:c>
      <x:c r="N229"/>
      <x:c r="O229"/>
      <x:c r="P229" t="str">
        <x:v>The server PTSG-1MDMDB01 is no longer in use and can be decommissioned to optimize and save resources.
</x:v>
      </x:c>
      <x:c r="Q229" t="str">
        <x:v>2W</x:v>
      </x:c>
      <x:c r="R229" t="str">
        <x:v>Not in Used</x:v>
      </x:c>
      <x:c r="S229"/>
      <x:c r="T229" t="str">
        <x:v>approved</x:v>
      </x:c>
      <x:c r="U229" t="str">
        <x:v>luqmanhakim.ismai@petronas.com</x:v>
      </x:c>
      <x:c r="V229" t="n">
        <x:v>46162.31699289352</x:v>
      </x:c>
      <x:c r="W229" t="str">
        <x:v>The server PTSG-1MDMDB01 is no longer in use and can be decommissioned to optimize and save resources.
</x:v>
      </x:c>
      <x:c r="X229" t="str">
        <x:v>rejected</x:v>
      </x:c>
      <x:c r="Y229" t="str">
        <x:v>rizuanatan@petronas.com</x:v>
      </x:c>
      <x:c r="Z229" t="n">
        <x:v>46162.40610800926</x:v>
      </x:c>
      <x:c r="AA229"/>
      <x:c r="AB229"/>
      <x:c r="AC229" t="str">
        <x:v>CCoE Business</x:v>
      </x:c>
      <x:c r="AD229"/>
      <x:c r="AE229"/>
      <x:c r="AF229"/>
      <x:c r="AG229" t="str">
        <x:v>CCoE Operations</x:v>
      </x:c>
      <x:c r="AH229"/>
      <x:c r="AI229"/>
      <x:c r="AJ229" t="str">
        <x:v>A-000722</x:v>
      </x:c>
      <x:c r="AK229" t="str">
        <x:v>02421_102</x:v>
      </x:c>
      <x:c r="AL229"/>
      <x:c r="AM229"/>
      <x:c r="AN229" t="str">
        <x:v>disposal</x:v>
      </x:c>
      <x:c r="AO229" t="n">
        <x:v>0</x:v>
      </x:c>
      <x:c r="AP229" s="23" t="str">
        <x:f>IF(E229="processing",IF(Z229="","",IF(ISNUMBER(Z229),INT(Z229),DATE(VALUE(LEFT(Z229,4)),VALUE(MID(Z229,6,2)),VALUE(MID(Z229,9,2))))),IF(OR(E229="executing",E229="pending"),IF(AD229="","",IF(ISNUMBER(AD229),INT(AD229),DATE(VALUE(LEFT(AD229,4)),VALUE(MID(AD229,6,2)),VALUE(MID(AD229,9,2))))),""))</x:f>
      </x:c>
      <x:c r="AQ229" s="24" t="str">
        <x:f>IF(AP229="","",INT('Configuration'!$B$4)-AP229)</x:f>
      </x:c>
      <x:c r="AR229" s="25" t="str">
        <x:f>IF(AP229="","Missing Required Date",IF(AQ229&lt;0,"Future Date",IF(AQ229=0,"0 days",IF(AQ229&lt;=2,"1-2 days",IF(AQ229&lt;=7,"3-7 days",IF(AQ229&lt;=14,"8-14 days",IF(AQ229&lt;=30,"15-30 days",IF(AQ229&lt;=60,"31-60 days",IF(AQ229&lt;=70,"61-70 days","71+ days")))))))))</x:f>
        <x:v>Missing Required Date</x:v>
      </x:c>
      <x:c r="AS229" s="25" t="str">
        <x:f>IF(OR(E229="processing",E229="executing",E229="pending"),IF(AP229="","Required aging date missing",IF(AQ229&gt;30,"Escalate &gt;30d",IF(AQ229&gt;14,"Watch &gt;14d","Within 14d"))),"Out of scope")</x:f>
        <x:v>Out of scope</x:v>
      </x:c>
    </x:row>
    <x:row r="230" ht="24" customHeight="1">
      <x:c r="A230" t="str">
        <x:v>42d7dd99-6ab1-45a8-a6ca-a72840e30686</x:v>
      </x:c>
      <x:c r="B230" t="str">
        <x:v>CSSP10386386</x:v>
      </x:c>
      <x:c r="C230" t="str">
        <x:v>luqmanhakim.ismai@petronas.com</x:v>
      </x:c>
      <x:c r="D230" t="str">
        <x:v>decommission-cloud</x:v>
      </x:c>
      <x:c r="E230" t="str">
        <x:v>completed</x:v>
      </x:c>
      <x:c r="F230" t="n">
        <x:v>46162.31808924769</x:v>
      </x:c>
      <x:c r="G230" t="n">
        <x:v>46164.29288931713</x:v>
      </x:c>
      <x:c r="H230" t="n">
        <x:v>46162.31808924769</x:v>
      </x:c>
      <x:c r="I230" t="str">
        <x:v>SAP 39 SRM SPS</x:v>
      </x:c>
      <x:c r="J230" t="str">
        <x:v>Cloud Migration Program - SAP39</x:v>
      </x:c>
      <x:c r="K230" t="str">
        <x:v>partial</x:v>
      </x:c>
      <x:c r="L230"/>
      <x:c r="M230" t="str">
        <x:v>rizuanatan@petronas.com</x:v>
      </x:c>
      <x:c r="N230"/>
      <x:c r="O230"/>
      <x:c r="P230" t="str">
        <x:v>The server PTSG-1MDMDB01 is no longer in use and can be decommissioned to optimize and save resources.</x:v>
      </x:c>
      <x:c r="Q230" t="str">
        <x:v>2W</x:v>
      </x:c>
      <x:c r="R230" t="str">
        <x:v>Not in Used</x:v>
      </x:c>
      <x:c r="S230"/>
      <x:c r="T230" t="str">
        <x:v>approved</x:v>
      </x:c>
      <x:c r="U230" t="str">
        <x:v>luqmanhakim.ismai@petronas.com</x:v>
      </x:c>
      <x:c r="V230" t="n">
        <x:v>46162.31891944444</x:v>
      </x:c>
      <x:c r="W230" t="str">
        <x:v>PTSG-1MDMDB01</x:v>
      </x:c>
      <x:c r="X230" t="str">
        <x:v>approved</x:v>
      </x:c>
      <x:c r="Y230" t="str">
        <x:v>rizuanatan@petronas.com</x:v>
      </x:c>
      <x:c r="Z230" t="n">
        <x:v>46162.40546902778</x:v>
      </x:c>
      <x:c r="AA230" t="str">
        <x:v>Please proceed</x:v>
      </x:c>
      <x:c r="AB230" t="str">
        <x:v>approved</x:v>
      </x:c>
      <x:c r="AC230" t="str">
        <x:v>azwan.badari@petronas.com</x:v>
      </x:c>
      <x:c r="AD230" t="n">
        <x:v>46162.97534671296</x:v>
      </x:c>
      <x:c r="AE230" t="str">
        <x:v>Decommission PTSG-1MDMDB0 (172.25.40.220)</x:v>
      </x:c>
      <x:c r="AF230" t="str">
        <x:v>approved</x:v>
      </x:c>
      <x:c r="AG230" t="str">
        <x:v>azwan.badari@petronas.com</x:v>
      </x:c>
      <x:c r="AH230" t="n">
        <x:v>46164.2928893287</x:v>
      </x:c>
      <x:c r="AI230" t="str">
        <x:v>Completed</x:v>
      </x:c>
      <x:c r="AJ230" t="str">
        <x:v>A-000722</x:v>
      </x:c>
      <x:c r="AK230" t="str">
        <x:v>02421_102</x:v>
      </x:c>
      <x:c r="AL230" t="str">
        <x:v>S</x:v>
      </x:c>
      <x:c r="AM230" t="str">
        <x:v>REQ000008060806</x:v>
      </x:c>
      <x:c r="AN230" t="str">
        <x:v>noretention</x:v>
      </x:c>
      <x:c r="AO230" t="n">
        <x:v>0</x:v>
      </x:c>
      <x:c r="AP230" s="23" t="str">
        <x:f>IF(E230="processing",IF(Z230="","",IF(ISNUMBER(Z230),INT(Z230),DATE(VALUE(LEFT(Z230,4)),VALUE(MID(Z230,6,2)),VALUE(MID(Z230,9,2))))),IF(OR(E230="executing",E230="pending"),IF(AD230="","",IF(ISNUMBER(AD230),INT(AD230),DATE(VALUE(LEFT(AD230,4)),VALUE(MID(AD230,6,2)),VALUE(MID(AD230,9,2))))),""))</x:f>
      </x:c>
      <x:c r="AQ230" s="24" t="str">
        <x:f>IF(AP230="","",INT('Configuration'!$B$4)-AP230)</x:f>
      </x:c>
      <x:c r="AR230" s="25" t="str">
        <x:f>IF(AP230="","Missing Required Date",IF(AQ230&lt;0,"Future Date",IF(AQ230=0,"0 days",IF(AQ230&lt;=2,"1-2 days",IF(AQ230&lt;=7,"3-7 days",IF(AQ230&lt;=14,"8-14 days",IF(AQ230&lt;=30,"15-30 days",IF(AQ230&lt;=60,"31-60 days",IF(AQ230&lt;=70,"61-70 days","71+ days")))))))))</x:f>
        <x:v>Missing Required Date</x:v>
      </x:c>
      <x:c r="AS230" s="25" t="str">
        <x:f>IF(OR(E230="processing",E230="executing",E230="pending"),IF(AP230="","Required aging date missing",IF(AQ230&gt;30,"Escalate &gt;30d",IF(AQ230&gt;14,"Watch &gt;14d","Within 14d"))),"Out of scope")</x:f>
        <x:v>Out of scope</x:v>
      </x:c>
    </x:row>
    <x:row r="231" ht="24" customHeight="1">
      <x:c r="A231" t="str">
        <x:v>73e9a880-4869-4846-ae11-56c98bb4152e</x:v>
      </x:c>
      <x:c r="B231" t="str">
        <x:v>CSSP10282490</x:v>
      </x:c>
      <x:c r="C231" t="str">
        <x:v>essam.arab@petronas.com</x:v>
      </x:c>
      <x:c r="D231" t="str">
        <x:v>decommission-cloud</x:v>
      </x:c>
      <x:c r="E231" t="str">
        <x:v>cancelled</x:v>
      </x:c>
      <x:c r="F231" t="n">
        <x:v>46164.153390451385</x:v>
      </x:c>
      <x:c r="G231" t="n">
        <x:v>46164.171510277774</x:v>
      </x:c>
      <x:c r="H231" t="n">
        <x:v>46164.153390451385</x:v>
      </x:c>
      <x:c r="I231" t="str">
        <x:v>Alpha Gas</x:v>
      </x:c>
      <x:c r="J231" t="str">
        <x:v>Alpha Gas Run and Maintain 2025</x:v>
      </x:c>
      <x:c r="K231" t="str">
        <x:v>full</x:v>
      </x:c>
      <x:c r="L231" t="str">
        <x:v>DCOM2026051933d</x:v>
      </x:c>
      <x:c r="M231" t="str">
        <x:v>sunny.khiani@petronas.com</x:v>
      </x:c>
      <x:c r="N231"/>
      <x:c r="O231"/>
      <x:c r="P231" t="str">
        <x:v>Not used</x:v>
      </x:c>
      <x:c r="Q231" t="str">
        <x:v>3M</x:v>
      </x:c>
      <x:c r="R231" t="str">
        <x:v>Not in Used</x:v>
      </x:c>
      <x:c r="S231"/>
      <x:c r="T231" t="str">
        <x:v>rejected</x:v>
      </x:c>
      <x:c r="U231" t="str">
        <x:v>essam.arab@petronas.com</x:v>
      </x:c>
      <x:c r="V231" t="n">
        <x:v>46164.17151028935</x:v>
      </x:c>
      <x:c r="W231"/>
      <x:c r="X231"/>
      <x:c r="Y231" t="str">
        <x:v>sunny.khiani@petronas.com</x:v>
      </x:c>
      <x:c r="Z231"/>
      <x:c r="AA231"/>
      <x:c r="AB231"/>
      <x:c r="AC231" t="str">
        <x:v>CCoE Business</x:v>
      </x:c>
      <x:c r="AD231"/>
      <x:c r="AE231"/>
      <x:c r="AF231"/>
      <x:c r="AG231" t="str">
        <x:v>CCoE Operations</x:v>
      </x:c>
      <x:c r="AH231"/>
      <x:c r="AI231"/>
      <x:c r="AJ231" t="str">
        <x:v>A-000042</x:v>
      </x:c>
      <x:c r="AK231" t="n">
        <x:v>4555</x:v>
      </x:c>
      <x:c r="AL231"/>
      <x:c r="AM231"/>
      <x:c r="AN231" t="str">
        <x:v>retention</x:v>
      </x:c>
      <x:c r="AO231" t="n">
        <x:v>90</x:v>
      </x:c>
      <x:c r="AP231" s="23" t="str">
        <x:f>IF(E231="processing",IF(Z231="","",IF(ISNUMBER(Z231),INT(Z231),DATE(VALUE(LEFT(Z231,4)),VALUE(MID(Z231,6,2)),VALUE(MID(Z231,9,2))))),IF(OR(E231="executing",E231="pending"),IF(AD231="","",IF(ISNUMBER(AD231),INT(AD231),DATE(VALUE(LEFT(AD231,4)),VALUE(MID(AD231,6,2)),VALUE(MID(AD231,9,2))))),""))</x:f>
      </x:c>
      <x:c r="AQ231" s="24" t="str">
        <x:f>IF(AP231="","",INT('Configuration'!$B$4)-AP231)</x:f>
      </x:c>
      <x:c r="AR231" s="25" t="str">
        <x:f>IF(AP231="","Missing Required Date",IF(AQ231&lt;0,"Future Date",IF(AQ231=0,"0 days",IF(AQ231&lt;=2,"1-2 days",IF(AQ231&lt;=7,"3-7 days",IF(AQ231&lt;=14,"8-14 days",IF(AQ231&lt;=30,"15-30 days",IF(AQ231&lt;=60,"31-60 days",IF(AQ231&lt;=70,"61-70 days","71+ days")))))))))</x:f>
        <x:v>Missing Required Date</x:v>
      </x:c>
      <x:c r="AS231" s="25" t="str">
        <x:f>IF(OR(E231="processing",E231="executing",E231="pending"),IF(AP231="","Required aging date missing",IF(AQ231&gt;30,"Escalate &gt;30d",IF(AQ231&gt;14,"Watch &gt;14d","Within 14d"))),"Out of scope")</x:f>
        <x:v>Out of scope</x:v>
      </x:c>
    </x:row>
    <x:row r="232" ht="24" customHeight="1">
      <x:c r="A232" t="str">
        <x:v>7cd96ef1-497b-4547-bc5d-c6fc387d81e1</x:v>
      </x:c>
      <x:c r="B232" t="str">
        <x:v>CSSP10684299</x:v>
      </x:c>
      <x:c r="C232" t="str">
        <x:v>mashraf.habil@petronas.com</x:v>
      </x:c>
      <x:c r="D232" t="str">
        <x:v>decommission-cloud</x:v>
      </x:c>
      <x:c r="E232" t="str">
        <x:v>processing</x:v>
      </x:c>
      <x:c r="F232" t="n">
        <x:v>46164.34816179398</x:v>
      </x:c>
      <x:c r="G232" t="n">
        <x:v>46239.26696684028</x:v>
      </x:c>
      <x:c r="H232" t="n">
        <x:v>46181.289080069444</x:v>
      </x:c>
      <x:c r="I232" t="str">
        <x:v>Refinery of the Future - ROTF PRPC</x:v>
      </x:c>
      <x:c r="J232" t="str">
        <x:v>CTP - Refinery of the future (ROTF) - Feedstock</x:v>
      </x:c>
      <x:c r="K232" t="str">
        <x:v>full</x:v>
      </x:c>
      <x:c r="L232" t="str">
        <x:v>DCOM20260608525</x:v>
      </x:c>
      <x:c r="M232" t="str">
        <x:v>mfaizal.suriyat@petronas.com</x:v>
      </x:c>
      <x:c r="N232" t="str">
        <x:v>protf.petronas.com, protf.stg.petronas.com</x:v>
      </x:c>
      <x:c r="O232"/>
      <x:c r="P232" t="str">
        <x:v>Not in use</x:v>
      </x:c>
      <x:c r="Q232" t="str">
        <x:v>2W</x:v>
      </x:c>
      <x:c r="R232" t="str">
        <x:v>Not in Used</x:v>
      </x:c>
      <x:c r="S232"/>
      <x:c r="T232" t="str">
        <x:v>approved</x:v>
      </x:c>
      <x:c r="U232" t="str">
        <x:v>mashraf.habil@petronas.com</x:v>
      </x:c>
      <x:c r="V232" t="n">
        <x:v>46223.16982930555</x:v>
      </x:c>
      <x:c r="W232" t="str">
        <x:v>All resource listed can be decom</x:v>
      </x:c>
      <x:c r="X232" t="str">
        <x:v>approved</x:v>
      </x:c>
      <x:c r="Y232" t="str">
        <x:v>mfaizal.suriyat@petronas.com</x:v>
      </x:c>
      <x:c r="Z232" t="n">
        <x:v>46239.26696684028</x:v>
      </x:c>
      <x:c r="AA232" t="str">
        <x:v>Proceed to decom</x:v>
      </x:c>
      <x:c r="AB232"/>
      <x:c r="AC232" t="str">
        <x:v>IMS - CLOUD CSSP REVIEWER</x:v>
      </x:c>
      <x:c r="AD232"/>
      <x:c r="AE232"/>
      <x:c r="AF232"/>
      <x:c r="AG232" t="str">
        <x:v>IMS - CLOUD CSSP EXECUTOR</x:v>
      </x:c>
      <x:c r="AH232"/>
      <x:c r="AI232"/>
      <x:c r="AJ232" t="str">
        <x:v>A-000695</x:v>
      </x:c>
      <x:c r="AK232" t="str">
        <x:v>02421_65</x:v>
      </x:c>
      <x:c r="AL232"/>
      <x:c r="AM232"/>
      <x:c r="AN232" t="str">
        <x:v>disposal</x:v>
      </x:c>
      <x:c r="AO232" t="n">
        <x:v>0</x:v>
      </x:c>
      <x:c r="AP232" s="23" t="n">
        <x:f>IF(E232="processing",IF(Z232="","",IF(ISNUMBER(Z232),INT(Z232),DATE(VALUE(LEFT(Z232,4)),VALUE(MID(Z232,6,2)),VALUE(MID(Z232,9,2))))),IF(OR(E232="executing",E232="pending"),IF(AD232="","",IF(ISNUMBER(AD232),INT(AD232),DATE(VALUE(LEFT(AD232,4)),VALUE(MID(AD232,6,2)),VALUE(MID(AD232,9,2))))),""))</x:f>
        <x:v>46239</x:v>
      </x:c>
      <x:c r="AQ232" s="24" t="n">
        <x:f>IF(AP232="","",INT('Configuration'!$B$4)-AP232)</x:f>
        <x:v>12</x:v>
      </x:c>
      <x:c r="AR232" s="25" t="str">
        <x:f>IF(AP232="","Missing Required Date",IF(AQ232&lt;0,"Future Date",IF(AQ232=0,"0 days",IF(AQ232&lt;=2,"1-2 days",IF(AQ232&lt;=7,"3-7 days",IF(AQ232&lt;=14,"8-14 days",IF(AQ232&lt;=30,"15-30 days",IF(AQ232&lt;=60,"31-60 days",IF(AQ232&lt;=70,"61-70 days","71+ days")))))))))</x:f>
        <x:v>8-14 days</x:v>
      </x:c>
      <x:c r="AS232" s="25" t="str">
        <x:f>IF(OR(E232="processing",E232="executing",E232="pending"),IF(AP232="","Required aging date missing",IF(AQ232&gt;30,"Escalate &gt;30d",IF(AQ232&gt;14,"Watch &gt;14d","Within 14d"))),"Out of scope")</x:f>
        <x:v>Within 14d</x:v>
      </x:c>
    </x:row>
    <x:row r="233" ht="24" customHeight="1">
      <x:c r="A233" t="str">
        <x:v>10764f57-29b3-459a-9ff4-63cdea3aa9f5</x:v>
      </x:c>
      <x:c r="B233" t="str">
        <x:v>CSSP10340483</x:v>
      </x:c>
      <x:c r="C233" t="str">
        <x:v>ramachandran.sankara@petronas.com</x:v>
      </x:c>
      <x:c r="D233" t="str">
        <x:v>decommission-cloud</x:v>
      </x:c>
      <x:c r="E233" t="str">
        <x:v>processing</x:v>
      </x:c>
      <x:c r="F233" t="n">
        <x:v>46167.0322028588</x:v>
      </x:c>
      <x:c r="G233" t="n">
        <x:v>46210.283727002316</x:v>
      </x:c>
      <x:c r="H233" t="n">
        <x:v>46167.03220287037</x:v>
      </x:c>
      <x:c r="I233" t="str">
        <x:v>Instrument Reliability Digital Suite - IRIS</x:v>
      </x:c>
      <x:c r="J233" t="str">
        <x:v>[ALS] Implementation of Instrument Reliability Digital Suite (IRIS) for GTS</x:v>
      </x:c>
      <x:c r="K233" t="str">
        <x:v>partial</x:v>
      </x:c>
      <x:c r="L233"/>
      <x:c r="M233" t="str">
        <x:v>sarkunan.tigarajan@petronas.com</x:v>
      </x:c>
      <x:c r="N233"/>
      <x:c r="O233"/>
      <x:c r="P233" t="str">
        <x:v>Hello Team,
Please decomm below mentioned Azure Cloud resource only
Staging Environment (PTAZSG-UAT-ALS-RG)
ptsg4alsfunc01  - Azure functions
ptsg4alsstrg01 - Azure Storage
The Azure functions has not been used as the API hosted in them been migrated to OS APIs
The application is active. So please decommission only mentioned resources alone.
Thanks
</x:v>
      </x:c>
      <x:c r="Q233" t="str">
        <x:v>2W</x:v>
      </x:c>
      <x:c r="R233" t="str">
        <x:v>Not in Used</x:v>
      </x:c>
      <x:c r="S233"/>
      <x:c r="T233" t="str">
        <x:v>approved</x:v>
      </x:c>
      <x:c r="U233" t="str">
        <x:v>ramachandran.sankara@petronas.com</x:v>
      </x:c>
      <x:c r="V233" t="n">
        <x:v>46167.03310622685</x:v>
      </x:c>
      <x:c r="W233" t="str">
        <x:v>Only 2 resources in UAT
Azure functions and storage
ptsg4alsstrg01
ptsg4alsfunc01</x:v>
      </x:c>
      <x:c r="X233" t="str">
        <x:v>approved</x:v>
      </x:c>
      <x:c r="Y233" t="str">
        <x:v>sarkunan.tigarajan@petronas.com</x:v>
      </x:c>
      <x:c r="Z233" t="n">
        <x:v>46210.18658487269</x:v>
      </x:c>
      <x:c r="AA233" t="str">
        <x:v>Reviewed &amp; Approved</x:v>
      </x:c>
      <x:c r="AB233"/>
      <x:c r="AC233" t="str">
        <x:v>IMS - CLOUD CSSP REVIEWER</x:v>
      </x:c>
      <x:c r="AD233"/>
      <x:c r="AE233"/>
      <x:c r="AF233"/>
      <x:c r="AG233" t="str">
        <x:v>CCoE Operations</x:v>
      </x:c>
      <x:c r="AH233"/>
      <x:c r="AI233"/>
      <x:c r="AJ233" t="str">
        <x:v>A-000403</x:v>
      </x:c>
      <x:c r="AK233" t="n">
        <x:v>2532</x:v>
      </x:c>
      <x:c r="AL233" t="str">
        <x:v>S</x:v>
      </x:c>
      <x:c r="AM233"/>
      <x:c r="AN233" t="str">
        <x:v>disposal</x:v>
      </x:c>
      <x:c r="AO233" t="n">
        <x:v>0</x:v>
      </x:c>
      <x:c r="AP233" s="23" t="n">
        <x:f>IF(E233="processing",IF(Z233="","",IF(ISNUMBER(Z233),INT(Z233),DATE(VALUE(LEFT(Z233,4)),VALUE(MID(Z233,6,2)),VALUE(MID(Z233,9,2))))),IF(OR(E233="executing",E233="pending"),IF(AD233="","",IF(ISNUMBER(AD233),INT(AD233),DATE(VALUE(LEFT(AD233,4)),VALUE(MID(AD233,6,2)),VALUE(MID(AD233,9,2))))),""))</x:f>
        <x:v>46210</x:v>
      </x:c>
      <x:c r="AQ233" s="24" t="n">
        <x:f>IF(AP233="","",INT('Configuration'!$B$4)-AP233)</x:f>
        <x:v>41</x:v>
      </x:c>
      <x:c r="AR233" s="25" t="str">
        <x:f>IF(AP233="","Missing Required Date",IF(AQ233&lt;0,"Future Date",IF(AQ233=0,"0 days",IF(AQ233&lt;=2,"1-2 days",IF(AQ233&lt;=7,"3-7 days",IF(AQ233&lt;=14,"8-14 days",IF(AQ233&lt;=30,"15-30 days",IF(AQ233&lt;=60,"31-60 days",IF(AQ233&lt;=70,"61-70 days","71+ days")))))))))</x:f>
        <x:v>31-60 days</x:v>
      </x:c>
      <x:c r="AS233" s="25" t="str">
        <x:f>IF(OR(E233="processing",E233="executing",E233="pending"),IF(AP233="","Required aging date missing",IF(AQ233&gt;30,"Escalate &gt;30d",IF(AQ233&gt;14,"Watch &gt;14d","Within 14d"))),"Out of scope")</x:f>
        <x:v>Escalate &gt;30d</x:v>
      </x:c>
    </x:row>
    <x:row r="234" ht="24" customHeight="1">
      <x:c r="A234" t="str">
        <x:v>621be009-9eac-4914-b75b-7e6199940cc4</x:v>
      </x:c>
      <x:c r="B234" t="str">
        <x:v>CSSP10682186</x:v>
      </x:c>
      <x:c r="C234" t="str">
        <x:v>erenah.hanasi@petronas.com</x:v>
      </x:c>
      <x:c r="D234" t="str">
        <x:v>decommission-cloud</x:v>
      </x:c>
      <x:c r="E234" t="str">
        <x:v>cancelled</x:v>
      </x:c>
      <x:c r="F234" t="n">
        <x:v>46168.152981921296</x:v>
      </x:c>
      <x:c r="G234" t="n">
        <x:v>46168.15509315972</x:v>
      </x:c>
      <x:c r="H234" t="n">
        <x:v>46168.152981921296</x:v>
      </x:c>
      <x:c r="I234" t="str">
        <x:v>Turnaround Management Solution - PITSTOPS</x:v>
      </x:c>
      <x:c r="J234" t="str">
        <x:v>Modernization of Turnaround Management Solution for GTS - PITSTOPS</x:v>
      </x:c>
      <x:c r="K234" t="str">
        <x:v>partial</x:v>
      </x:c>
      <x:c r="L234"/>
      <x:c r="M234" t="str">
        <x:v>erenah.hanasi@petronas.com</x:v>
      </x:c>
      <x:c r="N234"/>
      <x:c r="O234" t="str">
        <x:v>sss</x:v>
      </x:c>
      <x:c r="P234" t="str">
        <x:v>ssss</x:v>
      </x:c>
      <x:c r="Q234" t="str">
        <x:v>2W</x:v>
      </x:c>
      <x:c r="R234" t="str">
        <x:v>Not in Used</x:v>
      </x:c>
      <x:c r="S234"/>
      <x:c r="T234" t="str">
        <x:v>rejected</x:v>
      </x:c>
      <x:c r="U234" t="str">
        <x:v>erenah.hanasi@petronas.com</x:v>
      </x:c>
      <x:c r="V234" t="n">
        <x:v>46168.15509315972</x:v>
      </x:c>
      <x:c r="W234"/>
      <x:c r="X234"/>
      <x:c r="Y234" t="str">
        <x:v>erenah.hanasi@petronas.com</x:v>
      </x:c>
      <x:c r="Z234"/>
      <x:c r="AA234"/>
      <x:c r="AB234"/>
      <x:c r="AC234" t="str">
        <x:v>CCoE Business</x:v>
      </x:c>
      <x:c r="AD234"/>
      <x:c r="AE234"/>
      <x:c r="AF234"/>
      <x:c r="AG234" t="str">
        <x:v>CCoE Operations</x:v>
      </x:c>
      <x:c r="AH234"/>
      <x:c r="AI234"/>
      <x:c r="AJ234" t="str">
        <x:v>A-000603</x:v>
      </x:c>
      <x:c r="AK234" t="n">
        <x:v>1359</x:v>
      </x:c>
      <x:c r="AL234"/>
      <x:c r="AM234"/>
      <x:c r="AN234" t="str">
        <x:v>disposal</x:v>
      </x:c>
      <x:c r="AO234" t="n">
        <x:v>0</x:v>
      </x:c>
      <x:c r="AP234" s="23" t="str">
        <x:f>IF(E234="processing",IF(Z234="","",IF(ISNUMBER(Z234),INT(Z234),DATE(VALUE(LEFT(Z234,4)),VALUE(MID(Z234,6,2)),VALUE(MID(Z234,9,2))))),IF(OR(E234="executing",E234="pending"),IF(AD234="","",IF(ISNUMBER(AD234),INT(AD234),DATE(VALUE(LEFT(AD234,4)),VALUE(MID(AD234,6,2)),VALUE(MID(AD234,9,2))))),""))</x:f>
      </x:c>
      <x:c r="AQ234" s="24" t="str">
        <x:f>IF(AP234="","",INT('Configuration'!$B$4)-AP234)</x:f>
      </x:c>
      <x:c r="AR234" s="25" t="str">
        <x:f>IF(AP234="","Missing Required Date",IF(AQ234&lt;0,"Future Date",IF(AQ234=0,"0 days",IF(AQ234&lt;=2,"1-2 days",IF(AQ234&lt;=7,"3-7 days",IF(AQ234&lt;=14,"8-14 days",IF(AQ234&lt;=30,"15-30 days",IF(AQ234&lt;=60,"31-60 days",IF(AQ234&lt;=70,"61-70 days","71+ days")))))))))</x:f>
        <x:v>Missing Required Date</x:v>
      </x:c>
      <x:c r="AS234" s="25" t="str">
        <x:f>IF(OR(E234="processing",E234="executing",E234="pending"),IF(AP234="","Required aging date missing",IF(AQ234&gt;30,"Escalate &gt;30d",IF(AQ234&gt;14,"Watch &gt;14d","Within 14d"))),"Out of scope")</x:f>
        <x:v>Out of scope</x:v>
      </x:c>
    </x:row>
    <x:row r="235" ht="24" customHeight="1">
      <x:c r="A235" t="str">
        <x:v>8871d087-ff27-4c09-8a25-4f69bc682da1</x:v>
      </x:c>
      <x:c r="B235" t="str">
        <x:v>CSSP10237001</x:v>
      </x:c>
      <x:c r="C235" t="str">
        <x:v>mzurfaiezzuddin.zur@petronas.com</x:v>
      </x:c>
      <x:c r="D235" t="str">
        <x:v>decommission-cloud</x:v>
      </x:c>
      <x:c r="E235" t="str">
        <x:v>processing</x:v>
      </x:c>
      <x:c r="F235" t="n">
        <x:v>46177.38046849537</x:v>
      </x:c>
      <x:c r="G235" t="n">
        <x:v>46209.30684199074</x:v>
      </x:c>
      <x:c r="H235" t="n">
        <x:v>46177.38046849537</x:v>
      </x:c>
      <x:c r="I235" t="str">
        <x:v>Energy Component as a Service - ECaaS</x:v>
      </x:c>
      <x:c r="J235" t="str">
        <x:v>PETRONAS Global Production System (PGPS) Energy Component as a Service (ECaaS)</x:v>
      </x:c>
      <x:c r="K235" t="str">
        <x:v>partial</x:v>
      </x:c>
      <x:c r="L235"/>
      <x:c r="M235" t="str">
        <x:v>sazali.mokhtar@petronas.com</x:v>
      </x:c>
      <x:c r="N235"/>
      <x:c r="O235"/>
      <x:c r="P235" t="str">
        <x:v>Cloud Repatriation - To decommission old resources in Singapore region due to completed migration in MY region</x:v>
      </x:c>
      <x:c r="Q235" t="str">
        <x:v>2W</x:v>
      </x:c>
      <x:c r="R235" t="str">
        <x:v>Cloud Migration</x:v>
      </x:c>
      <x:c r="S235"/>
      <x:c r="T235" t="str">
        <x:v>approved</x:v>
      </x:c>
      <x:c r="U235" t="str">
        <x:v>mzurfaiezzuddin.zur@petronas.com</x:v>
      </x:c>
      <x:c r="V235" t="n">
        <x:v>46177.38096030093</x:v>
      </x:c>
      <x:c r="W235" t="str">
        <x:v>Cloud Repatriation - To decommission old resources in Singapore region due to completed migration in MY region</x:v>
      </x:c>
      <x:c r="X235" t="str">
        <x:v>approved</x:v>
      </x:c>
      <x:c r="Y235" t="str">
        <x:v>sazali.mokhtar@petronas.com</x:v>
      </x:c>
      <x:c r="Z235" t="n">
        <x:v>46184.064344363425</x:v>
      </x:c>
      <x:c r="AA235" t="str">
        <x:v>Cloud Repatriation - To decommission old resources in Singapore region due to completed migration in MY region</x:v>
      </x:c>
      <x:c r="AB235"/>
      <x:c r="AC235" t="str">
        <x:v>IMS - CLOUD CSSP REVIEWER</x:v>
      </x:c>
      <x:c r="AD235"/>
      <x:c r="AE235"/>
      <x:c r="AF235"/>
      <x:c r="AG235" t="str">
        <x:v>CCoE Operations</x:v>
      </x:c>
      <x:c r="AH235"/>
      <x:c r="AI235"/>
      <x:c r="AJ235" t="str">
        <x:v>A-000254</x:v>
      </x:c>
      <x:c r="AK235" t="str">
        <x:v>PC-00066</x:v>
      </x:c>
      <x:c r="AL235" t="str">
        <x:v>M</x:v>
      </x:c>
      <x:c r="AM235"/>
      <x:c r="AN235" t="str">
        <x:v>noretention</x:v>
      </x:c>
      <x:c r="AO235" t="n">
        <x:v>0</x:v>
      </x:c>
      <x:c r="AP235" s="23" t="n">
        <x:f>IF(E235="processing",IF(Z235="","",IF(ISNUMBER(Z235),INT(Z235),DATE(VALUE(LEFT(Z235,4)),VALUE(MID(Z235,6,2)),VALUE(MID(Z235,9,2))))),IF(OR(E235="executing",E235="pending"),IF(AD235="","",IF(ISNUMBER(AD235),INT(AD235),DATE(VALUE(LEFT(AD235,4)),VALUE(MID(AD235,6,2)),VALUE(MID(AD235,9,2))))),""))</x:f>
        <x:v>46184</x:v>
      </x:c>
      <x:c r="AQ235" s="24" t="n">
        <x:f>IF(AP235="","",INT('Configuration'!$B$4)-AP235)</x:f>
        <x:v>67</x:v>
      </x:c>
      <x:c r="AR235" s="25" t="str">
        <x:f>IF(AP235="","Missing Required Date",IF(AQ235&lt;0,"Future Date",IF(AQ235=0,"0 days",IF(AQ235&lt;=2,"1-2 days",IF(AQ235&lt;=7,"3-7 days",IF(AQ235&lt;=14,"8-14 days",IF(AQ235&lt;=30,"15-30 days",IF(AQ235&lt;=60,"31-60 days",IF(AQ235&lt;=70,"61-70 days","71+ days")))))))))</x:f>
        <x:v>61-70 days</x:v>
      </x:c>
      <x:c r="AS235" s="25" t="str">
        <x:f>IF(OR(E235="processing",E235="executing",E235="pending"),IF(AP235="","Required aging date missing",IF(AQ235&gt;30,"Escalate &gt;30d",IF(AQ235&gt;14,"Watch &gt;14d","Within 14d"))),"Out of scope")</x:f>
        <x:v>Escalate &gt;30d</x:v>
      </x:c>
    </x:row>
    <x:row r="236" ht="24" customHeight="1">
      <x:c r="A236" t="str">
        <x:v>64ed4481-bce0-4eaa-8a9b-b63d01e4fa1c</x:v>
      </x:c>
      <x:c r="B236" t="str">
        <x:v>CSSP10653599</x:v>
      </x:c>
      <x:c r="C236" t="str">
        <x:v>cus.ng@petronas.com</x:v>
      </x:c>
      <x:c r="D236" t="str">
        <x:v>decommission-cloud</x:v>
      </x:c>
      <x:c r="E236" t="str">
        <x:v>pending</x:v>
      </x:c>
      <x:c r="F236" t="n">
        <x:v>46178.265447199075</x:v>
      </x:c>
      <x:c r="G236" t="n">
        <x:v>46178.265447199075</x:v>
      </x:c>
      <x:c r="H236" t="n">
        <x:v>46178.265447199075</x:v>
      </x:c>
      <x:c r="I236" t="str">
        <x:v>MyTimex</x:v>
      </x:c>
      <x:c r="J236" t="str">
        <x:v>Development of Enterprise myTimex for Standard Group-wide Application</x:v>
      </x:c>
      <x:c r="K236" t="str">
        <x:v>partial</x:v>
      </x:c>
      <x:c r="L236"/>
      <x:c r="M236" t="str">
        <x:v>test</x:v>
      </x:c>
      <x:c r="N236"/>
      <x:c r="O236"/>
      <x:c r="P236" t="str">
        <x:v>test</x:v>
      </x:c>
      <x:c r="Q236" t="str">
        <x:v>2W</x:v>
      </x:c>
      <x:c r="R236" t="str">
        <x:v>Upgrade</x:v>
      </x:c>
      <x:c r="S236"/>
      <x:c r="T236" t="str">
        <x:v>pending</x:v>
      </x:c>
      <x:c r="U236" t="str">
        <x:v>cus.ng@petronas.com</x:v>
      </x:c>
      <x:c r="V236"/>
      <x:c r="W236"/>
      <x:c r="X236"/>
      <x:c r="Y236" t="str">
        <x:v>test</x:v>
      </x:c>
      <x:c r="Z236"/>
      <x:c r="AA236"/>
      <x:c r="AB236"/>
      <x:c r="AC236" t="str">
        <x:v>CCoE Business</x:v>
      </x:c>
      <x:c r="AD236"/>
      <x:c r="AE236"/>
      <x:c r="AF236"/>
      <x:c r="AG236" t="str">
        <x:v>CCoE Operations</x:v>
      </x:c>
      <x:c r="AH236"/>
      <x:c r="AI236"/>
      <x:c r="AJ236" t="str">
        <x:v>A-000496</x:v>
      </x:c>
      <x:c r="AK236" t="str">
        <x:v>PSR04772</x:v>
      </x:c>
      <x:c r="AL236"/>
      <x:c r="AM236"/>
      <x:c r="AN236" t="str">
        <x:v>noretention</x:v>
      </x:c>
      <x:c r="AO236" t="n">
        <x:v>0</x:v>
      </x:c>
      <x:c r="AP236" s="23" t="str">
        <x:f>IF(E236="processing",IF(Z236="","",IF(ISNUMBER(Z236),INT(Z236),DATE(VALUE(LEFT(Z236,4)),VALUE(MID(Z236,6,2)),VALUE(MID(Z236,9,2))))),IF(OR(E236="executing",E236="pending"),IF(AD236="","",IF(ISNUMBER(AD236),INT(AD236),DATE(VALUE(LEFT(AD236,4)),VALUE(MID(AD236,6,2)),VALUE(MID(AD236,9,2))))),""))</x:f>
      </x:c>
      <x:c r="AQ236" s="24" t="str">
        <x:f>IF(AP236="","",INT('Configuration'!$B$4)-AP236)</x:f>
      </x:c>
      <x:c r="AR236" s="25" t="str">
        <x:f>IF(AP236="","Missing Required Date",IF(AQ236&lt;0,"Future Date",IF(AQ236=0,"0 days",IF(AQ236&lt;=2,"1-2 days",IF(AQ236&lt;=7,"3-7 days",IF(AQ236&lt;=14,"8-14 days",IF(AQ236&lt;=30,"15-30 days",IF(AQ236&lt;=60,"31-60 days",IF(AQ236&lt;=70,"61-70 days","71+ days")))))))))</x:f>
        <x:v>Missing Required Date</x:v>
      </x:c>
      <x:c r="AS236" s="25" t="str">
        <x:f>IF(OR(E236="processing",E236="executing",E236="pending"),IF(AP236="","Required aging date missing",IF(AQ236&gt;30,"Escalate &gt;30d",IF(AQ236&gt;14,"Watch &gt;14d","Within 14d"))),"Out of scope")</x:f>
        <x:v>Required aging date missing</x:v>
      </x:c>
    </x:row>
    <x:row r="237" ht="24" customHeight="1">
      <x:c r="A237" t="str">
        <x:v>59ce8d48-9246-4b35-9c98-83038a676bf3</x:v>
      </x:c>
      <x:c r="B237" t="str">
        <x:v>CSSP10657704</x:v>
      </x:c>
      <x:c r="C237" t="str">
        <x:v>norhayati.saad@petronas.com</x:v>
      </x:c>
      <x:c r="D237" t="str">
        <x:v>decommission-cloud</x:v>
      </x:c>
      <x:c r="E237" t="str">
        <x:v>completed</x:v>
      </x:c>
      <x:c r="F237" t="n">
        <x:v>46181.97354247685</x:v>
      </x:c>
      <x:c r="G237" t="n">
        <x:v>46196.359642268515</x:v>
      </x:c>
      <x:c r="H237" t="n">
        <x:v>46181.97354247685</x:v>
      </x:c>
      <x:c r="I237" t="str">
        <x:v>Policy Advisory Committee to the Prime Minister - PMAC</x:v>
      </x:c>
      <x:c r="J237" t="str">
        <x:v>Policy Advisory Committee to the Prime Minister (PMAC)</x:v>
      </x:c>
      <x:c r="K237" t="str">
        <x:v>partial</x:v>
      </x:c>
      <x:c r="L237"/>
      <x:c r="M237" t="str">
        <x:v>sazali.mokhtar@petronas.com</x:v>
      </x:c>
      <x:c r="N237"/>
      <x:c r="O237"/>
      <x:c r="P237" t="str">
        <x:v>Cloud Repatriation - To decommission old resources in Singapore region due to completed migration in MY region</x:v>
      </x:c>
      <x:c r="Q237" t="str">
        <x:v>2W</x:v>
      </x:c>
      <x:c r="R237" t="str">
        <x:v>Cloud Migration</x:v>
      </x:c>
      <x:c r="S237"/>
      <x:c r="T237" t="str">
        <x:v>approved</x:v>
      </x:c>
      <x:c r="U237" t="str">
        <x:v>norhayati.saad@petronas.com</x:v>
      </x:c>
      <x:c r="V237" t="n">
        <x:v>46181.97554550926</x:v>
      </x:c>
      <x:c r="W237" t="str">
        <x:v>please decom entire RG PTAZSG-IAC-UAT-PMAC-RG, PTAZSG-IAC-PROD-PMAC-RG</x:v>
      </x:c>
      <x:c r="X237" t="str">
        <x:v>approved</x:v>
      </x:c>
      <x:c r="Y237" t="str">
        <x:v>sazali.mokhtar@petronas.com</x:v>
      </x:c>
      <x:c r="Z237" t="n">
        <x:v>46184.063530150466</x:v>
      </x:c>
      <x:c r="AA237" t="str">
        <x:v>Cloud Repatriation - To decommission old resources in Singapore region due to completed migration in MY region</x:v>
      </x:c>
      <x:c r="AB237" t="str">
        <x:v>approved</x:v>
      </x:c>
      <x:c r="AC237" t="str">
        <x:v>azwan.badari@petronas.com</x:v>
      </x:c>
      <x:c r="AD237" t="n">
        <x:v>46188.141476006946</x:v>
      </x:c>
      <x:c r="AE237" t="str">
        <x:v>Decommission resources in SG (Repat)</x:v>
      </x:c>
      <x:c r="AF237" t="str">
        <x:v>approved</x:v>
      </x:c>
      <x:c r="AG237" t="str">
        <x:v>azlisham.md@petronas.com</x:v>
      </x:c>
      <x:c r="AH237" t="n">
        <x:v>46196.359642268515</x:v>
      </x:c>
      <x:c r="AI237" t="str">
        <x:v>The decommission request has been completed, and the status is now updated accordingly. Kindly verify from your end and confirm once reviewed.
</x:v>
      </x:c>
      <x:c r="AJ237" t="str">
        <x:v>A-000630</x:v>
      </x:c>
      <x:c r="AK237" t="n">
        <x:v>4229</x:v>
      </x:c>
      <x:c r="AL237" t="str">
        <x:v>M</x:v>
      </x:c>
      <x:c r="AM237" t="str">
        <x:v>REQ000008100449</x:v>
      </x:c>
      <x:c r="AN237" t="str">
        <x:v>noretention</x:v>
      </x:c>
      <x:c r="AO237" t="n">
        <x:v>0</x:v>
      </x:c>
      <x:c r="AP237" s="23" t="str">
        <x:f>IF(E237="processing",IF(Z237="","",IF(ISNUMBER(Z237),INT(Z237),DATE(VALUE(LEFT(Z237,4)),VALUE(MID(Z237,6,2)),VALUE(MID(Z237,9,2))))),IF(OR(E237="executing",E237="pending"),IF(AD237="","",IF(ISNUMBER(AD237),INT(AD237),DATE(VALUE(LEFT(AD237,4)),VALUE(MID(AD237,6,2)),VALUE(MID(AD237,9,2))))),""))</x:f>
      </x:c>
      <x:c r="AQ237" s="24" t="str">
        <x:f>IF(AP237="","",INT('Configuration'!$B$4)-AP237)</x:f>
      </x:c>
      <x:c r="AR237" s="25" t="str">
        <x:f>IF(AP237="","Missing Required Date",IF(AQ237&lt;0,"Future Date",IF(AQ237=0,"0 days",IF(AQ237&lt;=2,"1-2 days",IF(AQ237&lt;=7,"3-7 days",IF(AQ237&lt;=14,"8-14 days",IF(AQ237&lt;=30,"15-30 days",IF(AQ237&lt;=60,"31-60 days",IF(AQ237&lt;=70,"61-70 days","71+ days")))))))))</x:f>
        <x:v>Missing Required Date</x:v>
      </x:c>
      <x:c r="AS237" s="25" t="str">
        <x:f>IF(OR(E237="processing",E237="executing",E237="pending"),IF(AP237="","Required aging date missing",IF(AQ237&gt;30,"Escalate &gt;30d",IF(AQ237&gt;14,"Watch &gt;14d","Within 14d"))),"Out of scope")</x:f>
        <x:v>Out of scope</x:v>
      </x:c>
    </x:row>
    <x:row r="238" ht="24" customHeight="1">
      <x:c r="A238" t="str">
        <x:v>a4387962-83a2-4e0d-b981-8958beb397fb</x:v>
      </x:c>
      <x:c r="B238" t="str">
        <x:v>CSSP10555599</x:v>
      </x:c>
      <x:c r="C238" t="str">
        <x:v>fatin.ghazali@petronas.com</x:v>
      </x:c>
      <x:c r="D238" t="str">
        <x:v>decommission-cloud</x:v>
      </x:c>
      <x:c r="E238" t="str">
        <x:v>completed</x:v>
      </x:c>
      <x:c r="F238" t="n">
        <x:v>46183.28925431713</x:v>
      </x:c>
      <x:c r="G238" t="n">
        <x:v>46195.098200381944</x:v>
      </x:c>
      <x:c r="H238" t="n">
        <x:v>46183.306086805555</x:v>
      </x:c>
      <x:c r="I238" t="str">
        <x:v>Business Intelligence Reporting and Analytic - BIRA</x:v>
      </x:c>
      <x:c r="J238" t="str">
        <x:v>Cloud Migration- BIRA (Business Intelligence Reporting &amp; Analytic)</x:v>
      </x:c>
      <x:c r="K238" t="str">
        <x:v>partial</x:v>
      </x:c>
      <x:c r="L238"/>
      <x:c r="M238" t="str">
        <x:v>kuek.chiayin@petronas.com</x:v>
      </x:c>
      <x:c r="N238"/>
      <x:c r="O238"/>
      <x:c r="P238" t="str">
        <x:v>To decommission ArbitraAppMart in PTSG-4BIRADB01 only. Decomm the database only. Do not delete the server.</x:v>
      </x:c>
      <x:c r="Q238" t="str">
        <x:v>3M</x:v>
      </x:c>
      <x:c r="R238" t="str">
        <x:v>Not in Used</x:v>
      </x:c>
      <x:c r="S238"/>
      <x:c r="T238" t="str">
        <x:v>approved</x:v>
      </x:c>
      <x:c r="U238" t="str">
        <x:v>fatin.ghazali@petronas.com</x:v>
      </x:c>
      <x:c r="V238" t="n">
        <x:v>46183.307676412034</x:v>
      </x:c>
      <x:c r="W238" t="str">
        <x:v>N/A</x:v>
      </x:c>
      <x:c r="X238" t="str">
        <x:v>approved</x:v>
      </x:c>
      <x:c r="Y238" t="str">
        <x:v>kuek.chiayin@petronas.com</x:v>
      </x:c>
      <x:c r="Z238" t="n">
        <x:v>46184.14992599537</x:v>
      </x:c>
      <x:c r="AA238" t="str">
        <x:v>Approved for decom as clean-up on unused resources. </x:v>
      </x:c>
      <x:c r="AB238" t="str">
        <x:v>approved</x:v>
      </x:c>
      <x:c r="AC238" t="str">
        <x:v>azwan.badari@petronas.com</x:v>
      </x:c>
      <x:c r="AD238" t="n">
        <x:v>46195.06599420139</x:v>
      </x:c>
      <x:c r="AE238" t="str">
        <x:v>Decommission database name ArbitraAppMart in PTSG-4BIRADB01 only</x:v>
      </x:c>
      <x:c r="AF238" t="str">
        <x:v>approved</x:v>
      </x:c>
      <x:c r="AG238" t="str">
        <x:v>badri.shaharudin@petronas.com</x:v>
      </x:c>
      <x:c r="AH238" t="n">
        <x:v>46195.09820039352</x:v>
      </x:c>
      <x:c r="AI238" t="str">
        <x:v>Completed</x:v>
      </x:c>
      <x:c r="AJ238" t="str">
        <x:v>A-000092</x:v>
      </x:c>
      <x:c r="AK238" t="str">
        <x:v>02421_15</x:v>
      </x:c>
      <x:c r="AL238" t="str">
        <x:v>S</x:v>
      </x:c>
      <x:c r="AM238" t="str">
        <x:v>REQ000008111308</x:v>
      </x:c>
      <x:c r="AN238" t="str">
        <x:v>retention</x:v>
      </x:c>
      <x:c r="AO238"/>
      <x:c r="AP238" s="23" t="str">
        <x:f>IF(E238="processing",IF(Z238="","",IF(ISNUMBER(Z238),INT(Z238),DATE(VALUE(LEFT(Z238,4)),VALUE(MID(Z238,6,2)),VALUE(MID(Z238,9,2))))),IF(OR(E238="executing",E238="pending"),IF(AD238="","",IF(ISNUMBER(AD238),INT(AD238),DATE(VALUE(LEFT(AD238,4)),VALUE(MID(AD238,6,2)),VALUE(MID(AD238,9,2))))),""))</x:f>
      </x:c>
      <x:c r="AQ238" s="24" t="str">
        <x:f>IF(AP238="","",INT('Configuration'!$B$4)-AP238)</x:f>
      </x:c>
      <x:c r="AR238" s="25" t="str">
        <x:f>IF(AP238="","Missing Required Date",IF(AQ238&lt;0,"Future Date",IF(AQ238=0,"0 days",IF(AQ238&lt;=2,"1-2 days",IF(AQ238&lt;=7,"3-7 days",IF(AQ238&lt;=14,"8-14 days",IF(AQ238&lt;=30,"15-30 days",IF(AQ238&lt;=60,"31-60 days",IF(AQ238&lt;=70,"61-70 days","71+ days")))))))))</x:f>
        <x:v>Missing Required Date</x:v>
      </x:c>
      <x:c r="AS238" s="25" t="str">
        <x:f>IF(OR(E238="processing",E238="executing",E238="pending"),IF(AP238="","Required aging date missing",IF(AQ238&gt;30,"Escalate &gt;30d",IF(AQ238&gt;14,"Watch &gt;14d","Within 14d"))),"Out of scope")</x:f>
        <x:v>Out of scope</x:v>
      </x:c>
    </x:row>
    <x:row r="239" ht="24" customHeight="1">
      <x:c r="A239" t="str">
        <x:v>c2c70e60-4100-431a-8cc2-5e6028e5e342</x:v>
      </x:c>
      <x:c r="B239" t="str">
        <x:v>CSSP10475107</x:v>
      </x:c>
      <x:c r="C239" t="str">
        <x:v>hazdirizal.abdullha@petronas.com</x:v>
      </x:c>
      <x:c r="D239" t="str">
        <x:v>decommission-cloud</x:v>
      </x:c>
      <x:c r="E239" t="str">
        <x:v>cancelled</x:v>
      </x:c>
      <x:c r="F239" t="n">
        <x:v>46185.32166055556</x:v>
      </x:c>
      <x:c r="G239" t="n">
        <x:v>46185.336061354166</x:v>
      </x:c>
      <x:c r="H239" t="n">
        <x:v>46185.32992131945</x:v>
      </x:c>
      <x:c r="I239" t="str">
        <x:v>M365 Exchange 2016 for Centralised Automation Management Console</x:v>
      </x:c>
      <x:c r="J239" t="str">
        <x:v>M365-Server Relocation: Exchange Hybrid Servers</x:v>
      </x:c>
      <x:c r="K239" t="str">
        <x:v>partial</x:v>
      </x:c>
      <x:c r="L239"/>
      <x:c r="M239" t="str">
        <x:v>nshahidahothman@petronas.com.my</x:v>
      </x:c>
      <x:c r="N239"/>
      <x:c r="O239"/>
      <x:c r="P239" t="str">
        <x:v>current Exchange server 2016 has already reached end of life support and not in used. the total number of servers of Exchange 2016 to be decom is 4 servers:
Exchange 2016 Hybrid Servers:
PTSG-3EXCHVM1 - 172.25.8.167
PTSG-3EXCHVM2 - 172.25.8.177
Exchange 2016 Edge Servers:
PTSG-1SMTPed01 - 172.25.34.85
PTSG-1SMTPed02 - 172.25.34.86</x:v>
      </x:c>
      <x:c r="Q239" t="str">
        <x:v>1M</x:v>
      </x:c>
      <x:c r="R239" t="str">
        <x:v>Not in Used</x:v>
      </x:c>
      <x:c r="S239"/>
      <x:c r="T239" t="str">
        <x:v>rejected</x:v>
      </x:c>
      <x:c r="U239" t="str">
        <x:v>hazdirizal.abdullha@petronas.com</x:v>
      </x:c>
      <x:c r="V239" t="n">
        <x:v>46185.33606136574</x:v>
      </x:c>
      <x:c r="W239"/>
      <x:c r="X239"/>
      <x:c r="Y239" t="str">
        <x:v>nshahidahothman@petronas.com</x:v>
      </x:c>
      <x:c r="Z239"/>
      <x:c r="AA239"/>
      <x:c r="AB239"/>
      <x:c r="AC239" t="str">
        <x:v>CCoE Business</x:v>
      </x:c>
      <x:c r="AD239"/>
      <x:c r="AE239"/>
      <x:c r="AF239"/>
      <x:c r="AG239" t="str">
        <x:v>CCoE Business</x:v>
      </x:c>
      <x:c r="AH239"/>
      <x:c r="AI239"/>
      <x:c r="AJ239" t="str">
        <x:v>A-000443</x:v>
      </x:c>
      <x:c r="AK239" t="str">
        <x:v>01931_2</x:v>
      </x:c>
      <x:c r="AL239"/>
      <x:c r="AM239"/>
      <x:c r="AN239" t="str">
        <x:v>noretention</x:v>
      </x:c>
      <x:c r="AO239" t="n">
        <x:v>0</x:v>
      </x:c>
      <x:c r="AP239" s="23" t="str">
        <x:f>IF(E239="processing",IF(Z239="","",IF(ISNUMBER(Z239),INT(Z239),DATE(VALUE(LEFT(Z239,4)),VALUE(MID(Z239,6,2)),VALUE(MID(Z239,9,2))))),IF(OR(E239="executing",E239="pending"),IF(AD239="","",IF(ISNUMBER(AD239),INT(AD239),DATE(VALUE(LEFT(AD239,4)),VALUE(MID(AD239,6,2)),VALUE(MID(AD239,9,2))))),""))</x:f>
      </x:c>
      <x:c r="AQ239" s="24" t="str">
        <x:f>IF(AP239="","",INT('Configuration'!$B$4)-AP239)</x:f>
      </x:c>
      <x:c r="AR239" s="25" t="str">
        <x:f>IF(AP239="","Missing Required Date",IF(AQ239&lt;0,"Future Date",IF(AQ239=0,"0 days",IF(AQ239&lt;=2,"1-2 days",IF(AQ239&lt;=7,"3-7 days",IF(AQ239&lt;=14,"8-14 days",IF(AQ239&lt;=30,"15-30 days",IF(AQ239&lt;=60,"31-60 days",IF(AQ239&lt;=70,"61-70 days","71+ days")))))))))</x:f>
        <x:v>Missing Required Date</x:v>
      </x:c>
      <x:c r="AS239" s="25" t="str">
        <x:f>IF(OR(E239="processing",E239="executing",E239="pending"),IF(AP239="","Required aging date missing",IF(AQ239&gt;30,"Escalate &gt;30d",IF(AQ239&gt;14,"Watch &gt;14d","Within 14d"))),"Out of scope")</x:f>
        <x:v>Out of scope</x:v>
      </x:c>
    </x:row>
    <x:row r="240" ht="24" customHeight="1">
      <x:c r="A240" t="str">
        <x:v>81979cb2-adc9-48f1-a887-9af937c30e81</x:v>
      </x:c>
      <x:c r="B240" t="str">
        <x:v>CSSP10496253</x:v>
      </x:c>
      <x:c r="C240" t="str">
        <x:v>hazdirizal.abdullha@petronas.com</x:v>
      </x:c>
      <x:c r="D240" t="str">
        <x:v>decommission-cloud</x:v>
      </x:c>
      <x:c r="E240" t="str">
        <x:v>completed</x:v>
      </x:c>
      <x:c r="F240" t="n">
        <x:v>46185.340565833336</x:v>
      </x:c>
      <x:c r="G240" t="n">
        <x:v>46223.28076894676</x:v>
      </x:c>
      <x:c r="H240" t="n">
        <x:v>46185.340565833336</x:v>
      </x:c>
      <x:c r="I240" t="str">
        <x:v>M365 Exchange 2016 for Centralised Automation Management Console</x:v>
      </x:c>
      <x:c r="J240" t="str">
        <x:v>M365-Server Relocation: Exchange Hybrid Servers</x:v>
      </x:c>
      <x:c r="K240" t="str">
        <x:v>partial</x:v>
      </x:c>
      <x:c r="L240"/>
      <x:c r="M240" t="str">
        <x:v>faylynn.chua@petronas.com.my</x:v>
      </x:c>
      <x:c r="N240"/>
      <x:c r="O240" t="str">
        <x:v>704D905161</x:v>
      </x:c>
      <x:c r="P240" t="str">
        <x:v>current Exchange server 2016 has already reached end of life support and not in used. the total number of servers of Exchange 2016 to be decom is 4 servers: 
Exchange 2016 Edge Servers: 
PTSG-1SMTPed01 - 172.25.34.85 PTSG-1SMTPed02 - 172.25.34.86
Exchange 2016 Hybrid Servers: 
PTSG-3EXCHVM1 - 172.25.8.167 PTSG-3EXCHVM2 - 172.25.8.177 </x:v>
      </x:c>
      <x:c r="Q240" t="str">
        <x:v>1M</x:v>
      </x:c>
      <x:c r="R240" t="str">
        <x:v>Not in Used</x:v>
      </x:c>
      <x:c r="S240"/>
      <x:c r="T240" t="str">
        <x:v>approved</x:v>
      </x:c>
      <x:c r="U240" t="str">
        <x:v>hazdirizal.abdullha@petronas.com</x:v>
      </x:c>
      <x:c r="V240" t="n">
        <x:v>46185.35363556713</x:v>
      </x:c>
      <x:c r="W240" t="str">
        <x:v>currently we can select these Exchange 2016 servers from the resource group:
PTSG-3EXCHVM1 - 172.25.8.167 
PTSG-3EXCHVM2 - 172.25.8.177 
however, we are not able to select the following servers from the resources:
PTSG-1SMTPed01 - 172.25.34.85 
PTSG-1SMTPed02 - 172.25.34.86
we submit first as advise by Faiz Mazlan
</x:v>
      </x:c>
      <x:c r="X240" t="str">
        <x:v>approved</x:v>
      </x:c>
      <x:c r="Y240" t="str">
        <x:v>faylynn.chua@petronas.com</x:v>
      </x:c>
      <x:c r="Z240" t="n">
        <x:v>46195.20515611111</x:v>
      </x:c>
      <x:c r="AA240" t="str">
        <x:v>CSSP Admin, approving for PTSG-3EXCHVM1 - 172.25.8.167 PTSG-3EXCHVM2 - 172.25.8.177. Please take note that PTSG-1SMTPed01 - 172.25.34.85 PTSG-1SMTPed02 - 172.25.34.86 resources are not available for selection to retire. </x:v>
      </x:c>
      <x:c r="AB240" t="str">
        <x:v>approved</x:v>
      </x:c>
      <x:c r="AC240" t="str">
        <x:v>azwan.badari@petronas.com</x:v>
      </x:c>
      <x:c r="AD240" t="n">
        <x:v>46197.41270833334</x:v>
      </x:c>
      <x:c r="AE240" t="str">
        <x:v>Decommission listed servers, ptsg-3exchvm1 &amp; ptsg-3exchvm2</x:v>
      </x:c>
      <x:c r="AF240" t="str">
        <x:v>approved</x:v>
      </x:c>
      <x:c r="AG240" t="str">
        <x:v>abdullah.haziq@petronas.com</x:v>
      </x:c>
      <x:c r="AH240" t="n">
        <x:v>46223.280768958335</x:v>
      </x:c>
      <x:c r="AI240" t="str">
        <x:v>Decommision complete PTSG-3EXCHVM1 - 172.25.8.167 PTSG-3EXCHVM2 - 172.25.8.177</x:v>
      </x:c>
      <x:c r="AJ240" t="str">
        <x:v>A-000443</x:v>
      </x:c>
      <x:c r="AK240" t="str">
        <x:v>01931_2</x:v>
      </x:c>
      <x:c r="AL240" t="str">
        <x:v>M</x:v>
      </x:c>
      <x:c r="AM240" t="str">
        <x:v>REQ000008119769</x:v>
      </x:c>
      <x:c r="AN240" t="str">
        <x:v>noretention</x:v>
      </x:c>
      <x:c r="AO240" t="n">
        <x:v>0</x:v>
      </x:c>
      <x:c r="AP240" s="23" t="str">
        <x:f>IF(E240="processing",IF(Z240="","",IF(ISNUMBER(Z240),INT(Z240),DATE(VALUE(LEFT(Z240,4)),VALUE(MID(Z240,6,2)),VALUE(MID(Z240,9,2))))),IF(OR(E240="executing",E240="pending"),IF(AD240="","",IF(ISNUMBER(AD240),INT(AD240),DATE(VALUE(LEFT(AD240,4)),VALUE(MID(AD240,6,2)),VALUE(MID(AD240,9,2))))),""))</x:f>
      </x:c>
      <x:c r="AQ240" s="24" t="str">
        <x:f>IF(AP240="","",INT('Configuration'!$B$4)-AP240)</x:f>
      </x:c>
      <x:c r="AR240" s="25" t="str">
        <x:f>IF(AP240="","Missing Required Date",IF(AQ240&lt;0,"Future Date",IF(AQ240=0,"0 days",IF(AQ240&lt;=2,"1-2 days",IF(AQ240&lt;=7,"3-7 days",IF(AQ240&lt;=14,"8-14 days",IF(AQ240&lt;=30,"15-30 days",IF(AQ240&lt;=60,"31-60 days",IF(AQ240&lt;=70,"61-70 days","71+ days")))))))))</x:f>
        <x:v>Missing Required Date</x:v>
      </x:c>
      <x:c r="AS240" s="25" t="str">
        <x:f>IF(OR(E240="processing",E240="executing",E240="pending"),IF(AP240="","Required aging date missing",IF(AQ240&gt;30,"Escalate &gt;30d",IF(AQ240&gt;14,"Watch &gt;14d","Within 14d"))),"Out of scope")</x:f>
        <x:v>Out of scope</x:v>
      </x:c>
    </x:row>
    <x:row r="241" ht="24" customHeight="1">
      <x:c r="A241" t="str">
        <x:v>ac067e61-eb21-4e12-aacd-93e9c3ba1cd0</x:v>
      </x:c>
      <x:c r="B241" t="str">
        <x:v>CSSP10732316</x:v>
      </x:c>
      <x:c r="C241" t="str">
        <x:v>keanseng.lim@petronas.com</x:v>
      </x:c>
      <x:c r="D241" t="str">
        <x:v>decommission-cloud</x:v>
      </x:c>
      <x:c r="E241" t="str">
        <x:v>completed</x:v>
      </x:c>
      <x:c r="F241" t="n">
        <x:v>46188.351509988424</x:v>
      </x:c>
      <x:c r="G241" t="n">
        <x:v>46198.145549305555</x:v>
      </x:c>
      <x:c r="H241" t="n">
        <x:v>46188.353479537036</x:v>
      </x:c>
      <x:c r="I241" t="str">
        <x:v>MyExperts</x:v>
      </x:c>
      <x:c r="J241" t="str">
        <x:v>MyExperts Infrastructure Refresh for GPD</x:v>
      </x:c>
      <x:c r="K241" t="str">
        <x:v>partial</x:v>
      </x:c>
      <x:c r="L241"/>
      <x:c r="M241" t="str">
        <x:v>sarkunan.tigarajan@petronas.com</x:v>
      </x:c>
      <x:c r="N241"/>
      <x:c r="O241"/>
      <x:c r="P241" t="str">
        <x:v>The VM is no longer required.</x:v>
      </x:c>
      <x:c r="Q241" t="str">
        <x:v>3M</x:v>
      </x:c>
      <x:c r="R241" t="str">
        <x:v>Not in Used</x:v>
      </x:c>
      <x:c r="S241"/>
      <x:c r="T241" t="str">
        <x:v>approved</x:v>
      </x:c>
      <x:c r="U241" t="str">
        <x:v>keanseng.lim@petronas.com</x:v>
      </x:c>
      <x:c r="V241" t="n">
        <x:v>46188.35479820602</x:v>
      </x:c>
      <x:c r="W241" t="str">
        <x:v>The VM is no longer required.
All related resources, Storage Disk, and Network to be removed.</x:v>
      </x:c>
      <x:c r="X241" t="str">
        <x:v>approved</x:v>
      </x:c>
      <x:c r="Y241" t="str">
        <x:v>sarkunan.tigarajan@petronas.com</x:v>
      </x:c>
      <x:c r="Z241" t="n">
        <x:v>46195.33717263889</x:v>
      </x:c>
      <x:c r="AA241" t="str">
        <x:v>Reveiwed andApproved.</x:v>
      </x:c>
      <x:c r="AB241" t="str">
        <x:v>approved</x:v>
      </x:c>
      <x:c r="AC241" t="str">
        <x:v>azwan.badari@petronas.com</x:v>
      </x:c>
      <x:c r="AD241" t="n">
        <x:v>46197.103300648145</x:v>
      </x:c>
      <x:c r="AE241" t="str">
        <x:v>Proceed to decommission selected resource, VM ptsg-1myxpwb01</x:v>
      </x:c>
      <x:c r="AF241" t="str">
        <x:v>approved</x:v>
      </x:c>
      <x:c r="AG241" t="str">
        <x:v>azwan.badari@petronas.com</x:v>
      </x:c>
      <x:c r="AH241" t="n">
        <x:v>46198.145549305555</x:v>
      </x:c>
      <x:c r="AI241" t="str">
        <x:v>Completed</x:v>
      </x:c>
      <x:c r="AJ241" t="str">
        <x:v>A-000478</x:v>
      </x:c>
      <x:c r="AK241" t="n">
        <x:v>514</x:v>
      </x:c>
      <x:c r="AL241" t="str">
        <x:v>S</x:v>
      </x:c>
      <x:c r="AM241" t="str">
        <x:v>REQ000008118039</x:v>
      </x:c>
      <x:c r="AN241" t="str">
        <x:v>noretention</x:v>
      </x:c>
      <x:c r="AO241" t="n">
        <x:v>0</x:v>
      </x:c>
      <x:c r="AP241" s="23" t="str">
        <x:f>IF(E241="processing",IF(Z241="","",IF(ISNUMBER(Z241),INT(Z241),DATE(VALUE(LEFT(Z241,4)),VALUE(MID(Z241,6,2)),VALUE(MID(Z241,9,2))))),IF(OR(E241="executing",E241="pending"),IF(AD241="","",IF(ISNUMBER(AD241),INT(AD241),DATE(VALUE(LEFT(AD241,4)),VALUE(MID(AD241,6,2)),VALUE(MID(AD241,9,2))))),""))</x:f>
      </x:c>
      <x:c r="AQ241" s="24" t="str">
        <x:f>IF(AP241="","",INT('Configuration'!$B$4)-AP241)</x:f>
      </x:c>
      <x:c r="AR241" s="25" t="str">
        <x:f>IF(AP241="","Missing Required Date",IF(AQ241&lt;0,"Future Date",IF(AQ241=0,"0 days",IF(AQ241&lt;=2,"1-2 days",IF(AQ241&lt;=7,"3-7 days",IF(AQ241&lt;=14,"8-14 days",IF(AQ241&lt;=30,"15-30 days",IF(AQ241&lt;=60,"31-60 days",IF(AQ241&lt;=70,"61-70 days","71+ days")))))))))</x:f>
        <x:v>Missing Required Date</x:v>
      </x:c>
      <x:c r="AS241" s="25" t="str">
        <x:f>IF(OR(E241="processing",E241="executing",E241="pending"),IF(AP241="","Required aging date missing",IF(AQ241&gt;30,"Escalate &gt;30d",IF(AQ241&gt;14,"Watch &gt;14d","Within 14d"))),"Out of scope")</x:f>
        <x:v>Out of scope</x:v>
      </x:c>
    </x:row>
    <x:row r="242" ht="24" customHeight="1">
      <x:c r="A242" t="str">
        <x:v>3dc48720-fbcb-4631-85ac-1527beb87a7e</x:v>
      </x:c>
      <x:c r="B242" t="str">
        <x:v>CSSP10505484</x:v>
      </x:c>
      <x:c r="C242" t="str">
        <x:v>omarmuzhafar.omarzo@petronas.com</x:v>
      </x:c>
      <x:c r="D242" t="str">
        <x:v>decommission-cloud</x:v>
      </x:c>
      <x:c r="E242" t="str">
        <x:v>completed</x:v>
      </x:c>
      <x:c r="F242" t="n">
        <x:v>46188.39988153935</x:v>
      </x:c>
      <x:c r="G242" t="n">
        <x:v>46196.308348796294</x:v>
      </x:c>
      <x:c r="H242" t="n">
        <x:v>46189.0600041088</x:v>
      </x:c>
      <x:c r="I242" t="str">
        <x:v>Upstream Mobile Application</x:v>
      </x:c>
      <x:c r="J242" t="str">
        <x:v>Provision of Hosting Services for UP Mobile for Upstream Digital, PCSB</x:v>
      </x:c>
      <x:c r="K242" t="str">
        <x:v>partial</x:v>
      </x:c>
      <x:c r="L242"/>
      <x:c r="M242" t="str">
        <x:v>wadiah.rusli@petronas.com</x:v>
      </x:c>
      <x:c r="N242"/>
      <x:c r="O242"/>
      <x:c r="P242" t="str">
        <x:v>myPET is no longer in used since Dec 2025 and poses CS findings. Hence, to decomm the below services:
PROD:
https://qrscan.up.petronas.com
ptazsg-1coeeventwb01.azurewebsites.net
Non-PROD: 
ptazsg-5coeeventwb01.azurewebsites.net
Refer attached email.</x:v>
      </x:c>
      <x:c r="Q242" t="str">
        <x:v>6M</x:v>
      </x:c>
      <x:c r="R242" t="str">
        <x:v>Not in Used</x:v>
      </x:c>
      <x:c r="S242"/>
      <x:c r="T242" t="str">
        <x:v>approved</x:v>
      </x:c>
      <x:c r="U242" t="str">
        <x:v>omarmuzhafar.omarzo@petronas.com</x:v>
      </x:c>
      <x:c r="V242" t="n">
        <x:v>46189.06127521991</x:v>
      </x:c>
      <x:c r="W242" t="str">
        <x:v>To decom myPET services under UP application. Other modules under UP should not be decomm. Refer below: 
1. https://qrscan.up.petronas.com 
2. ptazsg-1coeeventwb01.azurewebsites.net
3. ptazsg-5coeeventwb01.azurewebsites.net</x:v>
      </x:c>
      <x:c r="X242" t="str">
        <x:v>approved</x:v>
      </x:c>
      <x:c r="Y242" t="str">
        <x:v>wadiah.rusli@petronas.com</x:v>
      </x:c>
      <x:c r="Z242" t="n">
        <x:v>46189.10124523148</x:v>
      </x:c>
      <x:c r="AA242" t="str">
        <x:v>Approved </x:v>
      </x:c>
      <x:c r="AB242" t="str">
        <x:v>approved</x:v>
      </x:c>
      <x:c r="AC242" t="str">
        <x:v>azwan.badari@petronas.com</x:v>
      </x:c>
      <x:c r="AD242" t="n">
        <x:v>46192.11355689815</x:v>
      </x:c>
      <x:c r="AE242" t="str">
        <x:v>Decommission App Service, ptazsg-1coeeventwb01 &amp; ptazsg-5coeeventwb01.
Remove DNS record https://qrscan.up.petronas.com </x:v>
      </x:c>
      <x:c r="AF242" t="str">
        <x:v>approved</x:v>
      </x:c>
      <x:c r="AG242" t="str">
        <x:v>abdullah.haziq@petronas.com</x:v>
      </x:c>
      <x:c r="AH242" t="n">
        <x:v>46196.308348796294</x:v>
      </x:c>
      <x:c r="AI242" t="str">
        <x:v>App services deleted.</x:v>
      </x:c>
      <x:c r="AJ242" t="str">
        <x:v>A-000823</x:v>
      </x:c>
      <x:c r="AK242" t="str">
        <x:v>PSR05960</x:v>
      </x:c>
      <x:c r="AL242" t="str">
        <x:v>S</x:v>
      </x:c>
      <x:c r="AM242" t="str">
        <x:v>REQ000008109030</x:v>
      </x:c>
      <x:c r="AN242" t="str">
        <x:v>retention</x:v>
      </x:c>
      <x:c r="AO242"/>
      <x:c r="AP242" s="23" t="str">
        <x:f>IF(E242="processing",IF(Z242="","",IF(ISNUMBER(Z242),INT(Z242),DATE(VALUE(LEFT(Z242,4)),VALUE(MID(Z242,6,2)),VALUE(MID(Z242,9,2))))),IF(OR(E242="executing",E242="pending"),IF(AD242="","",IF(ISNUMBER(AD242),INT(AD242),DATE(VALUE(LEFT(AD242,4)),VALUE(MID(AD242,6,2)),VALUE(MID(AD242,9,2))))),""))</x:f>
      </x:c>
      <x:c r="AQ242" s="24" t="str">
        <x:f>IF(AP242="","",INT('Configuration'!$B$4)-AP242)</x:f>
      </x:c>
      <x:c r="AR242" s="25" t="str">
        <x:f>IF(AP242="","Missing Required Date",IF(AQ242&lt;0,"Future Date",IF(AQ242=0,"0 days",IF(AQ242&lt;=2,"1-2 days",IF(AQ242&lt;=7,"3-7 days",IF(AQ242&lt;=14,"8-14 days",IF(AQ242&lt;=30,"15-30 days",IF(AQ242&lt;=60,"31-60 days",IF(AQ242&lt;=70,"61-70 days","71+ days")))))))))</x:f>
        <x:v>Missing Required Date</x:v>
      </x:c>
      <x:c r="AS242" s="25" t="str">
        <x:f>IF(OR(E242="processing",E242="executing",E242="pending"),IF(AP242="","Required aging date missing",IF(AQ242&gt;30,"Escalate &gt;30d",IF(AQ242&gt;14,"Watch &gt;14d","Within 14d"))),"Out of scope")</x:f>
        <x:v>Out of scope</x:v>
      </x:c>
    </x:row>
    <x:row r="243" ht="24" customHeight="1">
      <x:c r="A243" t="str">
        <x:v>25d7431e-d868-4b1a-a92e-1ea44badde02</x:v>
      </x:c>
      <x:c r="B243" t="str">
        <x:v>CSSP10319295</x:v>
      </x:c>
      <x:c r="C243" t="str">
        <x:v>mhaikal.mzamri@petronas.com</x:v>
      </x:c>
      <x:c r="D243" t="str">
        <x:v>decommission-cloud</x:v>
      </x:c>
      <x:c r="E243" t="str">
        <x:v>cancelled</x:v>
      </x:c>
      <x:c r="F243" t="n">
        <x:v>46189.078725520834</x:v>
      </x:c>
      <x:c r="G243" t="n">
        <x:v>46189.079718009256</x:v>
      </x:c>
      <x:c r="H243" t="n">
        <x:v>46189.078725520834</x:v>
      </x:c>
      <x:c r="I243" t="str">
        <x:v>Cyber Security Palo Alto Firewall</x:v>
      </x:c>
      <x:c r="J243" t="str">
        <x:v>Palo Alto Migration and Implementation in Azure</x:v>
      </x:c>
      <x:c r="K243" t="str">
        <x:v>full</x:v>
      </x:c>
      <x:c r="L243" t="str">
        <x:v>DCOM20260616612</x:v>
      </x:c>
      <x:c r="M243" t="str">
        <x:v>safura.ibadullah@petronas.com.my</x:v>
      </x:c>
      <x:c r="N243"/>
      <x:c r="O243"/>
      <x:c r="P243" t="str">
        <x:v>No longer in use as system has moved to SAP RISE</x:v>
      </x:c>
      <x:c r="Q243" t="str">
        <x:v>2W</x:v>
      </x:c>
      <x:c r="R243" t="str">
        <x:v>Not in Used</x:v>
      </x:c>
      <x:c r="S243"/>
      <x:c r="T243" t="str">
        <x:v>rejected</x:v>
      </x:c>
      <x:c r="U243" t="str">
        <x:v>mhaikal.mzamri@petronas.com</x:v>
      </x:c>
      <x:c r="V243" t="n">
        <x:v>46189.07971803241</x:v>
      </x:c>
      <x:c r="W243"/>
      <x:c r="X243"/>
      <x:c r="Y243" t="str">
        <x:v>safura.ibadullah@petronas.com</x:v>
      </x:c>
      <x:c r="Z243"/>
      <x:c r="AA243"/>
      <x:c r="AB243"/>
      <x:c r="AC243" t="str">
        <x:v>CCoE Business</x:v>
      </x:c>
      <x:c r="AD243"/>
      <x:c r="AE243"/>
      <x:c r="AF243"/>
      <x:c r="AG243" t="str">
        <x:v>CCoE Operations</x:v>
      </x:c>
      <x:c r="AH243"/>
      <x:c r="AI243"/>
      <x:c r="AJ243" t="str">
        <x:v>A-000172</x:v>
      </x:c>
      <x:c r="AK243" t="str">
        <x:v>AZ-00002</x:v>
      </x:c>
      <x:c r="AL243"/>
      <x:c r="AM243"/>
      <x:c r="AN243" t="str">
        <x:v>noretention</x:v>
      </x:c>
      <x:c r="AO243" t="n">
        <x:v>0</x:v>
      </x:c>
      <x:c r="AP243" s="23" t="str">
        <x:f>IF(E243="processing",IF(Z243="","",IF(ISNUMBER(Z243),INT(Z243),DATE(VALUE(LEFT(Z243,4)),VALUE(MID(Z243,6,2)),VALUE(MID(Z243,9,2))))),IF(OR(E243="executing",E243="pending"),IF(AD243="","",IF(ISNUMBER(AD243),INT(AD243),DATE(VALUE(LEFT(AD243,4)),VALUE(MID(AD243,6,2)),VALUE(MID(AD243,9,2))))),""))</x:f>
      </x:c>
      <x:c r="AQ243" s="24" t="str">
        <x:f>IF(AP243="","",INT('Configuration'!$B$4)-AP243)</x:f>
      </x:c>
      <x:c r="AR243" s="25" t="str">
        <x:f>IF(AP243="","Missing Required Date",IF(AQ243&lt;0,"Future Date",IF(AQ243=0,"0 days",IF(AQ243&lt;=2,"1-2 days",IF(AQ243&lt;=7,"3-7 days",IF(AQ243&lt;=14,"8-14 days",IF(AQ243&lt;=30,"15-30 days",IF(AQ243&lt;=60,"31-60 days",IF(AQ243&lt;=70,"61-70 days","71+ days")))))))))</x:f>
        <x:v>Missing Required Date</x:v>
      </x:c>
      <x:c r="AS243" s="25" t="str">
        <x:f>IF(OR(E243="processing",E243="executing",E243="pending"),IF(AP243="","Required aging date missing",IF(AQ243&gt;30,"Escalate &gt;30d",IF(AQ243&gt;14,"Watch &gt;14d","Within 14d"))),"Out of scope")</x:f>
        <x:v>Out of scope</x:v>
      </x:c>
    </x:row>
    <x:row r="244" ht="24" customHeight="1">
      <x:c r="A244" t="str">
        <x:v>66859202-b919-464c-9caa-a81845ec5122</x:v>
      </x:c>
      <x:c r="B244" t="str">
        <x:v>CSSP10413624</x:v>
      </x:c>
      <x:c r="C244" t="str">
        <x:v>mhaikal.mzamri@petronas.com</x:v>
      </x:c>
      <x:c r="D244" t="str">
        <x:v>decommission-cloud</x:v>
      </x:c>
      <x:c r="E244" t="str">
        <x:v>cancelled</x:v>
      </x:c>
      <x:c r="F244" t="n">
        <x:v>46189.10068099537</x:v>
      </x:c>
      <x:c r="G244" t="n">
        <x:v>46210.06658693287</x:v>
      </x:c>
      <x:c r="H244" t="n">
        <x:v>46209.997675335646</x:v>
      </x:c>
      <x:c r="I244" t="str">
        <x:v>Cyber Security Palo Alto Firewall</x:v>
      </x:c>
      <x:c r="J244" t="str">
        <x:v>Cloud Migration AWS Infrastructure for Palo Alto (New Landing Zone)</x:v>
      </x:c>
      <x:c r="K244" t="str">
        <x:v>full</x:v>
      </x:c>
      <x:c r="L244" t="str">
        <x:v>DCOM20260616612</x:v>
      </x:c>
      <x:c r="M244" t="str">
        <x:v>safura.ibadullah@petronas.com.my</x:v>
      </x:c>
      <x:c r="N244"/>
      <x:c r="O244"/>
      <x:c r="P244" t="str">
        <x:v>System move to SAP RISE</x:v>
      </x:c>
      <x:c r="Q244" t="str">
        <x:v>2W</x:v>
      </x:c>
      <x:c r="R244" t="str">
        <x:v>Not in Used</x:v>
      </x:c>
      <x:c r="S244"/>
      <x:c r="T244" t="str">
        <x:v>rejected</x:v>
      </x:c>
      <x:c r="U244" t="str">
        <x:v>mhaikal.mzamri@petronas.com</x:v>
      </x:c>
      <x:c r="V244" t="n">
        <x:v>46210.06658699074</x:v>
      </x:c>
      <x:c r="W244"/>
      <x:c r="X244"/>
      <x:c r="Y244" t="str">
        <x:v>safura.ibadullah@petronas.com</x:v>
      </x:c>
      <x:c r="Z244"/>
      <x:c r="AA244"/>
      <x:c r="AB244"/>
      <x:c r="AC244" t="str">
        <x:v>CCoE Business</x:v>
      </x:c>
      <x:c r="AD244"/>
      <x:c r="AE244"/>
      <x:c r="AF244"/>
      <x:c r="AG244" t="str">
        <x:v>CCoE Business</x:v>
      </x:c>
      <x:c r="AH244"/>
      <x:c r="AI244"/>
      <x:c r="AJ244" t="str">
        <x:v>A-000172</x:v>
      </x:c>
      <x:c r="AK244" t="str">
        <x:v>00915_121</x:v>
      </x:c>
      <x:c r="AL244"/>
      <x:c r="AM244"/>
      <x:c r="AN244" t="str">
        <x:v>noretention</x:v>
      </x:c>
      <x:c r="AO244" t="n">
        <x:v>0</x:v>
      </x:c>
      <x:c r="AP244" s="23" t="str">
        <x:f>IF(E244="processing",IF(Z244="","",IF(ISNUMBER(Z244),INT(Z244),DATE(VALUE(LEFT(Z244,4)),VALUE(MID(Z244,6,2)),VALUE(MID(Z244,9,2))))),IF(OR(E244="executing",E244="pending"),IF(AD244="","",IF(ISNUMBER(AD244),INT(AD244),DATE(VALUE(LEFT(AD244,4)),VALUE(MID(AD244,6,2)),VALUE(MID(AD244,9,2))))),""))</x:f>
      </x:c>
      <x:c r="AQ244" s="24" t="str">
        <x:f>IF(AP244="","",INT('Configuration'!$B$4)-AP244)</x:f>
      </x:c>
      <x:c r="AR244" s="25" t="str">
        <x:f>IF(AP244="","Missing Required Date",IF(AQ244&lt;0,"Future Date",IF(AQ244=0,"0 days",IF(AQ244&lt;=2,"1-2 days",IF(AQ244&lt;=7,"3-7 days",IF(AQ244&lt;=14,"8-14 days",IF(AQ244&lt;=30,"15-30 days",IF(AQ244&lt;=60,"31-60 days",IF(AQ244&lt;=70,"61-70 days","71+ days")))))))))</x:f>
        <x:v>Missing Required Date</x:v>
      </x:c>
      <x:c r="AS244" s="25" t="str">
        <x:f>IF(OR(E244="processing",E244="executing",E244="pending"),IF(AP244="","Required aging date missing",IF(AQ244&gt;30,"Escalate &gt;30d",IF(AQ244&gt;14,"Watch &gt;14d","Within 14d"))),"Out of scope")</x:f>
        <x:v>Out of scope</x:v>
      </x:c>
    </x:row>
    <x:row r="245" ht="24" customHeight="1">
      <x:c r="A245" t="str">
        <x:v>a79a7fa7-d26c-4167-8072-7a40599cb08a</x:v>
      </x:c>
      <x:c r="B245" t="str">
        <x:v>CSSP10750255</x:v>
      </x:c>
      <x:c r="C245" t="str">
        <x:v>sengchin.leong@petronas.com</x:v>
      </x:c>
      <x:c r="D245" t="str">
        <x:v>decommission-cloud</x:v>
      </x:c>
      <x:c r="E245" t="str">
        <x:v>pending</x:v>
      </x:c>
      <x:c r="F245" t="n">
        <x:v>46192.09063247685</x:v>
      </x:c>
      <x:c r="G245" t="n">
        <x:v>46192.21194</x:v>
      </x:c>
      <x:c r="H245" t="n">
        <x:v>46192.09063247685</x:v>
      </x:c>
      <x:c r="I245" t="str">
        <x:v>Cyber Security Zscaler Private Access</x:v>
      </x:c>
      <x:c r="J245" t="str">
        <x:v>Zscaler Private Access</x:v>
      </x:c>
      <x:c r="K245" t="str">
        <x:v>partial</x:v>
      </x:c>
      <x:c r="L245"/>
      <x:c r="M245" t="str">
        <x:v>mshafri.hatta@petronas.com</x:v>
      </x:c>
      <x:c r="N245"/>
      <x:c r="O245"/>
      <x:c r="P245" t="str">
        <x:v>NOTE: This is not PARTIAL Decommission. (only to disable part of component)
The request is just to remove the part of component (Zscaler Decoy) for cost optimization.
Component to remove:
1. Disable for Endpoint Deception Policies and Deception Entitlement
2. AD Decoy
Please find the attached:
1. RFC Workplan
2. Script for decommission (refer to sample: ICT_RFC00161318 )
previous RFC/Ticket:
ICT_RFC00187001
ICT_RFC00188777
ICT_RFC00189334
ICT_RFC00215249
ICT_RFC00215074
ICT_RFC00161318 / ICT_TAS00187969
</x:v>
      </x:c>
      <x:c r="Q245" t="str">
        <x:v>1M</x:v>
      </x:c>
      <x:c r="R245" t="str">
        <x:v>End of Lease</x:v>
      </x:c>
      <x:c r="S245"/>
      <x:c r="T245" t="str">
        <x:v>approved</x:v>
      </x:c>
      <x:c r="U245" t="str">
        <x:v>sengchin.leong@petronas.com</x:v>
      </x:c>
      <x:c r="V245" t="n">
        <x:v>46192.21194001158</x:v>
      </x:c>
      <x:c r="W245" t="str">
        <x:v>Would like to request for 2 RFC creation:- 
1. The ZScaler Deception Portal is hosted by Zscaler (Policy required to remove - which relevant to Decoy ID)
2. For AD -  clean-up script required to run (clean-up for dependency/decoy ID) - refer to ICT_RFC00161318 </x:v>
      </x:c>
      <x:c r="X245"/>
      <x:c r="Y245" t="str">
        <x:v>mshafri.hatta@petronas.com</x:v>
      </x:c>
      <x:c r="Z245"/>
      <x:c r="AA245"/>
      <x:c r="AB245"/>
      <x:c r="AC245" t="str">
        <x:v>CCoE Business</x:v>
      </x:c>
      <x:c r="AD245"/>
      <x:c r="AE245"/>
      <x:c r="AF245"/>
      <x:c r="AG245" t="str">
        <x:v>CCoE Operations</x:v>
      </x:c>
      <x:c r="AH245"/>
      <x:c r="AI245"/>
      <x:c r="AJ245" t="str">
        <x:v>A-000185</x:v>
      </x:c>
      <x:c r="AK245" t="n">
        <x:v>2341</x:v>
      </x:c>
      <x:c r="AL245"/>
      <x:c r="AM245"/>
      <x:c r="AN245" t="str">
        <x:v>retention</x:v>
      </x:c>
      <x:c r="AO245" t="n">
        <x:v>30</x:v>
      </x:c>
      <x:c r="AP245" s="23" t="str">
        <x:f>IF(E245="processing",IF(Z245="","",IF(ISNUMBER(Z245),INT(Z245),DATE(VALUE(LEFT(Z245,4)),VALUE(MID(Z245,6,2)),VALUE(MID(Z245,9,2))))),IF(OR(E245="executing",E245="pending"),IF(AD245="","",IF(ISNUMBER(AD245),INT(AD245),DATE(VALUE(LEFT(AD245,4)),VALUE(MID(AD245,6,2)),VALUE(MID(AD245,9,2))))),""))</x:f>
      </x:c>
      <x:c r="AQ245" s="24" t="str">
        <x:f>IF(AP245="","",INT('Configuration'!$B$4)-AP245)</x:f>
      </x:c>
      <x:c r="AR245" s="25" t="str">
        <x:f>IF(AP245="","Missing Required Date",IF(AQ245&lt;0,"Future Date",IF(AQ245=0,"0 days",IF(AQ245&lt;=2,"1-2 days",IF(AQ245&lt;=7,"3-7 days",IF(AQ245&lt;=14,"8-14 days",IF(AQ245&lt;=30,"15-30 days",IF(AQ245&lt;=60,"31-60 days",IF(AQ245&lt;=70,"61-70 days","71+ days")))))))))</x:f>
        <x:v>Missing Required Date</x:v>
      </x:c>
      <x:c r="AS245" s="25" t="str">
        <x:f>IF(OR(E245="processing",E245="executing",E245="pending"),IF(AP245="","Required aging date missing",IF(AQ245&gt;30,"Escalate &gt;30d",IF(AQ245&gt;14,"Watch &gt;14d","Within 14d"))),"Out of scope")</x:f>
        <x:v>Required aging date missing</x:v>
      </x:c>
    </x:row>
    <x:row r="246" ht="24" customHeight="1">
      <x:c r="A246" t="str">
        <x:v>e827b067-4d0b-4147-9823-863ec42556f7</x:v>
      </x:c>
      <x:c r="B246" t="str">
        <x:v>CSSP10516713</x:v>
      </x:c>
      <x:c r="C246" t="str">
        <x:v>nurainnasiha.ibrahi@petronas.com</x:v>
      </x:c>
      <x:c r="D246" t="str">
        <x:v>decommission-cloud</x:v>
      </x:c>
      <x:c r="E246" t="str">
        <x:v>executing</x:v>
      </x:c>
      <x:c r="F246" t="n">
        <x:v>46195.02742844907</x:v>
      </x:c>
      <x:c r="G246" t="n">
        <x:v>46224.110601238426</x:v>
      </x:c>
      <x:c r="H246" t="n">
        <x:v>46197.13096351852</x:v>
      </x:c>
      <x:c r="I246" t="str">
        <x:v>Data Culture Gamification - DCG</x:v>
      </x:c>
      <x:c r="J246" t="str">
        <x:v>Development of Data Culture Gamification for Upstream</x:v>
      </x:c>
      <x:c r="K246" t="str">
        <x:v>full</x:v>
      </x:c>
      <x:c r="L246" t="str">
        <x:v>DCOM20260624b8f</x:v>
      </x:c>
      <x:c r="M246" t="str">
        <x:v>eanand.ehambaram@petronas.com.my</x:v>
      </x:c>
      <x:c r="N246" t="str">
        <x:v>udg.petronas.com</x:v>
      </x:c>
      <x:c r="O246"/>
      <x:c r="P246" t="str">
        <x:v>As per requested by Business Owner as it is not in use anymore.</x:v>
      </x:c>
      <x:c r="Q246" t="str">
        <x:v>12M</x:v>
      </x:c>
      <x:c r="R246" t="str">
        <x:v>Obsolete</x:v>
      </x:c>
      <x:c r="S246"/>
      <x:c r="T246" t="str">
        <x:v>approved</x:v>
      </x:c>
      <x:c r="U246" t="str">
        <x:v>nurainnasiha.ibrahi@petronas.com</x:v>
      </x:c>
      <x:c r="V246" t="n">
        <x:v>46197.131969456015</x:v>
      </x:c>
      <x:c r="W246" t="str">
        <x:v>Please perform full decommission with backup for all these resources.</x:v>
      </x:c>
      <x:c r="X246" t="str">
        <x:v>approved</x:v>
      </x:c>
      <x:c r="Y246" t="str">
        <x:v>eanand.ehambaram@petronas.com</x:v>
      </x:c>
      <x:c r="Z246" t="n">
        <x:v>46197.325305694445</x:v>
      </x:c>
      <x:c r="AA246" t="str">
        <x:v>Approved as no longer in use</x:v>
      </x:c>
      <x:c r="AB246" t="str">
        <x:v>approved</x:v>
      </x:c>
      <x:c r="AC246" t="str">
        <x:v>abhishek.bhowate@petronas.com</x:v>
      </x:c>
      <x:c r="AD246" t="n">
        <x:v>46224.11060125</x:v>
      </x:c>
      <x:c r="AE246" t="str">
        <x:v>OKay</x:v>
      </x:c>
      <x:c r="AF246"/>
      <x:c r="AG246" t="str">
        <x:v>amarja.kawde@petronas.com</x:v>
      </x:c>
      <x:c r="AH246"/>
      <x:c r="AI246"/>
      <x:c r="AJ246" t="str">
        <x:v>A-000202</x:v>
      </x:c>
      <x:c r="AK246" t="n">
        <x:v>4396</x:v>
      </x:c>
      <x:c r="AL246" t="str">
        <x:v>M</x:v>
      </x:c>
      <x:c r="AM246" t="str">
        <x:v>REQ000008182426</x:v>
      </x:c>
      <x:c r="AN246" t="str">
        <x:v>retention</x:v>
      </x:c>
      <x:c r="AO246"/>
      <x:c r="AP246" s="23" t="n">
        <x:f>IF(E246="processing",IF(Z246="","",IF(ISNUMBER(Z246),INT(Z246),DATE(VALUE(LEFT(Z246,4)),VALUE(MID(Z246,6,2)),VALUE(MID(Z246,9,2))))),IF(OR(E246="executing",E246="pending"),IF(AD246="","",IF(ISNUMBER(AD246),INT(AD246),DATE(VALUE(LEFT(AD246,4)),VALUE(MID(AD246,6,2)),VALUE(MID(AD246,9,2))))),""))</x:f>
        <x:v>46224</x:v>
      </x:c>
      <x:c r="AQ246" s="24" t="n">
        <x:f>IF(AP246="","",INT('Configuration'!$B$4)-AP246)</x:f>
        <x:v>27</x:v>
      </x:c>
      <x:c r="AR246" s="25" t="str">
        <x:f>IF(AP246="","Missing Required Date",IF(AQ246&lt;0,"Future Date",IF(AQ246=0,"0 days",IF(AQ246&lt;=2,"1-2 days",IF(AQ246&lt;=7,"3-7 days",IF(AQ246&lt;=14,"8-14 days",IF(AQ246&lt;=30,"15-30 days",IF(AQ246&lt;=60,"31-60 days",IF(AQ246&lt;=70,"61-70 days","71+ days")))))))))</x:f>
        <x:v>15-30 days</x:v>
      </x:c>
      <x:c r="AS246" s="25" t="str">
        <x:f>IF(OR(E246="processing",E246="executing",E246="pending"),IF(AP246="","Required aging date missing",IF(AQ246&gt;30,"Escalate &gt;30d",IF(AQ246&gt;14,"Watch &gt;14d","Within 14d"))),"Out of scope")</x:f>
        <x:v>Watch &gt;14d</x:v>
      </x:c>
    </x:row>
    <x:row r="247" ht="24" customHeight="1">
      <x:c r="A247" t="str">
        <x:v>b74088f0-59a0-4835-97ab-319c527f421f</x:v>
      </x:c>
      <x:c r="B247" t="str">
        <x:v>CSSP10434772</x:v>
      </x:c>
      <x:c r="C247" t="str">
        <x:v>izdihar.roslan@petronas.com</x:v>
      </x:c>
      <x:c r="D247" t="str">
        <x:v>decommission-cloud</x:v>
      </x:c>
      <x:c r="E247" t="str">
        <x:v>executing</x:v>
      </x:c>
      <x:c r="F247" t="n">
        <x:v>46196.08458314815</x:v>
      </x:c>
      <x:c r="G247" t="n">
        <x:v>46251.31826449074</x:v>
      </x:c>
      <x:c r="H247" t="n">
        <x:v>46196.08458314815</x:v>
      </x:c>
      <x:c r="I247" t="str">
        <x:v>Lab Information Management System - LIMS MLNG</x:v>
      </x:c>
      <x:c r="J247" t="str">
        <x:v>OCI MIGRATION - LIMS MLNG</x:v>
      </x:c>
      <x:c r="K247" t="str">
        <x:v>partial</x:v>
      </x:c>
      <x:c r="L247"/>
      <x:c r="M247" t="str">
        <x:v>sazali.mokhtar@petronas.com</x:v>
      </x:c>
      <x:c r="N247"/>
      <x:c r="O247"/>
      <x:c r="P247" t="str">
        <x:v>Cloud Repatriation - To decommission old resources in Singapore region due to completed migration in MY region</x:v>
      </x:c>
      <x:c r="Q247" t="str">
        <x:v>2W</x:v>
      </x:c>
      <x:c r="R247" t="str">
        <x:v>Cloud Migration</x:v>
      </x:c>
      <x:c r="S247"/>
      <x:c r="T247" t="str">
        <x:v>approved</x:v>
      </x:c>
      <x:c r="U247" t="str">
        <x:v>izdihar.roslan@petronas.com</x:v>
      </x:c>
      <x:c r="V247" t="n">
        <x:v>46196.08524759259</x:v>
      </x:c>
      <x:c r="W247" t="str">
        <x:v>Cloud Repatriation - To decommission old resources in Singapore region due to completed migration in MY region</x:v>
      </x:c>
      <x:c r="X247" t="str">
        <x:v>approved</x:v>
      </x:c>
      <x:c r="Y247" t="str">
        <x:v>sazali.mokhtar@petronas.com</x:v>
      </x:c>
      <x:c r="Z247" t="n">
        <x:v>46196.11199978009</x:v>
      </x:c>
      <x:c r="AA247" t="str">
        <x:v>Cloud Repatriation - To decommission old resources in Singapore region due to completed migration in MY region</x:v>
      </x:c>
      <x:c r="AB247" t="str">
        <x:v>approved</x:v>
      </x:c>
      <x:c r="AC247" t="str">
        <x:v>abhishek.bhowate@petronas.com</x:v>
      </x:c>
      <x:c r="AD247" t="n">
        <x:v>46251.31826450231</x:v>
      </x:c>
      <x:c r="AE247" t="str">
        <x:v>Approve</x:v>
      </x:c>
      <x:c r="AF247"/>
      <x:c r="AG247" t="str">
        <x:v>raditya.nugraha@petronas.com</x:v>
      </x:c>
      <x:c r="AH247"/>
      <x:c r="AI247"/>
      <x:c r="AJ247" t="str">
        <x:v>A-000423</x:v>
      </x:c>
      <x:c r="AK247" t="str">
        <x:v>00915_213</x:v>
      </x:c>
      <x:c r="AL247" t="str">
        <x:v>M</x:v>
      </x:c>
      <x:c r="AM247" t="str">
        <x:v>REQ000008246580</x:v>
      </x:c>
      <x:c r="AN247" t="str">
        <x:v>noretention</x:v>
      </x:c>
      <x:c r="AO247" t="n">
        <x:v>0</x:v>
      </x:c>
      <x:c r="AP247" s="23" t="n">
        <x:f>IF(E247="processing",IF(Z247="","",IF(ISNUMBER(Z247),INT(Z247),DATE(VALUE(LEFT(Z247,4)),VALUE(MID(Z247,6,2)),VALUE(MID(Z247,9,2))))),IF(OR(E247="executing",E247="pending"),IF(AD247="","",IF(ISNUMBER(AD247),INT(AD247),DATE(VALUE(LEFT(AD247,4)),VALUE(MID(AD247,6,2)),VALUE(MID(AD247,9,2))))),""))</x:f>
        <x:v>46251</x:v>
      </x:c>
      <x:c r="AQ247" s="24" t="n">
        <x:f>IF(AP247="","",INT('Configuration'!$B$4)-AP247)</x:f>
        <x:v>0</x:v>
      </x:c>
      <x:c r="AR247" s="25" t="str">
        <x:f>IF(AP247="","Missing Required Date",IF(AQ247&lt;0,"Future Date",IF(AQ247=0,"0 days",IF(AQ247&lt;=2,"1-2 days",IF(AQ247&lt;=7,"3-7 days",IF(AQ247&lt;=14,"8-14 days",IF(AQ247&lt;=30,"15-30 days",IF(AQ247&lt;=60,"31-60 days",IF(AQ247&lt;=70,"61-70 days","71+ days")))))))))</x:f>
        <x:v>0 days</x:v>
      </x:c>
      <x:c r="AS247" s="25" t="str">
        <x:f>IF(OR(E247="processing",E247="executing",E247="pending"),IF(AP247="","Required aging date missing",IF(AQ247&gt;30,"Escalate &gt;30d",IF(AQ247&gt;14,"Watch &gt;14d","Within 14d"))),"Out of scope")</x:f>
        <x:v>Within 14d</x:v>
      </x:c>
    </x:row>
    <x:row r="248" ht="24" customHeight="1">
      <x:c r="A248" t="str">
        <x:v>f793ad64-49da-4b3a-a031-92524c73ab36</x:v>
      </x:c>
      <x:c r="B248" t="str">
        <x:v>CSSP10204623</x:v>
      </x:c>
      <x:c r="C248" t="str">
        <x:v>izdihar.roslan@petronas.com</x:v>
      </x:c>
      <x:c r="D248" t="str">
        <x:v>decommission-cloud</x:v>
      </x:c>
      <x:c r="E248" t="str">
        <x:v>executing</x:v>
      </x:c>
      <x:c r="F248" t="n">
        <x:v>46196.086062152775</x:v>
      </x:c>
      <x:c r="G248" t="n">
        <x:v>46251.31950733796</x:v>
      </x:c>
      <x:c r="H248" t="n">
        <x:v>46196.086062152775</x:v>
      </x:c>
      <x:c r="I248" t="str">
        <x:v>Lab Information Management System - LIMS MLNG</x:v>
      </x:c>
      <x:c r="J248" t="str">
        <x:v>OCI MIGRATION - LIMS MLNG</x:v>
      </x:c>
      <x:c r="K248" t="str">
        <x:v>partial</x:v>
      </x:c>
      <x:c r="L248"/>
      <x:c r="M248" t="str">
        <x:v>sazali.mokhtar@petronas.com</x:v>
      </x:c>
      <x:c r="N248"/>
      <x:c r="O248"/>
      <x:c r="P248" t="str">
        <x:v>Cloud Repatriation - To decommission old resources in Singapore region due to completed migration in MY region</x:v>
      </x:c>
      <x:c r="Q248" t="str">
        <x:v>2W</x:v>
      </x:c>
      <x:c r="R248" t="str">
        <x:v>Cloud Migration</x:v>
      </x:c>
      <x:c r="S248"/>
      <x:c r="T248" t="str">
        <x:v>approved</x:v>
      </x:c>
      <x:c r="U248" t="str">
        <x:v>izdihar.roslan@petronas.com</x:v>
      </x:c>
      <x:c r="V248" t="n">
        <x:v>46196.086793773145</x:v>
      </x:c>
      <x:c r="W248" t="str">
        <x:v>Cloud Repatriation - To decommission old resources in Singapore region due to completed migration in MY region</x:v>
      </x:c>
      <x:c r="X248" t="str">
        <x:v>approved</x:v>
      </x:c>
      <x:c r="Y248" t="str">
        <x:v>sazali.mokhtar@petronas.com</x:v>
      </x:c>
      <x:c r="Z248" t="n">
        <x:v>46196.111621724536</x:v>
      </x:c>
      <x:c r="AA248" t="str">
        <x:v>Cloud Repatriation - To decommission old resources in Singapore region due to completed migration in MY region</x:v>
      </x:c>
      <x:c r="AB248" t="str">
        <x:v>approved</x:v>
      </x:c>
      <x:c r="AC248" t="str">
        <x:v>abhishek.bhowate@petronas.com</x:v>
      </x:c>
      <x:c r="AD248" t="n">
        <x:v>46251.31950734954</x:v>
      </x:c>
      <x:c r="AE248" t="str">
        <x:v>Approved</x:v>
      </x:c>
      <x:c r="AF248"/>
      <x:c r="AG248" t="str">
        <x:v>swaminadh.chirakala@petronas.com</x:v>
      </x:c>
      <x:c r="AH248"/>
      <x:c r="AI248"/>
      <x:c r="AJ248" t="str">
        <x:v>A-000423</x:v>
      </x:c>
      <x:c r="AK248" t="str">
        <x:v>00915_213</x:v>
      </x:c>
      <x:c r="AL248" t="str">
        <x:v>M</x:v>
      </x:c>
      <x:c r="AM248" t="str">
        <x:v>REQ000008247056</x:v>
      </x:c>
      <x:c r="AN248" t="str">
        <x:v>disposal</x:v>
      </x:c>
      <x:c r="AO248" t="n">
        <x:v>0</x:v>
      </x:c>
      <x:c r="AP248" s="23" t="n">
        <x:f>IF(E248="processing",IF(Z248="","",IF(ISNUMBER(Z248),INT(Z248),DATE(VALUE(LEFT(Z248,4)),VALUE(MID(Z248,6,2)),VALUE(MID(Z248,9,2))))),IF(OR(E248="executing",E248="pending"),IF(AD248="","",IF(ISNUMBER(AD248),INT(AD248),DATE(VALUE(LEFT(AD248,4)),VALUE(MID(AD248,6,2)),VALUE(MID(AD248,9,2))))),""))</x:f>
        <x:v>46251</x:v>
      </x:c>
      <x:c r="AQ248" s="24" t="n">
        <x:f>IF(AP248="","",INT('Configuration'!$B$4)-AP248)</x:f>
        <x:v>0</x:v>
      </x:c>
      <x:c r="AR248" s="25" t="str">
        <x:f>IF(AP248="","Missing Required Date",IF(AQ248&lt;0,"Future Date",IF(AQ248=0,"0 days",IF(AQ248&lt;=2,"1-2 days",IF(AQ248&lt;=7,"3-7 days",IF(AQ248&lt;=14,"8-14 days",IF(AQ248&lt;=30,"15-30 days",IF(AQ248&lt;=60,"31-60 days",IF(AQ248&lt;=70,"61-70 days","71+ days")))))))))</x:f>
        <x:v>0 days</x:v>
      </x:c>
      <x:c r="AS248" s="25" t="str">
        <x:f>IF(OR(E248="processing",E248="executing",E248="pending"),IF(AP248="","Required aging date missing",IF(AQ248&gt;30,"Escalate &gt;30d",IF(AQ248&gt;14,"Watch &gt;14d","Within 14d"))),"Out of scope")</x:f>
        <x:v>Within 14d</x:v>
      </x:c>
    </x:row>
    <x:row r="249" ht="24" customHeight="1">
      <x:c r="A249" t="str">
        <x:v>a7ad2705-364e-4cd6-bda4-1781c44dd7a4</x:v>
      </x:c>
      <x:c r="B249" t="str">
        <x:v>CSSP10958195</x:v>
      </x:c>
      <x:c r="C249" t="str">
        <x:v>izdihar.roslan@petronas.com</x:v>
      </x:c>
      <x:c r="D249" t="str">
        <x:v>decommission-cloud</x:v>
      </x:c>
      <x:c r="E249" t="str">
        <x:v>processing</x:v>
      </x:c>
      <x:c r="F249" t="n">
        <x:v>46196.12006017361</x:v>
      </x:c>
      <x:c r="G249" t="n">
        <x:v>46209.310879537035</x:v>
      </x:c>
      <x:c r="H249" t="n">
        <x:v>46196.12006017361</x:v>
      </x:c>
      <x:c r="I249" t="str">
        <x:v>Lab Information Management System - LIMS MLNG</x:v>
      </x:c>
      <x:c r="J249" t="str">
        <x:v>OCI MIGRATION - Integrated Lab Information System (MLNG)</x:v>
      </x:c>
      <x:c r="K249" t="str">
        <x:v>partial</x:v>
      </x:c>
      <x:c r="L249"/>
      <x:c r="M249" t="str">
        <x:v>sazali.mokhtar@petronas.com</x:v>
      </x:c>
      <x:c r="N249"/>
      <x:c r="O249"/>
      <x:c r="P249" t="str">
        <x:v>Cloud Repatriation - To decommission old resources in Singapore region due to completed migration in MY region</x:v>
      </x:c>
      <x:c r="Q249" t="str">
        <x:v>2W</x:v>
      </x:c>
      <x:c r="R249" t="str">
        <x:v>Cloud Migration</x:v>
      </x:c>
      <x:c r="S249"/>
      <x:c r="T249" t="str">
        <x:v>approved</x:v>
      </x:c>
      <x:c r="U249" t="str">
        <x:v>izdihar.roslan@petronas.com</x:v>
      </x:c>
      <x:c r="V249" t="n">
        <x:v>46196.12022732639</x:v>
      </x:c>
      <x:c r="W249" t="str">
        <x:v>Cloud Repatriation - To decommission old resources in Singapore region due to completed migration in MY region</x:v>
      </x:c>
      <x:c r="X249" t="str">
        <x:v>approved</x:v>
      </x:c>
      <x:c r="Y249" t="str">
        <x:v>sazali.mokhtar@petronas.com</x:v>
      </x:c>
      <x:c r="Z249" t="n">
        <x:v>46197.331706412035</x:v>
      </x:c>
      <x:c r="AA249" t="str">
        <x:v>loud Repatriation - To decommission old resources in Singapore region due to completed migration in MY region</x:v>
      </x:c>
      <x:c r="AB249"/>
      <x:c r="AC249" t="str">
        <x:v>IMS - CLOUD CSSP REVIEWER</x:v>
      </x:c>
      <x:c r="AD249"/>
      <x:c r="AE249"/>
      <x:c r="AF249"/>
      <x:c r="AG249" t="str">
        <x:v>CCoE Operations</x:v>
      </x:c>
      <x:c r="AH249"/>
      <x:c r="AI249"/>
      <x:c r="AJ249" t="str">
        <x:v>A-000423</x:v>
      </x:c>
      <x:c r="AK249" t="str">
        <x:v>OCI-00025</x:v>
      </x:c>
      <x:c r="AL249" t="str">
        <x:v>M</x:v>
      </x:c>
      <x:c r="AM249"/>
      <x:c r="AN249" t="str">
        <x:v>noretention</x:v>
      </x:c>
      <x:c r="AO249" t="n">
        <x:v>0</x:v>
      </x:c>
      <x:c r="AP249" s="23" t="n">
        <x:f>IF(E249="processing",IF(Z249="","",IF(ISNUMBER(Z249),INT(Z249),DATE(VALUE(LEFT(Z249,4)),VALUE(MID(Z249,6,2)),VALUE(MID(Z249,9,2))))),IF(OR(E249="executing",E249="pending"),IF(AD249="","",IF(ISNUMBER(AD249),INT(AD249),DATE(VALUE(LEFT(AD249,4)),VALUE(MID(AD249,6,2)),VALUE(MID(AD249,9,2))))),""))</x:f>
        <x:v>46197</x:v>
      </x:c>
      <x:c r="AQ249" s="24" t="n">
        <x:f>IF(AP249="","",INT('Configuration'!$B$4)-AP249)</x:f>
        <x:v>54</x:v>
      </x:c>
      <x:c r="AR249" s="25" t="str">
        <x:f>IF(AP249="","Missing Required Date",IF(AQ249&lt;0,"Future Date",IF(AQ249=0,"0 days",IF(AQ249&lt;=2,"1-2 days",IF(AQ249&lt;=7,"3-7 days",IF(AQ249&lt;=14,"8-14 days",IF(AQ249&lt;=30,"15-30 days",IF(AQ249&lt;=60,"31-60 days",IF(AQ249&lt;=70,"61-70 days","71+ days")))))))))</x:f>
        <x:v>31-60 days</x:v>
      </x:c>
      <x:c r="AS249" s="25" t="str">
        <x:f>IF(OR(E249="processing",E249="executing",E249="pending"),IF(AP249="","Required aging date missing",IF(AQ249&gt;30,"Escalate &gt;30d",IF(AQ249&gt;14,"Watch &gt;14d","Within 14d"))),"Out of scope")</x:f>
        <x:v>Escalate &gt;30d</x:v>
      </x:c>
    </x:row>
    <x:row r="250" ht="24" customHeight="1">
      <x:c r="A250" t="str">
        <x:v>a68cdc33-e9cb-4a52-8098-c1b0e3990a57</x:v>
      </x:c>
      <x:c r="B250" t="str">
        <x:v>CSSP10916071</x:v>
      </x:c>
      <x:c r="C250" t="str">
        <x:v>izdihar.roslan@petronas.com</x:v>
      </x:c>
      <x:c r="D250" t="str">
        <x:v>decommission-cloud</x:v>
      </x:c>
      <x:c r="E250" t="str">
        <x:v>executing</x:v>
      </x:c>
      <x:c r="F250" t="n">
        <x:v>46196.123875625</x:v>
      </x:c>
      <x:c r="G250" t="n">
        <x:v>46251.31982116898</x:v>
      </x:c>
      <x:c r="H250" t="n">
        <x:v>46196.123875625</x:v>
      </x:c>
      <x:c r="I250" t="str">
        <x:v>Lab Information Management System - LIMS PPTSB</x:v>
      </x:c>
      <x:c r="J250" t="str">
        <x:v>OCI MIGRATION - LIMS PPTSB</x:v>
      </x:c>
      <x:c r="K250" t="str">
        <x:v>partial</x:v>
      </x:c>
      <x:c r="L250"/>
      <x:c r="M250" t="str">
        <x:v>sazali.mokhtar@petronas.com</x:v>
      </x:c>
      <x:c r="N250"/>
      <x:c r="O250"/>
      <x:c r="P250" t="str">
        <x:v>Cloud Repatriation - To decommission old resources in Singapore region due to completed migration in MY region</x:v>
      </x:c>
      <x:c r="Q250" t="str">
        <x:v>2W</x:v>
      </x:c>
      <x:c r="R250" t="str">
        <x:v>Cloud Migration</x:v>
      </x:c>
      <x:c r="S250"/>
      <x:c r="T250" t="str">
        <x:v>approved</x:v>
      </x:c>
      <x:c r="U250" t="str">
        <x:v>izdihar.roslan@petronas.com</x:v>
      </x:c>
      <x:c r="V250" t="n">
        <x:v>46196.12411741898</x:v>
      </x:c>
      <x:c r="W250" t="str">
        <x:v>Cloud Repatriation - To decommission old resources in Singapore region due to completed migration in MY region</x:v>
      </x:c>
      <x:c r="X250" t="str">
        <x:v>approved</x:v>
      </x:c>
      <x:c r="Y250" t="str">
        <x:v>sazali.mokhtar@petronas.com</x:v>
      </x:c>
      <x:c r="Z250" t="n">
        <x:v>46197.331437824076</x:v>
      </x:c>
      <x:c r="AA250" t="str">
        <x:v>loud Repatriation - To decommission old resources in Singapore region due to completed migration in MY region</x:v>
      </x:c>
      <x:c r="AB250" t="str">
        <x:v>approved</x:v>
      </x:c>
      <x:c r="AC250" t="str">
        <x:v>abhishek.bhowate@petronas.com</x:v>
      </x:c>
      <x:c r="AD250" t="n">
        <x:v>46251.31982118056</x:v>
      </x:c>
      <x:c r="AE250" t="str">
        <x:v>approve</x:v>
      </x:c>
      <x:c r="AF250"/>
      <x:c r="AG250" t="str">
        <x:v>abdul.khoir@petronas.com</x:v>
      </x:c>
      <x:c r="AH250"/>
      <x:c r="AI250"/>
      <x:c r="AJ250" t="str">
        <x:v>A-000429</x:v>
      </x:c>
      <x:c r="AK250" t="str">
        <x:v>00915_212</x:v>
      </x:c>
      <x:c r="AL250" t="str">
        <x:v>M</x:v>
      </x:c>
      <x:c r="AM250" t="str">
        <x:v>REQ000008247057</x:v>
      </x:c>
      <x:c r="AN250" t="str">
        <x:v>noretention</x:v>
      </x:c>
      <x:c r="AO250" t="n">
        <x:v>0</x:v>
      </x:c>
      <x:c r="AP250" s="23" t="n">
        <x:f>IF(E250="processing",IF(Z250="","",IF(ISNUMBER(Z250),INT(Z250),DATE(VALUE(LEFT(Z250,4)),VALUE(MID(Z250,6,2)),VALUE(MID(Z250,9,2))))),IF(OR(E250="executing",E250="pending"),IF(AD250="","",IF(ISNUMBER(AD250),INT(AD250),DATE(VALUE(LEFT(AD250,4)),VALUE(MID(AD250,6,2)),VALUE(MID(AD250,9,2))))),""))</x:f>
        <x:v>46251</x:v>
      </x:c>
      <x:c r="AQ250" s="24" t="n">
        <x:f>IF(AP250="","",INT('Configuration'!$B$4)-AP250)</x:f>
        <x:v>0</x:v>
      </x:c>
      <x:c r="AR250" s="25" t="str">
        <x:f>IF(AP250="","Missing Required Date",IF(AQ250&lt;0,"Future Date",IF(AQ250=0,"0 days",IF(AQ250&lt;=2,"1-2 days",IF(AQ250&lt;=7,"3-7 days",IF(AQ250&lt;=14,"8-14 days",IF(AQ250&lt;=30,"15-30 days",IF(AQ250&lt;=60,"31-60 days",IF(AQ250&lt;=70,"61-70 days","71+ days")))))))))</x:f>
        <x:v>0 days</x:v>
      </x:c>
      <x:c r="AS250" s="25" t="str">
        <x:f>IF(OR(E250="processing",E250="executing",E250="pending"),IF(AP250="","Required aging date missing",IF(AQ250&gt;30,"Escalate &gt;30d",IF(AQ250&gt;14,"Watch &gt;14d","Within 14d"))),"Out of scope")</x:f>
        <x:v>Within 14d</x:v>
      </x:c>
    </x:row>
    <x:row r="251" ht="24" customHeight="1">
      <x:c r="A251" t="str">
        <x:v>7afc390d-0dff-4d29-92fc-1352f7964163</x:v>
      </x:c>
      <x:c r="B251" t="str">
        <x:v>CSSP10434338</x:v>
      </x:c>
      <x:c r="C251" t="str">
        <x:v>izdihar.roslan@petronas.com</x:v>
      </x:c>
      <x:c r="D251" t="str">
        <x:v>decommission-cloud</x:v>
      </x:c>
      <x:c r="E251" t="str">
        <x:v>processing</x:v>
      </x:c>
      <x:c r="F251" t="n">
        <x:v>46196.1246544213</x:v>
      </x:c>
      <x:c r="G251" t="n">
        <x:v>46209.31169797454</x:v>
      </x:c>
      <x:c r="H251" t="n">
        <x:v>46196.1246544213</x:v>
      </x:c>
      <x:c r="I251" t="str">
        <x:v>Lab Information Management System - LIMS PPTSB</x:v>
      </x:c>
      <x:c r="J251" t="str">
        <x:v>OCI MIGRATION - Integrated Lab Information System (PPT)</x:v>
      </x:c>
      <x:c r="K251" t="str">
        <x:v>partial</x:v>
      </x:c>
      <x:c r="L251"/>
      <x:c r="M251" t="str">
        <x:v>sazali.mokhtar@petronas.com</x:v>
      </x:c>
      <x:c r="N251"/>
      <x:c r="O251"/>
      <x:c r="P251" t="str">
        <x:v>Cloud Repatriation - To decommission old resources in Singapore region due to completed migration in MY region</x:v>
      </x:c>
      <x:c r="Q251" t="str">
        <x:v>2W</x:v>
      </x:c>
      <x:c r="R251" t="str">
        <x:v>Cloud Migration</x:v>
      </x:c>
      <x:c r="S251"/>
      <x:c r="T251" t="str">
        <x:v>approved</x:v>
      </x:c>
      <x:c r="U251" t="str">
        <x:v>izdihar.roslan@petronas.com</x:v>
      </x:c>
      <x:c r="V251" t="n">
        <x:v>46196.12479207176</x:v>
      </x:c>
      <x:c r="W251" t="str">
        <x:v>Cloud Repatriation - To decommission old resources in Singapore region due to completed migration in MY region</x:v>
      </x:c>
      <x:c r="X251" t="str">
        <x:v>approved</x:v>
      </x:c>
      <x:c r="Y251" t="str">
        <x:v>sazali.mokhtar@petronas.com</x:v>
      </x:c>
      <x:c r="Z251" t="n">
        <x:v>46197.33105706018</x:v>
      </x:c>
      <x:c r="AA251" t="str">
        <x:v>loud Repatriation - To decommission old resources in Singapore region due to completed migration in MY region</x:v>
      </x:c>
      <x:c r="AB251"/>
      <x:c r="AC251" t="str">
        <x:v>IMS - CLOUD CSSP REVIEWER</x:v>
      </x:c>
      <x:c r="AD251"/>
      <x:c r="AE251"/>
      <x:c r="AF251"/>
      <x:c r="AG251" t="str">
        <x:v>CCoE Operations</x:v>
      </x:c>
      <x:c r="AH251"/>
      <x:c r="AI251"/>
      <x:c r="AJ251" t="str">
        <x:v>A-000429</x:v>
      </x:c>
      <x:c r="AK251" t="str">
        <x:v>OCI-00018</x:v>
      </x:c>
      <x:c r="AL251" t="str">
        <x:v>M</x:v>
      </x:c>
      <x:c r="AM251"/>
      <x:c r="AN251" t="str">
        <x:v>disposal</x:v>
      </x:c>
      <x:c r="AO251" t="n">
        <x:v>0</x:v>
      </x:c>
      <x:c r="AP251" s="23" t="n">
        <x:f>IF(E251="processing",IF(Z251="","",IF(ISNUMBER(Z251),INT(Z251),DATE(VALUE(LEFT(Z251,4)),VALUE(MID(Z251,6,2)),VALUE(MID(Z251,9,2))))),IF(OR(E251="executing",E251="pending"),IF(AD251="","",IF(ISNUMBER(AD251),INT(AD251),DATE(VALUE(LEFT(AD251,4)),VALUE(MID(AD251,6,2)),VALUE(MID(AD251,9,2))))),""))</x:f>
        <x:v>46197</x:v>
      </x:c>
      <x:c r="AQ251" s="24" t="n">
        <x:f>IF(AP251="","",INT('Configuration'!$B$4)-AP251)</x:f>
        <x:v>54</x:v>
      </x:c>
      <x:c r="AR251" s="25" t="str">
        <x:f>IF(AP251="","Missing Required Date",IF(AQ251&lt;0,"Future Date",IF(AQ251=0,"0 days",IF(AQ251&lt;=2,"1-2 days",IF(AQ251&lt;=7,"3-7 days",IF(AQ251&lt;=14,"8-14 days",IF(AQ251&lt;=30,"15-30 days",IF(AQ251&lt;=60,"31-60 days",IF(AQ251&lt;=70,"61-70 days","71+ days")))))))))</x:f>
        <x:v>31-60 days</x:v>
      </x:c>
      <x:c r="AS251" s="25" t="str">
        <x:f>IF(OR(E251="processing",E251="executing",E251="pending"),IF(AP251="","Required aging date missing",IF(AQ251&gt;30,"Escalate &gt;30d",IF(AQ251&gt;14,"Watch &gt;14d","Within 14d"))),"Out of scope")</x:f>
        <x:v>Escalate &gt;30d</x:v>
      </x:c>
    </x:row>
    <x:row r="252" ht="24" customHeight="1">
      <x:c r="A252" t="str">
        <x:v>d7365623-dfc1-4d4e-9135-d7c22fd72c18</x:v>
      </x:c>
      <x:c r="B252" t="str">
        <x:v>CSSP10120863</x:v>
      </x:c>
      <x:c r="C252" t="str">
        <x:v>izdihar.roslan@petronas.com</x:v>
      </x:c>
      <x:c r="D252" t="str">
        <x:v>decommission-cloud</x:v>
      </x:c>
      <x:c r="E252" t="str">
        <x:v>cancelled</x:v>
      </x:c>
      <x:c r="F252" t="n">
        <x:v>46196.12547501158</x:v>
      </x:c>
      <x:c r="G252" t="n">
        <x:v>46196.12565594907</x:v>
      </x:c>
      <x:c r="H252" t="n">
        <x:v>46196.12547501158</x:v>
      </x:c>
      <x:c r="I252" t="str">
        <x:v>Lab Information Management System - LIMS PPTSB</x:v>
      </x:c>
      <x:c r="J252" t="str">
        <x:v>OCI MIGRATION - Integrated Lab Information System (PPT)</x:v>
      </x:c>
      <x:c r="K252" t="str">
        <x:v>partial</x:v>
      </x:c>
      <x:c r="L252"/>
      <x:c r="M252" t="str">
        <x:v>sazali.mokhtar@petronas.com</x:v>
      </x:c>
      <x:c r="N252"/>
      <x:c r="O252"/>
      <x:c r="P252" t="str">
        <x:v>Cloud Repatriation - To decommission old resources in Singapore region due to completed migration in MY region</x:v>
      </x:c>
      <x:c r="Q252" t="str">
        <x:v>2W</x:v>
      </x:c>
      <x:c r="R252" t="str">
        <x:v>Cloud Migration</x:v>
      </x:c>
      <x:c r="S252"/>
      <x:c r="T252" t="str">
        <x:v>rejected</x:v>
      </x:c>
      <x:c r="U252" t="str">
        <x:v>izdihar.roslan@petronas.com</x:v>
      </x:c>
      <x:c r="V252" t="n">
        <x:v>46196.12565596065</x:v>
      </x:c>
      <x:c r="W252"/>
      <x:c r="X252"/>
      <x:c r="Y252" t="str">
        <x:v>sazali.mokhtar@petronas.com</x:v>
      </x:c>
      <x:c r="Z252"/>
      <x:c r="AA252"/>
      <x:c r="AB252"/>
      <x:c r="AC252" t="str">
        <x:v>CCoE Business</x:v>
      </x:c>
      <x:c r="AD252"/>
      <x:c r="AE252"/>
      <x:c r="AF252"/>
      <x:c r="AG252" t="str">
        <x:v>CCoE Operations</x:v>
      </x:c>
      <x:c r="AH252"/>
      <x:c r="AI252"/>
      <x:c r="AJ252" t="str">
        <x:v>A-000429</x:v>
      </x:c>
      <x:c r="AK252" t="str">
        <x:v>OCI-00018</x:v>
      </x:c>
      <x:c r="AL252"/>
      <x:c r="AM252"/>
      <x:c r="AN252" t="str">
        <x:v>disposal</x:v>
      </x:c>
      <x:c r="AO252" t="n">
        <x:v>0</x:v>
      </x:c>
      <x:c r="AP252" s="23" t="str">
        <x:f>IF(E252="processing",IF(Z252="","",IF(ISNUMBER(Z252),INT(Z252),DATE(VALUE(LEFT(Z252,4)),VALUE(MID(Z252,6,2)),VALUE(MID(Z252,9,2))))),IF(OR(E252="executing",E252="pending"),IF(AD252="","",IF(ISNUMBER(AD252),INT(AD252),DATE(VALUE(LEFT(AD252,4)),VALUE(MID(AD252,6,2)),VALUE(MID(AD252,9,2))))),""))</x:f>
      </x:c>
      <x:c r="AQ252" s="24" t="str">
        <x:f>IF(AP252="","",INT('Configuration'!$B$4)-AP252)</x:f>
      </x:c>
      <x:c r="AR252" s="25" t="str">
        <x:f>IF(AP252="","Missing Required Date",IF(AQ252&lt;0,"Future Date",IF(AQ252=0,"0 days",IF(AQ252&lt;=2,"1-2 days",IF(AQ252&lt;=7,"3-7 days",IF(AQ252&lt;=14,"8-14 days",IF(AQ252&lt;=30,"15-30 days",IF(AQ252&lt;=60,"31-60 days",IF(AQ252&lt;=70,"61-70 days","71+ days")))))))))</x:f>
        <x:v>Missing Required Date</x:v>
      </x:c>
      <x:c r="AS252" s="25" t="str">
        <x:f>IF(OR(E252="processing",E252="executing",E252="pending"),IF(AP252="","Required aging date missing",IF(AQ252&gt;30,"Escalate &gt;30d",IF(AQ252&gt;14,"Watch &gt;14d","Within 14d"))),"Out of scope")</x:f>
        <x:v>Out of scope</x:v>
      </x:c>
    </x:row>
    <x:row r="253" ht="24" customHeight="1">
      <x:c r="A253" t="str">
        <x:v>606b5aae-f441-4b45-b516-7cce8b5e5d00</x:v>
      </x:c>
      <x:c r="B253" t="str">
        <x:v>CSSP10192809</x:v>
      </x:c>
      <x:c r="C253" t="str">
        <x:v>izdihar.roslan@petronas.com</x:v>
      </x:c>
      <x:c r="D253" t="str">
        <x:v>decommission-cloud</x:v>
      </x:c>
      <x:c r="E253" t="str">
        <x:v>processing</x:v>
      </x:c>
      <x:c r="F253" t="n">
        <x:v>46196.12983128472</x:v>
      </x:c>
      <x:c r="G253" t="n">
        <x:v>46237.31626704861</x:v>
      </x:c>
      <x:c r="H253" t="n">
        <x:v>46196.12983128472</x:v>
      </x:c>
      <x:c r="I253" t="str">
        <x:v>Lab Information Management System - LIMS MLNG</x:v>
      </x:c>
      <x:c r="J253" t="str">
        <x:v>OCI MIGRATION - LIMS MLNG</x:v>
      </x:c>
      <x:c r="K253" t="str">
        <x:v>partial</x:v>
      </x:c>
      <x:c r="L253"/>
      <x:c r="M253" t="str">
        <x:v>sazali.mokhtar@petronas.com</x:v>
      </x:c>
      <x:c r="N253"/>
      <x:c r="O253"/>
      <x:c r="P253" t="str">
        <x:v>Cloud Repatriation - To decommission old resources in Singapore region due to completed migration in MY region
NOTES: Please Refer mainly to the chosen list of resources and attachment is for reference only.</x:v>
      </x:c>
      <x:c r="Q253" t="str">
        <x:v>2W</x:v>
      </x:c>
      <x:c r="R253" t="str">
        <x:v>Cloud Migration</x:v>
      </x:c>
      <x:c r="S253"/>
      <x:c r="T253" t="str">
        <x:v>approved</x:v>
      </x:c>
      <x:c r="U253" t="str">
        <x:v>izdihar.roslan@petronas.com</x:v>
      </x:c>
      <x:c r="V253" t="n">
        <x:v>46196.130953078704</x:v>
      </x:c>
      <x:c r="W253" t="str">
        <x:v>Cloud Repatriation - To decommission old resources in Singapore region due to completed migration in MY region</x:v>
      </x:c>
      <x:c r="X253" t="str">
        <x:v>approved</x:v>
      </x:c>
      <x:c r="Y253" t="str">
        <x:v>sazali.mokhtar@petronas.com</x:v>
      </x:c>
      <x:c r="Z253" t="n">
        <x:v>46197.33076146991</x:v>
      </x:c>
      <x:c r="AA253" t="str">
        <x:v>loud Repatriation - To decommission old resources in Singapore region due to completed migration in MY region</x:v>
      </x:c>
      <x:c r="AB253"/>
      <x:c r="AC253" t="str">
        <x:v>IMS - CLOUD CSSP REVIEWER</x:v>
      </x:c>
      <x:c r="AD253"/>
      <x:c r="AE253"/>
      <x:c r="AF253"/>
      <x:c r="AG253" t="str">
        <x:v>CCoE Operations</x:v>
      </x:c>
      <x:c r="AH253"/>
      <x:c r="AI253"/>
      <x:c r="AJ253" t="str">
        <x:v>A-000423</x:v>
      </x:c>
      <x:c r="AK253" t="str">
        <x:v>00915_213</x:v>
      </x:c>
      <x:c r="AL253" t="str">
        <x:v>M</x:v>
      </x:c>
      <x:c r="AM253"/>
      <x:c r="AN253" t="str">
        <x:v>noretention</x:v>
      </x:c>
      <x:c r="AO253" t="n">
        <x:v>0</x:v>
      </x:c>
      <x:c r="AP253" s="23" t="n">
        <x:f>IF(E253="processing",IF(Z253="","",IF(ISNUMBER(Z253),INT(Z253),DATE(VALUE(LEFT(Z253,4)),VALUE(MID(Z253,6,2)),VALUE(MID(Z253,9,2))))),IF(OR(E253="executing",E253="pending"),IF(AD253="","",IF(ISNUMBER(AD253),INT(AD253),DATE(VALUE(LEFT(AD253,4)),VALUE(MID(AD253,6,2)),VALUE(MID(AD253,9,2))))),""))</x:f>
        <x:v>46197</x:v>
      </x:c>
      <x:c r="AQ253" s="24" t="n">
        <x:f>IF(AP253="","",INT('Configuration'!$B$4)-AP253)</x:f>
        <x:v>54</x:v>
      </x:c>
      <x:c r="AR253" s="25" t="str">
        <x:f>IF(AP253="","Missing Required Date",IF(AQ253&lt;0,"Future Date",IF(AQ253=0,"0 days",IF(AQ253&lt;=2,"1-2 days",IF(AQ253&lt;=7,"3-7 days",IF(AQ253&lt;=14,"8-14 days",IF(AQ253&lt;=30,"15-30 days",IF(AQ253&lt;=60,"31-60 days",IF(AQ253&lt;=70,"61-70 days","71+ days")))))))))</x:f>
        <x:v>31-60 days</x:v>
      </x:c>
      <x:c r="AS253" s="25" t="str">
        <x:f>IF(OR(E253="processing",E253="executing",E253="pending"),IF(AP253="","Required aging date missing",IF(AQ253&gt;30,"Escalate &gt;30d",IF(AQ253&gt;14,"Watch &gt;14d","Within 14d"))),"Out of scope")</x:f>
        <x:v>Escalate &gt;30d</x:v>
      </x:c>
    </x:row>
    <x:row r="254" ht="24" customHeight="1">
      <x:c r="A254" t="str">
        <x:v>a8f7d9a2-2afc-43f6-8384-425e1d2c02a7</x:v>
      </x:c>
      <x:c r="B254" t="str">
        <x:v>CSSP10328587</x:v>
      </x:c>
      <x:c r="C254" t="str">
        <x:v>miqbal.mohsin@petronas.com</x:v>
      </x:c>
      <x:c r="D254" t="str">
        <x:v>decommission-cloud</x:v>
      </x:c>
      <x:c r="E254" t="str">
        <x:v>cancelled</x:v>
      </x:c>
      <x:c r="F254" t="n">
        <x:v>46198.25458431713</x:v>
      </x:c>
      <x:c r="G254" t="n">
        <x:v>46198.25490237268</x:v>
      </x:c>
      <x:c r="H254" t="n">
        <x:v>46198.25458431713</x:v>
      </x:c>
      <x:c r="I254" t="str">
        <x:v>OpAware</x:v>
      </x:c>
      <x:c r="J254" t="str">
        <x:v>Cloud Migration Program - OpAware system (Process Scout)</x:v>
      </x:c>
      <x:c r="K254" t="str">
        <x:v>partial</x:v>
      </x:c>
      <x:c r="L254"/>
      <x:c r="M254" t="str">
        <x:v>miqbal.mohsin@petronas.com</x:v>
      </x:c>
      <x:c r="N254" t="str">
        <x:v>jlkjlkjlkjlk</x:v>
      </x:c>
      <x:c r="O254" t="str">
        <x:v>jkljk</x:v>
      </x:c>
      <x:c r="P254" t="str">
        <x:v>.</x:v>
      </x:c>
      <x:c r="Q254" t="str">
        <x:v>2W</x:v>
      </x:c>
      <x:c r="R254" t="str">
        <x:v>Not in Used</x:v>
      </x:c>
      <x:c r="S254"/>
      <x:c r="T254" t="str">
        <x:v>rejected</x:v>
      </x:c>
      <x:c r="U254" t="str">
        <x:v>miqbal.mohsin@petronas.com</x:v>
      </x:c>
      <x:c r="V254" t="n">
        <x:v>46198.25490238426</x:v>
      </x:c>
      <x:c r="W254"/>
      <x:c r="X254"/>
      <x:c r="Y254" t="str">
        <x:v>miqbal.mohsin@petronas.com</x:v>
      </x:c>
      <x:c r="Z254"/>
      <x:c r="AA254"/>
      <x:c r="AB254"/>
      <x:c r="AC254" t="str">
        <x:v>CCoE Business</x:v>
      </x:c>
      <x:c r="AD254"/>
      <x:c r="AE254"/>
      <x:c r="AF254"/>
      <x:c r="AG254" t="str">
        <x:v>CCoE Operations</x:v>
      </x:c>
      <x:c r="AH254"/>
      <x:c r="AI254"/>
      <x:c r="AJ254" t="str">
        <x:v>A-001070</x:v>
      </x:c>
      <x:c r="AK254" t="str">
        <x:v>02421_56</x:v>
      </x:c>
      <x:c r="AL254"/>
      <x:c r="AM254"/>
      <x:c r="AN254" t="str">
        <x:v>retention</x:v>
      </x:c>
      <x:c r="AO254" t="n">
        <x:v>0</x:v>
      </x:c>
      <x:c r="AP254" s="23" t="str">
        <x:f>IF(E254="processing",IF(Z254="","",IF(ISNUMBER(Z254),INT(Z254),DATE(VALUE(LEFT(Z254,4)),VALUE(MID(Z254,6,2)),VALUE(MID(Z254,9,2))))),IF(OR(E254="executing",E254="pending"),IF(AD254="","",IF(ISNUMBER(AD254),INT(AD254),DATE(VALUE(LEFT(AD254,4)),VALUE(MID(AD254,6,2)),VALUE(MID(AD254,9,2))))),""))</x:f>
      </x:c>
      <x:c r="AQ254" s="24" t="str">
        <x:f>IF(AP254="","",INT('Configuration'!$B$4)-AP254)</x:f>
      </x:c>
      <x:c r="AR254" s="25" t="str">
        <x:f>IF(AP254="","Missing Required Date",IF(AQ254&lt;0,"Future Date",IF(AQ254=0,"0 days",IF(AQ254&lt;=2,"1-2 days",IF(AQ254&lt;=7,"3-7 days",IF(AQ254&lt;=14,"8-14 days",IF(AQ254&lt;=30,"15-30 days",IF(AQ254&lt;=60,"31-60 days",IF(AQ254&lt;=70,"61-70 days","71+ days")))))))))</x:f>
        <x:v>Missing Required Date</x:v>
      </x:c>
      <x:c r="AS254" s="25" t="str">
        <x:f>IF(OR(E254="processing",E254="executing",E254="pending"),IF(AP254="","Required aging date missing",IF(AQ254&gt;30,"Escalate &gt;30d",IF(AQ254&gt;14,"Watch &gt;14d","Within 14d"))),"Out of scope")</x:f>
        <x:v>Out of scope</x:v>
      </x:c>
    </x:row>
    <x:row r="255" ht="24" customHeight="1">
      <x:c r="A255" t="str">
        <x:v>1455d64a-b9fe-448b-9651-6573b74743c1</x:v>
      </x:c>
      <x:c r="B255" t="str">
        <x:v>CSSP10323752</x:v>
      </x:c>
      <x:c r="C255" t="str">
        <x:v>hazdirizal.abdullha@petronas.com</x:v>
      </x:c>
      <x:c r="D255" t="str">
        <x:v>decommission-cloud</x:v>
      </x:c>
      <x:c r="E255" t="str">
        <x:v>executing</x:v>
      </x:c>
      <x:c r="F255" t="n">
        <x:v>46199.35398917824</x:v>
      </x:c>
      <x:c r="G255" t="n">
        <x:v>46247.11604627315</x:v>
      </x:c>
      <x:c r="H255" t="n">
        <x:v>46199.35398917824</x:v>
      </x:c>
      <x:c r="I255" t="str">
        <x:v>M365 Exchange 2016 for Centralised Automation Management Console</x:v>
      </x:c>
      <x:c r="J255" t="str">
        <x:v>M365-Microsoft Exchange Edge server for Address Rewriting</x:v>
      </x:c>
      <x:c r="K255" t="str">
        <x:v>partial</x:v>
      </x:c>
      <x:c r="L255"/>
      <x:c r="M255" t="str">
        <x:v>faylynn.chua@petronas.com.my</x:v>
      </x:c>
      <x:c r="N255"/>
      <x:c r="O255" t="str">
        <x:v>704D905161</x:v>
      </x:c>
      <x:c r="P255" t="str">
        <x:v>current Exchange server 2016 has already reached end of life support and not in used. the total number of servers of Exchange 2016 to be decom is 2 servers: Exchange 2016 Edge Servers: PTSG-1SMTPed01 - 172.25.34.85 PTSG-1SMTPed02 - 172.25.34.86</x:v>
      </x:c>
      <x:c r="Q255" t="str">
        <x:v>1M</x:v>
      </x:c>
      <x:c r="R255" t="str">
        <x:v>Not in Used</x:v>
      </x:c>
      <x:c r="S255"/>
      <x:c r="T255" t="str">
        <x:v>approved</x:v>
      </x:c>
      <x:c r="U255" t="str">
        <x:v>hazdirizal.abdullha@petronas.com</x:v>
      </x:c>
      <x:c r="V255" t="n">
        <x:v>46199.35907709491</x:v>
      </x:c>
      <x:c r="W255" t="str">
        <x:v>current Exchange server 2016 has already reached end of life support and not in used. the total number of servers of Exchange 2016 to be decom is 2 servers: Exchange 2016 Edge Servers: PTSG-1SMTPed01 - 172.25.34.85 PTSG-1SMTPed02 - 172.25.34.86.
will proceed to remove exchange application first before the decommisioning.</x:v>
      </x:c>
      <x:c r="X255" t="str">
        <x:v>approved</x:v>
      </x:c>
      <x:c r="Y255" t="str">
        <x:v>faylynn.chua@petronas.com</x:v>
      </x:c>
      <x:c r="Z255" t="n">
        <x:v>46204.41177521991</x:v>
      </x:c>
      <x:c r="AA255" t="str">
        <x:v>Approved as per plan. </x:v>
      </x:c>
      <x:c r="AB255" t="str">
        <x:v>approved</x:v>
      </x:c>
      <x:c r="AC255" t="str">
        <x:v>abhishek.bhowate@petronas.com</x:v>
      </x:c>
      <x:c r="AD255" t="n">
        <x:v>46247.116046284726</x:v>
      </x:c>
      <x:c r="AE255" t="str">
        <x:v>Approve</x:v>
      </x:c>
      <x:c r="AF255"/>
      <x:c r="AG255" t="str">
        <x:v>amarja.kawade@petronas.com</x:v>
      </x:c>
      <x:c r="AH255"/>
      <x:c r="AI255"/>
      <x:c r="AJ255" t="str">
        <x:v>A-000443</x:v>
      </x:c>
      <x:c r="AK255" t="n">
        <x:v>1931</x:v>
      </x:c>
      <x:c r="AL255" t="str">
        <x:v>S</x:v>
      </x:c>
      <x:c r="AM255" t="str">
        <x:v>REQ000008238796</x:v>
      </x:c>
      <x:c r="AN255" t="str">
        <x:v>noretention</x:v>
      </x:c>
      <x:c r="AO255" t="n">
        <x:v>0</x:v>
      </x:c>
      <x:c r="AP255" s="23" t="n">
        <x:f>IF(E255="processing",IF(Z255="","",IF(ISNUMBER(Z255),INT(Z255),DATE(VALUE(LEFT(Z255,4)),VALUE(MID(Z255,6,2)),VALUE(MID(Z255,9,2))))),IF(OR(E255="executing",E255="pending"),IF(AD255="","",IF(ISNUMBER(AD255),INT(AD255),DATE(VALUE(LEFT(AD255,4)),VALUE(MID(AD255,6,2)),VALUE(MID(AD255,9,2))))),""))</x:f>
        <x:v>46247</x:v>
      </x:c>
      <x:c r="AQ255" s="24" t="n">
        <x:f>IF(AP255="","",INT('Configuration'!$B$4)-AP255)</x:f>
        <x:v>4</x:v>
      </x:c>
      <x:c r="AR255" s="25" t="str">
        <x:f>IF(AP255="","Missing Required Date",IF(AQ255&lt;0,"Future Date",IF(AQ255=0,"0 days",IF(AQ255&lt;=2,"1-2 days",IF(AQ255&lt;=7,"3-7 days",IF(AQ255&lt;=14,"8-14 days",IF(AQ255&lt;=30,"15-30 days",IF(AQ255&lt;=60,"31-60 days",IF(AQ255&lt;=70,"61-70 days","71+ days")))))))))</x:f>
        <x:v>3-7 days</x:v>
      </x:c>
      <x:c r="AS255" s="25" t="str">
        <x:f>IF(OR(E255="processing",E255="executing",E255="pending"),IF(AP255="","Required aging date missing",IF(AQ255&gt;30,"Escalate &gt;30d",IF(AQ255&gt;14,"Watch &gt;14d","Within 14d"))),"Out of scope")</x:f>
        <x:v>Within 14d</x:v>
      </x:c>
    </x:row>
    <x:row r="256" ht="24" customHeight="1">
      <x:c r="A256" t="str">
        <x:v>b91e95dd-bfe7-4354-bb7d-f98033d0b308</x:v>
      </x:c>
      <x:c r="B256" t="str">
        <x:v>CSSP10127063</x:v>
      </x:c>
      <x:c r="C256" t="str">
        <x:v>amarsyafiq.azma@petronas.com</x:v>
      </x:c>
      <x:c r="D256" t="str">
        <x:v>decommission-cloud</x:v>
      </x:c>
      <x:c r="E256" t="str">
        <x:v>cancelled</x:v>
      </x:c>
      <x:c r="F256" t="n">
        <x:v>46203.38914413194</x:v>
      </x:c>
      <x:c r="G256" t="n">
        <x:v>46203.390771412036</x:v>
      </x:c>
      <x:c r="H256" t="n">
        <x:v>46203.38914413194</x:v>
      </x:c>
      <x:c r="I256" t="str">
        <x:v>Enterprise Application Observability</x:v>
      </x:c>
      <x:c r="J256" t="str">
        <x:v>Enterprise Application Observability</x:v>
      </x:c>
      <x:c r="K256" t="str">
        <x:v>partial</x:v>
      </x:c>
      <x:c r="L256"/>
      <x:c r="M256" t="str">
        <x:v>chewjian.shin@petronas.com</x:v>
      </x:c>
      <x:c r="N256"/>
      <x:c r="O256"/>
      <x:c r="P256" t="str">
        <x:v>No longer using</x:v>
      </x:c>
      <x:c r="Q256" t="str">
        <x:v>1M</x:v>
      </x:c>
      <x:c r="R256" t="str">
        <x:v>Not in Used</x:v>
      </x:c>
      <x:c r="S256"/>
      <x:c r="T256" t="str">
        <x:v>rejected</x:v>
      </x:c>
      <x:c r="U256" t="str">
        <x:v>amarsyafiq.azma@petronas.com</x:v>
      </x:c>
      <x:c r="V256" t="n">
        <x:v>46203.39077142361</x:v>
      </x:c>
      <x:c r="W256"/>
      <x:c r="X256"/>
      <x:c r="Y256" t="str">
        <x:v>chewjian.shin@petronas.com</x:v>
      </x:c>
      <x:c r="Z256"/>
      <x:c r="AA256"/>
      <x:c r="AB256"/>
      <x:c r="AC256" t="str">
        <x:v>CCoE Business</x:v>
      </x:c>
      <x:c r="AD256"/>
      <x:c r="AE256"/>
      <x:c r="AF256"/>
      <x:c r="AG256" t="str">
        <x:v>CCoE Operations</x:v>
      </x:c>
      <x:c r="AH256"/>
      <x:c r="AI256"/>
      <x:c r="AJ256" t="str">
        <x:v>A-000285</x:v>
      </x:c>
      <x:c r="AK256" t="str">
        <x:v>PC-00002</x:v>
      </x:c>
      <x:c r="AL256"/>
      <x:c r="AM256"/>
      <x:c r="AN256" t="str">
        <x:v>disposal</x:v>
      </x:c>
      <x:c r="AO256" t="n">
        <x:v>0</x:v>
      </x:c>
      <x:c r="AP256" s="23" t="str">
        <x:f>IF(E256="processing",IF(Z256="","",IF(ISNUMBER(Z256),INT(Z256),DATE(VALUE(LEFT(Z256,4)),VALUE(MID(Z256,6,2)),VALUE(MID(Z256,9,2))))),IF(OR(E256="executing",E256="pending"),IF(AD256="","",IF(ISNUMBER(AD256),INT(AD256),DATE(VALUE(LEFT(AD256,4)),VALUE(MID(AD256,6,2)),VALUE(MID(AD256,9,2))))),""))</x:f>
      </x:c>
      <x:c r="AQ256" s="24" t="str">
        <x:f>IF(AP256="","",INT('Configuration'!$B$4)-AP256)</x:f>
      </x:c>
      <x:c r="AR256" s="25" t="str">
        <x:f>IF(AP256="","Missing Required Date",IF(AQ256&lt;0,"Future Date",IF(AQ256=0,"0 days",IF(AQ256&lt;=2,"1-2 days",IF(AQ256&lt;=7,"3-7 days",IF(AQ256&lt;=14,"8-14 days",IF(AQ256&lt;=30,"15-30 days",IF(AQ256&lt;=60,"31-60 days",IF(AQ256&lt;=70,"61-70 days","71+ days")))))))))</x:f>
        <x:v>Missing Required Date</x:v>
      </x:c>
      <x:c r="AS256" s="25" t="str">
        <x:f>IF(OR(E256="processing",E256="executing",E256="pending"),IF(AP256="","Required aging date missing",IF(AQ256&gt;30,"Escalate &gt;30d",IF(AQ256&gt;14,"Watch &gt;14d","Within 14d"))),"Out of scope")</x:f>
        <x:v>Out of scope</x:v>
      </x:c>
    </x:row>
    <x:row r="257" ht="24" customHeight="1">
      <x:c r="A257" t="str">
        <x:v>32001a43-a497-4015-9108-afda626bc56d</x:v>
      </x:c>
      <x:c r="B257" t="str">
        <x:v>CSSP10353907</x:v>
      </x:c>
      <x:c r="C257" t="str">
        <x:v>amarsyafiq.azma@petronas.com</x:v>
      </x:c>
      <x:c r="D257" t="str">
        <x:v>decommission-cloud</x:v>
      </x:c>
      <x:c r="E257" t="str">
        <x:v>executing</x:v>
      </x:c>
      <x:c r="F257" t="n">
        <x:v>46203.39176262732</x:v>
      </x:c>
      <x:c r="G257" t="n">
        <x:v>46230.081224375</x:v>
      </x:c>
      <x:c r="H257" t="n">
        <x:v>46203.39176262732</x:v>
      </x:c>
      <x:c r="I257" t="str">
        <x:v>Enterprise Application Observability</x:v>
      </x:c>
      <x:c r="J257" t="str">
        <x:v>MyMinutes – 5 December 2017 (MyMinutes Subscription)</x:v>
      </x:c>
      <x:c r="K257" t="str">
        <x:v>partial</x:v>
      </x:c>
      <x:c r="L257"/>
      <x:c r="M257" t="str">
        <x:v>chewjian.shin@petronas.com</x:v>
      </x:c>
      <x:c r="N257"/>
      <x:c r="O257"/>
      <x:c r="P257" t="str">
        <x:v>Not in used</x:v>
      </x:c>
      <x:c r="Q257" t="str">
        <x:v>1M</x:v>
      </x:c>
      <x:c r="R257" t="str">
        <x:v>Not in Used</x:v>
      </x:c>
      <x:c r="S257"/>
      <x:c r="T257" t="str">
        <x:v>approved</x:v>
      </x:c>
      <x:c r="U257" t="str">
        <x:v>amarsyafiq.azma@petronas.com</x:v>
      </x:c>
      <x:c r="V257" t="n">
        <x:v>46203.39276829861</x:v>
      </x:c>
      <x:c r="W257" t="str">
        <x:v>Resource no longer in used. To be decommissioned.</x:v>
      </x:c>
      <x:c r="X257" t="str">
        <x:v>approved</x:v>
      </x:c>
      <x:c r="Y257" t="str">
        <x:v>chewjian.shin@petronas.com</x:v>
      </x:c>
      <x:c r="Z257" t="n">
        <x:v>46225.077777060185</x:v>
      </x:c>
      <x:c r="AA257" t="str">
        <x:v>Approved for Decommisioning</x:v>
      </x:c>
      <x:c r="AB257" t="str">
        <x:v>approved</x:v>
      </x:c>
      <x:c r="AC257" t="str">
        <x:v>abhishek.bhowate@petronas.com</x:v>
      </x:c>
      <x:c r="AD257" t="n">
        <x:v>46230.08122438657</x:v>
      </x:c>
      <x:c r="AE257" t="str">
        <x:v>Approve</x:v>
      </x:c>
      <x:c r="AF257"/>
      <x:c r="AG257" t="str">
        <x:v>IMS - CLOUD CSSP EXECUTOR</x:v>
      </x:c>
      <x:c r="AH257"/>
      <x:c r="AI257"/>
      <x:c r="AJ257" t="str">
        <x:v>A-000285</x:v>
      </x:c>
      <x:c r="AK257" t="str">
        <x:v>MySuiteApps</x:v>
      </x:c>
      <x:c r="AL257" t="str">
        <x:v>S</x:v>
      </x:c>
      <x:c r="AM257" t="str">
        <x:v>REQ000008194637</x:v>
      </x:c>
      <x:c r="AN257" t="str">
        <x:v>disposal</x:v>
      </x:c>
      <x:c r="AO257" t="n">
        <x:v>0</x:v>
      </x:c>
      <x:c r="AP257" s="23" t="n">
        <x:f>IF(E257="processing",IF(Z257="","",IF(ISNUMBER(Z257),INT(Z257),DATE(VALUE(LEFT(Z257,4)),VALUE(MID(Z257,6,2)),VALUE(MID(Z257,9,2))))),IF(OR(E257="executing",E257="pending"),IF(AD257="","",IF(ISNUMBER(AD257),INT(AD257),DATE(VALUE(LEFT(AD257,4)),VALUE(MID(AD257,6,2)),VALUE(MID(AD257,9,2))))),""))</x:f>
        <x:v>46230</x:v>
      </x:c>
      <x:c r="AQ257" s="24" t="n">
        <x:f>IF(AP257="","",INT('Configuration'!$B$4)-AP257)</x:f>
        <x:v>21</x:v>
      </x:c>
      <x:c r="AR257" s="25" t="str">
        <x:f>IF(AP257="","Missing Required Date",IF(AQ257&lt;0,"Future Date",IF(AQ257=0,"0 days",IF(AQ257&lt;=2,"1-2 days",IF(AQ257&lt;=7,"3-7 days",IF(AQ257&lt;=14,"8-14 days",IF(AQ257&lt;=30,"15-30 days",IF(AQ257&lt;=60,"31-60 days",IF(AQ257&lt;=70,"61-70 days","71+ days")))))))))</x:f>
        <x:v>15-30 days</x:v>
      </x:c>
      <x:c r="AS257" s="25" t="str">
        <x:f>IF(OR(E257="processing",E257="executing",E257="pending"),IF(AP257="","Required aging date missing",IF(AQ257&gt;30,"Escalate &gt;30d",IF(AQ257&gt;14,"Watch &gt;14d","Within 14d"))),"Out of scope")</x:f>
        <x:v>Watch &gt;14d</x:v>
      </x:c>
    </x:row>
    <x:row r="258" ht="24" customHeight="1">
      <x:c r="A258" t="str">
        <x:v>df6c78e2-cbc8-40fb-85a1-384398936453</x:v>
      </x:c>
      <x:c r="B258" t="str">
        <x:v>CSSP10991525</x:v>
      </x:c>
      <x:c r="C258" t="str">
        <x:v>nurainhayati.zahari@petronas.com</x:v>
      </x:c>
      <x:c r="D258" t="str">
        <x:v>decommission-cloud</x:v>
      </x:c>
      <x:c r="E258" t="str">
        <x:v>cancelled</x:v>
      </x:c>
      <x:c r="F258" t="n">
        <x:v>46204.137329537036</x:v>
      </x:c>
      <x:c r="G258" t="n">
        <x:v>46230.19834771991</x:v>
      </x:c>
      <x:c r="H258" t="n">
        <x:v>46204.137329537036</x:v>
      </x:c>
      <x:c r="I258" t="str">
        <x:v>Go Dashboard - GGO</x:v>
      </x:c>
      <x:c r="J258" t="str">
        <x:v>Development of GNE EVP Dashboard (GO Dashboard 2.0)</x:v>
      </x:c>
      <x:c r="K258" t="str">
        <x:v>partial</x:v>
      </x:c>
      <x:c r="L258"/>
      <x:c r="M258" t="str">
        <x:v>sazali.mokhtar@petronas.com.my</x:v>
      </x:c>
      <x:c r="N258"/>
      <x:c r="O258"/>
      <x:c r="P258" t="str">
        <x:v>Cloud Repatriation – Decommission old resources in SG region due to completed migration in MY region</x:v>
      </x:c>
      <x:c r="Q258" t="str">
        <x:v>2W</x:v>
      </x:c>
      <x:c r="R258" t="str">
        <x:v>Cloud Migration</x:v>
      </x:c>
      <x:c r="S258"/>
      <x:c r="T258" t="str">
        <x:v>rejected</x:v>
      </x:c>
      <x:c r="U258" t="str">
        <x:v>nurainhayati.zahari@petronas.com</x:v>
      </x:c>
      <x:c r="V258" t="n">
        <x:v>46230.19834771991</x:v>
      </x:c>
      <x:c r="W258"/>
      <x:c r="X258"/>
      <x:c r="Y258" t="str">
        <x:v>sazali.mokhtar@petronas.com</x:v>
      </x:c>
      <x:c r="Z258"/>
      <x:c r="AA258"/>
      <x:c r="AB258"/>
      <x:c r="AC258" t="str">
        <x:v>CCoE Business</x:v>
      </x:c>
      <x:c r="AD258"/>
      <x:c r="AE258"/>
      <x:c r="AF258"/>
      <x:c r="AG258" t="str">
        <x:v>CCoE Operations</x:v>
      </x:c>
      <x:c r="AH258"/>
      <x:c r="AI258"/>
      <x:c r="AJ258" t="str">
        <x:v>A-000335</x:v>
      </x:c>
      <x:c r="AK258" t="n">
        <x:v>1247</x:v>
      </x:c>
      <x:c r="AL258"/>
      <x:c r="AM258"/>
      <x:c r="AN258" t="str">
        <x:v>noretention</x:v>
      </x:c>
      <x:c r="AO258" t="n">
        <x:v>0</x:v>
      </x:c>
      <x:c r="AP258" s="23" t="str">
        <x:f>IF(E258="processing",IF(Z258="","",IF(ISNUMBER(Z258),INT(Z258),DATE(VALUE(LEFT(Z258,4)),VALUE(MID(Z258,6,2)),VALUE(MID(Z258,9,2))))),IF(OR(E258="executing",E258="pending"),IF(AD258="","",IF(ISNUMBER(AD258),INT(AD258),DATE(VALUE(LEFT(AD258,4)),VALUE(MID(AD258,6,2)),VALUE(MID(AD258,9,2))))),""))</x:f>
      </x:c>
      <x:c r="AQ258" s="24" t="str">
        <x:f>IF(AP258="","",INT('Configuration'!$B$4)-AP258)</x:f>
      </x:c>
      <x:c r="AR258" s="25" t="str">
        <x:f>IF(AP258="","Missing Required Date",IF(AQ258&lt;0,"Future Date",IF(AQ258=0,"0 days",IF(AQ258&lt;=2,"1-2 days",IF(AQ258&lt;=7,"3-7 days",IF(AQ258&lt;=14,"8-14 days",IF(AQ258&lt;=30,"15-30 days",IF(AQ258&lt;=60,"31-60 days",IF(AQ258&lt;=70,"61-70 days","71+ days")))))))))</x:f>
        <x:v>Missing Required Date</x:v>
      </x:c>
      <x:c r="AS258" s="25" t="str">
        <x:f>IF(OR(E258="processing",E258="executing",E258="pending"),IF(AP258="","Required aging date missing",IF(AQ258&gt;30,"Escalate &gt;30d",IF(AQ258&gt;14,"Watch &gt;14d","Within 14d"))),"Out of scope")</x:f>
        <x:v>Out of scope</x:v>
      </x:c>
    </x:row>
    <x:row r="259" ht="24" customHeight="1">
      <x:c r="A259" t="str">
        <x:v>b9bef78c-c399-46d9-bf73-b16bdc7151d2</x:v>
      </x:c>
      <x:c r="B259" t="str">
        <x:v>CSSP10854464</x:v>
      </x:c>
      <x:c r="C259" t="str">
        <x:v>nurainhayati.zahari@petronas.com</x:v>
      </x:c>
      <x:c r="D259" t="str">
        <x:v>decommission-cloud</x:v>
      </x:c>
      <x:c r="E259" t="str">
        <x:v>cancelled</x:v>
      </x:c>
      <x:c r="F259" t="n">
        <x:v>46204.14408798611</x:v>
      </x:c>
      <x:c r="G259" t="n">
        <x:v>46204.14461372685</x:v>
      </x:c>
      <x:c r="H259" t="n">
        <x:v>46204.14408798611</x:v>
      </x:c>
      <x:c r="I259" t="str">
        <x:v>Go Dashboard - GGO</x:v>
      </x:c>
      <x:c r="J259" t="str">
        <x:v>GO Dashboard Improvement (Common Features)</x:v>
      </x:c>
      <x:c r="K259" t="str">
        <x:v>partial</x:v>
      </x:c>
      <x:c r="L259"/>
      <x:c r="M259" t="str">
        <x:v>sazali.mokhtar@petronas.com.my</x:v>
      </x:c>
      <x:c r="N259"/>
      <x:c r="O259"/>
      <x:c r="P259" t="str">
        <x:v>Cloud Repatriation – Decommission old resources in SG region due to completed migration in MY region</x:v>
      </x:c>
      <x:c r="Q259" t="str">
        <x:v>2W</x:v>
      </x:c>
      <x:c r="R259" t="str">
        <x:v>Cloud Migration</x:v>
      </x:c>
      <x:c r="S259"/>
      <x:c r="T259" t="str">
        <x:v>rejected</x:v>
      </x:c>
      <x:c r="U259" t="str">
        <x:v>nurainhayati.zahari@petronas.com</x:v>
      </x:c>
      <x:c r="V259" t="n">
        <x:v>46204.14461372685</x:v>
      </x:c>
      <x:c r="W259"/>
      <x:c r="X259"/>
      <x:c r="Y259" t="str">
        <x:v>sazali.mokhtar@petronas.com</x:v>
      </x:c>
      <x:c r="Z259"/>
      <x:c r="AA259"/>
      <x:c r="AB259"/>
      <x:c r="AC259" t="str">
        <x:v>CCoE Business</x:v>
      </x:c>
      <x:c r="AD259"/>
      <x:c r="AE259"/>
      <x:c r="AF259"/>
      <x:c r="AG259" t="str">
        <x:v>CCoE Operations</x:v>
      </x:c>
      <x:c r="AH259"/>
      <x:c r="AI259"/>
      <x:c r="AJ259" t="str">
        <x:v>A-000335</x:v>
      </x:c>
      <x:c r="AK259" t="n">
        <x:v>1818</x:v>
      </x:c>
      <x:c r="AL259"/>
      <x:c r="AM259"/>
      <x:c r="AN259" t="str">
        <x:v>noretention</x:v>
      </x:c>
      <x:c r="AO259" t="n">
        <x:v>0</x:v>
      </x:c>
      <x:c r="AP259" s="23" t="str">
        <x:f>IF(E259="processing",IF(Z259="","",IF(ISNUMBER(Z259),INT(Z259),DATE(VALUE(LEFT(Z259,4)),VALUE(MID(Z259,6,2)),VALUE(MID(Z259,9,2))))),IF(OR(E259="executing",E259="pending"),IF(AD259="","",IF(ISNUMBER(AD259),INT(AD259),DATE(VALUE(LEFT(AD259,4)),VALUE(MID(AD259,6,2)),VALUE(MID(AD259,9,2))))),""))</x:f>
      </x:c>
      <x:c r="AQ259" s="24" t="str">
        <x:f>IF(AP259="","",INT('Configuration'!$B$4)-AP259)</x:f>
      </x:c>
      <x:c r="AR259" s="25" t="str">
        <x:f>IF(AP259="","Missing Required Date",IF(AQ259&lt;0,"Future Date",IF(AQ259=0,"0 days",IF(AQ259&lt;=2,"1-2 days",IF(AQ259&lt;=7,"3-7 days",IF(AQ259&lt;=14,"8-14 days",IF(AQ259&lt;=30,"15-30 days",IF(AQ259&lt;=60,"31-60 days",IF(AQ259&lt;=70,"61-70 days","71+ days")))))))))</x:f>
        <x:v>Missing Required Date</x:v>
      </x:c>
      <x:c r="AS259" s="25" t="str">
        <x:f>IF(OR(E259="processing",E259="executing",E259="pending"),IF(AP259="","Required aging date missing",IF(AQ259&gt;30,"Escalate &gt;30d",IF(AQ259&gt;14,"Watch &gt;14d","Within 14d"))),"Out of scope")</x:f>
        <x:v>Out of scope</x:v>
      </x:c>
    </x:row>
    <x:row r="260" ht="24" customHeight="1">
      <x:c r="A260" t="str">
        <x:v>43e89e21-82d9-4fa3-988c-325065c64dd7</x:v>
      </x:c>
      <x:c r="B260" t="str">
        <x:v>CSSP10151472</x:v>
      </x:c>
      <x:c r="C260" t="str">
        <x:v>nurainhayati.zahari@petronas.com</x:v>
      </x:c>
      <x:c r="D260" t="str">
        <x:v>decommission-cloud</x:v>
      </x:c>
      <x:c r="E260" t="str">
        <x:v>rejected</x:v>
      </x:c>
      <x:c r="F260" t="n">
        <x:v>46204.14566396991</x:v>
      </x:c>
      <x:c r="G260" t="n">
        <x:v>46220.04358488426</x:v>
      </x:c>
      <x:c r="H260" t="n">
        <x:v>46204.14566396991</x:v>
      </x:c>
      <x:c r="I260" t="str">
        <x:v>Go Dashboard - GGO</x:v>
      </x:c>
      <x:c r="J260" t="str">
        <x:v>GO Dashboard DevOps 2025</x:v>
      </x:c>
      <x:c r="K260" t="str">
        <x:v>partial</x:v>
      </x:c>
      <x:c r="L260"/>
      <x:c r="M260" t="str">
        <x:v>sazali.mokhtar@petronas.com.my</x:v>
      </x:c>
      <x:c r="N260"/>
      <x:c r="O260"/>
      <x:c r="P260" t="str">
        <x:v>Cloud Repatriation – Decommission old resources in SG region due to completed migration in MY region</x:v>
      </x:c>
      <x:c r="Q260" t="str">
        <x:v>2W</x:v>
      </x:c>
      <x:c r="R260" t="str">
        <x:v>Cloud Migration</x:v>
      </x:c>
      <x:c r="S260"/>
      <x:c r="T260" t="str">
        <x:v>rejected</x:v>
      </x:c>
      <x:c r="U260" t="str">
        <x:v>nurainhayati.zahari@petronas.com</x:v>
      </x:c>
      <x:c r="V260" t="n">
        <x:v>46220.04242222222</x:v>
      </x:c>
      <x:c r="W260"/>
      <x:c r="X260" t="str">
        <x:v>rejected</x:v>
      </x:c>
      <x:c r="Y260" t="str">
        <x:v>nurainhayati.zahari@petronas.com</x:v>
      </x:c>
      <x:c r="Z260" t="n">
        <x:v>46220.04358488426</x:v>
      </x:c>
      <x:c r="AA260"/>
      <x:c r="AB260"/>
      <x:c r="AC260" t="str">
        <x:v>CCoE Business</x:v>
      </x:c>
      <x:c r="AD260"/>
      <x:c r="AE260"/>
      <x:c r="AF260"/>
      <x:c r="AG260" t="str">
        <x:v>CCoE Operations</x:v>
      </x:c>
      <x:c r="AH260"/>
      <x:c r="AI260"/>
      <x:c r="AJ260" t="str">
        <x:v>A-000335</x:v>
      </x:c>
      <x:c r="AK260" t="n">
        <x:v>4640</x:v>
      </x:c>
      <x:c r="AL260"/>
      <x:c r="AM260"/>
      <x:c r="AN260" t="str">
        <x:v>noretention</x:v>
      </x:c>
      <x:c r="AO260" t="n">
        <x:v>0</x:v>
      </x:c>
      <x:c r="AP260" s="23" t="str">
        <x:f>IF(E260="processing",IF(Z260="","",IF(ISNUMBER(Z260),INT(Z260),DATE(VALUE(LEFT(Z260,4)),VALUE(MID(Z260,6,2)),VALUE(MID(Z260,9,2))))),IF(OR(E260="executing",E260="pending"),IF(AD260="","",IF(ISNUMBER(AD260),INT(AD260),DATE(VALUE(LEFT(AD260,4)),VALUE(MID(AD260,6,2)),VALUE(MID(AD260,9,2))))),""))</x:f>
      </x:c>
      <x:c r="AQ260" s="24" t="str">
        <x:f>IF(AP260="","",INT('Configuration'!$B$4)-AP260)</x:f>
      </x:c>
      <x:c r="AR260" s="25" t="str">
        <x:f>IF(AP260="","Missing Required Date",IF(AQ260&lt;0,"Future Date",IF(AQ260=0,"0 days",IF(AQ260&lt;=2,"1-2 days",IF(AQ260&lt;=7,"3-7 days",IF(AQ260&lt;=14,"8-14 days",IF(AQ260&lt;=30,"15-30 days",IF(AQ260&lt;=60,"31-60 days",IF(AQ260&lt;=70,"61-70 days","71+ days")))))))))</x:f>
        <x:v>Missing Required Date</x:v>
      </x:c>
      <x:c r="AS260" s="25" t="str">
        <x:f>IF(OR(E260="processing",E260="executing",E260="pending"),IF(AP260="","Required aging date missing",IF(AQ260&gt;30,"Escalate &gt;30d",IF(AQ260&gt;14,"Watch &gt;14d","Within 14d"))),"Out of scope")</x:f>
        <x:v>Out of scope</x:v>
      </x:c>
    </x:row>
    <x:row r="261" ht="24" customHeight="1">
      <x:c r="A261" t="str">
        <x:v>fded97f7-898a-49e1-b549-5d5a1090c5bc</x:v>
      </x:c>
      <x:c r="B261" t="str">
        <x:v>CSSP10900385</x:v>
      </x:c>
      <x:c r="C261" t="str">
        <x:v>nurainhayati.zahari@petronas.com</x:v>
      </x:c>
      <x:c r="D261" t="str">
        <x:v>decommission-cloud</x:v>
      </x:c>
      <x:c r="E261" t="str">
        <x:v>cancelled</x:v>
      </x:c>
      <x:c r="F261" t="n">
        <x:v>46204.14581540509</x:v>
      </x:c>
      <x:c r="G261" t="n">
        <x:v>46220.042647152775</x:v>
      </x:c>
      <x:c r="H261" t="n">
        <x:v>46204.14581540509</x:v>
      </x:c>
      <x:c r="I261" t="str">
        <x:v>Go Dashboard - GGO</x:v>
      </x:c>
      <x:c r="J261" t="str">
        <x:v>CTP Old to New LZ - Go Dashboard</x:v>
      </x:c>
      <x:c r="K261" t="str">
        <x:v>partial</x:v>
      </x:c>
      <x:c r="L261"/>
      <x:c r="M261" t="str">
        <x:v>sazali.mokhtar@petronas.com.my</x:v>
      </x:c>
      <x:c r="N261"/>
      <x:c r="O261"/>
      <x:c r="P261" t="str">
        <x:v>Cloud Repatriation – Decommission old resources in SG region due to completed migration in MY region</x:v>
      </x:c>
      <x:c r="Q261" t="str">
        <x:v>2W</x:v>
      </x:c>
      <x:c r="R261" t="str">
        <x:v>Cloud Migration</x:v>
      </x:c>
      <x:c r="S261"/>
      <x:c r="T261" t="str">
        <x:v>rejected</x:v>
      </x:c>
      <x:c r="U261" t="str">
        <x:v>nurainhayati.zahari@petronas.com</x:v>
      </x:c>
      <x:c r="V261" t="n">
        <x:v>46220.042647152775</x:v>
      </x:c>
      <x:c r="W261"/>
      <x:c r="X261"/>
      <x:c r="Y261" t="str">
        <x:v>sazali.mokhtar@petronas.com</x:v>
      </x:c>
      <x:c r="Z261"/>
      <x:c r="AA261"/>
      <x:c r="AB261"/>
      <x:c r="AC261" t="str">
        <x:v>CCoE Business</x:v>
      </x:c>
      <x:c r="AD261"/>
      <x:c r="AE261"/>
      <x:c r="AF261"/>
      <x:c r="AG261" t="str">
        <x:v>CCoE Operations</x:v>
      </x:c>
      <x:c r="AH261"/>
      <x:c r="AI261"/>
      <x:c r="AJ261" t="str">
        <x:v>A-000335</x:v>
      </x:c>
      <x:c r="AK261" t="str">
        <x:v>02421_27</x:v>
      </x:c>
      <x:c r="AL261"/>
      <x:c r="AM261"/>
      <x:c r="AN261" t="str">
        <x:v>noretention</x:v>
      </x:c>
      <x:c r="AO261" t="n">
        <x:v>0</x:v>
      </x:c>
      <x:c r="AP261" s="23" t="str">
        <x:f>IF(E261="processing",IF(Z261="","",IF(ISNUMBER(Z261),INT(Z261),DATE(VALUE(LEFT(Z261,4)),VALUE(MID(Z261,6,2)),VALUE(MID(Z261,9,2))))),IF(OR(E261="executing",E261="pending"),IF(AD261="","",IF(ISNUMBER(AD261),INT(AD261),DATE(VALUE(LEFT(AD261,4)),VALUE(MID(AD261,6,2)),VALUE(MID(AD261,9,2))))),""))</x:f>
      </x:c>
      <x:c r="AQ261" s="24" t="str">
        <x:f>IF(AP261="","",INT('Configuration'!$B$4)-AP261)</x:f>
      </x:c>
      <x:c r="AR261" s="25" t="str">
        <x:f>IF(AP261="","Missing Required Date",IF(AQ261&lt;0,"Future Date",IF(AQ261=0,"0 days",IF(AQ261&lt;=2,"1-2 days",IF(AQ261&lt;=7,"3-7 days",IF(AQ261&lt;=14,"8-14 days",IF(AQ261&lt;=30,"15-30 days",IF(AQ261&lt;=60,"31-60 days",IF(AQ261&lt;=70,"61-70 days","71+ days")))))))))</x:f>
        <x:v>Missing Required Date</x:v>
      </x:c>
      <x:c r="AS261" s="25" t="str">
        <x:f>IF(OR(E261="processing",E261="executing",E261="pending"),IF(AP261="","Required aging date missing",IF(AQ261&gt;30,"Escalate &gt;30d",IF(AQ261&gt;14,"Watch &gt;14d","Within 14d"))),"Out of scope")</x:f>
        <x:v>Out of scope</x:v>
      </x:c>
    </x:row>
    <x:row r="262" ht="24" customHeight="1">
      <x:c r="A262" t="str">
        <x:v>0d47a219-a16b-4002-836f-e37ea76e0949</x:v>
      </x:c>
      <x:c r="B262" t="str">
        <x:v>CSSP10928550</x:v>
      </x:c>
      <x:c r="C262" t="str">
        <x:v>nurainhayati.zahari@petronas.com</x:v>
      </x:c>
      <x:c r="D262" t="str">
        <x:v>decommission-cloud</x:v>
      </x:c>
      <x:c r="E262" t="str">
        <x:v>rejected</x:v>
      </x:c>
      <x:c r="F262" t="n">
        <x:v>46204.15037319445</x:v>
      </x:c>
      <x:c r="G262" t="n">
        <x:v>46220.04511888889</x:v>
      </x:c>
      <x:c r="H262" t="n">
        <x:v>46204.15037319445</x:v>
      </x:c>
      <x:c r="I262" t="str">
        <x:v>Go Dashboard - GGO</x:v>
      </x:c>
      <x:c r="J262" t="str">
        <x:v>GO Dashboard DevOps 2025</x:v>
      </x:c>
      <x:c r="K262" t="str">
        <x:v>partial</x:v>
      </x:c>
      <x:c r="L262"/>
      <x:c r="M262" t="str">
        <x:v>sazali.mokhtar@petronas.com.my</x:v>
      </x:c>
      <x:c r="N262"/>
      <x:c r="O262"/>
      <x:c r="P262" t="str">
        <x:v>Cloud Repatriation – Decommission old resources in SG region due to completed migration in MY region</x:v>
      </x:c>
      <x:c r="Q262" t="str">
        <x:v>2W</x:v>
      </x:c>
      <x:c r="R262" t="str">
        <x:v>Cloud Migration</x:v>
      </x:c>
      <x:c r="S262"/>
      <x:c r="T262" t="str">
        <x:v>rejected</x:v>
      </x:c>
      <x:c r="U262" t="str">
        <x:v>nurainhayati.zahari@petronas.com</x:v>
      </x:c>
      <x:c r="V262" t="n">
        <x:v>46220.043997465276</x:v>
      </x:c>
      <x:c r="W262"/>
      <x:c r="X262" t="str">
        <x:v>rejected</x:v>
      </x:c>
      <x:c r="Y262" t="str">
        <x:v>nurainhayati.zahari@petronas.com</x:v>
      </x:c>
      <x:c r="Z262" t="n">
        <x:v>46220.04433289352</x:v>
      </x:c>
      <x:c r="AA262"/>
      <x:c r="AB262" t="str">
        <x:v>rejected</x:v>
      </x:c>
      <x:c r="AC262" t="str">
        <x:v>nurainhayati.zahari@petronas.com</x:v>
      </x:c>
      <x:c r="AD262" t="n">
        <x:v>46220.044739467594</x:v>
      </x:c>
      <x:c r="AE262"/>
      <x:c r="AF262" t="str">
        <x:v>rejected</x:v>
      </x:c>
      <x:c r="AG262" t="str">
        <x:v>nurainhayati.zahari@petronas.com</x:v>
      </x:c>
      <x:c r="AH262" t="n">
        <x:v>46220.04511890046</x:v>
      </x:c>
      <x:c r="AI262"/>
      <x:c r="AJ262" t="str">
        <x:v>A-000335</x:v>
      </x:c>
      <x:c r="AK262" t="n">
        <x:v>4640</x:v>
      </x:c>
      <x:c r="AL262"/>
      <x:c r="AM262"/>
      <x:c r="AN262" t="str">
        <x:v>noretention</x:v>
      </x:c>
      <x:c r="AO262" t="n">
        <x:v>0</x:v>
      </x:c>
      <x:c r="AP262" s="23" t="str">
        <x:f>IF(E262="processing",IF(Z262="","",IF(ISNUMBER(Z262),INT(Z262),DATE(VALUE(LEFT(Z262,4)),VALUE(MID(Z262,6,2)),VALUE(MID(Z262,9,2))))),IF(OR(E262="executing",E262="pending"),IF(AD262="","",IF(ISNUMBER(AD262),INT(AD262),DATE(VALUE(LEFT(AD262,4)),VALUE(MID(AD262,6,2)),VALUE(MID(AD262,9,2))))),""))</x:f>
      </x:c>
      <x:c r="AQ262" s="24" t="str">
        <x:f>IF(AP262="","",INT('Configuration'!$B$4)-AP262)</x:f>
      </x:c>
      <x:c r="AR262" s="25" t="str">
        <x:f>IF(AP262="","Missing Required Date",IF(AQ262&lt;0,"Future Date",IF(AQ262=0,"0 days",IF(AQ262&lt;=2,"1-2 days",IF(AQ262&lt;=7,"3-7 days",IF(AQ262&lt;=14,"8-14 days",IF(AQ262&lt;=30,"15-30 days",IF(AQ262&lt;=60,"31-60 days",IF(AQ262&lt;=70,"61-70 days","71+ days")))))))))</x:f>
        <x:v>Missing Required Date</x:v>
      </x:c>
      <x:c r="AS262" s="25" t="str">
        <x:f>IF(OR(E262="processing",E262="executing",E262="pending"),IF(AP262="","Required aging date missing",IF(AQ262&gt;30,"Escalate &gt;30d",IF(AQ262&gt;14,"Watch &gt;14d","Within 14d"))),"Out of scope")</x:f>
        <x:v>Out of scope</x:v>
      </x:c>
    </x:row>
    <x:row r="263" ht="24" customHeight="1">
      <x:c r="A263" t="str">
        <x:v>eaba3816-241f-4731-a077-79c99978bbed</x:v>
      </x:c>
      <x:c r="B263" t="str">
        <x:v>CSSP10870364</x:v>
      </x:c>
      <x:c r="C263" t="str">
        <x:v>nurainhayati.zahari@petronas.com</x:v>
      </x:c>
      <x:c r="D263" t="str">
        <x:v>decommission-cloud</x:v>
      </x:c>
      <x:c r="E263" t="str">
        <x:v>rejected</x:v>
      </x:c>
      <x:c r="F263" t="n">
        <x:v>46204.15038699074</x:v>
      </x:c>
      <x:c r="G263" t="n">
        <x:v>46220.04334096065</x:v>
      </x:c>
      <x:c r="H263" t="n">
        <x:v>46204.15038699074</x:v>
      </x:c>
      <x:c r="I263" t="str">
        <x:v>Go Dashboard - GGO</x:v>
      </x:c>
      <x:c r="J263" t="str">
        <x:v>CTP Old to New LZ - Go Dashboard</x:v>
      </x:c>
      <x:c r="K263" t="str">
        <x:v>partial</x:v>
      </x:c>
      <x:c r="L263"/>
      <x:c r="M263" t="str">
        <x:v>sazali.mokhtar@petronas.com.my</x:v>
      </x:c>
      <x:c r="N263"/>
      <x:c r="O263"/>
      <x:c r="P263" t="str">
        <x:v>Cloud Repatriation – Decommission old resources in SG region due to completed migration in MY region</x:v>
      </x:c>
      <x:c r="Q263" t="str">
        <x:v>2W</x:v>
      </x:c>
      <x:c r="R263" t="str">
        <x:v>Cloud Migration</x:v>
      </x:c>
      <x:c r="S263"/>
      <x:c r="T263" t="str">
        <x:v>rejected</x:v>
      </x:c>
      <x:c r="U263" t="str">
        <x:v>nurainhayati.zahari@petronas.com</x:v>
      </x:c>
      <x:c r="V263" t="n">
        <x:v>46220.042039837965</x:v>
      </x:c>
      <x:c r="W263"/>
      <x:c r="X263" t="str">
        <x:v>rejected</x:v>
      </x:c>
      <x:c r="Y263" t="str">
        <x:v>nurainhayati.zahari@petronas.com</x:v>
      </x:c>
      <x:c r="Z263" t="n">
        <x:v>46220.04334096065</x:v>
      </x:c>
      <x:c r="AA263"/>
      <x:c r="AB263"/>
      <x:c r="AC263" t="str">
        <x:v>CCoE Business</x:v>
      </x:c>
      <x:c r="AD263"/>
      <x:c r="AE263"/>
      <x:c r="AF263"/>
      <x:c r="AG263" t="str">
        <x:v>CCoE Operations</x:v>
      </x:c>
      <x:c r="AH263"/>
      <x:c r="AI263"/>
      <x:c r="AJ263" t="str">
        <x:v>A-000335</x:v>
      </x:c>
      <x:c r="AK263" t="str">
        <x:v>02421_27</x:v>
      </x:c>
      <x:c r="AL263"/>
      <x:c r="AM263"/>
      <x:c r="AN263" t="str">
        <x:v>noretention</x:v>
      </x:c>
      <x:c r="AO263" t="n">
        <x:v>0</x:v>
      </x:c>
      <x:c r="AP263" s="23" t="str">
        <x:f>IF(E263="processing",IF(Z263="","",IF(ISNUMBER(Z263),INT(Z263),DATE(VALUE(LEFT(Z263,4)),VALUE(MID(Z263,6,2)),VALUE(MID(Z263,9,2))))),IF(OR(E263="executing",E263="pending"),IF(AD263="","",IF(ISNUMBER(AD263),INT(AD263),DATE(VALUE(LEFT(AD263,4)),VALUE(MID(AD263,6,2)),VALUE(MID(AD263,9,2))))),""))</x:f>
      </x:c>
      <x:c r="AQ263" s="24" t="str">
        <x:f>IF(AP263="","",INT('Configuration'!$B$4)-AP263)</x:f>
      </x:c>
      <x:c r="AR263" s="25" t="str">
        <x:f>IF(AP263="","Missing Required Date",IF(AQ263&lt;0,"Future Date",IF(AQ263=0,"0 days",IF(AQ263&lt;=2,"1-2 days",IF(AQ263&lt;=7,"3-7 days",IF(AQ263&lt;=14,"8-14 days",IF(AQ263&lt;=30,"15-30 days",IF(AQ263&lt;=60,"31-60 days",IF(AQ263&lt;=70,"61-70 days","71+ days")))))))))</x:f>
        <x:v>Missing Required Date</x:v>
      </x:c>
      <x:c r="AS263" s="25" t="str">
        <x:f>IF(OR(E263="processing",E263="executing",E263="pending"),IF(AP263="","Required aging date missing",IF(AQ263&gt;30,"Escalate &gt;30d",IF(AQ263&gt;14,"Watch &gt;14d","Within 14d"))),"Out of scope")</x:f>
        <x:v>Out of scope</x:v>
      </x:c>
    </x:row>
    <x:row r="264" ht="24" customHeight="1">
      <x:c r="A264" t="str">
        <x:v>bc000242-6c65-4d29-81ca-ece799b93a85</x:v>
      </x:c>
      <x:c r="B264" t="str">
        <x:v>CSSP10183688</x:v>
      </x:c>
      <x:c r="C264" t="str">
        <x:v>nurainhayati.zahari@petronas.com</x:v>
      </x:c>
      <x:c r="D264" t="str">
        <x:v>decommission-cloud</x:v>
      </x:c>
      <x:c r="E264" t="str">
        <x:v>executing</x:v>
      </x:c>
      <x:c r="F264" t="n">
        <x:v>46204.16273069444</x:v>
      </x:c>
      <x:c r="G264" t="n">
        <x:v>46222.871260231484</x:v>
      </x:c>
      <x:c r="H264" t="n">
        <x:v>46204.16273069444</x:v>
      </x:c>
      <x:c r="I264" t="str">
        <x:v>Go Dashboard - GGO</x:v>
      </x:c>
      <x:c r="J264" t="str">
        <x:v>CTP Old to New LZ - Go Dashboard</x:v>
      </x:c>
      <x:c r="K264" t="str">
        <x:v>partial</x:v>
      </x:c>
      <x:c r="L264"/>
      <x:c r="M264" t="str">
        <x:v>sazali.mokhtar@petronas.com.my</x:v>
      </x:c>
      <x:c r="N264"/>
      <x:c r="O264"/>
      <x:c r="P264" t="str">
        <x:v>Cloud Repatriation – Decommission old resources in SG region due to completed migration in MY region</x:v>
      </x:c>
      <x:c r="Q264" t="str">
        <x:v>2W</x:v>
      </x:c>
      <x:c r="R264" t="str">
        <x:v>Cloud Migration</x:v>
      </x:c>
      <x:c r="S264"/>
      <x:c r="T264" t="str">
        <x:v>approved</x:v>
      </x:c>
      <x:c r="U264" t="str">
        <x:v>nurainhayati.zahari@petronas.com</x:v>
      </x:c>
      <x:c r="V264" t="n">
        <x:v>46204.16454025463</x:v>
      </x:c>
      <x:c r="W264" t="str">
        <x:v>Cloud Repatriation – Decommission old resources in SG region due to completed migration in MY region</x:v>
      </x:c>
      <x:c r="X264" t="str">
        <x:v>approved</x:v>
      </x:c>
      <x:c r="Y264" t="str">
        <x:v>sazali.mokhtar@petronas.com</x:v>
      </x:c>
      <x:c r="Z264" t="n">
        <x:v>46204.18380600694</x:v>
      </x:c>
      <x:c r="AA264" t="str">
        <x:v>Cloud Repatriation – Decommission old resources in SG region due to completed migration in MY region</x:v>
      </x:c>
      <x:c r="AB264" t="str">
        <x:v>approved</x:v>
      </x:c>
      <x:c r="AC264" t="str">
        <x:v>abhishek.bhowate@petronas.com</x:v>
      </x:c>
      <x:c r="AD264" t="n">
        <x:v>46222.87126025463</x:v>
      </x:c>
      <x:c r="AE264" t="str">
        <x:v>Approve</x:v>
      </x:c>
      <x:c r="AF264"/>
      <x:c r="AG264" t="str">
        <x:v>swaminadh.chirakala@petronas.com</x:v>
      </x:c>
      <x:c r="AH264"/>
      <x:c r="AI264"/>
      <x:c r="AJ264" t="str">
        <x:v>A-000335</x:v>
      </x:c>
      <x:c r="AK264" t="str">
        <x:v>02421_27</x:v>
      </x:c>
      <x:c r="AL264" t="str">
        <x:v>L</x:v>
      </x:c>
      <x:c r="AM264" t="str">
        <x:v>REQ000008178978</x:v>
      </x:c>
      <x:c r="AN264" t="str">
        <x:v>noretention</x:v>
      </x:c>
      <x:c r="AO264" t="n">
        <x:v>0</x:v>
      </x:c>
      <x:c r="AP264" s="23" t="n">
        <x:f>IF(E264="processing",IF(Z264="","",IF(ISNUMBER(Z264),INT(Z264),DATE(VALUE(LEFT(Z264,4)),VALUE(MID(Z264,6,2)),VALUE(MID(Z264,9,2))))),IF(OR(E264="executing",E264="pending"),IF(AD264="","",IF(ISNUMBER(AD264),INT(AD264),DATE(VALUE(LEFT(AD264,4)),VALUE(MID(AD264,6,2)),VALUE(MID(AD264,9,2))))),""))</x:f>
        <x:v>46222</x:v>
      </x:c>
      <x:c r="AQ264" s="24" t="n">
        <x:f>IF(AP264="","",INT('Configuration'!$B$4)-AP264)</x:f>
        <x:v>29</x:v>
      </x:c>
      <x:c r="AR264" s="25" t="str">
        <x:f>IF(AP264="","Missing Required Date",IF(AQ264&lt;0,"Future Date",IF(AQ264=0,"0 days",IF(AQ264&lt;=2,"1-2 days",IF(AQ264&lt;=7,"3-7 days",IF(AQ264&lt;=14,"8-14 days",IF(AQ264&lt;=30,"15-30 days",IF(AQ264&lt;=60,"31-60 days",IF(AQ264&lt;=70,"61-70 days","71+ days")))))))))</x:f>
        <x:v>15-30 days</x:v>
      </x:c>
      <x:c r="AS264" s="25" t="str">
        <x:f>IF(OR(E264="processing",E264="executing",E264="pending"),IF(AP264="","Required aging date missing",IF(AQ264&gt;30,"Escalate &gt;30d",IF(AQ264&gt;14,"Watch &gt;14d","Within 14d"))),"Out of scope")</x:f>
        <x:v>Watch &gt;14d</x:v>
      </x:c>
    </x:row>
    <x:row r="265" ht="24" customHeight="1">
      <x:c r="A265" t="str">
        <x:v>6a4092a7-1ec0-4549-b5c6-8f6debfc48a7</x:v>
      </x:c>
      <x:c r="B265" t="str">
        <x:v>CSSP10908021</x:v>
      </x:c>
      <x:c r="C265" t="str">
        <x:v>nurainhayati.zahari@petronas.com</x:v>
      </x:c>
      <x:c r="D265" t="str">
        <x:v>decommission-cloud</x:v>
      </x:c>
      <x:c r="E265" t="str">
        <x:v>completed</x:v>
      </x:c>
      <x:c r="F265" t="n">
        <x:v>46204.17052630787</x:v>
      </x:c>
      <x:c r="G265" t="n">
        <x:v>46232.17943157408</x:v>
      </x:c>
      <x:c r="H265" t="n">
        <x:v>46204.17052630787</x:v>
      </x:c>
      <x:c r="I265" t="str">
        <x:v>Oil Logistics Accounting and Shipping System - OAS</x:v>
      </x:c>
      <x:c r="J265" t="str">
        <x:v>OCI MIGRATION - OAS Billing System, ODM Tank Browser, Oil Logistics, Accounting and Shipping System (OAS) Prod</x:v>
      </x:c>
      <x:c r="K265" t="str">
        <x:v>partial</x:v>
      </x:c>
      <x:c r="L265"/>
      <x:c r="M265" t="str">
        <x:v>sazali.mokhtar@petronas.com.my</x:v>
      </x:c>
      <x:c r="N265"/>
      <x:c r="O265"/>
      <x:c r="P265" t="str">
        <x:v>Cloud Repatriation - Decommission old resources in SG region due to completed migration in MY region</x:v>
      </x:c>
      <x:c r="Q265" t="str">
        <x:v>2W</x:v>
      </x:c>
      <x:c r="R265" t="str">
        <x:v>Cloud Migration</x:v>
      </x:c>
      <x:c r="S265"/>
      <x:c r="T265" t="str">
        <x:v>approved</x:v>
      </x:c>
      <x:c r="U265" t="str">
        <x:v>nurainhayati.zahari@petronas.com</x:v>
      </x:c>
      <x:c r="V265" t="n">
        <x:v>46204.17072877315</x:v>
      </x:c>
      <x:c r="W265" t="str">
        <x:v>Cloud Repatriation - Decommission old resources in SG region due to completed migration in MY region</x:v>
      </x:c>
      <x:c r="X265" t="str">
        <x:v>approved</x:v>
      </x:c>
      <x:c r="Y265" t="str">
        <x:v>sazali.mokhtar@petronas.com</x:v>
      </x:c>
      <x:c r="Z265" t="n">
        <x:v>46204.18408857639</x:v>
      </x:c>
      <x:c r="AA265" t="str">
        <x:v>Cloud Repatriation - Decommission old resources in SG region due to completed migration in MY region</x:v>
      </x:c>
      <x:c r="AB265" t="str">
        <x:v>approved</x:v>
      </x:c>
      <x:c r="AC265" t="str">
        <x:v>abhishek.bhowate@petronas.com</x:v>
      </x:c>
      <x:c r="AD265" t="n">
        <x:v>46220.25117841435</x:v>
      </x:c>
      <x:c r="AE265" t="str">
        <x:v>okay</x:v>
      </x:c>
      <x:c r="AF265" t="str">
        <x:v>approved</x:v>
      </x:c>
      <x:c r="AG265" t="str">
        <x:v>swaminadh.chirakala@petronas.com</x:v>
      </x:c>
      <x:c r="AH265" t="n">
        <x:v>46232.17943157408</x:v>
      </x:c>
      <x:c r="AI265" t="str">
        <x:v>Decommissioning of the mentioned resources has been performed successfully during the execution of RFC. Hence closing the request.</x:v>
      </x:c>
      <x:c r="AJ265" t="str">
        <x:v>A-000509</x:v>
      </x:c>
      <x:c r="AK265" t="str">
        <x:v>OCI-00035</x:v>
      </x:c>
      <x:c r="AL265" t="str">
        <x:v>M</x:v>
      </x:c>
      <x:c r="AM265" t="str">
        <x:v>REQ000008176356</x:v>
      </x:c>
      <x:c r="AN265" t="str">
        <x:v>noretention</x:v>
      </x:c>
      <x:c r="AO265" t="n">
        <x:v>0</x:v>
      </x:c>
      <x:c r="AP265" s="23" t="str">
        <x:f>IF(E265="processing",IF(Z265="","",IF(ISNUMBER(Z265),INT(Z265),DATE(VALUE(LEFT(Z265,4)),VALUE(MID(Z265,6,2)),VALUE(MID(Z265,9,2))))),IF(OR(E265="executing",E265="pending"),IF(AD265="","",IF(ISNUMBER(AD265),INT(AD265),DATE(VALUE(LEFT(AD265,4)),VALUE(MID(AD265,6,2)),VALUE(MID(AD265,9,2))))),""))</x:f>
      </x:c>
      <x:c r="AQ265" s="24" t="str">
        <x:f>IF(AP265="","",INT('Configuration'!$B$4)-AP265)</x:f>
      </x:c>
      <x:c r="AR265" s="25" t="str">
        <x:f>IF(AP265="","Missing Required Date",IF(AQ265&lt;0,"Future Date",IF(AQ265=0,"0 days",IF(AQ265&lt;=2,"1-2 days",IF(AQ265&lt;=7,"3-7 days",IF(AQ265&lt;=14,"8-14 days",IF(AQ265&lt;=30,"15-30 days",IF(AQ265&lt;=60,"31-60 days",IF(AQ265&lt;=70,"61-70 days","71+ days")))))))))</x:f>
        <x:v>Missing Required Date</x:v>
      </x:c>
      <x:c r="AS265" s="25" t="str">
        <x:f>IF(OR(E265="processing",E265="executing",E265="pending"),IF(AP265="","Required aging date missing",IF(AQ265&gt;30,"Escalate &gt;30d",IF(AQ265&gt;14,"Watch &gt;14d","Within 14d"))),"Out of scope")</x:f>
        <x:v>Out of scope</x:v>
      </x:c>
    </x:row>
    <x:row r="266" ht="24" customHeight="1">
      <x:c r="A266" t="str">
        <x:v>15681d19-6101-4f86-954b-2d509566a338</x:v>
      </x:c>
      <x:c r="B266" t="str">
        <x:v>CSSP10523448</x:v>
      </x:c>
      <x:c r="C266" t="str">
        <x:v>nurainhayati.zahari@petronas.com</x:v>
      </x:c>
      <x:c r="D266" t="str">
        <x:v>decommission-cloud</x:v>
      </x:c>
      <x:c r="E266" t="str">
        <x:v>executing</x:v>
      </x:c>
      <x:c r="F266" t="n">
        <x:v>46204.17176372685</x:v>
      </x:c>
      <x:c r="G266" t="n">
        <x:v>46231.20315226852</x:v>
      </x:c>
      <x:c r="H266" t="n">
        <x:v>46204.17176372685</x:v>
      </x:c>
      <x:c r="I266" t="str">
        <x:v>Oil Logistics Accounting and Shipping System - OAS</x:v>
      </x:c>
      <x:c r="J266" t="str">
        <x:v>OCI MIGRATION - Oil Logistics, Accounting and Shipping System (OAS)</x:v>
      </x:c>
      <x:c r="K266" t="str">
        <x:v>partial</x:v>
      </x:c>
      <x:c r="L266"/>
      <x:c r="M266" t="str">
        <x:v>sazali.mokhtar@petronas.com.my</x:v>
      </x:c>
      <x:c r="N266"/>
      <x:c r="O266"/>
      <x:c r="P266" t="str">
        <x:v>Cloud Repatriation - Decommission old resources in SG region due to completed migration in MY region</x:v>
      </x:c>
      <x:c r="Q266" t="str">
        <x:v>2W</x:v>
      </x:c>
      <x:c r="R266" t="str">
        <x:v>Cloud Migration</x:v>
      </x:c>
      <x:c r="S266"/>
      <x:c r="T266" t="str">
        <x:v>approved</x:v>
      </x:c>
      <x:c r="U266" t="str">
        <x:v>nurainhayati.zahari@petronas.com</x:v>
      </x:c>
      <x:c r="V266" t="n">
        <x:v>46204.172948645835</x:v>
      </x:c>
      <x:c r="W266" t="str">
        <x:v>Cloud Repatriation - Decommission old resources in SG region due to completed migration in MY region</x:v>
      </x:c>
      <x:c r="X266" t="str">
        <x:v>approved</x:v>
      </x:c>
      <x:c r="Y266" t="str">
        <x:v>sazali.mokhtar@petronas.com</x:v>
      </x:c>
      <x:c r="Z266" t="n">
        <x:v>46204.18341013889</x:v>
      </x:c>
      <x:c r="AA266" t="str">
        <x:v>Cloud Repatriation - Decommission old resources in SG region due to completed migration in MY region</x:v>
      </x:c>
      <x:c r="AB266" t="str">
        <x:v>approved</x:v>
      </x:c>
      <x:c r="AC266" t="str">
        <x:v>abhishek.bhowate@petronas.com</x:v>
      </x:c>
      <x:c r="AD266" t="n">
        <x:v>46231.20315226852</x:v>
      </x:c>
      <x:c r="AE266" t="str">
        <x:v>Approve</x:v>
      </x:c>
      <x:c r="AF266"/>
      <x:c r="AG266" t="str">
        <x:v>venkatesh.kalikivayi@petronas.com</x:v>
      </x:c>
      <x:c r="AH266"/>
      <x:c r="AI266"/>
      <x:c r="AJ266" t="str">
        <x:v>A-000509</x:v>
      </x:c>
      <x:c r="AK266" t="str">
        <x:v>00915_207</x:v>
      </x:c>
      <x:c r="AL266" t="str">
        <x:v>L</x:v>
      </x:c>
      <x:c r="AM266" t="str">
        <x:v>REQ000008198635</x:v>
      </x:c>
      <x:c r="AN266" t="str">
        <x:v>noretention</x:v>
      </x:c>
      <x:c r="AO266" t="n">
        <x:v>0</x:v>
      </x:c>
      <x:c r="AP266" s="23" t="n">
        <x:f>IF(E266="processing",IF(Z266="","",IF(ISNUMBER(Z266),INT(Z266),DATE(VALUE(LEFT(Z266,4)),VALUE(MID(Z266,6,2)),VALUE(MID(Z266,9,2))))),IF(OR(E266="executing",E266="pending"),IF(AD266="","",IF(ISNUMBER(AD266),INT(AD266),DATE(VALUE(LEFT(AD266,4)),VALUE(MID(AD266,6,2)),VALUE(MID(AD266,9,2))))),""))</x:f>
        <x:v>46231</x:v>
      </x:c>
      <x:c r="AQ266" s="24" t="n">
        <x:f>IF(AP266="","",INT('Configuration'!$B$4)-AP266)</x:f>
        <x:v>20</x:v>
      </x:c>
      <x:c r="AR266" s="25" t="str">
        <x:f>IF(AP266="","Missing Required Date",IF(AQ266&lt;0,"Future Date",IF(AQ266=0,"0 days",IF(AQ266&lt;=2,"1-2 days",IF(AQ266&lt;=7,"3-7 days",IF(AQ266&lt;=14,"8-14 days",IF(AQ266&lt;=30,"15-30 days",IF(AQ266&lt;=60,"31-60 days",IF(AQ266&lt;=70,"61-70 days","71+ days")))))))))</x:f>
        <x:v>15-30 days</x:v>
      </x:c>
      <x:c r="AS266" s="25" t="str">
        <x:f>IF(OR(E266="processing",E266="executing",E266="pending"),IF(AP266="","Required aging date missing",IF(AQ266&gt;30,"Escalate &gt;30d",IF(AQ266&gt;14,"Watch &gt;14d","Within 14d"))),"Out of scope")</x:f>
        <x:v>Watch &gt;14d</x:v>
      </x:c>
    </x:row>
    <x:row r="267" ht="24" customHeight="1">
      <x:c r="A267" t="str">
        <x:v>b930edfa-bdf0-4702-bd24-5e55144881c2</x:v>
      </x:c>
      <x:c r="B267" t="str">
        <x:v>CSSP10264991</x:v>
      </x:c>
      <x:c r="C267" t="str">
        <x:v>nurainhayati.zahari@petronas.com</x:v>
      </x:c>
      <x:c r="D267" t="str">
        <x:v>decommission-cloud</x:v>
      </x:c>
      <x:c r="E267" t="str">
        <x:v>executing</x:v>
      </x:c>
      <x:c r="F267" t="n">
        <x:v>46204.1736321412</x:v>
      </x:c>
      <x:c r="G267" t="n">
        <x:v>46239.623320162034</x:v>
      </x:c>
      <x:c r="H267" t="n">
        <x:v>46204.1736321412</x:v>
      </x:c>
      <x:c r="I267" t="str">
        <x:v>Oil Logistics Accounting and Shipping System - OAS</x:v>
      </x:c>
      <x:c r="J267" t="str">
        <x:v>Cloud Migration Program- Oil Logistics, Accounting and Shipping System (OAS)</x:v>
      </x:c>
      <x:c r="K267" t="str">
        <x:v>partial</x:v>
      </x:c>
      <x:c r="L267"/>
      <x:c r="M267" t="str">
        <x:v>sazali.mokhtar@petronas.com.my</x:v>
      </x:c>
      <x:c r="N267"/>
      <x:c r="O267"/>
      <x:c r="P267" t="str">
        <x:v>Cloud Repatriation - Decommission old resources in SG region due to completed migration in MY region</x:v>
      </x:c>
      <x:c r="Q267" t="str">
        <x:v>2W</x:v>
      </x:c>
      <x:c r="R267" t="str">
        <x:v>Cloud Migration</x:v>
      </x:c>
      <x:c r="S267"/>
      <x:c r="T267" t="str">
        <x:v>approved</x:v>
      </x:c>
      <x:c r="U267" t="str">
        <x:v>nurainhayati.zahari@petronas.com</x:v>
      </x:c>
      <x:c r="V267" t="n">
        <x:v>46204.174811805555</x:v>
      </x:c>
      <x:c r="W267" t="str">
        <x:v>Cloud Repatriation - Decommission old resources in SG region due to completed migration in MY region</x:v>
      </x:c>
      <x:c r="X267" t="str">
        <x:v>approved</x:v>
      </x:c>
      <x:c r="Y267" t="str">
        <x:v>sazali.mokhtar@petronas.com</x:v>
      </x:c>
      <x:c r="Z267" t="n">
        <x:v>46204.18298788195</x:v>
      </x:c>
      <x:c r="AA267" t="str">
        <x:v>Cloud Repatriation - Decommission old resources in SG region due to completed migration in MY region</x:v>
      </x:c>
      <x:c r="AB267" t="str">
        <x:v>approved</x:v>
      </x:c>
      <x:c r="AC267" t="str">
        <x:v>abhishek.bhowate@petronas.com</x:v>
      </x:c>
      <x:c r="AD267" t="n">
        <x:v>46239.623320162034</x:v>
      </x:c>
      <x:c r="AE267" t="str">
        <x:v>approved</x:v>
      </x:c>
      <x:c r="AF267"/>
      <x:c r="AG267" t="str">
        <x:v>swaminadh.chirakala@petronas.com</x:v>
      </x:c>
      <x:c r="AH267"/>
      <x:c r="AI267"/>
      <x:c r="AJ267" t="str">
        <x:v>A-000509</x:v>
      </x:c>
      <x:c r="AK267" t="str">
        <x:v>00915_207</x:v>
      </x:c>
      <x:c r="AL267" t="str">
        <x:v>M</x:v>
      </x:c>
      <x:c r="AM267" t="str">
        <x:v>REQ000008222181</x:v>
      </x:c>
      <x:c r="AN267" t="str">
        <x:v>noretention</x:v>
      </x:c>
      <x:c r="AO267" t="n">
        <x:v>0</x:v>
      </x:c>
      <x:c r="AP267" s="23" t="n">
        <x:f>IF(E267="processing",IF(Z267="","",IF(ISNUMBER(Z267),INT(Z267),DATE(VALUE(LEFT(Z267,4)),VALUE(MID(Z267,6,2)),VALUE(MID(Z267,9,2))))),IF(OR(E267="executing",E267="pending"),IF(AD267="","",IF(ISNUMBER(AD267),INT(AD267),DATE(VALUE(LEFT(AD267,4)),VALUE(MID(AD267,6,2)),VALUE(MID(AD267,9,2))))),""))</x:f>
        <x:v>46239</x:v>
      </x:c>
      <x:c r="AQ267" s="24" t="n">
        <x:f>IF(AP267="","",INT('Configuration'!$B$4)-AP267)</x:f>
        <x:v>12</x:v>
      </x:c>
      <x:c r="AR267" s="25" t="str">
        <x:f>IF(AP267="","Missing Required Date",IF(AQ267&lt;0,"Future Date",IF(AQ267=0,"0 days",IF(AQ267&lt;=2,"1-2 days",IF(AQ267&lt;=7,"3-7 days",IF(AQ267&lt;=14,"8-14 days",IF(AQ267&lt;=30,"15-30 days",IF(AQ267&lt;=60,"31-60 days",IF(AQ267&lt;=70,"61-70 days","71+ days")))))))))</x:f>
        <x:v>8-14 days</x:v>
      </x:c>
      <x:c r="AS267" s="25" t="str">
        <x:f>IF(OR(E267="processing",E267="executing",E267="pending"),IF(AP267="","Required aging date missing",IF(AQ267&gt;30,"Escalate &gt;30d",IF(AQ267&gt;14,"Watch &gt;14d","Within 14d"))),"Out of scope")</x:f>
        <x:v>Within 14d</x:v>
      </x:c>
    </x:row>
    <x:row r="268" ht="24" customHeight="1">
      <x:c r="A268" t="str">
        <x:v>36a8f759-d88a-4e82-9f98-a28dc0691012</x:v>
      </x:c>
      <x:c r="B268" t="str">
        <x:v>CSSP10220457</x:v>
      </x:c>
      <x:c r="C268" t="str">
        <x:v>nurainhayati.zahari@petronas.com</x:v>
      </x:c>
      <x:c r="D268" t="str">
        <x:v>decommission-cloud</x:v>
      </x:c>
      <x:c r="E268" t="str">
        <x:v>completed</x:v>
      </x:c>
      <x:c r="F268" t="n">
        <x:v>46204.17671298611</x:v>
      </x:c>
      <x:c r="G268" t="n">
        <x:v>46232.179792662035</x:v>
      </x:c>
      <x:c r="H268" t="n">
        <x:v>46204.17671298611</x:v>
      </x:c>
      <x:c r="I268" t="str">
        <x:v>Lubricant Enterprise Value Simulator - LEVS</x:v>
      </x:c>
      <x:c r="J268" t="str">
        <x:v>Development of Lubricant Enterprise Value Simulator (LEVS) tool for DCO</x:v>
      </x:c>
      <x:c r="K268" t="str">
        <x:v>partial</x:v>
      </x:c>
      <x:c r="L268"/>
      <x:c r="M268" t="str">
        <x:v>sazali.mokhtar@petronas.com.my</x:v>
      </x:c>
      <x:c r="N268"/>
      <x:c r="O268"/>
      <x:c r="P268" t="str">
        <x:v>Cloud Repatriation - Decommission old resources in SG region due to completed migration in MY region</x:v>
      </x:c>
      <x:c r="Q268" t="str">
        <x:v>2W</x:v>
      </x:c>
      <x:c r="R268" t="str">
        <x:v>Cloud Migration</x:v>
      </x:c>
      <x:c r="S268"/>
      <x:c r="T268" t="str">
        <x:v>approved</x:v>
      </x:c>
      <x:c r="U268" t="str">
        <x:v>nurainhayati.zahari@petronas.com</x:v>
      </x:c>
      <x:c r="V268" t="n">
        <x:v>46204.17848958333</x:v>
      </x:c>
      <x:c r="W268" t="str">
        <x:v>[EXCLUDE] Databricks is still running in Singapore, and accessing the following LEVS buckets in Singapore:
ptawsg-iac-prod-levs-delta-bucket
ptawsg-iac-prod-levs-bucket (we have configured with lifecycle policy to clean-up the Outsystem folder from the bucket after 30days)
Therefore, please EXCLUDE these 2 buckets from the decommission list in Singapore region.</x:v>
      </x:c>
      <x:c r="X268" t="str">
        <x:v>approved</x:v>
      </x:c>
      <x:c r="Y268" t="str">
        <x:v>sazali.mokhtar@petronas.com</x:v>
      </x:c>
      <x:c r="Z268" t="n">
        <x:v>46204.182730266206</x:v>
      </x:c>
      <x:c r="AA268" t="str">
        <x:v>Cloud Repatriation – Decommission old resources in SG region due to completed migration in MY region</x:v>
      </x:c>
      <x:c r="AB268" t="str">
        <x:v>approved</x:v>
      </x:c>
      <x:c r="AC268" t="str">
        <x:v>abhishek.bhowate@petronas.com</x:v>
      </x:c>
      <x:c r="AD268" t="n">
        <x:v>46222.87329416667</x:v>
      </x:c>
      <x:c r="AE268" t="str">
        <x:v>Approve</x:v>
      </x:c>
      <x:c r="AF268" t="str">
        <x:v>approved</x:v>
      </x:c>
      <x:c r="AG268" t="str">
        <x:v>swaminadh.chirakala@petronas.com</x:v>
      </x:c>
      <x:c r="AH268" t="n">
        <x:v>46232.179792662035</x:v>
      </x:c>
      <x:c r="AI268" t="str">
        <x:v>Decommissioning of the mentioned resources has been performed successfully during the execution of RFC. Hence closing the request.</x:v>
      </x:c>
      <x:c r="AJ268" t="str">
        <x:v>A-000421</x:v>
      </x:c>
      <x:c r="AK268" t="n">
        <x:v>3861</x:v>
      </x:c>
      <x:c r="AL268" t="str">
        <x:v>M</x:v>
      </x:c>
      <x:c r="AM268" t="str">
        <x:v>REQ000008178705</x:v>
      </x:c>
      <x:c r="AN268" t="str">
        <x:v>noretention</x:v>
      </x:c>
      <x:c r="AO268" t="n">
        <x:v>0</x:v>
      </x:c>
      <x:c r="AP268" s="23" t="str">
        <x:f>IF(E268="processing",IF(Z268="","",IF(ISNUMBER(Z268),INT(Z268),DATE(VALUE(LEFT(Z268,4)),VALUE(MID(Z268,6,2)),VALUE(MID(Z268,9,2))))),IF(OR(E268="executing",E268="pending"),IF(AD268="","",IF(ISNUMBER(AD268),INT(AD268),DATE(VALUE(LEFT(AD268,4)),VALUE(MID(AD268,6,2)),VALUE(MID(AD268,9,2))))),""))</x:f>
      </x:c>
      <x:c r="AQ268" s="24" t="str">
        <x:f>IF(AP268="","",INT('Configuration'!$B$4)-AP268)</x:f>
      </x:c>
      <x:c r="AR268" s="25" t="str">
        <x:f>IF(AP268="","Missing Required Date",IF(AQ268&lt;0,"Future Date",IF(AQ268=0,"0 days",IF(AQ268&lt;=2,"1-2 days",IF(AQ268&lt;=7,"3-7 days",IF(AQ268&lt;=14,"8-14 days",IF(AQ268&lt;=30,"15-30 days",IF(AQ268&lt;=60,"31-60 days",IF(AQ268&lt;=70,"61-70 days","71+ days")))))))))</x:f>
        <x:v>Missing Required Date</x:v>
      </x:c>
      <x:c r="AS268" s="25" t="str">
        <x:f>IF(OR(E268="processing",E268="executing",E268="pending"),IF(AP268="","Required aging date missing",IF(AQ268&gt;30,"Escalate &gt;30d",IF(AQ268&gt;14,"Watch &gt;14d","Within 14d"))),"Out of scope")</x:f>
        <x:v>Out of scope</x:v>
      </x:c>
    </x:row>
    <x:row r="269" ht="24" customHeight="1">
      <x:c r="A269" t="str">
        <x:v>cf1ebb08-aefe-4f75-b976-34be21e3ed47</x:v>
      </x:c>
      <x:c r="B269" t="str">
        <x:v>CSSP10969032</x:v>
      </x:c>
      <x:c r="C269" t="str">
        <x:v>norhamizah.hasni@petronas.com</x:v>
      </x:c>
      <x:c r="D269" t="str">
        <x:v>decommission-cloud</x:v>
      </x:c>
      <x:c r="E269" t="str">
        <x:v>executing</x:v>
      </x:c>
      <x:c r="F269" t="n">
        <x:v>46204.21245148148</x:v>
      </x:c>
      <x:c r="G269" t="n">
        <x:v>46222.87383607639</x:v>
      </x:c>
      <x:c r="H269" t="n">
        <x:v>46204.21245148148</x:v>
      </x:c>
      <x:c r="I269" t="str">
        <x:v>eSAFE MLNG</x:v>
      </x:c>
      <x:c r="J269" t="str">
        <x:v>Cloud Migration -eSAFE MLNG 2.0</x:v>
      </x:c>
      <x:c r="K269" t="str">
        <x:v>partial</x:v>
      </x:c>
      <x:c r="L269"/>
      <x:c r="M269" t="str">
        <x:v>sazali.mokhtar@petronas.com.my</x:v>
      </x:c>
      <x:c r="N269" t="str">
        <x:v>N/A</x:v>
      </x:c>
      <x:c r="O269" t="str">
        <x:v>N/A</x:v>
      </x:c>
      <x:c r="P269" t="str">
        <x:v>To decommission Singapore AWS region resources due to Cloud Repatriation Project.</x:v>
      </x:c>
      <x:c r="Q269" t="str">
        <x:v>2W</x:v>
      </x:c>
      <x:c r="R269" t="str">
        <x:v>Cloud Migration</x:v>
      </x:c>
      <x:c r="S269"/>
      <x:c r="T269" t="str">
        <x:v>approved</x:v>
      </x:c>
      <x:c r="U269" t="str">
        <x:v>norhamizah.hasni@petronas.com</x:v>
      </x:c>
      <x:c r="V269" t="n">
        <x:v>46204.21321645833</x:v>
      </x:c>
      <x:c r="W269" t="str">
        <x:v>To decommission Singapore AWS region resources due to Cloud Repatriation Project.</x:v>
      </x:c>
      <x:c r="X269" t="str">
        <x:v>approved</x:v>
      </x:c>
      <x:c r="Y269" t="str">
        <x:v>sazali.mokhtar@petronas.com</x:v>
      </x:c>
      <x:c r="Z269" t="n">
        <x:v>46205.20928371528</x:v>
      </x:c>
      <x:c r="AA269" t="str">
        <x:v>To decommission Singapore AWS region resources due to Cloud Repatriation Project.</x:v>
      </x:c>
      <x:c r="AB269" t="str">
        <x:v>approved</x:v>
      </x:c>
      <x:c r="AC269" t="str">
        <x:v>abhishek.bhowate@petronas.com</x:v>
      </x:c>
      <x:c r="AD269" t="n">
        <x:v>46222.873836099534</x:v>
      </x:c>
      <x:c r="AE269" t="str">
        <x:v>okay</x:v>
      </x:c>
      <x:c r="AF269"/>
      <x:c r="AG269" t="str">
        <x:v>sairam.villa@petronas.com</x:v>
      </x:c>
      <x:c r="AH269"/>
      <x:c r="AI269"/>
      <x:c r="AJ269" t="str">
        <x:v>A-000304</x:v>
      </x:c>
      <x:c r="AK269" t="str">
        <x:v>02421_82</x:v>
      </x:c>
      <x:c r="AL269" t="str">
        <x:v>M</x:v>
      </x:c>
      <x:c r="AM269" t="str">
        <x:v>REQ000008178706</x:v>
      </x:c>
      <x:c r="AN269" t="str">
        <x:v>noretention</x:v>
      </x:c>
      <x:c r="AO269" t="n">
        <x:v>0</x:v>
      </x:c>
      <x:c r="AP269" s="23" t="n">
        <x:f>IF(E269="processing",IF(Z269="","",IF(ISNUMBER(Z269),INT(Z269),DATE(VALUE(LEFT(Z269,4)),VALUE(MID(Z269,6,2)),VALUE(MID(Z269,9,2))))),IF(OR(E269="executing",E269="pending"),IF(AD269="","",IF(ISNUMBER(AD269),INT(AD269),DATE(VALUE(LEFT(AD269,4)),VALUE(MID(AD269,6,2)),VALUE(MID(AD269,9,2))))),""))</x:f>
        <x:v>46222</x:v>
      </x:c>
      <x:c r="AQ269" s="24" t="n">
        <x:f>IF(AP269="","",INT('Configuration'!$B$4)-AP269)</x:f>
        <x:v>29</x:v>
      </x:c>
      <x:c r="AR269" s="25" t="str">
        <x:f>IF(AP269="","Missing Required Date",IF(AQ269&lt;0,"Future Date",IF(AQ269=0,"0 days",IF(AQ269&lt;=2,"1-2 days",IF(AQ269&lt;=7,"3-7 days",IF(AQ269&lt;=14,"8-14 days",IF(AQ269&lt;=30,"15-30 days",IF(AQ269&lt;=60,"31-60 days",IF(AQ269&lt;=70,"61-70 days","71+ days")))))))))</x:f>
        <x:v>15-30 days</x:v>
      </x:c>
      <x:c r="AS269" s="25" t="str">
        <x:f>IF(OR(E269="processing",E269="executing",E269="pending"),IF(AP269="","Required aging date missing",IF(AQ269&gt;30,"Escalate &gt;30d",IF(AQ269&gt;14,"Watch &gt;14d","Within 14d"))),"Out of scope")</x:f>
        <x:v>Watch &gt;14d</x:v>
      </x:c>
    </x:row>
    <x:row r="270" ht="24" customHeight="1">
      <x:c r="A270" t="str">
        <x:v>02a4839a-8a49-4ee6-a6f9-5a1a4b25b567</x:v>
      </x:c>
      <x:c r="B270" t="str">
        <x:v>CSSP10675579</x:v>
      </x:c>
      <x:c r="C270" t="str">
        <x:v>sengchin.leong@petronas.com</x:v>
      </x:c>
      <x:c r="D270" t="str">
        <x:v>decommission-cloud</x:v>
      </x:c>
      <x:c r="E270" t="str">
        <x:v>pending</x:v>
      </x:c>
      <x:c r="F270" t="n">
        <x:v>46205.094609768516</x:v>
      </x:c>
      <x:c r="G270" t="n">
        <x:v>46205.104366747684</x:v>
      </x:c>
      <x:c r="H270" t="n">
        <x:v>46205.094609768516</x:v>
      </x:c>
      <x:c r="I270" t="str">
        <x:v>Cyber Security Zscaler Private Access</x:v>
      </x:c>
      <x:c r="J270" t="str">
        <x:v>Zscaler Private Access</x:v>
      </x:c>
      <x:c r="K270" t="str">
        <x:v>partial</x:v>
      </x:c>
      <x:c r="L270"/>
      <x:c r="M270" t="str">
        <x:v>mshafri.hatta@petronas.com</x:v>
      </x:c>
      <x:c r="N270"/>
      <x:c r="O270" t="str">
        <x:v>704D904736</x:v>
      </x:c>
      <x:c r="P270" t="str">
        <x:v>PARTIAL Decommission - disable the sub-module 
(only to disable part of component) The request is just to remove the part of component (Zscaler Decoy) for cost optimization. Component to remove: 
1. Disable for Endpoint Deception Policies and Deception Entitlement 
2. AD Decoy 
3.Please find the attached: 1. RFC Workplan 2. Script for decommission (refer to sample: ICT_RFC00161318 ) previous RFC/Ticket: ICT_RFC00187001 ICT_RFC00188777 ICT_RFC00189334 ICT_RFC00215249 ICT_RFC00215074 ICT_RFC00161318 / ICT_TAS00187969</x:v>
      </x:c>
      <x:c r="Q270" t="str">
        <x:v>1M</x:v>
      </x:c>
      <x:c r="R270" t="str">
        <x:v>End of Lease</x:v>
      </x:c>
      <x:c r="S270"/>
      <x:c r="T270" t="str">
        <x:v>approved</x:v>
      </x:c>
      <x:c r="U270" t="str">
        <x:v>sengchin.leong@petronas.com</x:v>
      </x:c>
      <x:c r="V270" t="n">
        <x:v>46205.10436675926</x:v>
      </x:c>
      <x:c r="W270" t="str">
        <x:v>Decommission for the sub-module -- ZScaler Deception Decoy</x:v>
      </x:c>
      <x:c r="X270"/>
      <x:c r="Y270" t="str">
        <x:v>mshafri.hatta@petronas.com</x:v>
      </x:c>
      <x:c r="Z270"/>
      <x:c r="AA270"/>
      <x:c r="AB270"/>
      <x:c r="AC270" t="str">
        <x:v>CCoE Business</x:v>
      </x:c>
      <x:c r="AD270"/>
      <x:c r="AE270"/>
      <x:c r="AF270"/>
      <x:c r="AG270" t="str">
        <x:v>CCoE Operations</x:v>
      </x:c>
      <x:c r="AH270"/>
      <x:c r="AI270"/>
      <x:c r="AJ270" t="str">
        <x:v>A-000185</x:v>
      </x:c>
      <x:c r="AK270" t="n">
        <x:v>2341</x:v>
      </x:c>
      <x:c r="AL270"/>
      <x:c r="AM270"/>
      <x:c r="AN270" t="str">
        <x:v>retention</x:v>
      </x:c>
      <x:c r="AO270" t="n">
        <x:v>30</x:v>
      </x:c>
      <x:c r="AP270" s="23" t="str">
        <x:f>IF(E270="processing",IF(Z270="","",IF(ISNUMBER(Z270),INT(Z270),DATE(VALUE(LEFT(Z270,4)),VALUE(MID(Z270,6,2)),VALUE(MID(Z270,9,2))))),IF(OR(E270="executing",E270="pending"),IF(AD270="","",IF(ISNUMBER(AD270),INT(AD270),DATE(VALUE(LEFT(AD270,4)),VALUE(MID(AD270,6,2)),VALUE(MID(AD270,9,2))))),""))</x:f>
      </x:c>
      <x:c r="AQ270" s="24" t="str">
        <x:f>IF(AP270="","",INT('Configuration'!$B$4)-AP270)</x:f>
      </x:c>
      <x:c r="AR270" s="25" t="str">
        <x:f>IF(AP270="","Missing Required Date",IF(AQ270&lt;0,"Future Date",IF(AQ270=0,"0 days",IF(AQ270&lt;=2,"1-2 days",IF(AQ270&lt;=7,"3-7 days",IF(AQ270&lt;=14,"8-14 days",IF(AQ270&lt;=30,"15-30 days",IF(AQ270&lt;=60,"31-60 days",IF(AQ270&lt;=70,"61-70 days","71+ days")))))))))</x:f>
        <x:v>Missing Required Date</x:v>
      </x:c>
      <x:c r="AS270" s="25" t="str">
        <x:f>IF(OR(E270="processing",E270="executing",E270="pending"),IF(AP270="","Required aging date missing",IF(AQ270&gt;30,"Escalate &gt;30d",IF(AQ270&gt;14,"Watch &gt;14d","Within 14d"))),"Out of scope")</x:f>
        <x:v>Required aging date missing</x:v>
      </x:c>
    </x:row>
    <x:row r="271" ht="24" customHeight="1">
      <x:c r="A271" t="str">
        <x:v>20952899-af4e-403d-9c4a-3e6421aae36c</x:v>
      </x:c>
      <x:c r="B271" t="str">
        <x:v>CSSP10339855</x:v>
      </x:c>
      <x:c r="C271" t="str">
        <x:v>azad.johari@petronas.com</x:v>
      </x:c>
      <x:c r="D271" t="str">
        <x:v>decommission-cloud</x:v>
      </x:c>
      <x:c r="E271" t="str">
        <x:v>completed</x:v>
      </x:c>
      <x:c r="F271" t="n">
        <x:v>46206.29234789352</x:v>
      </x:c>
      <x:c r="G271" t="n">
        <x:v>46239.66529978009</x:v>
      </x:c>
      <x:c r="H271" t="n">
        <x:v>46206.29234789352</x:v>
      </x:c>
      <x:c r="I271" t="str">
        <x:v>MyCareerX</x:v>
      </x:c>
      <x:c r="J271" t="str">
        <x:v>MyCareerX : SPUR/Position Profile Automation</x:v>
      </x:c>
      <x:c r="K271" t="str">
        <x:v>full</x:v>
      </x:c>
      <x:c r="L271" t="str">
        <x:v>DCOM2026070330b</x:v>
      </x:c>
      <x:c r="M271" t="str">
        <x:v>amirshazlan.mshah@petronas.com</x:v>
      </x:c>
      <x:c r="N271" t="str">
        <x:v>spur.petronas.com</x:v>
      </x:c>
      <x:c r="O271" t="str">
        <x:v>PSR02987</x:v>
      </x:c>
      <x:c r="P271" t="str">
        <x:v>Application not in use</x:v>
      </x:c>
      <x:c r="Q271" t="str">
        <x:v>2W</x:v>
      </x:c>
      <x:c r="R271" t="str">
        <x:v>Not in Used</x:v>
      </x:c>
      <x:c r="S271"/>
      <x:c r="T271" t="str">
        <x:v>approved</x:v>
      </x:c>
      <x:c r="U271" t="str">
        <x:v>azad.johari@petronas.com</x:v>
      </x:c>
      <x:c r="V271" t="n">
        <x:v>46206.295955381946</x:v>
      </x:c>
      <x:c r="W271" t="str">
        <x:v>SPUR Automation on Power Apps</x:v>
      </x:c>
      <x:c r="X271" t="str">
        <x:v>approved</x:v>
      </x:c>
      <x:c r="Y271" t="str">
        <x:v>amirshazlan.mshah@petronas.com</x:v>
      </x:c>
      <x:c r="Z271" t="n">
        <x:v>46216.1534702662</x:v>
      </x:c>
      <x:c r="AA271" t="str">
        <x:v>approved</x:v>
      </x:c>
      <x:c r="AB271" t="str">
        <x:v>approved</x:v>
      </x:c>
      <x:c r="AC271" t="str">
        <x:v>abhishek.bhowate@petronas.com</x:v>
      </x:c>
      <x:c r="AD271" t="n">
        <x:v>46222.874689780096</x:v>
      </x:c>
      <x:c r="AE271" t="str">
        <x:v>Approve</x:v>
      </x:c>
      <x:c r="AF271" t="str">
        <x:v>approved</x:v>
      </x:c>
      <x:c r="AG271" t="str">
        <x:v>swaminadh.chirakala@petronas.com</x:v>
      </x:c>
      <x:c r="AH271" t="n">
        <x:v>46239.66529978009</x:v>
      </x:c>
      <x:c r="AI271" t="str">
        <x:v>Decommissioning of the resources have been done successfully during the change execution.</x:v>
      </x:c>
      <x:c r="AJ271" t="str">
        <x:v>A-000474</x:v>
      </x:c>
      <x:c r="AK271" t="n">
        <x:v>2987</x:v>
      </x:c>
      <x:c r="AL271" t="str">
        <x:v>L</x:v>
      </x:c>
      <x:c r="AM271" t="str">
        <x:v>REQ000008178707</x:v>
      </x:c>
      <x:c r="AN271" t="str">
        <x:v>disposal</x:v>
      </x:c>
      <x:c r="AO271" t="n">
        <x:v>0</x:v>
      </x:c>
      <x:c r="AP271" s="23" t="str">
        <x:f>IF(E271="processing",IF(Z271="","",IF(ISNUMBER(Z271),INT(Z271),DATE(VALUE(LEFT(Z271,4)),VALUE(MID(Z271,6,2)),VALUE(MID(Z271,9,2))))),IF(OR(E271="executing",E271="pending"),IF(AD271="","",IF(ISNUMBER(AD271),INT(AD271),DATE(VALUE(LEFT(AD271,4)),VALUE(MID(AD271,6,2)),VALUE(MID(AD271,9,2))))),""))</x:f>
      </x:c>
      <x:c r="AQ271" s="24" t="str">
        <x:f>IF(AP271="","",INT('Configuration'!$B$4)-AP271)</x:f>
      </x:c>
      <x:c r="AR271" s="25" t="str">
        <x:f>IF(AP271="","Missing Required Date",IF(AQ271&lt;0,"Future Date",IF(AQ271=0,"0 days",IF(AQ271&lt;=2,"1-2 days",IF(AQ271&lt;=7,"3-7 days",IF(AQ271&lt;=14,"8-14 days",IF(AQ271&lt;=30,"15-30 days",IF(AQ271&lt;=60,"31-60 days",IF(AQ271&lt;=70,"61-70 days","71+ days")))))))))</x:f>
        <x:v>Missing Required Date</x:v>
      </x:c>
      <x:c r="AS271" s="25" t="str">
        <x:f>IF(OR(E271="processing",E271="executing",E271="pending"),IF(AP271="","Required aging date missing",IF(AQ271&gt;30,"Escalate &gt;30d",IF(AQ271&gt;14,"Watch &gt;14d","Within 14d"))),"Out of scope")</x:f>
        <x:v>Out of scope</x:v>
      </x:c>
    </x:row>
    <x:row r="272" ht="24" customHeight="1">
      <x:c r="A272" t="str">
        <x:v>025d7b9a-22bd-4260-9db1-df428543c9b1</x:v>
      </x:c>
      <x:c r="B272" t="str">
        <x:v>CSSP10806185</x:v>
      </x:c>
      <x:c r="C272" t="str">
        <x:v>faiz.noorhasim@petronas.com</x:v>
      </x:c>
      <x:c r="D272" t="str">
        <x:v>decommission-cloud</x:v>
      </x:c>
      <x:c r="E272" t="str">
        <x:v>rejected</x:v>
      </x:c>
      <x:c r="F272" t="n">
        <x:v>46206.32069577547</x:v>
      </x:c>
      <x:c r="G272" t="n">
        <x:v>46206.33159288194</x:v>
      </x:c>
      <x:c r="H272" t="n">
        <x:v>46206.32069577547</x:v>
      </x:c>
      <x:c r="I272" t="str">
        <x:v>Enterprise Data Protection and Recovery - EDPR</x:v>
      </x:c>
      <x:c r="J272" t="str">
        <x:v>Enterprise Data Protection and Recovery (EPDR)</x:v>
      </x:c>
      <x:c r="K272" t="str">
        <x:v>partial</x:v>
      </x:c>
      <x:c r="L272"/>
      <x:c r="M272" t="str">
        <x:v>mohamadfildza.moham@petronas.com</x:v>
      </x:c>
      <x:c r="N272"/>
      <x:c r="O272"/>
      <x:c r="P272" t="str">
        <x:v>PTSG-3NBMS01 and PTSG-3NBCP01 are Azure virtual machines that were previously deployed to support the NetBackup solution for protecting Azure-hosted resources.
Reason for Decommissioning
These servers are no longer required and have been unused due to the organization's transition from NetBackup to Azure Backup for Azure resource protection.
The key justifications are:
Service No Longer in Use
The NetBackup infrastructure hosted on PTSG-3NBMS01 and PTSG-3NBCP01 is no longer utilized for backup operations.
Backup responsibilities for Azure resources have been fully migrated to Azure Backup.
Cost Optimization
Retaining the VMs incurs ongoing Azure infrastructure costs, including compute, storage, and associated operational overhead.
Decommissioning the servers will eliminate unnecessary expenses for unused resources.
Improved Backup Architecture
Azure Backup provides a native and more direct approach to protecting Azure resources.
The solution eliminates the need for additional backup servers, hardware infrastructure, and third-party backup licensing requirements.
Operational Simplification
Removing the unused NetBackup components reduces system complexity and administrative effort.
This aligns with cloud-native best practices by leveraging Azure's built-in backup and recovery capabilities.
Security and Governance
Decommissioning unused systems reduces the attack surface and minimizes risks associated with maintaining inactive infrastructure.
It also improves overall asset governance by removing obsolete resources from the environment.
Conclusion
Since Azure Backup has fully assumed the backup and recovery responsibilities for Azure resources, and the NetBackup servers PTSG-3NBMS01 and PTSG-3NBCP01 are no longer operationally required, it is recommended to decommission these VMs to optimize costs, simplify operations, and eliminate unnecessary infrastructure.</x:v>
      </x:c>
      <x:c r="Q272" t="str">
        <x:v>2W</x:v>
      </x:c>
      <x:c r="R272" t="str">
        <x:v>Not in Used</x:v>
      </x:c>
      <x:c r="S272"/>
      <x:c r="T272" t="str">
        <x:v>approved</x:v>
      </x:c>
      <x:c r="U272" t="str">
        <x:v>faiz.noorhasim@petronas.com</x:v>
      </x:c>
      <x:c r="V272" t="n">
        <x:v>46206.32314324074</x:v>
      </x:c>
      <x:c r="W272" t="str">
        <x:v>PTSG-3NBMS01 and PTSG-3NBCP01 were deployed to support the NetBackup solution for Azure resource protection. These servers are no longer required following the migration to Azure Backup.</x:v>
      </x:c>
      <x:c r="X272" t="str">
        <x:v>rejected</x:v>
      </x:c>
      <x:c r="Y272" t="str">
        <x:v>mohamadfildza.moham@petronas.com</x:v>
      </x:c>
      <x:c r="Z272" t="n">
        <x:v>46206.331592905095</x:v>
      </x:c>
      <x:c r="AA272" t="str">
        <x:v>please review the list of resources to be decom. seems like not only 2 vm to be decom</x:v>
      </x:c>
      <x:c r="AB272"/>
      <x:c r="AC272" t="str">
        <x:v>CCoE Business</x:v>
      </x:c>
      <x:c r="AD272"/>
      <x:c r="AE272"/>
      <x:c r="AF272"/>
      <x:c r="AG272" t="str">
        <x:v>CCoE Operations</x:v>
      </x:c>
      <x:c r="AH272"/>
      <x:c r="AI272"/>
      <x:c r="AJ272" t="str">
        <x:v>C-000041</x:v>
      </x:c>
      <x:c r="AK272" t="str">
        <x:v>OSR00242</x:v>
      </x:c>
      <x:c r="AL272"/>
      <x:c r="AM272"/>
      <x:c r="AN272" t="str">
        <x:v>noretention</x:v>
      </x:c>
      <x:c r="AO272" t="n">
        <x:v>0</x:v>
      </x:c>
      <x:c r="AP272" s="23" t="str">
        <x:f>IF(E272="processing",IF(Z272="","",IF(ISNUMBER(Z272),INT(Z272),DATE(VALUE(LEFT(Z272,4)),VALUE(MID(Z272,6,2)),VALUE(MID(Z272,9,2))))),IF(OR(E272="executing",E272="pending"),IF(AD272="","",IF(ISNUMBER(AD272),INT(AD272),DATE(VALUE(LEFT(AD272,4)),VALUE(MID(AD272,6,2)),VALUE(MID(AD272,9,2))))),""))</x:f>
      </x:c>
      <x:c r="AQ272" s="24" t="str">
        <x:f>IF(AP272="","",INT('Configuration'!$B$4)-AP272)</x:f>
      </x:c>
      <x:c r="AR272" s="25" t="str">
        <x:f>IF(AP272="","Missing Required Date",IF(AQ272&lt;0,"Future Date",IF(AQ272=0,"0 days",IF(AQ272&lt;=2,"1-2 days",IF(AQ272&lt;=7,"3-7 days",IF(AQ272&lt;=14,"8-14 days",IF(AQ272&lt;=30,"15-30 days",IF(AQ272&lt;=60,"31-60 days",IF(AQ272&lt;=70,"61-70 days","71+ days")))))))))</x:f>
        <x:v>Missing Required Date</x:v>
      </x:c>
      <x:c r="AS272" s="25" t="str">
        <x:f>IF(OR(E272="processing",E272="executing",E272="pending"),IF(AP272="","Required aging date missing",IF(AQ272&gt;30,"Escalate &gt;30d",IF(AQ272&gt;14,"Watch &gt;14d","Within 14d"))),"Out of scope")</x:f>
        <x:v>Out of scope</x:v>
      </x:c>
    </x:row>
    <x:row r="273" ht="24" customHeight="1">
      <x:c r="A273" t="str">
        <x:v>728acaef-77b2-4981-bb14-d497f289eb97</x:v>
      </x:c>
      <x:c r="B273" t="str">
        <x:v>CSSP10689831</x:v>
      </x:c>
      <x:c r="C273" t="str">
        <x:v>faiz.noorhasim@petronas.com</x:v>
      </x:c>
      <x:c r="D273" t="str">
        <x:v>decommission-cloud</x:v>
      </x:c>
      <x:c r="E273" t="str">
        <x:v>executing</x:v>
      </x:c>
      <x:c r="F273" t="n">
        <x:v>46206.33567287037</x:v>
      </x:c>
      <x:c r="G273" t="n">
        <x:v>46239.623100185185</x:v>
      </x:c>
      <x:c r="H273" t="n">
        <x:v>46206.33567287037</x:v>
      </x:c>
      <x:c r="I273" t="str">
        <x:v>Enterprise Data Protection and Recovery - EDPR</x:v>
      </x:c>
      <x:c r="J273" t="str">
        <x:v>Enterprise Data Protection and Recovery (EPDR)</x:v>
      </x:c>
      <x:c r="K273" t="str">
        <x:v>partial</x:v>
      </x:c>
      <x:c r="L273"/>
      <x:c r="M273" t="str">
        <x:v>mohamadfildza.moham@petronas.com</x:v>
      </x:c>
      <x:c r="N273"/>
      <x:c r="O273"/>
      <x:c r="P273" t="str">
        <x:v>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 The key justifications are (1) Service No Longer in Use. (2) Cost Optimization (3) Improved Backup Architecture Azure Backup (4) Operational Simplification (5) Security and Governance.</x:v>
      </x:c>
      <x:c r="Q273" t="str">
        <x:v>2W</x:v>
      </x:c>
      <x:c r="R273" t="str">
        <x:v>Not in Used</x:v>
      </x:c>
      <x:c r="S273"/>
      <x:c r="T273" t="str">
        <x:v>approved</x:v>
      </x:c>
      <x:c r="U273" t="str">
        <x:v>faiz.noorhasim@petronas.com</x:v>
      </x:c>
      <x:c r="V273" t="n">
        <x:v>46206.33731820602</x:v>
      </x:c>
      <x:c r="W273" t="str">
        <x:v>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x:v>
      </x:c>
      <x:c r="X273" t="str">
        <x:v>approved</x:v>
      </x:c>
      <x:c r="Y273" t="str">
        <x:v>mohamadfildza.moham@petronas.com</x:v>
      </x:c>
      <x:c r="Z273" t="n">
        <x:v>46206.339653125</x:v>
      </x:c>
      <x:c r="AA273" t="str">
        <x:v>reviewed and approved</x:v>
      </x:c>
      <x:c r="AB273" t="str">
        <x:v>approved</x:v>
      </x:c>
      <x:c r="AC273" t="str">
        <x:v>abhishek.bhowate@petronas.com</x:v>
      </x:c>
      <x:c r="AD273" t="n">
        <x:v>46239.62310019676</x:v>
      </x:c>
      <x:c r="AE273" t="str">
        <x:v>approved</x:v>
      </x:c>
      <x:c r="AF273"/>
      <x:c r="AG273" t="str">
        <x:v>amarja.kawade@petronas.com</x:v>
      </x:c>
      <x:c r="AH273"/>
      <x:c r="AI273"/>
      <x:c r="AJ273" t="str">
        <x:v>C-000041</x:v>
      </x:c>
      <x:c r="AK273" t="str">
        <x:v>OSR00242</x:v>
      </x:c>
      <x:c r="AL273" t="str">
        <x:v>S</x:v>
      </x:c>
      <x:c r="AM273" t="str">
        <x:v>REQ000008222180</x:v>
      </x:c>
      <x:c r="AN273" t="str">
        <x:v>noretention</x:v>
      </x:c>
      <x:c r="AO273" t="n">
        <x:v>0</x:v>
      </x:c>
      <x:c r="AP273" s="23" t="n">
        <x:f>IF(E273="processing",IF(Z273="","",IF(ISNUMBER(Z273),INT(Z273),DATE(VALUE(LEFT(Z273,4)),VALUE(MID(Z273,6,2)),VALUE(MID(Z273,9,2))))),IF(OR(E273="executing",E273="pending"),IF(AD273="","",IF(ISNUMBER(AD273),INT(AD273),DATE(VALUE(LEFT(AD273,4)),VALUE(MID(AD273,6,2)),VALUE(MID(AD273,9,2))))),""))</x:f>
        <x:v>46239</x:v>
      </x:c>
      <x:c r="AQ273" s="24" t="n">
        <x:f>IF(AP273="","",INT('Configuration'!$B$4)-AP273)</x:f>
        <x:v>12</x:v>
      </x:c>
      <x:c r="AR273" s="25" t="str">
        <x:f>IF(AP273="","Missing Required Date",IF(AQ273&lt;0,"Future Date",IF(AQ273=0,"0 days",IF(AQ273&lt;=2,"1-2 days",IF(AQ273&lt;=7,"3-7 days",IF(AQ273&lt;=14,"8-14 days",IF(AQ273&lt;=30,"15-30 days",IF(AQ273&lt;=60,"31-60 days",IF(AQ273&lt;=70,"61-70 days","71+ days")))))))))</x:f>
        <x:v>8-14 days</x:v>
      </x:c>
      <x:c r="AS273" s="25" t="str">
        <x:f>IF(OR(E273="processing",E273="executing",E273="pending"),IF(AP273="","Required aging date missing",IF(AQ273&gt;30,"Escalate &gt;30d",IF(AQ273&gt;14,"Watch &gt;14d","Within 14d"))),"Out of scope")</x:f>
        <x:v>Within 14d</x:v>
      </x:c>
    </x:row>
    <x:row r="274" ht="24" customHeight="1">
      <x:c r="A274" t="str">
        <x:v>baa843d0-dadd-4700-8822-0961fcc1174e</x:v>
      </x:c>
      <x:c r="B274" t="str">
        <x:v>CSSP10707625</x:v>
      </x:c>
      <x:c r="C274" t="str">
        <x:v>marziah.mahmod@petronas.com</x:v>
      </x:c>
      <x:c r="D274" t="str">
        <x:v>decommission-cloud</x:v>
      </x:c>
      <x:c r="E274" t="str">
        <x:v>cancelled</x:v>
      </x:c>
      <x:c r="F274" t="n">
        <x:v>46206.37225483797</x:v>
      </x:c>
      <x:c r="G274" t="n">
        <x:v>46237.20088787037</x:v>
      </x:c>
      <x:c r="H274" t="n">
        <x:v>46237.192279930554</x:v>
      </x:c>
      <x:c r="I274" t="str">
        <x:v>Plant Information - PI Hub Downstream</x:v>
      </x:c>
      <x:c r="J274" t="str">
        <x:v>CTP Old to New LZ - Enterprise PI Hub Downstream</x:v>
      </x:c>
      <x:c r="K274" t="str">
        <x:v>full</x:v>
      </x:c>
      <x:c r="L274" t="str">
        <x:v>DCOM20260703877</x:v>
      </x:c>
      <x:c r="M274" t="str">
        <x:v>mohammadsani.johari@petronas.com.my</x:v>
      </x:c>
      <x:c r="N274" t="str">
        <x:v>PTAWSG-1PIDAF01;10.102.21.163 PTAWSG-1PIDAF02;10.102.22.191 PTAWSG-1PIDDB01;10.85.69.81 PTAWSG-1PIBADB2;10.85.69.239</x:v>
      </x:c>
      <x:c r="O274"/>
      <x:c r="P274" t="str">
        <x:v>Cloud Migration
PTAWSG-1PIDAF01;10.102.21.163
PTAWSG-1PIDAF02;10.102.22.191
PTAWSG-1PIDDB01;10.85.69.81
PTAWSG-1PIBADB2;10.85.69.239</x:v>
      </x:c>
      <x:c r="Q274" t="str">
        <x:v>2W</x:v>
      </x:c>
      <x:c r="R274" t="str">
        <x:v>Cloud Migration</x:v>
      </x:c>
      <x:c r="S274"/>
      <x:c r="T274" t="str">
        <x:v>rejected</x:v>
      </x:c>
      <x:c r="U274" t="str">
        <x:v>marziah.mahmod@petronas.com</x:v>
      </x:c>
      <x:c r="V274" t="n">
        <x:v>46237.20088788195</x:v>
      </x:c>
      <x:c r="W274"/>
      <x:c r="X274"/>
      <x:c r="Y274" t="str">
        <x:v>mohammadsani.johari@petronas.com</x:v>
      </x:c>
      <x:c r="Z274"/>
      <x:c r="AA274"/>
      <x:c r="AB274"/>
      <x:c r="AC274" t="str">
        <x:v>CCoE SA</x:v>
      </x:c>
      <x:c r="AD274"/>
      <x:c r="AE274"/>
      <x:c r="AF274"/>
      <x:c r="AG274" t="str">
        <x:v>IMS - CLOUD CSSP EXECUTOR</x:v>
      </x:c>
      <x:c r="AH274"/>
      <x:c r="AI274"/>
      <x:c r="AJ274" t="str">
        <x:v>A-000571</x:v>
      </x:c>
      <x:c r="AK274" t="str">
        <x:v>02421_70</x:v>
      </x:c>
      <x:c r="AL274" t="str">
        <x:v>M</x:v>
      </x:c>
      <x:c r="AM274"/>
      <x:c r="AN274" t="str">
        <x:v>noretention</x:v>
      </x:c>
      <x:c r="AO274" t="n">
        <x:v>0</x:v>
      </x:c>
      <x:c r="AP274" s="23" t="str">
        <x:f>IF(E274="processing",IF(Z274="","",IF(ISNUMBER(Z274),INT(Z274),DATE(VALUE(LEFT(Z274,4)),VALUE(MID(Z274,6,2)),VALUE(MID(Z274,9,2))))),IF(OR(E274="executing",E274="pending"),IF(AD274="","",IF(ISNUMBER(AD274),INT(AD274),DATE(VALUE(LEFT(AD274,4)),VALUE(MID(AD274,6,2)),VALUE(MID(AD274,9,2))))),""))</x:f>
      </x:c>
      <x:c r="AQ274" s="24" t="str">
        <x:f>IF(AP274="","",INT('Configuration'!$B$4)-AP274)</x:f>
      </x:c>
      <x:c r="AR274" s="25" t="str">
        <x:f>IF(AP274="","Missing Required Date",IF(AQ274&lt;0,"Future Date",IF(AQ274=0,"0 days",IF(AQ274&lt;=2,"1-2 days",IF(AQ274&lt;=7,"3-7 days",IF(AQ274&lt;=14,"8-14 days",IF(AQ274&lt;=30,"15-30 days",IF(AQ274&lt;=60,"31-60 days",IF(AQ274&lt;=70,"61-70 days","71+ days")))))))))</x:f>
        <x:v>Missing Required Date</x:v>
      </x:c>
      <x:c r="AS274" s="25" t="str">
        <x:f>IF(OR(E274="processing",E274="executing",E274="pending"),IF(AP274="","Required aging date missing",IF(AQ274&gt;30,"Escalate &gt;30d",IF(AQ274&gt;14,"Watch &gt;14d","Within 14d"))),"Out of scope")</x:f>
        <x:v>Out of scope</x:v>
      </x:c>
    </x:row>
    <x:row r="275" ht="24" customHeight="1">
      <x:c r="A275" t="str">
        <x:v>c8443339-08ee-4a54-a066-6f75687bba75</x:v>
      </x:c>
      <x:c r="B275" t="str">
        <x:v>CSSP10492699</x:v>
      </x:c>
      <x:c r="C275" t="str">
        <x:v>marziah.mahmod@petronas.com</x:v>
      </x:c>
      <x:c r="D275" t="str">
        <x:v>decommission-cloud</x:v>
      </x:c>
      <x:c r="E275" t="str">
        <x:v>cancelled</x:v>
      </x:c>
      <x:c r="F275" t="n">
        <x:v>46206.38081644676</x:v>
      </x:c>
      <x:c r="G275" t="n">
        <x:v>46237.19976795139</x:v>
      </x:c>
      <x:c r="H275" t="n">
        <x:v>46237.194642002316</x:v>
      </x:c>
      <x:c r="I275" t="str">
        <x:v>Plant Information - PI Enterprise</x:v>
      </x:c>
      <x:c r="J275" t="str">
        <x:v>CTP Old to New LZ - PI Enterprise</x:v>
      </x:c>
      <x:c r="K275" t="str">
        <x:v>full</x:v>
      </x:c>
      <x:c r="L275" t="str">
        <x:v>DCOM20260703877</x:v>
      </x:c>
      <x:c r="M275" t="str">
        <x:v>mohammadsani.johari@petronas.com.my</x:v>
      </x:c>
      <x:c r="N275" t="str">
        <x:v>PTAWSG-1PIEDB02	10.85.69.191 PTAWSG-1PIEAF02	10.102.23.112 PTAWSG-1PIEWB01	10.85.153.145 PTAWSG-PROD-PIES-WEB-INT-NLB PTAWSG-PROD-PIGNE-WEB-INT-NLB</x:v>
      </x:c>
      <x:c r="O275"/>
      <x:c r="P275" t="str">
        <x:v>Cloud Migration</x:v>
      </x:c>
      <x:c r="Q275" t="str">
        <x:v>2W</x:v>
      </x:c>
      <x:c r="R275" t="str">
        <x:v>Cloud Migration</x:v>
      </x:c>
      <x:c r="S275"/>
      <x:c r="T275" t="str">
        <x:v>rejected</x:v>
      </x:c>
      <x:c r="U275" t="str">
        <x:v>marziah.mahmod@petronas.com</x:v>
      </x:c>
      <x:c r="V275" t="n">
        <x:v>46237.199767962964</x:v>
      </x:c>
      <x:c r="W275"/>
      <x:c r="X275"/>
      <x:c r="Y275" t="str">
        <x:v>mohammadsani.johari@petronas.com</x:v>
      </x:c>
      <x:c r="Z275"/>
      <x:c r="AA275"/>
      <x:c r="AB275"/>
      <x:c r="AC275" t="str">
        <x:v>CCoE SA</x:v>
      </x:c>
      <x:c r="AD275"/>
      <x:c r="AE275"/>
      <x:c r="AF275"/>
      <x:c r="AG275" t="str">
        <x:v>IMS - CLOUD CSSP EXECUTOR</x:v>
      </x:c>
      <x:c r="AH275"/>
      <x:c r="AI275"/>
      <x:c r="AJ275" t="str">
        <x:v>A-000568</x:v>
      </x:c>
      <x:c r="AK275" t="str">
        <x:v>02421_71</x:v>
      </x:c>
      <x:c r="AL275" t="str">
        <x:v>M</x:v>
      </x:c>
      <x:c r="AM275"/>
      <x:c r="AN275" t="str">
        <x:v>noretention</x:v>
      </x:c>
      <x:c r="AO275" t="n">
        <x:v>0</x:v>
      </x:c>
      <x:c r="AP275" s="23" t="str">
        <x:f>IF(E275="processing",IF(Z275="","",IF(ISNUMBER(Z275),INT(Z275),DATE(VALUE(LEFT(Z275,4)),VALUE(MID(Z275,6,2)),VALUE(MID(Z275,9,2))))),IF(OR(E275="executing",E275="pending"),IF(AD275="","",IF(ISNUMBER(AD275),INT(AD275),DATE(VALUE(LEFT(AD275,4)),VALUE(MID(AD275,6,2)),VALUE(MID(AD275,9,2))))),""))</x:f>
      </x:c>
      <x:c r="AQ275" s="24" t="str">
        <x:f>IF(AP275="","",INT('Configuration'!$B$4)-AP275)</x:f>
      </x:c>
      <x:c r="AR275" s="25" t="str">
        <x:f>IF(AP275="","Missing Required Date",IF(AQ275&lt;0,"Future Date",IF(AQ275=0,"0 days",IF(AQ275&lt;=2,"1-2 days",IF(AQ275&lt;=7,"3-7 days",IF(AQ275&lt;=14,"8-14 days",IF(AQ275&lt;=30,"15-30 days",IF(AQ275&lt;=60,"31-60 days",IF(AQ275&lt;=70,"61-70 days","71+ days")))))))))</x:f>
        <x:v>Missing Required Date</x:v>
      </x:c>
      <x:c r="AS275" s="25" t="str">
        <x:f>IF(OR(E275="processing",E275="executing",E275="pending"),IF(AP275="","Required aging date missing",IF(AQ275&gt;30,"Escalate &gt;30d",IF(AQ275&gt;14,"Watch &gt;14d","Within 14d"))),"Out of scope")</x:f>
        <x:v>Out of scope</x:v>
      </x:c>
    </x:row>
    <x:row r="276" ht="24" customHeight="1">
      <x:c r="A276" t="str">
        <x:v>622ff61d-d02b-438a-80bc-2ff1624988ef</x:v>
      </x:c>
      <x:c r="B276" t="str">
        <x:v>CSSP10768118</x:v>
      </x:c>
      <x:c r="C276" t="str">
        <x:v>haslina.hashim@petronas.com</x:v>
      </x:c>
      <x:c r="D276" t="str">
        <x:v>decommission-cloud</x:v>
      </x:c>
      <x:c r="E276" t="str">
        <x:v>executing</x:v>
      </x:c>
      <x:c r="F276" t="n">
        <x:v>46206.46205357639</x:v>
      </x:c>
      <x:c r="G276" t="n">
        <x:v>46222.86294859953</x:v>
      </x:c>
      <x:c r="H276" t="n">
        <x:v>46206.46205357639</x:v>
      </x:c>
      <x:c r="I276" t="str">
        <x:v>Smart Planner</x:v>
      </x:c>
      <x:c r="J276" t="str">
        <x:v>Smart Planner</x:v>
      </x:c>
      <x:c r="K276" t="str">
        <x:v>partial</x:v>
      </x:c>
      <x:c r="L276"/>
      <x:c r="M276" t="str">
        <x:v>sazali.mokhtar@petronas.com.my</x:v>
      </x:c>
      <x:c r="N276"/>
      <x:c r="O276"/>
      <x:c r="P276" t="str">
        <x:v>Please Disable E1D5IQ42AOS0YC	Enabled	smartplanner.petronas.com	Standard	
djfixbe32fubn.cloudfront.net
smartplanner.petronas.com</x:v>
      </x:c>
      <x:c r="Q276" t="str">
        <x:v>2W</x:v>
      </x:c>
      <x:c r="R276" t="str">
        <x:v>Cloud Migration</x:v>
      </x:c>
      <x:c r="S276"/>
      <x:c r="T276" t="str">
        <x:v>approved</x:v>
      </x:c>
      <x:c r="U276" t="str">
        <x:v>haslina.hashim@petronas.com</x:v>
      </x:c>
      <x:c r="V276" t="n">
        <x:v>46206.4626403125</x:v>
      </x:c>
      <x:c r="W276" t="str">
        <x:v>Please Decom request for CloudFront (only 1 resource) for smart planner
djfixbe32fubn.cloudfront.net
smartplanner.petronas.com</x:v>
      </x:c>
      <x:c r="X276" t="str">
        <x:v>approved</x:v>
      </x:c>
      <x:c r="Y276" t="str">
        <x:v>sazali.mokhtar@petronas.com</x:v>
      </x:c>
      <x:c r="Z276" t="n">
        <x:v>46209.251442071756</x:v>
      </x:c>
      <x:c r="AA276" t="str">
        <x:v>Please Disable E1D5IQ42AOS0YC Enabled smartplanner.petronas.com Standard djfixbe32fubn.cloudfront.net smartplanner.petronas.com</x:v>
      </x:c>
      <x:c r="AB276" t="str">
        <x:v>approved</x:v>
      </x:c>
      <x:c r="AC276" t="str">
        <x:v>abhishek.bhowate@petronas.com</x:v>
      </x:c>
      <x:c r="AD276" t="n">
        <x:v>46222.86294859953</x:v>
      </x:c>
      <x:c r="AE276" t="str">
        <x:v>Approve</x:v>
      </x:c>
      <x:c r="AF276"/>
      <x:c r="AG276" t="str">
        <x:v>amarja.kawde@petronas.com</x:v>
      </x:c>
      <x:c r="AH276"/>
      <x:c r="AI276"/>
      <x:c r="AJ276" t="str">
        <x:v>A-001324</x:v>
      </x:c>
      <x:c r="AK276" t="str">
        <x:v>SR04727</x:v>
      </x:c>
      <x:c r="AL276" t="str">
        <x:v>S</x:v>
      </x:c>
      <x:c r="AM276" t="str">
        <x:v>REQ000008178973</x:v>
      </x:c>
      <x:c r="AN276" t="str">
        <x:v>noretention</x:v>
      </x:c>
      <x:c r="AO276" t="n">
        <x:v>0</x:v>
      </x:c>
      <x:c r="AP276" s="23" t="n">
        <x:f>IF(E276="processing",IF(Z276="","",IF(ISNUMBER(Z276),INT(Z276),DATE(VALUE(LEFT(Z276,4)),VALUE(MID(Z276,6,2)),VALUE(MID(Z276,9,2))))),IF(OR(E276="executing",E276="pending"),IF(AD276="","",IF(ISNUMBER(AD276),INT(AD276),DATE(VALUE(LEFT(AD276,4)),VALUE(MID(AD276,6,2)),VALUE(MID(AD276,9,2))))),""))</x:f>
        <x:v>46222</x:v>
      </x:c>
      <x:c r="AQ276" s="24" t="n">
        <x:f>IF(AP276="","",INT('Configuration'!$B$4)-AP276)</x:f>
        <x:v>29</x:v>
      </x:c>
      <x:c r="AR276" s="25" t="str">
        <x:f>IF(AP276="","Missing Required Date",IF(AQ276&lt;0,"Future Date",IF(AQ276=0,"0 days",IF(AQ276&lt;=2,"1-2 days",IF(AQ276&lt;=7,"3-7 days",IF(AQ276&lt;=14,"8-14 days",IF(AQ276&lt;=30,"15-30 days",IF(AQ276&lt;=60,"31-60 days",IF(AQ276&lt;=70,"61-70 days","71+ days")))))))))</x:f>
        <x:v>15-30 days</x:v>
      </x:c>
      <x:c r="AS276" s="25" t="str">
        <x:f>IF(OR(E276="processing",E276="executing",E276="pending"),IF(AP276="","Required aging date missing",IF(AQ276&gt;30,"Escalate &gt;30d",IF(AQ276&gt;14,"Watch &gt;14d","Within 14d"))),"Out of scope")</x:f>
        <x:v>Watch &gt;14d</x:v>
      </x:c>
    </x:row>
    <x:row r="277" ht="24" customHeight="1">
      <x:c r="A277" t="str">
        <x:v>3e0fe2e9-5864-49ca-92cb-3ffc32c83b2f</x:v>
      </x:c>
      <x:c r="B277" t="str">
        <x:v>CSSP10989463</x:v>
      </x:c>
      <x:c r="C277" t="str">
        <x:v>ismail.azman@petronas.com</x:v>
      </x:c>
      <x:c r="D277" t="str">
        <x:v>decommission-cloud</x:v>
      </x:c>
      <x:c r="E277" t="str">
        <x:v>executing</x:v>
      </x:c>
      <x:c r="F277" t="n">
        <x:v>46209.158434537036</x:v>
      </x:c>
      <x:c r="G277" t="n">
        <x:v>46209.168637627314</x:v>
      </x:c>
      <x:c r="H277" t="n">
        <x:v>46209.158434537036</x:v>
      </x:c>
      <x:c r="I277" t="str">
        <x:v>Cloud Self Service Portal - CSSP</x:v>
      </x:c>
      <x:c r="J277" t="str">
        <x:v>Cloud Digitization - Cloud Self Service Portal</x:v>
      </x:c>
      <x:c r="K277" t="str">
        <x:v>partial</x:v>
      </x:c>
      <x:c r="L277"/>
      <x:c r="M277" t="str">
        <x:v>ahmadfajar.faeiz@petronas.com</x:v>
      </x:c>
      <x:c r="N277"/>
      <x:c r="O277"/>
      <x:c r="P277" t="str">
        <x:v>decom test ticket</x:v>
      </x:c>
      <x:c r="Q277" t="str">
        <x:v>2W</x:v>
      </x:c>
      <x:c r="R277" t="str">
        <x:v>Obsolete</x:v>
      </x:c>
      <x:c r="S277"/>
      <x:c r="T277" t="str">
        <x:v>approved</x:v>
      </x:c>
      <x:c r="U277" t="str">
        <x:v>ismail.azman@petronas.com</x:v>
      </x:c>
      <x:c r="V277" t="n">
        <x:v>46209.159640625</x:v>
      </x:c>
      <x:c r="W277" t="str">
        <x:v>proceed to decomm</x:v>
      </x:c>
      <x:c r="X277" t="str">
        <x:v>approved</x:v>
      </x:c>
      <x:c r="Y277" t="str">
        <x:v>ismail.azman@petronas.com</x:v>
      </x:c>
      <x:c r="Z277" t="n">
        <x:v>46209.160468877315</x:v>
      </x:c>
      <x:c r="AA277" t="str">
        <x:v>good to go</x:v>
      </x:c>
      <x:c r="AB277" t="str">
        <x:v>approved</x:v>
      </x:c>
      <x:c r="AC277" t="str">
        <x:v>nilesh.sankpal@petronas.com</x:v>
      </x:c>
      <x:c r="AD277" t="n">
        <x:v>46209.16863763889</x:v>
      </x:c>
      <x:c r="AE277" t="str">
        <x:v>After review, we are ok to Decommission the mentioned resources</x:v>
      </x:c>
      <x:c r="AF277"/>
      <x:c r="AG277" t="str">
        <x:v>abhishek.bhowate@petronas.com</x:v>
      </x:c>
      <x:c r="AH277"/>
      <x:c r="AI277"/>
      <x:c r="AJ277" t="str">
        <x:v>C-000040</x:v>
      </x:c>
      <x:c r="AK277" t="n">
        <x:v>1824</x:v>
      </x:c>
      <x:c r="AL277" t="str">
        <x:v>S</x:v>
      </x:c>
      <x:c r="AM277" t="str">
        <x:v>REQ000008147460</x:v>
      </x:c>
      <x:c r="AN277" t="str">
        <x:v>noretention</x:v>
      </x:c>
      <x:c r="AO277" t="n">
        <x:v>0</x:v>
      </x:c>
      <x:c r="AP277" s="23" t="n">
        <x:f>IF(E277="processing",IF(Z277="","",IF(ISNUMBER(Z277),INT(Z277),DATE(VALUE(LEFT(Z277,4)),VALUE(MID(Z277,6,2)),VALUE(MID(Z277,9,2))))),IF(OR(E277="executing",E277="pending"),IF(AD277="","",IF(ISNUMBER(AD277),INT(AD277),DATE(VALUE(LEFT(AD277,4)),VALUE(MID(AD277,6,2)),VALUE(MID(AD277,9,2))))),""))</x:f>
        <x:v>46209</x:v>
      </x:c>
      <x:c r="AQ277" s="24" t="n">
        <x:f>IF(AP277="","",INT('Configuration'!$B$4)-AP277)</x:f>
        <x:v>42</x:v>
      </x:c>
      <x:c r="AR277" s="25" t="str">
        <x:f>IF(AP277="","Missing Required Date",IF(AQ277&lt;0,"Future Date",IF(AQ277=0,"0 days",IF(AQ277&lt;=2,"1-2 days",IF(AQ277&lt;=7,"3-7 days",IF(AQ277&lt;=14,"8-14 days",IF(AQ277&lt;=30,"15-30 days",IF(AQ277&lt;=60,"31-60 days",IF(AQ277&lt;=70,"61-70 days","71+ days")))))))))</x:f>
        <x:v>31-60 days</x:v>
      </x:c>
      <x:c r="AS277" s="25" t="str">
        <x:f>IF(OR(E277="processing",E277="executing",E277="pending"),IF(AP277="","Required aging date missing",IF(AQ277&gt;30,"Escalate &gt;30d",IF(AQ277&gt;14,"Watch &gt;14d","Within 14d"))),"Out of scope")</x:f>
        <x:v>Escalate &gt;30d</x:v>
      </x:c>
    </x:row>
    <x:row r="278" ht="24" customHeight="1">
      <x:c r="A278" t="str">
        <x:v>3b04cf44-231a-4083-b189-106f3a6fb827</x:v>
      </x:c>
      <x:c r="B278" t="str">
        <x:v>CSSP10929360</x:v>
      </x:c>
      <x:c r="C278" t="str">
        <x:v>mhaikal.mzamri@petronas.com</x:v>
      </x:c>
      <x:c r="D278" t="str">
        <x:v>decommission-cloud</x:v>
      </x:c>
      <x:c r="E278" t="str">
        <x:v>rejected</x:v>
      </x:c>
      <x:c r="F278" t="n">
        <x:v>46210.073116493055</x:v>
      </x:c>
      <x:c r="G278" t="n">
        <x:v>46247.508493263886</x:v>
      </x:c>
      <x:c r="H278" t="n">
        <x:v>46210.073116493055</x:v>
      </x:c>
      <x:c r="I278" t="str">
        <x:v>Cyber Security Palo Alto Firewall</x:v>
      </x:c>
      <x:c r="J278" t="str">
        <x:v>Palo Alto Migration and Implementation in Azure</x:v>
      </x:c>
      <x:c r="K278" t="str">
        <x:v>full</x:v>
      </x:c>
      <x:c r="L278" t="str">
        <x:v>DCOM20260616612</x:v>
      </x:c>
      <x:c r="M278" t="str">
        <x:v>safura.ibadullah@petronas.com.my</x:v>
      </x:c>
      <x:c r="N278"/>
      <x:c r="O278"/>
      <x:c r="P278" t="str">
        <x:v>Palo Alto assets used during the S4HANA migration project (triggered via CSSP portal):
PTSG-3VPNSAP	172.25.1.12 / 20.153.140.54
PTSG-3VPNSAP2	172.25.1.16 / 20.157.117.98
</x:v>
      </x:c>
      <x:c r="Q278" t="str">
        <x:v>2W</x:v>
      </x:c>
      <x:c r="R278" t="str">
        <x:v>Not in Used</x:v>
      </x:c>
      <x:c r="S278"/>
      <x:c r="T278" t="str">
        <x:v>approved</x:v>
      </x:c>
      <x:c r="U278" t="str">
        <x:v>mhaikal.mzamri@petronas.com</x:v>
      </x:c>
      <x:c r="V278" t="n">
        <x:v>46210.07529043982</x:v>
      </x:c>
      <x:c r="W278" t="str">
        <x:v>Palo Alto assets used during the S4HANA migration project and no longer in used:
•	PTSG-3VPNSAP (Palo Alto P30)
•	PTSG-3VPNSAP2 (Palo Alto P50)
</x:v>
      </x:c>
      <x:c r="X278" t="str">
        <x:v>approved</x:v>
      </x:c>
      <x:c r="Y278" t="str">
        <x:v>safura.ibadullah@petronas.com</x:v>
      </x:c>
      <x:c r="Z278" t="n">
        <x:v>46210.07872971065</x:v>
      </x:c>
      <x:c r="AA278" t="str">
        <x:v>For techmod decomm</x:v>
      </x:c>
      <x:c r="AB278" t="str">
        <x:v>approved</x:v>
      </x:c>
      <x:c r="AC278" t="str">
        <x:v>samsuddin.jumbri@petronas.com</x:v>
      </x:c>
      <x:c r="AD278" t="n">
        <x:v>46219.12398013889</x:v>
      </x:c>
      <x:c r="AE278" t="str">
        <x:v>Proceed and good to go</x:v>
      </x:c>
      <x:c r="AF278" t="str">
        <x:v>rejected</x:v>
      </x:c>
      <x:c r="AG278" t="str">
        <x:v>abhishek.bhowate@petronas.com</x:v>
      </x:c>
      <x:c r="AH278" t="n">
        <x:v>46247.50849327546</x:v>
      </x:c>
      <x:c r="AI278" t="str">
        <x:v>As confirmed by requestor. rejecting the ticket.</x:v>
      </x:c>
      <x:c r="AJ278" t="str">
        <x:v>A-000172</x:v>
      </x:c>
      <x:c r="AK278" t="str">
        <x:v>AZ-00002</x:v>
      </x:c>
      <x:c r="AL278" t="str">
        <x:v>M</x:v>
      </x:c>
      <x:c r="AM278" t="str">
        <x:v>REQ000008172860</x:v>
      </x:c>
      <x:c r="AN278" t="str">
        <x:v>noretention</x:v>
      </x:c>
      <x:c r="AO278" t="n">
        <x:v>0</x:v>
      </x:c>
      <x:c r="AP278" s="23" t="str">
        <x:f>IF(E278="processing",IF(Z278="","",IF(ISNUMBER(Z278),INT(Z278),DATE(VALUE(LEFT(Z278,4)),VALUE(MID(Z278,6,2)),VALUE(MID(Z278,9,2))))),IF(OR(E278="executing",E278="pending"),IF(AD278="","",IF(ISNUMBER(AD278),INT(AD278),DATE(VALUE(LEFT(AD278,4)),VALUE(MID(AD278,6,2)),VALUE(MID(AD278,9,2))))),""))</x:f>
      </x:c>
      <x:c r="AQ278" s="24" t="str">
        <x:f>IF(AP278="","",INT('Configuration'!$B$4)-AP278)</x:f>
      </x:c>
      <x:c r="AR278" s="25" t="str">
        <x:f>IF(AP278="","Missing Required Date",IF(AQ278&lt;0,"Future Date",IF(AQ278=0,"0 days",IF(AQ278&lt;=2,"1-2 days",IF(AQ278&lt;=7,"3-7 days",IF(AQ278&lt;=14,"8-14 days",IF(AQ278&lt;=30,"15-30 days",IF(AQ278&lt;=60,"31-60 days",IF(AQ278&lt;=70,"61-70 days","71+ days")))))))))</x:f>
        <x:v>Missing Required Date</x:v>
      </x:c>
      <x:c r="AS278" s="25" t="str">
        <x:f>IF(OR(E278="processing",E278="executing",E278="pending"),IF(AP278="","Required aging date missing",IF(AQ278&gt;30,"Escalate &gt;30d",IF(AQ278&gt;14,"Watch &gt;14d","Within 14d"))),"Out of scope")</x:f>
        <x:v>Out of scope</x:v>
      </x:c>
    </x:row>
    <x:row r="279" ht="24" customHeight="1">
      <x:c r="A279" t="str">
        <x:v>73234638-91eb-4ad7-ac75-582f956d28f7</x:v>
      </x:c>
      <x:c r="B279" t="str">
        <x:v>CSSP10238313</x:v>
      </x:c>
      <x:c r="C279" t="str">
        <x:v>nurinahuda.najib@petronas.com</x:v>
      </x:c>
      <x:c r="D279" t="str">
        <x:v>decommission-cloud</x:v>
      </x:c>
      <x:c r="E279" t="str">
        <x:v>cancelled</x:v>
      </x:c>
      <x:c r="F279" t="n">
        <x:v>46210.274297083335</x:v>
      </x:c>
      <x:c r="G279" t="n">
        <x:v>46210.27563633102</x:v>
      </x:c>
      <x:c r="H279" t="n">
        <x:v>46210.274297083335</x:v>
      </x:c>
      <x:c r="I279" t="str">
        <x:v>Orion MLNG</x:v>
      </x:c>
      <x:c r="J279" t="str">
        <x:v>Full-Fledge Deployment of ORION Engine and Front-End Development</x:v>
      </x:c>
      <x:c r="K279" t="str">
        <x:v>partial</x:v>
      </x:c>
      <x:c r="L279"/>
      <x:c r="M279" t="str">
        <x:v>mohammadsani.johari@petronas.com</x:v>
      </x:c>
      <x:c r="N279"/>
      <x:c r="O279"/>
      <x:c r="P279" t="str">
        <x:v>Testing</x:v>
      </x:c>
      <x:c r="Q279" t="str">
        <x:v>12M</x:v>
      </x:c>
      <x:c r="R279" t="str">
        <x:v>Not in Used</x:v>
      </x:c>
      <x:c r="S279"/>
      <x:c r="T279" t="str">
        <x:v>rejected</x:v>
      </x:c>
      <x:c r="U279" t="str">
        <x:v>nurinahuda.najib@petronas.com</x:v>
      </x:c>
      <x:c r="V279" t="n">
        <x:v>46210.275636342594</x:v>
      </x:c>
      <x:c r="W279"/>
      <x:c r="X279"/>
      <x:c r="Y279" t="str">
        <x:v>mohammadsani.johari@petronas.com</x:v>
      </x:c>
      <x:c r="Z279"/>
      <x:c r="AA279"/>
      <x:c r="AB279"/>
      <x:c r="AC279" t="str">
        <x:v>CCoE SA</x:v>
      </x:c>
      <x:c r="AD279"/>
      <x:c r="AE279"/>
      <x:c r="AF279"/>
      <x:c r="AG279" t="str">
        <x:v>IMS - CLOUD CSSP EXECUTOR</x:v>
      </x:c>
      <x:c r="AH279"/>
      <x:c r="AI279"/>
      <x:c r="AJ279" t="str">
        <x:v>A-000530</x:v>
      </x:c>
      <x:c r="AK279" t="n">
        <x:v>3579</x:v>
      </x:c>
      <x:c r="AL279"/>
      <x:c r="AM279"/>
      <x:c r="AN279" t="str">
        <x:v>retention</x:v>
      </x:c>
      <x:c r="AO279" t="n">
        <x:v>14</x:v>
      </x:c>
      <x:c r="AP279" s="23" t="str">
        <x:f>IF(E279="processing",IF(Z279="","",IF(ISNUMBER(Z279),INT(Z279),DATE(VALUE(LEFT(Z279,4)),VALUE(MID(Z279,6,2)),VALUE(MID(Z279,9,2))))),IF(OR(E279="executing",E279="pending"),IF(AD279="","",IF(ISNUMBER(AD279),INT(AD279),DATE(VALUE(LEFT(AD279,4)),VALUE(MID(AD279,6,2)),VALUE(MID(AD279,9,2))))),""))</x:f>
      </x:c>
      <x:c r="AQ279" s="24" t="str">
        <x:f>IF(AP279="","",INT('Configuration'!$B$4)-AP279)</x:f>
      </x:c>
      <x:c r="AR279" s="25" t="str">
        <x:f>IF(AP279="","Missing Required Date",IF(AQ279&lt;0,"Future Date",IF(AQ279=0,"0 days",IF(AQ279&lt;=2,"1-2 days",IF(AQ279&lt;=7,"3-7 days",IF(AQ279&lt;=14,"8-14 days",IF(AQ279&lt;=30,"15-30 days",IF(AQ279&lt;=60,"31-60 days",IF(AQ279&lt;=70,"61-70 days","71+ days")))))))))</x:f>
        <x:v>Missing Required Date</x:v>
      </x:c>
      <x:c r="AS279" s="25" t="str">
        <x:f>IF(OR(E279="processing",E279="executing",E279="pending"),IF(AP279="","Required aging date missing",IF(AQ279&gt;30,"Escalate &gt;30d",IF(AQ279&gt;14,"Watch &gt;14d","Within 14d"))),"Out of scope")</x:f>
        <x:v>Out of scope</x:v>
      </x:c>
    </x:row>
    <x:row r="280" ht="24" customHeight="1">
      <x:c r="A280" t="str">
        <x:v>294a06bd-aab4-4d62-ab09-7aec3ee1aa1b</x:v>
      </x:c>
      <x:c r="B280" t="str">
        <x:v>CSSP10108409</x:v>
      </x:c>
      <x:c r="C280" t="str">
        <x:v>nurinahuda.najib@petronas.com</x:v>
      </x:c>
      <x:c r="D280" t="str">
        <x:v>decommission-cloud</x:v>
      </x:c>
      <x:c r="E280" t="str">
        <x:v>cancelled</x:v>
      </x:c>
      <x:c r="F280" t="n">
        <x:v>46210.28546289352</x:v>
      </x:c>
      <x:c r="G280" t="n">
        <x:v>46210.289554710645</x:v>
      </x:c>
      <x:c r="H280" t="n">
        <x:v>46210.28546289352</x:v>
      </x:c>
      <x:c r="I280" t="str">
        <x:v>GPU Technical Centre - GTC Dashboard</x:v>
      </x:c>
      <x:c r="J280" t="str">
        <x:v>Enhancement of GTC 2.0</x:v>
      </x:c>
      <x:c r="K280" t="str">
        <x:v>partial</x:v>
      </x:c>
      <x:c r="L280"/>
      <x:c r="M280" t="str">
        <x:v>mohammadsani.johari@petronas.com</x:v>
      </x:c>
      <x:c r="N280"/>
      <x:c r="O280"/>
      <x:c r="P280" t="str">
        <x:v>testing</x:v>
      </x:c>
      <x:c r="Q280" t="str">
        <x:v>2W</x:v>
      </x:c>
      <x:c r="R280" t="str">
        <x:v>Not in Used</x:v>
      </x:c>
      <x:c r="S280"/>
      <x:c r="T280" t="str">
        <x:v>rejected</x:v>
      </x:c>
      <x:c r="U280" t="str">
        <x:v>nurinahuda.najib@petronas.com</x:v>
      </x:c>
      <x:c r="V280" t="n">
        <x:v>46210.28955472222</x:v>
      </x:c>
      <x:c r="W280"/>
      <x:c r="X280"/>
      <x:c r="Y280" t="str">
        <x:v>mohammadsani.johari@petronas.com</x:v>
      </x:c>
      <x:c r="Z280"/>
      <x:c r="AA280"/>
      <x:c r="AB280"/>
      <x:c r="AC280" t="str">
        <x:v>CCoE SA</x:v>
      </x:c>
      <x:c r="AD280"/>
      <x:c r="AE280"/>
      <x:c r="AF280"/>
      <x:c r="AG280" t="str">
        <x:v>IMS - CLOUD CSSP EXECUTOR</x:v>
      </x:c>
      <x:c r="AH280"/>
      <x:c r="AI280"/>
      <x:c r="AJ280" t="str">
        <x:v>A-000346</x:v>
      </x:c>
      <x:c r="AK280" t="n">
        <x:v>3114</x:v>
      </x:c>
      <x:c r="AL280"/>
      <x:c r="AM280"/>
      <x:c r="AN280" t="str">
        <x:v>retention</x:v>
      </x:c>
      <x:c r="AO280" t="n">
        <x:v>14</x:v>
      </x:c>
      <x:c r="AP280" s="23" t="str">
        <x:f>IF(E280="processing",IF(Z280="","",IF(ISNUMBER(Z280),INT(Z280),DATE(VALUE(LEFT(Z280,4)),VALUE(MID(Z280,6,2)),VALUE(MID(Z280,9,2))))),IF(OR(E280="executing",E280="pending"),IF(AD280="","",IF(ISNUMBER(AD280),INT(AD280),DATE(VALUE(LEFT(AD280,4)),VALUE(MID(AD280,6,2)),VALUE(MID(AD280,9,2))))),""))</x:f>
      </x:c>
      <x:c r="AQ280" s="24" t="str">
        <x:f>IF(AP280="","",INT('Configuration'!$B$4)-AP280)</x:f>
      </x:c>
      <x:c r="AR280" s="25" t="str">
        <x:f>IF(AP280="","Missing Required Date",IF(AQ280&lt;0,"Future Date",IF(AQ280=0,"0 days",IF(AQ280&lt;=2,"1-2 days",IF(AQ280&lt;=7,"3-7 days",IF(AQ280&lt;=14,"8-14 days",IF(AQ280&lt;=30,"15-30 days",IF(AQ280&lt;=60,"31-60 days",IF(AQ280&lt;=70,"61-70 days","71+ days")))))))))</x:f>
        <x:v>Missing Required Date</x:v>
      </x:c>
      <x:c r="AS280" s="25" t="str">
        <x:f>IF(OR(E280="processing",E280="executing",E280="pending"),IF(AP280="","Required aging date missing",IF(AQ280&gt;30,"Escalate &gt;30d",IF(AQ280&gt;14,"Watch &gt;14d","Within 14d"))),"Out of scope")</x:f>
        <x:v>Out of scope</x:v>
      </x:c>
    </x:row>
    <x:row r="281" ht="24" customHeight="1">
      <x:c r="A281" t="str">
        <x:v>1bb9963b-ea60-4eab-bc86-7e08b95b7fa1</x:v>
      </x:c>
      <x:c r="B281" t="str">
        <x:v>CSSP10891746</x:v>
      </x:c>
      <x:c r="C281" t="str">
        <x:v>mhaikal.mzamri@petronas.com</x:v>
      </x:c>
      <x:c r="D281" t="str">
        <x:v>decommission-cloud</x:v>
      </x:c>
      <x:c r="E281" t="str">
        <x:v>executing</x:v>
      </x:c>
      <x:c r="F281" t="n">
        <x:v>46210.336582268515</x:v>
      </x:c>
      <x:c r="G281" t="n">
        <x:v>46222.86333241898</x:v>
      </x:c>
      <x:c r="H281" t="n">
        <x:v>46212.15840769676</x:v>
      </x:c>
      <x:c r="I281" t="str">
        <x:v>SAP Y40</x:v>
      </x:c>
      <x:c r="J281" t="str">
        <x:v>Implementation of Group Reporting (GR) Data Readiness and Rollout</x:v>
      </x:c>
      <x:c r="K281" t="str">
        <x:v>full</x:v>
      </x:c>
      <x:c r="L281" t="str">
        <x:v>DCOM20260709826</x:v>
      </x:c>
      <x:c r="M281" t="str">
        <x:v>safura.ibadullah@petronas.com.my</x:v>
      </x:c>
      <x:c r="N281"/>
      <x:c r="O281"/>
      <x:c r="P281" t="str">
        <x:v>Palo Alto assets used during the S4HANA migration project (triggered via CSSP portal): PTSG-3VPNSAP 172.25.1.12 / 20.153.140.54 PTSG-3VPNSAP2 172.25.1.16 / 20.157.117.98</x:v>
      </x:c>
      <x:c r="Q281" t="str">
        <x:v>2W</x:v>
      </x:c>
      <x:c r="R281" t="str">
        <x:v>Not in Used</x:v>
      </x:c>
      <x:c r="S281"/>
      <x:c r="T281" t="str">
        <x:v>approved</x:v>
      </x:c>
      <x:c r="U281" t="str">
        <x:v>mhaikal.mzamri@petronas.com</x:v>
      </x:c>
      <x:c r="V281" t="n">
        <x:v>46212.15890844908</x:v>
      </x:c>
      <x:c r="W281" t="str">
        <x:v>Palo Alto assets used during the S4HANA migration project (triggered via CSSP portal): PTSG-3VPNSAP 172.25.1.12 / 20.153.140.54 PTSG-3VPNSAP2 172.25.1.16 / 20.157.117.98</x:v>
      </x:c>
      <x:c r="X281" t="str">
        <x:v>approved</x:v>
      </x:c>
      <x:c r="Y281" t="str">
        <x:v>safura.ibadullah@petronas.com</x:v>
      </x:c>
      <x:c r="Z281" t="n">
        <x:v>46212.16088033565</x:v>
      </x:c>
      <x:c r="AA281" t="str">
        <x:v>Phoenix decommission</x:v>
      </x:c>
      <x:c r="AB281" t="str">
        <x:v>approved</x:v>
      </x:c>
      <x:c r="AC281" t="str">
        <x:v>abhishek.bhowate@petronas.com</x:v>
      </x:c>
      <x:c r="AD281" t="n">
        <x:v>46222.863332430556</x:v>
      </x:c>
      <x:c r="AE281" t="str">
        <x:v>Approve</x:v>
      </x:c>
      <x:c r="AF281"/>
      <x:c r="AG281" t="str">
        <x:v>venkatesh.kalikivayi@petronas.com</x:v>
      </x:c>
      <x:c r="AH281"/>
      <x:c r="AI281"/>
      <x:c r="AJ281" t="str">
        <x:v>A-001237</x:v>
      </x:c>
      <x:c r="AK281" t="str">
        <x:v>OSR00413</x:v>
      </x:c>
      <x:c r="AL281" t="str">
        <x:v>S</x:v>
      </x:c>
      <x:c r="AM281" t="str">
        <x:v>REQ000008178974</x:v>
      </x:c>
      <x:c r="AN281" t="str">
        <x:v>noretention</x:v>
      </x:c>
      <x:c r="AO281" t="n">
        <x:v>0</x:v>
      </x:c>
      <x:c r="AP281" s="23" t="n">
        <x:f>IF(E281="processing",IF(Z281="","",IF(ISNUMBER(Z281),INT(Z281),DATE(VALUE(LEFT(Z281,4)),VALUE(MID(Z281,6,2)),VALUE(MID(Z281,9,2))))),IF(OR(E281="executing",E281="pending"),IF(AD281="","",IF(ISNUMBER(AD281),INT(AD281),DATE(VALUE(LEFT(AD281,4)),VALUE(MID(AD281,6,2)),VALUE(MID(AD281,9,2))))),""))</x:f>
        <x:v>46222</x:v>
      </x:c>
      <x:c r="AQ281" s="24" t="n">
        <x:f>IF(AP281="","",INT('Configuration'!$B$4)-AP281)</x:f>
        <x:v>29</x:v>
      </x:c>
      <x:c r="AR281" s="25" t="str">
        <x:f>IF(AP281="","Missing Required Date",IF(AQ281&lt;0,"Future Date",IF(AQ281=0,"0 days",IF(AQ281&lt;=2,"1-2 days",IF(AQ281&lt;=7,"3-7 days",IF(AQ281&lt;=14,"8-14 days",IF(AQ281&lt;=30,"15-30 days",IF(AQ281&lt;=60,"31-60 days",IF(AQ281&lt;=70,"61-70 days","71+ days")))))))))</x:f>
        <x:v>15-30 days</x:v>
      </x:c>
      <x:c r="AS281" s="25" t="str">
        <x:f>IF(OR(E281="processing",E281="executing",E281="pending"),IF(AP281="","Required aging date missing",IF(AQ281&gt;30,"Escalate &gt;30d",IF(AQ281&gt;14,"Watch &gt;14d","Within 14d"))),"Out of scope")</x:f>
        <x:v>Watch &gt;14d</x:v>
      </x:c>
    </x:row>
    <x:row r="282" ht="24" customHeight="1">
      <x:c r="A282" t="str">
        <x:v>6bad1de4-dcf5-43a1-8143-51a595a5dec7</x:v>
      </x:c>
      <x:c r="B282" t="str">
        <x:v>CSSP10762225</x:v>
      </x:c>
      <x:c r="C282" t="str">
        <x:v>mzurfaiezzuddin.zur@petronas.com</x:v>
      </x:c>
      <x:c r="D282" t="str">
        <x:v>decommission-cloud</x:v>
      </x:c>
      <x:c r="E282" t="str">
        <x:v>completed</x:v>
      </x:c>
      <x:c r="F282" t="n">
        <x:v>46211.33932381945</x:v>
      </x:c>
      <x:c r="G282" t="n">
        <x:v>46248.406909375</x:v>
      </x:c>
      <x:c r="H282" t="n">
        <x:v>46211.33932381945</x:v>
      </x:c>
      <x:c r="I282" t="str">
        <x:v>myCyberisk</x:v>
      </x:c>
      <x:c r="J282" t="str">
        <x:v>CS Identity Governance and Administration</x:v>
      </x:c>
      <x:c r="K282" t="str">
        <x:v>partial</x:v>
      </x:c>
      <x:c r="L282"/>
      <x:c r="M282" t="str">
        <x:v>sazali.mokhtar@petronas.com</x:v>
      </x:c>
      <x:c r="N282"/>
      <x:c r="O282"/>
      <x:c r="P282" t="str">
        <x:v>Cloud Repatriation - To decommission old resources in Singapore region due to completed migration in MY region</x:v>
      </x:c>
      <x:c r="Q282" t="str">
        <x:v>2W</x:v>
      </x:c>
      <x:c r="R282" t="str">
        <x:v>Cloud Migration</x:v>
      </x:c>
      <x:c r="S282"/>
      <x:c r="T282" t="str">
        <x:v>approved</x:v>
      </x:c>
      <x:c r="U282" t="str">
        <x:v>mzurfaiezzuddin.zur@petronas.com</x:v>
      </x:c>
      <x:c r="V282" t="n">
        <x:v>46211.339671319445</x:v>
      </x:c>
      <x:c r="W282" t="str">
        <x:v>Cloud Repatriation - To decommission old resources in Singapore region due to completed migration in MY region</x:v>
      </x:c>
      <x:c r="X282" t="str">
        <x:v>approved</x:v>
      </x:c>
      <x:c r="Y282" t="str">
        <x:v>sazali.mokhtar@petronas.com</x:v>
      </x:c>
      <x:c r="Z282" t="n">
        <x:v>46212.26427876158</x:v>
      </x:c>
      <x:c r="AA282" t="str">
        <x:v>Cloud Repatriation - To decommission old resources in Singapore region due to completed migration in MY region</x:v>
      </x:c>
      <x:c r="AB282" t="str">
        <x:v>approved</x:v>
      </x:c>
      <x:c r="AC282" t="str">
        <x:v>abhishek.bhowate@petronas.com</x:v>
      </x:c>
      <x:c r="AD282" t="n">
        <x:v>46222.86734626158</x:v>
      </x:c>
      <x:c r="AE282" t="str">
        <x:v>Approve</x:v>
      </x:c>
      <x:c r="AF282" t="str">
        <x:v>approved</x:v>
      </x:c>
      <x:c r="AG282" t="str">
        <x:v>swaminadh.chirakala@petronas.com</x:v>
      </x:c>
      <x:c r="AH282" t="n">
        <x:v>46248.40690938658</x:v>
      </x:c>
      <x:c r="AI282" t="str">
        <x:v>The mentioned resources have been deleted successfully as per the request. Hence closing this ticket.</x:v>
      </x:c>
      <x:c r="AJ282" t="str">
        <x:v>A-001254</x:v>
      </x:c>
      <x:c r="AK282" t="str">
        <x:v>PC-00081</x:v>
      </x:c>
      <x:c r="AL282" t="str">
        <x:v>M</x:v>
      </x:c>
      <x:c r="AM282" t="str">
        <x:v>REQ000008178976</x:v>
      </x:c>
      <x:c r="AN282" t="str">
        <x:v>noretention</x:v>
      </x:c>
      <x:c r="AO282" t="n">
        <x:v>0</x:v>
      </x:c>
      <x:c r="AP282" s="23" t="str">
        <x:f>IF(E282="processing",IF(Z282="","",IF(ISNUMBER(Z282),INT(Z282),DATE(VALUE(LEFT(Z282,4)),VALUE(MID(Z282,6,2)),VALUE(MID(Z282,9,2))))),IF(OR(E282="executing",E282="pending"),IF(AD282="","",IF(ISNUMBER(AD282),INT(AD282),DATE(VALUE(LEFT(AD282,4)),VALUE(MID(AD282,6,2)),VALUE(MID(AD282,9,2))))),""))</x:f>
      </x:c>
      <x:c r="AQ282" s="24" t="str">
        <x:f>IF(AP282="","",INT('Configuration'!$B$4)-AP282)</x:f>
      </x:c>
      <x:c r="AR282" s="25" t="str">
        <x:f>IF(AP282="","Missing Required Date",IF(AQ282&lt;0,"Future Date",IF(AQ282=0,"0 days",IF(AQ282&lt;=2,"1-2 days",IF(AQ282&lt;=7,"3-7 days",IF(AQ282&lt;=14,"8-14 days",IF(AQ282&lt;=30,"15-30 days",IF(AQ282&lt;=60,"31-60 days",IF(AQ282&lt;=70,"61-70 days","71+ days")))))))))</x:f>
        <x:v>Missing Required Date</x:v>
      </x:c>
      <x:c r="AS282" s="25" t="str">
        <x:f>IF(OR(E282="processing",E282="executing",E282="pending"),IF(AP282="","Required aging date missing",IF(AQ282&gt;30,"Escalate &gt;30d",IF(AQ282&gt;14,"Watch &gt;14d","Within 14d"))),"Out of scope")</x:f>
        <x:v>Out of scope</x:v>
      </x:c>
    </x:row>
    <x:row r="283" ht="24" customHeight="1">
      <x:c r="A283" t="str">
        <x:v>bef4104a-a4e3-4ca1-b4fd-56a1729def1f</x:v>
      </x:c>
      <x:c r="B283" t="str">
        <x:v>CSSP10995799</x:v>
      </x:c>
      <x:c r="C283" t="str">
        <x:v>mzurfaiezzuddin.zur@petronas.com</x:v>
      </x:c>
      <x:c r="D283" t="str">
        <x:v>decommission-cloud</x:v>
      </x:c>
      <x:c r="E283" t="str">
        <x:v>completed</x:v>
      </x:c>
      <x:c r="F283" t="n">
        <x:v>46212.03723253472</x:v>
      </x:c>
      <x:c r="G283" t="n">
        <x:v>46234.47030501157</x:v>
      </x:c>
      <x:c r="H283" t="n">
        <x:v>46212.03723253472</x:v>
      </x:c>
      <x:c r="I283" t="str">
        <x:v>ABB Smart Sensor Interface Agent</x:v>
      </x:c>
      <x:c r="J283" t="str">
        <x:v>Integrating MLNG ABB Ability Smart Sensor with MLNG PI Management System</x:v>
      </x:c>
      <x:c r="K283" t="str">
        <x:v>partial</x:v>
      </x:c>
      <x:c r="L283"/>
      <x:c r="M283" t="str">
        <x:v>sazali.mokhtar@petronas.com</x:v>
      </x:c>
      <x:c r="N283"/>
      <x:c r="O283"/>
      <x:c r="P283" t="str">
        <x:v>Cloud Repatriation - To decommission old resources in Singapore region due to completed migration in MY region</x:v>
      </x:c>
      <x:c r="Q283" t="str">
        <x:v>2W</x:v>
      </x:c>
      <x:c r="R283" t="str">
        <x:v>Cloud Migration</x:v>
      </x:c>
      <x:c r="S283"/>
      <x:c r="T283" t="str">
        <x:v>approved</x:v>
      </x:c>
      <x:c r="U283" t="str">
        <x:v>mzurfaiezzuddin.zur@petronas.com</x:v>
      </x:c>
      <x:c r="V283" t="n">
        <x:v>46212.04328203704</x:v>
      </x:c>
      <x:c r="W283" t="str">
        <x:v>Cloud Repatriation - To decommission old resources in Singapore region due to completed migration in MY region</x:v>
      </x:c>
      <x:c r="X283" t="str">
        <x:v>approved</x:v>
      </x:c>
      <x:c r="Y283" t="str">
        <x:v>sazali.mokhtar@petronas.com</x:v>
      </x:c>
      <x:c r="Z283" t="n">
        <x:v>46212.24629915509</x:v>
      </x:c>
      <x:c r="AA283" t="str">
        <x:v>Cloud Repatriation - To decommission old resources in Singapore region due to completed migration in MY region</x:v>
      </x:c>
      <x:c r="AB283" t="str">
        <x:v>approved</x:v>
      </x:c>
      <x:c r="AC283" t="str">
        <x:v>abhishek.bhowate@petronas.com</x:v>
      </x:c>
      <x:c r="AD283" t="n">
        <x:v>46222.86484152778</x:v>
      </x:c>
      <x:c r="AE283" t="str">
        <x:v>Approve</x:v>
      </x:c>
      <x:c r="AF283" t="str">
        <x:v>approved</x:v>
      </x:c>
      <x:c r="AG283" t="str">
        <x:v>venkatesh.kalikivayi@petronas.com</x:v>
      </x:c>
      <x:c r="AH283" t="n">
        <x:v>46234.47030502315</x:v>
      </x:c>
      <x:c r="AI283" t="str">
        <x:v>The decommissioning has been completed as mentioned. Since these resources belong to the Singapore region, we are proceeding with closing the ticket.</x:v>
      </x:c>
      <x:c r="AJ283" t="str">
        <x:v>A-000001</x:v>
      </x:c>
      <x:c r="AK283" t="n">
        <x:v>4202</x:v>
      </x:c>
      <x:c r="AL283" t="str">
        <x:v>M</x:v>
      </x:c>
      <x:c r="AM283" t="str">
        <x:v>REQ000008178975</x:v>
      </x:c>
      <x:c r="AN283" t="str">
        <x:v>noretention</x:v>
      </x:c>
      <x:c r="AO283" t="n">
        <x:v>0</x:v>
      </x:c>
      <x:c r="AP283" s="23" t="str">
        <x:f>IF(E283="processing",IF(Z283="","",IF(ISNUMBER(Z283),INT(Z283),DATE(VALUE(LEFT(Z283,4)),VALUE(MID(Z283,6,2)),VALUE(MID(Z283,9,2))))),IF(OR(E283="executing",E283="pending"),IF(AD283="","",IF(ISNUMBER(AD283),INT(AD283),DATE(VALUE(LEFT(AD283,4)),VALUE(MID(AD283,6,2)),VALUE(MID(AD283,9,2))))),""))</x:f>
      </x:c>
      <x:c r="AQ283" s="24" t="str">
        <x:f>IF(AP283="","",INT('Configuration'!$B$4)-AP283)</x:f>
      </x:c>
      <x:c r="AR283" s="25" t="str">
        <x:f>IF(AP283="","Missing Required Date",IF(AQ283&lt;0,"Future Date",IF(AQ283=0,"0 days",IF(AQ283&lt;=2,"1-2 days",IF(AQ283&lt;=7,"3-7 days",IF(AQ283&lt;=14,"8-14 days",IF(AQ283&lt;=30,"15-30 days",IF(AQ283&lt;=60,"31-60 days",IF(AQ283&lt;=70,"61-70 days","71+ days")))))))))</x:f>
        <x:v>Missing Required Date</x:v>
      </x:c>
      <x:c r="AS283" s="25" t="str">
        <x:f>IF(OR(E283="processing",E283="executing",E283="pending"),IF(AP283="","Required aging date missing",IF(AQ283&gt;30,"Escalate &gt;30d",IF(AQ283&gt;14,"Watch &gt;14d","Within 14d"))),"Out of scope")</x:f>
        <x:v>Out of scope</x:v>
      </x:c>
    </x:row>
    <x:row r="284" ht="24" customHeight="1">
      <x:c r="A284" t="str">
        <x:v>cd518c47-6db3-465b-9ef3-95e74baadf32</x:v>
      </x:c>
      <x:c r="B284" t="str">
        <x:v>CSSP10531255</x:v>
      </x:c>
      <x:c r="C284" t="str">
        <x:v>hasnulauzani.hassan@petronas.com</x:v>
      </x:c>
      <x:c r="D284" t="str">
        <x:v>decommission-cloud</x:v>
      </x:c>
      <x:c r="E284" t="str">
        <x:v>rejected</x:v>
      </x:c>
      <x:c r="F284" t="n">
        <x:v>46212.09584033565</x:v>
      </x:c>
      <x:c r="G284" t="n">
        <x:v>46212.13231207176</x:v>
      </x:c>
      <x:c r="H284" t="n">
        <x:v>46212.09584033565</x:v>
      </x:c>
      <x:c r="I284" t="str">
        <x:v>Scaffolding Web - SISFOLDs</x:v>
      </x:c>
      <x:c r="J284" t="str">
        <x:v>Development of Real-time Monitoring of Scaffolding Web-based Application for GTS</x:v>
      </x:c>
      <x:c r="K284" t="str">
        <x:v>full</x:v>
      </x:c>
      <x:c r="L284" t="str">
        <x:v>S000004981</x:v>
      </x:c>
      <x:c r="M284" t="str">
        <x:v>hasnulauzani.hassan@petronas.com</x:v>
      </x:c>
      <x:c r="N284" t="str">
        <x:v>sisfolds.petronas.com</x:v>
      </x:c>
      <x:c r="O284" t="n">
        <x:v>1997</x:v>
      </x:c>
      <x:c r="P284" t="str">
        <x:v>Has been instruct by business to close the project</x:v>
      </x:c>
      <x:c r="Q284" t="str">
        <x:v>6M</x:v>
      </x:c>
      <x:c r="R284" t="str">
        <x:v>Not in Used</x:v>
      </x:c>
      <x:c r="S284"/>
      <x:c r="T284" t="str">
        <x:v>approved</x:v>
      </x:c>
      <x:c r="U284" t="str">
        <x:v>hasnulauzani.hassan@petronas.com</x:v>
      </x:c>
      <x:c r="V284" t="n">
        <x:v>46212.09809165509</x:v>
      </x:c>
      <x:c r="W284" t="str">
        <x:v>as per request, please proceed</x:v>
      </x:c>
      <x:c r="X284" t="str">
        <x:v>approved</x:v>
      </x:c>
      <x:c r="Y284" t="str">
        <x:v>hasnulauzani.hassan@petronas.com</x:v>
      </x:c>
      <x:c r="Z284" t="n">
        <x:v>46212.09867865741</x:v>
      </x:c>
      <x:c r="AA284" t="str">
        <x:v>approved</x:v>
      </x:c>
      <x:c r="AB284" t="str">
        <x:v>rejected</x:v>
      </x:c>
      <x:c r="AC284" t="str">
        <x:v>samsuddin.jumbri@petronas.com</x:v>
      </x:c>
      <x:c r="AD284" t="n">
        <x:v>46212.13231209491</x:v>
      </x:c>
      <x:c r="AE284" t="str">
        <x:v>Cancel as requested</x:v>
      </x:c>
      <x:c r="AF284"/>
      <x:c r="AG284" t="str">
        <x:v>IMS - CLOUD CSSP EXECUTOR</x:v>
      </x:c>
      <x:c r="AH284"/>
      <x:c r="AI284"/>
      <x:c r="AJ284" t="str">
        <x:v>A-000765</x:v>
      </x:c>
      <x:c r="AK284" t="n">
        <x:v>1997</x:v>
      </x:c>
      <x:c r="AL284"/>
      <x:c r="AM284"/>
      <x:c r="AN284" t="str">
        <x:v>retention</x:v>
      </x:c>
      <x:c r="AO284" t="n">
        <x:v>180</x:v>
      </x:c>
      <x:c r="AP284" s="23" t="str">
        <x:f>IF(E284="processing",IF(Z284="","",IF(ISNUMBER(Z284),INT(Z284),DATE(VALUE(LEFT(Z284,4)),VALUE(MID(Z284,6,2)),VALUE(MID(Z284,9,2))))),IF(OR(E284="executing",E284="pending"),IF(AD284="","",IF(ISNUMBER(AD284),INT(AD284),DATE(VALUE(LEFT(AD284,4)),VALUE(MID(AD284,6,2)),VALUE(MID(AD284,9,2))))),""))</x:f>
      </x:c>
      <x:c r="AQ284" s="24" t="str">
        <x:f>IF(AP284="","",INT('Configuration'!$B$4)-AP284)</x:f>
      </x:c>
      <x:c r="AR284" s="25" t="str">
        <x:f>IF(AP284="","Missing Required Date",IF(AQ284&lt;0,"Future Date",IF(AQ284=0,"0 days",IF(AQ284&lt;=2,"1-2 days",IF(AQ284&lt;=7,"3-7 days",IF(AQ284&lt;=14,"8-14 days",IF(AQ284&lt;=30,"15-30 days",IF(AQ284&lt;=60,"31-60 days",IF(AQ284&lt;=70,"61-70 days","71+ days")))))))))</x:f>
        <x:v>Missing Required Date</x:v>
      </x:c>
      <x:c r="AS284" s="25" t="str">
        <x:f>IF(OR(E284="processing",E284="executing",E284="pending"),IF(AP284="","Required aging date missing",IF(AQ284&gt;30,"Escalate &gt;30d",IF(AQ284&gt;14,"Watch &gt;14d","Within 14d"))),"Out of scope")</x:f>
        <x:v>Out of scope</x:v>
      </x:c>
    </x:row>
    <x:row r="285" ht="24" customHeight="1">
      <x:c r="A285" t="str">
        <x:v>d1fce0cf-1111-48ca-8ced-3118df7b697a</x:v>
      </x:c>
      <x:c r="B285" t="str">
        <x:v>CSSP10720428</x:v>
      </x:c>
      <x:c r="C285" t="str">
        <x:v>chong.yapweeshan@petronas.com</x:v>
      </x:c>
      <x:c r="D285" t="str">
        <x:v>decommission-cloud</x:v>
      </x:c>
      <x:c r="E285" t="str">
        <x:v>cancelled</x:v>
      </x:c>
      <x:c r="F285" t="n">
        <x:v>46212.43208709491</x:v>
      </x:c>
      <x:c r="G285" t="n">
        <x:v>46230.12956197916</x:v>
      </x:c>
      <x:c r="H285" t="n">
        <x:v>46230.11869783565</x:v>
      </x:c>
      <x:c r="I285" t="str">
        <x:v>PI SQL DAS</x:v>
      </x:c>
      <x:c r="J285" t="str">
        <x:v>PI SQL DAS created for PRIVATECLOUD project record</x:v>
      </x:c>
      <x:c r="K285" t="str">
        <x:v>full</x:v>
      </x:c>
      <x:c r="L285" t="str">
        <x:v>DCOM202607202fd</x:v>
      </x:c>
      <x:c r="M285" t="str">
        <x:v>mnasuha_ismail@petronas.com</x:v>
      </x:c>
      <x:c r="N285"/>
      <x:c r="O285"/>
      <x:c r="P285" t="str">
        <x:v>The application and its associated cloud resources are no longer required for business operations. The project has been completed and there are no active users, business processes, or integrations dependent on this application. Decommissioning is requested to eliminate unnecessary operational and maintenance costs, reduce cybersecurity exposure, and ensure cloud resource optimization. Relevant stakeholders have been informed, and any required data will be retained according to PETRONAS data retention policies before final disposal or archival. All associated cloud resources, services, and configurations under this application are requested for decommissioning.</x:v>
      </x:c>
      <x:c r="Q285" t="str">
        <x:v>2W</x:v>
      </x:c>
      <x:c r="R285" t="str">
        <x:v>Cloud Migration</x:v>
      </x:c>
      <x:c r="S285"/>
      <x:c r="T285" t="str">
        <x:v>rejected</x:v>
      </x:c>
      <x:c r="U285" t="str">
        <x:v>chong.yapweeshan@petronas.com</x:v>
      </x:c>
      <x:c r="V285" t="n">
        <x:v>46230.12956199074</x:v>
      </x:c>
      <x:c r="W285"/>
      <x:c r="X285"/>
      <x:c r="Y285" t="str">
        <x:v>mnasuha_ismail@petronas.com</x:v>
      </x:c>
      <x:c r="Z285"/>
      <x:c r="AA285"/>
      <x:c r="AB285"/>
      <x:c r="AC285" t="str">
        <x:v>CCoE Business</x:v>
      </x:c>
      <x:c r="AD285"/>
      <x:c r="AE285"/>
      <x:c r="AF285"/>
      <x:c r="AG285" t="str">
        <x:v>CCoE Business</x:v>
      </x:c>
      <x:c r="AH285"/>
      <x:c r="AI285"/>
      <x:c r="AJ285" t="str">
        <x:v>A-000567</x:v>
      </x:c>
      <x:c r="AK285" t="str">
        <x:v>10135_01</x:v>
      </x:c>
      <x:c r="AL285" t="str">
        <x:v>M</x:v>
      </x:c>
      <x:c r="AM285"/>
      <x:c r="AN285" t="str">
        <x:v>disposal</x:v>
      </x:c>
      <x:c r="AO285" t="n">
        <x:v>0</x:v>
      </x:c>
      <x:c r="AP285" s="23" t="str">
        <x:f>IF(E285="processing",IF(Z285="","",IF(ISNUMBER(Z285),INT(Z285),DATE(VALUE(LEFT(Z285,4)),VALUE(MID(Z285,6,2)),VALUE(MID(Z285,9,2))))),IF(OR(E285="executing",E285="pending"),IF(AD285="","",IF(ISNUMBER(AD285),INT(AD285),DATE(VALUE(LEFT(AD285,4)),VALUE(MID(AD285,6,2)),VALUE(MID(AD285,9,2))))),""))</x:f>
      </x:c>
      <x:c r="AQ285" s="24" t="str">
        <x:f>IF(AP285="","",INT('Configuration'!$B$4)-AP285)</x:f>
      </x:c>
      <x:c r="AR285" s="25" t="str">
        <x:f>IF(AP285="","Missing Required Date",IF(AQ285&lt;0,"Future Date",IF(AQ285=0,"0 days",IF(AQ285&lt;=2,"1-2 days",IF(AQ285&lt;=7,"3-7 days",IF(AQ285&lt;=14,"8-14 days",IF(AQ285&lt;=30,"15-30 days",IF(AQ285&lt;=60,"31-60 days",IF(AQ285&lt;=70,"61-70 days","71+ days")))))))))</x:f>
        <x:v>Missing Required Date</x:v>
      </x:c>
      <x:c r="AS285" s="25" t="str">
        <x:f>IF(OR(E285="processing",E285="executing",E285="pending"),IF(AP285="","Required aging date missing",IF(AQ285&gt;30,"Escalate &gt;30d",IF(AQ285&gt;14,"Watch &gt;14d","Within 14d"))),"Out of scope")</x:f>
        <x:v>Out of scope</x:v>
      </x:c>
    </x:row>
    <x:row r="286" ht="24" customHeight="1">
      <x:c r="A286" t="str">
        <x:v>107384c0-e66e-463d-953b-217be54e910e</x:v>
      </x:c>
      <x:c r="B286" t="str">
        <x:v>CSSP10212226</x:v>
      </x:c>
      <x:c r="C286" t="str">
        <x:v>ahmadzafri.bahruddi@petronas.com</x:v>
      </x:c>
      <x:c r="D286" t="str">
        <x:v>decommission-cloud</x:v>
      </x:c>
      <x:c r="E286" t="str">
        <x:v>rejected</x:v>
      </x:c>
      <x:c r="F286" t="n">
        <x:v>46213.07587305555</x:v>
      </x:c>
      <x:c r="G286" t="n">
        <x:v>46248.32243903935</x:v>
      </x:c>
      <x:c r="H286" t="n">
        <x:v>46216.40272121528</x:v>
      </x:c>
      <x:c r="I286" t="str">
        <x:v>Rystad Energy Auth Server</x:v>
      </x:c>
      <x:c r="J286" t="str">
        <x:v>Hosting of Rystad Energy Ucube and Database for Upstream Strategy &amp; Commercial</x:v>
      </x:c>
      <x:c r="K286" t="str">
        <x:v>full</x:v>
      </x:c>
      <x:c r="L286" t="str">
        <x:v>DCOM20260713dd2</x:v>
      </x:c>
      <x:c r="M286" t="str">
        <x:v>adelizafahrina.azaw@petronas.com.my</x:v>
      </x:c>
      <x:c r="N286"/>
      <x:c r="O286"/>
      <x:c r="P286" t="str">
        <x:v>Have obtained the approval from Product Owner to proceed with discontinuation and the decommisioning of Rystad</x:v>
      </x:c>
      <x:c r="Q286" t="str">
        <x:v>12M</x:v>
      </x:c>
      <x:c r="R286" t="str">
        <x:v>Obsolete</x:v>
      </x:c>
      <x:c r="S286"/>
      <x:c r="T286" t="str">
        <x:v>approved</x:v>
      </x:c>
      <x:c r="U286" t="str">
        <x:v>ahmadzafri.bahruddi@petronas.com</x:v>
      </x:c>
      <x:c r="V286" t="n">
        <x:v>46217.08233726852</x:v>
      </x:c>
      <x:c r="W286" t="str">
        <x:v>All resources belongs to rystad applications</x:v>
      </x:c>
      <x:c r="X286" t="str">
        <x:v>approved</x:v>
      </x:c>
      <x:c r="Y286" t="str">
        <x:v>ismail.azman@petronas.com</x:v>
      </x:c>
      <x:c r="Z286" t="n">
        <x:v>46248.321923344905</x:v>
      </x:c>
      <x:c r="AA286" t="str">
        <x:v>cancelled as per requested by requestor</x:v>
      </x:c>
      <x:c r="AB286" t="str">
        <x:v>rejected</x:v>
      </x:c>
      <x:c r="AC286" t="str">
        <x:v>ismail.azman@petronas.com</x:v>
      </x:c>
      <x:c r="AD286" t="n">
        <x:v>46248.32243903935</x:v>
      </x:c>
      <x:c r="AE286" t="str">
        <x:v>cancelled as per requested by requestor</x:v>
      </x:c>
      <x:c r="AF286"/>
      <x:c r="AG286" t="str">
        <x:v>CCoE Business</x:v>
      </x:c>
      <x:c r="AH286"/>
      <x:c r="AI286"/>
      <x:c r="AJ286" t="str">
        <x:v>A-000705</x:v>
      </x:c>
      <x:c r="AK286" t="n">
        <x:v>955</x:v>
      </x:c>
      <x:c r="AL286"/>
      <x:c r="AM286"/>
      <x:c r="AN286" t="str">
        <x:v>retention</x:v>
      </x:c>
      <x:c r="AO286"/>
      <x:c r="AP286" s="23" t="str">
        <x:f>IF(E286="processing",IF(Z286="","",IF(ISNUMBER(Z286),INT(Z286),DATE(VALUE(LEFT(Z286,4)),VALUE(MID(Z286,6,2)),VALUE(MID(Z286,9,2))))),IF(OR(E286="executing",E286="pending"),IF(AD286="","",IF(ISNUMBER(AD286),INT(AD286),DATE(VALUE(LEFT(AD286,4)),VALUE(MID(AD286,6,2)),VALUE(MID(AD286,9,2))))),""))</x:f>
      </x:c>
      <x:c r="AQ286" s="24" t="str">
        <x:f>IF(AP286="","",INT('Configuration'!$B$4)-AP286)</x:f>
      </x:c>
      <x:c r="AR286" s="25" t="str">
        <x:f>IF(AP286="","Missing Required Date",IF(AQ286&lt;0,"Future Date",IF(AQ286=0,"0 days",IF(AQ286&lt;=2,"1-2 days",IF(AQ286&lt;=7,"3-7 days",IF(AQ286&lt;=14,"8-14 days",IF(AQ286&lt;=30,"15-30 days",IF(AQ286&lt;=60,"31-60 days",IF(AQ286&lt;=70,"61-70 days","71+ days")))))))))</x:f>
        <x:v>Missing Required Date</x:v>
      </x:c>
      <x:c r="AS286" s="25" t="str">
        <x:f>IF(OR(E286="processing",E286="executing",E286="pending"),IF(AP286="","Required aging date missing",IF(AQ286&gt;30,"Escalate &gt;30d",IF(AQ286&gt;14,"Watch &gt;14d","Within 14d"))),"Out of scope")</x:f>
        <x:v>Out of scope</x:v>
      </x:c>
    </x:row>
    <x:row r="287" ht="24" customHeight="1">
      <x:c r="A287" t="str">
        <x:v>c0b8b2f5-5cdc-4e09-835b-3ded9e9a0e99</x:v>
      </x:c>
      <x:c r="B287" t="str">
        <x:v>CSSP10164093</x:v>
      </x:c>
      <x:c r="C287" t="str">
        <x:v>raileyshahril.abdull@petronas.com</x:v>
      </x:c>
      <x:c r="D287" t="str">
        <x:v>decommission-cloud</x:v>
      </x:c>
      <x:c r="E287" t="str">
        <x:v>pending</x:v>
      </x:c>
      <x:c r="F287" t="n">
        <x:v>46213.09672068287</x:v>
      </x:c>
      <x:c r="G287" t="n">
        <x:v>46213.097909247685</x:v>
      </x:c>
      <x:c r="H287" t="n">
        <x:v>46213.09672068287</x:v>
      </x:c>
      <x:c r="I287" t="str">
        <x:v>BHC3.ai</x:v>
      </x:c>
      <x:c r="J287" t="str">
        <x:v>Run and Maintain and Scale Up of PEARLS (BHC3.ai) for CVCare, I-Sense and Valve Tracker</x:v>
      </x:c>
      <x:c r="K287" t="str">
        <x:v>full</x:v>
      </x:c>
      <x:c r="L287" t="str">
        <x:v>N/A</x:v>
      </x:c>
      <x:c r="M287" t="str">
        <x:v>sitizakiah.sulaiman@petronas.com.my</x:v>
      </x:c>
      <x:c r="N287" t="str">
        <x:v>c3console.petronas.com, cvdevc3.petronas.com, exmachina.petronas.com, cvdev.petronas.com, datadev.petronas.com, dev1cvdev.petronas.com, dev2cvdev.petronas.com, dev3cvdev.petronas.com, dev4cvdev.petronas.com, dev5cvdev.petronas.com, dev6cvdev.petronas.com, dev7cvdev.petronas.com, dev8cvdev.petronas.com, dev9cvdev.petronas.com, dev10cvdev.petronas.com, ids.petronas.com</x:v>
      </x:c>
      <x:c r="O287"/>
      <x:c r="P287" t="str">
        <x:v>This project has already been decommissioned and is no longer in use. However, the Cybersecurity team has informed us that the associated IP address is still active.</x:v>
      </x:c>
      <x:c r="Q287" t="str">
        <x:v>1M</x:v>
      </x:c>
      <x:c r="R287" t="str">
        <x:v>Not in Used</x:v>
      </x:c>
      <x:c r="S287"/>
      <x:c r="T287" t="str">
        <x:v>approved</x:v>
      </x:c>
      <x:c r="U287" t="str">
        <x:v>raileyshahril.abdull@petronas.com</x:v>
      </x:c>
      <x:c r="V287" t="n">
        <x:v>46213.097909247685</x:v>
      </x:c>
      <x:c r="W287" t="str">
        <x:v>Please decommision all</x:v>
      </x:c>
      <x:c r="X287"/>
      <x:c r="Y287" t="str">
        <x:v>sitizakiah.sulaiman@petronas.com</x:v>
      </x:c>
      <x:c r="Z287"/>
      <x:c r="AA287"/>
      <x:c r="AB287"/>
      <x:c r="AC287" t="str">
        <x:v>CCoE SA</x:v>
      </x:c>
      <x:c r="AD287"/>
      <x:c r="AE287"/>
      <x:c r="AF287"/>
      <x:c r="AG287" t="str">
        <x:v>IMS - CLOUD CSSP EXECUTOR</x:v>
      </x:c>
      <x:c r="AH287"/>
      <x:c r="AI287"/>
      <x:c r="AJ287" t="str">
        <x:v>A-000088</x:v>
      </x:c>
      <x:c r="AK287" t="n">
        <x:v>4201</x:v>
      </x:c>
      <x:c r="AL287"/>
      <x:c r="AM287"/>
      <x:c r="AN287" t="str">
        <x:v>retention</x:v>
      </x:c>
      <x:c r="AO287" t="n">
        <x:v>30</x:v>
      </x:c>
      <x:c r="AP287" s="23" t="str">
        <x:f>IF(E287="processing",IF(Z287="","",IF(ISNUMBER(Z287),INT(Z287),DATE(VALUE(LEFT(Z287,4)),VALUE(MID(Z287,6,2)),VALUE(MID(Z287,9,2))))),IF(OR(E287="executing",E287="pending"),IF(AD287="","",IF(ISNUMBER(AD287),INT(AD287),DATE(VALUE(LEFT(AD287,4)),VALUE(MID(AD287,6,2)),VALUE(MID(AD287,9,2))))),""))</x:f>
      </x:c>
      <x:c r="AQ287" s="24" t="str">
        <x:f>IF(AP287="","",INT('Configuration'!$B$4)-AP287)</x:f>
      </x:c>
      <x:c r="AR287" s="25" t="str">
        <x:f>IF(AP287="","Missing Required Date",IF(AQ287&lt;0,"Future Date",IF(AQ287=0,"0 days",IF(AQ287&lt;=2,"1-2 days",IF(AQ287&lt;=7,"3-7 days",IF(AQ287&lt;=14,"8-14 days",IF(AQ287&lt;=30,"15-30 days",IF(AQ287&lt;=60,"31-60 days",IF(AQ287&lt;=70,"61-70 days","71+ days")))))))))</x:f>
        <x:v>Missing Required Date</x:v>
      </x:c>
      <x:c r="AS287" s="25" t="str">
        <x:f>IF(OR(E287="processing",E287="executing",E287="pending"),IF(AP287="","Required aging date missing",IF(AQ287&gt;30,"Escalate &gt;30d",IF(AQ287&gt;14,"Watch &gt;14d","Within 14d"))),"Out of scope")</x:f>
        <x:v>Required aging date missing</x:v>
      </x:c>
    </x:row>
    <x:row r="288" ht="24" customHeight="1">
      <x:c r="A288" t="str">
        <x:v>2618e1ef-3e4d-4dcb-ba0f-9309ea15e9ef</x:v>
      </x:c>
      <x:c r="B288" t="str">
        <x:v>CSSP10546101</x:v>
      </x:c>
      <x:c r="C288" t="str">
        <x:v>mzurfaiezzuddin.zur@petronas.com</x:v>
      </x:c>
      <x:c r="D288" t="str">
        <x:v>decommission-cloud</x:v>
      </x:c>
      <x:c r="E288" t="str">
        <x:v>executing</x:v>
      </x:c>
      <x:c r="F288" t="n">
        <x:v>46213.15348582176</x:v>
      </x:c>
      <x:c r="G288" t="n">
        <x:v>46222.859591030094</x:v>
      </x:c>
      <x:c r="H288" t="n">
        <x:v>46213.15348582176</x:v>
      </x:c>
      <x:c r="I288" t="str">
        <x:v>Asset Ageing Life Extension System - ALES</x:v>
      </x:c>
      <x:c r="J288" t="str">
        <x:v>ALES for MPM</x:v>
      </x:c>
      <x:c r="K288" t="str">
        <x:v>partial</x:v>
      </x:c>
      <x:c r="L288"/>
      <x:c r="M288" t="str">
        <x:v>sazali.mokhtar@petronas.com</x:v>
      </x:c>
      <x:c r="N288"/>
      <x:c r="O288"/>
      <x:c r="P288" t="str">
        <x:v>Cloud Repatriation - To decommission old resources in Singapore region due to completed migration in MY region</x:v>
      </x:c>
      <x:c r="Q288" t="str">
        <x:v>2W</x:v>
      </x:c>
      <x:c r="R288" t="str">
        <x:v>Cloud Migration</x:v>
      </x:c>
      <x:c r="S288"/>
      <x:c r="T288" t="str">
        <x:v>approved</x:v>
      </x:c>
      <x:c r="U288" t="str">
        <x:v>mzurfaiezzuddin.zur@petronas.com</x:v>
      </x:c>
      <x:c r="V288" t="n">
        <x:v>46213.15433578704</x:v>
      </x:c>
      <x:c r="W288" t="str">
        <x:v>Cloud Repatriation - To decommission old resources in Singapore region due to completed migration in MY region</x:v>
      </x:c>
      <x:c r="X288" t="str">
        <x:v>approved</x:v>
      </x:c>
      <x:c r="Y288" t="str">
        <x:v>sazali.mokhtar@petronas.com</x:v>
      </x:c>
      <x:c r="Z288" t="n">
        <x:v>46219.12652799769</x:v>
      </x:c>
      <x:c r="AA288" t="str">
        <x:v>Cloud Repatriation - To decommission old resources in Singapore region due to completed migration in MY region</x:v>
      </x:c>
      <x:c r="AB288" t="str">
        <x:v>approved</x:v>
      </x:c>
      <x:c r="AC288" t="str">
        <x:v>abhishek.bhowate@petronas.com</x:v>
      </x:c>
      <x:c r="AD288" t="n">
        <x:v>46222.85959104167</x:v>
      </x:c>
      <x:c r="AE288" t="str">
        <x:v>Okay</x:v>
      </x:c>
      <x:c r="AF288"/>
      <x:c r="AG288" t="str">
        <x:v>venkatesh.kalikivayi@petronas.com</x:v>
      </x:c>
      <x:c r="AH288"/>
      <x:c r="AI288"/>
      <x:c r="AJ288" t="str">
        <x:v>A-000041</x:v>
      </x:c>
      <x:c r="AK288" t="n">
        <x:v>3374</x:v>
      </x:c>
      <x:c r="AL288" t="str">
        <x:v>L</x:v>
      </x:c>
      <x:c r="AM288" t="str">
        <x:v>REQ000008178972</x:v>
      </x:c>
      <x:c r="AN288" t="str">
        <x:v>noretention</x:v>
      </x:c>
      <x:c r="AO288" t="n">
        <x:v>0</x:v>
      </x:c>
      <x:c r="AP288" s="23" t="n">
        <x:f>IF(E288="processing",IF(Z288="","",IF(ISNUMBER(Z288),INT(Z288),DATE(VALUE(LEFT(Z288,4)),VALUE(MID(Z288,6,2)),VALUE(MID(Z288,9,2))))),IF(OR(E288="executing",E288="pending"),IF(AD288="","",IF(ISNUMBER(AD288),INT(AD288),DATE(VALUE(LEFT(AD288,4)),VALUE(MID(AD288,6,2)),VALUE(MID(AD288,9,2))))),""))</x:f>
        <x:v>46222</x:v>
      </x:c>
      <x:c r="AQ288" s="24" t="n">
        <x:f>IF(AP288="","",INT('Configuration'!$B$4)-AP288)</x:f>
        <x:v>29</x:v>
      </x:c>
      <x:c r="AR288" s="25" t="str">
        <x:f>IF(AP288="","Missing Required Date",IF(AQ288&lt;0,"Future Date",IF(AQ288=0,"0 days",IF(AQ288&lt;=2,"1-2 days",IF(AQ288&lt;=7,"3-7 days",IF(AQ288&lt;=14,"8-14 days",IF(AQ288&lt;=30,"15-30 days",IF(AQ288&lt;=60,"31-60 days",IF(AQ288&lt;=70,"61-70 days","71+ days")))))))))</x:f>
        <x:v>15-30 days</x:v>
      </x:c>
      <x:c r="AS288" s="25" t="str">
        <x:f>IF(OR(E288="processing",E288="executing",E288="pending"),IF(AP288="","Required aging date missing",IF(AQ288&gt;30,"Escalate &gt;30d",IF(AQ288&gt;14,"Watch &gt;14d","Within 14d"))),"Out of scope")</x:f>
        <x:v>Watch &gt;14d</x:v>
      </x:c>
    </x:row>
    <x:row r="289" ht="24" customHeight="1">
      <x:c r="A289" t="str">
        <x:v>a3bb38d5-507a-4da5-b920-d1c8d7392d9c</x:v>
      </x:c>
      <x:c r="B289" t="str">
        <x:v>CSSP10383379</x:v>
      </x:c>
      <x:c r="C289" t="str">
        <x:v>maxim.nawangwe@petronas.com</x:v>
      </x:c>
      <x:c r="D289" t="str">
        <x:v>decommission-cloud</x:v>
      </x:c>
      <x:c r="E289" t="str">
        <x:v>pending</x:v>
      </x:c>
      <x:c r="F289" t="n">
        <x:v>46216.19619958333</x:v>
      </x:c>
      <x:c r="G289" t="n">
        <x:v>46231.18356590278</x:v>
      </x:c>
      <x:c r="H289" t="n">
        <x:v>46216.19619958333</x:v>
      </x:c>
      <x:c r="I289" t="str">
        <x:v>Augmented Engineering AI</x:v>
      </x:c>
      <x:c r="J289" t="str">
        <x:v>Repurpose and Optimize J.AI Architecture for Augmented Engineering</x:v>
      </x:c>
      <x:c r="K289" t="str">
        <x:v>partial</x:v>
      </x:c>
      <x:c r="L289"/>
      <x:c r="M289" t="str">
        <x:v>yewwai.yeep@petronas.com</x:v>
      </x:c>
      <x:c r="N289"/>
      <x:c r="O289"/>
      <x:c r="P289" t="str">
        <x:v>This was a temporary POC environment for the GEN AI project with NervCenter, it was used to speed up development as we waited for a dev environment to be provisioned. In other words, it's unused right now, and won't be used in the future.</x:v>
      </x:c>
      <x:c r="Q289" t="str">
        <x:v>1M</x:v>
      </x:c>
      <x:c r="R289" t="str">
        <x:v>Obsolete</x:v>
      </x:c>
      <x:c r="S289"/>
      <x:c r="T289" t="str">
        <x:v>approved</x:v>
      </x:c>
      <x:c r="U289" t="str">
        <x:v>maxim.nawangwe@petronas.com</x:v>
      </x:c>
      <x:c r="V289" t="n">
        <x:v>46231.18356590278</x:v>
      </x:c>
      <x:c r="W289" t="str">
        <x:v>POC components only, in the POC resource groupd. Dev remains as is.</x:v>
      </x:c>
      <x:c r="X289"/>
      <x:c r="Y289" t="str">
        <x:v>yewwai.yeep@petronas.com</x:v>
      </x:c>
      <x:c r="Z289"/>
      <x:c r="AA289"/>
      <x:c r="AB289"/>
      <x:c r="AC289" t="str">
        <x:v>CCoE SA</x:v>
      </x:c>
      <x:c r="AD289"/>
      <x:c r="AE289"/>
      <x:c r="AF289"/>
      <x:c r="AG289" t="str">
        <x:v>IMS - CLOUD CSSP EXECUTOR</x:v>
      </x:c>
      <x:c r="AH289"/>
      <x:c r="AI289"/>
      <x:c r="AJ289" t="str">
        <x:v>A-001250</x:v>
      </x:c>
      <x:c r="AK289" t="str">
        <x:v>SR00170</x:v>
      </x:c>
      <x:c r="AL289"/>
      <x:c r="AM289"/>
      <x:c r="AN289" t="str">
        <x:v>disposal</x:v>
      </x:c>
      <x:c r="AO289" t="n">
        <x:v>0</x:v>
      </x:c>
      <x:c r="AP289" s="23" t="str">
        <x:f>IF(E289="processing",IF(Z289="","",IF(ISNUMBER(Z289),INT(Z289),DATE(VALUE(LEFT(Z289,4)),VALUE(MID(Z289,6,2)),VALUE(MID(Z289,9,2))))),IF(OR(E289="executing",E289="pending"),IF(AD289="","",IF(ISNUMBER(AD289),INT(AD289),DATE(VALUE(LEFT(AD289,4)),VALUE(MID(AD289,6,2)),VALUE(MID(AD289,9,2))))),""))</x:f>
      </x:c>
      <x:c r="AQ289" s="24" t="str">
        <x:f>IF(AP289="","",INT('Configuration'!$B$4)-AP289)</x:f>
      </x:c>
      <x:c r="AR289" s="25" t="str">
        <x:f>IF(AP289="","Missing Required Date",IF(AQ289&lt;0,"Future Date",IF(AQ289=0,"0 days",IF(AQ289&lt;=2,"1-2 days",IF(AQ289&lt;=7,"3-7 days",IF(AQ289&lt;=14,"8-14 days",IF(AQ289&lt;=30,"15-30 days",IF(AQ289&lt;=60,"31-60 days",IF(AQ289&lt;=70,"61-70 days","71+ days")))))))))</x:f>
        <x:v>Missing Required Date</x:v>
      </x:c>
      <x:c r="AS289" s="25" t="str">
        <x:f>IF(OR(E289="processing",E289="executing",E289="pending"),IF(AP289="","Required aging date missing",IF(AQ289&gt;30,"Escalate &gt;30d",IF(AQ289&gt;14,"Watch &gt;14d","Within 14d"))),"Out of scope")</x:f>
        <x:v>Required aging date missing</x:v>
      </x:c>
    </x:row>
    <x:row r="290" ht="24" customHeight="1">
      <x:c r="A290" t="str">
        <x:v>b39d33e0-dd79-4d42-a124-86ceee6835b5</x:v>
      </x:c>
      <x:c r="B290" t="str">
        <x:v>CSSP10375827</x:v>
      </x:c>
      <x:c r="C290" t="str">
        <x:v>norhamizah.hasni@petronas.com</x:v>
      </x:c>
      <x:c r="D290" t="str">
        <x:v>decommission-cloud</x:v>
      </x:c>
      <x:c r="E290" t="str">
        <x:v>executing</x:v>
      </x:c>
      <x:c r="F290" t="n">
        <x:v>46216.363403877316</x:v>
      </x:c>
      <x:c r="G290" t="n">
        <x:v>46222.859134328704</x:v>
      </x:c>
      <x:c r="H290" t="n">
        <x:v>46216.363403877316</x:v>
      </x:c>
      <x:c r="I290" t="str">
        <x:v>EVIE / EMT+</x:v>
      </x:c>
      <x:c r="J290" t="str">
        <x:v>Request for server subscription, installation and integration works for MLNG EVIE/EMT+</x:v>
      </x:c>
      <x:c r="K290" t="str">
        <x:v>partial</x:v>
      </x:c>
      <x:c r="L290"/>
      <x:c r="M290" t="str">
        <x:v>sazali.mokhtar@petronas.com</x:v>
      </x:c>
      <x:c r="N290" t="str">
        <x:v>N/A</x:v>
      </x:c>
      <x:c r="O290" t="n">
        <x:v>1802</x:v>
      </x:c>
      <x:c r="P290" t="str">
        <x:v>This application has completed migration to Malaysia region</x:v>
      </x:c>
      <x:c r="Q290" t="str">
        <x:v>2W</x:v>
      </x:c>
      <x:c r="R290" t="str">
        <x:v>Cloud Migration</x:v>
      </x:c>
      <x:c r="S290"/>
      <x:c r="T290" t="str">
        <x:v>approved</x:v>
      </x:c>
      <x:c r="U290" t="str">
        <x:v>norhamizah.hasni@petronas.com</x:v>
      </x:c>
      <x:c r="V290" t="n">
        <x:v>46216.365481967594</x:v>
      </x:c>
      <x:c r="W290" t="str">
        <x:v>You may refer the resource list as per document attached</x:v>
      </x:c>
      <x:c r="X290" t="str">
        <x:v>approved</x:v>
      </x:c>
      <x:c r="Y290" t="str">
        <x:v>sazali.mokhtar@petronas.com</x:v>
      </x:c>
      <x:c r="Z290" t="n">
        <x:v>46217.141275601854</x:v>
      </x:c>
      <x:c r="AA290" t="str">
        <x:v>This application has completed migration to Malaysia region</x:v>
      </x:c>
      <x:c r="AB290" t="str">
        <x:v>approved</x:v>
      </x:c>
      <x:c r="AC290" t="str">
        <x:v>abhishek.bhowate@petronas.com</x:v>
      </x:c>
      <x:c r="AD290" t="n">
        <x:v>46222.85913434028</x:v>
      </x:c>
      <x:c r="AE290" t="str">
        <x:v>Approve</x:v>
      </x:c>
      <x:c r="AF290"/>
      <x:c r="AG290" t="str">
        <x:v>amarja.kawde@petronas.com</x:v>
      </x:c>
      <x:c r="AH290"/>
      <x:c r="AI290"/>
      <x:c r="AJ290" t="str">
        <x:v>A-000311</x:v>
      </x:c>
      <x:c r="AK290" t="n">
        <x:v>1802</x:v>
      </x:c>
      <x:c r="AL290" t="str">
        <x:v>M</x:v>
      </x:c>
      <x:c r="AM290" t="str">
        <x:v>REQ000008178703</x:v>
      </x:c>
      <x:c r="AN290" t="str">
        <x:v>noretention</x:v>
      </x:c>
      <x:c r="AO290" t="n">
        <x:v>0</x:v>
      </x:c>
      <x:c r="AP290" s="23" t="n">
        <x:f>IF(E290="processing",IF(Z290="","",IF(ISNUMBER(Z290),INT(Z290),DATE(VALUE(LEFT(Z290,4)),VALUE(MID(Z290,6,2)),VALUE(MID(Z290,9,2))))),IF(OR(E290="executing",E290="pending"),IF(AD290="","",IF(ISNUMBER(AD290),INT(AD290),DATE(VALUE(LEFT(AD290,4)),VALUE(MID(AD290,6,2)),VALUE(MID(AD290,9,2))))),""))</x:f>
        <x:v>46222</x:v>
      </x:c>
      <x:c r="AQ290" s="24" t="n">
        <x:f>IF(AP290="","",INT('Configuration'!$B$4)-AP290)</x:f>
        <x:v>29</x:v>
      </x:c>
      <x:c r="AR290" s="25" t="str">
        <x:f>IF(AP290="","Missing Required Date",IF(AQ290&lt;0,"Future Date",IF(AQ290=0,"0 days",IF(AQ290&lt;=2,"1-2 days",IF(AQ290&lt;=7,"3-7 days",IF(AQ290&lt;=14,"8-14 days",IF(AQ290&lt;=30,"15-30 days",IF(AQ290&lt;=60,"31-60 days",IF(AQ290&lt;=70,"61-70 days","71+ days")))))))))</x:f>
        <x:v>15-30 days</x:v>
      </x:c>
      <x:c r="AS290" s="25" t="str">
        <x:f>IF(OR(E290="processing",E290="executing",E290="pending"),IF(AP290="","Required aging date missing",IF(AQ290&gt;30,"Escalate &gt;30d",IF(AQ290&gt;14,"Watch &gt;14d","Within 14d"))),"Out of scope")</x:f>
        <x:v>Watch &gt;14d</x:v>
      </x:c>
    </x:row>
    <x:row r="291" ht="24" customHeight="1">
      <x:c r="A291" t="str">
        <x:v>ff89c8c9-152e-494f-9e04-7d7b12ea8ac1</x:v>
      </x:c>
      <x:c r="B291" t="str">
        <x:v>CSSP10100540</x:v>
      </x:c>
      <x:c r="C291" t="str">
        <x:v>syafiqfathyamer.moh@petronas.com</x:v>
      </x:c>
      <x:c r="D291" t="str">
        <x:v>decommission-cloud</x:v>
      </x:c>
      <x:c r="E291" t="str">
        <x:v>cancelled</x:v>
      </x:c>
      <x:c r="F291" t="n">
        <x:v>46217.1617141088</x:v>
      </x:c>
      <x:c r="G291" t="n">
        <x:v>46217.32843612268</x:v>
      </x:c>
      <x:c r="H291" t="n">
        <x:v>46217.282111898145</x:v>
      </x:c>
      <x:c r="I291" t="str">
        <x:v>PIVOT Heat Exchanger - HEX</x:v>
      </x:c>
      <x:c r="J291" t="str">
        <x:v>Support &amp; maintenance of PIVOT HEX 2.0 at MRCSB (Run &amp; Maintain)</x:v>
      </x:c>
      <x:c r="K291" t="str">
        <x:v>full</x:v>
      </x:c>
      <x:c r="L291" t="str">
        <x:v>-</x:v>
      </x:c>
      <x:c r="M291" t="str">
        <x:v>sunny.khiani@petronas.com.my</x:v>
      </x:c>
      <x:c r="N291" t="str">
        <x:v>https://hex.pivot.petronas.com/</x:v>
      </x:c>
      <x:c r="O291"/>
      <x:c r="P291" t="str">
        <x:v>Business (MRCSB) agreed to decommission the application since they are not using the application anymore.</x:v>
      </x:c>
      <x:c r="Q291" t="str">
        <x:v>1M</x:v>
      </x:c>
      <x:c r="R291" t="str">
        <x:v>Not in Used</x:v>
      </x:c>
      <x:c r="S291"/>
      <x:c r="T291" t="str">
        <x:v>rejected</x:v>
      </x:c>
      <x:c r="U291" t="str">
        <x:v>syafiqfathyamer.moh@petronas.com</x:v>
      </x:c>
      <x:c r="V291" t="n">
        <x:v>46217.32843613426</x:v>
      </x:c>
      <x:c r="W291"/>
      <x:c r="X291"/>
      <x:c r="Y291" t="str">
        <x:v>sunny.khiani@petronas.com</x:v>
      </x:c>
      <x:c r="Z291"/>
      <x:c r="AA291"/>
      <x:c r="AB291"/>
      <x:c r="AC291" t="str">
        <x:v>CCoE Business</x:v>
      </x:c>
      <x:c r="AD291"/>
      <x:c r="AE291"/>
      <x:c r="AF291"/>
      <x:c r="AG291" t="str">
        <x:v>CCoE Business</x:v>
      </x:c>
      <x:c r="AH291"/>
      <x:c r="AI291"/>
      <x:c r="AJ291" t="str">
        <x:v>A-000616</x:v>
      </x:c>
      <x:c r="AK291" t="n">
        <x:v>3823</x:v>
      </x:c>
      <x:c r="AL291"/>
      <x:c r="AM291"/>
      <x:c r="AN291" t="str">
        <x:v>disposal</x:v>
      </x:c>
      <x:c r="AO291" t="n">
        <x:v>0</x:v>
      </x:c>
      <x:c r="AP291" s="23" t="str">
        <x:f>IF(E291="processing",IF(Z291="","",IF(ISNUMBER(Z291),INT(Z291),DATE(VALUE(LEFT(Z291,4)),VALUE(MID(Z291,6,2)),VALUE(MID(Z291,9,2))))),IF(OR(E291="executing",E291="pending"),IF(AD291="","",IF(ISNUMBER(AD291),INT(AD291),DATE(VALUE(LEFT(AD291,4)),VALUE(MID(AD291,6,2)),VALUE(MID(AD291,9,2))))),""))</x:f>
      </x:c>
      <x:c r="AQ291" s="24" t="str">
        <x:f>IF(AP291="","",INT('Configuration'!$B$4)-AP291)</x:f>
      </x:c>
      <x:c r="AR291" s="25" t="str">
        <x:f>IF(AP291="","Missing Required Date",IF(AQ291&lt;0,"Future Date",IF(AQ291=0,"0 days",IF(AQ291&lt;=2,"1-2 days",IF(AQ291&lt;=7,"3-7 days",IF(AQ291&lt;=14,"8-14 days",IF(AQ291&lt;=30,"15-30 days",IF(AQ291&lt;=60,"31-60 days",IF(AQ291&lt;=70,"61-70 days","71+ days")))))))))</x:f>
        <x:v>Missing Required Date</x:v>
      </x:c>
      <x:c r="AS291" s="25" t="str">
        <x:f>IF(OR(E291="processing",E291="executing",E291="pending"),IF(AP291="","Required aging date missing",IF(AQ291&gt;30,"Escalate &gt;30d",IF(AQ291&gt;14,"Watch &gt;14d","Within 14d"))),"Out of scope")</x:f>
        <x:v>Out of scope</x:v>
      </x:c>
    </x:row>
    <x:row r="292" ht="24" customHeight="1">
      <x:c r="A292" t="str">
        <x:v>d2cc5882-c861-4787-a9dd-7bb5e1c62bae</x:v>
      </x:c>
      <x:c r="B292" t="str">
        <x:v>CSSP10663869</x:v>
      </x:c>
      <x:c r="C292" t="str">
        <x:v>syafiqfathyamer.moh@petronas.com</x:v>
      </x:c>
      <x:c r="D292" t="str">
        <x:v>decommission-cloud</x:v>
      </x:c>
      <x:c r="E292" t="str">
        <x:v>cancelled</x:v>
      </x:c>
      <x:c r="F292" t="n">
        <x:v>46217.28798079861</x:v>
      </x:c>
      <x:c r="G292" t="n">
        <x:v>46217.40040693287</x:v>
      </x:c>
      <x:c r="H292" t="n">
        <x:v>46217.28798079861</x:v>
      </x:c>
      <x:c r="I292" t="str">
        <x:v>PIVOT Heat Exchanger - HEX</x:v>
      </x:c>
      <x:c r="J292" t="str">
        <x:v>Development of Heat Exchanger ( PIVOT - HEX 2.0)</x:v>
      </x:c>
      <x:c r="K292" t="str">
        <x:v>full</x:v>
      </x:c>
      <x:c r="L292" t="str">
        <x:v>-</x:v>
      </x:c>
      <x:c r="M292" t="str">
        <x:v>sunny.khiani@petronas.com.my</x:v>
      </x:c>
      <x:c r="N292" t="str">
        <x:v>hex.pivot.petronas.com</x:v>
      </x:c>
      <x:c r="O292"/>
      <x:c r="P292" t="str">
        <x:v>Business (MRCSB) agreed to decommission the application since they are not using the application anymore.</x:v>
      </x:c>
      <x:c r="Q292" t="str">
        <x:v>1M</x:v>
      </x:c>
      <x:c r="R292" t="str">
        <x:v>Not in Used</x:v>
      </x:c>
      <x:c r="S292"/>
      <x:c r="T292" t="str">
        <x:v>rejected</x:v>
      </x:c>
      <x:c r="U292" t="str">
        <x:v>syafiqfathyamer.moh@petronas.com</x:v>
      </x:c>
      <x:c r="V292" t="n">
        <x:v>46217.40040694444</x:v>
      </x:c>
      <x:c r="W292"/>
      <x:c r="X292"/>
      <x:c r="Y292" t="str">
        <x:v>sunny.khiani@petronas.com</x:v>
      </x:c>
      <x:c r="Z292"/>
      <x:c r="AA292"/>
      <x:c r="AB292"/>
      <x:c r="AC292" t="str">
        <x:v>CCoE SA</x:v>
      </x:c>
      <x:c r="AD292"/>
      <x:c r="AE292"/>
      <x:c r="AF292"/>
      <x:c r="AG292" t="str">
        <x:v>IMS - CLOUD CSSP EXECUTOR</x:v>
      </x:c>
      <x:c r="AH292"/>
      <x:c r="AI292"/>
      <x:c r="AJ292" t="str">
        <x:v>A-000616</x:v>
      </x:c>
      <x:c r="AK292" t="n">
        <x:v>176</x:v>
      </x:c>
      <x:c r="AL292"/>
      <x:c r="AM292"/>
      <x:c r="AN292" t="str">
        <x:v>disposal</x:v>
      </x:c>
      <x:c r="AO292" t="n">
        <x:v>0</x:v>
      </x:c>
      <x:c r="AP292" s="23" t="str">
        <x:f>IF(E292="processing",IF(Z292="","",IF(ISNUMBER(Z292),INT(Z292),DATE(VALUE(LEFT(Z292,4)),VALUE(MID(Z292,6,2)),VALUE(MID(Z292,9,2))))),IF(OR(E292="executing",E292="pending"),IF(AD292="","",IF(ISNUMBER(AD292),INT(AD292),DATE(VALUE(LEFT(AD292,4)),VALUE(MID(AD292,6,2)),VALUE(MID(AD292,9,2))))),""))</x:f>
      </x:c>
      <x:c r="AQ292" s="24" t="str">
        <x:f>IF(AP292="","",INT('Configuration'!$B$4)-AP292)</x:f>
      </x:c>
      <x:c r="AR292" s="25" t="str">
        <x:f>IF(AP292="","Missing Required Date",IF(AQ292&lt;0,"Future Date",IF(AQ292=0,"0 days",IF(AQ292&lt;=2,"1-2 days",IF(AQ292&lt;=7,"3-7 days",IF(AQ292&lt;=14,"8-14 days",IF(AQ292&lt;=30,"15-30 days",IF(AQ292&lt;=60,"31-60 days",IF(AQ292&lt;=70,"61-70 days","71+ days")))))))))</x:f>
        <x:v>Missing Required Date</x:v>
      </x:c>
      <x:c r="AS292" s="25" t="str">
        <x:f>IF(OR(E292="processing",E292="executing",E292="pending"),IF(AP292="","Required aging date missing",IF(AQ292&gt;30,"Escalate &gt;30d",IF(AQ292&gt;14,"Watch &gt;14d","Within 14d"))),"Out of scope")</x:f>
        <x:v>Out of scope</x:v>
      </x:c>
    </x:row>
    <x:row r="293" ht="24" customHeight="1">
      <x:c r="A293" t="str">
        <x:v>e7b36094-2e8c-493c-b251-3948cd9bfb67</x:v>
      </x:c>
      <x:c r="B293" t="str">
        <x:v>CSSP10873156</x:v>
      </x:c>
      <x:c r="C293" t="str">
        <x:v>syafiqfathyamer.moh@petronas.com</x:v>
      </x:c>
      <x:c r="D293" t="str">
        <x:v>decommission-cloud</x:v>
      </x:c>
      <x:c r="E293" t="str">
        <x:v>completed</x:v>
      </x:c>
      <x:c r="F293" t="n">
        <x:v>46217.33290563658</x:v>
      </x:c>
      <x:c r="G293" t="n">
        <x:v>46248.72991363426</x:v>
      </x:c>
      <x:c r="H293" t="n">
        <x:v>46217.33290563658</x:v>
      </x:c>
      <x:c r="I293" t="str">
        <x:v>PIVOT Heat Exchanger - HEX</x:v>
      </x:c>
      <x:c r="J293" t="str">
        <x:v>Development of Heat Exchanger ( PIVOT - HEX 2.0)</x:v>
      </x:c>
      <x:c r="K293" t="str">
        <x:v>full</x:v>
      </x:c>
      <x:c r="L293" t="str">
        <x:v>-</x:v>
      </x:c>
      <x:c r="M293" t="str">
        <x:v>sunny.khiani@petronas.com.my</x:v>
      </x:c>
      <x:c r="N293" t="str">
        <x:v>hex.pivot.petronas.com</x:v>
      </x:c>
      <x:c r="O293"/>
      <x:c r="P293" t="str">
        <x:v>Business (MRCSB) agreed to decommission the application since they are not using the application anymore.</x:v>
      </x:c>
      <x:c r="Q293" t="str">
        <x:v>1M</x:v>
      </x:c>
      <x:c r="R293" t="str">
        <x:v>Not in Used</x:v>
      </x:c>
      <x:c r="S293"/>
      <x:c r="T293" t="str">
        <x:v>approved</x:v>
      </x:c>
      <x:c r="U293" t="str">
        <x:v>syafiqfathyamer.moh@petronas.com</x:v>
      </x:c>
      <x:c r="V293" t="n">
        <x:v>46217.399275104166</x:v>
      </x:c>
      <x:c r="W293" t="str">
        <x:v>Please double check resources in excel as well.</x:v>
      </x:c>
      <x:c r="X293" t="str">
        <x:v>approved</x:v>
      </x:c>
      <x:c r="Y293" t="str">
        <x:v>sunny.khiani@petronas.com</x:v>
      </x:c>
      <x:c r="Z293" t="n">
        <x:v>46220.10074876157</x:v>
      </x:c>
      <x:c r="AA293" t="str">
        <x:v>please do scream test, necessary backups </x:v>
      </x:c>
      <x:c r="AB293" t="str">
        <x:v>approved</x:v>
      </x:c>
      <x:c r="AC293" t="str">
        <x:v>abhishek.bhowate@petronas.com</x:v>
      </x:c>
      <x:c r="AD293" t="n">
        <x:v>46230.16169670139</x:v>
      </x:c>
      <x:c r="AE293" t="str">
        <x:v>Approved</x:v>
      </x:c>
      <x:c r="AF293" t="str">
        <x:v>approved</x:v>
      </x:c>
      <x:c r="AG293" t="str">
        <x:v>swaminadh.chirakala@petronas.com</x:v>
      </x:c>
      <x:c r="AH293" t="n">
        <x:v>46248.72991363426</x:v>
      </x:c>
      <x:c r="AI293" t="str">
        <x:v>The resources opted for decommissioning have been decommissioned successfully. Hence initiating with closure of this request.</x:v>
      </x:c>
      <x:c r="AJ293" t="str">
        <x:v>A-000616</x:v>
      </x:c>
      <x:c r="AK293" t="n">
        <x:v>176</x:v>
      </x:c>
      <x:c r="AL293" t="str">
        <x:v>M</x:v>
      </x:c>
      <x:c r="AM293" t="str">
        <x:v>REQ000008195624</x:v>
      </x:c>
      <x:c r="AN293" t="str">
        <x:v>disposal</x:v>
      </x:c>
      <x:c r="AO293" t="n">
        <x:v>0</x:v>
      </x:c>
      <x:c r="AP293" s="23" t="str">
        <x:f>IF(E293="processing",IF(Z293="","",IF(ISNUMBER(Z293),INT(Z293),DATE(VALUE(LEFT(Z293,4)),VALUE(MID(Z293,6,2)),VALUE(MID(Z293,9,2))))),IF(OR(E293="executing",E293="pending"),IF(AD293="","",IF(ISNUMBER(AD293),INT(AD293),DATE(VALUE(LEFT(AD293,4)),VALUE(MID(AD293,6,2)),VALUE(MID(AD293,9,2))))),""))</x:f>
      </x:c>
      <x:c r="AQ293" s="24" t="str">
        <x:f>IF(AP293="","",INT('Configuration'!$B$4)-AP293)</x:f>
      </x:c>
      <x:c r="AR293" s="25" t="str">
        <x:f>IF(AP293="","Missing Required Date",IF(AQ293&lt;0,"Future Date",IF(AQ293=0,"0 days",IF(AQ293&lt;=2,"1-2 days",IF(AQ293&lt;=7,"3-7 days",IF(AQ293&lt;=14,"8-14 days",IF(AQ293&lt;=30,"15-30 days",IF(AQ293&lt;=60,"31-60 days",IF(AQ293&lt;=70,"61-70 days","71+ days")))))))))</x:f>
        <x:v>Missing Required Date</x:v>
      </x:c>
      <x:c r="AS293" s="25" t="str">
        <x:f>IF(OR(E293="processing",E293="executing",E293="pending"),IF(AP293="","Required aging date missing",IF(AQ293&gt;30,"Escalate &gt;30d",IF(AQ293&gt;14,"Watch &gt;14d","Within 14d"))),"Out of scope")</x:f>
        <x:v>Out of scope</x:v>
      </x:c>
    </x:row>
    <x:row r="294" ht="24" customHeight="1">
      <x:c r="A294" t="str">
        <x:v>ed737e69-def5-464f-a5ed-7f2df3b1d9e2</x:v>
      </x:c>
      <x:c r="B294" t="str">
        <x:v>CSSP10112747</x:v>
      </x:c>
      <x:c r="C294" t="str">
        <x:v>saufi.tahwil@petronas.com</x:v>
      </x:c>
      <x:c r="D294" t="str">
        <x:v>decommission-cloud</x:v>
      </x:c>
      <x:c r="E294" t="str">
        <x:v>cancelled</x:v>
      </x:c>
      <x:c r="F294" t="n">
        <x:v>46218.174622199076</x:v>
      </x:c>
      <x:c r="G294" t="n">
        <x:v>46218.17821309028</x:v>
      </x:c>
      <x:c r="H294" t="n">
        <x:v>46218.174622199076</x:v>
      </x:c>
      <x:c r="I294" t="str">
        <x:v>Cyber Security Identity and Access Management - IAM</x:v>
      </x:c>
      <x:c r="J294" t="str">
        <x:v>OSR00173: Technical Governance Support for Identity and Access Management (IAM) - OSR00170: Cybersecurity: Procurement and Infrastructure Deployment of AM for IAM</x:v>
      </x:c>
      <x:c r="K294" t="str">
        <x:v>partial</x:v>
      </x:c>
      <x:c r="L294"/>
      <x:c r="M294" t="str">
        <x:v>imran.makhdoom@petronas.com</x:v>
      </x:c>
      <x:c r="N294"/>
      <x:c r="O294"/>
      <x:c r="P294" t="str">
        <x:v>these servers are no longer needed at this stage and do not have any depencency on them.</x:v>
      </x:c>
      <x:c r="Q294" t="str">
        <x:v>2W</x:v>
      </x:c>
      <x:c r="R294" t="str">
        <x:v>Not in Used</x:v>
      </x:c>
      <x:c r="S294"/>
      <x:c r="T294" t="str">
        <x:v>rejected</x:v>
      </x:c>
      <x:c r="U294" t="str">
        <x:v>saufi.tahwil@petronas.com</x:v>
      </x:c>
      <x:c r="V294" t="n">
        <x:v>46218.178213113424</x:v>
      </x:c>
      <x:c r="W294"/>
      <x:c r="X294"/>
      <x:c r="Y294" t="str">
        <x:v>imran.makhdoom@petronas.com</x:v>
      </x:c>
      <x:c r="Z294"/>
      <x:c r="AA294"/>
      <x:c r="AB294"/>
      <x:c r="AC294" t="str">
        <x:v>CCoE SA</x:v>
      </x:c>
      <x:c r="AD294"/>
      <x:c r="AE294"/>
      <x:c r="AF294"/>
      <x:c r="AG294" t="str">
        <x:v>IMS - CLOUD CSSP EXECUTOR</x:v>
      </x:c>
      <x:c r="AH294"/>
      <x:c r="AI294"/>
      <x:c r="AJ294" t="str">
        <x:v>A-000161</x:v>
      </x:c>
      <x:c r="AK294" t="str">
        <x:v>OSR00170</x:v>
      </x:c>
      <x:c r="AL294"/>
      <x:c r="AM294"/>
      <x:c r="AN294" t="str">
        <x:v>noretention</x:v>
      </x:c>
      <x:c r="AO294" t="n">
        <x:v>0</x:v>
      </x:c>
      <x:c r="AP294" s="23" t="str">
        <x:f>IF(E294="processing",IF(Z294="","",IF(ISNUMBER(Z294),INT(Z294),DATE(VALUE(LEFT(Z294,4)),VALUE(MID(Z294,6,2)),VALUE(MID(Z294,9,2))))),IF(OR(E294="executing",E294="pending"),IF(AD294="","",IF(ISNUMBER(AD294),INT(AD294),DATE(VALUE(LEFT(AD294,4)),VALUE(MID(AD294,6,2)),VALUE(MID(AD294,9,2))))),""))</x:f>
      </x:c>
      <x:c r="AQ294" s="24" t="str">
        <x:f>IF(AP294="","",INT('Configuration'!$B$4)-AP294)</x:f>
      </x:c>
      <x:c r="AR294" s="25" t="str">
        <x:f>IF(AP294="","Missing Required Date",IF(AQ294&lt;0,"Future Date",IF(AQ294=0,"0 days",IF(AQ294&lt;=2,"1-2 days",IF(AQ294&lt;=7,"3-7 days",IF(AQ294&lt;=14,"8-14 days",IF(AQ294&lt;=30,"15-30 days",IF(AQ294&lt;=60,"31-60 days",IF(AQ294&lt;=70,"61-70 days","71+ days")))))))))</x:f>
        <x:v>Missing Required Date</x:v>
      </x:c>
      <x:c r="AS294" s="25" t="str">
        <x:f>IF(OR(E294="processing",E294="executing",E294="pending"),IF(AP294="","Required aging date missing",IF(AQ294&gt;30,"Escalate &gt;30d",IF(AQ294&gt;14,"Watch &gt;14d","Within 14d"))),"Out of scope")</x:f>
        <x:v>Out of scope</x:v>
      </x:c>
    </x:row>
    <x:row r="295" ht="24" customHeight="1">
      <x:c r="A295" t="str">
        <x:v>85b08504-d6c3-4933-86a9-f7b60ab24ebd</x:v>
      </x:c>
      <x:c r="B295" t="str">
        <x:v>CSSP10707894</x:v>
      </x:c>
      <x:c r="C295" t="str">
        <x:v>izdihar.roslan@petronas.com</x:v>
      </x:c>
      <x:c r="D295" t="str">
        <x:v>decommission-cloud</x:v>
      </x:c>
      <x:c r="E295" t="str">
        <x:v>executing</x:v>
      </x:c>
      <x:c r="F295" t="n">
        <x:v>46219.11517596065</x:v>
      </x:c>
      <x:c r="G295" t="n">
        <x:v>46222.85863195602</x:v>
      </x:c>
      <x:c r="H295" t="n">
        <x:v>46219.11517596065</x:v>
      </x:c>
      <x:c r="I295" t="str">
        <x:v>Lab Information Management System - LIMS PRPC</x:v>
      </x:c>
      <x:c r="J295" t="str">
        <x:v>OCI MIGRATION - LIMS PRPC</x:v>
      </x:c>
      <x:c r="K295" t="str">
        <x:v>partial</x:v>
      </x:c>
      <x:c r="L295"/>
      <x:c r="M295" t="str">
        <x:v>sazali.mokhtar@petronas.com</x:v>
      </x:c>
      <x:c r="N295"/>
      <x:c r="O295"/>
      <x:c r="P295" t="str">
        <x:v>Cloud Repatriation - To decommission old resources in Singapore region due to completed migration in MY region</x:v>
      </x:c>
      <x:c r="Q295" t="str">
        <x:v>2W</x:v>
      </x:c>
      <x:c r="R295" t="str">
        <x:v>Cloud Migration</x:v>
      </x:c>
      <x:c r="S295"/>
      <x:c r="T295" t="str">
        <x:v>approved</x:v>
      </x:c>
      <x:c r="U295" t="str">
        <x:v>izdihar.roslan@petronas.com</x:v>
      </x:c>
      <x:c r="V295" t="n">
        <x:v>46219.118473842595</x:v>
      </x:c>
      <x:c r="W295" t="str">
        <x:v>Cloud Repatriation - To decommission old resources in Singapore region due to completed migration in MY region</x:v>
      </x:c>
      <x:c r="X295" t="str">
        <x:v>approved</x:v>
      </x:c>
      <x:c r="Y295" t="str">
        <x:v>sazali.mokhtar@petronas.com</x:v>
      </x:c>
      <x:c r="Z295" t="n">
        <x:v>46219.14791211805</x:v>
      </x:c>
      <x:c r="AA295" t="str">
        <x:v>Cloud Repatriation - To decommission old resources in Singapore region due to completed migration in MY region</x:v>
      </x:c>
      <x:c r="AB295" t="str">
        <x:v>approved</x:v>
      </x:c>
      <x:c r="AC295" t="str">
        <x:v>abhishek.bhowate@petronas.com</x:v>
      </x:c>
      <x:c r="AD295" t="n">
        <x:v>46222.858631967596</x:v>
      </x:c>
      <x:c r="AE295" t="str">
        <x:v>Okay</x:v>
      </x:c>
      <x:c r="AF295"/>
      <x:c r="AG295" t="str">
        <x:v>venkatesh.kalikivayi@petronas.com</x:v>
      </x:c>
      <x:c r="AH295"/>
      <x:c r="AI295"/>
      <x:c r="AJ295" t="str">
        <x:v>A-000430</x:v>
      </x:c>
      <x:c r="AK295" t="str">
        <x:v>02421_44</x:v>
      </x:c>
      <x:c r="AL295" t="str">
        <x:v>M</x:v>
      </x:c>
      <x:c r="AM295" t="str">
        <x:v>REQ000008178971</x:v>
      </x:c>
      <x:c r="AN295" t="str">
        <x:v>noretention</x:v>
      </x:c>
      <x:c r="AO295" t="n">
        <x:v>0</x:v>
      </x:c>
      <x:c r="AP295" s="23" t="n">
        <x:f>IF(E295="processing",IF(Z295="","",IF(ISNUMBER(Z295),INT(Z295),DATE(VALUE(LEFT(Z295,4)),VALUE(MID(Z295,6,2)),VALUE(MID(Z295,9,2))))),IF(OR(E295="executing",E295="pending"),IF(AD295="","",IF(ISNUMBER(AD295),INT(AD295),DATE(VALUE(LEFT(AD295,4)),VALUE(MID(AD295,6,2)),VALUE(MID(AD295,9,2))))),""))</x:f>
        <x:v>46222</x:v>
      </x:c>
      <x:c r="AQ295" s="24" t="n">
        <x:f>IF(AP295="","",INT('Configuration'!$B$4)-AP295)</x:f>
        <x:v>29</x:v>
      </x:c>
      <x:c r="AR295" s="25" t="str">
        <x:f>IF(AP295="","Missing Required Date",IF(AQ295&lt;0,"Future Date",IF(AQ295=0,"0 days",IF(AQ295&lt;=2,"1-2 days",IF(AQ295&lt;=7,"3-7 days",IF(AQ295&lt;=14,"8-14 days",IF(AQ295&lt;=30,"15-30 days",IF(AQ295&lt;=60,"31-60 days",IF(AQ295&lt;=70,"61-70 days","71+ days")))))))))</x:f>
        <x:v>15-30 days</x:v>
      </x:c>
      <x:c r="AS295" s="25" t="str">
        <x:f>IF(OR(E295="processing",E295="executing",E295="pending"),IF(AP295="","Required aging date missing",IF(AQ295&gt;30,"Escalate &gt;30d",IF(AQ295&gt;14,"Watch &gt;14d","Within 14d"))),"Out of scope")</x:f>
        <x:v>Watch &gt;14d</x:v>
      </x:c>
    </x:row>
    <x:row r="296" ht="24" customHeight="1">
      <x:c r="A296" t="str">
        <x:v>70864d27-2911-46c6-b8f6-005a30e5d3d8</x:v>
      </x:c>
      <x:c r="B296" t="str">
        <x:v>CSSP10668539</x:v>
      </x:c>
      <x:c r="C296" t="str">
        <x:v>izdihar.roslan@petronas.com</x:v>
      </x:c>
      <x:c r="D296" t="str">
        <x:v>decommission-cloud</x:v>
      </x:c>
      <x:c r="E296" t="str">
        <x:v>executing</x:v>
      </x:c>
      <x:c r="F296" t="n">
        <x:v>46219.12460498843</x:v>
      </x:c>
      <x:c r="G296" t="n">
        <x:v>46222.85813299769</x:v>
      </x:c>
      <x:c r="H296" t="n">
        <x:v>46219.12460498843</x:v>
      </x:c>
      <x:c r="I296" t="str">
        <x:v>Lab Information Management System - LIMS PRPC</x:v>
      </x:c>
      <x:c r="J296" t="str">
        <x:v>OCI MIGRATION - LIMS PRPC</x:v>
      </x:c>
      <x:c r="K296" t="str">
        <x:v>partial</x:v>
      </x:c>
      <x:c r="L296"/>
      <x:c r="M296" t="str">
        <x:v>sazali.mokhtar@petronas.com</x:v>
      </x:c>
      <x:c r="N296"/>
      <x:c r="O296"/>
      <x:c r="P296" t="str">
        <x:v>Cloud Repatriation - To decommission old resources in Singapore region due to completed migration in MY region</x:v>
      </x:c>
      <x:c r="Q296" t="str">
        <x:v>2W</x:v>
      </x:c>
      <x:c r="R296" t="str">
        <x:v>Cloud Migration</x:v>
      </x:c>
      <x:c r="S296"/>
      <x:c r="T296" t="str">
        <x:v>approved</x:v>
      </x:c>
      <x:c r="U296" t="str">
        <x:v>izdihar.roslan@petronas.com</x:v>
      </x:c>
      <x:c r="V296" t="n">
        <x:v>46219.12551619213</x:v>
      </x:c>
      <x:c r="W296" t="str">
        <x:v>Cloud Repatriation - To decommission old resources in Singapore region due to completed migration in MY region</x:v>
      </x:c>
      <x:c r="X296" t="str">
        <x:v>approved</x:v>
      </x:c>
      <x:c r="Y296" t="str">
        <x:v>sazali.mokhtar@petronas.com</x:v>
      </x:c>
      <x:c r="Z296" t="n">
        <x:v>46219.19129728009</x:v>
      </x:c>
      <x:c r="AA296" t="str">
        <x:v>Cloud Repatriation - To decommission old resources in Singapore region due to completed migration in MY region</x:v>
      </x:c>
      <x:c r="AB296" t="str">
        <x:v>approved</x:v>
      </x:c>
      <x:c r="AC296" t="str">
        <x:v>abhishek.bhowate@petronas.com</x:v>
      </x:c>
      <x:c r="AD296" t="n">
        <x:v>46222.85813300926</x:v>
      </x:c>
      <x:c r="AE296" t="str">
        <x:v>Approve</x:v>
      </x:c>
      <x:c r="AF296"/>
      <x:c r="AG296" t="str">
        <x:v>amarja.kawde@petronas.com</x:v>
      </x:c>
      <x:c r="AH296"/>
      <x:c r="AI296"/>
      <x:c r="AJ296" t="str">
        <x:v>A-000430</x:v>
      </x:c>
      <x:c r="AK296" t="str">
        <x:v>OCI-00038</x:v>
      </x:c>
      <x:c r="AL296" t="str">
        <x:v>S</x:v>
      </x:c>
      <x:c r="AM296" t="str">
        <x:v>REQ000008178970</x:v>
      </x:c>
      <x:c r="AN296" t="str">
        <x:v>noretention</x:v>
      </x:c>
      <x:c r="AO296" t="n">
        <x:v>0</x:v>
      </x:c>
      <x:c r="AP296" s="23" t="n">
        <x:f>IF(E296="processing",IF(Z296="","",IF(ISNUMBER(Z296),INT(Z296),DATE(VALUE(LEFT(Z296,4)),VALUE(MID(Z296,6,2)),VALUE(MID(Z296,9,2))))),IF(OR(E296="executing",E296="pending"),IF(AD296="","",IF(ISNUMBER(AD296),INT(AD296),DATE(VALUE(LEFT(AD296,4)),VALUE(MID(AD296,6,2)),VALUE(MID(AD296,9,2))))),""))</x:f>
        <x:v>46222</x:v>
      </x:c>
      <x:c r="AQ296" s="24" t="n">
        <x:f>IF(AP296="","",INT('Configuration'!$B$4)-AP296)</x:f>
        <x:v>29</x:v>
      </x:c>
      <x:c r="AR296" s="25" t="str">
        <x:f>IF(AP296="","Missing Required Date",IF(AQ296&lt;0,"Future Date",IF(AQ296=0,"0 days",IF(AQ296&lt;=2,"1-2 days",IF(AQ296&lt;=7,"3-7 days",IF(AQ296&lt;=14,"8-14 days",IF(AQ296&lt;=30,"15-30 days",IF(AQ296&lt;=60,"31-60 days",IF(AQ296&lt;=70,"61-70 days","71+ days")))))))))</x:f>
        <x:v>15-30 days</x:v>
      </x:c>
      <x:c r="AS296" s="25" t="str">
        <x:f>IF(OR(E296="processing",E296="executing",E296="pending"),IF(AP296="","Required aging date missing",IF(AQ296&gt;30,"Escalate &gt;30d",IF(AQ296&gt;14,"Watch &gt;14d","Within 14d"))),"Out of scope")</x:f>
        <x:v>Watch &gt;14d</x:v>
      </x:c>
    </x:row>
    <x:row r="297" ht="24" customHeight="1">
      <x:c r="A297" t="str">
        <x:v>0219e14a-939c-4a74-9704-093007b38bb6</x:v>
      </x:c>
      <x:c r="B297" t="str">
        <x:v>CSSP10434467</x:v>
      </x:c>
      <x:c r="C297" t="str">
        <x:v>izdihar.roslan@petronas.com</x:v>
      </x:c>
      <x:c r="D297" t="str">
        <x:v>decommission-cloud</x:v>
      </x:c>
      <x:c r="E297" t="str">
        <x:v>completed</x:v>
      </x:c>
      <x:c r="F297" t="n">
        <x:v>46219.14097422454</x:v>
      </x:c>
      <x:c r="G297" t="n">
        <x:v>46234.46915765046</x:v>
      </x:c>
      <x:c r="H297" t="n">
        <x:v>46219.14097422454</x:v>
      </x:c>
      <x:c r="I297" t="str">
        <x:v>Dynamic Risk Analyzer - DRA MRCSB</x:v>
      </x:c>
      <x:c r="J297" t="str">
        <x:v>CTP Old to New LZ - Dynamic Risk Analyser (DRA) MRCSB</x:v>
      </x:c>
      <x:c r="K297" t="str">
        <x:v>partial</x:v>
      </x:c>
      <x:c r="L297"/>
      <x:c r="M297" t="str">
        <x:v>sazali.mokhtar@petronas.com</x:v>
      </x:c>
      <x:c r="N297"/>
      <x:c r="O297"/>
      <x:c r="P297" t="str">
        <x:v>Cloud Repatriation - To decommission old resources in Singapore region due to completed migration in MY region</x:v>
      </x:c>
      <x:c r="Q297" t="str">
        <x:v>2W</x:v>
      </x:c>
      <x:c r="R297" t="str">
        <x:v>Cloud Migration</x:v>
      </x:c>
      <x:c r="S297"/>
      <x:c r="T297" t="str">
        <x:v>approved</x:v>
      </x:c>
      <x:c r="U297" t="str">
        <x:v>izdihar.roslan@petronas.com</x:v>
      </x:c>
      <x:c r="V297" t="n">
        <x:v>46219.14341491898</x:v>
      </x:c>
      <x:c r="W297" t="str">
        <x:v>Cloud Repatriation - To decommission old resources in Singapore region due to completed migration in MY region</x:v>
      </x:c>
      <x:c r="X297" t="str">
        <x:v>approved</x:v>
      </x:c>
      <x:c r="Y297" t="str">
        <x:v>sazali.mokhtar@petronas.com</x:v>
      </x:c>
      <x:c r="Z297" t="n">
        <x:v>46219.200832766204</x:v>
      </x:c>
      <x:c r="AA297" t="str">
        <x:v>Cloud Repatriation - To decommission old resources in Singapore region due to completed migration in MY region</x:v>
      </x:c>
      <x:c r="AB297" t="str">
        <x:v>approved</x:v>
      </x:c>
      <x:c r="AC297" t="str">
        <x:v>abhishek.bhowate@petronas.com</x:v>
      </x:c>
      <x:c r="AD297" t="n">
        <x:v>46222.79978429398</x:v>
      </x:c>
      <x:c r="AE297" t="str">
        <x:v>approve</x:v>
      </x:c>
      <x:c r="AF297" t="str">
        <x:v>approved</x:v>
      </x:c>
      <x:c r="AG297" t="str">
        <x:v>venkatesh.kalikivayi@petronas.com</x:v>
      </x:c>
      <x:c r="AH297" t="n">
        <x:v>46234.46915766204</x:v>
      </x:c>
      <x:c r="AI297" t="str">
        <x:v>The decommissioning has been completed as mentioned. Since these resources belong to the Singapore region.we are proceeding with closing the ticket.</x:v>
      </x:c>
      <x:c r="AJ297" t="str">
        <x:v>A-000224</x:v>
      </x:c>
      <x:c r="AK297" t="str">
        <x:v>02421_22</x:v>
      </x:c>
      <x:c r="AL297" t="str">
        <x:v>L</x:v>
      </x:c>
      <x:c r="AM297" t="str">
        <x:v>REQ000008178962</x:v>
      </x:c>
      <x:c r="AN297" t="str">
        <x:v>noretention</x:v>
      </x:c>
      <x:c r="AO297" t="n">
        <x:v>0</x:v>
      </x:c>
      <x:c r="AP297" s="23" t="str">
        <x:f>IF(E297="processing",IF(Z297="","",IF(ISNUMBER(Z297),INT(Z297),DATE(VALUE(LEFT(Z297,4)),VALUE(MID(Z297,6,2)),VALUE(MID(Z297,9,2))))),IF(OR(E297="executing",E297="pending"),IF(AD297="","",IF(ISNUMBER(AD297),INT(AD297),DATE(VALUE(LEFT(AD297,4)),VALUE(MID(AD297,6,2)),VALUE(MID(AD297,9,2))))),""))</x:f>
      </x:c>
      <x:c r="AQ297" s="24" t="str">
        <x:f>IF(AP297="","",INT('Configuration'!$B$4)-AP297)</x:f>
      </x:c>
      <x:c r="AR297" s="25" t="str">
        <x:f>IF(AP297="","Missing Required Date",IF(AQ297&lt;0,"Future Date",IF(AQ297=0,"0 days",IF(AQ297&lt;=2,"1-2 days",IF(AQ297&lt;=7,"3-7 days",IF(AQ297&lt;=14,"8-14 days",IF(AQ297&lt;=30,"15-30 days",IF(AQ297&lt;=60,"31-60 days",IF(AQ297&lt;=70,"61-70 days","71+ days")))))))))</x:f>
        <x:v>Missing Required Date</x:v>
      </x:c>
      <x:c r="AS297" s="25" t="str">
        <x:f>IF(OR(E297="processing",E297="executing",E297="pending"),IF(AP297="","Required aging date missing",IF(AQ297&gt;30,"Escalate &gt;30d",IF(AQ297&gt;14,"Watch &gt;14d","Within 14d"))),"Out of scope")</x:f>
        <x:v>Out of scope</x:v>
      </x:c>
    </x:row>
    <x:row r="298" ht="24" customHeight="1">
      <x:c r="A298" t="str">
        <x:v>d50a8efd-fb67-4309-9390-0078c9219551</x:v>
      </x:c>
      <x:c r="B298" t="str">
        <x:v>CSSP10360050</x:v>
      </x:c>
      <x:c r="C298" t="str">
        <x:v>izdihar.roslan@petronas.com</x:v>
      </x:c>
      <x:c r="D298" t="str">
        <x:v>decommission-cloud</x:v>
      </x:c>
      <x:c r="E298" t="str">
        <x:v>pending</x:v>
      </x:c>
      <x:c r="F298" t="n">
        <x:v>46219.28086363426</x:v>
      </x:c>
      <x:c r="G298" t="n">
        <x:v>46219.28086363426</x:v>
      </x:c>
      <x:c r="H298" t="n">
        <x:v>46219.28086363426</x:v>
      </x:c>
      <x:c r="I298" t="str">
        <x:v>Dynamic Risk Analyzer - DRA PPTSB</x:v>
      </x:c>
      <x:c r="J298" t="str">
        <x:v>CTP Old to New LZ - Dynamic Risk Analyzer (DRA) PETRONAS Penapisan (Terengganu) Sdn. Bhd.(PPTSB)</x:v>
      </x:c>
      <x:c r="K298" t="str">
        <x:v>partial</x:v>
      </x:c>
      <x:c r="L298"/>
      <x:c r="M298" t="str">
        <x:v>sazali.mokhtar@petronas.com</x:v>
      </x:c>
      <x:c r="N298"/>
      <x:c r="O298"/>
      <x:c r="P298" t="str">
        <x:v>Cloud Repatriation - To decommission old resources in Singapore region due to completed migration in MY region</x:v>
      </x:c>
      <x:c r="Q298" t="str">
        <x:v>2W</x:v>
      </x:c>
      <x:c r="R298" t="str">
        <x:v>Cloud Migration</x:v>
      </x:c>
      <x:c r="S298"/>
      <x:c r="T298" t="str">
        <x:v>pending</x:v>
      </x:c>
      <x:c r="U298" t="str">
        <x:v>izdihar.roslan@petronas.com</x:v>
      </x:c>
      <x:c r="V298"/>
      <x:c r="W298"/>
      <x:c r="X298"/>
      <x:c r="Y298" t="str">
        <x:v>sazali.mokhtar@petronas.com</x:v>
      </x:c>
      <x:c r="Z298"/>
      <x:c r="AA298"/>
      <x:c r="AB298"/>
      <x:c r="AC298" t="str">
        <x:v>CCoE SA</x:v>
      </x:c>
      <x:c r="AD298"/>
      <x:c r="AE298"/>
      <x:c r="AF298"/>
      <x:c r="AG298" t="str">
        <x:v>IMS - CLOUD CSSP EXECUTOR</x:v>
      </x:c>
      <x:c r="AH298"/>
      <x:c r="AI298"/>
      <x:c r="AJ298" t="str">
        <x:v>A-000230</x:v>
      </x:c>
      <x:c r="AK298" t="str">
        <x:v>02421_17</x:v>
      </x:c>
      <x:c r="AL298"/>
      <x:c r="AM298"/>
      <x:c r="AN298" t="str">
        <x:v>noretention</x:v>
      </x:c>
      <x:c r="AO298" t="n">
        <x:v>0</x:v>
      </x:c>
      <x:c r="AP298" s="23" t="str">
        <x:f>IF(E298="processing",IF(Z298="","",IF(ISNUMBER(Z298),INT(Z298),DATE(VALUE(LEFT(Z298,4)),VALUE(MID(Z298,6,2)),VALUE(MID(Z298,9,2))))),IF(OR(E298="executing",E298="pending"),IF(AD298="","",IF(ISNUMBER(AD298),INT(AD298),DATE(VALUE(LEFT(AD298,4)),VALUE(MID(AD298,6,2)),VALUE(MID(AD298,9,2))))),""))</x:f>
      </x:c>
      <x:c r="AQ298" s="24" t="str">
        <x:f>IF(AP298="","",INT('Configuration'!$B$4)-AP298)</x:f>
      </x:c>
      <x:c r="AR298" s="25" t="str">
        <x:f>IF(AP298="","Missing Required Date",IF(AQ298&lt;0,"Future Date",IF(AQ298=0,"0 days",IF(AQ298&lt;=2,"1-2 days",IF(AQ298&lt;=7,"3-7 days",IF(AQ298&lt;=14,"8-14 days",IF(AQ298&lt;=30,"15-30 days",IF(AQ298&lt;=60,"31-60 days",IF(AQ298&lt;=70,"61-70 days","71+ days")))))))))</x:f>
        <x:v>Missing Required Date</x:v>
      </x:c>
      <x:c r="AS298" s="25" t="str">
        <x:f>IF(OR(E298="processing",E298="executing",E298="pending"),IF(AP298="","Required aging date missing",IF(AQ298&gt;30,"Escalate &gt;30d",IF(AQ298&gt;14,"Watch &gt;14d","Within 14d"))),"Out of scope")</x:f>
        <x:v>Required aging date missing</x:v>
      </x:c>
    </x:row>
    <x:row r="299" ht="24" customHeight="1">
      <x:c r="A299" t="str">
        <x:v>390dbc85-7544-4dad-bca5-0e869becaa51</x:v>
      </x:c>
      <x:c r="B299" t="str">
        <x:v>CSSP10613645</x:v>
      </x:c>
      <x:c r="C299" t="str">
        <x:v>norhasdayany.dawood@petronas.com</x:v>
      </x:c>
      <x:c r="D299" t="str">
        <x:v>decommission-cloud</x:v>
      </x:c>
      <x:c r="E299" t="str">
        <x:v>pending</x:v>
      </x:c>
      <x:c r="F299" t="n">
        <x:v>46219.32611770833</x:v>
      </x:c>
      <x:c r="G299" t="n">
        <x:v>46219.333588981484</x:v>
      </x:c>
      <x:c r="H299" t="n">
        <x:v>46219.32611770833</x:v>
      </x:c>
      <x:c r="I299" t="str">
        <x:v>Automated Tank Gauging ATG PDB</x:v>
      </x:c>
      <x:c r="J299" t="str">
        <x:v>PDB landing zone ATG application</x:v>
      </x:c>
      <x:c r="K299" t="str">
        <x:v>partial</x:v>
      </x:c>
      <x:c r="L299"/>
      <x:c r="M299" t="str">
        <x:v>rokayah_kassim@petronas.com</x:v>
      </x:c>
      <x:c r="N299"/>
      <x:c r="O299"/>
      <x:c r="P299" t="str">
        <x:v>Not in use and required to be decommissioned</x:v>
      </x:c>
      <x:c r="Q299" t="str">
        <x:v>2W</x:v>
      </x:c>
      <x:c r="R299" t="str">
        <x:v>Not in Used</x:v>
      </x:c>
      <x:c r="S299"/>
      <x:c r="T299" t="str">
        <x:v>approved</x:v>
      </x:c>
      <x:c r="U299" t="str">
        <x:v>norhasdayany.dawood@petronas.com</x:v>
      </x:c>
      <x:c r="V299" t="n">
        <x:v>46219.33358899305</x:v>
      </x:c>
      <x:c r="W299" t="str">
        <x:v>Not in use and required to be decommissioned</x:v>
      </x:c>
      <x:c r="X299"/>
      <x:c r="Y299" t="str">
        <x:v>rokayah_kassim@petronas.com</x:v>
      </x:c>
      <x:c r="Z299"/>
      <x:c r="AA299"/>
      <x:c r="AB299"/>
      <x:c r="AC299" t="str">
        <x:v>CCoE SA</x:v>
      </x:c>
      <x:c r="AD299"/>
      <x:c r="AE299"/>
      <x:c r="AF299"/>
      <x:c r="AG299" t="str">
        <x:v>IMS - CLOUD CSSP EXECUTOR</x:v>
      </x:c>
      <x:c r="AH299"/>
      <x:c r="AI299"/>
      <x:c r="AJ299" t="str">
        <x:v>A-000079</x:v>
      </x:c>
      <x:c r="AK299" t="str">
        <x:v>00971_3</x:v>
      </x:c>
      <x:c r="AL299"/>
      <x:c r="AM299"/>
      <x:c r="AN299" t="str">
        <x:v>noretention</x:v>
      </x:c>
      <x:c r="AO299" t="n">
        <x:v>0</x:v>
      </x:c>
      <x:c r="AP299" s="23" t="str">
        <x:f>IF(E299="processing",IF(Z299="","",IF(ISNUMBER(Z299),INT(Z299),DATE(VALUE(LEFT(Z299,4)),VALUE(MID(Z299,6,2)),VALUE(MID(Z299,9,2))))),IF(OR(E299="executing",E299="pending"),IF(AD299="","",IF(ISNUMBER(AD299),INT(AD299),DATE(VALUE(LEFT(AD299,4)),VALUE(MID(AD299,6,2)),VALUE(MID(AD299,9,2))))),""))</x:f>
      </x:c>
      <x:c r="AQ299" s="24" t="str">
        <x:f>IF(AP299="","",INT('Configuration'!$B$4)-AP299)</x:f>
      </x:c>
      <x:c r="AR299" s="25" t="str">
        <x:f>IF(AP299="","Missing Required Date",IF(AQ299&lt;0,"Future Date",IF(AQ299=0,"0 days",IF(AQ299&lt;=2,"1-2 days",IF(AQ299&lt;=7,"3-7 days",IF(AQ299&lt;=14,"8-14 days",IF(AQ299&lt;=30,"15-30 days",IF(AQ299&lt;=60,"31-60 days",IF(AQ299&lt;=70,"61-70 days","71+ days")))))))))</x:f>
        <x:v>Missing Required Date</x:v>
      </x:c>
      <x:c r="AS299" s="25" t="str">
        <x:f>IF(OR(E299="processing",E299="executing",E299="pending"),IF(AP299="","Required aging date missing",IF(AQ299&gt;30,"Escalate &gt;30d",IF(AQ299&gt;14,"Watch &gt;14d","Within 14d"))),"Out of scope")</x:f>
        <x:v>Required aging date missing</x:v>
      </x:c>
    </x:row>
    <x:row r="300" ht="24" customHeight="1">
      <x:c r="A300" t="str">
        <x:v>6c5179f5-4672-409b-9383-3c1f755a7c23</x:v>
      </x:c>
      <x:c r="B300" t="str">
        <x:v>CSSP10306491</x:v>
      </x:c>
      <x:c r="C300" t="str">
        <x:v>datok.idang@petronas.com</x:v>
      </x:c>
      <x:c r="D300" t="str">
        <x:v>decommission-cloud</x:v>
      </x:c>
      <x:c r="E300" t="str">
        <x:v>executing</x:v>
      </x:c>
      <x:c r="F300" t="n">
        <x:v>46219.351567094905</x:v>
      </x:c>
      <x:c r="G300" t="n">
        <x:v>46239.62219638889</x:v>
      </x:c>
      <x:c r="H300" t="n">
        <x:v>46219.351567094905</x:v>
      </x:c>
      <x:c r="I300" t="str">
        <x:v>Operator Training Simulator - OTS</x:v>
      </x:c>
      <x:c r="J300" t="str">
        <x:v>Provisioning of AWS hosting for OTS Software for INSTEP</x:v>
      </x:c>
      <x:c r="K300" t="str">
        <x:v>partial</x:v>
      </x:c>
      <x:c r="L300"/>
      <x:c r="M300" t="str">
        <x:v>sazali.mokhtar@petronas.com</x:v>
      </x:c>
      <x:c r="N300"/>
      <x:c r="O300"/>
      <x:c r="P300" t="str">
        <x:v>Cloud Repatriation - To decommission old resources in Singapore region due to completed migration in MY region</x:v>
      </x:c>
      <x:c r="Q300" t="str">
        <x:v>2W</x:v>
      </x:c>
      <x:c r="R300" t="str">
        <x:v>Cloud Migration</x:v>
      </x:c>
      <x:c r="S300"/>
      <x:c r="T300" t="str">
        <x:v>approved</x:v>
      </x:c>
      <x:c r="U300" t="str">
        <x:v>datok.idang@petronas.com</x:v>
      </x:c>
      <x:c r="V300" t="n">
        <x:v>46219.36940016204</x:v>
      </x:c>
      <x:c r="W300" t="str">
        <x:v>Cloud Repatriation - To decommission old resources in Singapore region due to completed migration in MY region</x:v>
      </x:c>
      <x:c r="X300" t="str">
        <x:v>approved</x:v>
      </x:c>
      <x:c r="Y300" t="str">
        <x:v>sazali.mokhtar@petronas.com</x:v>
      </x:c>
      <x:c r="Z300" t="n">
        <x:v>46230.111956064815</x:v>
      </x:c>
      <x:c r="AA300" t="str">
        <x:v>Cloud Repatriation – Decommissioning legacy resources hosted in the Singapore region</x:v>
      </x:c>
      <x:c r="AB300" t="str">
        <x:v>approved</x:v>
      </x:c>
      <x:c r="AC300" t="str">
        <x:v>abhishek.bhowate@petronas.com</x:v>
      </x:c>
      <x:c r="AD300" t="n">
        <x:v>46239.622196400465</x:v>
      </x:c>
      <x:c r="AE300" t="str">
        <x:v>approved</x:v>
      </x:c>
      <x:c r="AF300"/>
      <x:c r="AG300" t="str">
        <x:v>swaminadh.chirakala@petronas.com</x:v>
      </x:c>
      <x:c r="AH300"/>
      <x:c r="AI300"/>
      <x:c r="AJ300" t="str">
        <x:v>A-000535</x:v>
      </x:c>
      <x:c r="AK300" t="n">
        <x:v>1387</x:v>
      </x:c>
      <x:c r="AL300" t="str">
        <x:v>M</x:v>
      </x:c>
      <x:c r="AM300" t="str">
        <x:v>REQ000008222623</x:v>
      </x:c>
      <x:c r="AN300" t="str">
        <x:v>noretention</x:v>
      </x:c>
      <x:c r="AO300" t="n">
        <x:v>0</x:v>
      </x:c>
      <x:c r="AP300" s="23" t="n">
        <x:f>IF(E300="processing",IF(Z300="","",IF(ISNUMBER(Z300),INT(Z300),DATE(VALUE(LEFT(Z300,4)),VALUE(MID(Z300,6,2)),VALUE(MID(Z300,9,2))))),IF(OR(E300="executing",E300="pending"),IF(AD300="","",IF(ISNUMBER(AD300),INT(AD300),DATE(VALUE(LEFT(AD300,4)),VALUE(MID(AD300,6,2)),VALUE(MID(AD300,9,2))))),""))</x:f>
        <x:v>46239</x:v>
      </x:c>
      <x:c r="AQ300" s="24" t="n">
        <x:f>IF(AP300="","",INT('Configuration'!$B$4)-AP300)</x:f>
        <x:v>12</x:v>
      </x:c>
      <x:c r="AR300" s="25" t="str">
        <x:f>IF(AP300="","Missing Required Date",IF(AQ300&lt;0,"Future Date",IF(AQ300=0,"0 days",IF(AQ300&lt;=2,"1-2 days",IF(AQ300&lt;=7,"3-7 days",IF(AQ300&lt;=14,"8-14 days",IF(AQ300&lt;=30,"15-30 days",IF(AQ300&lt;=60,"31-60 days",IF(AQ300&lt;=70,"61-70 days","71+ days")))))))))</x:f>
        <x:v>8-14 days</x:v>
      </x:c>
      <x:c r="AS300" s="25" t="str">
        <x:f>IF(OR(E300="processing",E300="executing",E300="pending"),IF(AP300="","Required aging date missing",IF(AQ300&gt;30,"Escalate &gt;30d",IF(AQ300&gt;14,"Watch &gt;14d","Within 14d"))),"Out of scope")</x:f>
        <x:v>Within 14d</x:v>
      </x:c>
    </x:row>
    <x:row r="301" ht="24" customHeight="1">
      <x:c r="A301" t="str">
        <x:v>1e224d24-0cda-4ac4-a2d0-e8ce85b45951</x:v>
      </x:c>
      <x:c r="B301" t="str">
        <x:v>CSSP10422093</x:v>
      </x:c>
      <x:c r="C301" t="str">
        <x:v>syafiqfathyamer.moh@petronas.com</x:v>
      </x:c>
      <x:c r="D301" t="str">
        <x:v>decommission-cloud</x:v>
      </x:c>
      <x:c r="E301" t="str">
        <x:v>pending</x:v>
      </x:c>
      <x:c r="F301" t="n">
        <x:v>46224.31308393519</x:v>
      </x:c>
      <x:c r="G301" t="n">
        <x:v>46233.36400851852</x:v>
      </x:c>
      <x:c r="H301" t="n">
        <x:v>46224.31308393519</x:v>
      </x:c>
      <x:c r="I301" t="str">
        <x:v>PIVOT Descriptive Analytics - DA PCGB</x:v>
      </x:c>
      <x:c r="J301" t="str">
        <x:v>PIVOT Descriptive Analytics</x:v>
      </x:c>
      <x:c r="K301" t="str">
        <x:v>full</x:v>
      </x:c>
      <x:c r="L301" t="str">
        <x:v>-</x:v>
      </x:c>
      <x:c r="M301" t="str">
        <x:v>sunny.khiani@petronas.com.my</x:v>
      </x:c>
      <x:c r="N301"/>
      <x:c r="O301"/>
      <x:c r="P301" t="str">
        <x:v>Application is not being use and the application under Black Swan initiative.</x:v>
      </x:c>
      <x:c r="Q301" t="str">
        <x:v>2W</x:v>
      </x:c>
      <x:c r="R301" t="str">
        <x:v>Not in Used</x:v>
      </x:c>
      <x:c r="S301"/>
      <x:c r="T301" t="str">
        <x:v>approved</x:v>
      </x:c>
      <x:c r="U301" t="str">
        <x:v>syafiqfathyamer.moh@petronas.com</x:v>
      </x:c>
      <x:c r="V301" t="n">
        <x:v>46233.364008530094</x:v>
      </x:c>
      <x:c r="W301" t="str">
        <x:v>Residual infra to be decommissioned.</x:v>
      </x:c>
      <x:c r="X301"/>
      <x:c r="Y301" t="str">
        <x:v>sunny.khiani@petronas.com</x:v>
      </x:c>
      <x:c r="Z301"/>
      <x:c r="AA301"/>
      <x:c r="AB301"/>
      <x:c r="AC301" t="str">
        <x:v>CCoE SA</x:v>
      </x:c>
      <x:c r="AD301"/>
      <x:c r="AE301"/>
      <x:c r="AF301"/>
      <x:c r="AG301" t="str">
        <x:v>IMS - CLOUD CSSP EXECUTOR</x:v>
      </x:c>
      <x:c r="AH301"/>
      <x:c r="AI301"/>
      <x:c r="AJ301" t="str">
        <x:v>A-000613</x:v>
      </x:c>
      <x:c r="AK301" t="n">
        <x:v>4620</x:v>
      </x:c>
      <x:c r="AL301"/>
      <x:c r="AM301"/>
      <x:c r="AN301" t="str">
        <x:v>noretention</x:v>
      </x:c>
      <x:c r="AO301" t="n">
        <x:v>0</x:v>
      </x:c>
      <x:c r="AP301" s="23" t="str">
        <x:f>IF(E301="processing",IF(Z301="","",IF(ISNUMBER(Z301),INT(Z301),DATE(VALUE(LEFT(Z301,4)),VALUE(MID(Z301,6,2)),VALUE(MID(Z301,9,2))))),IF(OR(E301="executing",E301="pending"),IF(AD301="","",IF(ISNUMBER(AD301),INT(AD301),DATE(VALUE(LEFT(AD301,4)),VALUE(MID(AD301,6,2)),VALUE(MID(AD301,9,2))))),""))</x:f>
      </x:c>
      <x:c r="AQ301" s="24" t="str">
        <x:f>IF(AP301="","",INT('Configuration'!$B$4)-AP301)</x:f>
      </x:c>
      <x:c r="AR301" s="25" t="str">
        <x:f>IF(AP301="","Missing Required Date",IF(AQ301&lt;0,"Future Date",IF(AQ301=0,"0 days",IF(AQ301&lt;=2,"1-2 days",IF(AQ301&lt;=7,"3-7 days",IF(AQ301&lt;=14,"8-14 days",IF(AQ301&lt;=30,"15-30 days",IF(AQ301&lt;=60,"31-60 days",IF(AQ301&lt;=70,"61-70 days","71+ days")))))))))</x:f>
        <x:v>Missing Required Date</x:v>
      </x:c>
      <x:c r="AS301" s="25" t="str">
        <x:f>IF(OR(E301="processing",E301="executing",E301="pending"),IF(AP301="","Required aging date missing",IF(AQ301&gt;30,"Escalate &gt;30d",IF(AQ301&gt;14,"Watch &gt;14d","Within 14d"))),"Out of scope")</x:f>
        <x:v>Required aging date missing</x:v>
      </x:c>
    </x:row>
    <x:row r="302" ht="24" customHeight="1">
      <x:c r="A302" t="str">
        <x:v>f11be16c-6a52-4737-bb6c-72aa91d10b55</x:v>
      </x:c>
      <x:c r="B302" t="str">
        <x:v>CSSP10484519</x:v>
      </x:c>
      <x:c r="C302" t="str">
        <x:v>izdihar.roslan@petronas.com</x:v>
      </x:c>
      <x:c r="D302" t="str">
        <x:v>decommission-cloud</x:v>
      </x:c>
      <x:c r="E302" t="str">
        <x:v>processing</x:v>
      </x:c>
      <x:c r="F302" t="n">
        <x:v>46225.02899731482</x:v>
      </x:c>
      <x:c r="G302" t="n">
        <x:v>46244.079157106484</x:v>
      </x:c>
      <x:c r="H302" t="n">
        <x:v>46225.02899731482</x:v>
      </x:c>
      <x:c r="I302" t="str">
        <x:v>Danger Dodgers</x:v>
      </x:c>
      <x:c r="J302" t="str">
        <x:v>Pilot Deployment of Danger Dodgers at PCFK</x:v>
      </x:c>
      <x:c r="K302" t="str">
        <x:v>partial</x:v>
      </x:c>
      <x:c r="L302"/>
      <x:c r="M302" t="str">
        <x:v>sazali.mokhtar@petronas.com</x:v>
      </x:c>
      <x:c r="N302"/>
      <x:c r="O302"/>
      <x:c r="P302" t="str">
        <x:v>Cloud Repatriation - To decommission old resources in Singapore region due to completed migration in MY region</x:v>
      </x:c>
      <x:c r="Q302" t="str">
        <x:v>2W</x:v>
      </x:c>
      <x:c r="R302" t="str">
        <x:v>Cloud Migration</x:v>
      </x:c>
      <x:c r="S302"/>
      <x:c r="T302" t="str">
        <x:v>approved</x:v>
      </x:c>
      <x:c r="U302" t="str">
        <x:v>izdihar.roslan@petronas.com</x:v>
      </x:c>
      <x:c r="V302" t="n">
        <x:v>46225.029215497685</x:v>
      </x:c>
      <x:c r="W302" t="str">
        <x:v>Cloud Repatriation - To decommission old resources in Singapore region due to completed migration in MY region</x:v>
      </x:c>
      <x:c r="X302" t="str">
        <x:v>approved</x:v>
      </x:c>
      <x:c r="Y302" t="str">
        <x:v>sazali.mokhtar@petronas.com</x:v>
      </x:c>
      <x:c r="Z302" t="n">
        <x:v>46230.11248621528</x:v>
      </x:c>
      <x:c r="AA302" t="str">
        <x:v>Cloud Repatriation – Decommissioning legacy resources hosted in the Singapore region</x:v>
      </x:c>
      <x:c r="AB302"/>
      <x:c r="AC302" t="str">
        <x:v>IMS - CLOUD CSSP REVIEWER</x:v>
      </x:c>
      <x:c r="AD302"/>
      <x:c r="AE302"/>
      <x:c r="AF302"/>
      <x:c r="AG302" t="str">
        <x:v>IMS - CLOUD CSSP EXECUTOR</x:v>
      </x:c>
      <x:c r="AH302"/>
      <x:c r="AI302"/>
      <x:c r="AJ302" t="str">
        <x:v>A-000192</x:v>
      </x:c>
      <x:c r="AK302" t="n">
        <x:v>3624</x:v>
      </x:c>
      <x:c r="AL302" t="str">
        <x:v>S</x:v>
      </x:c>
      <x:c r="AM302"/>
      <x:c r="AN302" t="str">
        <x:v>noretention</x:v>
      </x:c>
      <x:c r="AO302" t="n">
        <x:v>0</x:v>
      </x:c>
      <x:c r="AP302" s="23" t="n">
        <x:f>IF(E302="processing",IF(Z302="","",IF(ISNUMBER(Z302),INT(Z302),DATE(VALUE(LEFT(Z302,4)),VALUE(MID(Z302,6,2)),VALUE(MID(Z302,9,2))))),IF(OR(E302="executing",E302="pending"),IF(AD302="","",IF(ISNUMBER(AD302),INT(AD302),DATE(VALUE(LEFT(AD302,4)),VALUE(MID(AD302,6,2)),VALUE(MID(AD302,9,2))))),""))</x:f>
        <x:v>46230</x:v>
      </x:c>
      <x:c r="AQ302" s="24" t="n">
        <x:f>IF(AP302="","",INT('Configuration'!$B$4)-AP302)</x:f>
        <x:v>21</x:v>
      </x:c>
      <x:c r="AR302" s="25" t="str">
        <x:f>IF(AP302="","Missing Required Date",IF(AQ302&lt;0,"Future Date",IF(AQ302=0,"0 days",IF(AQ302&lt;=2,"1-2 days",IF(AQ302&lt;=7,"3-7 days",IF(AQ302&lt;=14,"8-14 days",IF(AQ302&lt;=30,"15-30 days",IF(AQ302&lt;=60,"31-60 days",IF(AQ302&lt;=70,"61-70 days","71+ days")))))))))</x:f>
        <x:v>15-30 days</x:v>
      </x:c>
      <x:c r="AS302" s="25" t="str">
        <x:f>IF(OR(E302="processing",E302="executing",E302="pending"),IF(AP302="","Required aging date missing",IF(AQ302&gt;30,"Escalate &gt;30d",IF(AQ302&gt;14,"Watch &gt;14d","Within 14d"))),"Out of scope")</x:f>
        <x:v>Watch &gt;14d</x:v>
      </x:c>
    </x:row>
    <x:row r="303" ht="24" customHeight="1">
      <x:c r="A303" t="str">
        <x:v>1dba04f7-27d5-4dfe-aed4-56b9c939bbfe</x:v>
      </x:c>
      <x:c r="B303" t="str">
        <x:v>CSSP10657709</x:v>
      </x:c>
      <x:c r="C303" t="str">
        <x:v>izdihar.roslan@petronas.com</x:v>
      </x:c>
      <x:c r="D303" t="str">
        <x:v>decommission-cloud</x:v>
      </x:c>
      <x:c r="E303" t="str">
        <x:v>executing</x:v>
      </x:c>
      <x:c r="F303" t="n">
        <x:v>46225.02988314815</x:v>
      </x:c>
      <x:c r="G303" t="n">
        <x:v>46239.622015520836</x:v>
      </x:c>
      <x:c r="H303" t="n">
        <x:v>46225.02988314815</x:v>
      </x:c>
      <x:c r="I303" t="str">
        <x:v>Danger Dodgers</x:v>
      </x:c>
      <x:c r="J303" t="str">
        <x:v>Enhancement of Danger Dodgers Gamification for GHSE</x:v>
      </x:c>
      <x:c r="K303" t="str">
        <x:v>partial</x:v>
      </x:c>
      <x:c r="L303"/>
      <x:c r="M303" t="str">
        <x:v>sazali.mokhtar@petronas.com</x:v>
      </x:c>
      <x:c r="N303"/>
      <x:c r="O303"/>
      <x:c r="P303" t="str">
        <x:v>Cloud Repatriation - To decommission old resources in Singapore region due to completed migration in MY region</x:v>
      </x:c>
      <x:c r="Q303" t="str">
        <x:v>2W</x:v>
      </x:c>
      <x:c r="R303" t="str">
        <x:v>Cloud Migration</x:v>
      </x:c>
      <x:c r="S303"/>
      <x:c r="T303" t="str">
        <x:v>approved</x:v>
      </x:c>
      <x:c r="U303" t="str">
        <x:v>izdihar.roslan@petronas.com</x:v>
      </x:c>
      <x:c r="V303" t="n">
        <x:v>46225.031217511576</x:v>
      </x:c>
      <x:c r="W303" t="str">
        <x:v>Cloud Repatriation - To decommission old resources in Singapore region due to completed migration in MY region</x:v>
      </x:c>
      <x:c r="X303" t="str">
        <x:v>approved</x:v>
      </x:c>
      <x:c r="Y303" t="str">
        <x:v>sazali.mokhtar@petronas.com</x:v>
      </x:c>
      <x:c r="Z303" t="n">
        <x:v>46230.11417581019</x:v>
      </x:c>
      <x:c r="AA303" t="str">
        <x:v>Cloud Repatriation – Decommissioning legacy resources hosted in the Singapore region</x:v>
      </x:c>
      <x:c r="AB303" t="str">
        <x:v>approved</x:v>
      </x:c>
      <x:c r="AC303" t="str">
        <x:v>abhishek.bhowate@petronas.com</x:v>
      </x:c>
      <x:c r="AD303" t="n">
        <x:v>46239.622015532404</x:v>
      </x:c>
      <x:c r="AE303" t="str">
        <x:v>approevd</x:v>
      </x:c>
      <x:c r="AF303"/>
      <x:c r="AG303" t="str">
        <x:v>swaminadh.chirakala@petronas.com</x:v>
      </x:c>
      <x:c r="AH303"/>
      <x:c r="AI303"/>
      <x:c r="AJ303" t="str">
        <x:v>A-000192</x:v>
      </x:c>
      <x:c r="AK303" t="n">
        <x:v>4596</x:v>
      </x:c>
      <x:c r="AL303" t="str">
        <x:v>S</x:v>
      </x:c>
      <x:c r="AM303" t="str">
        <x:v>REQ000008222622</x:v>
      </x:c>
      <x:c r="AN303" t="str">
        <x:v>noretention</x:v>
      </x:c>
      <x:c r="AO303" t="n">
        <x:v>0</x:v>
      </x:c>
      <x:c r="AP303" s="23" t="n">
        <x:f>IF(E303="processing",IF(Z303="","",IF(ISNUMBER(Z303),INT(Z303),DATE(VALUE(LEFT(Z303,4)),VALUE(MID(Z303,6,2)),VALUE(MID(Z303,9,2))))),IF(OR(E303="executing",E303="pending"),IF(AD303="","",IF(ISNUMBER(AD303),INT(AD303),DATE(VALUE(LEFT(AD303,4)),VALUE(MID(AD303,6,2)),VALUE(MID(AD303,9,2))))),""))</x:f>
        <x:v>46239</x:v>
      </x:c>
      <x:c r="AQ303" s="24" t="n">
        <x:f>IF(AP303="","",INT('Configuration'!$B$4)-AP303)</x:f>
        <x:v>12</x:v>
      </x:c>
      <x:c r="AR303" s="25" t="str">
        <x:f>IF(AP303="","Missing Required Date",IF(AQ303&lt;0,"Future Date",IF(AQ303=0,"0 days",IF(AQ303&lt;=2,"1-2 days",IF(AQ303&lt;=7,"3-7 days",IF(AQ303&lt;=14,"8-14 days",IF(AQ303&lt;=30,"15-30 days",IF(AQ303&lt;=60,"31-60 days",IF(AQ303&lt;=70,"61-70 days","71+ days")))))))))</x:f>
        <x:v>8-14 days</x:v>
      </x:c>
      <x:c r="AS303" s="25" t="str">
        <x:f>IF(OR(E303="processing",E303="executing",E303="pending"),IF(AP303="","Required aging date missing",IF(AQ303&gt;30,"Escalate &gt;30d",IF(AQ303&gt;14,"Watch &gt;14d","Within 14d"))),"Out of scope")</x:f>
        <x:v>Within 14d</x:v>
      </x:c>
    </x:row>
    <x:row r="304" ht="24" customHeight="1">
      <x:c r="A304" t="str">
        <x:v>8efff6b9-d1e5-4db7-a893-748781e2316c</x:v>
      </x:c>
      <x:c r="B304" t="str">
        <x:v>CSSP10274229</x:v>
      </x:c>
      <x:c r="C304" t="str">
        <x:v>azad.johari@petronas.com</x:v>
      </x:c>
      <x:c r="D304" t="str">
        <x:v>decommission-cloud</x:v>
      </x:c>
      <x:c r="E304" t="str">
        <x:v>cancelled</x:v>
      </x:c>
      <x:c r="F304" t="n">
        <x:v>46225.03657862268</x:v>
      </x:c>
      <x:c r="G304" t="n">
        <x:v>46225.06437515046</x:v>
      </x:c>
      <x:c r="H304" t="n">
        <x:v>46225.03702430556</x:v>
      </x:c>
      <x:c r="I304" t="str">
        <x:v>Technical Competency Assessment System</x:v>
      </x:c>
      <x:c r="J304" t="str">
        <x:v>Dedicated Support for Technical Competency Assessment Systems GTCM</x:v>
      </x:c>
      <x:c r="K304" t="str">
        <x:v>partial</x:v>
      </x:c>
      <x:c r="L304"/>
      <x:c r="M304" t="str">
        <x:v>amirshazlan.mshah@petronas.com</x:v>
      </x:c>
      <x:c r="N304" t="str">
        <x:v>epecas.petronas.com, epecas-training.petronas.com</x:v>
      </x:c>
      <x:c r="O304"/>
      <x:c r="P304" t="str">
        <x:v>partially decom. not in use.</x:v>
      </x:c>
      <x:c r="Q304" t="str">
        <x:v>2W</x:v>
      </x:c>
      <x:c r="R304" t="str">
        <x:v>Not in Used</x:v>
      </x:c>
      <x:c r="S304"/>
      <x:c r="T304" t="str">
        <x:v>rejected</x:v>
      </x:c>
      <x:c r="U304" t="str">
        <x:v>azad.johari@petronas.com</x:v>
      </x:c>
      <x:c r="V304" t="n">
        <x:v>46225.06437515046</x:v>
      </x:c>
      <x:c r="W304"/>
      <x:c r="X304"/>
      <x:c r="Y304" t="str">
        <x:v>amirshazlan.mshah@petronas.com</x:v>
      </x:c>
      <x:c r="Z304"/>
      <x:c r="AA304"/>
      <x:c r="AB304"/>
      <x:c r="AC304" t="str">
        <x:v>CCoE Business</x:v>
      </x:c>
      <x:c r="AD304"/>
      <x:c r="AE304"/>
      <x:c r="AF304"/>
      <x:c r="AG304" t="str">
        <x:v>CCoE Business</x:v>
      </x:c>
      <x:c r="AH304"/>
      <x:c r="AI304"/>
      <x:c r="AJ304" t="str">
        <x:v>A-000806</x:v>
      </x:c>
      <x:c r="AK304" t="n">
        <x:v>1672</x:v>
      </x:c>
      <x:c r="AL304"/>
      <x:c r="AM304"/>
      <x:c r="AN304" t="str">
        <x:v>retention</x:v>
      </x:c>
      <x:c r="AO304"/>
      <x:c r="AP304" s="23" t="str">
        <x:f>IF(E304="processing",IF(Z304="","",IF(ISNUMBER(Z304),INT(Z304),DATE(VALUE(LEFT(Z304,4)),VALUE(MID(Z304,6,2)),VALUE(MID(Z304,9,2))))),IF(OR(E304="executing",E304="pending"),IF(AD304="","",IF(ISNUMBER(AD304),INT(AD304),DATE(VALUE(LEFT(AD304,4)),VALUE(MID(AD304,6,2)),VALUE(MID(AD304,9,2))))),""))</x:f>
      </x:c>
      <x:c r="AQ304" s="24" t="str">
        <x:f>IF(AP304="","",INT('Configuration'!$B$4)-AP304)</x:f>
      </x:c>
      <x:c r="AR304" s="25" t="str">
        <x:f>IF(AP304="","Missing Required Date",IF(AQ304&lt;0,"Future Date",IF(AQ304=0,"0 days",IF(AQ304&lt;=2,"1-2 days",IF(AQ304&lt;=7,"3-7 days",IF(AQ304&lt;=14,"8-14 days",IF(AQ304&lt;=30,"15-30 days",IF(AQ304&lt;=60,"31-60 days",IF(AQ304&lt;=70,"61-70 days","71+ days")))))))))</x:f>
        <x:v>Missing Required Date</x:v>
      </x:c>
      <x:c r="AS304" s="25" t="str">
        <x:f>IF(OR(E304="processing",E304="executing",E304="pending"),IF(AP304="","Required aging date missing",IF(AQ304&gt;30,"Escalate &gt;30d",IF(AQ304&gt;14,"Watch &gt;14d","Within 14d"))),"Out of scope")</x:f>
        <x:v>Out of scope</x:v>
      </x:c>
    </x:row>
    <x:row r="305" ht="24" customHeight="1">
      <x:c r="A305" t="str">
        <x:v>e342b7ce-f9b8-4871-a216-522cbf52572d</x:v>
      </x:c>
      <x:c r="B305" t="str">
        <x:v>CSSP10420557</x:v>
      </x:c>
      <x:c r="C305" t="str">
        <x:v>azad.johari@petronas.com</x:v>
      </x:c>
      <x:c r="D305" t="str">
        <x:v>decommission-cloud</x:v>
      </x:c>
      <x:c r="E305" t="str">
        <x:v>rejected</x:v>
      </x:c>
      <x:c r="F305" t="n">
        <x:v>46225.05643502315</x:v>
      </x:c>
      <x:c r="G305" t="n">
        <x:v>46225.11891556713</x:v>
      </x:c>
      <x:c r="H305" t="n">
        <x:v>46225.05643502315</x:v>
      </x:c>
      <x:c r="I305" t="str">
        <x:v>.NET Shared Infra</x:v>
      </x:c>
      <x:c r="J305" t="str">
        <x:v>Cloud Migration Program - .NET Shared Infra (SWE Dot Net)</x:v>
      </x:c>
      <x:c r="K305" t="str">
        <x:v>partial</x:v>
      </x:c>
      <x:c r="L305"/>
      <x:c r="M305" t="str">
        <x:v>amirshazlan.mshah@petronas.com</x:v>
      </x:c>
      <x:c r="N305" t="str">
        <x:v>epecas.petronas.com, epecas-training.petronas.com</x:v>
      </x:c>
      <x:c r="O305"/>
      <x:c r="P305" t="str">
        <x:v>Partial decom. CMDB record: PETRONAS Competency based Assessment System ePECAS 4.0 and ePecas Training. Both apps shared the VM for webserver and database with other applications.</x:v>
      </x:c>
      <x:c r="Q305" t="str">
        <x:v>2W</x:v>
      </x:c>
      <x:c r="R305" t="str">
        <x:v>Not in Used</x:v>
      </x:c>
      <x:c r="S305"/>
      <x:c r="T305" t="str">
        <x:v>approved</x:v>
      </x:c>
      <x:c r="U305" t="str">
        <x:v>azad.johari@petronas.com</x:v>
      </x:c>
      <x:c r="V305" t="n">
        <x:v>46225.062828333335</x:v>
      </x:c>
      <x:c r="W305" t="str">
        <x:v>The selected VMs contains the app and also the DB. All servers are shared with multiple apps.</x:v>
      </x:c>
      <x:c r="X305" t="str">
        <x:v>rejected</x:v>
      </x:c>
      <x:c r="Y305" t="str">
        <x:v>amirshazlan.mshah@petronas.com</x:v>
      </x:c>
      <x:c r="Z305" t="n">
        <x:v>46225.11891557871</x:v>
      </x:c>
      <x:c r="AA305" t="str">
        <x:v>rejcted</x:v>
      </x:c>
      <x:c r="AB305"/>
      <x:c r="AC305" t="str">
        <x:v>CCoE SA</x:v>
      </x:c>
      <x:c r="AD305"/>
      <x:c r="AE305"/>
      <x:c r="AF305"/>
      <x:c r="AG305" t="str">
        <x:v>IMS - CLOUD CSSP EXECUTOR</x:v>
      </x:c>
      <x:c r="AH305"/>
      <x:c r="AI305"/>
      <x:c r="AJ305" t="str">
        <x:v>P-000004</x:v>
      </x:c>
      <x:c r="AK305" t="str">
        <x:v>00915_57</x:v>
      </x:c>
      <x:c r="AL305"/>
      <x:c r="AM305"/>
      <x:c r="AN305" t="str">
        <x:v>retention</x:v>
      </x:c>
      <x:c r="AO305" t="n">
        <x:v>14</x:v>
      </x:c>
      <x:c r="AP305" s="23" t="str">
        <x:f>IF(E305="processing",IF(Z305="","",IF(ISNUMBER(Z305),INT(Z305),DATE(VALUE(LEFT(Z305,4)),VALUE(MID(Z305,6,2)),VALUE(MID(Z305,9,2))))),IF(OR(E305="executing",E305="pending"),IF(AD305="","",IF(ISNUMBER(AD305),INT(AD305),DATE(VALUE(LEFT(AD305,4)),VALUE(MID(AD305,6,2)),VALUE(MID(AD305,9,2))))),""))</x:f>
      </x:c>
      <x:c r="AQ305" s="24" t="str">
        <x:f>IF(AP305="","",INT('Configuration'!$B$4)-AP305)</x:f>
      </x:c>
      <x:c r="AR305" s="25" t="str">
        <x:f>IF(AP305="","Missing Required Date",IF(AQ305&lt;0,"Future Date",IF(AQ305=0,"0 days",IF(AQ305&lt;=2,"1-2 days",IF(AQ305&lt;=7,"3-7 days",IF(AQ305&lt;=14,"8-14 days",IF(AQ305&lt;=30,"15-30 days",IF(AQ305&lt;=60,"31-60 days",IF(AQ305&lt;=70,"61-70 days","71+ days")))))))))</x:f>
        <x:v>Missing Required Date</x:v>
      </x:c>
      <x:c r="AS305" s="25" t="str">
        <x:f>IF(OR(E305="processing",E305="executing",E305="pending"),IF(AP305="","Required aging date missing",IF(AQ305&gt;30,"Escalate &gt;30d",IF(AQ305&gt;14,"Watch &gt;14d","Within 14d"))),"Out of scope")</x:f>
        <x:v>Out of scope</x:v>
      </x:c>
    </x:row>
    <x:row r="306" ht="24" customHeight="1">
      <x:c r="A306" t="str">
        <x:v>45130a0c-5f40-4396-aaa9-5a026b5273bb</x:v>
      </x:c>
      <x:c r="B306" t="str">
        <x:v>CSSP10581935</x:v>
      </x:c>
      <x:c r="C306" t="str">
        <x:v>azad.johari@petronas.com</x:v>
      </x:c>
      <x:c r="D306" t="str">
        <x:v>decommission-cloud</x:v>
      </x:c>
      <x:c r="E306" t="str">
        <x:v>rejected</x:v>
      </x:c>
      <x:c r="F306" t="n">
        <x:v>46225.096734479164</x:v>
      </x:c>
      <x:c r="G306" t="n">
        <x:v>46232.10364534722</x:v>
      </x:c>
      <x:c r="H306" t="n">
        <x:v>46225.096734479164</x:v>
      </x:c>
      <x:c r="I306" t="str">
        <x:v>.NET Shared Infra</x:v>
      </x:c>
      <x:c r="J306" t="str">
        <x:v>Cloud Migration Program - .NET Shared Infra (SWE Dot Net)</x:v>
      </x:c>
      <x:c r="K306" t="str">
        <x:v>partial</x:v>
      </x:c>
      <x:c r="L306"/>
      <x:c r="M306" t="str">
        <x:v>amirshazlan.mshah@petronas.com</x:v>
      </x:c>
      <x:c r="N306" t="str">
        <x:v>epecas.petronas.com, epecas-training.petronas.com</x:v>
      </x:c>
      <x:c r="O306"/>
      <x:c r="P306" t="str">
        <x:v>Partial decom. CMDB record: PETRONAS Competency based Assessment System ePECAS 4.0 and ePecas Training. Both apps shared the VM for webserver and database with other applications. All related servers with this app will be decom EXCEPT for Production database ptsg-1dotnetdb1.</x:v>
      </x:c>
      <x:c r="Q306" t="str">
        <x:v>2W</x:v>
      </x:c>
      <x:c r="R306" t="str">
        <x:v>Not in Used</x:v>
      </x:c>
      <x:c r="S306"/>
      <x:c r="T306" t="str">
        <x:v>approved</x:v>
      </x:c>
      <x:c r="U306" t="str">
        <x:v>azad.johari@petronas.com</x:v>
      </x:c>
      <x:c r="V306" t="n">
        <x:v>46225.10647556713</x:v>
      </x:c>
      <x:c r="W306" t="str">
        <x:v>Purposely NOT selected: DB ptsg-1dotnetdb1 because business still need the server to perform their migration.</x:v>
      </x:c>
      <x:c r="X306" t="str">
        <x:v>approved</x:v>
      </x:c>
      <x:c r="Y306" t="str">
        <x:v>amirshazlan.mshah@petronas.com</x:v>
      </x:c>
      <x:c r="Z306" t="n">
        <x:v>46225.11917766204</x:v>
      </x:c>
      <x:c r="AA306" t="str">
        <x:v>approved</x:v>
      </x:c>
      <x:c r="AB306" t="str">
        <x:v>rejected</x:v>
      </x:c>
      <x:c r="AC306" t="str">
        <x:v>ismail.azman@petronas.com</x:v>
      </x:c>
      <x:c r="AD306" t="n">
        <x:v>46232.103645358795</x:v>
      </x:c>
      <x:c r="AE306" t="str">
        <x:v>Cancelled as per requested by requestor.</x:v>
      </x:c>
      <x:c r="AF306"/>
      <x:c r="AG306" t="str">
        <x:v>IMS - CLOUD CSSP EXECUTOR</x:v>
      </x:c>
      <x:c r="AH306"/>
      <x:c r="AI306"/>
      <x:c r="AJ306" t="str">
        <x:v>P-000004</x:v>
      </x:c>
      <x:c r="AK306" t="str">
        <x:v>00915_57</x:v>
      </x:c>
      <x:c r="AL306" t="str">
        <x:v>S</x:v>
      </x:c>
      <x:c r="AM306"/>
      <x:c r="AN306" t="str">
        <x:v>retention</x:v>
      </x:c>
      <x:c r="AO306" t="n">
        <x:v>14</x:v>
      </x:c>
      <x:c r="AP306" s="23" t="str">
        <x:f>IF(E306="processing",IF(Z306="","",IF(ISNUMBER(Z306),INT(Z306),DATE(VALUE(LEFT(Z306,4)),VALUE(MID(Z306,6,2)),VALUE(MID(Z306,9,2))))),IF(OR(E306="executing",E306="pending"),IF(AD306="","",IF(ISNUMBER(AD306),INT(AD306),DATE(VALUE(LEFT(AD306,4)),VALUE(MID(AD306,6,2)),VALUE(MID(AD306,9,2))))),""))</x:f>
      </x:c>
      <x:c r="AQ306" s="24" t="str">
        <x:f>IF(AP306="","",INT('Configuration'!$B$4)-AP306)</x:f>
      </x:c>
      <x:c r="AR306" s="25" t="str">
        <x:f>IF(AP306="","Missing Required Date",IF(AQ306&lt;0,"Future Date",IF(AQ306=0,"0 days",IF(AQ306&lt;=2,"1-2 days",IF(AQ306&lt;=7,"3-7 days",IF(AQ306&lt;=14,"8-14 days",IF(AQ306&lt;=30,"15-30 days",IF(AQ306&lt;=60,"31-60 days",IF(AQ306&lt;=70,"61-70 days","71+ days")))))))))</x:f>
        <x:v>Missing Required Date</x:v>
      </x:c>
      <x:c r="AS306" s="25" t="str">
        <x:f>IF(OR(E306="processing",E306="executing",E306="pending"),IF(AP306="","Required aging date missing",IF(AQ306&gt;30,"Escalate &gt;30d",IF(AQ306&gt;14,"Watch &gt;14d","Within 14d"))),"Out of scope")</x:f>
        <x:v>Out of scope</x:v>
      </x:c>
    </x:row>
    <x:row r="307" ht="24" customHeight="1">
      <x:c r="A307" t="str">
        <x:v>46ac4172-afa2-450f-88b1-41b28b45a53c</x:v>
      </x:c>
      <x:c r="B307" t="str">
        <x:v>CSSP10749532</x:v>
      </x:c>
      <x:c r="C307" t="str">
        <x:v>norhamizah.hasni@petronas.com</x:v>
      </x:c>
      <x:c r="D307" t="str">
        <x:v>decommission-cloud</x:v>
      </x:c>
      <x:c r="E307" t="str">
        <x:v>executing</x:v>
      </x:c>
      <x:c r="F307" t="n">
        <x:v>46225.142065092594</x:v>
      </x:c>
      <x:c r="G307" t="n">
        <x:v>46239.6217059375</x:v>
      </x:c>
      <x:c r="H307" t="n">
        <x:v>46225.142065092594</x:v>
      </x:c>
      <x:c r="I307" t="str">
        <x:v>Alarm Management System - AMS Machinery Manager PRPC</x:v>
      </x:c>
      <x:c r="J307" t="str">
        <x:v>Cloud Migration Program - AMS</x:v>
      </x:c>
      <x:c r="K307" t="str">
        <x:v>partial</x:v>
      </x:c>
      <x:c r="L307"/>
      <x:c r="M307" t="str">
        <x:v>sazali.mokhtar@petronas.com</x:v>
      </x:c>
      <x:c r="N307" t="str">
        <x:v>N/A</x:v>
      </x:c>
      <x:c r="O307" t="str">
        <x:v>N/A</x:v>
      </x:c>
      <x:c r="P307" t="str">
        <x:v>To decommission resources in the Singapore region since this application migrated to Malaysia region.</x:v>
      </x:c>
      <x:c r="Q307" t="str">
        <x:v>2W</x:v>
      </x:c>
      <x:c r="R307" t="str">
        <x:v>Cloud Migration</x:v>
      </x:c>
      <x:c r="S307"/>
      <x:c r="T307" t="str">
        <x:v>approved</x:v>
      </x:c>
      <x:c r="U307" t="str">
        <x:v>norhamizah.hasni@petronas.com</x:v>
      </x:c>
      <x:c r="V307" t="n">
        <x:v>46225.14245032407</x:v>
      </x:c>
      <x:c r="W307" t="str">
        <x:v>To decommission resources in the Singapore region since this application migrated to Malaysia region.</x:v>
      </x:c>
      <x:c r="X307" t="str">
        <x:v>approved</x:v>
      </x:c>
      <x:c r="Y307" t="str">
        <x:v>sazali.mokhtar@petronas.com</x:v>
      </x:c>
      <x:c r="Z307" t="n">
        <x:v>46230.11323653935</x:v>
      </x:c>
      <x:c r="AA307" t="str">
        <x:v>Cloud Repatriation – Decommissioning legacy resources hosted in the Singapore region</x:v>
      </x:c>
      <x:c r="AB307" t="str">
        <x:v>approved</x:v>
      </x:c>
      <x:c r="AC307" t="str">
        <x:v>abhishek.bhowate@petronas.com</x:v>
      </x:c>
      <x:c r="AD307" t="n">
        <x:v>46239.621705949074</x:v>
      </x:c>
      <x:c r="AE307" t="str">
        <x:v>approved</x:v>
      </x:c>
      <x:c r="AF307"/>
      <x:c r="AG307" t="str">
        <x:v>amarja.kawade@petronas.com</x:v>
      </x:c>
      <x:c r="AH307"/>
      <x:c r="AI307"/>
      <x:c r="AJ307" t="str">
        <x:v>A-000049</x:v>
      </x:c>
      <x:c r="AK307" t="str">
        <x:v>02421_112</x:v>
      </x:c>
      <x:c r="AL307" t="str">
        <x:v>M</x:v>
      </x:c>
      <x:c r="AM307" t="str">
        <x:v>REQ000008222179</x:v>
      </x:c>
      <x:c r="AN307" t="str">
        <x:v>noretention</x:v>
      </x:c>
      <x:c r="AO307" t="n">
        <x:v>0</x:v>
      </x:c>
      <x:c r="AP307" s="23" t="n">
        <x:f>IF(E307="processing",IF(Z307="","",IF(ISNUMBER(Z307),INT(Z307),DATE(VALUE(LEFT(Z307,4)),VALUE(MID(Z307,6,2)),VALUE(MID(Z307,9,2))))),IF(OR(E307="executing",E307="pending"),IF(AD307="","",IF(ISNUMBER(AD307),INT(AD307),DATE(VALUE(LEFT(AD307,4)),VALUE(MID(AD307,6,2)),VALUE(MID(AD307,9,2))))),""))</x:f>
        <x:v>46239</x:v>
      </x:c>
      <x:c r="AQ307" s="24" t="n">
        <x:f>IF(AP307="","",INT('Configuration'!$B$4)-AP307)</x:f>
        <x:v>12</x:v>
      </x:c>
      <x:c r="AR307" s="25" t="str">
        <x:f>IF(AP307="","Missing Required Date",IF(AQ307&lt;0,"Future Date",IF(AQ307=0,"0 days",IF(AQ307&lt;=2,"1-2 days",IF(AQ307&lt;=7,"3-7 days",IF(AQ307&lt;=14,"8-14 days",IF(AQ307&lt;=30,"15-30 days",IF(AQ307&lt;=60,"31-60 days",IF(AQ307&lt;=70,"61-70 days","71+ days")))))))))</x:f>
        <x:v>8-14 days</x:v>
      </x:c>
      <x:c r="AS307" s="25" t="str">
        <x:f>IF(OR(E307="processing",E307="executing",E307="pending"),IF(AP307="","Required aging date missing",IF(AQ307&gt;30,"Escalate &gt;30d",IF(AQ307&gt;14,"Watch &gt;14d","Within 14d"))),"Out of scope")</x:f>
        <x:v>Within 14d</x:v>
      </x:c>
    </x:row>
    <x:row r="308" ht="24" customHeight="1">
      <x:c r="A308" t="str">
        <x:v>6b6ccb32-f0c3-4b75-91fe-968e53b2d95d</x:v>
      </x:c>
      <x:c r="B308" t="str">
        <x:v>CSSP10478501</x:v>
      </x:c>
      <x:c r="C308" t="str">
        <x:v>azliamirulehsan.raz@petronas.com</x:v>
      </x:c>
      <x:c r="D308" t="str">
        <x:v>decommission-cloud</x:v>
      </x:c>
      <x:c r="E308" t="str">
        <x:v>executing</x:v>
      </x:c>
      <x:c r="F308" t="n">
        <x:v>46225.14681831018</x:v>
      </x:c>
      <x:c r="G308" t="n">
        <x:v>46233.1071102662</x:v>
      </x:c>
      <x:c r="H308" t="n">
        <x:v>46225.14681831018</x:v>
      </x:c>
      <x:c r="I308" t="str">
        <x:v>Sharing Knowledge Information and Lesson Learnt - SKILL</x:v>
      </x:c>
      <x:c r="J308" t="str">
        <x:v>Enhancement of Sharing Knowledge Information &amp; Lessons Learnt (SKILL) System for PD&amp;T</x:v>
      </x:c>
      <x:c r="K308" t="str">
        <x:v>partial</x:v>
      </x:c>
      <x:c r="L308"/>
      <x:c r="M308" t="str">
        <x:v>azad.johari@petronas.com</x:v>
      </x:c>
      <x:c r="N308" t="str">
        <x:v>In use</x:v>
      </x:c>
      <x:c r="O308"/>
      <x:c r="P308" t="str">
        <x:v>Moving to SKILL Lite developed by Business</x:v>
      </x:c>
      <x:c r="Q308" t="str">
        <x:v>2W</x:v>
      </x:c>
      <x:c r="R308" t="str">
        <x:v>Not in Used</x:v>
      </x:c>
      <x:c r="S308"/>
      <x:c r="T308" t="str">
        <x:v>approved</x:v>
      </x:c>
      <x:c r="U308" t="str">
        <x:v>azliamirulehsan.raz@petronas.com</x:v>
      </x:c>
      <x:c r="V308" t="n">
        <x:v>46225.159825601855</x:v>
      </x:c>
      <x:c r="W308" t="str">
        <x:v>To be migrated.</x:v>
      </x:c>
      <x:c r="X308" t="str">
        <x:v>approved</x:v>
      </x:c>
      <x:c r="Y308" t="str">
        <x:v>azad.johari@petronas.com</x:v>
      </x:c>
      <x:c r="Z308" t="n">
        <x:v>46231.16155878472</x:v>
      </x:c>
      <x:c r="AA308" t="str">
        <x:v>All resources to be decommissioned except for resources related to ptsg1skillstrg azure storage.</x:v>
      </x:c>
      <x:c r="AB308" t="str">
        <x:v>approved</x:v>
      </x:c>
      <x:c r="AC308" t="str">
        <x:v>abhishek.bhowate@petronas.com</x:v>
      </x:c>
      <x:c r="AD308" t="n">
        <x:v>46233.10711027778</x:v>
      </x:c>
      <x:c r="AE308" t="str">
        <x:v>approve</x:v>
      </x:c>
      <x:c r="AF308"/>
      <x:c r="AG308" t="str">
        <x:v>venkatesh.kalikivayi@petronas.com</x:v>
      </x:c>
      <x:c r="AH308"/>
      <x:c r="AI308"/>
      <x:c r="AJ308" t="str">
        <x:v>A-000775</x:v>
      </x:c>
      <x:c r="AK308" t="n">
        <x:v>617</x:v>
      </x:c>
      <x:c r="AL308" t="str">
        <x:v>M</x:v>
      </x:c>
      <x:c r="AM308" t="str">
        <x:v>REQ000008203411</x:v>
      </x:c>
      <x:c r="AN308" t="str">
        <x:v>retention</x:v>
      </x:c>
      <x:c r="AO308" t="n">
        <x:v>14</x:v>
      </x:c>
      <x:c r="AP308" s="23" t="n">
        <x:f>IF(E308="processing",IF(Z308="","",IF(ISNUMBER(Z308),INT(Z308),DATE(VALUE(LEFT(Z308,4)),VALUE(MID(Z308,6,2)),VALUE(MID(Z308,9,2))))),IF(OR(E308="executing",E308="pending"),IF(AD308="","",IF(ISNUMBER(AD308),INT(AD308),DATE(VALUE(LEFT(AD308,4)),VALUE(MID(AD308,6,2)),VALUE(MID(AD308,9,2))))),""))</x:f>
        <x:v>46233</x:v>
      </x:c>
      <x:c r="AQ308" s="24" t="n">
        <x:f>IF(AP308="","",INT('Configuration'!$B$4)-AP308)</x:f>
        <x:v>18</x:v>
      </x:c>
      <x:c r="AR308" s="25" t="str">
        <x:f>IF(AP308="","Missing Required Date",IF(AQ308&lt;0,"Future Date",IF(AQ308=0,"0 days",IF(AQ308&lt;=2,"1-2 days",IF(AQ308&lt;=7,"3-7 days",IF(AQ308&lt;=14,"8-14 days",IF(AQ308&lt;=30,"15-30 days",IF(AQ308&lt;=60,"31-60 days",IF(AQ308&lt;=70,"61-70 days","71+ days")))))))))</x:f>
        <x:v>15-30 days</x:v>
      </x:c>
      <x:c r="AS308" s="25" t="str">
        <x:f>IF(OR(E308="processing",E308="executing",E308="pending"),IF(AP308="","Required aging date missing",IF(AQ308&gt;30,"Escalate &gt;30d",IF(AQ308&gt;14,"Watch &gt;14d","Within 14d"))),"Out of scope")</x:f>
        <x:v>Watch &gt;14d</x:v>
      </x:c>
    </x:row>
    <x:row r="309" ht="24" customHeight="1">
      <x:c r="A309" t="str">
        <x:v>21156890-a9c6-48ca-a4bd-6b563ba357cb</x:v>
      </x:c>
      <x:c r="B309" t="str">
        <x:v>CSSP10187579</x:v>
      </x:c>
      <x:c r="C309" t="str">
        <x:v>ridzuan.amajid@petronas.com</x:v>
      </x:c>
      <x:c r="D309" t="str">
        <x:v>decommission-cloud</x:v>
      </x:c>
      <x:c r="E309" t="str">
        <x:v>executing</x:v>
      </x:c>
      <x:c r="F309" t="n">
        <x:v>46226.089098032404</x:v>
      </x:c>
      <x:c r="G309" t="n">
        <x:v>46231.204605983796</x:v>
      </x:c>
      <x:c r="H309" t="n">
        <x:v>46226.089098032404</x:v>
      </x:c>
      <x:c r="I309" t="str">
        <x:v>IMIM / PCSB - Sabah Asset Project</x:v>
      </x:c>
      <x:c r="J309" t="str">
        <x:v>IMIM / PCSB - Sabah Asset Project created for PRIVATECLOUD project record</x:v>
      </x:c>
      <x:c r="K309" t="str">
        <x:v>partial</x:v>
      </x:c>
      <x:c r="L309"/>
      <x:c r="M309" t="str">
        <x:v>ridzuan.amajid@petronas.com</x:v>
      </x:c>
      <x:c r="N309"/>
      <x:c r="O309"/>
      <x:c r="P309" t="str">
        <x:v>To decom VM Name vSBOPCSBRBMAPP1 - unsuccessful billing without any cost center. This VM has been in power off mode since March 2025. Request is made by Ridzuan Majid.</x:v>
      </x:c>
      <x:c r="Q309" t="str">
        <x:v>12M</x:v>
      </x:c>
      <x:c r="R309" t="str">
        <x:v>Obsolete</x:v>
      </x:c>
      <x:c r="S309"/>
      <x:c r="T309" t="str">
        <x:v>approved</x:v>
      </x:c>
      <x:c r="U309" t="str">
        <x:v>ridzuan.amajid@petronas.com</x:v>
      </x:c>
      <x:c r="V309" t="n">
        <x:v>46226.09118333333</x:v>
      </x:c>
      <x:c r="W309" t="str">
        <x:v>To decom VM Name vSBOPCSBRBMAPP1 - unsuccessful billing without any cost center. This VM has been in power off mode since March 2025. Request is made by Ridzuan Majid.</x:v>
      </x:c>
      <x:c r="X309" t="str">
        <x:v>approved</x:v>
      </x:c>
      <x:c r="Y309" t="str">
        <x:v>ridzuan.amajid@petronas.com</x:v>
      </x:c>
      <x:c r="Z309" t="n">
        <x:v>46226.09164298611</x:v>
      </x:c>
      <x:c r="AA309" t="str">
        <x:v>To decom VM Name vSBOPCSBRBMAPP1 - unsuccessful billing without any cost center. This VM has been in power off mode since March 2025. Request is made by Ridzuan Majid.</x:v>
      </x:c>
      <x:c r="AB309" t="str">
        <x:v>approved</x:v>
      </x:c>
      <x:c r="AC309" t="str">
        <x:v>abhishek.bhowate@petronas.com</x:v>
      </x:c>
      <x:c r="AD309" t="n">
        <x:v>46231.20460600695</x:v>
      </x:c>
      <x:c r="AE309" t="str">
        <x:v>Approve</x:v>
      </x:c>
      <x:c r="AF309"/>
      <x:c r="AG309" t="str">
        <x:v>amarja.kawade@petronas.com</x:v>
      </x:c>
      <x:c r="AH309"/>
      <x:c r="AI309"/>
      <x:c r="AJ309" t="str">
        <x:v>A-000386</x:v>
      </x:c>
      <x:c r="AK309" t="n">
        <x:v>10099</x:v>
      </x:c>
      <x:c r="AL309" t="str">
        <x:v>S</x:v>
      </x:c>
      <x:c r="AM309" t="str">
        <x:v>REQ000008198554</x:v>
      </x:c>
      <x:c r="AN309" t="str">
        <x:v>retention</x:v>
      </x:c>
      <x:c r="AO309" t="n">
        <x:v>1</x:v>
      </x:c>
      <x:c r="AP309" s="23" t="n">
        <x:f>IF(E309="processing",IF(Z309="","",IF(ISNUMBER(Z309),INT(Z309),DATE(VALUE(LEFT(Z309,4)),VALUE(MID(Z309,6,2)),VALUE(MID(Z309,9,2))))),IF(OR(E309="executing",E309="pending"),IF(AD309="","",IF(ISNUMBER(AD309),INT(AD309),DATE(VALUE(LEFT(AD309,4)),VALUE(MID(AD309,6,2)),VALUE(MID(AD309,9,2))))),""))</x:f>
        <x:v>46231</x:v>
      </x:c>
      <x:c r="AQ309" s="24" t="n">
        <x:f>IF(AP309="","",INT('Configuration'!$B$4)-AP309)</x:f>
        <x:v>20</x:v>
      </x:c>
      <x:c r="AR309" s="25" t="str">
        <x:f>IF(AP309="","Missing Required Date",IF(AQ309&lt;0,"Future Date",IF(AQ309=0,"0 days",IF(AQ309&lt;=2,"1-2 days",IF(AQ309&lt;=7,"3-7 days",IF(AQ309&lt;=14,"8-14 days",IF(AQ309&lt;=30,"15-30 days",IF(AQ309&lt;=60,"31-60 days",IF(AQ309&lt;=70,"61-70 days","71+ days")))))))))</x:f>
        <x:v>15-30 days</x:v>
      </x:c>
      <x:c r="AS309" s="25" t="str">
        <x:f>IF(OR(E309="processing",E309="executing",E309="pending"),IF(AP309="","Required aging date missing",IF(AQ309&gt;30,"Escalate &gt;30d",IF(AQ309&gt;14,"Watch &gt;14d","Within 14d"))),"Out of scope")</x:f>
        <x:v>Watch &gt;14d</x:v>
      </x:c>
    </x:row>
    <x:row r="310" ht="24" customHeight="1">
      <x:c r="A310" t="str">
        <x:v>c1b5fb85-d750-44e3-9887-76b8c0dbafa2</x:v>
      </x:c>
      <x:c r="B310" t="str">
        <x:v>CSSP10467486</x:v>
      </x:c>
      <x:c r="C310" t="str">
        <x:v>ridzuan.amajid@petronas.com</x:v>
      </x:c>
      <x:c r="D310" t="str">
        <x:v>decommission-cloud</x:v>
      </x:c>
      <x:c r="E310" t="str">
        <x:v>executing</x:v>
      </x:c>
      <x:c r="F310" t="n">
        <x:v>46226.10378109954</x:v>
      </x:c>
      <x:c r="G310" t="n">
        <x:v>46231.20419012731</x:v>
      </x:c>
      <x:c r="H310" t="n">
        <x:v>46226.10378109954</x:v>
      </x:c>
      <x:c r="I310" t="str">
        <x:v>Plant Information - PI PCSB MLNG Bintulu</x:v>
      </x:c>
      <x:c r="J310" t="str">
        <x:v>Plant Information - PI PCSB @ MLNG Bintulu created for PRIVATECLOUD project record</x:v>
      </x:c>
      <x:c r="K310" t="str">
        <x:v>partial</x:v>
      </x:c>
      <x:c r="L310"/>
      <x:c r="M310" t="str">
        <x:v>ridzuan.amajid@petronas.com</x:v>
      </x:c>
      <x:c r="N310"/>
      <x:c r="O310"/>
      <x:c r="P310" t="str">
        <x:v>To decom VM Name vSARPSKGPIAPP01, vSARPSKGPIAPP02, vSARPCSBPISTG01. User raised previous decom request CSSP10158036 but it was not processed. Request is made by Ridzuan Majid on behalf of business user. Refer to CSSP10158036.</x:v>
      </x:c>
      <x:c r="Q310" t="str">
        <x:v>12M</x:v>
      </x:c>
      <x:c r="R310" t="str">
        <x:v>Not in Used</x:v>
      </x:c>
      <x:c r="S310"/>
      <x:c r="T310" t="str">
        <x:v>approved</x:v>
      </x:c>
      <x:c r="U310" t="str">
        <x:v>ridzuan.amajid@petronas.com</x:v>
      </x:c>
      <x:c r="V310" t="n">
        <x:v>46226.10447020833</x:v>
      </x:c>
      <x:c r="W310" t="str">
        <x:v>To decom VM Name vSARPSKGPIAPP01, vSARPSKGPIAPP02, vSARPCSBPISTG01. User raised previous decom request CSSP10158036 but it was not processed. Request is made by Ridzuan Majid on behalf of business user. Refer to CSSP10158036.</x:v>
      </x:c>
      <x:c r="X310" t="str">
        <x:v>approved</x:v>
      </x:c>
      <x:c r="Y310" t="str">
        <x:v>ridzuan.amajid@petronas.com</x:v>
      </x:c>
      <x:c r="Z310" t="n">
        <x:v>46226.1047084838</x:v>
      </x:c>
      <x:c r="AA310" t="str">
        <x:v>To decom VM Name vSARPSKGPIAPP01, vSARPSKGPIAPP02, vSARPCSBPISTG01. User raised previous decom request CSSP10158036 but it was not processed. Request is made by Ridzuan Majid on behalf of business user. Refer to CSSP10158036.</x:v>
      </x:c>
      <x:c r="AB310" t="str">
        <x:v>approved</x:v>
      </x:c>
      <x:c r="AC310" t="str">
        <x:v>abhishek.bhowate@petronas.com</x:v>
      </x:c>
      <x:c r="AD310" t="n">
        <x:v>46231.20419013889</x:v>
      </x:c>
      <x:c r="AE310" t="str">
        <x:v>Approve</x:v>
      </x:c>
      <x:c r="AF310"/>
      <x:c r="AG310" t="str">
        <x:v>swaminadh.chirakala@petronas.com</x:v>
      </x:c>
      <x:c r="AH310"/>
      <x:c r="AI310"/>
      <x:c r="AJ310" t="str">
        <x:v>A-000589</x:v>
      </x:c>
      <x:c r="AK310" t="str">
        <x:v>10135_11</x:v>
      </x:c>
      <x:c r="AL310" t="str">
        <x:v>M</x:v>
      </x:c>
      <x:c r="AM310" t="str">
        <x:v>REQ000008198553</x:v>
      </x:c>
      <x:c r="AN310" t="str">
        <x:v>retention</x:v>
      </x:c>
      <x:c r="AO310" t="n">
        <x:v>1</x:v>
      </x:c>
      <x:c r="AP310" s="23" t="n">
        <x:f>IF(E310="processing",IF(Z310="","",IF(ISNUMBER(Z310),INT(Z310),DATE(VALUE(LEFT(Z310,4)),VALUE(MID(Z310,6,2)),VALUE(MID(Z310,9,2))))),IF(OR(E310="executing",E310="pending"),IF(AD310="","",IF(ISNUMBER(AD310),INT(AD310),DATE(VALUE(LEFT(AD310,4)),VALUE(MID(AD310,6,2)),VALUE(MID(AD310,9,2))))),""))</x:f>
        <x:v>46231</x:v>
      </x:c>
      <x:c r="AQ310" s="24" t="n">
        <x:f>IF(AP310="","",INT('Configuration'!$B$4)-AP310)</x:f>
        <x:v>20</x:v>
      </x:c>
      <x:c r="AR310" s="25" t="str">
        <x:f>IF(AP310="","Missing Required Date",IF(AQ310&lt;0,"Future Date",IF(AQ310=0,"0 days",IF(AQ310&lt;=2,"1-2 days",IF(AQ310&lt;=7,"3-7 days",IF(AQ310&lt;=14,"8-14 days",IF(AQ310&lt;=30,"15-30 days",IF(AQ310&lt;=60,"31-60 days",IF(AQ310&lt;=70,"61-70 days","71+ days")))))))))</x:f>
        <x:v>15-30 days</x:v>
      </x:c>
      <x:c r="AS310" s="25" t="str">
        <x:f>IF(OR(E310="processing",E310="executing",E310="pending"),IF(AP310="","Required aging date missing",IF(AQ310&gt;30,"Escalate &gt;30d",IF(AQ310&gt;14,"Watch &gt;14d","Within 14d"))),"Out of scope")</x:f>
        <x:v>Watch &gt;14d</x:v>
      </x:c>
    </x:row>
    <x:row r="311" ht="24" customHeight="1">
      <x:c r="A311" t="str">
        <x:v>c042854b-98eb-47fd-8915-6eeb7f2af323</x:v>
      </x:c>
      <x:c r="B311" t="str">
        <x:v>CSSP10886116</x:v>
      </x:c>
      <x:c r="C311" t="str">
        <x:v>ridzuan.amajid@petronas.com</x:v>
      </x:c>
      <x:c r="D311" t="str">
        <x:v>decommission-cloud</x:v>
      </x:c>
      <x:c r="E311" t="str">
        <x:v>rejected</x:v>
      </x:c>
      <x:c r="F311" t="n">
        <x:v>46226.10809657408</x:v>
      </x:c>
      <x:c r="G311" t="n">
        <x:v>46244.08433096065</x:v>
      </x:c>
      <x:c r="H311" t="n">
        <x:v>46226.10809657408</x:v>
      </x:c>
      <x:c r="I311" t="str">
        <x:v>Network Cisco Prime</x:v>
      </x:c>
      <x:c r="J311" t="str">
        <x:v>Network Cisco Prime created for PRIVATECLOUD project record</x:v>
      </x:c>
      <x:c r="K311" t="str">
        <x:v>partial</x:v>
      </x:c>
      <x:c r="L311"/>
      <x:c r="M311" t="str">
        <x:v>ridzuan.amajid@petronas.com</x:v>
      </x:c>
      <x:c r="N311"/>
      <x:c r="O311"/>
      <x:c r="P311" t="str">
        <x:v>vSABSBONMSAPP01 - unsuccessful billing without any cost center. This VM has been in power off mode since June 2025. Request is made by Ridzuan Majid.</x:v>
      </x:c>
      <x:c r="Q311" t="str">
        <x:v>12M</x:v>
      </x:c>
      <x:c r="R311" t="str">
        <x:v>Not in Used</x:v>
      </x:c>
      <x:c r="S311"/>
      <x:c r="T311" t="str">
        <x:v>approved</x:v>
      </x:c>
      <x:c r="U311" t="str">
        <x:v>ridzuan.amajid@petronas.com</x:v>
      </x:c>
      <x:c r="V311" t="n">
        <x:v>46226.108272060184</x:v>
      </x:c>
      <x:c r="W311" t="str">
        <x:v>vSABSBONMSAPP01 - unsuccessful billing without any cost center. This VM has been in power off mode since June 2025. Request is made by Ridzuan Majid.</x:v>
      </x:c>
      <x:c r="X311" t="str">
        <x:v>approved</x:v>
      </x:c>
      <x:c r="Y311" t="str">
        <x:v>ridzuan.amajid@petronas.com</x:v>
      </x:c>
      <x:c r="Z311" t="n">
        <x:v>46226.10970328704</x:v>
      </x:c>
      <x:c r="AA311" t="str">
        <x:v>To decom VM Name vSABSBONMSAPP01 - unsuccessful billing without any cost center. This VM has been in power off mode since June 2025. Request is made by Ridzuan Majid.
</x:v>
      </x:c>
      <x:c r="AB311" t="str">
        <x:v>rejected</x:v>
      </x:c>
      <x:c r="AC311" t="str">
        <x:v>samsuddin.jumbri@petronas.com</x:v>
      </x:c>
      <x:c r="AD311" t="n">
        <x:v>46244.08433097222</x:v>
      </x:c>
      <x:c r="AE311" t="str">
        <x:v>Requestor and Manager/Approver cannot be the same person. Please assign a different authorized approver and resubmit the request.</x:v>
      </x:c>
      <x:c r="AF311"/>
      <x:c r="AG311" t="str">
        <x:v>IMS - CLOUD CSSP EXECUTOR</x:v>
      </x:c>
      <x:c r="AH311"/>
      <x:c r="AI311"/>
      <x:c r="AJ311" t="str">
        <x:v>A-000117</x:v>
      </x:c>
      <x:c r="AK311" t="n">
        <x:v>10042</x:v>
      </x:c>
      <x:c r="AL311"/>
      <x:c r="AM311"/>
      <x:c r="AN311" t="str">
        <x:v>retention</x:v>
      </x:c>
      <x:c r="AO311" t="n">
        <x:v>1</x:v>
      </x:c>
      <x:c r="AP311" s="23" t="str">
        <x:f>IF(E311="processing",IF(Z311="","",IF(ISNUMBER(Z311),INT(Z311),DATE(VALUE(LEFT(Z311,4)),VALUE(MID(Z311,6,2)),VALUE(MID(Z311,9,2))))),IF(OR(E311="executing",E311="pending"),IF(AD311="","",IF(ISNUMBER(AD311),INT(AD311),DATE(VALUE(LEFT(AD311,4)),VALUE(MID(AD311,6,2)),VALUE(MID(AD311,9,2))))),""))</x:f>
      </x:c>
      <x:c r="AQ311" s="24" t="str">
        <x:f>IF(AP311="","",INT('Configuration'!$B$4)-AP311)</x:f>
      </x:c>
      <x:c r="AR311" s="25" t="str">
        <x:f>IF(AP311="","Missing Required Date",IF(AQ311&lt;0,"Future Date",IF(AQ311=0,"0 days",IF(AQ311&lt;=2,"1-2 days",IF(AQ311&lt;=7,"3-7 days",IF(AQ311&lt;=14,"8-14 days",IF(AQ311&lt;=30,"15-30 days",IF(AQ311&lt;=60,"31-60 days",IF(AQ311&lt;=70,"61-70 days","71+ days")))))))))</x:f>
        <x:v>Missing Required Date</x:v>
      </x:c>
      <x:c r="AS311" s="25" t="str">
        <x:f>IF(OR(E311="processing",E311="executing",E311="pending"),IF(AP311="","Required aging date missing",IF(AQ311&gt;30,"Escalate &gt;30d",IF(AQ311&gt;14,"Watch &gt;14d","Within 14d"))),"Out of scope")</x:f>
        <x:v>Out of scope</x:v>
      </x:c>
    </x:row>
    <x:row r="312" ht="24" customHeight="1">
      <x:c r="A312" t="str">
        <x:v>6f835fb3-c6db-4e82-9219-8662a7e83673</x:v>
      </x:c>
      <x:c r="B312" t="str">
        <x:v>CSSP10271745</x:v>
      </x:c>
      <x:c r="C312" t="str">
        <x:v>ridzuan.amajid@petronas.com</x:v>
      </x:c>
      <x:c r="D312" t="str">
        <x:v>decommission-cloud</x:v>
      </x:c>
      <x:c r="E312" t="str">
        <x:v>executing</x:v>
      </x:c>
      <x:c r="F312" t="n">
        <x:v>46226.123866539354</x:v>
      </x:c>
      <x:c r="G312" t="n">
        <x:v>46233.10677291667</x:v>
      </x:c>
      <x:c r="H312" t="n">
        <x:v>46226.123866539354</x:v>
      </x:c>
      <x:c r="I312" t="str">
        <x:v>Print Server PCGB</x:v>
      </x:c>
      <x:c r="J312" t="str">
        <x:v>Print Server PCGB created for PRIVATECLOUD project record</x:v>
      </x:c>
      <x:c r="K312" t="str">
        <x:v>partial</x:v>
      </x:c>
      <x:c r="L312"/>
      <x:c r="M312" t="str">
        <x:v>ridzuan.amajid@petronas.com</x:v>
      </x:c>
      <x:c r="N312"/>
      <x:c r="O312"/>
      <x:c r="P312" t="str">
        <x:v>To decom VM Name SAR607-INFPS-01. SAR607-INFPS-02 - unsuccessful billing without any cost center. This VM has been in power off mode since March 2025. Request is made by Ridzuan Majid.</x:v>
      </x:c>
      <x:c r="Q312" t="str">
        <x:v>12M</x:v>
      </x:c>
      <x:c r="R312" t="str">
        <x:v>Not in Used</x:v>
      </x:c>
      <x:c r="S312"/>
      <x:c r="T312" t="str">
        <x:v>approved</x:v>
      </x:c>
      <x:c r="U312" t="str">
        <x:v>ridzuan.amajid@petronas.com</x:v>
      </x:c>
      <x:c r="V312" t="n">
        <x:v>46226.12427974537</x:v>
      </x:c>
      <x:c r="W312" t="str">
        <x:v>To decom VM Name SAR607-INFPS-01. SAR607-INFPS-02 - unsuccessful billing without any cost center. This VM has been in power off mode since March 2025. Request is made by Ridzuan Majid.</x:v>
      </x:c>
      <x:c r="X312" t="str">
        <x:v>approved</x:v>
      </x:c>
      <x:c r="Y312" t="str">
        <x:v>ridzuan.amajid@petronas.com</x:v>
      </x:c>
      <x:c r="Z312" t="n">
        <x:v>46226.12460355324</x:v>
      </x:c>
      <x:c r="AA312" t="str">
        <x:v>To decom VM Name SAR607-INFPS-01. SAR607-INFPS-02 - unsuccessful billing without any cost center. This VM has been in power off mode since March 2025. Request is made by Ridzuan Majid.</x:v>
      </x:c>
      <x:c r="AB312" t="str">
        <x:v>approved</x:v>
      </x:c>
      <x:c r="AC312" t="str">
        <x:v>abhishek.bhowate@petronas.com</x:v>
      </x:c>
      <x:c r="AD312" t="n">
        <x:v>46233.106772928244</x:v>
      </x:c>
      <x:c r="AE312" t="str">
        <x:v>approve</x:v>
      </x:c>
      <x:c r="AF312"/>
      <x:c r="AG312" t="str">
        <x:v>venkatesh.kalikivayi@petronas.com</x:v>
      </x:c>
      <x:c r="AH312"/>
      <x:c r="AI312"/>
      <x:c r="AJ312" t="str">
        <x:v>A-000660</x:v>
      </x:c>
      <x:c r="AK312" t="str">
        <x:v>10161_01</x:v>
      </x:c>
      <x:c r="AL312" t="str">
        <x:v>M</x:v>
      </x:c>
      <x:c r="AM312" t="str">
        <x:v>REQ000008203316</x:v>
      </x:c>
      <x:c r="AN312" t="str">
        <x:v>retention</x:v>
      </x:c>
      <x:c r="AO312" t="n">
        <x:v>1</x:v>
      </x:c>
      <x:c r="AP312" s="23" t="n">
        <x:f>IF(E312="processing",IF(Z312="","",IF(ISNUMBER(Z312),INT(Z312),DATE(VALUE(LEFT(Z312,4)),VALUE(MID(Z312,6,2)),VALUE(MID(Z312,9,2))))),IF(OR(E312="executing",E312="pending"),IF(AD312="","",IF(ISNUMBER(AD312),INT(AD312),DATE(VALUE(LEFT(AD312,4)),VALUE(MID(AD312,6,2)),VALUE(MID(AD312,9,2))))),""))</x:f>
        <x:v>46233</x:v>
      </x:c>
      <x:c r="AQ312" s="24" t="n">
        <x:f>IF(AP312="","",INT('Configuration'!$B$4)-AP312)</x:f>
        <x:v>18</x:v>
      </x:c>
      <x:c r="AR312" s="25" t="str">
        <x:f>IF(AP312="","Missing Required Date",IF(AQ312&lt;0,"Future Date",IF(AQ312=0,"0 days",IF(AQ312&lt;=2,"1-2 days",IF(AQ312&lt;=7,"3-7 days",IF(AQ312&lt;=14,"8-14 days",IF(AQ312&lt;=30,"15-30 days",IF(AQ312&lt;=60,"31-60 days",IF(AQ312&lt;=70,"61-70 days","71+ days")))))))))</x:f>
        <x:v>15-30 days</x:v>
      </x:c>
      <x:c r="AS312" s="25" t="str">
        <x:f>IF(OR(E312="processing",E312="executing",E312="pending"),IF(AP312="","Required aging date missing",IF(AQ312&gt;30,"Escalate &gt;30d",IF(AQ312&gt;14,"Watch &gt;14d","Within 14d"))),"Out of scope")</x:f>
        <x:v>Watch &gt;14d</x:v>
      </x:c>
    </x:row>
    <x:row r="313" ht="24" customHeight="1">
      <x:c r="A313" t="str">
        <x:v>dfce3155-e8b2-4b62-bc4e-3d85c471b00a</x:v>
      </x:c>
      <x:c r="B313" t="str">
        <x:v>CSSP10372916</x:v>
      </x:c>
      <x:c r="C313" t="str">
        <x:v>ridzuan.amajid@petronas.com</x:v>
      </x:c>
      <x:c r="D313" t="str">
        <x:v>decommission-cloud</x:v>
      </x:c>
      <x:c r="E313" t="str">
        <x:v>executing</x:v>
      </x:c>
      <x:c r="F313" t="n">
        <x:v>46226.12834121528</x:v>
      </x:c>
      <x:c r="G313" t="n">
        <x:v>46233.10640715278</x:v>
      </x:c>
      <x:c r="H313" t="n">
        <x:v>46226.12834121528</x:v>
      </x:c>
      <x:c r="I313" t="str">
        <x:v>Plant Information - PI MLNG</x:v>
      </x:c>
      <x:c r="J313" t="str">
        <x:v>Plant Information - PI MLNG created for PRIVATECLOUD project record</x:v>
      </x:c>
      <x:c r="K313" t="str">
        <x:v>partial</x:v>
      </x:c>
      <x:c r="L313"/>
      <x:c r="M313" t="str">
        <x:v>ridzuan.amajid@petronas.com</x:v>
      </x:c>
      <x:c r="N313"/>
      <x:c r="O313"/>
      <x:c r="P313" t="str">
        <x:v>To decom VM Name vSAR607PIAPP01 - unsuccessful billing without any cost center. This VM has been in power off mode since March 2025. Request is made by Ridzuan Majid.</x:v>
      </x:c>
      <x:c r="Q313" t="str">
        <x:v>12M</x:v>
      </x:c>
      <x:c r="R313" t="str">
        <x:v>Not in Used</x:v>
      </x:c>
      <x:c r="S313"/>
      <x:c r="T313" t="str">
        <x:v>approved</x:v>
      </x:c>
      <x:c r="U313" t="str">
        <x:v>ridzuan.amajid@petronas.com</x:v>
      </x:c>
      <x:c r="V313" t="n">
        <x:v>46226.12891061343</x:v>
      </x:c>
      <x:c r="W313" t="str">
        <x:v>To decom VM Name vSAR607PIAPP01 - unsuccessful billing without any cost center. This VM has been in power off mode since March 2025. Request is made by Ridzuan Majid.</x:v>
      </x:c>
      <x:c r="X313" t="str">
        <x:v>approved</x:v>
      </x:c>
      <x:c r="Y313" t="str">
        <x:v>ridzuan.amajid@petronas.com</x:v>
      </x:c>
      <x:c r="Z313" t="n">
        <x:v>46226.12913318287</x:v>
      </x:c>
      <x:c r="AA313" t="str">
        <x:v>To decom VM Name vSAR607PIAPP01 - unsuccessful billing without any cost center. This VM has been in power off mode since March 2025. Request is made by Ridzuan Majid.</x:v>
      </x:c>
      <x:c r="AB313" t="str">
        <x:v>approved</x:v>
      </x:c>
      <x:c r="AC313" t="str">
        <x:v>abhishek.bhowate@petronas.com</x:v>
      </x:c>
      <x:c r="AD313" t="n">
        <x:v>46233.10640716435</x:v>
      </x:c>
      <x:c r="AE313" t="str">
        <x:v>approve</x:v>
      </x:c>
      <x:c r="AF313"/>
      <x:c r="AG313" t="str">
        <x:v>abhishek.bhowate@petronas.com</x:v>
      </x:c>
      <x:c r="AH313"/>
      <x:c r="AI313"/>
      <x:c r="AJ313" t="str">
        <x:v>A-000572</x:v>
      </x:c>
      <x:c r="AK313" t="str">
        <x:v>10135_03</x:v>
      </x:c>
      <x:c r="AL313" t="str">
        <x:v>M</x:v>
      </x:c>
      <x:c r="AM313" t="str">
        <x:v>REQ000008203410</x:v>
      </x:c>
      <x:c r="AN313" t="str">
        <x:v>retention</x:v>
      </x:c>
      <x:c r="AO313" t="n">
        <x:v>1</x:v>
      </x:c>
      <x:c r="AP313" s="23" t="n">
        <x:f>IF(E313="processing",IF(Z313="","",IF(ISNUMBER(Z313),INT(Z313),DATE(VALUE(LEFT(Z313,4)),VALUE(MID(Z313,6,2)),VALUE(MID(Z313,9,2))))),IF(OR(E313="executing",E313="pending"),IF(AD313="","",IF(ISNUMBER(AD313),INT(AD313),DATE(VALUE(LEFT(AD313,4)),VALUE(MID(AD313,6,2)),VALUE(MID(AD313,9,2))))),""))</x:f>
        <x:v>46233</x:v>
      </x:c>
      <x:c r="AQ313" s="24" t="n">
        <x:f>IF(AP313="","",INT('Configuration'!$B$4)-AP313)</x:f>
        <x:v>18</x:v>
      </x:c>
      <x:c r="AR313" s="25" t="str">
        <x:f>IF(AP313="","Missing Required Date",IF(AQ313&lt;0,"Future Date",IF(AQ313=0,"0 days",IF(AQ313&lt;=2,"1-2 days",IF(AQ313&lt;=7,"3-7 days",IF(AQ313&lt;=14,"8-14 days",IF(AQ313&lt;=30,"15-30 days",IF(AQ313&lt;=60,"31-60 days",IF(AQ313&lt;=70,"61-70 days","71+ days")))))))))</x:f>
        <x:v>15-30 days</x:v>
      </x:c>
      <x:c r="AS313" s="25" t="str">
        <x:f>IF(OR(E313="processing",E313="executing",E313="pending"),IF(AP313="","Required aging date missing",IF(AQ313&gt;30,"Escalate &gt;30d",IF(AQ313&gt;14,"Watch &gt;14d","Within 14d"))),"Out of scope")</x:f>
        <x:v>Watch &gt;14d</x:v>
      </x:c>
    </x:row>
    <x:row r="314" ht="24" customHeight="1">
      <x:c r="A314" t="str">
        <x:v>6d2991bf-3359-47cf-9e03-23c5d2776001</x:v>
      </x:c>
      <x:c r="B314" t="str">
        <x:v>CSSP10391895</x:v>
      </x:c>
      <x:c r="C314" t="str">
        <x:v>ridzuan.amajid@petronas.com</x:v>
      </x:c>
      <x:c r="D314" t="str">
        <x:v>decommission-cloud</x:v>
      </x:c>
      <x:c r="E314" t="str">
        <x:v>executing</x:v>
      </x:c>
      <x:c r="F314" t="n">
        <x:v>46226.140965833336</x:v>
      </x:c>
      <x:c r="G314" t="n">
        <x:v>46239.620899050926</x:v>
      </x:c>
      <x:c r="H314" t="n">
        <x:v>46226.140965833336</x:v>
      </x:c>
      <x:c r="I314" t="str">
        <x:v>Online Corrosion Monitoring for Sarawak Gas</x:v>
      </x:c>
      <x:c r="J314" t="str">
        <x:v>Online Corrosion Monitoring for Sarawak Gas created for PRIVATECLOUD project record</x:v>
      </x:c>
      <x:c r="K314" t="str">
        <x:v>partial</x:v>
      </x:c>
      <x:c r="L314"/>
      <x:c r="M314" t="str">
        <x:v>ridzuan.amajid@petronas.com</x:v>
      </x:c>
      <x:c r="N314"/>
      <x:c r="O314"/>
      <x:c r="P314" t="str">
        <x:v>To decom VM Name vemppcsbpmsap01, vemppcsbpmsdm01. This VM has been in power off mode since March 2025. Request is made by Ridzuan Majid.</x:v>
      </x:c>
      <x:c r="Q314" t="str">
        <x:v>12M</x:v>
      </x:c>
      <x:c r="R314" t="str">
        <x:v>Not in Used</x:v>
      </x:c>
      <x:c r="S314"/>
      <x:c r="T314" t="str">
        <x:v>approved</x:v>
      </x:c>
      <x:c r="U314" t="str">
        <x:v>ridzuan.amajid@petronas.com</x:v>
      </x:c>
      <x:c r="V314" t="n">
        <x:v>46226.14162311343</x:v>
      </x:c>
      <x:c r="W314" t="str">
        <x:v>To decom VM Name vemppcsbpmsap01, vemppcsbpmsdm01. This VM has been in power off mode since March 2025. Request is made by Ridzuan Majid.</x:v>
      </x:c>
      <x:c r="X314" t="str">
        <x:v>approved</x:v>
      </x:c>
      <x:c r="Y314" t="str">
        <x:v>ridzuan.amajid@petronas.com</x:v>
      </x:c>
      <x:c r="Z314" t="n">
        <x:v>46226.1418955787</x:v>
      </x:c>
      <x:c r="AA314" t="str">
        <x:v>To decom VM Name vemppcsbpmsap01, vemppcsbpmsdm01. This VM has been in power off mode since March 2025. Request is made by Ridzuan Majid.</x:v>
      </x:c>
      <x:c r="AB314" t="str">
        <x:v>approved</x:v>
      </x:c>
      <x:c r="AC314" t="str">
        <x:v>abhishek.bhowate@petronas.com</x:v>
      </x:c>
      <x:c r="AD314" t="n">
        <x:v>46239.6208990625</x:v>
      </x:c>
      <x:c r="AE314" t="str">
        <x:v>approved</x:v>
      </x:c>
      <x:c r="AF314"/>
      <x:c r="AG314" t="str">
        <x:v>nilesh.sankpal@petronas.com</x:v>
      </x:c>
      <x:c r="AH314"/>
      <x:c r="AI314"/>
      <x:c r="AJ314" t="str">
        <x:v>A-000526</x:v>
      </x:c>
      <x:c r="AK314" t="n">
        <x:v>10125</x:v>
      </x:c>
      <x:c r="AL314" t="str">
        <x:v>M</x:v>
      </x:c>
      <x:c r="AM314" t="str">
        <x:v>REQ000008222621</x:v>
      </x:c>
      <x:c r="AN314" t="str">
        <x:v>retention</x:v>
      </x:c>
      <x:c r="AO314" t="n">
        <x:v>1</x:v>
      </x:c>
      <x:c r="AP314" s="23" t="n">
        <x:f>IF(E314="processing",IF(Z314="","",IF(ISNUMBER(Z314),INT(Z314),DATE(VALUE(LEFT(Z314,4)),VALUE(MID(Z314,6,2)),VALUE(MID(Z314,9,2))))),IF(OR(E314="executing",E314="pending"),IF(AD314="","",IF(ISNUMBER(AD314),INT(AD314),DATE(VALUE(LEFT(AD314,4)),VALUE(MID(AD314,6,2)),VALUE(MID(AD314,9,2))))),""))</x:f>
        <x:v>46239</x:v>
      </x:c>
      <x:c r="AQ314" s="24" t="n">
        <x:f>IF(AP314="","",INT('Configuration'!$B$4)-AP314)</x:f>
        <x:v>12</x:v>
      </x:c>
      <x:c r="AR314" s="25" t="str">
        <x:f>IF(AP314="","Missing Required Date",IF(AQ314&lt;0,"Future Date",IF(AQ314=0,"0 days",IF(AQ314&lt;=2,"1-2 days",IF(AQ314&lt;=7,"3-7 days",IF(AQ314&lt;=14,"8-14 days",IF(AQ314&lt;=30,"15-30 days",IF(AQ314&lt;=60,"31-60 days",IF(AQ314&lt;=70,"61-70 days","71+ days")))))))))</x:f>
        <x:v>8-14 days</x:v>
      </x:c>
      <x:c r="AS314" s="25" t="str">
        <x:f>IF(OR(E314="processing",E314="executing",E314="pending"),IF(AP314="","Required aging date missing",IF(AQ314&gt;30,"Escalate &gt;30d",IF(AQ314&gt;14,"Watch &gt;14d","Within 14d"))),"Out of scope")</x:f>
        <x:v>Within 14d</x:v>
      </x:c>
    </x:row>
    <x:row r="315" ht="24" customHeight="1">
      <x:c r="A315" t="str">
        <x:v>2f62b6b7-33d8-48e7-92de-e6c49efd2d70</x:v>
      </x:c>
      <x:c r="B315" t="str">
        <x:v>CSSP10914400</x:v>
      </x:c>
      <x:c r="C315" t="str">
        <x:v>ridzuan.amajid@petronas.com</x:v>
      </x:c>
      <x:c r="D315" t="str">
        <x:v>decommission-cloud</x:v>
      </x:c>
      <x:c r="E315" t="str">
        <x:v>executing</x:v>
      </x:c>
      <x:c r="F315" t="n">
        <x:v>46226.144208958336</x:v>
      </x:c>
      <x:c r="G315" t="n">
        <x:v>46239.62010260417</x:v>
      </x:c>
      <x:c r="H315" t="n">
        <x:v>46226.144208958336</x:v>
      </x:c>
      <x:c r="I315" t="str">
        <x:v>Network Cisco Prime</x:v>
      </x:c>
      <x:c r="J315" t="str">
        <x:v>Network Cisco Prime created for PRIVATECLOUD project record</x:v>
      </x:c>
      <x:c r="K315" t="str">
        <x:v>partial</x:v>
      </x:c>
      <x:c r="L315"/>
      <x:c r="M315" t="str">
        <x:v>ridzuan.amajid@petronas.com</x:v>
      </x:c>
      <x:c r="N315"/>
      <x:c r="O315"/>
      <x:c r="P315" t="str">
        <x:v>To decom VM Name vSARLNGNMSAPP01. This VM has been in power off mode since March 2025. Request is made by Ridzuan Majid.</x:v>
      </x:c>
      <x:c r="Q315" t="str">
        <x:v>12M</x:v>
      </x:c>
      <x:c r="R315" t="str">
        <x:v>Not in Used</x:v>
      </x:c>
      <x:c r="S315"/>
      <x:c r="T315" t="str">
        <x:v>approved</x:v>
      </x:c>
      <x:c r="U315" t="str">
        <x:v>ridzuan.amajid@petronas.com</x:v>
      </x:c>
      <x:c r="V315" t="n">
        <x:v>46226.14457019676</x:v>
      </x:c>
      <x:c r="W315" t="str">
        <x:v>To decom VM Name vSARLNGNMSAPP01. This VM has been in power off mode since March 2025. Request is made by Ridzuan Majid.</x:v>
      </x:c>
      <x:c r="X315" t="str">
        <x:v>approved</x:v>
      </x:c>
      <x:c r="Y315" t="str">
        <x:v>ridzuan.amajid@petronas.com</x:v>
      </x:c>
      <x:c r="Z315" t="n">
        <x:v>46226.14480023148</x:v>
      </x:c>
      <x:c r="AA315" t="str">
        <x:v>To decom VM Name vSARLNGNMSAPP01. This VM has been in power off mode since March 2025. Request is made by Ridzuan Majid.</x:v>
      </x:c>
      <x:c r="AB315" t="str">
        <x:v>approved</x:v>
      </x:c>
      <x:c r="AC315" t="str">
        <x:v>abhishek.bhowate@petronas.com</x:v>
      </x:c>
      <x:c r="AD315" t="n">
        <x:v>46239.62010260417</x:v>
      </x:c>
      <x:c r="AE315" t="str">
        <x:v>Approved</x:v>
      </x:c>
      <x:c r="AF315"/>
      <x:c r="AG315" t="str">
        <x:v>amarja.kawade@petronas.com</x:v>
      </x:c>
      <x:c r="AH315"/>
      <x:c r="AI315"/>
      <x:c r="AJ315" t="str">
        <x:v>A-000117</x:v>
      </x:c>
      <x:c r="AK315" t="n">
        <x:v>10042</x:v>
      </x:c>
      <x:c r="AL315" t="str">
        <x:v>M</x:v>
      </x:c>
      <x:c r="AM315" t="str">
        <x:v>REQ000008222620</x:v>
      </x:c>
      <x:c r="AN315" t="str">
        <x:v>retention</x:v>
      </x:c>
      <x:c r="AO315" t="n">
        <x:v>1</x:v>
      </x:c>
      <x:c r="AP315" s="23" t="n">
        <x:f>IF(E315="processing",IF(Z315="","",IF(ISNUMBER(Z315),INT(Z315),DATE(VALUE(LEFT(Z315,4)),VALUE(MID(Z315,6,2)),VALUE(MID(Z315,9,2))))),IF(OR(E315="executing",E315="pending"),IF(AD315="","",IF(ISNUMBER(AD315),INT(AD315),DATE(VALUE(LEFT(AD315,4)),VALUE(MID(AD315,6,2)),VALUE(MID(AD315,9,2))))),""))</x:f>
        <x:v>46239</x:v>
      </x:c>
      <x:c r="AQ315" s="24" t="n">
        <x:f>IF(AP315="","",INT('Configuration'!$B$4)-AP315)</x:f>
        <x:v>12</x:v>
      </x:c>
      <x:c r="AR315" s="25" t="str">
        <x:f>IF(AP315="","Missing Required Date",IF(AQ315&lt;0,"Future Date",IF(AQ315=0,"0 days",IF(AQ315&lt;=2,"1-2 days",IF(AQ315&lt;=7,"3-7 days",IF(AQ315&lt;=14,"8-14 days",IF(AQ315&lt;=30,"15-30 days",IF(AQ315&lt;=60,"31-60 days",IF(AQ315&lt;=70,"61-70 days","71+ days")))))))))</x:f>
        <x:v>8-14 days</x:v>
      </x:c>
      <x:c r="AS315" s="25" t="str">
        <x:f>IF(OR(E315="processing",E315="executing",E315="pending"),IF(AP315="","Required aging date missing",IF(AQ315&gt;30,"Escalate &gt;30d",IF(AQ315&gt;14,"Watch &gt;14d","Within 14d"))),"Out of scope")</x:f>
        <x:v>Within 14d</x:v>
      </x:c>
    </x:row>
    <x:row r="316" ht="24" customHeight="1">
      <x:c r="A316" t="str">
        <x:v>dffe6def-c553-4b28-8958-185ae8a5ff76</x:v>
      </x:c>
      <x:c r="B316" t="str">
        <x:v>CSSP10308509</x:v>
      </x:c>
      <x:c r="C316" t="str">
        <x:v>ridzuan.amajid@petronas.com</x:v>
      </x:c>
      <x:c r="D316" t="str">
        <x:v>decommission-cloud</x:v>
      </x:c>
      <x:c r="E316" t="str">
        <x:v>executing</x:v>
      </x:c>
      <x:c r="F316" t="n">
        <x:v>46226.150340659726</x:v>
      </x:c>
      <x:c r="G316" t="n">
        <x:v>46233.106046712965</x:v>
      </x:c>
      <x:c r="H316" t="n">
        <x:v>46226.150340659726</x:v>
      </x:c>
      <x:c r="I316" t="str">
        <x:v>Predictive Revitalization of Instrumentation to Maximize Efficiency - PRIME SBA</x:v>
      </x:c>
      <x:c r="J316" t="str">
        <x:v>PRIME SBA</x:v>
      </x:c>
      <x:c r="K316" t="str">
        <x:v>partial</x:v>
      </x:c>
      <x:c r="L316"/>
      <x:c r="M316" t="str">
        <x:v>ridzuan.amajid@petronas.com</x:v>
      </x:c>
      <x:c r="N316"/>
      <x:c r="O316"/>
      <x:c r="P316" t="str">
        <x:v>To decom VM Name vCENPRIMEDBMLNG. This VM has been in power off mode since March 2025. Request is made by Ridzuan Majid.</x:v>
      </x:c>
      <x:c r="Q316" t="str">
        <x:v>12M</x:v>
      </x:c>
      <x:c r="R316" t="str">
        <x:v>Not in Used</x:v>
      </x:c>
      <x:c r="S316"/>
      <x:c r="T316" t="str">
        <x:v>approved</x:v>
      </x:c>
      <x:c r="U316" t="str">
        <x:v>ridzuan.amajid@petronas.com</x:v>
      </x:c>
      <x:c r="V316" t="n">
        <x:v>46226.15063788195</x:v>
      </x:c>
      <x:c r="W316" t="str">
        <x:v>To decom VM Name vCENPRIMEDBMLNG. This VM has been in power off mode since March 2025. Request is made by Ridzuan Majid.</x:v>
      </x:c>
      <x:c r="X316" t="str">
        <x:v>approved</x:v>
      </x:c>
      <x:c r="Y316" t="str">
        <x:v>ridzuan.amajid@petronas.com</x:v>
      </x:c>
      <x:c r="Z316" t="n">
        <x:v>46226.150898541666</x:v>
      </x:c>
      <x:c r="AA316" t="str">
        <x:v>To decom VM Name vCENPRIMEDBMLNG. This VM has been in power off mode since March 2025. Request is made by Ridzuan Majid.</x:v>
      </x:c>
      <x:c r="AB316" t="str">
        <x:v>approved</x:v>
      </x:c>
      <x:c r="AC316" t="str">
        <x:v>abhishek.bhowate@petronas.com</x:v>
      </x:c>
      <x:c r="AD316" t="n">
        <x:v>46233.10604672454</x:v>
      </x:c>
      <x:c r="AE316" t="str">
        <x:v>approve</x:v>
      </x:c>
      <x:c r="AF316"/>
      <x:c r="AG316" t="str">
        <x:v>swaminadh.chirakala@petronas.com</x:v>
      </x:c>
      <x:c r="AH316"/>
      <x:c r="AI316"/>
      <x:c r="AJ316" t="str">
        <x:v>A-000657</x:v>
      </x:c>
      <x:c r="AK316" t="str">
        <x:v>00915_14</x:v>
      </x:c>
      <x:c r="AL316" t="str">
        <x:v>M</x:v>
      </x:c>
      <x:c r="AM316" t="str">
        <x:v>REQ000008203409</x:v>
      </x:c>
      <x:c r="AN316" t="str">
        <x:v>retention</x:v>
      </x:c>
      <x:c r="AO316" t="n">
        <x:v>1</x:v>
      </x:c>
      <x:c r="AP316" s="23" t="n">
        <x:f>IF(E316="processing",IF(Z316="","",IF(ISNUMBER(Z316),INT(Z316),DATE(VALUE(LEFT(Z316,4)),VALUE(MID(Z316,6,2)),VALUE(MID(Z316,9,2))))),IF(OR(E316="executing",E316="pending"),IF(AD316="","",IF(ISNUMBER(AD316),INT(AD316),DATE(VALUE(LEFT(AD316,4)),VALUE(MID(AD316,6,2)),VALUE(MID(AD316,9,2))))),""))</x:f>
        <x:v>46233</x:v>
      </x:c>
      <x:c r="AQ316" s="24" t="n">
        <x:f>IF(AP316="","",INT('Configuration'!$B$4)-AP316)</x:f>
        <x:v>18</x:v>
      </x:c>
      <x:c r="AR316" s="25" t="str">
        <x:f>IF(AP316="","Missing Required Date",IF(AQ316&lt;0,"Future Date",IF(AQ316=0,"0 days",IF(AQ316&lt;=2,"1-2 days",IF(AQ316&lt;=7,"3-7 days",IF(AQ316&lt;=14,"8-14 days",IF(AQ316&lt;=30,"15-30 days",IF(AQ316&lt;=60,"31-60 days",IF(AQ316&lt;=70,"61-70 days","71+ days")))))))))</x:f>
        <x:v>15-30 days</x:v>
      </x:c>
      <x:c r="AS316" s="25" t="str">
        <x:f>IF(OR(E316="processing",E316="executing",E316="pending"),IF(AP316="","Required aging date missing",IF(AQ316&gt;30,"Escalate &gt;30d",IF(AQ316&gt;14,"Watch &gt;14d","Within 14d"))),"Out of scope")</x:f>
        <x:v>Watch &gt;14d</x:v>
      </x:c>
    </x:row>
    <x:row r="317" ht="24" customHeight="1">
      <x:c r="A317" t="str">
        <x:v>06201963-c847-4df0-a07a-98a6002921ba</x:v>
      </x:c>
      <x:c r="B317" t="str">
        <x:v>CSSP10327864</x:v>
      </x:c>
      <x:c r="C317" t="str">
        <x:v>ridzuan.amajid@petronas.com</x:v>
      </x:c>
      <x:c r="D317" t="str">
        <x:v>decommission-cloud</x:v>
      </x:c>
      <x:c r="E317" t="str">
        <x:v>executing</x:v>
      </x:c>
      <x:c r="F317" t="n">
        <x:v>46226.154782592595</x:v>
      </x:c>
      <x:c r="G317" t="n">
        <x:v>46233.10576160879</x:v>
      </x:c>
      <x:c r="H317" t="n">
        <x:v>46226.154782592595</x:v>
      </x:c>
      <x:c r="I317" t="str">
        <x:v>Predictive Revitalization of Instrumentation to Maximize Efficiency - PRIME SBA</x:v>
      </x:c>
      <x:c r="J317" t="str">
        <x:v>PRIME SBA</x:v>
      </x:c>
      <x:c r="K317" t="str">
        <x:v>partial</x:v>
      </x:c>
      <x:c r="L317"/>
      <x:c r="M317" t="str">
        <x:v>ridzuan.amajid@petronas.com</x:v>
      </x:c>
      <x:c r="N317"/>
      <x:c r="O317"/>
      <x:c r="P317" t="str">
        <x:v>To decom VM Name vCENPRIMEAPMLNG. This VM has been in power off mode since March 2025. Request is made by Ridzuan Majid.</x:v>
      </x:c>
      <x:c r="Q317" t="str">
        <x:v>12M</x:v>
      </x:c>
      <x:c r="R317" t="str">
        <x:v>Not in Used</x:v>
      </x:c>
      <x:c r="S317"/>
      <x:c r="T317" t="str">
        <x:v>approved</x:v>
      </x:c>
      <x:c r="U317" t="str">
        <x:v>ridzuan.amajid@petronas.com</x:v>
      </x:c>
      <x:c r="V317" t="n">
        <x:v>46226.15510278935</x:v>
      </x:c>
      <x:c r="W317" t="str">
        <x:v>To decom VM Name vCENPRIMEAPMLNG. This VM has been in power off mode since March 2025. Request is made by Ridzuan Majid.</x:v>
      </x:c>
      <x:c r="X317" t="str">
        <x:v>approved</x:v>
      </x:c>
      <x:c r="Y317" t="str">
        <x:v>ridzuan.amajid@petronas.com</x:v>
      </x:c>
      <x:c r="Z317" t="n">
        <x:v>46226.15534989583</x:v>
      </x:c>
      <x:c r="AA317" t="str">
        <x:v>To decom VM Name vCENPRIMEAPMLNG. This VM has been in power off mode since March 2025. Request is made by Ridzuan Majid.</x:v>
      </x:c>
      <x:c r="AB317" t="str">
        <x:v>approved</x:v>
      </x:c>
      <x:c r="AC317" t="str">
        <x:v>abhishek.bhowate@petronas.com</x:v>
      </x:c>
      <x:c r="AD317" t="n">
        <x:v>46233.10576162037</x:v>
      </x:c>
      <x:c r="AE317" t="str">
        <x:v>approve</x:v>
      </x:c>
      <x:c r="AF317"/>
      <x:c r="AG317" t="str">
        <x:v>swaminadh.chirakala@petronas.com</x:v>
      </x:c>
      <x:c r="AH317"/>
      <x:c r="AI317"/>
      <x:c r="AJ317" t="str">
        <x:v>A-000657</x:v>
      </x:c>
      <x:c r="AK317" t="str">
        <x:v>00915_14</x:v>
      </x:c>
      <x:c r="AL317" t="str">
        <x:v>M</x:v>
      </x:c>
      <x:c r="AM317" t="str">
        <x:v>REQ000008203315</x:v>
      </x:c>
      <x:c r="AN317" t="str">
        <x:v>retention</x:v>
      </x:c>
      <x:c r="AO317" t="n">
        <x:v>1</x:v>
      </x:c>
      <x:c r="AP317" s="23" t="n">
        <x:f>IF(E317="processing",IF(Z317="","",IF(ISNUMBER(Z317),INT(Z317),DATE(VALUE(LEFT(Z317,4)),VALUE(MID(Z317,6,2)),VALUE(MID(Z317,9,2))))),IF(OR(E317="executing",E317="pending"),IF(AD317="","",IF(ISNUMBER(AD317),INT(AD317),DATE(VALUE(LEFT(AD317,4)),VALUE(MID(AD317,6,2)),VALUE(MID(AD317,9,2))))),""))</x:f>
        <x:v>46233</x:v>
      </x:c>
      <x:c r="AQ317" s="24" t="n">
        <x:f>IF(AP317="","",INT('Configuration'!$B$4)-AP317)</x:f>
        <x:v>18</x:v>
      </x:c>
      <x:c r="AR317" s="25" t="str">
        <x:f>IF(AP317="","Missing Required Date",IF(AQ317&lt;0,"Future Date",IF(AQ317=0,"0 days",IF(AQ317&lt;=2,"1-2 days",IF(AQ317&lt;=7,"3-7 days",IF(AQ317&lt;=14,"8-14 days",IF(AQ317&lt;=30,"15-30 days",IF(AQ317&lt;=60,"31-60 days",IF(AQ317&lt;=70,"61-70 days","71+ days")))))))))</x:f>
        <x:v>15-30 days</x:v>
      </x:c>
      <x:c r="AS317" s="25" t="str">
        <x:f>IF(OR(E317="processing",E317="executing",E317="pending"),IF(AP317="","Required aging date missing",IF(AQ317&gt;30,"Escalate &gt;30d",IF(AQ317&gt;14,"Watch &gt;14d","Within 14d"))),"Out of scope")</x:f>
        <x:v>Watch &gt;14d</x:v>
      </x:c>
    </x:row>
    <x:row r="318" ht="24" customHeight="1">
      <x:c r="A318" t="str">
        <x:v>7fbbdcbe-86f0-4797-b066-7add3b207333</x:v>
      </x:c>
      <x:c r="B318" t="str">
        <x:v>CSSP10626318</x:v>
      </x:c>
      <x:c r="C318" t="str">
        <x:v>muhammad.hafizimats@petronas.com</x:v>
      </x:c>
      <x:c r="D318" t="str">
        <x:v>decommission-cloud</x:v>
      </x:c>
      <x:c r="E318" t="str">
        <x:v>executing</x:v>
      </x:c>
      <x:c r="F318" t="n">
        <x:v>46226.16630017361</x:v>
      </x:c>
      <x:c r="G318" t="n">
        <x:v>46239.29018210648</x:v>
      </x:c>
      <x:c r="H318" t="n">
        <x:v>46226.16630017361</x:v>
      </x:c>
      <x:c r="I318" t="str">
        <x:v>Peer to Peer Energy Trading Platform</x:v>
      </x:c>
      <x:c r="J318" t="str">
        <x:v>Enhancement of Peer to Peer Energy Trading Platform for PRSB</x:v>
      </x:c>
      <x:c r="K318" t="str">
        <x:v>full</x:v>
      </x:c>
      <x:c r="L318" t="str">
        <x:v>DCOM202607222cf</x:v>
      </x:c>
      <x:c r="M318" t="str">
        <x:v>aressany.bohari@petronas.com.my</x:v>
      </x:c>
      <x:c r="N318" t="str">
        <x:v>www.p2p.petronas.com , www.p2pbackend.petronas.com</x:v>
      </x:c>
      <x:c r="O318"/>
      <x:c r="P318" t="str">
        <x:v>This project has been dropped</x:v>
      </x:c>
      <x:c r="Q318" t="str">
        <x:v>2W</x:v>
      </x:c>
      <x:c r="R318" t="str">
        <x:v>Obsolete</x:v>
      </x:c>
      <x:c r="S318"/>
      <x:c r="T318" t="str">
        <x:v>approved</x:v>
      </x:c>
      <x:c r="U318" t="str">
        <x:v>muhammad.hafizimats@petronas.com</x:v>
      </x:c>
      <x:c r="V318" t="n">
        <x:v>46226.172751122685</x:v>
      </x:c>
      <x:c r="W318" t="str">
        <x:v>Reviewed and verified. 
The project has been discontinued and the listed cloud resources are no longer in use</x:v>
      </x:c>
      <x:c r="X318" t="str">
        <x:v>approved</x:v>
      </x:c>
      <x:c r="Y318" t="str">
        <x:v>aressany.bohari@petronas.com</x:v>
      </x:c>
      <x:c r="Z318" t="n">
        <x:v>46226.33628068287</x:v>
      </x:c>
      <x:c r="AA318" t="str">
        <x:v>reviewed and approved</x:v>
      </x:c>
      <x:c r="AB318" t="str">
        <x:v>approved</x:v>
      </x:c>
      <x:c r="AC318" t="str">
        <x:v>abhishek.bhowate@petronas.com</x:v>
      </x:c>
      <x:c r="AD318" t="n">
        <x:v>46239.29018211806</x:v>
      </x:c>
      <x:c r="AE318" t="str">
        <x:v>approve</x:v>
      </x:c>
      <x:c r="AF318"/>
      <x:c r="AG318" t="str">
        <x:v>amarja.kawade@petronas.com</x:v>
      </x:c>
      <x:c r="AH318"/>
      <x:c r="AI318"/>
      <x:c r="AJ318" t="str">
        <x:v>A-000538</x:v>
      </x:c>
      <x:c r="AK318" t="n">
        <x:v>3827</x:v>
      </x:c>
      <x:c r="AL318" t="str">
        <x:v>M</x:v>
      </x:c>
      <x:c r="AM318" t="str">
        <x:v>REQ000008220859</x:v>
      </x:c>
      <x:c r="AN318" t="str">
        <x:v>retention</x:v>
      </x:c>
      <x:c r="AO318" t="n">
        <x:v>2</x:v>
      </x:c>
      <x:c r="AP318" s="23" t="n">
        <x:f>IF(E318="processing",IF(Z318="","",IF(ISNUMBER(Z318),INT(Z318),DATE(VALUE(LEFT(Z318,4)),VALUE(MID(Z318,6,2)),VALUE(MID(Z318,9,2))))),IF(OR(E318="executing",E318="pending"),IF(AD318="","",IF(ISNUMBER(AD318),INT(AD318),DATE(VALUE(LEFT(AD318,4)),VALUE(MID(AD318,6,2)),VALUE(MID(AD318,9,2))))),""))</x:f>
        <x:v>46239</x:v>
      </x:c>
      <x:c r="AQ318" s="24" t="n">
        <x:f>IF(AP318="","",INT('Configuration'!$B$4)-AP318)</x:f>
        <x:v>12</x:v>
      </x:c>
      <x:c r="AR318" s="25" t="str">
        <x:f>IF(AP318="","Missing Required Date",IF(AQ318&lt;0,"Future Date",IF(AQ318=0,"0 days",IF(AQ318&lt;=2,"1-2 days",IF(AQ318&lt;=7,"3-7 days",IF(AQ318&lt;=14,"8-14 days",IF(AQ318&lt;=30,"15-30 days",IF(AQ318&lt;=60,"31-60 days",IF(AQ318&lt;=70,"61-70 days","71+ days")))))))))</x:f>
        <x:v>8-14 days</x:v>
      </x:c>
      <x:c r="AS318" s="25" t="str">
        <x:f>IF(OR(E318="processing",E318="executing",E318="pending"),IF(AP318="","Required aging date missing",IF(AQ318&gt;30,"Escalate &gt;30d",IF(AQ318&gt;14,"Watch &gt;14d","Within 14d"))),"Out of scope")</x:f>
        <x:v>Within 14d</x:v>
      </x:c>
    </x:row>
    <x:row r="319" ht="24" customHeight="1">
      <x:c r="A319" t="str">
        <x:v>a3047b0d-684e-479d-b288-47cb442980e3</x:v>
      </x:c>
      <x:c r="B319" t="str">
        <x:v>CSSP10865674</x:v>
      </x:c>
      <x:c r="C319" t="str">
        <x:v>ridzuan.amajid@petronas.com</x:v>
      </x:c>
      <x:c r="D319" t="str">
        <x:v>decommission-cloud</x:v>
      </x:c>
      <x:c r="E319" t="str">
        <x:v>rejected</x:v>
      </x:c>
      <x:c r="F319" t="n">
        <x:v>46226.176827650466</x:v>
      </x:c>
      <x:c r="G319" t="n">
        <x:v>46244.08650857639</x:v>
      </x:c>
      <x:c r="H319" t="n">
        <x:v>46226.176827650466</x:v>
      </x:c>
      <x:c r="I319" t="str">
        <x:v>DARS</x:v>
      </x:c>
      <x:c r="J319" t="str">
        <x:v>DARS created for PRIVATECLOUD project record</x:v>
      </x:c>
      <x:c r="K319" t="str">
        <x:v>partial</x:v>
      </x:c>
      <x:c r="L319"/>
      <x:c r="M319" t="str">
        <x:v>ridzuan.amajid@petronas.com</x:v>
      </x:c>
      <x:c r="N319"/>
      <x:c r="O319"/>
      <x:c r="P319" t="str">
        <x:v>To decom VM Name PCSB614DARS - unsuccessful billing without any cost center. Request is made by Ridzuan Majid.</x:v>
      </x:c>
      <x:c r="Q319" t="str">
        <x:v>12M</x:v>
      </x:c>
      <x:c r="R319" t="str">
        <x:v>Not in Used</x:v>
      </x:c>
      <x:c r="S319"/>
      <x:c r="T319" t="str">
        <x:v>approved</x:v>
      </x:c>
      <x:c r="U319" t="str">
        <x:v>ridzuan.amajid@petronas.com</x:v>
      </x:c>
      <x:c r="V319" t="n">
        <x:v>46226.17717783565</x:v>
      </x:c>
      <x:c r="W319" t="str">
        <x:v>To decom VM Name PCSB614DARS - unsuccessful billing without any cost center. Request is made by Ridzuan Majid.</x:v>
      </x:c>
      <x:c r="X319" t="str">
        <x:v>approved</x:v>
      </x:c>
      <x:c r="Y319" t="str">
        <x:v>ridzuan.amajid@petronas.com</x:v>
      </x:c>
      <x:c r="Z319" t="n">
        <x:v>46226.17743939815</x:v>
      </x:c>
      <x:c r="AA319" t="str">
        <x:v>To decom VM Name PCSB614DARS - unsuccessful billing without any cost center. Request is made by Ridzuan Majid.</x:v>
      </x:c>
      <x:c r="AB319" t="str">
        <x:v>rejected</x:v>
      </x:c>
      <x:c r="AC319" t="str">
        <x:v>samsuddin.jumbri@petronas.com</x:v>
      </x:c>
      <x:c r="AD319" t="n">
        <x:v>46244.08650858796</x:v>
      </x:c>
      <x:c r="AE319" t="str">
        <x:v>Requestor and Manager/Approver cannot be the same person. Please assign a different authorized approver and resubmit the request.</x:v>
      </x:c>
      <x:c r="AF319"/>
      <x:c r="AG319" t="str">
        <x:v>IMS - CLOUD CSSP EXECUTOR</x:v>
      </x:c>
      <x:c r="AH319"/>
      <x:c r="AI319"/>
      <x:c r="AJ319" t="str">
        <x:v>A-000193</x:v>
      </x:c>
      <x:c r="AK319" t="n">
        <x:v>10062</x:v>
      </x:c>
      <x:c r="AL319"/>
      <x:c r="AM319"/>
      <x:c r="AN319" t="str">
        <x:v>retention</x:v>
      </x:c>
      <x:c r="AO319" t="n">
        <x:v>1</x:v>
      </x:c>
      <x:c r="AP319" s="23" t="str">
        <x:f>IF(E319="processing",IF(Z319="","",IF(ISNUMBER(Z319),INT(Z319),DATE(VALUE(LEFT(Z319,4)),VALUE(MID(Z319,6,2)),VALUE(MID(Z319,9,2))))),IF(OR(E319="executing",E319="pending"),IF(AD319="","",IF(ISNUMBER(AD319),INT(AD319),DATE(VALUE(LEFT(AD319,4)),VALUE(MID(AD319,6,2)),VALUE(MID(AD319,9,2))))),""))</x:f>
      </x:c>
      <x:c r="AQ319" s="24" t="str">
        <x:f>IF(AP319="","",INT('Configuration'!$B$4)-AP319)</x:f>
      </x:c>
      <x:c r="AR319" s="25" t="str">
        <x:f>IF(AP319="","Missing Required Date",IF(AQ319&lt;0,"Future Date",IF(AQ319=0,"0 days",IF(AQ319&lt;=2,"1-2 days",IF(AQ319&lt;=7,"3-7 days",IF(AQ319&lt;=14,"8-14 days",IF(AQ319&lt;=30,"15-30 days",IF(AQ319&lt;=60,"31-60 days",IF(AQ319&lt;=70,"61-70 days","71+ days")))))))))</x:f>
        <x:v>Missing Required Date</x:v>
      </x:c>
      <x:c r="AS319" s="25" t="str">
        <x:f>IF(OR(E319="processing",E319="executing",E319="pending"),IF(AP319="","Required aging date missing",IF(AQ319&gt;30,"Escalate &gt;30d",IF(AQ319&gt;14,"Watch &gt;14d","Within 14d"))),"Out of scope")</x:f>
        <x:v>Out of scope</x:v>
      </x:c>
    </x:row>
    <x:row r="320" ht="24" customHeight="1">
      <x:c r="A320" t="str">
        <x:v>3c6fed2a-7d9f-46f6-af4b-26803da6e09e</x:v>
      </x:c>
      <x:c r="B320" t="str">
        <x:v>CSSP10958793</x:v>
      </x:c>
      <x:c r="C320" t="str">
        <x:v>ridzuan.amajid@petronas.com</x:v>
      </x:c>
      <x:c r="D320" t="str">
        <x:v>decommission-cloud</x:v>
      </x:c>
      <x:c r="E320" t="str">
        <x:v>rejected</x:v>
      </x:c>
      <x:c r="F320" t="n">
        <x:v>46226.180257025466</x:v>
      </x:c>
      <x:c r="G320" t="n">
        <x:v>46244.08582346065</x:v>
      </x:c>
      <x:c r="H320" t="n">
        <x:v>46226.180257025466</x:v>
      </x:c>
      <x:c r="I320" t="str">
        <x:v>Plant Operation Management</x:v>
      </x:c>
      <x:c r="J320" t="str">
        <x:v>Plant Operation Management created for PRIVATECLOUD project record</x:v>
      </x:c>
      <x:c r="K320" t="str">
        <x:v>partial</x:v>
      </x:c>
      <x:c r="L320"/>
      <x:c r="M320" t="str">
        <x:v>ridzuan.amajid@petronas.com</x:v>
      </x:c>
      <x:c r="N320"/>
      <x:c r="O320"/>
      <x:c r="P320" t="str">
        <x:v>To decom VM Name vSKODPFLPOMAP01, vSKODPFLPOMAP02 - unsuccessful billing without any cost center. Request is made by Ridzuan Majid.
</x:v>
      </x:c>
      <x:c r="Q320" t="str">
        <x:v>12M</x:v>
      </x:c>
      <x:c r="R320" t="str">
        <x:v>Not in Used</x:v>
      </x:c>
      <x:c r="S320"/>
      <x:c r="T320" t="str">
        <x:v>approved</x:v>
      </x:c>
      <x:c r="U320" t="str">
        <x:v>ridzuan.amajid@petronas.com</x:v>
      </x:c>
      <x:c r="V320" t="n">
        <x:v>46226.18087192129</x:v>
      </x:c>
      <x:c r="W320" t="str">
        <x:v>To decom VM Name vSKODPFLPOMAP01, vSKODPFLPOMAP02 - unsuccessful billing without any cost center. Request is made by Ridzuan Majid.</x:v>
      </x:c>
      <x:c r="X320" t="str">
        <x:v>approved</x:v>
      </x:c>
      <x:c r="Y320" t="str">
        <x:v>ridzuan.amajid@petronas.com</x:v>
      </x:c>
      <x:c r="Z320" t="n">
        <x:v>46226.18116717593</x:v>
      </x:c>
      <x:c r="AA320" t="str">
        <x:v>To decom VM Name vSKODPFLPOMAP01, vSKODPFLPOMAP02 - unsuccessful billing without any cost center. Request is made by Ridzuan Majid.</x:v>
      </x:c>
      <x:c r="AB320" t="str">
        <x:v>rejected</x:v>
      </x:c>
      <x:c r="AC320" t="str">
        <x:v>samsuddin.jumbri@petronas.com</x:v>
      </x:c>
      <x:c r="AD320" t="n">
        <x:v>46244.08582346065</x:v>
      </x:c>
      <x:c r="AE320" t="str">
        <x:v>Requestor and Manager/Approver cannot be the same person. Please assign a different authorized approver and resubmit the request.</x:v>
      </x:c>
      <x:c r="AF320"/>
      <x:c r="AG320" t="str">
        <x:v>IMS - CLOUD CSSP EXECUTOR</x:v>
      </x:c>
      <x:c r="AH320"/>
      <x:c r="AI320"/>
      <x:c r="AJ320" t="str">
        <x:v>A-000623</x:v>
      </x:c>
      <x:c r="AK320" t="n">
        <x:v>10152</x:v>
      </x:c>
      <x:c r="AL320"/>
      <x:c r="AM320"/>
      <x:c r="AN320" t="str">
        <x:v>retention</x:v>
      </x:c>
      <x:c r="AO320" t="n">
        <x:v>1</x:v>
      </x:c>
      <x:c r="AP320" s="23" t="str">
        <x:f>IF(E320="processing",IF(Z320="","",IF(ISNUMBER(Z320),INT(Z320),DATE(VALUE(LEFT(Z320,4)),VALUE(MID(Z320,6,2)),VALUE(MID(Z320,9,2))))),IF(OR(E320="executing",E320="pending"),IF(AD320="","",IF(ISNUMBER(AD320),INT(AD320),DATE(VALUE(LEFT(AD320,4)),VALUE(MID(AD320,6,2)),VALUE(MID(AD320,9,2))))),""))</x:f>
      </x:c>
      <x:c r="AQ320" s="24" t="str">
        <x:f>IF(AP320="","",INT('Configuration'!$B$4)-AP320)</x:f>
      </x:c>
      <x:c r="AR320" s="25" t="str">
        <x:f>IF(AP320="","Missing Required Date",IF(AQ320&lt;0,"Future Date",IF(AQ320=0,"0 days",IF(AQ320&lt;=2,"1-2 days",IF(AQ320&lt;=7,"3-7 days",IF(AQ320&lt;=14,"8-14 days",IF(AQ320&lt;=30,"15-30 days",IF(AQ320&lt;=60,"31-60 days",IF(AQ320&lt;=70,"61-70 days","71+ days")))))))))</x:f>
        <x:v>Missing Required Date</x:v>
      </x:c>
      <x:c r="AS320" s="25" t="str">
        <x:f>IF(OR(E320="processing",E320="executing",E320="pending"),IF(AP320="","Required aging date missing",IF(AQ320&gt;30,"Escalate &gt;30d",IF(AQ320&gt;14,"Watch &gt;14d","Within 14d"))),"Out of scope")</x:f>
        <x:v>Out of scope</x:v>
      </x:c>
    </x:row>
    <x:row r="321" ht="24" customHeight="1">
      <x:c r="A321" t="str">
        <x:v>d7c2f00c-ea56-4cfc-9143-84397ad5675c</x:v>
      </x:c>
      <x:c r="B321" t="str">
        <x:v>CSSP10876136</x:v>
      </x:c>
      <x:c r="C321" t="str">
        <x:v>ridzuan.amajid@petronas.com</x:v>
      </x:c>
      <x:c r="D321" t="str">
        <x:v>decommission-cloud</x:v>
      </x:c>
      <x:c r="E321" t="str">
        <x:v>executing</x:v>
      </x:c>
      <x:c r="F321" t="n">
        <x:v>46226.21102033565</x:v>
      </x:c>
      <x:c r="G321" t="n">
        <x:v>46239.61959692129</x:v>
      </x:c>
      <x:c r="H321" t="n">
        <x:v>46226.21102033565</x:v>
      </x:c>
      <x:c r="I321" t="str">
        <x:v>Primavera-SAP Integration</x:v>
      </x:c>
      <x:c r="J321" t="str">
        <x:v>Primavera-SAP Integration created for PRIVATECLOUD project record</x:v>
      </x:c>
      <x:c r="K321" t="str">
        <x:v>partial</x:v>
      </x:c>
      <x:c r="L321"/>
      <x:c r="M321" t="str">
        <x:v>ridzuan.amajid@petronas.com</x:v>
      </x:c>
      <x:c r="N321"/>
      <x:c r="O321"/>
      <x:c r="P321" t="str">
        <x:v>To decom VM Name OPT166P2P1, OPT166PRI1. This VM has been in power off mode since March 2025. Request is made by Ridzuan Majid.</x:v>
      </x:c>
      <x:c r="Q321" t="str">
        <x:v>12M</x:v>
      </x:c>
      <x:c r="R321" t="str">
        <x:v>Not in Used</x:v>
      </x:c>
      <x:c r="S321"/>
      <x:c r="T321" t="str">
        <x:v>approved</x:v>
      </x:c>
      <x:c r="U321" t="str">
        <x:v>ridzuan.amajid@petronas.com</x:v>
      </x:c>
      <x:c r="V321" t="n">
        <x:v>46226.211347488425</x:v>
      </x:c>
      <x:c r="W321" t="str">
        <x:v>To decom VM Name OPT166P2P1, OPT166PRI1. This VM has been in power off mode since March 2025. Request is made by Ridzuan Majid.</x:v>
      </x:c>
      <x:c r="X321" t="str">
        <x:v>approved</x:v>
      </x:c>
      <x:c r="Y321" t="str">
        <x:v>ridzuan.amajid@petronas.com</x:v>
      </x:c>
      <x:c r="Z321" t="n">
        <x:v>46226.21167340278</x:v>
      </x:c>
      <x:c r="AA321" t="str">
        <x:v>To decom VM Name OPT166P2P1, OPT166PRI1. This VM has been in power off mode since March 2025. Request is made by Ridzuan Majid.</x:v>
      </x:c>
      <x:c r="AB321" t="str">
        <x:v>approved</x:v>
      </x:c>
      <x:c r="AC321" t="str">
        <x:v>abhishek.bhowate@petronas.com</x:v>
      </x:c>
      <x:c r="AD321" t="n">
        <x:v>46239.61959693287</x:v>
      </x:c>
      <x:c r="AE321" t="str">
        <x:v>Approved</x:v>
      </x:c>
      <x:c r="AF321"/>
      <x:c r="AG321" t="str">
        <x:v>amarja.kawade@petronas.com</x:v>
      </x:c>
      <x:c r="AH321"/>
      <x:c r="AI321"/>
      <x:c r="AJ321" t="str">
        <x:v>A-000653</x:v>
      </x:c>
      <x:c r="AK321" t="n">
        <x:v>10159</x:v>
      </x:c>
      <x:c r="AL321" t="str">
        <x:v>M</x:v>
      </x:c>
      <x:c r="AM321" t="str">
        <x:v>REQ000008222178</x:v>
      </x:c>
      <x:c r="AN321" t="str">
        <x:v>retention</x:v>
      </x:c>
      <x:c r="AO321" t="n">
        <x:v>1</x:v>
      </x:c>
      <x:c r="AP321" s="23" t="n">
        <x:f>IF(E321="processing",IF(Z321="","",IF(ISNUMBER(Z321),INT(Z321),DATE(VALUE(LEFT(Z321,4)),VALUE(MID(Z321,6,2)),VALUE(MID(Z321,9,2))))),IF(OR(E321="executing",E321="pending"),IF(AD321="","",IF(ISNUMBER(AD321),INT(AD321),DATE(VALUE(LEFT(AD321,4)),VALUE(MID(AD321,6,2)),VALUE(MID(AD321,9,2))))),""))</x:f>
        <x:v>46239</x:v>
      </x:c>
      <x:c r="AQ321" s="24" t="n">
        <x:f>IF(AP321="","",INT('Configuration'!$B$4)-AP321)</x:f>
        <x:v>12</x:v>
      </x:c>
      <x:c r="AR321" s="25" t="str">
        <x:f>IF(AP321="","Missing Required Date",IF(AQ321&lt;0,"Future Date",IF(AQ321=0,"0 days",IF(AQ321&lt;=2,"1-2 days",IF(AQ321&lt;=7,"3-7 days",IF(AQ321&lt;=14,"8-14 days",IF(AQ321&lt;=30,"15-30 days",IF(AQ321&lt;=60,"31-60 days",IF(AQ321&lt;=70,"61-70 days","71+ days")))))))))</x:f>
        <x:v>8-14 days</x:v>
      </x:c>
      <x:c r="AS321" s="25" t="str">
        <x:f>IF(OR(E321="processing",E321="executing",E321="pending"),IF(AP321="","Required aging date missing",IF(AQ321&gt;30,"Escalate &gt;30d",IF(AQ321&gt;14,"Watch &gt;14d","Within 14d"))),"Out of scope")</x:f>
        <x:v>Within 14d</x:v>
      </x:c>
    </x:row>
    <x:row r="322" ht="24" customHeight="1">
      <x:c r="A322" t="str">
        <x:v>e1dfa073-1445-4e79-b045-f870d5d83411</x:v>
      </x:c>
      <x:c r="B322" t="str">
        <x:v>CSSP10231806</x:v>
      </x:c>
      <x:c r="C322" t="str">
        <x:v>ridzuan.amajid@petronas.com</x:v>
      </x:c>
      <x:c r="D322" t="str">
        <x:v>decommission-cloud</x:v>
      </x:c>
      <x:c r="E322" t="str">
        <x:v>executing</x:v>
      </x:c>
      <x:c r="F322" t="n">
        <x:v>46226.24426075231</x:v>
      </x:c>
      <x:c r="G322" t="n">
        <x:v>46233.105323958334</x:v>
      </x:c>
      <x:c r="H322" t="n">
        <x:v>46226.24426075231</x:v>
      </x:c>
      <x:c r="I322" t="str">
        <x:v>E-CAKNA PCSB</x:v>
      </x:c>
      <x:c r="J322" t="str">
        <x:v>E-CAKNA PCSB created for PRIVATECLOUD project record</x:v>
      </x:c>
      <x:c r="K322" t="str">
        <x:v>partial</x:v>
      </x:c>
      <x:c r="L322"/>
      <x:c r="M322" t="str">
        <x:v>ridzuan.amajid@petronas.com</x:v>
      </x:c>
      <x:c r="N322"/>
      <x:c r="O322"/>
      <x:c r="P322" t="str">
        <x:v>To decom VM Name vEASOGDPAASDB02. This VM has been in power off mode since March 2025. Request is made by Ridzuan Majid.</x:v>
      </x:c>
      <x:c r="Q322" t="str">
        <x:v>12M</x:v>
      </x:c>
      <x:c r="R322" t="str">
        <x:v>Not in Used</x:v>
      </x:c>
      <x:c r="S322"/>
      <x:c r="T322" t="str">
        <x:v>approved</x:v>
      </x:c>
      <x:c r="U322" t="str">
        <x:v>ridzuan.amajid@petronas.com</x:v>
      </x:c>
      <x:c r="V322" t="n">
        <x:v>46226.24809149306</x:v>
      </x:c>
      <x:c r="W322" t="str">
        <x:v>To decom VM Name vEASOGDPAASDB02. This VM has been in power off mode since March 2025. Request is made by Ridzuan Majid.</x:v>
      </x:c>
      <x:c r="X322" t="str">
        <x:v>approved</x:v>
      </x:c>
      <x:c r="Y322" t="str">
        <x:v>ridzuan.amajid@petronas.com</x:v>
      </x:c>
      <x:c r="Z322" t="n">
        <x:v>46226.24843936343</x:v>
      </x:c>
      <x:c r="AA322" t="str">
        <x:v>To decom VM Name vEASOGDPAASDB02. This VM has been in power off mode since March 2025. Request is made by Ridzuan Majid.</x:v>
      </x:c>
      <x:c r="AB322" t="str">
        <x:v>approved</x:v>
      </x:c>
      <x:c r="AC322" t="str">
        <x:v>abhishek.bhowate@petronas.com</x:v>
      </x:c>
      <x:c r="AD322" t="n">
        <x:v>46233.10532396991</x:v>
      </x:c>
      <x:c r="AE322" t="str">
        <x:v>approve</x:v>
      </x:c>
      <x:c r="AF322"/>
      <x:c r="AG322" t="str">
        <x:v>K.saktivelu@petronas.com</x:v>
      </x:c>
      <x:c r="AH322"/>
      <x:c r="AI322"/>
      <x:c r="AJ322" t="str">
        <x:v>A-000256</x:v>
      </x:c>
      <x:c r="AK322" t="str">
        <x:v>10074_02</x:v>
      </x:c>
      <x:c r="AL322" t="str">
        <x:v>M</x:v>
      </x:c>
      <x:c r="AM322" t="str">
        <x:v>REQ000008203408</x:v>
      </x:c>
      <x:c r="AN322" t="str">
        <x:v>retention</x:v>
      </x:c>
      <x:c r="AO322" t="n">
        <x:v>1</x:v>
      </x:c>
      <x:c r="AP322" s="23" t="n">
        <x:f>IF(E322="processing",IF(Z322="","",IF(ISNUMBER(Z322),INT(Z322),DATE(VALUE(LEFT(Z322,4)),VALUE(MID(Z322,6,2)),VALUE(MID(Z322,9,2))))),IF(OR(E322="executing",E322="pending"),IF(AD322="","",IF(ISNUMBER(AD322),INT(AD322),DATE(VALUE(LEFT(AD322,4)),VALUE(MID(AD322,6,2)),VALUE(MID(AD322,9,2))))),""))</x:f>
        <x:v>46233</x:v>
      </x:c>
      <x:c r="AQ322" s="24" t="n">
        <x:f>IF(AP322="","",INT('Configuration'!$B$4)-AP322)</x:f>
        <x:v>18</x:v>
      </x:c>
      <x:c r="AR322" s="25" t="str">
        <x:f>IF(AP322="","Missing Required Date",IF(AQ322&lt;0,"Future Date",IF(AQ322=0,"0 days",IF(AQ322&lt;=2,"1-2 days",IF(AQ322&lt;=7,"3-7 days",IF(AQ322&lt;=14,"8-14 days",IF(AQ322&lt;=30,"15-30 days",IF(AQ322&lt;=60,"31-60 days",IF(AQ322&lt;=70,"61-70 days","71+ days")))))))))</x:f>
        <x:v>15-30 days</x:v>
      </x:c>
      <x:c r="AS322" s="25" t="str">
        <x:f>IF(OR(E322="processing",E322="executing",E322="pending"),IF(AP322="","Required aging date missing",IF(AQ322&gt;30,"Escalate &gt;30d",IF(AQ322&gt;14,"Watch &gt;14d","Within 14d"))),"Out of scope")</x:f>
        <x:v>Watch &gt;14d</x:v>
      </x:c>
    </x:row>
    <x:row r="323" ht="24" customHeight="1">
      <x:c r="A323" t="str">
        <x:v>3c46534f-b9b7-4748-933e-2a9934781f13</x:v>
      </x:c>
      <x:c r="B323" t="str">
        <x:v>CSSP10413108</x:v>
      </x:c>
      <x:c r="C323" t="str">
        <x:v>ridzuan.amajid@petronas.com</x:v>
      </x:c>
      <x:c r="D323" t="str">
        <x:v>decommission-cloud</x:v>
      </x:c>
      <x:c r="E323" t="str">
        <x:v>executing</x:v>
      </x:c>
      <x:c r="F323" t="n">
        <x:v>46226.25001640046</x:v>
      </x:c>
      <x:c r="G323" t="n">
        <x:v>46239.619336041666</x:v>
      </x:c>
      <x:c r="H323" t="n">
        <x:v>46226.25001640046</x:v>
      </x:c>
      <x:c r="I323" t="str">
        <x:v>E-CAKNA PCSB</x:v>
      </x:c>
      <x:c r="J323" t="str">
        <x:v>E-CAKNA PCSB created for PRIVATECLOUD project record</x:v>
      </x:c>
      <x:c r="K323" t="str">
        <x:v>partial</x:v>
      </x:c>
      <x:c r="L323"/>
      <x:c r="M323" t="str">
        <x:v>ridzuan.amajid@petronas.com</x:v>
      </x:c>
      <x:c r="N323"/>
      <x:c r="O323"/>
      <x:c r="P323" t="str">
        <x:v>To decom VM Name vEASOGDPAASAPP1c. This VM has been in power off mode since March 2025. Request is made by Ridzuan Majid.
</x:v>
      </x:c>
      <x:c r="Q323" t="str">
        <x:v>12M</x:v>
      </x:c>
      <x:c r="R323" t="str">
        <x:v>Not in Used</x:v>
      </x:c>
      <x:c r="S323"/>
      <x:c r="T323" t="str">
        <x:v>approved</x:v>
      </x:c>
      <x:c r="U323" t="str">
        <x:v>ridzuan.amajid@petronas.com</x:v>
      </x:c>
      <x:c r="V323" t="n">
        <x:v>46226.25012635416</x:v>
      </x:c>
      <x:c r="W323" t="str">
        <x:v>To decom VM Name vEASOGDPAASAPP1c. This VM has been in power off mode since March 2025. Request is made by Ridzuan Majid.
</x:v>
      </x:c>
      <x:c r="X323" t="str">
        <x:v>approved</x:v>
      </x:c>
      <x:c r="Y323" t="str">
        <x:v>ridzuan.amajid@petronas.com</x:v>
      </x:c>
      <x:c r="Z323" t="n">
        <x:v>46226.25071099537</x:v>
      </x:c>
      <x:c r="AA323" t="str">
        <x:v>To decom VM Name vEASOGDPAASAPP1c. This VM has been in power off mode since March 2025. Request is made by Ridzuan Majid.
</x:v>
      </x:c>
      <x:c r="AB323" t="str">
        <x:v>approved</x:v>
      </x:c>
      <x:c r="AC323" t="str">
        <x:v>abhishek.bhowate@petronas.com</x:v>
      </x:c>
      <x:c r="AD323" t="n">
        <x:v>46239.61933605324</x:v>
      </x:c>
      <x:c r="AE323" t="str">
        <x:v>approved</x:v>
      </x:c>
      <x:c r="AF323"/>
      <x:c r="AG323" t="str">
        <x:v>amarja.kawade@petronas.com</x:v>
      </x:c>
      <x:c r="AH323"/>
      <x:c r="AI323"/>
      <x:c r="AJ323" t="str">
        <x:v>A-000256</x:v>
      </x:c>
      <x:c r="AK323" t="str">
        <x:v>10074_02</x:v>
      </x:c>
      <x:c r="AL323" t="str">
        <x:v>M</x:v>
      </x:c>
      <x:c r="AM323" t="str">
        <x:v>REQ000008222619</x:v>
      </x:c>
      <x:c r="AN323" t="str">
        <x:v>retention</x:v>
      </x:c>
      <x:c r="AO323" t="n">
        <x:v>1</x:v>
      </x:c>
      <x:c r="AP323" s="23" t="n">
        <x:f>IF(E323="processing",IF(Z323="","",IF(ISNUMBER(Z323),INT(Z323),DATE(VALUE(LEFT(Z323,4)),VALUE(MID(Z323,6,2)),VALUE(MID(Z323,9,2))))),IF(OR(E323="executing",E323="pending"),IF(AD323="","",IF(ISNUMBER(AD323),INT(AD323),DATE(VALUE(LEFT(AD323,4)),VALUE(MID(AD323,6,2)),VALUE(MID(AD323,9,2))))),""))</x:f>
        <x:v>46239</x:v>
      </x:c>
      <x:c r="AQ323" s="24" t="n">
        <x:f>IF(AP323="","",INT('Configuration'!$B$4)-AP323)</x:f>
        <x:v>12</x:v>
      </x:c>
      <x:c r="AR323" s="25" t="str">
        <x:f>IF(AP323="","Missing Required Date",IF(AQ323&lt;0,"Future Date",IF(AQ323=0,"0 days",IF(AQ323&lt;=2,"1-2 days",IF(AQ323&lt;=7,"3-7 days",IF(AQ323&lt;=14,"8-14 days",IF(AQ323&lt;=30,"15-30 days",IF(AQ323&lt;=60,"31-60 days",IF(AQ323&lt;=70,"61-70 days","71+ days")))))))))</x:f>
        <x:v>8-14 days</x:v>
      </x:c>
      <x:c r="AS323" s="25" t="str">
        <x:f>IF(OR(E323="processing",E323="executing",E323="pending"),IF(AP323="","Required aging date missing",IF(AQ323&gt;30,"Escalate &gt;30d",IF(AQ323&gt;14,"Watch &gt;14d","Within 14d"))),"Out of scope")</x:f>
        <x:v>Within 14d</x:v>
      </x:c>
    </x:row>
    <x:row r="324" ht="24" customHeight="1">
      <x:c r="A324" t="str">
        <x:v>75c34cab-a218-4c9e-89ec-15fc00a68f77</x:v>
      </x:c>
      <x:c r="B324" t="str">
        <x:v>CSSP10328360</x:v>
      </x:c>
      <x:c r="C324" t="str">
        <x:v>ridzuan.amajid@petronas.com</x:v>
      </x:c>
      <x:c r="D324" t="str">
        <x:v>decommission-cloud</x:v>
      </x:c>
      <x:c r="E324" t="str">
        <x:v>executing</x:v>
      </x:c>
      <x:c r="F324" t="n">
        <x:v>46226.2529324537</x:v>
      </x:c>
      <x:c r="G324" t="n">
        <x:v>46233.10495836806</x:v>
      </x:c>
      <x:c r="H324" t="n">
        <x:v>46226.2529324537</x:v>
      </x:c>
      <x:c r="I324" t="str">
        <x:v>Pegosa</x:v>
      </x:c>
      <x:c r="J324" t="str">
        <x:v>Pegosa created for PRIVATECLOUD project record</x:v>
      </x:c>
      <x:c r="K324" t="str">
        <x:v>partial</x:v>
      </x:c>
      <x:c r="L324"/>
      <x:c r="M324" t="str">
        <x:v>ridzuan.amajid@petronas.com</x:v>
      </x:c>
      <x:c r="N324"/>
      <x:c r="O324"/>
      <x:c r="P324" t="str">
        <x:v>To decom VM Name PGB137PEGOSAPPPS, PGB137PEGOSAWEB, PGB137PEGOSAWFC. This VM has been in power off mode since March 2025. Request is made by Ridzuan Majid.</x:v>
      </x:c>
      <x:c r="Q324" t="str">
        <x:v>12M</x:v>
      </x:c>
      <x:c r="R324" t="str">
        <x:v>Not in Used</x:v>
      </x:c>
      <x:c r="S324"/>
      <x:c r="T324" t="str">
        <x:v>approved</x:v>
      </x:c>
      <x:c r="U324" t="str">
        <x:v>ridzuan.amajid@petronas.com</x:v>
      </x:c>
      <x:c r="V324" t="n">
        <x:v>46226.25319430556</x:v>
      </x:c>
      <x:c r="W324" t="str">
        <x:v>To decom VM Name PGB137PEGOSAPPPS, PGB137PEGOSAWEB, PGB137PEGOSAWFC. This VM has been in power off mode since March 2025. Request is made by Ridzuan Majid.</x:v>
      </x:c>
      <x:c r="X324" t="str">
        <x:v>approved</x:v>
      </x:c>
      <x:c r="Y324" t="str">
        <x:v>ridzuan.amajid@petronas.com</x:v>
      </x:c>
      <x:c r="Z324" t="n">
        <x:v>46226.2534390625</x:v>
      </x:c>
      <x:c r="AA324" t="str">
        <x:v>To decom VM Name PGB137PEGOSAPPPS, PGB137PEGOSAWEB, PGB137PEGOSAWFC. This VM has been in power off mode since March 2025. Request is made by Ridzuan Majid.</x:v>
      </x:c>
      <x:c r="AB324" t="str">
        <x:v>approved</x:v>
      </x:c>
      <x:c r="AC324" t="str">
        <x:v>abhishek.bhowate@petronas.com</x:v>
      </x:c>
      <x:c r="AD324" t="n">
        <x:v>46233.10495837963</x:v>
      </x:c>
      <x:c r="AE324" t="str">
        <x:v>approve</x:v>
      </x:c>
      <x:c r="AF324"/>
      <x:c r="AG324" t="str">
        <x:v>K.saktivelu@petronas.com</x:v>
      </x:c>
      <x:c r="AH324"/>
      <x:c r="AI324"/>
      <x:c r="AJ324" t="str">
        <x:v>A-000555</x:v>
      </x:c>
      <x:c r="AK324" t="n">
        <x:v>10134</x:v>
      </x:c>
      <x:c r="AL324" t="str">
        <x:v>M</x:v>
      </x:c>
      <x:c r="AM324" t="str">
        <x:v>REQ000008203407</x:v>
      </x:c>
      <x:c r="AN324" t="str">
        <x:v>retention</x:v>
      </x:c>
      <x:c r="AO324" t="n">
        <x:v>1</x:v>
      </x:c>
      <x:c r="AP324" s="23" t="n">
        <x:f>IF(E324="processing",IF(Z324="","",IF(ISNUMBER(Z324),INT(Z324),DATE(VALUE(LEFT(Z324,4)),VALUE(MID(Z324,6,2)),VALUE(MID(Z324,9,2))))),IF(OR(E324="executing",E324="pending"),IF(AD324="","",IF(ISNUMBER(AD324),INT(AD324),DATE(VALUE(LEFT(AD324,4)),VALUE(MID(AD324,6,2)),VALUE(MID(AD324,9,2))))),""))</x:f>
        <x:v>46233</x:v>
      </x:c>
      <x:c r="AQ324" s="24" t="n">
        <x:f>IF(AP324="","",INT('Configuration'!$B$4)-AP324)</x:f>
        <x:v>18</x:v>
      </x:c>
      <x:c r="AR324" s="25" t="str">
        <x:f>IF(AP324="","Missing Required Date",IF(AQ324&lt;0,"Future Date",IF(AQ324=0,"0 days",IF(AQ324&lt;=2,"1-2 days",IF(AQ324&lt;=7,"3-7 days",IF(AQ324&lt;=14,"8-14 days",IF(AQ324&lt;=30,"15-30 days",IF(AQ324&lt;=60,"31-60 days",IF(AQ324&lt;=70,"61-70 days","71+ days")))))))))</x:f>
        <x:v>15-30 days</x:v>
      </x:c>
      <x:c r="AS324" s="25" t="str">
        <x:f>IF(OR(E324="processing",E324="executing",E324="pending"),IF(AP324="","Required aging date missing",IF(AQ324&gt;30,"Escalate &gt;30d",IF(AQ324&gt;14,"Watch &gt;14d","Within 14d"))),"Out of scope")</x:f>
        <x:v>Watch &gt;14d</x:v>
      </x:c>
    </x:row>
    <x:row r="325" ht="24" customHeight="1">
      <x:c r="A325" t="str">
        <x:v>5e1b1621-72c9-48d3-bb30-2260a5c26c75</x:v>
      </x:c>
      <x:c r="B325" t="str">
        <x:v>CSSP10766912</x:v>
      </x:c>
      <x:c r="C325" t="str">
        <x:v>ridzuan.amajid@petronas.com</x:v>
      </x:c>
      <x:c r="D325" t="str">
        <x:v>decommission-cloud</x:v>
      </x:c>
      <x:c r="E325" t="str">
        <x:v>executing</x:v>
      </x:c>
      <x:c r="F325" t="n">
        <x:v>46226.25509287037</x:v>
      </x:c>
      <x:c r="G325" t="n">
        <x:v>46239.619113125</x:v>
      </x:c>
      <x:c r="H325" t="n">
        <x:v>46226.25509287037</x:v>
      </x:c>
      <x:c r="I325" t="str">
        <x:v>E-CAKNA PCSB</x:v>
      </x:c>
      <x:c r="J325" t="str">
        <x:v>E-CAKNA PCSB created for PRIVATECLOUD project record</x:v>
      </x:c>
      <x:c r="K325" t="str">
        <x:v>partial</x:v>
      </x:c>
      <x:c r="L325"/>
      <x:c r="M325" t="str">
        <x:v>ridzuan.amajid@petronas.com</x:v>
      </x:c>
      <x:c r="N325"/>
      <x:c r="O325"/>
      <x:c r="P325" t="str">
        <x:v>To decom VM Name vEASOGDPAASDEV3. This VM has been in power off mode since March 2025. Request is made by Ridzuan Majid.</x:v>
      </x:c>
      <x:c r="Q325" t="str">
        <x:v>12M</x:v>
      </x:c>
      <x:c r="R325" t="str">
        <x:v>Not in Used</x:v>
      </x:c>
      <x:c r="S325"/>
      <x:c r="T325" t="str">
        <x:v>approved</x:v>
      </x:c>
      <x:c r="U325" t="str">
        <x:v>ridzuan.amajid@petronas.com</x:v>
      </x:c>
      <x:c r="V325" t="n">
        <x:v>46226.2554177662</x:v>
      </x:c>
      <x:c r="W325" t="str">
        <x:v>To decom VM Name vEASOGDPAASDEV3. This VM has been in power off mode since March 2025. Request is made by Ridzuan Majid.</x:v>
      </x:c>
      <x:c r="X325" t="str">
        <x:v>approved</x:v>
      </x:c>
      <x:c r="Y325" t="str">
        <x:v>ridzuan.amajid@petronas.com</x:v>
      </x:c>
      <x:c r="Z325" t="n">
        <x:v>46226.255639490744</x:v>
      </x:c>
      <x:c r="AA325" t="str">
        <x:v>To decom VM Name vEASOGDPAASDEV3. This VM has been in power off mode since March 2025. Request is made by Ridzuan Majid.</x:v>
      </x:c>
      <x:c r="AB325" t="str">
        <x:v>approved</x:v>
      </x:c>
      <x:c r="AC325" t="str">
        <x:v>abhishek.bhowate@petronas.com</x:v>
      </x:c>
      <x:c r="AD325" t="n">
        <x:v>46239.61911313658</x:v>
      </x:c>
      <x:c r="AE325" t="str">
        <x:v>Approved</x:v>
      </x:c>
      <x:c r="AF325"/>
      <x:c r="AG325" t="str">
        <x:v>amarja.kawade@petronas.com</x:v>
      </x:c>
      <x:c r="AH325"/>
      <x:c r="AI325"/>
      <x:c r="AJ325" t="str">
        <x:v>A-000256</x:v>
      </x:c>
      <x:c r="AK325" t="str">
        <x:v>10074_02</x:v>
      </x:c>
      <x:c r="AL325" t="str">
        <x:v>M</x:v>
      </x:c>
      <x:c r="AM325" t="str">
        <x:v>REQ000008222618</x:v>
      </x:c>
      <x:c r="AN325" t="str">
        <x:v>retention</x:v>
      </x:c>
      <x:c r="AO325" t="n">
        <x:v>1</x:v>
      </x:c>
      <x:c r="AP325" s="23" t="n">
        <x:f>IF(E325="processing",IF(Z325="","",IF(ISNUMBER(Z325),INT(Z325),DATE(VALUE(LEFT(Z325,4)),VALUE(MID(Z325,6,2)),VALUE(MID(Z325,9,2))))),IF(OR(E325="executing",E325="pending"),IF(AD325="","",IF(ISNUMBER(AD325),INT(AD325),DATE(VALUE(LEFT(AD325,4)),VALUE(MID(AD325,6,2)),VALUE(MID(AD325,9,2))))),""))</x:f>
        <x:v>46239</x:v>
      </x:c>
      <x:c r="AQ325" s="24" t="n">
        <x:f>IF(AP325="","",INT('Configuration'!$B$4)-AP325)</x:f>
        <x:v>12</x:v>
      </x:c>
      <x:c r="AR325" s="25" t="str">
        <x:f>IF(AP325="","Missing Required Date",IF(AQ325&lt;0,"Future Date",IF(AQ325=0,"0 days",IF(AQ325&lt;=2,"1-2 days",IF(AQ325&lt;=7,"3-7 days",IF(AQ325&lt;=14,"8-14 days",IF(AQ325&lt;=30,"15-30 days",IF(AQ325&lt;=60,"31-60 days",IF(AQ325&lt;=70,"61-70 days","71+ days")))))))))</x:f>
        <x:v>8-14 days</x:v>
      </x:c>
      <x:c r="AS325" s="25" t="str">
        <x:f>IF(OR(E325="processing",E325="executing",E325="pending"),IF(AP325="","Required aging date missing",IF(AQ325&gt;30,"Escalate &gt;30d",IF(AQ325&gt;14,"Watch &gt;14d","Within 14d"))),"Out of scope")</x:f>
        <x:v>Within 14d</x:v>
      </x:c>
    </x:row>
    <x:row r="326" ht="24" customHeight="1">
      <x:c r="A326" t="str">
        <x:v>09a13b2d-57f1-4c56-80f0-ee6ad95971ea</x:v>
      </x:c>
      <x:c r="B326" t="str">
        <x:v>CSSP10327858</x:v>
      </x:c>
      <x:c r="C326" t="str">
        <x:v>ridzuan.amajid@petronas.com</x:v>
      </x:c>
      <x:c r="D326" t="str">
        <x:v>decommission-cloud</x:v>
      </x:c>
      <x:c r="E326" t="str">
        <x:v>executing</x:v>
      </x:c>
      <x:c r="F326" t="n">
        <x:v>46226.26329134259</x:v>
      </x:c>
      <x:c r="G326" t="n">
        <x:v>46233.104649583336</x:v>
      </x:c>
      <x:c r="H326" t="n">
        <x:v>46226.26329134259</x:v>
      </x:c>
      <x:c r="I326" t="str">
        <x:v>Data Logger ODM with OSISoft PI System</x:v>
      </x:c>
      <x:c r="J326" t="str">
        <x:v>Data Logger ODM with OSISoft PI System created for PRIVATECLOUD project record</x:v>
      </x:c>
      <x:c r="K326" t="str">
        <x:v>partial</x:v>
      </x:c>
      <x:c r="L326"/>
      <x:c r="M326" t="str">
        <x:v>ridzuan.amajid@petronas.com</x:v>
      </x:c>
      <x:c r="N326"/>
      <x:c r="O326"/>
      <x:c r="P326" t="str">
        <x:v>To decom VM Name PFK204logger. This VM has been in power off mode since March 2025. Request is made by Ridzuan Majid.</x:v>
      </x:c>
      <x:c r="Q326" t="str">
        <x:v>12M</x:v>
      </x:c>
      <x:c r="R326" t="str">
        <x:v>Not in Used</x:v>
      </x:c>
      <x:c r="S326"/>
      <x:c r="T326" t="str">
        <x:v>approved</x:v>
      </x:c>
      <x:c r="U326" t="str">
        <x:v>ridzuan.amajid@petronas.com</x:v>
      </x:c>
      <x:c r="V326" t="n">
        <x:v>46226.26364355324</x:v>
      </x:c>
      <x:c r="W326" t="str">
        <x:v>To decom VM Name PFK204logger. This VM has been in power off mode since March 2025. Request is made by Ridzuan Majid.</x:v>
      </x:c>
      <x:c r="X326" t="str">
        <x:v>approved</x:v>
      </x:c>
      <x:c r="Y326" t="str">
        <x:v>ridzuan.amajid@petronas.com</x:v>
      </x:c>
      <x:c r="Z326" t="n">
        <x:v>46226.263817962965</x:v>
      </x:c>
      <x:c r="AA326" t="str">
        <x:v>To decom VM Name PFK204logger. This VM has been in power off mode since March 2025. Request is made by Ridzuan Majid.</x:v>
      </x:c>
      <x:c r="AB326" t="str">
        <x:v>approved</x:v>
      </x:c>
      <x:c r="AC326" t="str">
        <x:v>abhishek.bhowate@petronas.com</x:v>
      </x:c>
      <x:c r="AD326" t="n">
        <x:v>46233.104649594905</x:v>
      </x:c>
      <x:c r="AE326" t="str">
        <x:v>approve</x:v>
      </x:c>
      <x:c r="AF326"/>
      <x:c r="AG326" t="str">
        <x:v>amarja.kawade@petronas.com</x:v>
      </x:c>
      <x:c r="AH326"/>
      <x:c r="AI326"/>
      <x:c r="AJ326" t="str">
        <x:v>A-000513</x:v>
      </x:c>
      <x:c r="AK326" t="n">
        <x:v>10124</x:v>
      </x:c>
      <x:c r="AL326" t="str">
        <x:v>M</x:v>
      </x:c>
      <x:c r="AM326" t="str">
        <x:v>REQ000008203314</x:v>
      </x:c>
      <x:c r="AN326" t="str">
        <x:v>retention</x:v>
      </x:c>
      <x:c r="AO326" t="n">
        <x:v>1</x:v>
      </x:c>
      <x:c r="AP326" s="23" t="n">
        <x:f>IF(E326="processing",IF(Z326="","",IF(ISNUMBER(Z326),INT(Z326),DATE(VALUE(LEFT(Z326,4)),VALUE(MID(Z326,6,2)),VALUE(MID(Z326,9,2))))),IF(OR(E326="executing",E326="pending"),IF(AD326="","",IF(ISNUMBER(AD326),INT(AD326),DATE(VALUE(LEFT(AD326,4)),VALUE(MID(AD326,6,2)),VALUE(MID(AD326,9,2))))),""))</x:f>
        <x:v>46233</x:v>
      </x:c>
      <x:c r="AQ326" s="24" t="n">
        <x:f>IF(AP326="","",INT('Configuration'!$B$4)-AP326)</x:f>
        <x:v>18</x:v>
      </x:c>
      <x:c r="AR326" s="25" t="str">
        <x:f>IF(AP326="","Missing Required Date",IF(AQ326&lt;0,"Future Date",IF(AQ326=0,"0 days",IF(AQ326&lt;=2,"1-2 days",IF(AQ326&lt;=7,"3-7 days",IF(AQ326&lt;=14,"8-14 days",IF(AQ326&lt;=30,"15-30 days",IF(AQ326&lt;=60,"31-60 days",IF(AQ326&lt;=70,"61-70 days","71+ days")))))))))</x:f>
        <x:v>15-30 days</x:v>
      </x:c>
      <x:c r="AS326" s="25" t="str">
        <x:f>IF(OR(E326="processing",E326="executing",E326="pending"),IF(AP326="","Required aging date missing",IF(AQ326&gt;30,"Escalate &gt;30d",IF(AQ326&gt;14,"Watch &gt;14d","Within 14d"))),"Out of scope")</x:f>
        <x:v>Watch &gt;14d</x:v>
      </x:c>
    </x:row>
    <x:row r="327" ht="24" customHeight="1">
      <x:c r="A327" t="str">
        <x:v>d1eba89a-1acb-499f-b73a-0ce8ffafa252</x:v>
      </x:c>
      <x:c r="B327" t="str">
        <x:v>CSSP10140378</x:v>
      </x:c>
      <x:c r="C327" t="str">
        <x:v>ridzuan.amajid@petronas.com</x:v>
      </x:c>
      <x:c r="D327" t="str">
        <x:v>decommission-cloud</x:v>
      </x:c>
      <x:c r="E327" t="str">
        <x:v>executing</x:v>
      </x:c>
      <x:c r="F327" t="n">
        <x:v>46226.26594484954</x:v>
      </x:c>
      <x:c r="G327" t="n">
        <x:v>46233.10419603009</x:v>
      </x:c>
      <x:c r="H327" t="n">
        <x:v>46226.26594484954</x:v>
      </x:c>
      <x:c r="I327" t="str">
        <x:v>Plant Information - PI PCFK</x:v>
      </x:c>
      <x:c r="J327" t="str">
        <x:v>Plant Information - PI PCFK created for PRIVATECLOUD project record</x:v>
      </x:c>
      <x:c r="K327" t="str">
        <x:v>partial</x:v>
      </x:c>
      <x:c r="L327"/>
      <x:c r="M327" t="str">
        <x:v>ridzuan.amajid@petronas.com</x:v>
      </x:c>
      <x:c r="N327"/>
      <x:c r="O327"/>
      <x:c r="P327" t="str">
        <x:v>To decom VM Name PIMS-ServerC-Old. This VM has been in power off mode since March 2025. Request is made by Ridzuan Majid.</x:v>
      </x:c>
      <x:c r="Q327" t="str">
        <x:v>12M</x:v>
      </x:c>
      <x:c r="R327" t="str">
        <x:v>Not in Used</x:v>
      </x:c>
      <x:c r="S327"/>
      <x:c r="T327" t="str">
        <x:v>approved</x:v>
      </x:c>
      <x:c r="U327" t="str">
        <x:v>ridzuan.amajid@petronas.com</x:v>
      </x:c>
      <x:c r="V327" t="n">
        <x:v>46226.26630364583</x:v>
      </x:c>
      <x:c r="W327" t="str">
        <x:v>To decom VM Name PIMS-ServerC-Old. This VM has been in power off mode since March 2025. Request is made by Ridzuan Majid.</x:v>
      </x:c>
      <x:c r="X327" t="str">
        <x:v>approved</x:v>
      </x:c>
      <x:c r="Y327" t="str">
        <x:v>ridzuan.amajid@petronas.com</x:v>
      </x:c>
      <x:c r="Z327" t="n">
        <x:v>46226.26647515046</x:v>
      </x:c>
      <x:c r="AA327" t="str">
        <x:v>To decom VM Name PIMS-ServerC-Old. This VM has been in power off mode since March 2025. Request is made by Ridzuan Majid.</x:v>
      </x:c>
      <x:c r="AB327" t="str">
        <x:v>approved</x:v>
      </x:c>
      <x:c r="AC327" t="str">
        <x:v>abhishek.bhowate@petronas.com</x:v>
      </x:c>
      <x:c r="AD327" t="n">
        <x:v>46233.10419604167</x:v>
      </x:c>
      <x:c r="AE327" t="str">
        <x:v>approve</x:v>
      </x:c>
      <x:c r="AF327"/>
      <x:c r="AG327" t="str">
        <x:v>swaminadh.chirakala@petronas.com</x:v>
      </x:c>
      <x:c r="AH327"/>
      <x:c r="AI327"/>
      <x:c r="AJ327" t="str">
        <x:v>A-000583</x:v>
      </x:c>
      <x:c r="AK327" t="str">
        <x:v>10135_07</x:v>
      </x:c>
      <x:c r="AL327" t="str">
        <x:v>M</x:v>
      </x:c>
      <x:c r="AM327" t="str">
        <x:v>REQ000008203406</x:v>
      </x:c>
      <x:c r="AN327" t="str">
        <x:v>retention</x:v>
      </x:c>
      <x:c r="AO327" t="n">
        <x:v>1</x:v>
      </x:c>
      <x:c r="AP327" s="23" t="n">
        <x:f>IF(E327="processing",IF(Z327="","",IF(ISNUMBER(Z327),INT(Z327),DATE(VALUE(LEFT(Z327,4)),VALUE(MID(Z327,6,2)),VALUE(MID(Z327,9,2))))),IF(OR(E327="executing",E327="pending"),IF(AD327="","",IF(ISNUMBER(AD327),INT(AD327),DATE(VALUE(LEFT(AD327,4)),VALUE(MID(AD327,6,2)),VALUE(MID(AD327,9,2))))),""))</x:f>
        <x:v>46233</x:v>
      </x:c>
      <x:c r="AQ327" s="24" t="n">
        <x:f>IF(AP327="","",INT('Configuration'!$B$4)-AP327)</x:f>
        <x:v>18</x:v>
      </x:c>
      <x:c r="AR327" s="25" t="str">
        <x:f>IF(AP327="","Missing Required Date",IF(AQ327&lt;0,"Future Date",IF(AQ327=0,"0 days",IF(AQ327&lt;=2,"1-2 days",IF(AQ327&lt;=7,"3-7 days",IF(AQ327&lt;=14,"8-14 days",IF(AQ327&lt;=30,"15-30 days",IF(AQ327&lt;=60,"31-60 days",IF(AQ327&lt;=70,"61-70 days","71+ days")))))))))</x:f>
        <x:v>15-30 days</x:v>
      </x:c>
      <x:c r="AS327" s="25" t="str">
        <x:f>IF(OR(E327="processing",E327="executing",E327="pending"),IF(AP327="","Required aging date missing",IF(AQ327&gt;30,"Escalate &gt;30d",IF(AQ327&gt;14,"Watch &gt;14d","Within 14d"))),"Out of scope")</x:f>
        <x:v>Watch &gt;14d</x:v>
      </x:c>
    </x:row>
    <x:row r="328" ht="24" customHeight="1">
      <x:c r="A328" t="str">
        <x:v>b1be6232-c889-4b62-a0b9-775892649d74</x:v>
      </x:c>
      <x:c r="B328" t="str">
        <x:v>CSSP10910215</x:v>
      </x:c>
      <x:c r="C328" t="str">
        <x:v>ridzuan.amajid@petronas.com</x:v>
      </x:c>
      <x:c r="D328" t="str">
        <x:v>decommission-cloud</x:v>
      </x:c>
      <x:c r="E328" t="str">
        <x:v>executing</x:v>
      </x:c>
      <x:c r="F328" t="n">
        <x:v>46226.269127604166</x:v>
      </x:c>
      <x:c r="G328" t="n">
        <x:v>46239.618911516205</x:v>
      </x:c>
      <x:c r="H328" t="n">
        <x:v>46226.269127604166</x:v>
      </x:c>
      <x:c r="I328" t="str">
        <x:v>Alarm Management System - AMS Machinery Manager PCFK</x:v>
      </x:c>
      <x:c r="J328" t="str">
        <x:v>Alarm Management System - AMS Machinery Manager PCFK created for PRIVATECLOUD project record</x:v>
      </x:c>
      <x:c r="K328" t="str">
        <x:v>partial</x:v>
      </x:c>
      <x:c r="L328"/>
      <x:c r="M328" t="str">
        <x:v>ridzuan.amajid@petronas.com</x:v>
      </x:c>
      <x:c r="N328"/>
      <x:c r="O328"/>
      <x:c r="P328" t="str">
        <x:v>To decom VM Name AMS-SERVER. This VM has been in power off mode since March 2025. Request is made by Ridzuan Majid.</x:v>
      </x:c>
      <x:c r="Q328" t="str">
        <x:v>12M</x:v>
      </x:c>
      <x:c r="R328" t="str">
        <x:v>Not in Used</x:v>
      </x:c>
      <x:c r="S328"/>
      <x:c r="T328" t="str">
        <x:v>approved</x:v>
      </x:c>
      <x:c r="U328" t="str">
        <x:v>ridzuan.amajid@petronas.com</x:v>
      </x:c>
      <x:c r="V328" t="n">
        <x:v>46226.269881643515</x:v>
      </x:c>
      <x:c r="W328" t="str">
        <x:v>To decom VM Name AMS-SERVER. This VM has been in power off mode since March 2025. Request is made by Ridzuan Majid.</x:v>
      </x:c>
      <x:c r="X328" t="str">
        <x:v>approved</x:v>
      </x:c>
      <x:c r="Y328" t="str">
        <x:v>ridzuan.amajid@petronas.com</x:v>
      </x:c>
      <x:c r="Z328" t="n">
        <x:v>46226.2700574537</x:v>
      </x:c>
      <x:c r="AA328" t="str">
        <x:v>To decom VM Name AMS-SERVER. This VM has been in power off mode since March 2025. Request is made by Ridzuan Majid.</x:v>
      </x:c>
      <x:c r="AB328" t="str">
        <x:v>approved</x:v>
      </x:c>
      <x:c r="AC328" t="str">
        <x:v>abhishek.bhowate@petronas.com</x:v>
      </x:c>
      <x:c r="AD328" t="n">
        <x:v>46239.61891153935</x:v>
      </x:c>
      <x:c r="AE328" t="str">
        <x:v>approved</x:v>
      </x:c>
      <x:c r="AF328"/>
      <x:c r="AG328" t="str">
        <x:v>amarja.kawade@petronas.com</x:v>
      </x:c>
      <x:c r="AH328"/>
      <x:c r="AI328"/>
      <x:c r="AJ328" t="str">
        <x:v>A-000052</x:v>
      </x:c>
      <x:c r="AK328" t="str">
        <x:v>10020_03</x:v>
      </x:c>
      <x:c r="AL328" t="str">
        <x:v>M</x:v>
      </x:c>
      <x:c r="AM328" t="str">
        <x:v>REQ000008222617</x:v>
      </x:c>
      <x:c r="AN328" t="str">
        <x:v>retention</x:v>
      </x:c>
      <x:c r="AO328" t="n">
        <x:v>1</x:v>
      </x:c>
      <x:c r="AP328" s="23" t="n">
        <x:f>IF(E328="processing",IF(Z328="","",IF(ISNUMBER(Z328),INT(Z328),DATE(VALUE(LEFT(Z328,4)),VALUE(MID(Z328,6,2)),VALUE(MID(Z328,9,2))))),IF(OR(E328="executing",E328="pending"),IF(AD328="","",IF(ISNUMBER(AD328),INT(AD328),DATE(VALUE(LEFT(AD328,4)),VALUE(MID(AD328,6,2)),VALUE(MID(AD328,9,2))))),""))</x:f>
        <x:v>46239</x:v>
      </x:c>
      <x:c r="AQ328" s="24" t="n">
        <x:f>IF(AP328="","",INT('Configuration'!$B$4)-AP328)</x:f>
        <x:v>12</x:v>
      </x:c>
      <x:c r="AR328" s="25" t="str">
        <x:f>IF(AP328="","Missing Required Date",IF(AQ328&lt;0,"Future Date",IF(AQ328=0,"0 days",IF(AQ328&lt;=2,"1-2 days",IF(AQ328&lt;=7,"3-7 days",IF(AQ328&lt;=14,"8-14 days",IF(AQ328&lt;=30,"15-30 days",IF(AQ328&lt;=60,"31-60 days",IF(AQ328&lt;=70,"61-70 days","71+ days")))))))))</x:f>
        <x:v>8-14 days</x:v>
      </x:c>
      <x:c r="AS328" s="25" t="str">
        <x:f>IF(OR(E328="processing",E328="executing",E328="pending"),IF(AP328="","Required aging date missing",IF(AQ328&gt;30,"Escalate &gt;30d",IF(AQ328&gt;14,"Watch &gt;14d","Within 14d"))),"Out of scope")</x:f>
        <x:v>Within 14d</x:v>
      </x:c>
    </x:row>
    <x:row r="329" ht="24" customHeight="1">
      <x:c r="A329" t="str">
        <x:v>9bc01dca-4582-415b-8986-3036db13d0a1</x:v>
      </x:c>
      <x:c r="B329" t="str">
        <x:v>CSSP10191098</x:v>
      </x:c>
      <x:c r="C329" t="str">
        <x:v>ridzuan.amajid@petronas.com</x:v>
      </x:c>
      <x:c r="D329" t="str">
        <x:v>decommission-cloud</x:v>
      </x:c>
      <x:c r="E329" t="str">
        <x:v>executing</x:v>
      </x:c>
      <x:c r="F329" t="n">
        <x:v>46226.29349476852</x:v>
      </x:c>
      <x:c r="G329" t="n">
        <x:v>46233.10394584491</x:v>
      </x:c>
      <x:c r="H329" t="n">
        <x:v>46226.29349478009</x:v>
      </x:c>
      <x:c r="I329" t="str">
        <x:v>PETRONAS Engineering Data Management System - P-EDMS PCASB</x:v>
      </x:c>
      <x:c r="J329" t="str">
        <x:v>PETRONAS Engineering Data Management System - P-EDMS PCASB created for PRIVATECLOUD project record</x:v>
      </x:c>
      <x:c r="K329" t="str">
        <x:v>partial</x:v>
      </x:c>
      <x:c r="L329"/>
      <x:c r="M329" t="str">
        <x:v>ridzuan.amajid@petronas.com</x:v>
      </x:c>
      <x:c r="N329"/>
      <x:c r="O329"/>
      <x:c r="P329" t="str">
        <x:v>To decom VM Name PASB1662D3D. This VM has been in power off mode since March 2025. Request is made by Ridzuan Majid.</x:v>
      </x:c>
      <x:c r="Q329" t="str">
        <x:v>12M</x:v>
      </x:c>
      <x:c r="R329" t="str">
        <x:v>Not in Used</x:v>
      </x:c>
      <x:c r="S329"/>
      <x:c r="T329" t="str">
        <x:v>approved</x:v>
      </x:c>
      <x:c r="U329" t="str">
        <x:v>ridzuan.amajid@petronas.com</x:v>
      </x:c>
      <x:c r="V329" t="n">
        <x:v>46226.297026631946</x:v>
      </x:c>
      <x:c r="W329" t="str">
        <x:v>To decom VM Name PASB1662D3D. This VM has been in power off mode since March 2025. Request is made by Ridzuan Majid.</x:v>
      </x:c>
      <x:c r="X329" t="str">
        <x:v>approved</x:v>
      </x:c>
      <x:c r="Y329" t="str">
        <x:v>ridzuan.amajid@petronas.com</x:v>
      </x:c>
      <x:c r="Z329" t="n">
        <x:v>46226.2973537037</x:v>
      </x:c>
      <x:c r="AA329" t="str">
        <x:v>To decom VM Name PASB1662D3D. This VM has been in power off mode since March 2025. Request is made by Ridzuan Majid.</x:v>
      </x:c>
      <x:c r="AB329" t="str">
        <x:v>approved</x:v>
      </x:c>
      <x:c r="AC329" t="str">
        <x:v>abhishek.bhowate@petronas.com</x:v>
      </x:c>
      <x:c r="AD329" t="n">
        <x:v>46233.103945856485</x:v>
      </x:c>
      <x:c r="AE329" t="str">
        <x:v>approve</x:v>
      </x:c>
      <x:c r="AF329"/>
      <x:c r="AG329" t="str">
        <x:v>swaminadh.chirakala@petronas.com</x:v>
      </x:c>
      <x:c r="AH329"/>
      <x:c r="AI329"/>
      <x:c r="AJ329" t="str">
        <x:v>A-000553</x:v>
      </x:c>
      <x:c r="AK329" t="n">
        <x:v>10224</x:v>
      </x:c>
      <x:c r="AL329" t="str">
        <x:v>M</x:v>
      </x:c>
      <x:c r="AM329" t="str">
        <x:v>REQ000008203312</x:v>
      </x:c>
      <x:c r="AN329" t="str">
        <x:v>retention</x:v>
      </x:c>
      <x:c r="AO329" t="n">
        <x:v>1</x:v>
      </x:c>
      <x:c r="AP329" s="23" t="n">
        <x:f>IF(E329="processing",IF(Z329="","",IF(ISNUMBER(Z329),INT(Z329),DATE(VALUE(LEFT(Z329,4)),VALUE(MID(Z329,6,2)),VALUE(MID(Z329,9,2))))),IF(OR(E329="executing",E329="pending"),IF(AD329="","",IF(ISNUMBER(AD329),INT(AD329),DATE(VALUE(LEFT(AD329,4)),VALUE(MID(AD329,6,2)),VALUE(MID(AD329,9,2))))),""))</x:f>
        <x:v>46233</x:v>
      </x:c>
      <x:c r="AQ329" s="24" t="n">
        <x:f>IF(AP329="","",INT('Configuration'!$B$4)-AP329)</x:f>
        <x:v>18</x:v>
      </x:c>
      <x:c r="AR329" s="25" t="str">
        <x:f>IF(AP329="","Missing Required Date",IF(AQ329&lt;0,"Future Date",IF(AQ329=0,"0 days",IF(AQ329&lt;=2,"1-2 days",IF(AQ329&lt;=7,"3-7 days",IF(AQ329&lt;=14,"8-14 days",IF(AQ329&lt;=30,"15-30 days",IF(AQ329&lt;=60,"31-60 days",IF(AQ329&lt;=70,"61-70 days","71+ days")))))))))</x:f>
        <x:v>15-30 days</x:v>
      </x:c>
      <x:c r="AS329" s="25" t="str">
        <x:f>IF(OR(E329="processing",E329="executing",E329="pending"),IF(AP329="","Required aging date missing",IF(AQ329&gt;30,"Escalate &gt;30d",IF(AQ329&gt;14,"Watch &gt;14d","Within 14d"))),"Out of scope")</x:f>
        <x:v>Watch &gt;14d</x:v>
      </x:c>
    </x:row>
    <x:row r="330" ht="24" customHeight="1">
      <x:c r="A330" t="str">
        <x:v>bdcede47-35ff-4613-83e4-de3b3146cf82</x:v>
      </x:c>
      <x:c r="B330" t="str">
        <x:v>CSSP10777447</x:v>
      </x:c>
      <x:c r="C330" t="str">
        <x:v>ridzuan.amajid@petronas.com</x:v>
      </x:c>
      <x:c r="D330" t="str">
        <x:v>decommission-cloud</x:v>
      </x:c>
      <x:c r="E330" t="str">
        <x:v>executing</x:v>
      </x:c>
      <x:c r="F330" t="n">
        <x:v>46226.29522496528</x:v>
      </x:c>
      <x:c r="G330" t="n">
        <x:v>46239.617916550924</x:v>
      </x:c>
      <x:c r="H330" t="n">
        <x:v>46226.29522496528</x:v>
      </x:c>
      <x:c r="I330" t="str">
        <x:v>Print Server PCGB</x:v>
      </x:c>
      <x:c r="J330" t="str">
        <x:v>Print Server PCGB created for PRIVATECLOUD project record</x:v>
      </x:c>
      <x:c r="K330" t="str">
        <x:v>partial</x:v>
      </x:c>
      <x:c r="L330"/>
      <x:c r="M330" t="str">
        <x:v>ridzuan.amajid@petronas.com</x:v>
      </x:c>
      <x:c r="N330"/>
      <x:c r="O330"/>
      <x:c r="P330" t="str">
        <x:v>To decom VM Name EAS166-INFPS-01. This VM has been in power off mode since March 2025. Request is made by Ridzuan Majid.</x:v>
      </x:c>
      <x:c r="Q330" t="str">
        <x:v>12M</x:v>
      </x:c>
      <x:c r="R330" t="str">
        <x:v>Not in Used</x:v>
      </x:c>
      <x:c r="S330"/>
      <x:c r="T330" t="str">
        <x:v>approved</x:v>
      </x:c>
      <x:c r="U330" t="str">
        <x:v>ridzuan.amajid@petronas.com</x:v>
      </x:c>
      <x:c r="V330" t="n">
        <x:v>46226.29762722222</x:v>
      </x:c>
      <x:c r="W330" t="str">
        <x:v>To decom VM Name EAS166-INFPS-01. This VM has been in power off mode since March 2025. Request is made by Ridzuan Majid.</x:v>
      </x:c>
      <x:c r="X330" t="str">
        <x:v>approved</x:v>
      </x:c>
      <x:c r="Y330" t="str">
        <x:v>ridzuan.amajid@petronas.com</x:v>
      </x:c>
      <x:c r="Z330" t="n">
        <x:v>46226.29808150463</x:v>
      </x:c>
      <x:c r="AA330" t="str">
        <x:v>To decom VM Name EAS166-INFPS-01. This VM has been in power off mode since March 2025. Request is made by Ridzuan Majid.</x:v>
      </x:c>
      <x:c r="AB330" t="str">
        <x:v>approved</x:v>
      </x:c>
      <x:c r="AC330" t="str">
        <x:v>abhishek.bhowate@petronas.com</x:v>
      </x:c>
      <x:c r="AD330" t="n">
        <x:v>46239.6179165625</x:v>
      </x:c>
      <x:c r="AE330" t="str">
        <x:v>approve</x:v>
      </x:c>
      <x:c r="AF330"/>
      <x:c r="AG330" t="str">
        <x:v>amarja.kawade@petronas.com</x:v>
      </x:c>
      <x:c r="AH330"/>
      <x:c r="AI330"/>
      <x:c r="AJ330" t="str">
        <x:v>A-000660</x:v>
      </x:c>
      <x:c r="AK330" t="str">
        <x:v>10161_01</x:v>
      </x:c>
      <x:c r="AL330" t="str">
        <x:v>M</x:v>
      </x:c>
      <x:c r="AM330" t="str">
        <x:v>REQ000008222177</x:v>
      </x:c>
      <x:c r="AN330" t="str">
        <x:v>retention</x:v>
      </x:c>
      <x:c r="AO330" t="n">
        <x:v>1</x:v>
      </x:c>
      <x:c r="AP330" s="23" t="n">
        <x:f>IF(E330="processing",IF(Z330="","",IF(ISNUMBER(Z330),INT(Z330),DATE(VALUE(LEFT(Z330,4)),VALUE(MID(Z330,6,2)),VALUE(MID(Z330,9,2))))),IF(OR(E330="executing",E330="pending"),IF(AD330="","",IF(ISNUMBER(AD330),INT(AD330),DATE(VALUE(LEFT(AD330,4)),VALUE(MID(AD330,6,2)),VALUE(MID(AD330,9,2))))),""))</x:f>
        <x:v>46239</x:v>
      </x:c>
      <x:c r="AQ330" s="24" t="n">
        <x:f>IF(AP330="","",INT('Configuration'!$B$4)-AP330)</x:f>
        <x:v>12</x:v>
      </x:c>
      <x:c r="AR330" s="25" t="str">
        <x:f>IF(AP330="","Missing Required Date",IF(AQ330&lt;0,"Future Date",IF(AQ330=0,"0 days",IF(AQ330&lt;=2,"1-2 days",IF(AQ330&lt;=7,"3-7 days",IF(AQ330&lt;=14,"8-14 days",IF(AQ330&lt;=30,"15-30 days",IF(AQ330&lt;=60,"31-60 days",IF(AQ330&lt;=70,"61-70 days","71+ days")))))))))</x:f>
        <x:v>8-14 days</x:v>
      </x:c>
      <x:c r="AS330" s="25" t="str">
        <x:f>IF(OR(E330="processing",E330="executing",E330="pending"),IF(AP330="","Required aging date missing",IF(AQ330&gt;30,"Escalate &gt;30d",IF(AQ330&gt;14,"Watch &gt;14d","Within 14d"))),"Out of scope")</x:f>
        <x:v>Within 14d</x:v>
      </x:c>
    </x:row>
    <x:row r="331" ht="24" customHeight="1">
      <x:c r="A331" t="str">
        <x:v>3d5af0a1-8e44-4af1-b2d2-07ebcea5a843</x:v>
      </x:c>
      <x:c r="B331" t="str">
        <x:v>CSSP10810098</x:v>
      </x:c>
      <x:c r="C331" t="str">
        <x:v>ridzuan.amajid@petronas.com</x:v>
      </x:c>
      <x:c r="D331" t="str">
        <x:v>decommission-cloud</x:v>
      </x:c>
      <x:c r="E331" t="str">
        <x:v>rejected</x:v>
      </x:c>
      <x:c r="F331" t="n">
        <x:v>46226.40467912037</x:v>
      </x:c>
      <x:c r="G331" t="n">
        <x:v>46244.08709327546</x:v>
      </x:c>
      <x:c r="H331" t="n">
        <x:v>46226.40467912037</x:v>
      </x:c>
      <x:c r="I331" t="str">
        <x:v>Enterprise Content Management System - ECMS CENTERA</x:v>
      </x:c>
      <x:c r="J331" t="str">
        <x:v>Enterprise Content Management System - ECMS CENTERA created for PRIVATECLOUD project record</x:v>
      </x:c>
      <x:c r="K331" t="str">
        <x:v>partial</x:v>
      </x:c>
      <x:c r="L331"/>
      <x:c r="M331" t="str">
        <x:v>ridzuan.amajid@petronas.com</x:v>
      </x:c>
      <x:c r="N331"/>
      <x:c r="O331"/>
      <x:c r="P331" t="str">
        <x:v>To decom VM Name vSKOPCSBECMAP01. This VM has been in power off mode since March 2025. Request is made by Ridzuan Majid.</x:v>
      </x:c>
      <x:c r="Q331" t="str">
        <x:v>12M</x:v>
      </x:c>
      <x:c r="R331" t="str">
        <x:v>Not in Used</x:v>
      </x:c>
      <x:c r="S331"/>
      <x:c r="T331" t="str">
        <x:v>approved</x:v>
      </x:c>
      <x:c r="U331" t="str">
        <x:v>ridzuan.amajid@petronas.com</x:v>
      </x:c>
      <x:c r="V331" t="n">
        <x:v>46226.40576391204</x:v>
      </x:c>
      <x:c r="W331" t="str">
        <x:v>To decom VM Name vSKOPCSBECMAP01. This VM has been in power off mode since March 2025. Request is made by Ridzuan Majid.</x:v>
      </x:c>
      <x:c r="X331" t="str">
        <x:v>approved</x:v>
      </x:c>
      <x:c r="Y331" t="str">
        <x:v>ridzuan.amajid@petronas.com</x:v>
      </x:c>
      <x:c r="Z331" t="n">
        <x:v>46226.406003344906</x:v>
      </x:c>
      <x:c r="AA331" t="str">
        <x:v>To decom VM Name vSKOPCSBECMAP01. This VM has been in power off mode since March 2025. Request is made by Ridzuan Majid.</x:v>
      </x:c>
      <x:c r="AB331" t="str">
        <x:v>rejected</x:v>
      </x:c>
      <x:c r="AC331" t="str">
        <x:v>samsuddin.jumbri@petronas.com</x:v>
      </x:c>
      <x:c r="AD331" t="n">
        <x:v>46244.08709327546</x:v>
      </x:c>
      <x:c r="AE331" t="str">
        <x:v>Requestor and Manager/Approver cannot be the same person. Please assign a different authorized approver and resubmit the request.</x:v>
      </x:c>
      <x:c r="AF331"/>
      <x:c r="AG331" t="str">
        <x:v>IMS - CLOUD CSSP EXECUTOR</x:v>
      </x:c>
      <x:c r="AH331"/>
      <x:c r="AI331"/>
      <x:c r="AJ331" t="str">
        <x:v>A-000261</x:v>
      </x:c>
      <x:c r="AK331" t="n">
        <x:v>10076</x:v>
      </x:c>
      <x:c r="AL331"/>
      <x:c r="AM331"/>
      <x:c r="AN331" t="str">
        <x:v>retention</x:v>
      </x:c>
      <x:c r="AO331" t="n">
        <x:v>1</x:v>
      </x:c>
      <x:c r="AP331" s="23" t="str">
        <x:f>IF(E331="processing",IF(Z331="","",IF(ISNUMBER(Z331),INT(Z331),DATE(VALUE(LEFT(Z331,4)),VALUE(MID(Z331,6,2)),VALUE(MID(Z331,9,2))))),IF(OR(E331="executing",E331="pending"),IF(AD331="","",IF(ISNUMBER(AD331),INT(AD331),DATE(VALUE(LEFT(AD331,4)),VALUE(MID(AD331,6,2)),VALUE(MID(AD331,9,2))))),""))</x:f>
      </x:c>
      <x:c r="AQ331" s="24" t="str">
        <x:f>IF(AP331="","",INT('Configuration'!$B$4)-AP331)</x:f>
      </x:c>
      <x:c r="AR331" s="25" t="str">
        <x:f>IF(AP331="","Missing Required Date",IF(AQ331&lt;0,"Future Date",IF(AQ331=0,"0 days",IF(AQ331&lt;=2,"1-2 days",IF(AQ331&lt;=7,"3-7 days",IF(AQ331&lt;=14,"8-14 days",IF(AQ331&lt;=30,"15-30 days",IF(AQ331&lt;=60,"31-60 days",IF(AQ331&lt;=70,"61-70 days","71+ days")))))))))</x:f>
        <x:v>Missing Required Date</x:v>
      </x:c>
      <x:c r="AS331" s="25" t="str">
        <x:f>IF(OR(E331="processing",E331="executing",E331="pending"),IF(AP331="","Required aging date missing",IF(AQ331&gt;30,"Escalate &gt;30d",IF(AQ331&gt;14,"Watch &gt;14d","Within 14d"))),"Out of scope")</x:f>
        <x:v>Out of scope</x:v>
      </x:c>
    </x:row>
    <x:row r="332" ht="24" customHeight="1">
      <x:c r="A332" t="str">
        <x:v>5a35cb7b-7bfc-489e-aa86-3c58d9824243</x:v>
      </x:c>
      <x:c r="B332" t="str">
        <x:v>CSSP10949785</x:v>
      </x:c>
      <x:c r="C332" t="str">
        <x:v>mzurfaiezzuddin.zur@petronas.com</x:v>
      </x:c>
      <x:c r="D332" t="str">
        <x:v>decommission-cloud</x:v>
      </x:c>
      <x:c r="E332" t="str">
        <x:v>executing</x:v>
      </x:c>
      <x:c r="F332" t="n">
        <x:v>46227.27499542824</x:v>
      </x:c>
      <x:c r="G332" t="n">
        <x:v>46231.203670787036</x:v>
      </x:c>
      <x:c r="H332" t="n">
        <x:v>46227.27499542824</x:v>
      </x:c>
      <x:c r="I332" t="str">
        <x:v>Jawatan Kuasa Zon Ekonomi Eksklusif - e-JKZEE</x:v>
      </x:c>
      <x:c r="J332" t="str">
        <x:v>Implementation of e-JKZEE (Jawatan Kuasa Zon Ekonomi Eksklusif) System for MPM</x:v>
      </x:c>
      <x:c r="K332" t="str">
        <x:v>partial</x:v>
      </x:c>
      <x:c r="L332"/>
      <x:c r="M332" t="str">
        <x:v>sazali.mokhtar@petronas.com</x:v>
      </x:c>
      <x:c r="N332"/>
      <x:c r="O332"/>
      <x:c r="P332" t="str">
        <x:v>Cloud Repatriation - To decommission old resources in Singapore region due to completed migration in MY region</x:v>
      </x:c>
      <x:c r="Q332" t="str">
        <x:v>2W</x:v>
      </x:c>
      <x:c r="R332" t="str">
        <x:v>Cloud Migration</x:v>
      </x:c>
      <x:c r="S332"/>
      <x:c r="T332" t="str">
        <x:v>approved</x:v>
      </x:c>
      <x:c r="U332" t="str">
        <x:v>mzurfaiezzuddin.zur@petronas.com</x:v>
      </x:c>
      <x:c r="V332" t="n">
        <x:v>46227.275602152775</x:v>
      </x:c>
      <x:c r="W332" t="str">
        <x:v>Cloud Repatriation - To decommission old resources in Singapore region due to completed migration in MY region</x:v>
      </x:c>
      <x:c r="X332" t="str">
        <x:v>approved</x:v>
      </x:c>
      <x:c r="Y332" t="str">
        <x:v>sazali.mokhtar@petronas.com</x:v>
      </x:c>
      <x:c r="Z332" t="n">
        <x:v>46230.11341295139</x:v>
      </x:c>
      <x:c r="AA332" t="str">
        <x:v>Cloud Repatriation – Decommissioning legacy resources hosted in the Singapore region</x:v>
      </x:c>
      <x:c r="AB332" t="str">
        <x:v>approved</x:v>
      </x:c>
      <x:c r="AC332" t="str">
        <x:v>abhishek.bhowate@petronas.com</x:v>
      </x:c>
      <x:c r="AD332" t="n">
        <x:v>46231.203670787036</x:v>
      </x:c>
      <x:c r="AE332" t="str">
        <x:v>Approve</x:v>
      </x:c>
      <x:c r="AF332"/>
      <x:c r="AG332" t="str">
        <x:v>swaminadh.chirakala@petronas.com</x:v>
      </x:c>
      <x:c r="AH332"/>
      <x:c r="AI332"/>
      <x:c r="AJ332" t="str">
        <x:v>A-000274</x:v>
      </x:c>
      <x:c r="AK332" t="str">
        <x:v>PSR05765</x:v>
      </x:c>
      <x:c r="AL332" t="str">
        <x:v>L</x:v>
      </x:c>
      <x:c r="AM332" t="str">
        <x:v>REQ000008198552</x:v>
      </x:c>
      <x:c r="AN332" t="str">
        <x:v>noretention</x:v>
      </x:c>
      <x:c r="AO332" t="n">
        <x:v>0</x:v>
      </x:c>
      <x:c r="AP332" s="23" t="n">
        <x:f>IF(E332="processing",IF(Z332="","",IF(ISNUMBER(Z332),INT(Z332),DATE(VALUE(LEFT(Z332,4)),VALUE(MID(Z332,6,2)),VALUE(MID(Z332,9,2))))),IF(OR(E332="executing",E332="pending"),IF(AD332="","",IF(ISNUMBER(AD332),INT(AD332),DATE(VALUE(LEFT(AD332,4)),VALUE(MID(AD332,6,2)),VALUE(MID(AD332,9,2))))),""))</x:f>
        <x:v>46231</x:v>
      </x:c>
      <x:c r="AQ332" s="24" t="n">
        <x:f>IF(AP332="","",INT('Configuration'!$B$4)-AP332)</x:f>
        <x:v>20</x:v>
      </x:c>
      <x:c r="AR332" s="25" t="str">
        <x:f>IF(AP332="","Missing Required Date",IF(AQ332&lt;0,"Future Date",IF(AQ332=0,"0 days",IF(AQ332&lt;=2,"1-2 days",IF(AQ332&lt;=7,"3-7 days",IF(AQ332&lt;=14,"8-14 days",IF(AQ332&lt;=30,"15-30 days",IF(AQ332&lt;=60,"31-60 days",IF(AQ332&lt;=70,"61-70 days","71+ days")))))))))</x:f>
        <x:v>15-30 days</x:v>
      </x:c>
      <x:c r="AS332" s="25" t="str">
        <x:f>IF(OR(E332="processing",E332="executing",E332="pending"),IF(AP332="","Required aging date missing",IF(AQ332&gt;30,"Escalate &gt;30d",IF(AQ332&gt;14,"Watch &gt;14d","Within 14d"))),"Out of scope")</x:f>
        <x:v>Watch &gt;14d</x:v>
      </x:c>
    </x:row>
    <x:row r="333" ht="24" customHeight="1">
      <x:c r="A333" t="str">
        <x:v>1452f521-a1f4-4a88-a796-4a052efcadf5</x:v>
      </x:c>
      <x:c r="B333" t="str">
        <x:v>CSSP10589613</x:v>
      </x:c>
      <x:c r="C333" t="str">
        <x:v>ahmadzafri.bahruddi@petronas.com</x:v>
      </x:c>
      <x:c r="D333" t="str">
        <x:v>decommission-cloud</x:v>
      </x:c>
      <x:c r="E333" t="str">
        <x:v>processing</x:v>
      </x:c>
      <x:c r="F333" t="n">
        <x:v>46227.31277561343</x:v>
      </x:c>
      <x:c r="G333" t="n">
        <x:v>46251.16684052083</x:v>
      </x:c>
      <x:c r="H333" t="n">
        <x:v>46227.31277561343</x:v>
      </x:c>
      <x:c r="I333" t="str">
        <x:v>Rystad Energy Auth Server</x:v>
      </x:c>
      <x:c r="J333" t="str">
        <x:v>Hosting of Rystad Energy Ucube and Database for Upstream Strategy &amp; Commercial</x:v>
      </x:c>
      <x:c r="K333" t="str">
        <x:v>partial</x:v>
      </x:c>
      <x:c r="L333"/>
      <x:c r="M333" t="str">
        <x:v>adelizafahrina.azaw@petronas.com.my</x:v>
      </x:c>
      <x:c r="N333"/>
      <x:c r="O333"/>
      <x:c r="P333" t="str">
        <x:v>Business have given the approval to decommision PCSB Cube</x:v>
      </x:c>
      <x:c r="Q333" t="str">
        <x:v>12M</x:v>
      </x:c>
      <x:c r="R333" t="str">
        <x:v>Obsolete</x:v>
      </x:c>
      <x:c r="S333"/>
      <x:c r="T333" t="str">
        <x:v>approved</x:v>
      </x:c>
      <x:c r="U333" t="str">
        <x:v>ahmadzafri.bahruddi@petronas.com</x:v>
      </x:c>
      <x:c r="V333" t="n">
        <x:v>46227.31698697917</x:v>
      </x:c>
      <x:c r="W333" t="str">
        <x:v>Resources has been confirmed with business and previous support foca</x:v>
      </x:c>
      <x:c r="X333" t="str">
        <x:v>approved</x:v>
      </x:c>
      <x:c r="Y333" t="str">
        <x:v>adelizafahrina.azaw@petronas.com</x:v>
      </x:c>
      <x:c r="Z333" t="n">
        <x:v>46248.14388081019</x:v>
      </x:c>
      <x:c r="AA333" t="str">
        <x:v>Approved</x:v>
      </x:c>
      <x:c r="AB333"/>
      <x:c r="AC333" t="str">
        <x:v>IMS - CLOUD CSSP REVIEWER</x:v>
      </x:c>
      <x:c r="AD333"/>
      <x:c r="AE333"/>
      <x:c r="AF333"/>
      <x:c r="AG333" t="str">
        <x:v>IMS - CLOUD CSSP EXECUTOR</x:v>
      </x:c>
      <x:c r="AH333"/>
      <x:c r="AI333"/>
      <x:c r="AJ333" t="str">
        <x:v>A-000705</x:v>
      </x:c>
      <x:c r="AK333" t="n">
        <x:v>955</x:v>
      </x:c>
      <x:c r="AL333" t="str">
        <x:v>L</x:v>
      </x:c>
      <x:c r="AM333"/>
      <x:c r="AN333" t="str">
        <x:v>retention</x:v>
      </x:c>
      <x:c r="AO333" t="n">
        <x:v>365</x:v>
      </x:c>
      <x:c r="AP333" s="23" t="n">
        <x:f>IF(E333="processing",IF(Z333="","",IF(ISNUMBER(Z333),INT(Z333),DATE(VALUE(LEFT(Z333,4)),VALUE(MID(Z333,6,2)),VALUE(MID(Z333,9,2))))),IF(OR(E333="executing",E333="pending"),IF(AD333="","",IF(ISNUMBER(AD333),INT(AD333),DATE(VALUE(LEFT(AD333,4)),VALUE(MID(AD333,6,2)),VALUE(MID(AD333,9,2))))),""))</x:f>
        <x:v>46248</x:v>
      </x:c>
      <x:c r="AQ333" s="24" t="n">
        <x:f>IF(AP333="","",INT('Configuration'!$B$4)-AP333)</x:f>
        <x:v>3</x:v>
      </x:c>
      <x:c r="AR333" s="25" t="str">
        <x:f>IF(AP333="","Missing Required Date",IF(AQ333&lt;0,"Future Date",IF(AQ333=0,"0 days",IF(AQ333&lt;=2,"1-2 days",IF(AQ333&lt;=7,"3-7 days",IF(AQ333&lt;=14,"8-14 days",IF(AQ333&lt;=30,"15-30 days",IF(AQ333&lt;=60,"31-60 days",IF(AQ333&lt;=70,"61-70 days","71+ days")))))))))</x:f>
        <x:v>3-7 days</x:v>
      </x:c>
      <x:c r="AS333" s="25" t="str">
        <x:f>IF(OR(E333="processing",E333="executing",E333="pending"),IF(AP333="","Required aging date missing",IF(AQ333&gt;30,"Escalate &gt;30d",IF(AQ333&gt;14,"Watch &gt;14d","Within 14d"))),"Out of scope")</x:f>
        <x:v>Within 14d</x:v>
      </x:c>
    </x:row>
    <x:row r="334" ht="24" customHeight="1">
      <x:c r="A334" t="str">
        <x:v>9ac20267-bcbb-4785-97ec-e29ff496dc4c</x:v>
      </x:c>
      <x:c r="B334" t="str">
        <x:v>CSSP10422617</x:v>
      </x:c>
      <x:c r="C334" t="str">
        <x:v>mkhairulazhar.jamil@petronas.com</x:v>
      </x:c>
      <x:c r="D334" t="str">
        <x:v>decommission-cloud</x:v>
      </x:c>
      <x:c r="E334" t="str">
        <x:v>pending</x:v>
      </x:c>
      <x:c r="F334" t="n">
        <x:v>46230.06922196759</x:v>
      </x:c>
      <x:c r="G334" t="n">
        <x:v>46230.170998912035</x:v>
      </x:c>
      <x:c r="H334" t="n">
        <x:v>46230.06922196759</x:v>
      </x:c>
      <x:c r="I334" t="str">
        <x:v>COMPASS</x:v>
      </x:c>
      <x:c r="J334" t="str">
        <x:v>COMPASS Phase 2</x:v>
      </x:c>
      <x:c r="K334" t="str">
        <x:v>partial</x:v>
      </x:c>
      <x:c r="L334"/>
      <x:c r="M334" t="str">
        <x:v>amirshazlan.mshah@petronas.com.my</x:v>
      </x:c>
      <x:c r="N334"/>
      <x:c r="O334"/>
      <x:c r="P334" t="str">
        <x:v>Azure Databricks has been provisioned, but it was not in used as team move into using VM. </x:v>
      </x:c>
      <x:c r="Q334" t="str">
        <x:v>2W</x:v>
      </x:c>
      <x:c r="R334" t="str">
        <x:v>Not in Used</x:v>
      </x:c>
      <x:c r="S334"/>
      <x:c r="T334" t="str">
        <x:v>approved</x:v>
      </x:c>
      <x:c r="U334" t="str">
        <x:v>amirshazlan.mshah@petronas.com</x:v>
      </x:c>
      <x:c r="V334" t="n">
        <x:v>46230.17099892361</x:v>
      </x:c>
      <x:c r="W334" t="str">
        <x:v>approved</x:v>
      </x:c>
      <x:c r="X334"/>
      <x:c r="Y334" t="str">
        <x:v>amirshazlan.mshah@petronas.com</x:v>
      </x:c>
      <x:c r="Z334"/>
      <x:c r="AA334"/>
      <x:c r="AB334"/>
      <x:c r="AC334" t="str">
        <x:v>CCoE SA</x:v>
      </x:c>
      <x:c r="AD334"/>
      <x:c r="AE334"/>
      <x:c r="AF334"/>
      <x:c r="AG334" t="str">
        <x:v>IMS - CLOUD CSSP EXECUTOR</x:v>
      </x:c>
      <x:c r="AH334"/>
      <x:c r="AI334"/>
      <x:c r="AJ334" t="str">
        <x:v>A-000124</x:v>
      </x:c>
      <x:c r="AK334" t="n">
        <x:v>1709</x:v>
      </x:c>
      <x:c r="AL334"/>
      <x:c r="AM334"/>
      <x:c r="AN334" t="str">
        <x:v>noretention</x:v>
      </x:c>
      <x:c r="AO334" t="n">
        <x:v>0</x:v>
      </x:c>
      <x:c r="AP334" s="23" t="str">
        <x:f>IF(E334="processing",IF(Z334="","",IF(ISNUMBER(Z334),INT(Z334),DATE(VALUE(LEFT(Z334,4)),VALUE(MID(Z334,6,2)),VALUE(MID(Z334,9,2))))),IF(OR(E334="executing",E334="pending"),IF(AD334="","",IF(ISNUMBER(AD334),INT(AD334),DATE(VALUE(LEFT(AD334,4)),VALUE(MID(AD334,6,2)),VALUE(MID(AD334,9,2))))),""))</x:f>
      </x:c>
      <x:c r="AQ334" s="24" t="str">
        <x:f>IF(AP334="","",INT('Configuration'!$B$4)-AP334)</x:f>
      </x:c>
      <x:c r="AR334" s="25" t="str">
        <x:f>IF(AP334="","Missing Required Date",IF(AQ334&lt;0,"Future Date",IF(AQ334=0,"0 days",IF(AQ334&lt;=2,"1-2 days",IF(AQ334&lt;=7,"3-7 days",IF(AQ334&lt;=14,"8-14 days",IF(AQ334&lt;=30,"15-30 days",IF(AQ334&lt;=60,"31-60 days",IF(AQ334&lt;=70,"61-70 days","71+ days")))))))))</x:f>
        <x:v>Missing Required Date</x:v>
      </x:c>
      <x:c r="AS334" s="25" t="str">
        <x:f>IF(OR(E334="processing",E334="executing",E334="pending"),IF(AP334="","Required aging date missing",IF(AQ334&gt;30,"Escalate &gt;30d",IF(AQ334&gt;14,"Watch &gt;14d","Within 14d"))),"Out of scope")</x:f>
        <x:v>Required aging date missing</x:v>
      </x:c>
    </x:row>
    <x:row r="335" ht="24" customHeight="1">
      <x:c r="A335" t="str">
        <x:v>7decf0a0-ad3d-48d1-9895-12328f387e2f</x:v>
      </x:c>
      <x:c r="B335" t="str">
        <x:v>CSSP10170528</x:v>
      </x:c>
      <x:c r="C335" t="str">
        <x:v>mzurfaiezzuddin.zur@petronas.com</x:v>
      </x:c>
      <x:c r="D335" t="str">
        <x:v>decommission-cloud</x:v>
      </x:c>
      <x:c r="E335" t="str">
        <x:v>executing</x:v>
      </x:c>
      <x:c r="F335" t="n">
        <x:v>46232.07162844908</x:v>
      </x:c>
      <x:c r="G335" t="n">
        <x:v>46246.65361068287</x:v>
      </x:c>
      <x:c r="H335" t="n">
        <x:v>46232.07162844908</x:v>
      </x:c>
      <x:c r="I335" t="str">
        <x:v>Plant Information - PI Hub Downstream</x:v>
      </x:c>
      <x:c r="J335" t="str">
        <x:v>CTP Old to New LZ - Enterprise PI Hub Downstream</x:v>
      </x:c>
      <x:c r="K335" t="str">
        <x:v>partial</x:v>
      </x:c>
      <x:c r="L335"/>
      <x:c r="M335" t="str">
        <x:v>sazali.mokhtar@petronas.com</x:v>
      </x:c>
      <x:c r="N335"/>
      <x:c r="O335"/>
      <x:c r="P335" t="str">
        <x:v>Cloud Repatriation - To decommission old resources in Singapore region due to completed migration in MY region</x:v>
      </x:c>
      <x:c r="Q335" t="str">
        <x:v>2W</x:v>
      </x:c>
      <x:c r="R335" t="str">
        <x:v>Cloud Migration</x:v>
      </x:c>
      <x:c r="S335"/>
      <x:c r="T335" t="str">
        <x:v>approved</x:v>
      </x:c>
      <x:c r="U335" t="str">
        <x:v>mzurfaiezzuddin.zur@petronas.com</x:v>
      </x:c>
      <x:c r="V335" t="n">
        <x:v>46232.07458032407</x:v>
      </x:c>
      <x:c r="W335" t="str">
        <x:v>Cloud Repatriation - To decommission old resources in Singapore region due to completed migration in MY region</x:v>
      </x:c>
      <x:c r="X335" t="str">
        <x:v>approved</x:v>
      </x:c>
      <x:c r="Y335" t="str">
        <x:v>sazali.mokhtar@petronas.com</x:v>
      </x:c>
      <x:c r="Z335" t="n">
        <x:v>46241.443700682874</x:v>
      </x:c>
      <x:c r="AA335" t="str">
        <x:v>Cloud Repatriation - To decommission old resources in Singapore region due to completed migration in MY region</x:v>
      </x:c>
      <x:c r="AB335" t="str">
        <x:v>approved</x:v>
      </x:c>
      <x:c r="AC335" t="str">
        <x:v>abhishek.bhowate@petronas.com</x:v>
      </x:c>
      <x:c r="AD335" t="n">
        <x:v>46246.65361069445</x:v>
      </x:c>
      <x:c r="AE335" t="str">
        <x:v>approve</x:v>
      </x:c>
      <x:c r="AF335"/>
      <x:c r="AG335" t="str">
        <x:v>mardiansyah.rayasa@petronas.com</x:v>
      </x:c>
      <x:c r="AH335"/>
      <x:c r="AI335"/>
      <x:c r="AJ335" t="str">
        <x:v>A-000571</x:v>
      </x:c>
      <x:c r="AK335" t="str">
        <x:v>02421_70</x:v>
      </x:c>
      <x:c r="AL335" t="str">
        <x:v>L</x:v>
      </x:c>
      <x:c r="AM335" t="str">
        <x:v>REQ000008238289</x:v>
      </x:c>
      <x:c r="AN335" t="str">
        <x:v>noretention</x:v>
      </x:c>
      <x:c r="AO335" t="n">
        <x:v>0</x:v>
      </x:c>
      <x:c r="AP335" s="23" t="n">
        <x:f>IF(E335="processing",IF(Z335="","",IF(ISNUMBER(Z335),INT(Z335),DATE(VALUE(LEFT(Z335,4)),VALUE(MID(Z335,6,2)),VALUE(MID(Z335,9,2))))),IF(OR(E335="executing",E335="pending"),IF(AD335="","",IF(ISNUMBER(AD335),INT(AD335),DATE(VALUE(LEFT(AD335,4)),VALUE(MID(AD335,6,2)),VALUE(MID(AD335,9,2))))),""))</x:f>
        <x:v>46246</x:v>
      </x:c>
      <x:c r="AQ335" s="24" t="n">
        <x:f>IF(AP335="","",INT('Configuration'!$B$4)-AP335)</x:f>
        <x:v>5</x:v>
      </x:c>
      <x:c r="AR335" s="25" t="str">
        <x:f>IF(AP335="","Missing Required Date",IF(AQ335&lt;0,"Future Date",IF(AQ335=0,"0 days",IF(AQ335&lt;=2,"1-2 days",IF(AQ335&lt;=7,"3-7 days",IF(AQ335&lt;=14,"8-14 days",IF(AQ335&lt;=30,"15-30 days",IF(AQ335&lt;=60,"31-60 days",IF(AQ335&lt;=70,"61-70 days","71+ days")))))))))</x:f>
        <x:v>3-7 days</x:v>
      </x:c>
      <x:c r="AS335" s="25" t="str">
        <x:f>IF(OR(E335="processing",E335="executing",E335="pending"),IF(AP335="","Required aging date missing",IF(AQ335&gt;30,"Escalate &gt;30d",IF(AQ335&gt;14,"Watch &gt;14d","Within 14d"))),"Out of scope")</x:f>
        <x:v>Within 14d</x:v>
      </x:c>
    </x:row>
    <x:row r="336" ht="24" customHeight="1">
      <x:c r="A336" t="str">
        <x:v>8a4abd3a-f484-48dd-b87e-cb714b7da1ed</x:v>
      </x:c>
      <x:c r="B336" t="str">
        <x:v>CSSP10844488</x:v>
      </x:c>
      <x:c r="C336" t="str">
        <x:v>mzurfaiezzuddin.zur@petronas.com</x:v>
      </x:c>
      <x:c r="D336" t="str">
        <x:v>decommission-cloud</x:v>
      </x:c>
      <x:c r="E336" t="str">
        <x:v>executing</x:v>
      </x:c>
      <x:c r="F336" t="n">
        <x:v>46232.076016087965</x:v>
      </x:c>
      <x:c r="G336" t="n">
        <x:v>46246.6532690625</x:v>
      </x:c>
      <x:c r="H336" t="n">
        <x:v>46232.076016087965</x:v>
      </x:c>
      <x:c r="I336" t="str">
        <x:v>Plant Information - PI Enterprise</x:v>
      </x:c>
      <x:c r="J336" t="str">
        <x:v>CTP Old to New LZ - PI Enterprise</x:v>
      </x:c>
      <x:c r="K336" t="str">
        <x:v>partial</x:v>
      </x:c>
      <x:c r="L336"/>
      <x:c r="M336" t="str">
        <x:v>sazali.mokhtar@petronas.com</x:v>
      </x:c>
      <x:c r="N336"/>
      <x:c r="O336"/>
      <x:c r="P336" t="str">
        <x:v>Cloud Repatriation - To decommission old resources in Singapore region due to completed migration in MY region</x:v>
      </x:c>
      <x:c r="Q336" t="str">
        <x:v>2W</x:v>
      </x:c>
      <x:c r="R336" t="str">
        <x:v>Cloud Migration</x:v>
      </x:c>
      <x:c r="S336"/>
      <x:c r="T336" t="str">
        <x:v>approved</x:v>
      </x:c>
      <x:c r="U336" t="str">
        <x:v>mzurfaiezzuddin.zur@petronas.com</x:v>
      </x:c>
      <x:c r="V336" t="n">
        <x:v>46232.07713212963</x:v>
      </x:c>
      <x:c r="W336" t="str">
        <x:v>Cloud Repatriation - To decommission old resources in Singapore region due to completed migration in MY region</x:v>
      </x:c>
      <x:c r="X336" t="str">
        <x:v>approved</x:v>
      </x:c>
      <x:c r="Y336" t="str">
        <x:v>sazali.mokhtar@petronas.com</x:v>
      </x:c>
      <x:c r="Z336" t="n">
        <x:v>46241.44485513889</x:v>
      </x:c>
      <x:c r="AA336" t="str">
        <x:v>Cloud Repatriation - To decommission old resources in Singapore region due to completed migration in MY region</x:v>
      </x:c>
      <x:c r="AB336" t="str">
        <x:v>approved</x:v>
      </x:c>
      <x:c r="AC336" t="str">
        <x:v>abhishek.bhowate@petronas.com</x:v>
      </x:c>
      <x:c r="AD336" t="n">
        <x:v>46246.65326908565</x:v>
      </x:c>
      <x:c r="AE336" t="str">
        <x:v>Approve</x:v>
      </x:c>
      <x:c r="AF336"/>
      <x:c r="AG336" t="str">
        <x:v>mardiansyah.rayasa@petronas.com</x:v>
      </x:c>
      <x:c r="AH336"/>
      <x:c r="AI336"/>
      <x:c r="AJ336" t="str">
        <x:v>A-000568</x:v>
      </x:c>
      <x:c r="AK336" t="str">
        <x:v>02421_71</x:v>
      </x:c>
      <x:c r="AL336" t="str">
        <x:v>L</x:v>
      </x:c>
      <x:c r="AM336" t="str">
        <x:v>REQ000008237800</x:v>
      </x:c>
      <x:c r="AN336" t="str">
        <x:v>noretention</x:v>
      </x:c>
      <x:c r="AO336" t="n">
        <x:v>0</x:v>
      </x:c>
      <x:c r="AP336" s="23" t="n">
        <x:f>IF(E336="processing",IF(Z336="","",IF(ISNUMBER(Z336),INT(Z336),DATE(VALUE(LEFT(Z336,4)),VALUE(MID(Z336,6,2)),VALUE(MID(Z336,9,2))))),IF(OR(E336="executing",E336="pending"),IF(AD336="","",IF(ISNUMBER(AD336),INT(AD336),DATE(VALUE(LEFT(AD336,4)),VALUE(MID(AD336,6,2)),VALUE(MID(AD336,9,2))))),""))</x:f>
        <x:v>46246</x:v>
      </x:c>
      <x:c r="AQ336" s="24" t="n">
        <x:f>IF(AP336="","",INT('Configuration'!$B$4)-AP336)</x:f>
        <x:v>5</x:v>
      </x:c>
      <x:c r="AR336" s="25" t="str">
        <x:f>IF(AP336="","Missing Required Date",IF(AQ336&lt;0,"Future Date",IF(AQ336=0,"0 days",IF(AQ336&lt;=2,"1-2 days",IF(AQ336&lt;=7,"3-7 days",IF(AQ336&lt;=14,"8-14 days",IF(AQ336&lt;=30,"15-30 days",IF(AQ336&lt;=60,"31-60 days",IF(AQ336&lt;=70,"61-70 days","71+ days")))))))))</x:f>
        <x:v>3-7 days</x:v>
      </x:c>
      <x:c r="AS336" s="25" t="str">
        <x:f>IF(OR(E336="processing",E336="executing",E336="pending"),IF(AP336="","Required aging date missing",IF(AQ336&gt;30,"Escalate &gt;30d",IF(AQ336&gt;14,"Watch &gt;14d","Within 14d"))),"Out of scope")</x:f>
        <x:v>Within 14d</x:v>
      </x:c>
    </x:row>
    <x:row r="337" ht="24" customHeight="1">
      <x:c r="A337" t="str">
        <x:v>47f07a4d-95d5-4265-854f-92822aa4505c</x:v>
      </x:c>
      <x:c r="B337" t="str">
        <x:v>CSSP10588883</x:v>
      </x:c>
      <x:c r="C337" t="str">
        <x:v>mzurfaiezzuddin.zur@petronas.com</x:v>
      </x:c>
      <x:c r="D337" t="str">
        <x:v>decommission-cloud</x:v>
      </x:c>
      <x:c r="E337" t="str">
        <x:v>processing</x:v>
      </x:c>
      <x:c r="F337" t="n">
        <x:v>46233.109634340275</x:v>
      </x:c>
      <x:c r="G337" t="n">
        <x:v>46251.16752747685</x:v>
      </x:c>
      <x:c r="H337" t="n">
        <x:v>46233.109634340275</x:v>
      </x:c>
      <x:c r="I337" t="str">
        <x:v>Falcon</x:v>
      </x:c>
      <x:c r="J337" t="str">
        <x:v>Implementation of Falcon - Engineering Visual Analytics Program (Work Package 1) - Requirements Gathering, High Level Design, and Data Gathering for GTS</x:v>
      </x:c>
      <x:c r="K337" t="str">
        <x:v>partial</x:v>
      </x:c>
      <x:c r="L337"/>
      <x:c r="M337" t="str">
        <x:v>sazali.mokhtar@petronas.com</x:v>
      </x:c>
      <x:c r="N337"/>
      <x:c r="O337"/>
      <x:c r="P337" t="str">
        <x:v>Cloud Repatriation - To decommission old resources in Singapore region due to completed migration in MY region</x:v>
      </x:c>
      <x:c r="Q337" t="str">
        <x:v>2W</x:v>
      </x:c>
      <x:c r="R337" t="str">
        <x:v>Cloud Migration</x:v>
      </x:c>
      <x:c r="S337"/>
      <x:c r="T337" t="str">
        <x:v>approved</x:v>
      </x:c>
      <x:c r="U337" t="str">
        <x:v>mzurfaiezzuddin.zur@petronas.com</x:v>
      </x:c>
      <x:c r="V337" t="n">
        <x:v>46233.11143287037</x:v>
      </x:c>
      <x:c r="W337" t="str">
        <x:v>Cloud Repatriation - To decommission old resources in Singapore region due to completed migration in MY region</x:v>
      </x:c>
      <x:c r="X337" t="str">
        <x:v>approved</x:v>
      </x:c>
      <x:c r="Y337" t="str">
        <x:v>sazali.mokhtar@petronas.com</x:v>
      </x:c>
      <x:c r="Z337" t="n">
        <x:v>46247.38331707176</x:v>
      </x:c>
      <x:c r="AA337" t="str">
        <x:v>Cloud Repatriation - To decommission old resources in Singapore region due to completed migration in MY region</x:v>
      </x:c>
      <x:c r="AB337"/>
      <x:c r="AC337" t="str">
        <x:v>IMS - CLOUD CSSP REVIEWER</x:v>
      </x:c>
      <x:c r="AD337"/>
      <x:c r="AE337"/>
      <x:c r="AF337"/>
      <x:c r="AG337" t="str">
        <x:v>IMS - CLOUD CSSP EXECUTOR</x:v>
      </x:c>
      <x:c r="AH337"/>
      <x:c r="AI337"/>
      <x:c r="AJ337" t="str">
        <x:v>A-000314</x:v>
      </x:c>
      <x:c r="AK337" t="n">
        <x:v>2687</x:v>
      </x:c>
      <x:c r="AL337" t="str">
        <x:v>L</x:v>
      </x:c>
      <x:c r="AM337"/>
      <x:c r="AN337" t="str">
        <x:v>noretention</x:v>
      </x:c>
      <x:c r="AO337" t="n">
        <x:v>0</x:v>
      </x:c>
      <x:c r="AP337" s="23" t="n">
        <x:f>IF(E337="processing",IF(Z337="","",IF(ISNUMBER(Z337),INT(Z337),DATE(VALUE(LEFT(Z337,4)),VALUE(MID(Z337,6,2)),VALUE(MID(Z337,9,2))))),IF(OR(E337="executing",E337="pending"),IF(AD337="","",IF(ISNUMBER(AD337),INT(AD337),DATE(VALUE(LEFT(AD337,4)),VALUE(MID(AD337,6,2)),VALUE(MID(AD337,9,2))))),""))</x:f>
        <x:v>46247</x:v>
      </x:c>
      <x:c r="AQ337" s="24" t="n">
        <x:f>IF(AP337="","",INT('Configuration'!$B$4)-AP337)</x:f>
        <x:v>4</x:v>
      </x:c>
      <x:c r="AR337" s="25" t="str">
        <x:f>IF(AP337="","Missing Required Date",IF(AQ337&lt;0,"Future Date",IF(AQ337=0,"0 days",IF(AQ337&lt;=2,"1-2 days",IF(AQ337&lt;=7,"3-7 days",IF(AQ337&lt;=14,"8-14 days",IF(AQ337&lt;=30,"15-30 days",IF(AQ337&lt;=60,"31-60 days",IF(AQ337&lt;=70,"61-70 days","71+ days")))))))))</x:f>
        <x:v>3-7 days</x:v>
      </x:c>
      <x:c r="AS337" s="25" t="str">
        <x:f>IF(OR(E337="processing",E337="executing",E337="pending"),IF(AP337="","Required aging date missing",IF(AQ337&gt;30,"Escalate &gt;30d",IF(AQ337&gt;14,"Watch &gt;14d","Within 14d"))),"Out of scope")</x:f>
        <x:v>Within 14d</x:v>
      </x:c>
    </x:row>
    <x:row r="338" ht="24" customHeight="1">
      <x:c r="A338" t="str">
        <x:v>243340e7-7422-4362-803c-90ecd62c94d4</x:v>
      </x:c>
      <x:c r="B338" t="str">
        <x:v>CSSP10733928</x:v>
      </x:c>
      <x:c r="C338" t="str">
        <x:v>mzurfaiezzuddin.zur@petronas.com</x:v>
      </x:c>
      <x:c r="D338" t="str">
        <x:v>decommission-cloud</x:v>
      </x:c>
      <x:c r="E338" t="str">
        <x:v>executing</x:v>
      </x:c>
      <x:c r="F338" t="n">
        <x:v>46233.10967457176</x:v>
      </x:c>
      <x:c r="G338" t="n">
        <x:v>46246.652488252315</x:v>
      </x:c>
      <x:c r="H338" t="n">
        <x:v>46233.10967457176</x:v>
      </x:c>
      <x:c r="I338" t="str">
        <x:v>Falcon</x:v>
      </x:c>
      <x:c r="J338" t="str">
        <x:v>Implementation of Falcon – Engineering Visual Analytics Program Phase 2 for Nervcentre</x:v>
      </x:c>
      <x:c r="K338" t="str">
        <x:v>partial</x:v>
      </x:c>
      <x:c r="L338"/>
      <x:c r="M338" t="str">
        <x:v>sazali.mokhtar@petronas.com</x:v>
      </x:c>
      <x:c r="N338"/>
      <x:c r="O338"/>
      <x:c r="P338" t="str">
        <x:v>Cloud Repatriation - To decommission old resources in Singapore region due to completed migration in MY region</x:v>
      </x:c>
      <x:c r="Q338" t="str">
        <x:v>2W</x:v>
      </x:c>
      <x:c r="R338" t="str">
        <x:v>Cloud Migration</x:v>
      </x:c>
      <x:c r="S338"/>
      <x:c r="T338" t="str">
        <x:v>approved</x:v>
      </x:c>
      <x:c r="U338" t="str">
        <x:v>mzurfaiezzuddin.zur@petronas.com</x:v>
      </x:c>
      <x:c r="V338" t="n">
        <x:v>46233.11052648148</x:v>
      </x:c>
      <x:c r="W338" t="str">
        <x:v>Cloud Repatriation - To decommission old resources in Singapore region due to completed migration in MY region</x:v>
      </x:c>
      <x:c r="X338" t="str">
        <x:v>approved</x:v>
      </x:c>
      <x:c r="Y338" t="str">
        <x:v>sazali.mokhtar@petronas.com</x:v>
      </x:c>
      <x:c r="Z338" t="n">
        <x:v>46241.444319849536</x:v>
      </x:c>
      <x:c r="AA338" t="str">
        <x:v>Cloud Repatriation - To decommission old resources in Singapore region due to completed migration in MY region</x:v>
      </x:c>
      <x:c r="AB338" t="str">
        <x:v>approved</x:v>
      </x:c>
      <x:c r="AC338" t="str">
        <x:v>abhishek.bhowate@petronas.com</x:v>
      </x:c>
      <x:c r="AD338" t="n">
        <x:v>46246.65248827546</x:v>
      </x:c>
      <x:c r="AE338" t="str">
        <x:v>Approve</x:v>
      </x:c>
      <x:c r="AF338"/>
      <x:c r="AG338" t="str">
        <x:v>amarja.kawade@petronas.com</x:v>
      </x:c>
      <x:c r="AH338"/>
      <x:c r="AI338"/>
      <x:c r="AJ338" t="str">
        <x:v>A-000314</x:v>
      </x:c>
      <x:c r="AK338" t="n">
        <x:v>3349</x:v>
      </x:c>
      <x:c r="AL338" t="str">
        <x:v>M</x:v>
      </x:c>
      <x:c r="AM338" t="str">
        <x:v>REQ000008237799</x:v>
      </x:c>
      <x:c r="AN338" t="str">
        <x:v>noretention</x:v>
      </x:c>
      <x:c r="AO338" t="n">
        <x:v>0</x:v>
      </x:c>
      <x:c r="AP338" s="23" t="n">
        <x:f>IF(E338="processing",IF(Z338="","",IF(ISNUMBER(Z338),INT(Z338),DATE(VALUE(LEFT(Z338,4)),VALUE(MID(Z338,6,2)),VALUE(MID(Z338,9,2))))),IF(OR(E338="executing",E338="pending"),IF(AD338="","",IF(ISNUMBER(AD338),INT(AD338),DATE(VALUE(LEFT(AD338,4)),VALUE(MID(AD338,6,2)),VALUE(MID(AD338,9,2))))),""))</x:f>
        <x:v>46246</x:v>
      </x:c>
      <x:c r="AQ338" s="24" t="n">
        <x:f>IF(AP338="","",INT('Configuration'!$B$4)-AP338)</x:f>
        <x:v>5</x:v>
      </x:c>
      <x:c r="AR338" s="25" t="str">
        <x:f>IF(AP338="","Missing Required Date",IF(AQ338&lt;0,"Future Date",IF(AQ338=0,"0 days",IF(AQ338&lt;=2,"1-2 days",IF(AQ338&lt;=7,"3-7 days",IF(AQ338&lt;=14,"8-14 days",IF(AQ338&lt;=30,"15-30 days",IF(AQ338&lt;=60,"31-60 days",IF(AQ338&lt;=70,"61-70 days","71+ days")))))))))</x:f>
        <x:v>3-7 days</x:v>
      </x:c>
      <x:c r="AS338" s="25" t="str">
        <x:f>IF(OR(E338="processing",E338="executing",E338="pending"),IF(AP338="","Required aging date missing",IF(AQ338&gt;30,"Escalate &gt;30d",IF(AQ338&gt;14,"Watch &gt;14d","Within 14d"))),"Out of scope")</x:f>
        <x:v>Within 14d</x:v>
      </x:c>
    </x:row>
    <x:row r="339" ht="24" customHeight="1">
      <x:c r="A339" t="str">
        <x:v>513c82f5-26a7-4efa-937e-d7e39d1d64b8</x:v>
      </x:c>
      <x:c r="B339" t="str">
        <x:v>CSSP10186192</x:v>
      </x:c>
      <x:c r="C339" t="str">
        <x:v>mzurfaiezzuddin.zur@petronas.com</x:v>
      </x:c>
      <x:c r="D339" t="str">
        <x:v>decommission-cloud</x:v>
      </x:c>
      <x:c r="E339" t="str">
        <x:v>executing</x:v>
      </x:c>
      <x:c r="F339" t="n">
        <x:v>46233.109707407406</x:v>
      </x:c>
      <x:c r="G339" t="n">
        <x:v>46246.65208461806</x:v>
      </x:c>
      <x:c r="H339" t="n">
        <x:v>46233.109707407406</x:v>
      </x:c>
      <x:c r="I339" t="str">
        <x:v>Falcon</x:v>
      </x:c>
      <x:c r="J339" t="str">
        <x:v>FALCON for CORIMS Image Analytics (IA) for Composite Repair Module for GTS</x:v>
      </x:c>
      <x:c r="K339" t="str">
        <x:v>partial</x:v>
      </x:c>
      <x:c r="L339"/>
      <x:c r="M339" t="str">
        <x:v>sazali.mokhtar@petronas.com</x:v>
      </x:c>
      <x:c r="N339"/>
      <x:c r="O339"/>
      <x:c r="P339" t="str">
        <x:v>Cloud Repatriation - To decommission old resources in Singapore region due to completed migration in MY region</x:v>
      </x:c>
      <x:c r="Q339" t="str">
        <x:v>2W</x:v>
      </x:c>
      <x:c r="R339" t="str">
        <x:v>Cloud Migration</x:v>
      </x:c>
      <x:c r="S339"/>
      <x:c r="T339" t="str">
        <x:v>approved</x:v>
      </x:c>
      <x:c r="U339" t="str">
        <x:v>mzurfaiezzuddin.zur@petronas.com</x:v>
      </x:c>
      <x:c r="V339" t="n">
        <x:v>46233.11043341435</x:v>
      </x:c>
      <x:c r="W339" t="str">
        <x:v>Cloud Repatriation - To decommission old resources in Singapore region due to completed migration in MY region</x:v>
      </x:c>
      <x:c r="X339" t="str">
        <x:v>approved</x:v>
      </x:c>
      <x:c r="Y339" t="str">
        <x:v>sazali.mokhtar@petronas.com</x:v>
      </x:c>
      <x:c r="Z339" t="n">
        <x:v>46241.44312487268</x:v>
      </x:c>
      <x:c r="AA339" t="str">
        <x:v>Cloud Repatriation - To decommission old resources in Singapore region due to completed migration in MY region</x:v>
      </x:c>
      <x:c r="AB339" t="str">
        <x:v>approved</x:v>
      </x:c>
      <x:c r="AC339" t="str">
        <x:v>abhishek.bhowate@petronas.com</x:v>
      </x:c>
      <x:c r="AD339" t="n">
        <x:v>46246.6520846412</x:v>
      </x:c>
      <x:c r="AE339" t="str">
        <x:v>approve</x:v>
      </x:c>
      <x:c r="AF339"/>
      <x:c r="AG339" t="str">
        <x:v>amarja.kawade@petronas.com</x:v>
      </x:c>
      <x:c r="AH339"/>
      <x:c r="AI339"/>
      <x:c r="AJ339" t="str">
        <x:v>A-000314</x:v>
      </x:c>
      <x:c r="AK339" t="n">
        <x:v>4271</x:v>
      </x:c>
      <x:c r="AL339" t="str">
        <x:v>M</x:v>
      </x:c>
      <x:c r="AM339" t="str">
        <x:v>REQ000008237798</x:v>
      </x:c>
      <x:c r="AN339" t="str">
        <x:v>noretention</x:v>
      </x:c>
      <x:c r="AO339" t="n">
        <x:v>0</x:v>
      </x:c>
      <x:c r="AP339" s="23" t="n">
        <x:f>IF(E339="processing",IF(Z339="","",IF(ISNUMBER(Z339),INT(Z339),DATE(VALUE(LEFT(Z339,4)),VALUE(MID(Z339,6,2)),VALUE(MID(Z339,9,2))))),IF(OR(E339="executing",E339="pending"),IF(AD339="","",IF(ISNUMBER(AD339),INT(AD339),DATE(VALUE(LEFT(AD339,4)),VALUE(MID(AD339,6,2)),VALUE(MID(AD339,9,2))))),""))</x:f>
        <x:v>46246</x:v>
      </x:c>
      <x:c r="AQ339" s="24" t="n">
        <x:f>IF(AP339="","",INT('Configuration'!$B$4)-AP339)</x:f>
        <x:v>5</x:v>
      </x:c>
      <x:c r="AR339" s="25" t="str">
        <x:f>IF(AP339="","Missing Required Date",IF(AQ339&lt;0,"Future Date",IF(AQ339=0,"0 days",IF(AQ339&lt;=2,"1-2 days",IF(AQ339&lt;=7,"3-7 days",IF(AQ339&lt;=14,"8-14 days",IF(AQ339&lt;=30,"15-30 days",IF(AQ339&lt;=60,"31-60 days",IF(AQ339&lt;=70,"61-70 days","71+ days")))))))))</x:f>
        <x:v>3-7 days</x:v>
      </x:c>
      <x:c r="AS339" s="25" t="str">
        <x:f>IF(OR(E339="processing",E339="executing",E339="pending"),IF(AP339="","Required aging date missing",IF(AQ339&gt;30,"Escalate &gt;30d",IF(AQ339&gt;14,"Watch &gt;14d","Within 14d"))),"Out of scope")</x:f>
        <x:v>Within 14d</x:v>
      </x:c>
    </x:row>
    <x:row r="340" ht="24" customHeight="1">
      <x:c r="A340" t="str">
        <x:v>a4150916-57c2-444d-9ef2-2094034d2308</x:v>
      </x:c>
      <x:c r="B340" t="str">
        <x:v>CSSP10746310</x:v>
      </x:c>
      <x:c r="C340" t="str">
        <x:v>mzurfaiezzuddin.zur@petronas.com</x:v>
      </x:c>
      <x:c r="D340" t="str">
        <x:v>decommission-cloud</x:v>
      </x:c>
      <x:c r="E340" t="str">
        <x:v>executing</x:v>
      </x:c>
      <x:c r="F340" t="n">
        <x:v>46234.05614165509</x:v>
      </x:c>
      <x:c r="G340" t="n">
        <x:v>46246.65098673611</x:v>
      </x:c>
      <x:c r="H340" t="n">
        <x:v>46234.05614165509</x:v>
      </x:c>
      <x:c r="I340" t="str">
        <x:v>Plant Information - PI PCMSB</x:v>
      </x:c>
      <x:c r="J340" t="str">
        <x:v>Cloud Migration Program - PI PCMSB</x:v>
      </x:c>
      <x:c r="K340" t="str">
        <x:v>partial</x:v>
      </x:c>
      <x:c r="L340"/>
      <x:c r="M340" t="str">
        <x:v>sazali.mokhtar@petronas.com</x:v>
      </x:c>
      <x:c r="N340"/>
      <x:c r="O340"/>
      <x:c r="P340" t="str">
        <x:v>Cloud Repatriation - To decommission old resources in Singapore region due to completed migration in MY region</x:v>
      </x:c>
      <x:c r="Q340" t="str">
        <x:v>2W</x:v>
      </x:c>
      <x:c r="R340" t="str">
        <x:v>Cloud Migration</x:v>
      </x:c>
      <x:c r="S340"/>
      <x:c r="T340" t="str">
        <x:v>approved</x:v>
      </x:c>
      <x:c r="U340" t="str">
        <x:v>mzurfaiezzuddin.zur@petronas.com</x:v>
      </x:c>
      <x:c r="V340" t="n">
        <x:v>46234.05729587963</x:v>
      </x:c>
      <x:c r="W340" t="str">
        <x:v>Cloud Repatriation - To decommission old resources in Singapore region due to completed migration in MY region</x:v>
      </x:c>
      <x:c r="X340" t="str">
        <x:v>approved</x:v>
      </x:c>
      <x:c r="Y340" t="str">
        <x:v>sazali.mokhtar@petronas.com</x:v>
      </x:c>
      <x:c r="Z340" t="n">
        <x:v>46241.44280997685</x:v>
      </x:c>
      <x:c r="AA340" t="str">
        <x:v>Cloud Repatriation - To decommission old resources in Singapore region due to completed migration in MY region</x:v>
      </x:c>
      <x:c r="AB340" t="str">
        <x:v>approved</x:v>
      </x:c>
      <x:c r="AC340" t="str">
        <x:v>abhishek.bhowate@petronas.com</x:v>
      </x:c>
      <x:c r="AD340" t="n">
        <x:v>46246.65098673611</x:v>
      </x:c>
      <x:c r="AE340" t="str">
        <x:v>approve</x:v>
      </x:c>
      <x:c r="AF340"/>
      <x:c r="AG340" t="str">
        <x:v>amarja.kawade@petronas.com</x:v>
      </x:c>
      <x:c r="AH340"/>
      <x:c r="AI340"/>
      <x:c r="AJ340" t="str">
        <x:v>A-000586</x:v>
      </x:c>
      <x:c r="AK340" t="str">
        <x:v>02421_57</x:v>
      </x:c>
      <x:c r="AL340" t="str">
        <x:v>L</x:v>
      </x:c>
      <x:c r="AM340" t="str">
        <x:v>REQ000008238287</x:v>
      </x:c>
      <x:c r="AN340" t="str">
        <x:v>noretention</x:v>
      </x:c>
      <x:c r="AO340" t="n">
        <x:v>0</x:v>
      </x:c>
      <x:c r="AP340" s="23" t="n">
        <x:f>IF(E340="processing",IF(Z340="","",IF(ISNUMBER(Z340),INT(Z340),DATE(VALUE(LEFT(Z340,4)),VALUE(MID(Z340,6,2)),VALUE(MID(Z340,9,2))))),IF(OR(E340="executing",E340="pending"),IF(AD340="","",IF(ISNUMBER(AD340),INT(AD340),DATE(VALUE(LEFT(AD340,4)),VALUE(MID(AD340,6,2)),VALUE(MID(AD340,9,2))))),""))</x:f>
        <x:v>46246</x:v>
      </x:c>
      <x:c r="AQ340" s="24" t="n">
        <x:f>IF(AP340="","",INT('Configuration'!$B$4)-AP340)</x:f>
        <x:v>5</x:v>
      </x:c>
      <x:c r="AR340" s="25" t="str">
        <x:f>IF(AP340="","Missing Required Date",IF(AQ340&lt;0,"Future Date",IF(AQ340=0,"0 days",IF(AQ340&lt;=2,"1-2 days",IF(AQ340&lt;=7,"3-7 days",IF(AQ340&lt;=14,"8-14 days",IF(AQ340&lt;=30,"15-30 days",IF(AQ340&lt;=60,"31-60 days",IF(AQ340&lt;=70,"61-70 days","71+ days")))))))))</x:f>
        <x:v>3-7 days</x:v>
      </x:c>
      <x:c r="AS340" s="25" t="str">
        <x:f>IF(OR(E340="processing",E340="executing",E340="pending"),IF(AP340="","Required aging date missing",IF(AQ340&gt;30,"Escalate &gt;30d",IF(AQ340&gt;14,"Watch &gt;14d","Within 14d"))),"Out of scope")</x:f>
        <x:v>Within 14d</x:v>
      </x:c>
    </x:row>
    <x:row r="341" ht="24" customHeight="1">
      <x:c r="A341" t="str">
        <x:v>9eb5d82e-4a00-4324-9551-4e77de4c4d06</x:v>
      </x:c>
      <x:c r="B341" t="str">
        <x:v>CSSP10376841</x:v>
      </x:c>
      <x:c r="C341" t="str">
        <x:v>nelly.george@petronas.com</x:v>
      </x:c>
      <x:c r="D341" t="str">
        <x:v>decommission-cloud</x:v>
      </x:c>
      <x:c r="E341" t="str">
        <x:v>executing</x:v>
      </x:c>
      <x:c r="F341" t="n">
        <x:v>46237.10282396991</x:v>
      </x:c>
      <x:c r="G341" t="n">
        <x:v>46246.650579814814</x:v>
      </x:c>
      <x:c r="H341" t="n">
        <x:v>46237.40102336805</x:v>
      </x:c>
      <x:c r="I341" t="str">
        <x:v>Capability Integrated Management System - CIMS</x:v>
      </x:c>
      <x:c r="J341" t="str">
        <x:v>Upstream Shared Support Services (SecOps) FY2025 for MA, IVA, AD &amp; SA</x:v>
      </x:c>
      <x:c r="K341" t="str">
        <x:v>full</x:v>
      </x:c>
      <x:c r="L341" t="str">
        <x:v>DCOM20260803729</x:v>
      </x:c>
      <x:c r="M341" t="str">
        <x:v>rafedah.mdtap@petronas.com.my</x:v>
      </x:c>
      <x:c r="N341"/>
      <x:c r="O341"/>
      <x:c r="P341" t="str">
        <x:v>Complete migration to myLearningX by 31st May 2026.</x:v>
      </x:c>
      <x:c r="Q341" t="str">
        <x:v>12M</x:v>
      </x:c>
      <x:c r="R341" t="str">
        <x:v>Not in Used</x:v>
      </x:c>
      <x:c r="S341"/>
      <x:c r="T341" t="str">
        <x:v>approved</x:v>
      </x:c>
      <x:c r="U341" t="str">
        <x:v>nelly.george@petronas.com</x:v>
      </x:c>
      <x:c r="V341" t="n">
        <x:v>46237.40430109954</x:v>
      </x:c>
      <x:c r="W341" t="str">
        <x:v>Reviewed</x:v>
      </x:c>
      <x:c r="X341" t="str">
        <x:v>approved</x:v>
      </x:c>
      <x:c r="Y341" t="str">
        <x:v>rafedah.mdtap@petronas.com</x:v>
      </x:c>
      <x:c r="Z341" t="n">
        <x:v>46239.303393877315</x:v>
      </x:c>
      <x:c r="AA341" t="str">
        <x:v>Approved as per email from Business - Yashadini Anandarajah (TSKG_HRM/PETH) on  27 Jul 26.</x:v>
      </x:c>
      <x:c r="AB341" t="str">
        <x:v>approved</x:v>
      </x:c>
      <x:c r="AC341" t="str">
        <x:v>abhishek.bhowate@petronas.com</x:v>
      </x:c>
      <x:c r="AD341" t="n">
        <x:v>46246.650579849535</x:v>
      </x:c>
      <x:c r="AE341" t="str">
        <x:v>Approve</x:v>
      </x:c>
      <x:c r="AF341"/>
      <x:c r="AG341" t="str">
        <x:v>amarja.kawade@petronas.com</x:v>
      </x:c>
      <x:c r="AH341"/>
      <x:c r="AI341"/>
      <x:c r="AJ341" t="str">
        <x:v>A-001393</x:v>
      </x:c>
      <x:c r="AK341" t="n">
        <x:v>4702</x:v>
      </x:c>
      <x:c r="AL341" t="str">
        <x:v>M</x:v>
      </x:c>
      <x:c r="AM341" t="str">
        <x:v>REQ000008237797</x:v>
      </x:c>
      <x:c r="AN341" t="str">
        <x:v>retention</x:v>
      </x:c>
      <x:c r="AO341" t="n">
        <x:v>2520</x:v>
      </x:c>
      <x:c r="AP341" s="23" t="n">
        <x:f>IF(E341="processing",IF(Z341="","",IF(ISNUMBER(Z341),INT(Z341),DATE(VALUE(LEFT(Z341,4)),VALUE(MID(Z341,6,2)),VALUE(MID(Z341,9,2))))),IF(OR(E341="executing",E341="pending"),IF(AD341="","",IF(ISNUMBER(AD341),INT(AD341),DATE(VALUE(LEFT(AD341,4)),VALUE(MID(AD341,6,2)),VALUE(MID(AD341,9,2))))),""))</x:f>
        <x:v>46246</x:v>
      </x:c>
      <x:c r="AQ341" s="24" t="n">
        <x:f>IF(AP341="","",INT('Configuration'!$B$4)-AP341)</x:f>
        <x:v>5</x:v>
      </x:c>
      <x:c r="AR341" s="25" t="str">
        <x:f>IF(AP341="","Missing Required Date",IF(AQ341&lt;0,"Future Date",IF(AQ341=0,"0 days",IF(AQ341&lt;=2,"1-2 days",IF(AQ341&lt;=7,"3-7 days",IF(AQ341&lt;=14,"8-14 days",IF(AQ341&lt;=30,"15-30 days",IF(AQ341&lt;=60,"31-60 days",IF(AQ341&lt;=70,"61-70 days","71+ days")))))))))</x:f>
        <x:v>3-7 days</x:v>
      </x:c>
      <x:c r="AS341" s="25" t="str">
        <x:f>IF(OR(E341="processing",E341="executing",E341="pending"),IF(AP341="","Required aging date missing",IF(AQ341&gt;30,"Escalate &gt;30d",IF(AQ341&gt;14,"Watch &gt;14d","Within 14d"))),"Out of scope")</x:f>
        <x:v>Within 14d</x:v>
      </x:c>
    </x:row>
    <x:row r="342" ht="24" customHeight="1">
      <x:c r="A342" t="str">
        <x:v>3a3a8519-750d-42f4-8dd9-ab701dd3cad4</x:v>
      </x:c>
      <x:c r="B342" t="str">
        <x:v>CSSP10551555</x:v>
      </x:c>
      <x:c r="C342" t="str">
        <x:v>ahmadaizuddin.badry@petronas.com</x:v>
      </x:c>
      <x:c r="D342" t="str">
        <x:v>decommission-cloud</x:v>
      </x:c>
      <x:c r="E342" t="str">
        <x:v>cancelled</x:v>
      </x:c>
      <x:c r="F342" t="n">
        <x:v>46237.17056608796</x:v>
      </x:c>
      <x:c r="G342" t="n">
        <x:v>46237.171485810184</x:v>
      </x:c>
      <x:c r="H342" t="n">
        <x:v>46237.17056608796</x:v>
      </x:c>
      <x:c r="I342" t="str">
        <x:v>ProcurementGo/STAR</x:v>
      </x:c>
      <x:c r="J342" t="str">
        <x:v>Cloud Migration Program - Procurement/Go Star</x:v>
      </x:c>
      <x:c r="K342" t="str">
        <x:v>full</x:v>
      </x:c>
      <x:c r="L342" t="str">
        <x:v>DCOM20260731389 </x:v>
      </x:c>
      <x:c r="M342" t="str">
        <x:v>amirshazlan.mshah@petronas.com.my</x:v>
      </x:c>
      <x:c r="N342" t="str">
        <x:v>procurementgo.petronas.com</x:v>
      </x:c>
      <x:c r="O342"/>
      <x:c r="P342" t="str">
        <x:v>myProcure CPE will be replacing ProcurementGO for performance evaluation for vendor.</x:v>
      </x:c>
      <x:c r="Q342" t="str">
        <x:v>12M</x:v>
      </x:c>
      <x:c r="R342" t="str">
        <x:v>Not in Used</x:v>
      </x:c>
      <x:c r="S342"/>
      <x:c r="T342" t="str">
        <x:v>rejected</x:v>
      </x:c>
      <x:c r="U342" t="str">
        <x:v>ahmadaizuddin.badry@petronas.com</x:v>
      </x:c>
      <x:c r="V342" t="n">
        <x:v>46237.171485810184</x:v>
      </x:c>
      <x:c r="W342"/>
      <x:c r="X342"/>
      <x:c r="Y342" t="str">
        <x:v>amirshazlan.mshah@petronas.com</x:v>
      </x:c>
      <x:c r="Z342"/>
      <x:c r="AA342"/>
      <x:c r="AB342"/>
      <x:c r="AC342" t="str">
        <x:v>CCoE SA</x:v>
      </x:c>
      <x:c r="AD342"/>
      <x:c r="AE342"/>
      <x:c r="AF342"/>
      <x:c r="AG342" t="str">
        <x:v>IMS - CLOUD CSSP EXECUTOR</x:v>
      </x:c>
      <x:c r="AH342"/>
      <x:c r="AI342"/>
      <x:c r="AJ342" t="str">
        <x:v>A-000661</x:v>
      </x:c>
      <x:c r="AK342" t="str">
        <x:v>00915_30</x:v>
      </x:c>
      <x:c r="AL342"/>
      <x:c r="AM342"/>
      <x:c r="AN342" t="str">
        <x:v>retention</x:v>
      </x:c>
      <x:c r="AO342" t="n">
        <x:v>365</x:v>
      </x:c>
      <x:c r="AP342" s="23" t="str">
        <x:f>IF(E342="processing",IF(Z342="","",IF(ISNUMBER(Z342),INT(Z342),DATE(VALUE(LEFT(Z342,4)),VALUE(MID(Z342,6,2)),VALUE(MID(Z342,9,2))))),IF(OR(E342="executing",E342="pending"),IF(AD342="","",IF(ISNUMBER(AD342),INT(AD342),DATE(VALUE(LEFT(AD342,4)),VALUE(MID(AD342,6,2)),VALUE(MID(AD342,9,2))))),""))</x:f>
      </x:c>
      <x:c r="AQ342" s="24" t="str">
        <x:f>IF(AP342="","",INT('Configuration'!$B$4)-AP342)</x:f>
      </x:c>
      <x:c r="AR342" s="25" t="str">
        <x:f>IF(AP342="","Missing Required Date",IF(AQ342&lt;0,"Future Date",IF(AQ342=0,"0 days",IF(AQ342&lt;=2,"1-2 days",IF(AQ342&lt;=7,"3-7 days",IF(AQ342&lt;=14,"8-14 days",IF(AQ342&lt;=30,"15-30 days",IF(AQ342&lt;=60,"31-60 days",IF(AQ342&lt;=70,"61-70 days","71+ days")))))))))</x:f>
        <x:v>Missing Required Date</x:v>
      </x:c>
      <x:c r="AS342" s="25" t="str">
        <x:f>IF(OR(E342="processing",E342="executing",E342="pending"),IF(AP342="","Required aging date missing",IF(AQ342&gt;30,"Escalate &gt;30d",IF(AQ342&gt;14,"Watch &gt;14d","Within 14d"))),"Out of scope")</x:f>
        <x:v>Out of scope</x:v>
      </x:c>
    </x:row>
    <x:row r="343" ht="24" customHeight="1">
      <x:c r="A343" t="str">
        <x:v>72dbdb80-d5ae-472a-a030-c7fdd3833eec</x:v>
      </x:c>
      <x:c r="B343" t="str">
        <x:v>CSSP10311887</x:v>
      </x:c>
      <x:c r="C343" t="str">
        <x:v>ahmadaizuddin.badry@petronas.com</x:v>
      </x:c>
      <x:c r="D343" t="str">
        <x:v>decommission-cloud</x:v>
      </x:c>
      <x:c r="E343" t="str">
        <x:v>pending</x:v>
      </x:c>
      <x:c r="F343" t="n">
        <x:v>46237.17269381945</x:v>
      </x:c>
      <x:c r="G343" t="n">
        <x:v>46237.173705347224</x:v>
      </x:c>
      <x:c r="H343" t="n">
        <x:v>46237.17269381945</x:v>
      </x:c>
      <x:c r="I343" t="str">
        <x:v>ProcurementGo/STAR</x:v>
      </x:c>
      <x:c r="J343" t="str">
        <x:v>Cloud Migration Program - Procurement/Go Star</x:v>
      </x:c>
      <x:c r="K343" t="str">
        <x:v>full</x:v>
      </x:c>
      <x:c r="L343" t="str">
        <x:v>DCOM20260731389</x:v>
      </x:c>
      <x:c r="M343" t="str">
        <x:v>amirshazlan.mshah@petronas.com.my</x:v>
      </x:c>
      <x:c r="N343" t="str">
        <x:v>procurementgo.petronas.com</x:v>
      </x:c>
      <x:c r="O343"/>
      <x:c r="P343" t="str">
        <x:v>myProcure CPE will be replacing ProcurementGO for performance evaluation for Vendor feature. We need help from Cloud DB team to do backup of the DB data.</x:v>
      </x:c>
      <x:c r="Q343" t="str">
        <x:v>12M</x:v>
      </x:c>
      <x:c r="R343" t="str">
        <x:v>Not in Used</x:v>
      </x:c>
      <x:c r="S343"/>
      <x:c r="T343" t="str">
        <x:v>approved</x:v>
      </x:c>
      <x:c r="U343" t="str">
        <x:v>ahmadaizuddin.badry@petronas.com</x:v>
      </x:c>
      <x:c r="V343" t="n">
        <x:v>46237.173705347224</x:v>
      </x:c>
      <x:c r="W343" t="str">
        <x:v>Confirmed for the resources</x:v>
      </x:c>
      <x:c r="X343"/>
      <x:c r="Y343" t="str">
        <x:v>amirshazlan.mshah@petronas.com</x:v>
      </x:c>
      <x:c r="Z343"/>
      <x:c r="AA343"/>
      <x:c r="AB343"/>
      <x:c r="AC343" t="str">
        <x:v>CCoE SA</x:v>
      </x:c>
      <x:c r="AD343"/>
      <x:c r="AE343"/>
      <x:c r="AF343"/>
      <x:c r="AG343" t="str">
        <x:v>IMS - CLOUD CSSP EXECUTOR</x:v>
      </x:c>
      <x:c r="AH343"/>
      <x:c r="AI343"/>
      <x:c r="AJ343" t="str">
        <x:v>A-000661</x:v>
      </x:c>
      <x:c r="AK343" t="str">
        <x:v>00915_30</x:v>
      </x:c>
      <x:c r="AL343"/>
      <x:c r="AM343"/>
      <x:c r="AN343" t="str">
        <x:v>retention</x:v>
      </x:c>
      <x:c r="AO343" t="n">
        <x:v>364</x:v>
      </x:c>
      <x:c r="AP343" s="23" t="str">
        <x:f>IF(E343="processing",IF(Z343="","",IF(ISNUMBER(Z343),INT(Z343),DATE(VALUE(LEFT(Z343,4)),VALUE(MID(Z343,6,2)),VALUE(MID(Z343,9,2))))),IF(OR(E343="executing",E343="pending"),IF(AD343="","",IF(ISNUMBER(AD343),INT(AD343),DATE(VALUE(LEFT(AD343,4)),VALUE(MID(AD343,6,2)),VALUE(MID(AD343,9,2))))),""))</x:f>
      </x:c>
      <x:c r="AQ343" s="24" t="str">
        <x:f>IF(AP343="","",INT('Configuration'!$B$4)-AP343)</x:f>
      </x:c>
      <x:c r="AR343" s="25" t="str">
        <x:f>IF(AP343="","Missing Required Date",IF(AQ343&lt;0,"Future Date",IF(AQ343=0,"0 days",IF(AQ343&lt;=2,"1-2 days",IF(AQ343&lt;=7,"3-7 days",IF(AQ343&lt;=14,"8-14 days",IF(AQ343&lt;=30,"15-30 days",IF(AQ343&lt;=60,"31-60 days",IF(AQ343&lt;=70,"61-70 days","71+ days")))))))))</x:f>
        <x:v>Missing Required Date</x:v>
      </x:c>
      <x:c r="AS343" s="25" t="str">
        <x:f>IF(OR(E343="processing",E343="executing",E343="pending"),IF(AP343="","Required aging date missing",IF(AQ343&gt;30,"Escalate &gt;30d",IF(AQ343&gt;14,"Watch &gt;14d","Within 14d"))),"Out of scope")</x:f>
        <x:v>Required aging date missing</x:v>
      </x:c>
    </x:row>
    <x:row r="344" ht="24" customHeight="1">
      <x:c r="A344" t="str">
        <x:v>9da3307e-cbc5-4cfd-8336-3d3b5a373fd7</x:v>
      </x:c>
      <x:c r="B344" t="str">
        <x:v>CSSP10504866</x:v>
      </x:c>
      <x:c r="C344" t="str">
        <x:v>marziah.mahmod@petronas.com</x:v>
      </x:c>
      <x:c r="D344" t="str">
        <x:v>decommission-cloud</x:v>
      </x:c>
      <x:c r="E344" t="str">
        <x:v>executing</x:v>
      </x:c>
      <x:c r="F344" t="n">
        <x:v>46237.561653055556</x:v>
      </x:c>
      <x:c r="G344" t="n">
        <x:v>46246.65025947917</x:v>
      </x:c>
      <x:c r="H344" t="n">
        <x:v>46237.561653055556</x:v>
      </x:c>
      <x:c r="I344" t="str">
        <x:v>Plant Information - PI Hub Downstream</x:v>
      </x:c>
      <x:c r="J344" t="str">
        <x:v>CTP Old to New LZ - Enterprise PI Hub Downstream</x:v>
      </x:c>
      <x:c r="K344" t="str">
        <x:v>partial</x:v>
      </x:c>
      <x:c r="L344"/>
      <x:c r="M344" t="str">
        <x:v>mohammadsani.johari@petronas.com.my</x:v>
      </x:c>
      <x:c r="N344"/>
      <x:c r="O344"/>
      <x:c r="P344" t="str">
        <x:v>Cloud Migration (Repatriation SG to MY)</x:v>
      </x:c>
      <x:c r="Q344" t="str">
        <x:v>2W</x:v>
      </x:c>
      <x:c r="R344" t="str">
        <x:v>Cloud Migration</x:v>
      </x:c>
      <x:c r="S344"/>
      <x:c r="T344" t="str">
        <x:v>approved</x:v>
      </x:c>
      <x:c r="U344" t="str">
        <x:v>marziah.mahmod@petronas.com</x:v>
      </x:c>
      <x:c r="V344" t="n">
        <x:v>46237.56445769676</x:v>
      </x:c>
      <x:c r="W344" t="str">
        <x:v>PTAWSG-1PIDAF01
PTAWSG-1PIDAF02
PTAWSG-1PIDDB01
PTAWSG-1PIBADB2</x:v>
      </x:c>
      <x:c r="X344" t="str">
        <x:v>approved</x:v>
      </x:c>
      <x:c r="Y344" t="str">
        <x:v>mohammadsani.johari@petronas.com</x:v>
      </x:c>
      <x:c r="Z344" t="n">
        <x:v>46241.08079768519</x:v>
      </x:c>
      <x:c r="AA344" t="str">
        <x:v>Proceed to decom</x:v>
      </x:c>
      <x:c r="AB344" t="str">
        <x:v>approved</x:v>
      </x:c>
      <x:c r="AC344" t="str">
        <x:v>abhishek.bhowate@petronas.com</x:v>
      </x:c>
      <x:c r="AD344" t="n">
        <x:v>46246.65025950231</x:v>
      </x:c>
      <x:c r="AE344" t="str">
        <x:v>approve</x:v>
      </x:c>
      <x:c r="AF344"/>
      <x:c r="AG344" t="str">
        <x:v>swaminadh.chirakala@petronas.com</x:v>
      </x:c>
      <x:c r="AH344"/>
      <x:c r="AI344"/>
      <x:c r="AJ344" t="str">
        <x:v>A-000571</x:v>
      </x:c>
      <x:c r="AK344" t="str">
        <x:v>02421_70</x:v>
      </x:c>
      <x:c r="AL344" t="str">
        <x:v>L</x:v>
      </x:c>
      <x:c r="AM344" t="str">
        <x:v>REQ000008237796</x:v>
      </x:c>
      <x:c r="AN344" t="str">
        <x:v>noretention</x:v>
      </x:c>
      <x:c r="AO344" t="n">
        <x:v>0</x:v>
      </x:c>
      <x:c r="AP344" s="23" t="n">
        <x:f>IF(E344="processing",IF(Z344="","",IF(ISNUMBER(Z344),INT(Z344),DATE(VALUE(LEFT(Z344,4)),VALUE(MID(Z344,6,2)),VALUE(MID(Z344,9,2))))),IF(OR(E344="executing",E344="pending"),IF(AD344="","",IF(ISNUMBER(AD344),INT(AD344),DATE(VALUE(LEFT(AD344,4)),VALUE(MID(AD344,6,2)),VALUE(MID(AD344,9,2))))),""))</x:f>
        <x:v>46246</x:v>
      </x:c>
      <x:c r="AQ344" s="24" t="n">
        <x:f>IF(AP344="","",INT('Configuration'!$B$4)-AP344)</x:f>
        <x:v>5</x:v>
      </x:c>
      <x:c r="AR344" s="25" t="str">
        <x:f>IF(AP344="","Missing Required Date",IF(AQ344&lt;0,"Future Date",IF(AQ344=0,"0 days",IF(AQ344&lt;=2,"1-2 days",IF(AQ344&lt;=7,"3-7 days",IF(AQ344&lt;=14,"8-14 days",IF(AQ344&lt;=30,"15-30 days",IF(AQ344&lt;=60,"31-60 days",IF(AQ344&lt;=70,"61-70 days","71+ days")))))))))</x:f>
        <x:v>3-7 days</x:v>
      </x:c>
      <x:c r="AS344" s="25" t="str">
        <x:f>IF(OR(E344="processing",E344="executing",E344="pending"),IF(AP344="","Required aging date missing",IF(AQ344&gt;30,"Escalate &gt;30d",IF(AQ344&gt;14,"Watch &gt;14d","Within 14d"))),"Out of scope")</x:f>
        <x:v>Within 14d</x:v>
      </x:c>
    </x:row>
    <x:row r="345" ht="24" customHeight="1">
      <x:c r="A345" t="str">
        <x:v>05bf9597-9089-4680-8631-da11e3d61379</x:v>
      </x:c>
      <x:c r="B345" t="str">
        <x:v>CSSP10983605</x:v>
      </x:c>
      <x:c r="C345" t="str">
        <x:v>marziah.mahmod@petronas.com</x:v>
      </x:c>
      <x:c r="D345" t="str">
        <x:v>decommission-cloud</x:v>
      </x:c>
      <x:c r="E345" t="str">
        <x:v>executing</x:v>
      </x:c>
      <x:c r="F345" t="n">
        <x:v>46237.57123815972</x:v>
      </x:c>
      <x:c r="G345" t="n">
        <x:v>46246.64991947917</x:v>
      </x:c>
      <x:c r="H345" t="n">
        <x:v>46237.57123815972</x:v>
      </x:c>
      <x:c r="I345" t="str">
        <x:v>Plant Information - PI Enterprise</x:v>
      </x:c>
      <x:c r="J345" t="str">
        <x:v>CTP Old to New LZ - PI Enterprise</x:v>
      </x:c>
      <x:c r="K345" t="str">
        <x:v>partial</x:v>
      </x:c>
      <x:c r="L345"/>
      <x:c r="M345" t="str">
        <x:v>mohammadsani.johari@petronas.com.my</x:v>
      </x:c>
      <x:c r="N345"/>
      <x:c r="O345"/>
      <x:c r="P345" t="str">
        <x:v>Cloud Migration (Repatriation from SG to MY)</x:v>
      </x:c>
      <x:c r="Q345" t="str">
        <x:v>2W</x:v>
      </x:c>
      <x:c r="R345" t="str">
        <x:v>Cloud Migration</x:v>
      </x:c>
      <x:c r="S345"/>
      <x:c r="T345" t="str">
        <x:v>approved</x:v>
      </x:c>
      <x:c r="U345" t="str">
        <x:v>marziah.mahmod@petronas.com</x:v>
      </x:c>
      <x:c r="V345" t="n">
        <x:v>46237.57364328704</x:v>
      </x:c>
      <x:c r="W345" t="str">
        <x:v>PTAWSG-1PIEDB02
PTAWSG-1PIEAF02
PTAWSG-PROD-PIES-WEB-INT-NLB
PTAWSG-1PIEWB01
PTAWSG-1PIBADB2
</x:v>
      </x:c>
      <x:c r="X345" t="str">
        <x:v>approved</x:v>
      </x:c>
      <x:c r="Y345" t="str">
        <x:v>mohammadsani.johari@petronas.com</x:v>
      </x:c>
      <x:c r="Z345" t="n">
        <x:v>46241.080134675925</x:v>
      </x:c>
      <x:c r="AA345" t="str">
        <x:v>Proceed to decom</x:v>
      </x:c>
      <x:c r="AB345" t="str">
        <x:v>approved</x:v>
      </x:c>
      <x:c r="AC345" t="str">
        <x:v>abhishek.bhowate@petronas.com</x:v>
      </x:c>
      <x:c r="AD345" t="n">
        <x:v>46246.64991950231</x:v>
      </x:c>
      <x:c r="AE345" t="str">
        <x:v>Approve</x:v>
      </x:c>
      <x:c r="AF345"/>
      <x:c r="AG345" t="str">
        <x:v>swaminadh.chirakala@petronas.com</x:v>
      </x:c>
      <x:c r="AH345"/>
      <x:c r="AI345"/>
      <x:c r="AJ345" t="str">
        <x:v>A-000568</x:v>
      </x:c>
      <x:c r="AK345" t="str">
        <x:v>02421_71</x:v>
      </x:c>
      <x:c r="AL345" t="str">
        <x:v>L</x:v>
      </x:c>
      <x:c r="AM345" t="str">
        <x:v>REQ000008238286</x:v>
      </x:c>
      <x:c r="AN345" t="str">
        <x:v>noretention</x:v>
      </x:c>
      <x:c r="AO345" t="n">
        <x:v>0</x:v>
      </x:c>
      <x:c r="AP345" s="23" t="n">
        <x:f>IF(E345="processing",IF(Z345="","",IF(ISNUMBER(Z345),INT(Z345),DATE(VALUE(LEFT(Z345,4)),VALUE(MID(Z345,6,2)),VALUE(MID(Z345,9,2))))),IF(OR(E345="executing",E345="pending"),IF(AD345="","",IF(ISNUMBER(AD345),INT(AD345),DATE(VALUE(LEFT(AD345,4)),VALUE(MID(AD345,6,2)),VALUE(MID(AD345,9,2))))),""))</x:f>
        <x:v>46246</x:v>
      </x:c>
      <x:c r="AQ345" s="24" t="n">
        <x:f>IF(AP345="","",INT('Configuration'!$B$4)-AP345)</x:f>
        <x:v>5</x:v>
      </x:c>
      <x:c r="AR345" s="25" t="str">
        <x:f>IF(AP345="","Missing Required Date",IF(AQ345&lt;0,"Future Date",IF(AQ345=0,"0 days",IF(AQ345&lt;=2,"1-2 days",IF(AQ345&lt;=7,"3-7 days",IF(AQ345&lt;=14,"8-14 days",IF(AQ345&lt;=30,"15-30 days",IF(AQ345&lt;=60,"31-60 days",IF(AQ345&lt;=70,"61-70 days","71+ days")))))))))</x:f>
        <x:v>3-7 days</x:v>
      </x:c>
      <x:c r="AS345" s="25" t="str">
        <x:f>IF(OR(E345="processing",E345="executing",E345="pending"),IF(AP345="","Required aging date missing",IF(AQ345&gt;30,"Escalate &gt;30d",IF(AQ345&gt;14,"Watch &gt;14d","Within 14d"))),"Out of scope")</x:f>
        <x:v>Within 14d</x:v>
      </x:c>
    </x:row>
    <x:row r="346" ht="24" customHeight="1">
      <x:c r="A346" t="str">
        <x:v>24ae047a-adba-4f56-bf51-a581db8048d0</x:v>
      </x:c>
      <x:c r="B346" t="str">
        <x:v>CSSP10631258</x:v>
      </x:c>
      <x:c r="C346" t="str">
        <x:v>sumituttam.vhankatte@petronas.com</x:v>
      </x:c>
      <x:c r="D346" t="str">
        <x:v>decommission-cloud</x:v>
      </x:c>
      <x:c r="E346" t="str">
        <x:v>pending</x:v>
      </x:c>
      <x:c r="F346" t="n">
        <x:v>46238.11274331019</x:v>
      </x:c>
      <x:c r="G346" t="n">
        <x:v>46238.11443148148</x:v>
      </x:c>
      <x:c r="H346" t="n">
        <x:v>46238.11274331019</x:v>
      </x:c>
      <x:c r="I346" t="str">
        <x:v>Cyber Security CyberArk</x:v>
      </x:c>
      <x:c r="J346" t="str">
        <x:v>CyberArk Migration</x:v>
      </x:c>
      <x:c r="K346" t="str">
        <x:v>partial</x:v>
      </x:c>
      <x:c r="L346"/>
      <x:c r="M346" t="str">
        <x:v>imran.makhdoom@petronas.com.my</x:v>
      </x:c>
      <x:c r="N346"/>
      <x:c r="O346"/>
      <x:c r="P346" t="str">
        <x:v>The mentioned servers are not in use hence need to be decommissioned.
172.25.8.31	ptsg-3cacap01
172.25.8.75	ptsg-3cacap02
172.25.8.82	ptsg-3cacap03
172.25.8.84	ptsg-3cacap04</x:v>
      </x:c>
      <x:c r="Q346" t="str">
        <x:v>2W</x:v>
      </x:c>
      <x:c r="R346" t="str">
        <x:v>Not in Used</x:v>
      </x:c>
      <x:c r="S346"/>
      <x:c r="T346" t="str">
        <x:v>approved</x:v>
      </x:c>
      <x:c r="U346" t="str">
        <x:v>sumituttam.vhankatte@petronas.com</x:v>
      </x:c>
      <x:c r="V346" t="n">
        <x:v>46238.11443148148</x:v>
      </x:c>
      <x:c r="W346" t="str">
        <x:v>The mentioned servers are not tagged to CyberArk application in CMDB, hence cannot be selected in the resource selector pane. Adding the server list here:
172.25.8.31	ptsg-3cacap01
172.25.8.75	ptsg-3cacap02
172.25.8.82	ptsg-3cacap03
172.25.8.84	ptsg-3cacap04</x:v>
      </x:c>
      <x:c r="X346"/>
      <x:c r="Y346" t="str">
        <x:v>imran.makhdoom@petronas.com</x:v>
      </x:c>
      <x:c r="Z346"/>
      <x:c r="AA346"/>
      <x:c r="AB346"/>
      <x:c r="AC346" t="str">
        <x:v>CCoE SA</x:v>
      </x:c>
      <x:c r="AD346"/>
      <x:c r="AE346"/>
      <x:c r="AF346"/>
      <x:c r="AG346" t="str">
        <x:v>IMS - CLOUD CSSP EXECUTOR</x:v>
      </x:c>
      <x:c r="AH346"/>
      <x:c r="AI346"/>
      <x:c r="AJ346" t="str">
        <x:v>A-000157</x:v>
      </x:c>
      <x:c r="AK346" t="str">
        <x:v>PC-00046</x:v>
      </x:c>
      <x:c r="AL346"/>
      <x:c r="AM346"/>
      <x:c r="AN346" t="str">
        <x:v>noretention</x:v>
      </x:c>
      <x:c r="AO346" t="n">
        <x:v>0</x:v>
      </x:c>
      <x:c r="AP346" s="23" t="str">
        <x:f>IF(E346="processing",IF(Z346="","",IF(ISNUMBER(Z346),INT(Z346),DATE(VALUE(LEFT(Z346,4)),VALUE(MID(Z346,6,2)),VALUE(MID(Z346,9,2))))),IF(OR(E346="executing",E346="pending"),IF(AD346="","",IF(ISNUMBER(AD346),INT(AD346),DATE(VALUE(LEFT(AD346,4)),VALUE(MID(AD346,6,2)),VALUE(MID(AD346,9,2))))),""))</x:f>
      </x:c>
      <x:c r="AQ346" s="24" t="str">
        <x:f>IF(AP346="","",INT('Configuration'!$B$4)-AP346)</x:f>
      </x:c>
      <x:c r="AR346" s="25" t="str">
        <x:f>IF(AP346="","Missing Required Date",IF(AQ346&lt;0,"Future Date",IF(AQ346=0,"0 days",IF(AQ346&lt;=2,"1-2 days",IF(AQ346&lt;=7,"3-7 days",IF(AQ346&lt;=14,"8-14 days",IF(AQ346&lt;=30,"15-30 days",IF(AQ346&lt;=60,"31-60 days",IF(AQ346&lt;=70,"61-70 days","71+ days")))))))))</x:f>
        <x:v>Missing Required Date</x:v>
      </x:c>
      <x:c r="AS346" s="25" t="str">
        <x:f>IF(OR(E346="processing",E346="executing",E346="pending"),IF(AP346="","Required aging date missing",IF(AQ346&gt;30,"Escalate &gt;30d",IF(AQ346&gt;14,"Watch &gt;14d","Within 14d"))),"Out of scope")</x:f>
        <x:v>Required aging date missing</x:v>
      </x:c>
    </x:row>
    <x:row r="347" ht="24" customHeight="1">
      <x:c r="A347" t="str">
        <x:v>0b76be9d-1dee-40de-b448-3f4f6f3dc009</x:v>
      </x:c>
      <x:c r="B347" t="str">
        <x:v>CSSP10679558</x:v>
      </x:c>
      <x:c r="C347" t="str">
        <x:v>izham.ajmaan@petronas.com</x:v>
      </x:c>
      <x:c r="D347" t="str">
        <x:v>decommission-cloud</x:v>
      </x:c>
      <x:c r="E347" t="str">
        <x:v>cancelled</x:v>
      </x:c>
      <x:c r="F347" t="n">
        <x:v>46238.18712804398</x:v>
      </x:c>
      <x:c r="G347" t="n">
        <x:v>46238.18755753472</x:v>
      </x:c>
      <x:c r="H347" t="n">
        <x:v>46238.18712804398</x:v>
      </x:c>
      <x:c r="I347" t="str">
        <x:v>.NET Shared Infra</x:v>
      </x:c>
      <x:c r="J347" t="str">
        <x:v>.NET Farm on Cloud- Setup of Azure New Common .Net Farm for PETRONAS</x:v>
      </x:c>
      <x:c r="K347" t="str">
        <x:v>ci</x:v>
      </x:c>
      <x:c r="L347"/>
      <x:c r="M347" t="str">
        <x:v>izham.ajmaan@petronas.com</x:v>
      </x:c>
      <x:c r="N347"/>
      <x:c r="O347"/>
      <x:c r="P347" t="str">
        <x:v>adad</x:v>
      </x:c>
      <x:c r="Q347" t="str">
        <x:v>3M</x:v>
      </x:c>
      <x:c r="R347" t="str">
        <x:v>End of Lease</x:v>
      </x:c>
      <x:c r="S347"/>
      <x:c r="T347" t="str">
        <x:v>rejected</x:v>
      </x:c>
      <x:c r="U347" t="str">
        <x:v>izham.ajmaan@petronas.com</x:v>
      </x:c>
      <x:c r="V347" t="n">
        <x:v>46238.1875575463</x:v>
      </x:c>
      <x:c r="W347"/>
      <x:c r="X347"/>
      <x:c r="Y347" t="str">
        <x:v>izham.ajmaan@petronas.com</x:v>
      </x:c>
      <x:c r="Z347"/>
      <x:c r="AA347"/>
      <x:c r="AB347"/>
      <x:c r="AC347" t="str">
        <x:v>CCoE SA</x:v>
      </x:c>
      <x:c r="AD347"/>
      <x:c r="AE347"/>
      <x:c r="AF347"/>
      <x:c r="AG347" t="str">
        <x:v>IMS - CLOUD CSSP EXECUTOR</x:v>
      </x:c>
      <x:c r="AH347"/>
      <x:c r="AI347"/>
      <x:c r="AJ347" t="str">
        <x:v>P-000004</x:v>
      </x:c>
      <x:c r="AK347" t="str">
        <x:v>PSR04784</x:v>
      </x:c>
      <x:c r="AL347"/>
      <x:c r="AM347"/>
      <x:c r="AN347" t="str">
        <x:v>disposal</x:v>
      </x:c>
      <x:c r="AO347" t="n">
        <x:v>0</x:v>
      </x:c>
      <x:c r="AP347" s="23" t="str">
        <x:f>IF(E347="processing",IF(Z347="","",IF(ISNUMBER(Z347),INT(Z347),DATE(VALUE(LEFT(Z347,4)),VALUE(MID(Z347,6,2)),VALUE(MID(Z347,9,2))))),IF(OR(E347="executing",E347="pending"),IF(AD347="","",IF(ISNUMBER(AD347),INT(AD347),DATE(VALUE(LEFT(AD347,4)),VALUE(MID(AD347,6,2)),VALUE(MID(AD347,9,2))))),""))</x:f>
      </x:c>
      <x:c r="AQ347" s="24" t="str">
        <x:f>IF(AP347="","",INT('Configuration'!$B$4)-AP347)</x:f>
      </x:c>
      <x:c r="AR347" s="25" t="str">
        <x:f>IF(AP347="","Missing Required Date",IF(AQ347&lt;0,"Future Date",IF(AQ347=0,"0 days",IF(AQ347&lt;=2,"1-2 days",IF(AQ347&lt;=7,"3-7 days",IF(AQ347&lt;=14,"8-14 days",IF(AQ347&lt;=30,"15-30 days",IF(AQ347&lt;=60,"31-60 days",IF(AQ347&lt;=70,"61-70 days","71+ days")))))))))</x:f>
        <x:v>Missing Required Date</x:v>
      </x:c>
      <x:c r="AS347" s="25" t="str">
        <x:f>IF(OR(E347="processing",E347="executing",E347="pending"),IF(AP347="","Required aging date missing",IF(AQ347&gt;30,"Escalate &gt;30d",IF(AQ347&gt;14,"Watch &gt;14d","Within 14d"))),"Out of scope")</x:f>
        <x:v>Out of scope</x:v>
      </x:c>
    </x:row>
    <x:row r="348" ht="24" customHeight="1">
      <x:c r="A348" t="str">
        <x:v>140ebd56-2d9d-4918-ac23-67f74039fec2</x:v>
      </x:c>
      <x:c r="B348" t="str">
        <x:v>CSSP10777002</x:v>
      </x:c>
      <x:c r="C348" t="str">
        <x:v>sumituttam.vhankatte@petronas.com</x:v>
      </x:c>
      <x:c r="D348" t="str">
        <x:v>decommission-cloud</x:v>
      </x:c>
      <x:c r="E348" t="str">
        <x:v>pending</x:v>
      </x:c>
      <x:c r="F348" t="n">
        <x:v>46238.23572415509</x:v>
      </x:c>
      <x:c r="G348" t="n">
        <x:v>46238.23572415509</x:v>
      </x:c>
      <x:c r="H348" t="n">
        <x:v>46238.23572415509</x:v>
      </x:c>
      <x:c r="I348" t="str">
        <x:v>Cyber Security CyberArk</x:v>
      </x:c>
      <x:c r="J348" t="str">
        <x:v>CyberArk staging environment</x:v>
      </x:c>
      <x:c r="K348" t="str">
        <x:v>partial</x:v>
      </x:c>
      <x:c r="L348"/>
      <x:c r="M348" t="str">
        <x:v>imran.makhdoom@petronas.com.my</x:v>
      </x:c>
      <x:c r="N348"/>
      <x:c r="O348"/>
      <x:c r="P348" t="str">
        <x:v>The servers are not in use, hence need to be decommissioned
172.25.8.31	ptsg-3cacap01
172.25.8.75	ptsg-3cacap02
172.25.8.82	ptsg-3cacap03
172.25.8.84	ptsg-3cacap04</x:v>
      </x:c>
      <x:c r="Q348" t="str">
        <x:v>2W</x:v>
      </x:c>
      <x:c r="R348" t="str">
        <x:v>Not in Used</x:v>
      </x:c>
      <x:c r="S348"/>
      <x:c r="T348" t="str">
        <x:v>pending</x:v>
      </x:c>
      <x:c r="U348" t="str">
        <x:v>sumituttam.vhankatte@petronas.com</x:v>
      </x:c>
      <x:c r="V348"/>
      <x:c r="W348"/>
      <x:c r="X348"/>
      <x:c r="Y348" t="str">
        <x:v>imran.makhdoom@petronas.com</x:v>
      </x:c>
      <x:c r="Z348"/>
      <x:c r="AA348"/>
      <x:c r="AB348"/>
      <x:c r="AC348" t="str">
        <x:v>CCoE SA</x:v>
      </x:c>
      <x:c r="AD348"/>
      <x:c r="AE348"/>
      <x:c r="AF348"/>
      <x:c r="AG348" t="str">
        <x:v>IMS - CLOUD CSSP EXECUTOR</x:v>
      </x:c>
      <x:c r="AH348"/>
      <x:c r="AI348"/>
      <x:c r="AJ348" t="str">
        <x:v>A-000157</x:v>
      </x:c>
      <x:c r="AK348" t="str">
        <x:v>X.704D27VO.210010</x:v>
      </x:c>
      <x:c r="AL348"/>
      <x:c r="AM348"/>
      <x:c r="AN348" t="str">
        <x:v>noretention</x:v>
      </x:c>
      <x:c r="AO348" t="n">
        <x:v>0</x:v>
      </x:c>
      <x:c r="AP348" s="23" t="str">
        <x:f>IF(E348="processing",IF(Z348="","",IF(ISNUMBER(Z348),INT(Z348),DATE(VALUE(LEFT(Z348,4)),VALUE(MID(Z348,6,2)),VALUE(MID(Z348,9,2))))),IF(OR(E348="executing",E348="pending"),IF(AD348="","",IF(ISNUMBER(AD348),INT(AD348),DATE(VALUE(LEFT(AD348,4)),VALUE(MID(AD348,6,2)),VALUE(MID(AD348,9,2))))),""))</x:f>
      </x:c>
      <x:c r="AQ348" s="24" t="str">
        <x:f>IF(AP348="","",INT('Configuration'!$B$4)-AP348)</x:f>
      </x:c>
      <x:c r="AR348" s="25" t="str">
        <x:f>IF(AP348="","Missing Required Date",IF(AQ348&lt;0,"Future Date",IF(AQ348=0,"0 days",IF(AQ348&lt;=2,"1-2 days",IF(AQ348&lt;=7,"3-7 days",IF(AQ348&lt;=14,"8-14 days",IF(AQ348&lt;=30,"15-30 days",IF(AQ348&lt;=60,"31-60 days",IF(AQ348&lt;=70,"61-70 days","71+ days")))))))))</x:f>
        <x:v>Missing Required Date</x:v>
      </x:c>
      <x:c r="AS348" s="25" t="str">
        <x:f>IF(OR(E348="processing",E348="executing",E348="pending"),IF(AP348="","Required aging date missing",IF(AQ348&gt;30,"Escalate &gt;30d",IF(AQ348&gt;14,"Watch &gt;14d","Within 14d"))),"Out of scope")</x:f>
        <x:v>Required aging date missing</x:v>
      </x:c>
    </x:row>
    <x:row r="349" ht="24" customHeight="1">
      <x:c r="A349" t="str">
        <x:v>eb26b4bc-1070-43bf-a29c-83dd3199430c</x:v>
      </x:c>
      <x:c r="B349" t="str">
        <x:v>CSSP10626959</x:v>
      </x:c>
      <x:c r="C349" t="str">
        <x:v>faizanabdrahim.ansar@petronas.com</x:v>
      </x:c>
      <x:c r="D349" t="str">
        <x:v>decommission-cloud</x:v>
      </x:c>
      <x:c r="E349" t="str">
        <x:v>cancelled</x:v>
      </x:c>
      <x:c r="F349" t="n">
        <x:v>46238.24221604167</x:v>
      </x:c>
      <x:c r="G349" t="n">
        <x:v>46238.2441056713</x:v>
      </x:c>
      <x:c r="H349" t="n">
        <x:v>46238.24221604167</x:v>
      </x:c>
      <x:c r="I349" t="str">
        <x:v>Cyber Security CyberArk</x:v>
      </x:c>
      <x:c r="J349" t="str">
        <x:v>CyberArk staging environment</x:v>
      </x:c>
      <x:c r="K349" t="str">
        <x:v>partial</x:v>
      </x:c>
      <x:c r="L349"/>
      <x:c r="M349" t="str">
        <x:v>imran.makhdoom@petronas.com</x:v>
      </x:c>
      <x:c r="N349"/>
      <x:c r="O349"/>
      <x:c r="P349" t="str">
        <x:v>Decommission of below servers as they are not in use anymore. 
172.25.8.31 = ptsg-3cacap01
172.25.8.75 = ptsg-3cacap02
172.25.8.82 = ptsg-3cacap03
172.25.8.84 = ptsg-3cacap04</x:v>
      </x:c>
      <x:c r="Q349" t="str">
        <x:v>2W</x:v>
      </x:c>
      <x:c r="R349" t="str">
        <x:v>Not in Used</x:v>
      </x:c>
      <x:c r="S349"/>
      <x:c r="T349" t="str">
        <x:v>rejected</x:v>
      </x:c>
      <x:c r="U349" t="str">
        <x:v>faizanabdrahim.ansar@petronas.com</x:v>
      </x:c>
      <x:c r="V349" t="n">
        <x:v>46238.2441056713</x:v>
      </x:c>
      <x:c r="W349"/>
      <x:c r="X349"/>
      <x:c r="Y349" t="str">
        <x:v>imran.makhdoom@petronas.com</x:v>
      </x:c>
      <x:c r="Z349"/>
      <x:c r="AA349"/>
      <x:c r="AB349"/>
      <x:c r="AC349" t="str">
        <x:v>CCoE SA</x:v>
      </x:c>
      <x:c r="AD349"/>
      <x:c r="AE349"/>
      <x:c r="AF349"/>
      <x:c r="AG349" t="str">
        <x:v>IMS - CLOUD CSSP EXECUTOR</x:v>
      </x:c>
      <x:c r="AH349"/>
      <x:c r="AI349"/>
      <x:c r="AJ349" t="str">
        <x:v>A-000157</x:v>
      </x:c>
      <x:c r="AK349" t="str">
        <x:v>X.704D27VO.210010</x:v>
      </x:c>
      <x:c r="AL349"/>
      <x:c r="AM349"/>
      <x:c r="AN349" t="str">
        <x:v>noretention</x:v>
      </x:c>
      <x:c r="AO349" t="n">
        <x:v>0</x:v>
      </x:c>
      <x:c r="AP349" s="23" t="str">
        <x:f>IF(E349="processing",IF(Z349="","",IF(ISNUMBER(Z349),INT(Z349),DATE(VALUE(LEFT(Z349,4)),VALUE(MID(Z349,6,2)),VALUE(MID(Z349,9,2))))),IF(OR(E349="executing",E349="pending"),IF(AD349="","",IF(ISNUMBER(AD349),INT(AD349),DATE(VALUE(LEFT(AD349,4)),VALUE(MID(AD349,6,2)),VALUE(MID(AD349,9,2))))),""))</x:f>
      </x:c>
      <x:c r="AQ349" s="24" t="str">
        <x:f>IF(AP349="","",INT('Configuration'!$B$4)-AP349)</x:f>
      </x:c>
      <x:c r="AR349" s="25" t="str">
        <x:f>IF(AP349="","Missing Required Date",IF(AQ349&lt;0,"Future Date",IF(AQ349=0,"0 days",IF(AQ349&lt;=2,"1-2 days",IF(AQ349&lt;=7,"3-7 days",IF(AQ349&lt;=14,"8-14 days",IF(AQ349&lt;=30,"15-30 days",IF(AQ349&lt;=60,"31-60 days",IF(AQ349&lt;=70,"61-70 days","71+ days")))))))))</x:f>
        <x:v>Missing Required Date</x:v>
      </x:c>
      <x:c r="AS349" s="25" t="str">
        <x:f>IF(OR(E349="processing",E349="executing",E349="pending"),IF(AP349="","Required aging date missing",IF(AQ349&gt;30,"Escalate &gt;30d",IF(AQ349&gt;14,"Watch &gt;14d","Within 14d"))),"Out of scope")</x:f>
        <x:v>Out of scope</x:v>
      </x:c>
    </x:row>
    <x:row r="350" ht="24" customHeight="1">
      <x:c r="A350" t="str">
        <x:v>d905f8dd-bdff-4ef9-954f-3a6a1ae90859</x:v>
      </x:c>
      <x:c r="B350" t="str">
        <x:v>CSSP10782523</x:v>
      </x:c>
      <x:c r="C350" t="str">
        <x:v>sumituttam.vhankatte@petronas.com</x:v>
      </x:c>
      <x:c r="D350" t="str">
        <x:v>decommission-cloud</x:v>
      </x:c>
      <x:c r="E350" t="str">
        <x:v>pending</x:v>
      </x:c>
      <x:c r="F350" t="n">
        <x:v>46238.24728862268</x:v>
      </x:c>
      <x:c r="G350" t="n">
        <x:v>46238.24728862268</x:v>
      </x:c>
      <x:c r="H350" t="n">
        <x:v>46238.24728862268</x:v>
      </x:c>
      <x:c r="I350" t="str">
        <x:v>Cyber Security Identity and Access Management - IAM</x:v>
      </x:c>
      <x:c r="J350" t="str">
        <x:v>CS IAM Application Onboarding Factory -</x:v>
      </x:c>
      <x:c r="K350" t="str">
        <x:v>partial</x:v>
      </x:c>
      <x:c r="L350"/>
      <x:c r="M350" t="str">
        <x:v>imran.makhdoom@petronas.com.my</x:v>
      </x:c>
      <x:c r="N350"/>
      <x:c r="O350"/>
      <x:c r="P350" t="str">
        <x:v>The mentioned servers are not in use, hence need to be decommissioned.
172.25.8.31	ptsg-3cacap01
172.25.8.75	ptsg-3cacap02
172.25.8.82	ptsg-3cacap03
172.25.8.84	ptsg-3cacap04
</x:v>
      </x:c>
      <x:c r="Q350" t="str">
        <x:v>2W</x:v>
      </x:c>
      <x:c r="R350" t="str">
        <x:v>Not in Used</x:v>
      </x:c>
      <x:c r="S350"/>
      <x:c r="T350" t="str">
        <x:v>pending</x:v>
      </x:c>
      <x:c r="U350" t="str">
        <x:v>sumituttam.vhankatte@petronas.com</x:v>
      </x:c>
      <x:c r="V350"/>
      <x:c r="W350"/>
      <x:c r="X350"/>
      <x:c r="Y350" t="str">
        <x:v>imran.makhdoom@petronas.com</x:v>
      </x:c>
      <x:c r="Z350"/>
      <x:c r="AA350"/>
      <x:c r="AB350"/>
      <x:c r="AC350" t="str">
        <x:v>CCoE SA</x:v>
      </x:c>
      <x:c r="AD350"/>
      <x:c r="AE350"/>
      <x:c r="AF350"/>
      <x:c r="AG350" t="str">
        <x:v>IMS - CLOUD CSSP EXECUTOR</x:v>
      </x:c>
      <x:c r="AH350"/>
      <x:c r="AI350"/>
      <x:c r="AJ350" t="str">
        <x:v>A-000161</x:v>
      </x:c>
      <x:c r="AK350" t="n">
        <x:v>2450</x:v>
      </x:c>
      <x:c r="AL350"/>
      <x:c r="AM350"/>
      <x:c r="AN350" t="str">
        <x:v>noretention</x:v>
      </x:c>
      <x:c r="AO350" t="n">
        <x:v>0</x:v>
      </x:c>
      <x:c r="AP350" s="23" t="str">
        <x:f>IF(E350="processing",IF(Z350="","",IF(ISNUMBER(Z350),INT(Z350),DATE(VALUE(LEFT(Z350,4)),VALUE(MID(Z350,6,2)),VALUE(MID(Z350,9,2))))),IF(OR(E350="executing",E350="pending"),IF(AD350="","",IF(ISNUMBER(AD350),INT(AD350),DATE(VALUE(LEFT(AD350,4)),VALUE(MID(AD350,6,2)),VALUE(MID(AD350,9,2))))),""))</x:f>
      </x:c>
      <x:c r="AQ350" s="24" t="str">
        <x:f>IF(AP350="","",INT('Configuration'!$B$4)-AP350)</x:f>
      </x:c>
      <x:c r="AR350" s="25" t="str">
        <x:f>IF(AP350="","Missing Required Date",IF(AQ350&lt;0,"Future Date",IF(AQ350=0,"0 days",IF(AQ350&lt;=2,"1-2 days",IF(AQ350&lt;=7,"3-7 days",IF(AQ350&lt;=14,"8-14 days",IF(AQ350&lt;=30,"15-30 days",IF(AQ350&lt;=60,"31-60 days",IF(AQ350&lt;=70,"61-70 days","71+ days")))))))))</x:f>
        <x:v>Missing Required Date</x:v>
      </x:c>
      <x:c r="AS350" s="25" t="str">
        <x:f>IF(OR(E350="processing",E350="executing",E350="pending"),IF(AP350="","Required aging date missing",IF(AQ350&gt;30,"Escalate &gt;30d",IF(AQ350&gt;14,"Watch &gt;14d","Within 14d"))),"Out of scope")</x:f>
        <x:v>Required aging date missing</x:v>
      </x:c>
    </x:row>
    <x:row r="351" ht="24" customHeight="1">
      <x:c r="A351" t="str">
        <x:v>bfb50a01-9d05-431c-9ba3-bc3b67c01cb3</x:v>
      </x:c>
      <x:c r="B351" t="str">
        <x:v>CSSP10292490</x:v>
      </x:c>
      <x:c r="C351" t="str">
        <x:v>mfaizal.suriyat@petronas.com</x:v>
      </x:c>
      <x:c r="D351" t="str">
        <x:v>decommission-cloud</x:v>
      </x:c>
      <x:c r="E351" t="str">
        <x:v>cancelled</x:v>
      </x:c>
      <x:c r="F351" t="n">
        <x:v>46239.06516880787</x:v>
      </x:c>
      <x:c r="G351" t="n">
        <x:v>46239.264718101855</x:v>
      </x:c>
      <x:c r="H351" t="n">
        <x:v>46239.06516880787</x:v>
      </x:c>
      <x:c r="I351" t="str">
        <x:v>Electronic Permit To Work - ePTW KPOC</x:v>
      </x:c>
      <x:c r="J351" t="str">
        <x:v>Implementation of ePTW system and Support &amp; Maintenance for Kebabangan Petroleum Operating Company Sdn. Bhd (KPOC) for Virtus IP Sdn Bhd - ePTW Commercial (Production) (Formelrly known as: ePTW (KPOC))</x:v>
      </x:c>
      <x:c r="K351" t="str">
        <x:v>partial</x:v>
      </x:c>
      <x:c r="L351"/>
      <x:c r="M351" t="str">
        <x:v>sarkunan.tigarajan@petronas.com.my</x:v>
      </x:c>
      <x:c r="N351"/>
      <x:c r="O351"/>
      <x:c r="P351" t="str">
        <x:v>UAUC for VirtusIP already Lift and Shift to VirtusIP Environment </x:v>
      </x:c>
      <x:c r="Q351" t="str">
        <x:v>1M</x:v>
      </x:c>
      <x:c r="R351" t="str">
        <x:v>Cloud Migration</x:v>
      </x:c>
      <x:c r="S351"/>
      <x:c r="T351" t="str">
        <x:v>rejected</x:v>
      </x:c>
      <x:c r="U351" t="str">
        <x:v>mfaizal.suriyat@petronas.com</x:v>
      </x:c>
      <x:c r="V351" t="n">
        <x:v>46239.26471811342</x:v>
      </x:c>
      <x:c r="W351"/>
      <x:c r="X351"/>
      <x:c r="Y351" t="str">
        <x:v>sarkunan.tigarajan@petronas.com</x:v>
      </x:c>
      <x:c r="Z351"/>
      <x:c r="AA351"/>
      <x:c r="AB351"/>
      <x:c r="AC351" t="str">
        <x:v>CCoE SA</x:v>
      </x:c>
      <x:c r="AD351"/>
      <x:c r="AE351"/>
      <x:c r="AF351"/>
      <x:c r="AG351" t="str">
        <x:v>IMS - CLOUD CSSP EXECUTOR</x:v>
      </x:c>
      <x:c r="AH351"/>
      <x:c r="AI351"/>
      <x:c r="AJ351" t="str">
        <x:v>A-000295</x:v>
      </x:c>
      <x:c r="AK351" t="n">
        <x:v>2315</x:v>
      </x:c>
      <x:c r="AL351"/>
      <x:c r="AM351"/>
      <x:c r="AN351" t="str">
        <x:v>disposal</x:v>
      </x:c>
      <x:c r="AO351" t="n">
        <x:v>0</x:v>
      </x:c>
      <x:c r="AP351" s="23" t="str">
        <x:f>IF(E351="processing",IF(Z351="","",IF(ISNUMBER(Z351),INT(Z351),DATE(VALUE(LEFT(Z351,4)),VALUE(MID(Z351,6,2)),VALUE(MID(Z351,9,2))))),IF(OR(E351="executing",E351="pending"),IF(AD351="","",IF(ISNUMBER(AD351),INT(AD351),DATE(VALUE(LEFT(AD351,4)),VALUE(MID(AD351,6,2)),VALUE(MID(AD351,9,2))))),""))</x:f>
      </x:c>
      <x:c r="AQ351" s="24" t="str">
        <x:f>IF(AP351="","",INT('Configuration'!$B$4)-AP351)</x:f>
      </x:c>
      <x:c r="AR351" s="25" t="str">
        <x:f>IF(AP351="","Missing Required Date",IF(AQ351&lt;0,"Future Date",IF(AQ351=0,"0 days",IF(AQ351&lt;=2,"1-2 days",IF(AQ351&lt;=7,"3-7 days",IF(AQ351&lt;=14,"8-14 days",IF(AQ351&lt;=30,"15-30 days",IF(AQ351&lt;=60,"31-60 days",IF(AQ351&lt;=70,"61-70 days","71+ days")))))))))</x:f>
        <x:v>Missing Required Date</x:v>
      </x:c>
      <x:c r="AS351" s="25" t="str">
        <x:f>IF(OR(E351="processing",E351="executing",E351="pending"),IF(AP351="","Required aging date missing",IF(AQ351&gt;30,"Escalate &gt;30d",IF(AQ351&gt;14,"Watch &gt;14d","Within 14d"))),"Out of scope")</x:f>
        <x:v>Out of scope</x:v>
      </x:c>
    </x:row>
    <x:row r="352" ht="24" customHeight="1">
      <x:c r="A352" t="str">
        <x:v>9388d789-9330-4ca0-84ca-63ff843fb1f1</x:v>
      </x:c>
      <x:c r="B352" t="str">
        <x:v>CSSP10409981</x:v>
      </x:c>
      <x:c r="C352" t="str">
        <x:v>taufiq.tomadan@petronas.com</x:v>
      </x:c>
      <x:c r="D352" t="str">
        <x:v>decommission-cloud</x:v>
      </x:c>
      <x:c r="E352" t="str">
        <x:v>cancelled</x:v>
      </x:c>
      <x:c r="F352" t="n">
        <x:v>46239.07830583333</x:v>
      </x:c>
      <x:c r="G352" t="n">
        <x:v>46239.078833761574</x:v>
      </x:c>
      <x:c r="H352" t="n">
        <x:v>46239.07830583333</x:v>
      </x:c>
      <x:c r="I352" t="str">
        <x:v>Electronic Permit To Work - ePTW KPOC</x:v>
      </x:c>
      <x:c r="J352" t="str">
        <x:v>Implementation of ePTW system and Support &amp; Maintenance for Kebabangan Petroleum Operating Company Sdn. Bhd (KPOC) for Virtus IP Sdn Bhd - ePTW Commercial (Production) (Formelrly known as: ePTW (KPOC))_(Managed)</x:v>
      </x:c>
      <x:c r="K352" t="str">
        <x:v>partial</x:v>
      </x:c>
      <x:c r="L352"/>
      <x:c r="M352" t="str">
        <x:v>mfaizal.suriyat@petronas.com</x:v>
      </x:c>
      <x:c r="N352"/>
      <x:c r="O352"/>
      <x:c r="P352" t="str">
        <x:v>decomm</x:v>
      </x:c>
      <x:c r="Q352" t="str">
        <x:v>1M</x:v>
      </x:c>
      <x:c r="R352" t="str">
        <x:v>Cloud Migration</x:v>
      </x:c>
      <x:c r="S352"/>
      <x:c r="T352" t="str">
        <x:v>rejected</x:v>
      </x:c>
      <x:c r="U352" t="str">
        <x:v>taufiq.tomadan@petronas.com</x:v>
      </x:c>
      <x:c r="V352" t="n">
        <x:v>46239.07883377315</x:v>
      </x:c>
      <x:c r="W352"/>
      <x:c r="X352"/>
      <x:c r="Y352" t="str">
        <x:v>mfaizal.suriyat@petronas.com</x:v>
      </x:c>
      <x:c r="Z352"/>
      <x:c r="AA352"/>
      <x:c r="AB352"/>
      <x:c r="AC352" t="str">
        <x:v>CCoE SA</x:v>
      </x:c>
      <x:c r="AD352"/>
      <x:c r="AE352"/>
      <x:c r="AF352"/>
      <x:c r="AG352" t="str">
        <x:v>IMS - CLOUD CSSP EXECUTOR</x:v>
      </x:c>
      <x:c r="AH352"/>
      <x:c r="AI352"/>
      <x:c r="AJ352" t="str">
        <x:v>A-000295</x:v>
      </x:c>
      <x:c r="AK352" t="str">
        <x:v>02315_1</x:v>
      </x:c>
      <x:c r="AL352"/>
      <x:c r="AM352"/>
      <x:c r="AN352" t="str">
        <x:v>noretention</x:v>
      </x:c>
      <x:c r="AO352" t="n">
        <x:v>0</x:v>
      </x:c>
      <x:c r="AP352" s="23" t="str">
        <x:f>IF(E352="processing",IF(Z352="","",IF(ISNUMBER(Z352),INT(Z352),DATE(VALUE(LEFT(Z352,4)),VALUE(MID(Z352,6,2)),VALUE(MID(Z352,9,2))))),IF(OR(E352="executing",E352="pending"),IF(AD352="","",IF(ISNUMBER(AD352),INT(AD352),DATE(VALUE(LEFT(AD352,4)),VALUE(MID(AD352,6,2)),VALUE(MID(AD352,9,2))))),""))</x:f>
      </x:c>
      <x:c r="AQ352" s="24" t="str">
        <x:f>IF(AP352="","",INT('Configuration'!$B$4)-AP352)</x:f>
      </x:c>
      <x:c r="AR352" s="25" t="str">
        <x:f>IF(AP352="","Missing Required Date",IF(AQ352&lt;0,"Future Date",IF(AQ352=0,"0 days",IF(AQ352&lt;=2,"1-2 days",IF(AQ352&lt;=7,"3-7 days",IF(AQ352&lt;=14,"8-14 days",IF(AQ352&lt;=30,"15-30 days",IF(AQ352&lt;=60,"31-60 days",IF(AQ352&lt;=70,"61-70 days","71+ days")))))))))</x:f>
        <x:v>Missing Required Date</x:v>
      </x:c>
      <x:c r="AS352" s="25" t="str">
        <x:f>IF(OR(E352="processing",E352="executing",E352="pending"),IF(AP352="","Required aging date missing",IF(AQ352&gt;30,"Escalate &gt;30d",IF(AQ352&gt;14,"Watch &gt;14d","Within 14d"))),"Out of scope")</x:f>
        <x:v>Out of scope</x:v>
      </x:c>
    </x:row>
    <x:row r="353" ht="24" customHeight="1">
      <x:c r="A353" t="str">
        <x:v>0d77f592-62d9-441b-9cd2-63ce19b3070c</x:v>
      </x:c>
      <x:c r="B353" t="str">
        <x:v>CSSP10898975</x:v>
      </x:c>
      <x:c r="C353" t="str">
        <x:v>taufiq.tomadan@petronas.com</x:v>
      </x:c>
      <x:c r="D353" t="str">
        <x:v>decommission-cloud</x:v>
      </x:c>
      <x:c r="E353" t="str">
        <x:v>pending</x:v>
      </x:c>
      <x:c r="F353" t="n">
        <x:v>46239.080210381944</x:v>
      </x:c>
      <x:c r="G353" t="n">
        <x:v>46239.080210381944</x:v>
      </x:c>
      <x:c r="H353" t="n">
        <x:v>46239.080210381944</x:v>
      </x:c>
      <x:c r="I353" t="str">
        <x:v>Electronic Permit To Work - ePTW KPOC</x:v>
      </x:c>
      <x:c r="J353" t="str">
        <x:v>Implementation of ePTW system and Support &amp; Maintenance for Kebabangan Petroleum Operating Company Sdn. Bhd (KPOC) for Virtus IP Sdn Bhd - ePTW Commercial (Production) (Formelrly known as: ePTW (KPOC))</x:v>
      </x:c>
      <x:c r="K353" t="str">
        <x:v>partial</x:v>
      </x:c>
      <x:c r="L353"/>
      <x:c r="M353" t="str">
        <x:v>taufiq.tomadan@petronas.com</x:v>
      </x:c>
      <x:c r="N353"/>
      <x:c r="O353"/>
      <x:c r="P353" t="str">
        <x:v>decomm</x:v>
      </x:c>
      <x:c r="Q353" t="str">
        <x:v>1M</x:v>
      </x:c>
      <x:c r="R353" t="str">
        <x:v>Cloud Migration</x:v>
      </x:c>
      <x:c r="S353"/>
      <x:c r="T353" t="str">
        <x:v>pending</x:v>
      </x:c>
      <x:c r="U353" t="str">
        <x:v>taufiq.tomadan@petronas.com</x:v>
      </x:c>
      <x:c r="V353"/>
      <x:c r="W353"/>
      <x:c r="X353"/>
      <x:c r="Y353" t="str">
        <x:v>taufiq.tomadan@petronas.com</x:v>
      </x:c>
      <x:c r="Z353"/>
      <x:c r="AA353"/>
      <x:c r="AB353"/>
      <x:c r="AC353" t="str">
        <x:v>CCoE SA</x:v>
      </x:c>
      <x:c r="AD353"/>
      <x:c r="AE353"/>
      <x:c r="AF353"/>
      <x:c r="AG353" t="str">
        <x:v>IMS - CLOUD CSSP EXECUTOR</x:v>
      </x:c>
      <x:c r="AH353"/>
      <x:c r="AI353"/>
      <x:c r="AJ353" t="str">
        <x:v>A-000295</x:v>
      </x:c>
      <x:c r="AK353" t="n">
        <x:v>2315</x:v>
      </x:c>
      <x:c r="AL353"/>
      <x:c r="AM353"/>
      <x:c r="AN353" t="str">
        <x:v>noretention</x:v>
      </x:c>
      <x:c r="AO353" t="n">
        <x:v>0</x:v>
      </x:c>
      <x:c r="AP353" s="23" t="str">
        <x:f>IF(E353="processing",IF(Z353="","",IF(ISNUMBER(Z353),INT(Z353),DATE(VALUE(LEFT(Z353,4)),VALUE(MID(Z353,6,2)),VALUE(MID(Z353,9,2))))),IF(OR(E353="executing",E353="pending"),IF(AD353="","",IF(ISNUMBER(AD353),INT(AD353),DATE(VALUE(LEFT(AD353,4)),VALUE(MID(AD353,6,2)),VALUE(MID(AD353,9,2))))),""))</x:f>
      </x:c>
      <x:c r="AQ353" s="24" t="str">
        <x:f>IF(AP353="","",INT('Configuration'!$B$4)-AP353)</x:f>
      </x:c>
      <x:c r="AR353" s="25" t="str">
        <x:f>IF(AP353="","Missing Required Date",IF(AQ353&lt;0,"Future Date",IF(AQ353=0,"0 days",IF(AQ353&lt;=2,"1-2 days",IF(AQ353&lt;=7,"3-7 days",IF(AQ353&lt;=14,"8-14 days",IF(AQ353&lt;=30,"15-30 days",IF(AQ353&lt;=60,"31-60 days",IF(AQ353&lt;=70,"61-70 days","71+ days")))))))))</x:f>
        <x:v>Missing Required Date</x:v>
      </x:c>
      <x:c r="AS353" s="25" t="str">
        <x:f>IF(OR(E353="processing",E353="executing",E353="pending"),IF(AP353="","Required aging date missing",IF(AQ353&gt;30,"Escalate &gt;30d",IF(AQ353&gt;14,"Watch &gt;14d","Within 14d"))),"Out of scope")</x:f>
        <x:v>Required aging date missing</x:v>
      </x:c>
    </x:row>
    <x:row r="354" ht="24" customHeight="1">
      <x:c r="A354" t="str">
        <x:v>2b7a0254-84dd-49e5-bac0-853d0ccf875e</x:v>
      </x:c>
      <x:c r="B354" t="str">
        <x:v>CSSP10733854</x:v>
      </x:c>
      <x:c r="C354" t="str">
        <x:v>mfaizal.suriyat@petronas.com</x:v>
      </x:c>
      <x:c r="D354" t="str">
        <x:v>decommission-cloud</x:v>
      </x:c>
      <x:c r="E354" t="str">
        <x:v>executing</x:v>
      </x:c>
      <x:c r="F354" t="n">
        <x:v>46239.19293790509</x:v>
      </x:c>
      <x:c r="G354" t="n">
        <x:v>46246.64845259259</x:v>
      </x:c>
      <x:c r="H354" t="n">
        <x:v>46239.19293790509</x:v>
      </x:c>
      <x:c r="I354" t="str">
        <x:v>Electronic Permit To Work - ePTW KPOC</x:v>
      </x:c>
      <x:c r="J354" t="str">
        <x:v>Implementation of ePTW system and Support &amp; Maintenance for Kebabangan Petroleum Operating Company Sdn. Bhd (KPOC) for Virtus IP Sdn Bhd - ePTW Commercial (Production) (Formelrly known as: ePTW (KPOC))</x:v>
      </x:c>
      <x:c r="K354" t="str">
        <x:v>partial</x:v>
      </x:c>
      <x:c r="L354"/>
      <x:c r="M354" t="str">
        <x:v>sarkunan.tigarajan@petronas.com.my</x:v>
      </x:c>
      <x:c r="N354"/>
      <x:c r="O354"/>
      <x:c r="P354" t="str">
        <x:v>UAUC For commercial already Lift and Shift to 'VirtusIP CLoud Environment'. Decom to RG PTAZSG-IAC-PROD-UAUC-RG
and all component under this RG</x:v>
      </x:c>
      <x:c r="Q354" t="str">
        <x:v>1M</x:v>
      </x:c>
      <x:c r="R354" t="str">
        <x:v>Cloud Migration</x:v>
      </x:c>
      <x:c r="S354"/>
      <x:c r="T354" t="str">
        <x:v>approved</x:v>
      </x:c>
      <x:c r="U354" t="str">
        <x:v>mfaizal.suriyat@petronas.com</x:v>
      </x:c>
      <x:c r="V354" t="n">
        <x:v>46239.19385827547</x:v>
      </x:c>
      <x:c r="W354" t="str">
        <x:v>DECOM RG PTAZSG-IAC-PROD-UAUC-RG and all component under this RG, please refer attached excel.
</x:v>
      </x:c>
      <x:c r="X354" t="str">
        <x:v>approved</x:v>
      </x:c>
      <x:c r="Y354" t="str">
        <x:v>sarkunan.tigarajan@petronas.com</x:v>
      </x:c>
      <x:c r="Z354" t="n">
        <x:v>46241.15537043982</x:v>
      </x:c>
      <x:c r="AA354" t="str">
        <x:v>Reviewed</x:v>
      </x:c>
      <x:c r="AB354" t="str">
        <x:v>approved</x:v>
      </x:c>
      <x:c r="AC354" t="str">
        <x:v>abhishek.bhowate@petronas.com</x:v>
      </x:c>
      <x:c r="AD354" t="n">
        <x:v>46246.64845260417</x:v>
      </x:c>
      <x:c r="AE354" t="str">
        <x:v>Approve</x:v>
      </x:c>
      <x:c r="AF354"/>
      <x:c r="AG354" t="str">
        <x:v>mardiansyah.rayasa@petronas.com</x:v>
      </x:c>
      <x:c r="AH354"/>
      <x:c r="AI354"/>
      <x:c r="AJ354" t="str">
        <x:v>A-000295</x:v>
      </x:c>
      <x:c r="AK354" t="n">
        <x:v>2315</x:v>
      </x:c>
      <x:c r="AL354" t="str">
        <x:v>M</x:v>
      </x:c>
      <x:c r="AM354" t="str">
        <x:v>REQ000008238285</x:v>
      </x:c>
      <x:c r="AN354" t="str">
        <x:v>noretention</x:v>
      </x:c>
      <x:c r="AO354" t="n">
        <x:v>0</x:v>
      </x:c>
      <x:c r="AP354" s="23" t="n">
        <x:f>IF(E354="processing",IF(Z354="","",IF(ISNUMBER(Z354),INT(Z354),DATE(VALUE(LEFT(Z354,4)),VALUE(MID(Z354,6,2)),VALUE(MID(Z354,9,2))))),IF(OR(E354="executing",E354="pending"),IF(AD354="","",IF(ISNUMBER(AD354),INT(AD354),DATE(VALUE(LEFT(AD354,4)),VALUE(MID(AD354,6,2)),VALUE(MID(AD354,9,2))))),""))</x:f>
        <x:v>46246</x:v>
      </x:c>
      <x:c r="AQ354" s="24" t="n">
        <x:f>IF(AP354="","",INT('Configuration'!$B$4)-AP354)</x:f>
        <x:v>5</x:v>
      </x:c>
      <x:c r="AR354" s="25" t="str">
        <x:f>IF(AP354="","Missing Required Date",IF(AQ354&lt;0,"Future Date",IF(AQ354=0,"0 days",IF(AQ354&lt;=2,"1-2 days",IF(AQ354&lt;=7,"3-7 days",IF(AQ354&lt;=14,"8-14 days",IF(AQ354&lt;=30,"15-30 days",IF(AQ354&lt;=60,"31-60 days",IF(AQ354&lt;=70,"61-70 days","71+ days")))))))))</x:f>
        <x:v>3-7 days</x:v>
      </x:c>
      <x:c r="AS354" s="25" t="str">
        <x:f>IF(OR(E354="processing",E354="executing",E354="pending"),IF(AP354="","Required aging date missing",IF(AQ354&gt;30,"Escalate &gt;30d",IF(AQ354&gt;14,"Watch &gt;14d","Within 14d"))),"Out of scope")</x:f>
        <x:v>Within 14d</x:v>
      </x:c>
    </x:row>
    <x:row r="355" ht="24" customHeight="1">
      <x:c r="A355" t="str">
        <x:v>8db0f0f8-064a-4b6d-8983-cb268802ef6d</x:v>
      </x:c>
      <x:c r="B355" t="str">
        <x:v>CSSP10446011</x:v>
      </x:c>
      <x:c r="C355" t="str">
        <x:v>mfaizal.suriyat@petronas.com</x:v>
      </x:c>
      <x:c r="D355" t="str">
        <x:v>decommission-cloud</x:v>
      </x:c>
      <x:c r="E355" t="str">
        <x:v>executing</x:v>
      </x:c>
      <x:c r="F355" t="n">
        <x:v>46239.26227339121</x:v>
      </x:c>
      <x:c r="G355" t="n">
        <x:v>46246.64816787037</x:v>
      </x:c>
      <x:c r="H355" t="n">
        <x:v>46239.26227339121</x:v>
      </x:c>
      <x:c r="I355" t="str">
        <x:v>Electronic Permit To Work - ePTW KPOC</x:v>
      </x:c>
      <x:c r="J355" t="str">
        <x:v>Implementation of ePTW system and Support &amp; Maintenance for Kebabangan Petroleum Operating Company Sdn. Bhd (KPOC) for Virtus IP Sdn Bhd - ePTW Commercial (Production) (Formelrly known as: ePTW (KPOC))_(Managed)</x:v>
      </x:c>
      <x:c r="K355" t="str">
        <x:v>partial</x:v>
      </x:c>
      <x:c r="L355"/>
      <x:c r="M355" t="str">
        <x:v>sarkunan.tigarajan@petronas.com.my</x:v>
      </x:c>
      <x:c r="N355"/>
      <x:c r="O355"/>
      <x:c r="P355" t="str">
        <x:v>UAUC Commercial already Lift and Shift to VIPSB Env</x:v>
      </x:c>
      <x:c r="Q355" t="str">
        <x:v>1M</x:v>
      </x:c>
      <x:c r="R355" t="str">
        <x:v>Cloud Migration</x:v>
      </x:c>
      <x:c r="S355"/>
      <x:c r="T355" t="str">
        <x:v>approved</x:v>
      </x:c>
      <x:c r="U355" t="str">
        <x:v>mfaizal.suriyat@petronas.com</x:v>
      </x:c>
      <x:c r="V355" t="n">
        <x:v>46239.26363706018</x:v>
      </x:c>
      <x:c r="W355" t="str">
        <x:v>Decom all component under RG PTAZSG-IAC-UAT-EPTWUAUC-RG and RG, Please dont refer to project code.</x:v>
      </x:c>
      <x:c r="X355" t="str">
        <x:v>approved</x:v>
      </x:c>
      <x:c r="Y355" t="str">
        <x:v>sarkunan.tigarajan@petronas.com</x:v>
      </x:c>
      <x:c r="Z355" t="n">
        <x:v>46241.155705185185</x:v>
      </x:c>
      <x:c r="AA355" t="str">
        <x:v>Reviewed</x:v>
      </x:c>
      <x:c r="AB355" t="str">
        <x:v>approved</x:v>
      </x:c>
      <x:c r="AC355" t="str">
        <x:v>abhishek.bhowate@petronas.com</x:v>
      </x:c>
      <x:c r="AD355" t="n">
        <x:v>46246.64816788195</x:v>
      </x:c>
      <x:c r="AE355" t="str">
        <x:v>approve</x:v>
      </x:c>
      <x:c r="AF355"/>
      <x:c r="AG355" t="str">
        <x:v>mardiansyah.rayasa@petronas.com</x:v>
      </x:c>
      <x:c r="AH355"/>
      <x:c r="AI355"/>
      <x:c r="AJ355" t="str">
        <x:v>A-000295</x:v>
      </x:c>
      <x:c r="AK355" t="str">
        <x:v>02315_1</x:v>
      </x:c>
      <x:c r="AL355" t="str">
        <x:v>M</x:v>
      </x:c>
      <x:c r="AM355" t="str">
        <x:v>REQ000008238284</x:v>
      </x:c>
      <x:c r="AN355" t="str">
        <x:v>noretention</x:v>
      </x:c>
      <x:c r="AO355" t="n">
        <x:v>0</x:v>
      </x:c>
      <x:c r="AP355" s="23" t="n">
        <x:f>IF(E355="processing",IF(Z355="","",IF(ISNUMBER(Z355),INT(Z355),DATE(VALUE(LEFT(Z355,4)),VALUE(MID(Z355,6,2)),VALUE(MID(Z355,9,2))))),IF(OR(E355="executing",E355="pending"),IF(AD355="","",IF(ISNUMBER(AD355),INT(AD355),DATE(VALUE(LEFT(AD355,4)),VALUE(MID(AD355,6,2)),VALUE(MID(AD355,9,2))))),""))</x:f>
        <x:v>46246</x:v>
      </x:c>
      <x:c r="AQ355" s="24" t="n">
        <x:f>IF(AP355="","",INT('Configuration'!$B$4)-AP355)</x:f>
        <x:v>5</x:v>
      </x:c>
      <x:c r="AR355" s="25" t="str">
        <x:f>IF(AP355="","Missing Required Date",IF(AQ355&lt;0,"Future Date",IF(AQ355=0,"0 days",IF(AQ355&lt;=2,"1-2 days",IF(AQ355&lt;=7,"3-7 days",IF(AQ355&lt;=14,"8-14 days",IF(AQ355&lt;=30,"15-30 days",IF(AQ355&lt;=60,"31-60 days",IF(AQ355&lt;=70,"61-70 days","71+ days")))))))))</x:f>
        <x:v>3-7 days</x:v>
      </x:c>
      <x:c r="AS355" s="25" t="str">
        <x:f>IF(OR(E355="processing",E355="executing",E355="pending"),IF(AP355="","Required aging date missing",IF(AQ355&gt;30,"Escalate &gt;30d",IF(AQ355&gt;14,"Watch &gt;14d","Within 14d"))),"Out of scope")</x:f>
        <x:v>Within 14d</x:v>
      </x:c>
    </x:row>
    <x:row r="356" ht="24" customHeight="1">
      <x:c r="A356" t="str">
        <x:v>3c48ffed-1aa5-4b14-908b-d316ea4981cf</x:v>
      </x:c>
      <x:c r="B356" t="str">
        <x:v>CSSP10521586</x:v>
      </x:c>
      <x:c r="C356" t="str">
        <x:v>mzurfaiezzuddin.zur@petronas.com</x:v>
      </x:c>
      <x:c r="D356" t="str">
        <x:v>decommission-cloud</x:v>
      </x:c>
      <x:c r="E356" t="str">
        <x:v>executing</x:v>
      </x:c>
      <x:c r="F356" t="n">
        <x:v>46240.08482730324</x:v>
      </x:c>
      <x:c r="G356" t="n">
        <x:v>46246.64777236111</x:v>
      </x:c>
      <x:c r="H356" t="n">
        <x:v>46240.08482730324</x:v>
      </x:c>
      <x:c r="I356" t="str">
        <x:v>Cognite Data Fusion - CDF</x:v>
      </x:c>
      <x:c r="J356" t="str">
        <x:v>Subscription and Deployment of Upstream Data Contextualization (UDC) for Resak, Peninsular Malaysia Assets (PMA)</x:v>
      </x:c>
      <x:c r="K356" t="str">
        <x:v>partial</x:v>
      </x:c>
      <x:c r="L356"/>
      <x:c r="M356" t="str">
        <x:v>sazali.mokhtar@petronas.com</x:v>
      </x:c>
      <x:c r="N356"/>
      <x:c r="O356"/>
      <x:c r="P356" t="str">
        <x:v>Cloud Repatriation - To decommission old resources in Singapore region due to completed migration in MY region</x:v>
      </x:c>
      <x:c r="Q356" t="str">
        <x:v>2W</x:v>
      </x:c>
      <x:c r="R356" t="str">
        <x:v>Cloud Migration</x:v>
      </x:c>
      <x:c r="S356"/>
      <x:c r="T356" t="str">
        <x:v>approved</x:v>
      </x:c>
      <x:c r="U356" t="str">
        <x:v>mzurfaiezzuddin.zur@petronas.com</x:v>
      </x:c>
      <x:c r="V356" t="n">
        <x:v>46240.08537221065</x:v>
      </x:c>
      <x:c r="W356" t="str">
        <x:v>Cloud Repatriation - To decommission old resources in Singapore region due to completed migration in Malaysia region</x:v>
      </x:c>
      <x:c r="X356" t="str">
        <x:v>approved</x:v>
      </x:c>
      <x:c r="Y356" t="str">
        <x:v>sazali.mokhtar@petronas.com</x:v>
      </x:c>
      <x:c r="Z356" t="n">
        <x:v>46241.44211027778</x:v>
      </x:c>
      <x:c r="AA356" t="str">
        <x:v>Cloud Repatriation - To decommission old resources in Singapore region due to completed migration in MY region</x:v>
      </x:c>
      <x:c r="AB356" t="str">
        <x:v>approved</x:v>
      </x:c>
      <x:c r="AC356" t="str">
        <x:v>abhishek.bhowate@petronas.com</x:v>
      </x:c>
      <x:c r="AD356" t="n">
        <x:v>46246.647772372686</x:v>
      </x:c>
      <x:c r="AE356" t="str">
        <x:v>Approve</x:v>
      </x:c>
      <x:c r="AF356"/>
      <x:c r="AG356" t="str">
        <x:v>swaminadh.chirakala@petronas.com</x:v>
      </x:c>
      <x:c r="AH356"/>
      <x:c r="AI356"/>
      <x:c r="AJ356" t="str">
        <x:v>A-000105</x:v>
      </x:c>
      <x:c r="AK356" t="n">
        <x:v>3837</x:v>
      </x:c>
      <x:c r="AL356" t="str">
        <x:v>L</x:v>
      </x:c>
      <x:c r="AM356" t="str">
        <x:v>REQ000008238283</x:v>
      </x:c>
      <x:c r="AN356" t="str">
        <x:v>noretention</x:v>
      </x:c>
      <x:c r="AO356" t="n">
        <x:v>0</x:v>
      </x:c>
      <x:c r="AP356" s="23" t="n">
        <x:f>IF(E356="processing",IF(Z356="","",IF(ISNUMBER(Z356),INT(Z356),DATE(VALUE(LEFT(Z356,4)),VALUE(MID(Z356,6,2)),VALUE(MID(Z356,9,2))))),IF(OR(E356="executing",E356="pending"),IF(AD356="","",IF(ISNUMBER(AD356),INT(AD356),DATE(VALUE(LEFT(AD356,4)),VALUE(MID(AD356,6,2)),VALUE(MID(AD356,9,2))))),""))</x:f>
        <x:v>46246</x:v>
      </x:c>
      <x:c r="AQ356" s="24" t="n">
        <x:f>IF(AP356="","",INT('Configuration'!$B$4)-AP356)</x:f>
        <x:v>5</x:v>
      </x:c>
      <x:c r="AR356" s="25" t="str">
        <x:f>IF(AP356="","Missing Required Date",IF(AQ356&lt;0,"Future Date",IF(AQ356=0,"0 days",IF(AQ356&lt;=2,"1-2 days",IF(AQ356&lt;=7,"3-7 days",IF(AQ356&lt;=14,"8-14 days",IF(AQ356&lt;=30,"15-30 days",IF(AQ356&lt;=60,"31-60 days",IF(AQ356&lt;=70,"61-70 days","71+ days")))))))))</x:f>
        <x:v>3-7 days</x:v>
      </x:c>
      <x:c r="AS356" s="25" t="str">
        <x:f>IF(OR(E356="processing",E356="executing",E356="pending"),IF(AP356="","Required aging date missing",IF(AQ356&gt;30,"Escalate &gt;30d",IF(AQ356&gt;14,"Watch &gt;14d","Within 14d"))),"Out of scope")</x:f>
        <x:v>Within 14d</x:v>
      </x:c>
    </x:row>
    <x:row r="357" ht="24" customHeight="1">
      <x:c r="A357" t="str">
        <x:v>d3bc0573-a7bf-40c8-9793-c49c15cd9e31</x:v>
      </x:c>
      <x:c r="B357" t="str">
        <x:v>CSSP10872182</x:v>
      </x:c>
      <x:c r="C357" t="str">
        <x:v>saufi.tahwil@petronas.com</x:v>
      </x:c>
      <x:c r="D357" t="str">
        <x:v>decommission-cloud</x:v>
      </x:c>
      <x:c r="E357" t="str">
        <x:v>pending</x:v>
      </x:c>
      <x:c r="F357" t="n">
        <x:v>46240.19440221065</x:v>
      </x:c>
      <x:c r="G357" t="n">
        <x:v>46240.19500856481</x:v>
      </x:c>
      <x:c r="H357" t="n">
        <x:v>46240.19440221065</x:v>
      </x:c>
      <x:c r="I357" t="str">
        <x:v>Cyber Security Privileged Identity Management - PIM</x:v>
      </x:c>
      <x:c r="J357" t="str">
        <x:v>Provisioning and Deployment AWS of Privileged Identity Management (PIM) for PETRONAS</x:v>
      </x:c>
      <x:c r="K357" t="str">
        <x:v>full</x:v>
      </x:c>
      <x:c r="L357" t="str">
        <x:v>NA</x:v>
      </x:c>
      <x:c r="M357" t="str">
        <x:v>tanbeekhim@petronas.com</x:v>
      </x:c>
      <x:c r="N357"/>
      <x:c r="O357"/>
      <x:c r="P357" t="str">
        <x:v>to decom server that no longer in use</x:v>
      </x:c>
      <x:c r="Q357" t="str">
        <x:v>2W</x:v>
      </x:c>
      <x:c r="R357" t="str">
        <x:v>Not in Used</x:v>
      </x:c>
      <x:c r="S357"/>
      <x:c r="T357" t="str">
        <x:v>approved</x:v>
      </x:c>
      <x:c r="U357" t="str">
        <x:v>saufi.tahwil@petronas.com</x:v>
      </x:c>
      <x:c r="V357" t="n">
        <x:v>46240.19500857639</x:v>
      </x:c>
      <x:c r="W357" t="str">
        <x:v>pls proceed to decom</x:v>
      </x:c>
      <x:c r="X357"/>
      <x:c r="Y357" t="str">
        <x:v>tanbeekhim@petronas.com</x:v>
      </x:c>
      <x:c r="Z357"/>
      <x:c r="AA357"/>
      <x:c r="AB357"/>
      <x:c r="AC357" t="str">
        <x:v>CCoE SA</x:v>
      </x:c>
      <x:c r="AD357"/>
      <x:c r="AE357"/>
      <x:c r="AF357"/>
      <x:c r="AG357" t="str">
        <x:v>IMS - CLOUD CSSP EXECUTOR</x:v>
      </x:c>
      <x:c r="AH357"/>
      <x:c r="AI357"/>
      <x:c r="AJ357" t="str">
        <x:v>A-000174</x:v>
      </x:c>
      <x:c r="AK357" t="str">
        <x:v>PSR03903</x:v>
      </x:c>
      <x:c r="AL357"/>
      <x:c r="AM357"/>
      <x:c r="AN357" t="str">
        <x:v>noretention</x:v>
      </x:c>
      <x:c r="AO357" t="n">
        <x:v>0</x:v>
      </x:c>
      <x:c r="AP357" s="23" t="str">
        <x:f>IF(E357="processing",IF(Z357="","",IF(ISNUMBER(Z357),INT(Z357),DATE(VALUE(LEFT(Z357,4)),VALUE(MID(Z357,6,2)),VALUE(MID(Z357,9,2))))),IF(OR(E357="executing",E357="pending"),IF(AD357="","",IF(ISNUMBER(AD357),INT(AD357),DATE(VALUE(LEFT(AD357,4)),VALUE(MID(AD357,6,2)),VALUE(MID(AD357,9,2))))),""))</x:f>
      </x:c>
      <x:c r="AQ357" s="24" t="str">
        <x:f>IF(AP357="","",INT('Configuration'!$B$4)-AP357)</x:f>
      </x:c>
      <x:c r="AR357" s="25" t="str">
        <x:f>IF(AP357="","Missing Required Date",IF(AQ357&lt;0,"Future Date",IF(AQ357=0,"0 days",IF(AQ357&lt;=2,"1-2 days",IF(AQ357&lt;=7,"3-7 days",IF(AQ357&lt;=14,"8-14 days",IF(AQ357&lt;=30,"15-30 days",IF(AQ357&lt;=60,"31-60 days",IF(AQ357&lt;=70,"61-70 days","71+ days")))))))))</x:f>
        <x:v>Missing Required Date</x:v>
      </x:c>
      <x:c r="AS357" s="25" t="str">
        <x:f>IF(OR(E357="processing",E357="executing",E357="pending"),IF(AP357="","Required aging date missing",IF(AQ357&gt;30,"Escalate &gt;30d",IF(AQ357&gt;14,"Watch &gt;14d","Within 14d"))),"Out of scope")</x:f>
        <x:v>Required aging date missing</x:v>
      </x:c>
    </x:row>
    <x:row r="358" ht="24" customHeight="1">
      <x:c r="A358" t="str">
        <x:v>2fbadd2e-cc2f-4c74-bc87-0e3c7a437d7d</x:v>
      </x:c>
      <x:c r="B358" t="str">
        <x:v>CSSP10945256</x:v>
      </x:c>
      <x:c r="C358" t="str">
        <x:v>marziah.mahmod@petronas.com</x:v>
      </x:c>
      <x:c r="D358" t="str">
        <x:v>decommission-cloud</x:v>
      </x:c>
      <x:c r="E358" t="str">
        <x:v>executing</x:v>
      </x:c>
      <x:c r="F358" t="n">
        <x:v>46241.083838125</x:v>
      </x:c>
      <x:c r="G358" t="n">
        <x:v>46246.64713709491</x:v>
      </x:c>
      <x:c r="H358" t="n">
        <x:v>46241.083838125</x:v>
      </x:c>
      <x:c r="I358" t="str">
        <x:v>Plant Information - PI Enterprise</x:v>
      </x:c>
      <x:c r="J358" t="str">
        <x:v>CTP Old to New LZ - PI Enterprise</x:v>
      </x:c>
      <x:c r="K358" t="str">
        <x:v>partial</x:v>
      </x:c>
      <x:c r="L358"/>
      <x:c r="M358" t="str">
        <x:v>mohammadsani.johari@petronas.com.my</x:v>
      </x:c>
      <x:c r="N358"/>
      <x:c r="O358"/>
      <x:c r="P358" t="str">
        <x:v>Cloud Migration</x:v>
      </x:c>
      <x:c r="Q358" t="str">
        <x:v>2W</x:v>
      </x:c>
      <x:c r="R358" t="str">
        <x:v>Cloud Migration</x:v>
      </x:c>
      <x:c r="S358"/>
      <x:c r="T358" t="str">
        <x:v>approved</x:v>
      </x:c>
      <x:c r="U358" t="str">
        <x:v>marziah.mahmod@petronas.com</x:v>
      </x:c>
      <x:c r="V358" t="n">
        <x:v>46241.087645590276</x:v>
      </x:c>
      <x:c r="W358" t="str">
        <x:v>Cloud Migration</x:v>
      </x:c>
      <x:c r="X358" t="str">
        <x:v>approved</x:v>
      </x:c>
      <x:c r="Y358" t="str">
        <x:v>mohammadsani.johari@petronas.com</x:v>
      </x:c>
      <x:c r="Z358" t="n">
        <x:v>46241.097662754626</x:v>
      </x:c>
      <x:c r="AA358" t="str">
        <x:v>Proceed to decom.</x:v>
      </x:c>
      <x:c r="AB358" t="str">
        <x:v>approved</x:v>
      </x:c>
      <x:c r="AC358" t="str">
        <x:v>abhishek.bhowate@petronas.com</x:v>
      </x:c>
      <x:c r="AD358" t="n">
        <x:v>46246.64713712963</x:v>
      </x:c>
      <x:c r="AE358" t="str">
        <x:v>approve</x:v>
      </x:c>
      <x:c r="AF358"/>
      <x:c r="AG358" t="str">
        <x:v>swaminadh.chirakala@petronas.com</x:v>
      </x:c>
      <x:c r="AH358"/>
      <x:c r="AI358"/>
      <x:c r="AJ358" t="str">
        <x:v>A-000568</x:v>
      </x:c>
      <x:c r="AK358" t="str">
        <x:v>02421_71</x:v>
      </x:c>
      <x:c r="AL358" t="str">
        <x:v>L</x:v>
      </x:c>
      <x:c r="AM358" t="str">
        <x:v>REQ000008237795</x:v>
      </x:c>
      <x:c r="AN358" t="str">
        <x:v>noretention</x:v>
      </x:c>
      <x:c r="AO358" t="n">
        <x:v>0</x:v>
      </x:c>
      <x:c r="AP358" s="23" t="n">
        <x:f>IF(E358="processing",IF(Z358="","",IF(ISNUMBER(Z358),INT(Z358),DATE(VALUE(LEFT(Z358,4)),VALUE(MID(Z358,6,2)),VALUE(MID(Z358,9,2))))),IF(OR(E358="executing",E358="pending"),IF(AD358="","",IF(ISNUMBER(AD358),INT(AD358),DATE(VALUE(LEFT(AD358,4)),VALUE(MID(AD358,6,2)),VALUE(MID(AD358,9,2))))),""))</x:f>
        <x:v>46246</x:v>
      </x:c>
      <x:c r="AQ358" s="24" t="n">
        <x:f>IF(AP358="","",INT('Configuration'!$B$4)-AP358)</x:f>
        <x:v>5</x:v>
      </x:c>
      <x:c r="AR358" s="25" t="str">
        <x:f>IF(AP358="","Missing Required Date",IF(AQ358&lt;0,"Future Date",IF(AQ358=0,"0 days",IF(AQ358&lt;=2,"1-2 days",IF(AQ358&lt;=7,"3-7 days",IF(AQ358&lt;=14,"8-14 days",IF(AQ358&lt;=30,"15-30 days",IF(AQ358&lt;=60,"31-60 days",IF(AQ358&lt;=70,"61-70 days","71+ days")))))))))</x:f>
        <x:v>3-7 days</x:v>
      </x:c>
      <x:c r="AS358" s="25" t="str">
        <x:f>IF(OR(E358="processing",E358="executing",E358="pending"),IF(AP358="","Required aging date missing",IF(AQ358&gt;30,"Escalate &gt;30d",IF(AQ358&gt;14,"Watch &gt;14d","Within 14d"))),"Out of scope")</x:f>
        <x:v>Within 14d</x:v>
      </x:c>
    </x:row>
    <x:row r="359" ht="24" customHeight="1">
      <x:c r="A359" t="str">
        <x:v>3b3ef153-3674-40fe-9ac8-210277752cd6</x:v>
      </x:c>
      <x:c r="B359" t="str">
        <x:v>CSSP10520122</x:v>
      </x:c>
      <x:c r="C359" t="str">
        <x:v>marziah.mahmod@petronas.com</x:v>
      </x:c>
      <x:c r="D359" t="str">
        <x:v>decommission-cloud</x:v>
      </x:c>
      <x:c r="E359" t="str">
        <x:v>cancelled</x:v>
      </x:c>
      <x:c r="F359" t="n">
        <x:v>46241.09246346065</x:v>
      </x:c>
      <x:c r="G359" t="n">
        <x:v>46241.093683032406</x:v>
      </x:c>
      <x:c r="H359" t="n">
        <x:v>46241.09246346065</x:v>
      </x:c>
      <x:c r="I359" t="str">
        <x:v>Plant Information - PI Enterprise</x:v>
      </x:c>
      <x:c r="J359" t="str">
        <x:v>CTP Old to New LZ - PI Enterprise</x:v>
      </x:c>
      <x:c r="K359" t="str">
        <x:v>partial</x:v>
      </x:c>
      <x:c r="L359"/>
      <x:c r="M359" t="str">
        <x:v>mohammadsani.johari@petronas.com.my</x:v>
      </x:c>
      <x:c r="N359"/>
      <x:c r="O359"/>
      <x:c r="P359" t="str">
        <x:v>Cloud Migration</x:v>
      </x:c>
      <x:c r="Q359" t="str">
        <x:v>2W</x:v>
      </x:c>
      <x:c r="R359" t="str">
        <x:v>Cloud Migration</x:v>
      </x:c>
      <x:c r="S359"/>
      <x:c r="T359" t="str">
        <x:v>rejected</x:v>
      </x:c>
      <x:c r="U359" t="str">
        <x:v>marziah.mahmod@petronas.com</x:v>
      </x:c>
      <x:c r="V359" t="n">
        <x:v>46241.093683032406</x:v>
      </x:c>
      <x:c r="W359"/>
      <x:c r="X359"/>
      <x:c r="Y359" t="str">
        <x:v>mohammadsani.johari@petronas.com</x:v>
      </x:c>
      <x:c r="Z359"/>
      <x:c r="AA359"/>
      <x:c r="AB359"/>
      <x:c r="AC359" t="str">
        <x:v>CCoE SA</x:v>
      </x:c>
      <x:c r="AD359"/>
      <x:c r="AE359"/>
      <x:c r="AF359"/>
      <x:c r="AG359" t="str">
        <x:v>IMS - CLOUD CSSP EXECUTOR</x:v>
      </x:c>
      <x:c r="AH359"/>
      <x:c r="AI359"/>
      <x:c r="AJ359" t="str">
        <x:v>A-000568</x:v>
      </x:c>
      <x:c r="AK359" t="str">
        <x:v>02421_71</x:v>
      </x:c>
      <x:c r="AL359"/>
      <x:c r="AM359"/>
      <x:c r="AN359" t="str">
        <x:v>noretention</x:v>
      </x:c>
      <x:c r="AO359" t="n">
        <x:v>0</x:v>
      </x:c>
      <x:c r="AP359" s="23" t="str">
        <x:f>IF(E359="processing",IF(Z359="","",IF(ISNUMBER(Z359),INT(Z359),DATE(VALUE(LEFT(Z359,4)),VALUE(MID(Z359,6,2)),VALUE(MID(Z359,9,2))))),IF(OR(E359="executing",E359="pending"),IF(AD359="","",IF(ISNUMBER(AD359),INT(AD359),DATE(VALUE(LEFT(AD359,4)),VALUE(MID(AD359,6,2)),VALUE(MID(AD359,9,2))))),""))</x:f>
      </x:c>
      <x:c r="AQ359" s="24" t="str">
        <x:f>IF(AP359="","",INT('Configuration'!$B$4)-AP359)</x:f>
      </x:c>
      <x:c r="AR359" s="25" t="str">
        <x:f>IF(AP359="","Missing Required Date",IF(AQ359&lt;0,"Future Date",IF(AQ359=0,"0 days",IF(AQ359&lt;=2,"1-2 days",IF(AQ359&lt;=7,"3-7 days",IF(AQ359&lt;=14,"8-14 days",IF(AQ359&lt;=30,"15-30 days",IF(AQ359&lt;=60,"31-60 days",IF(AQ359&lt;=70,"61-70 days","71+ days")))))))))</x:f>
        <x:v>Missing Required Date</x:v>
      </x:c>
      <x:c r="AS359" s="25" t="str">
        <x:f>IF(OR(E359="processing",E359="executing",E359="pending"),IF(AP359="","Required aging date missing",IF(AQ359&gt;30,"Escalate &gt;30d",IF(AQ359&gt;14,"Watch &gt;14d","Within 14d"))),"Out of scope")</x:f>
        <x:v>Out of scope</x:v>
      </x:c>
    </x:row>
    <x:row r="360" ht="24" customHeight="1">
      <x:c r="A360" t="str">
        <x:v>2a0460d6-5f8f-4bf2-9293-ce033961a489</x:v>
      </x:c>
      <x:c r="B360" t="str">
        <x:v>CSSP10192895</x:v>
      </x:c>
      <x:c r="C360" t="str">
        <x:v>adam.kamil@petronas.com</x:v>
      </x:c>
      <x:c r="D360" t="str">
        <x:v>decommission-cloud</x:v>
      </x:c>
      <x:c r="E360" t="str">
        <x:v>cancelled</x:v>
      </x:c>
      <x:c r="F360" t="n">
        <x:v>46245.17669568287</x:v>
      </x:c>
      <x:c r="G360" t="n">
        <x:v>46245.18291337963</x:v>
      </x:c>
      <x:c r="H360" t="n">
        <x:v>46245.17669568287</x:v>
      </x:c>
      <x:c r="I360" t="str">
        <x:v>OPTIMUS - THRONES</x:v>
      </x:c>
      <x:c r="J360" t="str">
        <x:v>Cloud Migration Program - OPTIMUS 3.0 (THRONES)</x:v>
      </x:c>
      <x:c r="K360" t="str">
        <x:v>full</x:v>
      </x:c>
      <x:c r="L360" t="str">
        <x:v>DCOM20250502a00</x:v>
      </x:c>
      <x:c r="M360" t="str">
        <x:v>adam.kamil@petronas.com</x:v>
      </x:c>
      <x:c r="N360"/>
      <x:c r="O360"/>
      <x:c r="P360" t="str">
        <x:v>Not in used</x:v>
      </x:c>
      <x:c r="Q360" t="str">
        <x:v>1M</x:v>
      </x:c>
      <x:c r="R360" t="str">
        <x:v>Not in Used</x:v>
      </x:c>
      <x:c r="S360"/>
      <x:c r="T360" t="str">
        <x:v>rejected</x:v>
      </x:c>
      <x:c r="U360" t="str">
        <x:v>adam.kamil@petronas.com</x:v>
      </x:c>
      <x:c r="V360" t="n">
        <x:v>46245.1829133912</x:v>
      </x:c>
      <x:c r="W360"/>
      <x:c r="X360"/>
      <x:c r="Y360" t="str">
        <x:v>adam.kamil@petronas.com</x:v>
      </x:c>
      <x:c r="Z360"/>
      <x:c r="AA360"/>
      <x:c r="AB360"/>
      <x:c r="AC360" t="str">
        <x:v>CCoE SA</x:v>
      </x:c>
      <x:c r="AD360"/>
      <x:c r="AE360"/>
      <x:c r="AF360"/>
      <x:c r="AG360" t="str">
        <x:v>IMS - CLOUD CSSP EXECUTOR</x:v>
      </x:c>
      <x:c r="AH360"/>
      <x:c r="AI360"/>
      <x:c r="AJ360" t="str">
        <x:v>A-000809</x:v>
      </x:c>
      <x:c r="AK360" t="str">
        <x:v>00915_64</x:v>
      </x:c>
      <x:c r="AL360"/>
      <x:c r="AM360"/>
      <x:c r="AN360" t="str">
        <x:v>retention</x:v>
      </x:c>
      <x:c r="AO360" t="n">
        <x:v>1</x:v>
      </x:c>
      <x:c r="AP360" s="23" t="str">
        <x:f>IF(E360="processing",IF(Z360="","",IF(ISNUMBER(Z360),INT(Z360),DATE(VALUE(LEFT(Z360,4)),VALUE(MID(Z360,6,2)),VALUE(MID(Z360,9,2))))),IF(OR(E360="executing",E360="pending"),IF(AD360="","",IF(ISNUMBER(AD360),INT(AD360),DATE(VALUE(LEFT(AD360,4)),VALUE(MID(AD360,6,2)),VALUE(MID(AD360,9,2))))),""))</x:f>
      </x:c>
      <x:c r="AQ360" s="24" t="str">
        <x:f>IF(AP360="","",INT('Configuration'!$B$4)-AP360)</x:f>
      </x:c>
      <x:c r="AR360" s="25" t="str">
        <x:f>IF(AP360="","Missing Required Date",IF(AQ360&lt;0,"Future Date",IF(AQ360=0,"0 days",IF(AQ360&lt;=2,"1-2 days",IF(AQ360&lt;=7,"3-7 days",IF(AQ360&lt;=14,"8-14 days",IF(AQ360&lt;=30,"15-30 days",IF(AQ360&lt;=60,"31-60 days",IF(AQ360&lt;=70,"61-70 days","71+ days")))))))))</x:f>
        <x:v>Missing Required Date</x:v>
      </x:c>
      <x:c r="AS360" s="25" t="str">
        <x:f>IF(OR(E360="processing",E360="executing",E360="pending"),IF(AP360="","Required aging date missing",IF(AQ360&gt;30,"Escalate &gt;30d",IF(AQ360&gt;14,"Watch &gt;14d","Within 14d"))),"Out of scope")</x:f>
        <x:v>Out of scope</x:v>
      </x:c>
    </x:row>
    <x:row r="361" ht="24" customHeight="1">
      <x:c r="A361" t="str">
        <x:v>64ca40a6-08a0-43ce-b58d-9476ed3f282e</x:v>
      </x:c>
      <x:c r="B361" t="str">
        <x:v>CSSP10293331</x:v>
      </x:c>
      <x:c r="C361" t="str">
        <x:v>syafiqfathyamer.moh@petronas.com</x:v>
      </x:c>
      <x:c r="D361" t="str">
        <x:v>decommission-cloud</x:v>
      </x:c>
      <x:c r="E361" t="str">
        <x:v>pending</x:v>
      </x:c>
      <x:c r="F361" t="n">
        <x:v>46245.29785141204</x:v>
      </x:c>
      <x:c r="G361" t="n">
        <x:v>46245.29785141204</x:v>
      </x:c>
      <x:c r="H361" t="n">
        <x:v>46245.29785141204</x:v>
      </x:c>
      <x:c r="I361" t="str">
        <x:v>RTMS </x:v>
      </x:c>
      <x:c r="J361" t="str">
        <x:v>AWS Cloud Migration - RTMS (.NET)</x:v>
      </x:c>
      <x:c r="K361" t="str">
        <x:v>full</x:v>
      </x:c>
      <x:c r="L361" t="str">
        <x:v>NA</x:v>
      </x:c>
      <x:c r="M361" t="str">
        <x:v>benjamint.baniyamin@petronas.com.my</x:v>
      </x:c>
      <x:c r="N361"/>
      <x:c r="O361"/>
      <x:c r="P361" t="str">
        <x:v>Business agreed to decommission the application.</x:v>
      </x:c>
      <x:c r="Q361" t="str">
        <x:v>2W</x:v>
      </x:c>
      <x:c r="R361" t="str">
        <x:v>Not in Used</x:v>
      </x:c>
      <x:c r="S361"/>
      <x:c r="T361" t="str">
        <x:v>pending</x:v>
      </x:c>
      <x:c r="U361" t="str">
        <x:v>syafiqfathyamer.moh@petronas.com</x:v>
      </x:c>
      <x:c r="V361"/>
      <x:c r="W361"/>
      <x:c r="X361"/>
      <x:c r="Y361" t="str">
        <x:v>benjamint.baniyamin@petronas.com</x:v>
      </x:c>
      <x:c r="Z361"/>
      <x:c r="AA361"/>
      <x:c r="AB361"/>
      <x:c r="AC361" t="str">
        <x:v>CCoE SA</x:v>
      </x:c>
      <x:c r="AD361"/>
      <x:c r="AE361"/>
      <x:c r="AF361"/>
      <x:c r="AG361" t="str">
        <x:v>IMS - CLOUD CSSP EXECUTOR</x:v>
      </x:c>
      <x:c r="AH361"/>
      <x:c r="AI361"/>
      <x:c r="AJ361" t="str">
        <x:v>A-000703</x:v>
      </x:c>
      <x:c r="AK361" t="str">
        <x:v>OSR00188_22</x:v>
      </x:c>
      <x:c r="AL361"/>
      <x:c r="AM361"/>
      <x:c r="AN361" t="str">
        <x:v>retention</x:v>
      </x:c>
      <x:c r="AO361" t="n">
        <x:v>12</x:v>
      </x:c>
      <x:c r="AP361" s="23" t="str">
        <x:f>IF(E361="processing",IF(Z361="","",IF(ISNUMBER(Z361),INT(Z361),DATE(VALUE(LEFT(Z361,4)),VALUE(MID(Z361,6,2)),VALUE(MID(Z361,9,2))))),IF(OR(E361="executing",E361="pending"),IF(AD361="","",IF(ISNUMBER(AD361),INT(AD361),DATE(VALUE(LEFT(AD361,4)),VALUE(MID(AD361,6,2)),VALUE(MID(AD361,9,2))))),""))</x:f>
      </x:c>
      <x:c r="AQ361" s="24" t="str">
        <x:f>IF(AP361="","",INT('Configuration'!$B$4)-AP361)</x:f>
      </x:c>
      <x:c r="AR361" s="25" t="str">
        <x:f>IF(AP361="","Missing Required Date",IF(AQ361&lt;0,"Future Date",IF(AQ361=0,"0 days",IF(AQ361&lt;=2,"1-2 days",IF(AQ361&lt;=7,"3-7 days",IF(AQ361&lt;=14,"8-14 days",IF(AQ361&lt;=30,"15-30 days",IF(AQ361&lt;=60,"31-60 days",IF(AQ361&lt;=70,"61-70 days","71+ days")))))))))</x:f>
        <x:v>Missing Required Date</x:v>
      </x:c>
      <x:c r="AS361" s="25" t="str">
        <x:f>IF(OR(E361="processing",E361="executing",E361="pending"),IF(AP361="","Required aging date missing",IF(AQ361&gt;30,"Escalate &gt;30d",IF(AQ361&gt;14,"Watch &gt;14d","Within 14d"))),"Out of scope")</x:f>
        <x:v>Required aging date missing</x:v>
      </x:c>
    </x:row>
    <x:row r="362" ht="24" customHeight="1">
      <x:c r="A362" t="str">
        <x:v>09dbddd7-037e-42a1-89fb-3f172e02c353</x:v>
      </x:c>
      <x:c r="B362" t="str">
        <x:v>CSSP10321088</x:v>
      </x:c>
      <x:c r="C362" t="str">
        <x:v>syafiqfathyamer.moh@petronas.com</x:v>
      </x:c>
      <x:c r="D362" t="str">
        <x:v>decommission-cloud</x:v>
      </x:c>
      <x:c r="E362" t="str">
        <x:v>processing</x:v>
      </x:c>
      <x:c r="F362" t="n">
        <x:v>46245.32008590278</x:v>
      </x:c>
      <x:c r="G362" t="n">
        <x:v>46251.16826763889</x:v>
      </x:c>
      <x:c r="H362" t="n">
        <x:v>46245.32008590278</x:v>
      </x:c>
      <x:c r="I362" t="str">
        <x:v>RTMS </x:v>
      </x:c>
      <x:c r="J362" t="str">
        <x:v>Cloud Migration Program - PPTSB RTMS</x:v>
      </x:c>
      <x:c r="K362" t="str">
        <x:v>full</x:v>
      </x:c>
      <x:c r="L362" t="str">
        <x:v>NA</x:v>
      </x:c>
      <x:c r="M362" t="str">
        <x:v>benjamint.baniyamin@petronas.com.my</x:v>
      </x:c>
      <x:c r="N362"/>
      <x:c r="O362"/>
      <x:c r="P362" t="str">
        <x:v>Business agreed to decommission the application</x:v>
      </x:c>
      <x:c r="Q362" t="str">
        <x:v>2W</x:v>
      </x:c>
      <x:c r="R362" t="str">
        <x:v>Not in Used</x:v>
      </x:c>
      <x:c r="S362"/>
      <x:c r="T362" t="str">
        <x:v>approved</x:v>
      </x:c>
      <x:c r="U362" t="str">
        <x:v>syafiqfathyamer.moh@petronas.com</x:v>
      </x:c>
      <x:c r="V362" t="n">
        <x:v>46245.39561384259</x:v>
      </x:c>
      <x:c r="W362" t="str">
        <x:v>Please decommission all the resources.</x:v>
      </x:c>
      <x:c r="X362" t="str">
        <x:v>approved</x:v>
      </x:c>
      <x:c r="Y362" t="str">
        <x:v>benjamint.baniyamin@petronas.com</x:v>
      </x:c>
      <x:c r="Z362" t="n">
        <x:v>46246.13518398148</x:v>
      </x:c>
      <x:c r="AA362" t="str">
        <x:v>As per discusssion with business &amp; BD Arshad Halim, these are for decom</x:v>
      </x:c>
      <x:c r="AB362"/>
      <x:c r="AC362" t="str">
        <x:v>IMS - CLOUD CSSP REVIEWER</x:v>
      </x:c>
      <x:c r="AD362"/>
      <x:c r="AE362"/>
      <x:c r="AF362"/>
      <x:c r="AG362" t="str">
        <x:v>IMS - CLOUD CSSP EXECUTOR</x:v>
      </x:c>
      <x:c r="AH362"/>
      <x:c r="AI362"/>
      <x:c r="AJ362" t="str">
        <x:v>A-000703</x:v>
      </x:c>
      <x:c r="AK362" t="str">
        <x:v>02421_80</x:v>
      </x:c>
      <x:c r="AL362" t="str">
        <x:v>L</x:v>
      </x:c>
      <x:c r="AM362"/>
      <x:c r="AN362" t="str">
        <x:v>noretention</x:v>
      </x:c>
      <x:c r="AO362" t="n">
        <x:v>0</x:v>
      </x:c>
      <x:c r="AP362" s="23" t="n">
        <x:f>IF(E362="processing",IF(Z362="","",IF(ISNUMBER(Z362),INT(Z362),DATE(VALUE(LEFT(Z362,4)),VALUE(MID(Z362,6,2)),VALUE(MID(Z362,9,2))))),IF(OR(E362="executing",E362="pending"),IF(AD362="","",IF(ISNUMBER(AD362),INT(AD362),DATE(VALUE(LEFT(AD362,4)),VALUE(MID(AD362,6,2)),VALUE(MID(AD362,9,2))))),""))</x:f>
        <x:v>46246</x:v>
      </x:c>
      <x:c r="AQ362" s="24" t="n">
        <x:f>IF(AP362="","",INT('Configuration'!$B$4)-AP362)</x:f>
        <x:v>5</x:v>
      </x:c>
      <x:c r="AR362" s="25" t="str">
        <x:f>IF(AP362="","Missing Required Date",IF(AQ362&lt;0,"Future Date",IF(AQ362=0,"0 days",IF(AQ362&lt;=2,"1-2 days",IF(AQ362&lt;=7,"3-7 days",IF(AQ362&lt;=14,"8-14 days",IF(AQ362&lt;=30,"15-30 days",IF(AQ362&lt;=60,"31-60 days",IF(AQ362&lt;=70,"61-70 days","71+ days")))))))))</x:f>
        <x:v>3-7 days</x:v>
      </x:c>
      <x:c r="AS362" s="25" t="str">
        <x:f>IF(OR(E362="processing",E362="executing",E362="pending"),IF(AP362="","Required aging date missing",IF(AQ362&gt;30,"Escalate &gt;30d",IF(AQ362&gt;14,"Watch &gt;14d","Within 14d"))),"Out of scope")</x:f>
        <x:v>Within 14d</x:v>
      </x:c>
    </x:row>
    <x:row r="363" ht="24" customHeight="1">
      <x:c r="A363" t="str">
        <x:v>96fb6ffb-ccd9-4105-8c97-69504210e8d3</x:v>
      </x:c>
      <x:c r="B363" t="str">
        <x:v>CSSP10302644</x:v>
      </x:c>
      <x:c r="C363" t="str">
        <x:v>rashidah.sharef@petronas.com</x:v>
      </x:c>
      <x:c r="D363" t="str">
        <x:v>decommission-cloud</x:v>
      </x:c>
      <x:c r="E363" t="str">
        <x:v>pending</x:v>
      </x:c>
      <x:c r="F363" t="n">
        <x:v>46245.32164949074</x:v>
      </x:c>
      <x:c r="G363" t="n">
        <x:v>46246.07721737269</x:v>
      </x:c>
      <x:c r="H363" t="n">
        <x:v>46246.07530701389</x:v>
      </x:c>
      <x:c r="I363" t="str">
        <x:v>ACL Robotics</x:v>
      </x:c>
      <x:c r="J363" t="str">
        <x:v>Provision and Implementation of Computer Assisted Audit Tool for Group Internal Audit</x:v>
      </x:c>
      <x:c r="K363" t="str">
        <x:v>full</x:v>
      </x:c>
      <x:c r="L363" t="str">
        <x:v>DCOM20260812d62</x:v>
      </x:c>
      <x:c r="M363" t="str">
        <x:v>ruhy.zanita@petronas.com</x:v>
      </x:c>
      <x:c r="N363"/>
      <x:c r="O363"/>
      <x:c r="P363" t="str">
        <x:v>ACL (CAAT) application is to be decommissioned as the business owner (GIA) has fully migrated to Databricks and completed data migration validation. GIA has formally confirmed approval to proceed, and decommissioning activities will follow accordingly. This aligns with the TEV recommendation to discontinue ACL extension, and the vendor contract will not be renewed after 31 July 2026.</x:v>
      </x:c>
      <x:c r="Q363" t="str">
        <x:v>2W</x:v>
      </x:c>
      <x:c r="R363" t="str">
        <x:v>Not in Used</x:v>
      </x:c>
      <x:c r="S363"/>
      <x:c r="T363" t="str">
        <x:v>approved</x:v>
      </x:c>
      <x:c r="U363" t="str">
        <x:v>rashidah.sharef@petronas.com</x:v>
      </x:c>
      <x:c r="V363" t="n">
        <x:v>46246.077217384256</x:v>
      </x:c>
      <x:c r="W363" t="str">
        <x:v>ACL (CAAT) application is to be decommissioned as the business owner (GIA) has fully migrated to Databricks and completed data migration validation. GIA has formally confirmed approval to proceed, and decommissioning activities will follow accordingly. This aligns with the TEV recommendation to discontinue ACL extension, and the vendor contract will not be renewed after 31 July 2026.</x:v>
      </x:c>
      <x:c r="X363"/>
      <x:c r="Y363" t="str">
        <x:v>ruhy.zanita@petronas.com</x:v>
      </x:c>
      <x:c r="Z363"/>
      <x:c r="AA363"/>
      <x:c r="AB363"/>
      <x:c r="AC363" t="str">
        <x:v>CCoE SA</x:v>
      </x:c>
      <x:c r="AD363"/>
      <x:c r="AE363"/>
      <x:c r="AF363"/>
      <x:c r="AG363" t="str">
        <x:v>IMS - CLOUD CSSP EXECUTOR</x:v>
      </x:c>
      <x:c r="AH363"/>
      <x:c r="AI363"/>
      <x:c r="AJ363" t="str">
        <x:v>A-000005</x:v>
      </x:c>
      <x:c r="AK363" t="n">
        <x:v>4126</x:v>
      </x:c>
      <x:c r="AL363"/>
      <x:c r="AM363"/>
      <x:c r="AN363" t="str">
        <x:v>noretention</x:v>
      </x:c>
      <x:c r="AO363" t="n">
        <x:v>0</x:v>
      </x:c>
      <x:c r="AP363" s="23" t="str">
        <x:f>IF(E363="processing",IF(Z363="","",IF(ISNUMBER(Z363),INT(Z363),DATE(VALUE(LEFT(Z363,4)),VALUE(MID(Z363,6,2)),VALUE(MID(Z363,9,2))))),IF(OR(E363="executing",E363="pending"),IF(AD363="","",IF(ISNUMBER(AD363),INT(AD363),DATE(VALUE(LEFT(AD363,4)),VALUE(MID(AD363,6,2)),VALUE(MID(AD363,9,2))))),""))</x:f>
      </x:c>
      <x:c r="AQ363" s="24" t="str">
        <x:f>IF(AP363="","",INT('Configuration'!$B$4)-AP363)</x:f>
      </x:c>
      <x:c r="AR363" s="25" t="str">
        <x:f>IF(AP363="","Missing Required Date",IF(AQ363&lt;0,"Future Date",IF(AQ363=0,"0 days",IF(AQ363&lt;=2,"1-2 days",IF(AQ363&lt;=7,"3-7 days",IF(AQ363&lt;=14,"8-14 days",IF(AQ363&lt;=30,"15-30 days",IF(AQ363&lt;=60,"31-60 days",IF(AQ363&lt;=70,"61-70 days","71+ days")))))))))</x:f>
        <x:v>Missing Required Date</x:v>
      </x:c>
      <x:c r="AS363" s="25" t="str">
        <x:f>IF(OR(E363="processing",E363="executing",E363="pending"),IF(AP363="","Required aging date missing",IF(AQ363&gt;30,"Escalate &gt;30d",IF(AQ363&gt;14,"Watch &gt;14d","Within 14d"))),"Out of scope")</x:f>
        <x:v>Required aging date missing</x:v>
      </x:c>
    </x:row>
    <x:row r="364" ht="24" customHeight="1">
      <x:c r="A364" t="str">
        <x:v>3979c4fb-af48-4c74-9547-d23c38fbb969</x:v>
      </x:c>
      <x:c r="B364" t="str">
        <x:v>CSSP10751371</x:v>
      </x:c>
      <x:c r="C364" t="str">
        <x:v>syafiqfathyamer.moh@petronas.com</x:v>
      </x:c>
      <x:c r="D364" t="str">
        <x:v>decommission-cloud</x:v>
      </x:c>
      <x:c r="E364" t="str">
        <x:v>pending</x:v>
      </x:c>
      <x:c r="F364" t="n">
        <x:v>46245.35406979167</x:v>
      </x:c>
      <x:c r="G364" t="n">
        <x:v>46245.35406979167</x:v>
      </x:c>
      <x:c r="H364" t="n">
        <x:v>46245.35406979167</x:v>
      </x:c>
      <x:c r="I364" t="str">
        <x:v>RTMS </x:v>
      </x:c>
      <x:c r="J364" t="str">
        <x:v>AWS Cloud Migration - RTMS (.NET)</x:v>
      </x:c>
      <x:c r="K364" t="str">
        <x:v>full</x:v>
      </x:c>
      <x:c r="L364" t="str">
        <x:v>NA</x:v>
      </x:c>
      <x:c r="M364" t="str">
        <x:v>benjamint.baniyamin@petronas.com.my</x:v>
      </x:c>
      <x:c r="N364"/>
      <x:c r="O364"/>
      <x:c r="P364" t="str">
        <x:v>Business agreed to decommission the application.</x:v>
      </x:c>
      <x:c r="Q364" t="str">
        <x:v>2W</x:v>
      </x:c>
      <x:c r="R364" t="str">
        <x:v>Not in Used</x:v>
      </x:c>
      <x:c r="S364"/>
      <x:c r="T364" t="str">
        <x:v>pending</x:v>
      </x:c>
      <x:c r="U364" t="str">
        <x:v>syafiqfathyamer.moh@petronas.com</x:v>
      </x:c>
      <x:c r="V364"/>
      <x:c r="W364"/>
      <x:c r="X364"/>
      <x:c r="Y364" t="str">
        <x:v>benjamint.baniyamin@petronas.com</x:v>
      </x:c>
      <x:c r="Z364"/>
      <x:c r="AA364"/>
      <x:c r="AB364"/>
      <x:c r="AC364" t="str">
        <x:v>CCoE SA</x:v>
      </x:c>
      <x:c r="AD364"/>
      <x:c r="AE364"/>
      <x:c r="AF364"/>
      <x:c r="AG364" t="str">
        <x:v>IMS - CLOUD CSSP EXECUTOR</x:v>
      </x:c>
      <x:c r="AH364"/>
      <x:c r="AI364"/>
      <x:c r="AJ364" t="str">
        <x:v>A-000703</x:v>
      </x:c>
      <x:c r="AK364" t="str">
        <x:v>00915_150</x:v>
      </x:c>
      <x:c r="AL364"/>
      <x:c r="AM364"/>
      <x:c r="AN364" t="str">
        <x:v>noretention</x:v>
      </x:c>
      <x:c r="AO364" t="n">
        <x:v>0</x:v>
      </x:c>
      <x:c r="AP364" s="23" t="str">
        <x:f>IF(E364="processing",IF(Z364="","",IF(ISNUMBER(Z364),INT(Z364),DATE(VALUE(LEFT(Z364,4)),VALUE(MID(Z364,6,2)),VALUE(MID(Z364,9,2))))),IF(OR(E364="executing",E364="pending"),IF(AD364="","",IF(ISNUMBER(AD364),INT(AD364),DATE(VALUE(LEFT(AD364,4)),VALUE(MID(AD364,6,2)),VALUE(MID(AD364,9,2))))),""))</x:f>
      </x:c>
      <x:c r="AQ364" s="24" t="str">
        <x:f>IF(AP364="","",INT('Configuration'!$B$4)-AP364)</x:f>
      </x:c>
      <x:c r="AR364" s="25" t="str">
        <x:f>IF(AP364="","Missing Required Date",IF(AQ364&lt;0,"Future Date",IF(AQ364=0,"0 days",IF(AQ364&lt;=2,"1-2 days",IF(AQ364&lt;=7,"3-7 days",IF(AQ364&lt;=14,"8-14 days",IF(AQ364&lt;=30,"15-30 days",IF(AQ364&lt;=60,"31-60 days",IF(AQ364&lt;=70,"61-70 days","71+ days")))))))))</x:f>
        <x:v>Missing Required Date</x:v>
      </x:c>
      <x:c r="AS364" s="25" t="str">
        <x:f>IF(OR(E364="processing",E364="executing",E364="pending"),IF(AP364="","Required aging date missing",IF(AQ364&gt;30,"Escalate &gt;30d",IF(AQ364&gt;14,"Watch &gt;14d","Within 14d"))),"Out of scope")</x:f>
        <x:v>Required aging date missing</x:v>
      </x:c>
    </x:row>
    <x:row r="365" ht="24" customHeight="1">
      <x:c r="A365" t="str">
        <x:v>9add3e44-a9da-4157-a3c6-fb68460e0b77</x:v>
      </x:c>
      <x:c r="B365" t="str">
        <x:v>CSSP10151695</x:v>
      </x:c>
      <x:c r="C365" t="str">
        <x:v>tharun.mungara@petronas.com</x:v>
      </x:c>
      <x:c r="D365" t="str">
        <x:v>decommission-cloud</x:v>
      </x:c>
      <x:c r="E365" t="str">
        <x:v>pending</x:v>
      </x:c>
      <x:c r="F365" t="n">
        <x:v>46245.48525954861</x:v>
      </x:c>
      <x:c r="G365" t="n">
        <x:v>46245.48525954861</x:v>
      </x:c>
      <x:c r="H365" t="n">
        <x:v>46245.48525954861</x:v>
      </x:c>
      <x:c r="I365" t="str">
        <x:v>SAP 50 ECC6</x:v>
      </x:c>
      <x:c r="J365" t="str">
        <x:v>Cloud Migration Program - SAP ECC PDB ECC 6.0 (SAP ID 50 (P50, D50 &amp; T50)</x:v>
      </x:c>
      <x:c r="K365" t="str">
        <x:v>partial</x:v>
      </x:c>
      <x:c r="L365"/>
      <x:c r="M365" t="str">
        <x:v>rizuanatan@petronas.com</x:v>
      </x:c>
      <x:c r="N365"/>
      <x:c r="O365"/>
      <x:c r="P365" t="str">
        <x:v>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
</x:v>
      </x:c>
      <x:c r="Q365" t="str">
        <x:v>1M</x:v>
      </x:c>
      <x:c r="R365" t="str">
        <x:v>Not in Used</x:v>
      </x:c>
      <x:c r="S365"/>
      <x:c r="T365" t="str">
        <x:v>pending</x:v>
      </x:c>
      <x:c r="U365" t="str">
        <x:v>tharun.mungara@petronas.com</x:v>
      </x:c>
      <x:c r="V365"/>
      <x:c r="W365"/>
      <x:c r="X365"/>
      <x:c r="Y365" t="str">
        <x:v>rizuanatan@petronas.com</x:v>
      </x:c>
      <x:c r="Z365"/>
      <x:c r="AA365"/>
      <x:c r="AB365"/>
      <x:c r="AC365" t="str">
        <x:v>CCoE SA</x:v>
      </x:c>
      <x:c r="AD365"/>
      <x:c r="AE365"/>
      <x:c r="AF365"/>
      <x:c r="AG365" t="str">
        <x:v>IMS - CLOUD CSSP EXECUTOR</x:v>
      </x:c>
      <x:c r="AH365"/>
      <x:c r="AI365"/>
      <x:c r="AJ365" t="str">
        <x:v>A-000726</x:v>
      </x:c>
      <x:c r="AK365" t="str">
        <x:v>00915_42</x:v>
      </x:c>
      <x:c r="AL365"/>
      <x:c r="AM365"/>
      <x:c r="AN365" t="str">
        <x:v>noretention</x:v>
      </x:c>
      <x:c r="AO365" t="n">
        <x:v>0</x:v>
      </x:c>
      <x:c r="AP365" s="23" t="str">
        <x:f>IF(E365="processing",IF(Z365="","",IF(ISNUMBER(Z365),INT(Z365),DATE(VALUE(LEFT(Z365,4)),VALUE(MID(Z365,6,2)),VALUE(MID(Z365,9,2))))),IF(OR(E365="executing",E365="pending"),IF(AD365="","",IF(ISNUMBER(AD365),INT(AD365),DATE(VALUE(LEFT(AD365,4)),VALUE(MID(AD365,6,2)),VALUE(MID(AD365,9,2))))),""))</x:f>
      </x:c>
      <x:c r="AQ365" s="24" t="str">
        <x:f>IF(AP365="","",INT('Configuration'!$B$4)-AP365)</x:f>
      </x:c>
      <x:c r="AR365" s="25" t="str">
        <x:f>IF(AP365="","Missing Required Date",IF(AQ365&lt;0,"Future Date",IF(AQ365=0,"0 days",IF(AQ365&lt;=2,"1-2 days",IF(AQ365&lt;=7,"3-7 days",IF(AQ365&lt;=14,"8-14 days",IF(AQ365&lt;=30,"15-30 days",IF(AQ365&lt;=60,"31-60 days",IF(AQ365&lt;=70,"61-70 days","71+ days")))))))))</x:f>
        <x:v>Missing Required Date</x:v>
      </x:c>
      <x:c r="AS365" s="25" t="str">
        <x:f>IF(OR(E365="processing",E365="executing",E365="pending"),IF(AP365="","Required aging date missing",IF(AQ365&gt;30,"Escalate &gt;30d",IF(AQ365&gt;14,"Watch &gt;14d","Within 14d"))),"Out of scope")</x:f>
        <x:v>Required aging date missing</x:v>
      </x:c>
    </x:row>
    <x:row r="366" ht="24" customHeight="1">
      <x:c r="A366" t="str">
        <x:v>0febe3b6-46fb-4a3b-80da-ddb83b6d441b</x:v>
      </x:c>
      <x:c r="B366" t="str">
        <x:v>CSSP10904064</x:v>
      </x:c>
      <x:c r="C366" t="str">
        <x:v>adam.kamil@petronas.com</x:v>
      </x:c>
      <x:c r="D366" t="str">
        <x:v>decommission-cloud</x:v>
      </x:c>
      <x:c r="E366" t="str">
        <x:v>cancelled</x:v>
      </x:c>
      <x:c r="F366" t="n">
        <x:v>46246.204025659725</x:v>
      </x:c>
      <x:c r="G366" t="n">
        <x:v>46246.20477657407</x:v>
      </x:c>
      <x:c r="H366" t="n">
        <x:v>46246.204025659725</x:v>
      </x:c>
      <x:c r="I366" t="str">
        <x:v>OPTIMUS - THRONES</x:v>
      </x:c>
      <x:c r="J366" t="str">
        <x:v>Cloud Migration Program - OPTIMUS 3.0 (THRONES)</x:v>
      </x:c>
      <x:c r="K366" t="str">
        <x:v>full</x:v>
      </x:c>
      <x:c r="L366" t="str">
        <x:v>NA</x:v>
      </x:c>
      <x:c r="M366" t="str">
        <x:v>wadiah.rusli@petronas.com</x:v>
      </x:c>
      <x:c r="N366" t="str">
        <x:v>NA</x:v>
      </x:c>
      <x:c r="O366" t="str">
        <x:v>NA</x:v>
      </x:c>
      <x:c r="P366" t="str">
        <x:v>YADA YADA</x:v>
      </x:c>
      <x:c r="Q366" t="str">
        <x:v>12M</x:v>
      </x:c>
      <x:c r="R366" t="str">
        <x:v>Not in Used</x:v>
      </x:c>
      <x:c r="S366"/>
      <x:c r="T366" t="str">
        <x:v>rejected</x:v>
      </x:c>
      <x:c r="U366" t="str">
        <x:v>adam.kamil@petronas.com</x:v>
      </x:c>
      <x:c r="V366" t="n">
        <x:v>46246.20477658565</x:v>
      </x:c>
      <x:c r="W366"/>
      <x:c r="X366"/>
      <x:c r="Y366" t="str">
        <x:v>wadiah.rusli@petronas.com</x:v>
      </x:c>
      <x:c r="Z366"/>
      <x:c r="AA366"/>
      <x:c r="AB366"/>
      <x:c r="AC366" t="str">
        <x:v>CCoE SA</x:v>
      </x:c>
      <x:c r="AD366"/>
      <x:c r="AE366"/>
      <x:c r="AF366"/>
      <x:c r="AG366" t="str">
        <x:v>IMS - CLOUD CSSP EXECUTOR</x:v>
      </x:c>
      <x:c r="AH366"/>
      <x:c r="AI366"/>
      <x:c r="AJ366" t="str">
        <x:v>A-000809</x:v>
      </x:c>
      <x:c r="AK366" t="str">
        <x:v>00915_64</x:v>
      </x:c>
      <x:c r="AL366"/>
      <x:c r="AM366"/>
      <x:c r="AN366" t="str">
        <x:v>noretention</x:v>
      </x:c>
      <x:c r="AO366" t="n">
        <x:v>0</x:v>
      </x:c>
      <x:c r="AP366" s="23" t="str">
        <x:f>IF(E366="processing",IF(Z366="","",IF(ISNUMBER(Z366),INT(Z366),DATE(VALUE(LEFT(Z366,4)),VALUE(MID(Z366,6,2)),VALUE(MID(Z366,9,2))))),IF(OR(E366="executing",E366="pending"),IF(AD366="","",IF(ISNUMBER(AD366),INT(AD366),DATE(VALUE(LEFT(AD366,4)),VALUE(MID(AD366,6,2)),VALUE(MID(AD366,9,2))))),""))</x:f>
      </x:c>
      <x:c r="AQ366" s="24" t="str">
        <x:f>IF(AP366="","",INT('Configuration'!$B$4)-AP366)</x:f>
      </x:c>
      <x:c r="AR366" s="25" t="str">
        <x:f>IF(AP366="","Missing Required Date",IF(AQ366&lt;0,"Future Date",IF(AQ366=0,"0 days",IF(AQ366&lt;=2,"1-2 days",IF(AQ366&lt;=7,"3-7 days",IF(AQ366&lt;=14,"8-14 days",IF(AQ366&lt;=30,"15-30 days",IF(AQ366&lt;=60,"31-60 days",IF(AQ366&lt;=70,"61-70 days","71+ days")))))))))</x:f>
        <x:v>Missing Required Date</x:v>
      </x:c>
      <x:c r="AS366" s="25" t="str">
        <x:f>IF(OR(E366="processing",E366="executing",E366="pending"),IF(AP366="","Required aging date missing",IF(AQ366&gt;30,"Escalate &gt;30d",IF(AQ366&gt;14,"Watch &gt;14d","Within 14d"))),"Out of scope")</x:f>
        <x:v>Out of scope</x:v>
      </x:c>
    </x:row>
    <x:row r="367" ht="24" customHeight="1">
      <x:c r="A367" t="str">
        <x:v>2d64a47b-9437-4dab-8f08-6205539c1b09</x:v>
      </x:c>
      <x:c r="B367" t="str">
        <x:v>CSSP10936121</x:v>
      </x:c>
      <x:c r="C367" t="str">
        <x:v>datok.idang@petronas.com</x:v>
      </x:c>
      <x:c r="D367" t="str">
        <x:v>decommission-cloud</x:v>
      </x:c>
      <x:c r="E367" t="str">
        <x:v>processing</x:v>
      </x:c>
      <x:c r="F367" t="n">
        <x:v>46248.16969297454</x:v>
      </x:c>
      <x:c r="G367" t="n">
        <x:v>46251.16871525463</x:v>
      </x:c>
      <x:c r="H367" t="n">
        <x:v>46248.16969297454</x:v>
      </x:c>
      <x:c r="I367" t="str">
        <x:v>Plant Information - PI PCASB</x:v>
      </x:c>
      <x:c r="J367" t="str">
        <x:v>Implementation of PI Asset Framework (AF) and PI Vision for PCASB</x:v>
      </x:c>
      <x:c r="K367" t="str">
        <x:v>partial</x:v>
      </x:c>
      <x:c r="L367"/>
      <x:c r="M367" t="str">
        <x:v>sazali.mokhtar@petronas.com.my</x:v>
      </x:c>
      <x:c r="N367"/>
      <x:c r="O367"/>
      <x:c r="P367" t="str">
        <x:v>Cloud Repatriation - To decommission old resources in Singapore region due to completed migration in MY region</x:v>
      </x:c>
      <x:c r="Q367" t="str">
        <x:v>2W</x:v>
      </x:c>
      <x:c r="R367" t="str">
        <x:v>Cloud Migration</x:v>
      </x:c>
      <x:c r="S367"/>
      <x:c r="T367" t="str">
        <x:v>approved</x:v>
      </x:c>
      <x:c r="U367" t="str">
        <x:v>datok.idang@petronas.com</x:v>
      </x:c>
      <x:c r="V367" t="n">
        <x:v>46248.17226982639</x:v>
      </x:c>
      <x:c r="W367" t="str">
        <x:v>Cloud Repatriation – Decommissioning legacy resources hosted in the Singapore region</x:v>
      </x:c>
      <x:c r="X367" t="str">
        <x:v>approved</x:v>
      </x:c>
      <x:c r="Y367" t="str">
        <x:v>sazali.mokhtar@petronas.com</x:v>
      </x:c>
      <x:c r="Z367" t="n">
        <x:v>46251.08300978009</x:v>
      </x:c>
      <x:c r="AA367" t="str">
        <x:v>Cloud Repatriation - To decommission old resources in Singapore region due to completed migration in MY region</x:v>
      </x:c>
      <x:c r="AB367"/>
      <x:c r="AC367" t="str">
        <x:v>IMS - CLOUD CSSP REVIEWER</x:v>
      </x:c>
      <x:c r="AD367"/>
      <x:c r="AE367"/>
      <x:c r="AF367"/>
      <x:c r="AG367" t="str">
        <x:v>IMS - CLOUD CSSP EXECUTOR</x:v>
      </x:c>
      <x:c r="AH367"/>
      <x:c r="AI367"/>
      <x:c r="AJ367" t="str">
        <x:v>A-000582</x:v>
      </x:c>
      <x:c r="AK367" t="n">
        <x:v>2332</x:v>
      </x:c>
      <x:c r="AL367" t="str">
        <x:v>L</x:v>
      </x:c>
      <x:c r="AM367"/>
      <x:c r="AN367" t="str">
        <x:v>noretention</x:v>
      </x:c>
      <x:c r="AO367" t="n">
        <x:v>0</x:v>
      </x:c>
      <x:c r="AP367" s="23" t="n">
        <x:f>IF(E367="processing",IF(Z367="","",IF(ISNUMBER(Z367),INT(Z367),DATE(VALUE(LEFT(Z367,4)),VALUE(MID(Z367,6,2)),VALUE(MID(Z367,9,2))))),IF(OR(E367="executing",E367="pending"),IF(AD367="","",IF(ISNUMBER(AD367),INT(AD367),DATE(VALUE(LEFT(AD367,4)),VALUE(MID(AD367,6,2)),VALUE(MID(AD367,9,2))))),""))</x:f>
        <x:v>46251</x:v>
      </x:c>
      <x:c r="AQ367" s="24" t="n">
        <x:f>IF(AP367="","",INT('Configuration'!$B$4)-AP367)</x:f>
        <x:v>0</x:v>
      </x:c>
      <x:c r="AR367" s="25" t="str">
        <x:f>IF(AP367="","Missing Required Date",IF(AQ367&lt;0,"Future Date",IF(AQ367=0,"0 days",IF(AQ367&lt;=2,"1-2 days",IF(AQ367&lt;=7,"3-7 days",IF(AQ367&lt;=14,"8-14 days",IF(AQ367&lt;=30,"15-30 days",IF(AQ367&lt;=60,"31-60 days",IF(AQ367&lt;=70,"61-70 days","71+ days")))))))))</x:f>
        <x:v>0 days</x:v>
      </x:c>
      <x:c r="AS367" s="25" t="str">
        <x:f>IF(OR(E367="processing",E367="executing",E367="pending"),IF(AP367="","Required aging date missing",IF(AQ367&gt;30,"Escalate &gt;30d",IF(AQ367&gt;14,"Watch &gt;14d","Within 14d"))),"Out of scope")</x:f>
        <x:v>Within 14d</x:v>
      </x:c>
    </x:row>
    <x:row r="368" ht="24" customHeight="1">
      <x:c r="A368" t="str">
        <x:v>d3e954a5-bfa7-4a8f-a629-016950c51c75</x:v>
      </x:c>
      <x:c r="B368" t="str">
        <x:v>CSSP10377584</x:v>
      </x:c>
      <x:c r="C368" t="str">
        <x:v>deepakfrancis.neyyan@petronas.com</x:v>
      </x:c>
      <x:c r="D368" t="str">
        <x:v>decommission-cloud</x:v>
      </x:c>
      <x:c r="E368" t="str">
        <x:v>pending</x:v>
      </x:c>
      <x:c r="F368" t="n">
        <x:v>46248.24321545139</x:v>
      </x:c>
      <x:c r="G368" t="n">
        <x:v>46248.24737641204</x:v>
      </x:c>
      <x:c r="H368" t="n">
        <x:v>46248.24321545139</x:v>
      </x:c>
      <x:c r="I368" t="str">
        <x:v>SAP 30 ECC6</x:v>
      </x:c>
      <x:c r="J368" t="str">
        <x:v>Cloud Migration Program - PETRONAS Group ECC 6.0 (SAP30)</x:v>
      </x:c>
      <x:c r="K368" t="str">
        <x:v>partial</x:v>
      </x:c>
      <x:c r="L368"/>
      <x:c r="M368" t="str">
        <x:v>rizuanatan@petronas.com</x:v>
      </x:c>
      <x:c r="N368"/>
      <x:c r="O368"/>
      <x:c r="P368" t="str">
        <x:v>Hostname	             IP Address	        SID
PTSG-1ECCDB01	     172.25.40.153	P30    DB
PTSG-1ECCDB02	 172.25.40.154	P30    DB
PTSG-1ECCSC01	     172.25.34.95	P30    SC
PTSG-1ECCSC02	     172.25.34.96	P30    SC
PTSG-1ECCAP01	     172.25.34.97	P30 App
PTSG-1ECCAP02	     172.25.34.98	P30 App
PTSG-1ECCAP03	     172.25.34.99	P30 App
PTSG-1ECCAP04	     172.25.34.100	P30 App
PTSG-1ECCAP05	     172.25.34.101	P30 App
PTSG-1ECCAP06	     172.25.34.102	P30 App
PTSG-1ECCAP07	     172.25.34.103	P30 App
PTSG-1ECCAP08	     172.25.34.104	P30 App
PTSG-1ECCAP09	     172.25.34.105	P30 App
PTSG-1ECCAP10	     172.25.34.106	P30 App
PTSG-4ECCAP01	     172.25.53.92	T30 App
PTSG-4ECCAP02	 172.25.53.93	T30 App
PTSG-4ECCDB03	 172.25.56.104	T30 DB
PTSG-5ECCDB01	 172.25.72.57	D30 App &amp; DB
</x:v>
      </x:c>
      <x:c r="Q368" t="str">
        <x:v>1M</x:v>
      </x:c>
      <x:c r="R368" t="str">
        <x:v>Not in Used</x:v>
      </x:c>
      <x:c r="S368"/>
      <x:c r="T368" t="str">
        <x:v>approved</x:v>
      </x:c>
      <x:c r="U368" t="str">
        <x:v>deepakfrancis.neyyan@petronas.com</x:v>
      </x:c>
      <x:c r="V368" t="n">
        <x:v>46248.24737642361</x:v>
      </x:c>
      <x:c r="W368" t="str">
        <x:v>P30 system has been reviewed from our side and is currently awaiting approval.
DB Backup : We have already taken back up. You can proceed with decommission.</x:v>
      </x:c>
      <x:c r="X368"/>
      <x:c r="Y368" t="str">
        <x:v>rizuanatan@petronas.com</x:v>
      </x:c>
      <x:c r="Z368"/>
      <x:c r="AA368"/>
      <x:c r="AB368"/>
      <x:c r="AC368" t="str">
        <x:v>CCoE SA</x:v>
      </x:c>
      <x:c r="AD368"/>
      <x:c r="AE368"/>
      <x:c r="AF368"/>
      <x:c r="AG368" t="str">
        <x:v>IMS - CLOUD CSSP EXECUTOR</x:v>
      </x:c>
      <x:c r="AH368"/>
      <x:c r="AI368"/>
      <x:c r="AJ368" t="str">
        <x:v>A-000714</x:v>
      </x:c>
      <x:c r="AK368" t="str">
        <x:v>00915_132</x:v>
      </x:c>
      <x:c r="AL368"/>
      <x:c r="AM368"/>
      <x:c r="AN368" t="str">
        <x:v>noretention</x:v>
      </x:c>
      <x:c r="AO368" t="n">
        <x:v>0</x:v>
      </x:c>
      <x:c r="AP368" s="23" t="str">
        <x:f>IF(E368="processing",IF(Z368="","",IF(ISNUMBER(Z368),INT(Z368),DATE(VALUE(LEFT(Z368,4)),VALUE(MID(Z368,6,2)),VALUE(MID(Z368,9,2))))),IF(OR(E368="executing",E368="pending"),IF(AD368="","",IF(ISNUMBER(AD368),INT(AD368),DATE(VALUE(LEFT(AD368,4)),VALUE(MID(AD368,6,2)),VALUE(MID(AD368,9,2))))),""))</x:f>
      </x:c>
      <x:c r="AQ368" s="24" t="str">
        <x:f>IF(AP368="","",INT('Configuration'!$B$4)-AP368)</x:f>
      </x:c>
      <x:c r="AR368" s="25" t="str">
        <x:f>IF(AP368="","Missing Required Date",IF(AQ368&lt;0,"Future Date",IF(AQ368=0,"0 days",IF(AQ368&lt;=2,"1-2 days",IF(AQ368&lt;=7,"3-7 days",IF(AQ368&lt;=14,"8-14 days",IF(AQ368&lt;=30,"15-30 days",IF(AQ368&lt;=60,"31-60 days",IF(AQ368&lt;=70,"61-70 days","71+ days")))))))))</x:f>
        <x:v>Missing Required Date</x:v>
      </x:c>
      <x:c r="AS368" s="25" t="str">
        <x:f>IF(OR(E368="processing",E368="executing",E368="pending"),IF(AP368="","Required aging date missing",IF(AQ368&gt;30,"Escalate &gt;30d",IF(AQ368&gt;14,"Watch &gt;14d","Within 14d"))),"Out of scope")</x:f>
        <x:v>Required aging date missing</x:v>
      </x:c>
    </x:row>
    <x:row r="369" ht="24" customHeight="1">
      <x:c r="A369" t="str">
        <x:v>0fb036f1-fec0-4220-89dc-805e9ff4236f</x:v>
      </x:c>
      <x:c r="B369" t="str">
        <x:v>CSSP10694484</x:v>
      </x:c>
      <x:c r="C369" t="str">
        <x:v>deepakfrancis.neyyan@petronas.com</x:v>
      </x:c>
      <x:c r="D369" t="str">
        <x:v>decommission-cloud</x:v>
      </x:c>
      <x:c r="E369" t="str">
        <x:v>pending</x:v>
      </x:c>
      <x:c r="F369" t="n">
        <x:v>46248.250335150464</x:v>
      </x:c>
      <x:c r="G369" t="n">
        <x:v>46248.25163240741</x:v>
      </x:c>
      <x:c r="H369" t="n">
        <x:v>46248.250335150464</x:v>
      </x:c>
      <x:c r="I369" t="str">
        <x:v>SAP 50 ECC6</x:v>
      </x:c>
      <x:c r="J369" t="str">
        <x:v>Cloud Migration Program - SAP ECC PDB ECC 6.0 (SAP ID 50 (P50, D50 &amp; T50)</x:v>
      </x:c>
      <x:c r="K369" t="str">
        <x:v>partial</x:v>
      </x:c>
      <x:c r="L369"/>
      <x:c r="M369" t="str">
        <x:v>rizuanatan@petronas.com</x:v>
      </x:c>
      <x:c r="N369"/>
      <x:c r="O369"/>
      <x:c r="P369" t="str">
        <x:v>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x:v>
      </x:c>
      <x:c r="Q369" t="str">
        <x:v>1M</x:v>
      </x:c>
      <x:c r="R369" t="str">
        <x:v>Not in Used</x:v>
      </x:c>
      <x:c r="S369"/>
      <x:c r="T369" t="str">
        <x:v>approved</x:v>
      </x:c>
      <x:c r="U369" t="str">
        <x:v>deepakfrancis.neyyan@petronas.com</x:v>
      </x:c>
      <x:c r="V369" t="n">
        <x:v>46248.25163241898</x:v>
      </x:c>
      <x:c r="W369" t="str">
        <x:v>Reviewed and Proceed for decommission</x:v>
      </x:c>
      <x:c r="X369"/>
      <x:c r="Y369" t="str">
        <x:v>rizuanatan@petronas.com</x:v>
      </x:c>
      <x:c r="Z369"/>
      <x:c r="AA369"/>
      <x:c r="AB369"/>
      <x:c r="AC369" t="str">
        <x:v>CCoE SA</x:v>
      </x:c>
      <x:c r="AD369"/>
      <x:c r="AE369"/>
      <x:c r="AF369"/>
      <x:c r="AG369" t="str">
        <x:v>IMS - CLOUD CSSP EXECUTOR</x:v>
      </x:c>
      <x:c r="AH369"/>
      <x:c r="AI369"/>
      <x:c r="AJ369" t="str">
        <x:v>A-000726</x:v>
      </x:c>
      <x:c r="AK369" t="str">
        <x:v>00915_42</x:v>
      </x:c>
      <x:c r="AL369"/>
      <x:c r="AM369"/>
      <x:c r="AN369" t="str">
        <x:v>noretention</x:v>
      </x:c>
      <x:c r="AO369" t="n">
        <x:v>0</x:v>
      </x:c>
      <x:c r="AP369" s="23" t="str">
        <x:f>IF(E369="processing",IF(Z369="","",IF(ISNUMBER(Z369),INT(Z369),DATE(VALUE(LEFT(Z369,4)),VALUE(MID(Z369,6,2)),VALUE(MID(Z369,9,2))))),IF(OR(E369="executing",E369="pending"),IF(AD369="","",IF(ISNUMBER(AD369),INT(AD369),DATE(VALUE(LEFT(AD369,4)),VALUE(MID(AD369,6,2)),VALUE(MID(AD369,9,2))))),""))</x:f>
      </x:c>
      <x:c r="AQ369" s="24" t="str">
        <x:f>IF(AP369="","",INT('Configuration'!$B$4)-AP369)</x:f>
      </x:c>
      <x:c r="AR369" s="25" t="str">
        <x:f>IF(AP369="","Missing Required Date",IF(AQ369&lt;0,"Future Date",IF(AQ369=0,"0 days",IF(AQ369&lt;=2,"1-2 days",IF(AQ369&lt;=7,"3-7 days",IF(AQ369&lt;=14,"8-14 days",IF(AQ369&lt;=30,"15-30 days",IF(AQ369&lt;=60,"31-60 days",IF(AQ369&lt;=70,"61-70 days","71+ days")))))))))</x:f>
        <x:v>Missing Required Date</x:v>
      </x:c>
      <x:c r="AS369" s="25" t="str">
        <x:f>IF(OR(E369="processing",E369="executing",E369="pending"),IF(AP369="","Required aging date missing",IF(AQ369&gt;30,"Escalate &gt;30d",IF(AQ369&gt;14,"Watch &gt;14d","Within 14d"))),"Out of scope")</x:f>
        <x:v>Required aging date missing</x:v>
      </x:c>
    </x:row>
    <x:row r="370" ht="24" customHeight="1">
      <x:c r="A370" t="str">
        <x:v>10eb4ea0-dd41-4b57-92aa-a55640ecf29d</x:v>
      </x:c>
      <x:c r="B370" t="str">
        <x:v>CSSP10715182</x:v>
      </x:c>
      <x:c r="C370" t="str">
        <x:v>maizad.hamid@klcc.com.my</x:v>
      </x:c>
      <x:c r="D370" t="str">
        <x:v>decommission-cloud</x:v>
      </x:c>
      <x:c r="E370" t="str">
        <x:v>processing</x:v>
      </x:c>
      <x:c r="F370" t="n">
        <x:v>46251.28395030092</x:v>
      </x:c>
      <x:c r="G370" t="n">
        <x:v>46251.315905</x:v>
      </x:c>
      <x:c r="H370" t="n">
        <x:v>46251.28395030092</x:v>
      </x:c>
      <x:c r="I370" t="str">
        <x:v>Claim Tracking System - CTS</x:v>
      </x:c>
      <x:c r="J370" t="str">
        <x:v>Cloud Migration Program - Claim Tracking System (CTS)</x:v>
      </x:c>
      <x:c r="K370" t="str">
        <x:v>full</x:v>
      </x:c>
      <x:c r="L370" t="str">
        <x:v>DCOM202608170b9</x:v>
      </x:c>
      <x:c r="M370" t="str">
        <x:v>ghazeeg@pjh.com.my</x:v>
      </x:c>
      <x:c r="N370" t="str">
        <x:v>https://cts.pjh.com.my</x:v>
      </x:c>
      <x:c r="O370"/>
      <x:c r="P370" t="str">
        <x:v>The CTS functionalities have been replaced by SmartGEP. As a result, the CTS system is no longer in use.</x:v>
      </x:c>
      <x:c r="Q370" t="str">
        <x:v>1M</x:v>
      </x:c>
      <x:c r="R370" t="str">
        <x:v>Not in Used</x:v>
      </x:c>
      <x:c r="S370"/>
      <x:c r="T370" t="str">
        <x:v>approved</x:v>
      </x:c>
      <x:c r="U370" t="str">
        <x:v>maizad.hamid@klcc.com</x:v>
      </x:c>
      <x:c r="V370" t="n">
        <x:v>46251.28459546297</x:v>
      </x:c>
      <x:c r="W370" t="str">
        <x:v>Proceed</x:v>
      </x:c>
      <x:c r="X370" t="str">
        <x:v>approved</x:v>
      </x:c>
      <x:c r="Y370" t="str">
        <x:v>ghazeeg@pjh.com</x:v>
      </x:c>
      <x:c r="Z370" t="n">
        <x:v>46251.315905</x:v>
      </x:c>
      <x:c r="AA370" t="str">
        <x:v>As CTS is no longer in use, we request to proceed with the decommissioning of the system.</x:v>
      </x:c>
      <x:c r="AB370"/>
      <x:c r="AC370" t="str">
        <x:v>CCoE SA</x:v>
      </x:c>
      <x:c r="AD370"/>
      <x:c r="AE370"/>
      <x:c r="AF370"/>
      <x:c r="AG370" t="str">
        <x:v>IMS - CLOUD CSSP EXECUTOR</x:v>
      </x:c>
      <x:c r="AH370"/>
      <x:c r="AI370"/>
      <x:c r="AJ370" t="str">
        <x:v>A-000189</x:v>
      </x:c>
      <x:c r="AK370" t="str">
        <x:v>00915_217</x:v>
      </x:c>
      <x:c r="AL370"/>
      <x:c r="AM370"/>
      <x:c r="AN370" t="str">
        <x:v>disposal</x:v>
      </x:c>
      <x:c r="AO370" t="n">
        <x:v>0</x:v>
      </x:c>
      <x:c r="AP370" s="23" t="n">
        <x:f>IF(E370="processing",IF(Z370="","",IF(ISNUMBER(Z370),INT(Z370),DATE(VALUE(LEFT(Z370,4)),VALUE(MID(Z370,6,2)),VALUE(MID(Z370,9,2))))),IF(OR(E370="executing",E370="pending"),IF(AD370="","",IF(ISNUMBER(AD370),INT(AD370),DATE(VALUE(LEFT(AD370,4)),VALUE(MID(AD370,6,2)),VALUE(MID(AD370,9,2))))),""))</x:f>
        <x:v>46251</x:v>
      </x:c>
      <x:c r="AQ370" s="24" t="n">
        <x:f>IF(AP370="","",INT('Configuration'!$B$4)-AP370)</x:f>
        <x:v>0</x:v>
      </x:c>
      <x:c r="AR370" s="25" t="str">
        <x:f>IF(AP370="","Missing Required Date",IF(AQ370&lt;0,"Future Date",IF(AQ370=0,"0 days",IF(AQ370&lt;=2,"1-2 days",IF(AQ370&lt;=7,"3-7 days",IF(AQ370&lt;=14,"8-14 days",IF(AQ370&lt;=30,"15-30 days",IF(AQ370&lt;=60,"31-60 days",IF(AQ370&lt;=70,"61-70 days","71+ days")))))))))</x:f>
        <x:v>0 days</x:v>
      </x:c>
      <x:c r="AS370" s="25" t="str">
        <x:f>IF(OR(E370="processing",E370="executing",E370="pending"),IF(AP370="","Required aging date missing",IF(AQ370&gt;30,"Escalate &gt;30d",IF(AQ370&gt;14,"Watch &gt;14d","Within 14d"))),"Out of scope")</x:f>
        <x:v>Within 14d</x:v>
      </x:c>
    </x:row>
    <x:row r="371" ht="24" customHeight="1">
      <x:c r="A371" t="str">
        <x:v>8a9d999b-d3ef-48f8-9d64-5b47008a2245</x:v>
      </x:c>
      <x:c r="B371" t="str">
        <x:v>CSSP10200937</x:v>
      </x:c>
      <x:c r="C371" t="str">
        <x:v>datok.idang@petronas.com</x:v>
      </x:c>
      <x:c r="D371" t="str">
        <x:v>decommission-cloud</x:v>
      </x:c>
      <x:c r="E371" t="str">
        <x:v>pending</x:v>
      </x:c>
      <x:c r="F371" t="n">
        <x:v>46251.295693506945</x:v>
      </x:c>
      <x:c r="G371" t="n">
        <x:v>46251.29633204861</x:v>
      </x:c>
      <x:c r="H371" t="n">
        <x:v>46251.295693506945</x:v>
      </x:c>
      <x:c r="I371" t="str">
        <x:v>Plant Information - PI PCFK</x:v>
      </x:c>
      <x:c r="J371" t="str">
        <x:v>Implementation of PI Asset Framework (AF) and PI Vision for PCFK</x:v>
      </x:c>
      <x:c r="K371" t="str">
        <x:v>partial</x:v>
      </x:c>
      <x:c r="L371"/>
      <x:c r="M371" t="str">
        <x:v>sazali.mokhtar@petronas.com.my</x:v>
      </x:c>
      <x:c r="N371"/>
      <x:c r="O371"/>
      <x:c r="P371" t="str">
        <x:v>Cloud Repatriation - To decommission old resources in Singapore region due to completed migration in MY region</x:v>
      </x:c>
      <x:c r="Q371" t="str">
        <x:v>2W</x:v>
      </x:c>
      <x:c r="R371" t="str">
        <x:v>Cloud Migration</x:v>
      </x:c>
      <x:c r="S371"/>
      <x:c r="T371" t="str">
        <x:v>approved</x:v>
      </x:c>
      <x:c r="U371" t="str">
        <x:v>datok.idang@petronas.com</x:v>
      </x:c>
      <x:c r="V371" t="n">
        <x:v>46251.296332060185</x:v>
      </x:c>
      <x:c r="W371" t="str">
        <x:v>Cloud Repatriation – Decommissioning legacy resources hosted in the Singapore region
</x:v>
      </x:c>
      <x:c r="X371"/>
      <x:c r="Y371" t="str">
        <x:v>sazali.mokhtar@petronas.com</x:v>
      </x:c>
      <x:c r="Z371"/>
      <x:c r="AA371"/>
      <x:c r="AB371"/>
      <x:c r="AC371" t="str">
        <x:v>CCoE SA</x:v>
      </x:c>
      <x:c r="AD371"/>
      <x:c r="AE371"/>
      <x:c r="AF371"/>
      <x:c r="AG371" t="str">
        <x:v>IMS - CLOUD CSSP EXECUTOR</x:v>
      </x:c>
      <x:c r="AH371"/>
      <x:c r="AI371"/>
      <x:c r="AJ371" t="str">
        <x:v>A-000583</x:v>
      </x:c>
      <x:c r="AK371" t="n">
        <x:v>2356</x:v>
      </x:c>
      <x:c r="AL371"/>
      <x:c r="AM371"/>
      <x:c r="AN371" t="str">
        <x:v>noretention</x:v>
      </x:c>
      <x:c r="AO371" t="n">
        <x:v>0</x:v>
      </x:c>
      <x:c r="AP371" s="23" t="str">
        <x:f>IF(E371="processing",IF(Z371="","",IF(ISNUMBER(Z371),INT(Z371),DATE(VALUE(LEFT(Z371,4)),VALUE(MID(Z371,6,2)),VALUE(MID(Z371,9,2))))),IF(OR(E371="executing",E371="pending"),IF(AD371="","",IF(ISNUMBER(AD371),INT(AD371),DATE(VALUE(LEFT(AD371,4)),VALUE(MID(AD371,6,2)),VALUE(MID(AD371,9,2))))),""))</x:f>
      </x:c>
      <x:c r="AQ371" s="24" t="str">
        <x:f>IF(AP371="","",INT('Configuration'!$B$4)-AP371)</x:f>
      </x:c>
      <x:c r="AR371" s="25" t="str">
        <x:f>IF(AP371="","Missing Required Date",IF(AQ371&lt;0,"Future Date",IF(AQ371=0,"0 days",IF(AQ371&lt;=2,"1-2 days",IF(AQ371&lt;=7,"3-7 days",IF(AQ371&lt;=14,"8-14 days",IF(AQ371&lt;=30,"15-30 days",IF(AQ371&lt;=60,"31-60 days",IF(AQ371&lt;=70,"61-70 days","71+ days")))))))))</x:f>
        <x:v>Missing Required Date</x:v>
      </x:c>
      <x:c r="AS371" s="25" t="str">
        <x:f>IF(OR(E371="processing",E371="executing",E371="pending"),IF(AP371="","Required aging date missing",IF(AQ371&gt;30,"Escalate &gt;30d",IF(AQ371&gt;14,"Watch &gt;14d","Within 14d"))),"Out of scope")</x:f>
        <x:v>Required aging date missing</x:v>
      </x:c>
    </x:row>
    <x:row r="372" ht="24" customHeight="1">
      <x:c r="A372" t="str">
        <x:v>a6aab36e-7f45-4ed3-8b77-58980e32c9ce</x:v>
      </x:c>
      <x:c r="B372" t="str">
        <x:v>CSSP10722928</x:v>
      </x:c>
      <x:c r="C372" t="str">
        <x:v>datok.idang@petronas.com</x:v>
      </x:c>
      <x:c r="D372" t="str">
        <x:v>decommission-cloud</x:v>
      </x:c>
      <x:c r="E372" t="str">
        <x:v>pending</x:v>
      </x:c>
      <x:c r="F372" t="n">
        <x:v>46251.29839628472</x:v>
      </x:c>
      <x:c r="G372" t="n">
        <x:v>46251.298804895836</x:v>
      </x:c>
      <x:c r="H372" t="n">
        <x:v>46251.29839628472</x:v>
      </x:c>
      <x:c r="I372" t="str">
        <x:v>Plant Information - PI ABF</x:v>
      </x:c>
      <x:c r="J372" t="str">
        <x:v>Provision, Installation and Configuration of PI AF &amp; PI Vision for Asean Bintulu Fertilizer Sdn Bhd (ABF)</x:v>
      </x:c>
      <x:c r="K372" t="str">
        <x:v>partial</x:v>
      </x:c>
      <x:c r="L372"/>
      <x:c r="M372" t="str">
        <x:v>sazali.mokhtar@petronas.com.my</x:v>
      </x:c>
      <x:c r="N372"/>
      <x:c r="O372"/>
      <x:c r="P372" t="str">
        <x:v>Cloud Repatriation - To decommission old resources in Singapore region due to completed migration in MY region</x:v>
      </x:c>
      <x:c r="Q372" t="str">
        <x:v>2W</x:v>
      </x:c>
      <x:c r="R372" t="str">
        <x:v>Cloud Migration</x:v>
      </x:c>
      <x:c r="S372"/>
      <x:c r="T372" t="str">
        <x:v>approved</x:v>
      </x:c>
      <x:c r="U372" t="str">
        <x:v>datok.idang@petronas.com</x:v>
      </x:c>
      <x:c r="V372" t="n">
        <x:v>46251.298804907405</x:v>
      </x:c>
      <x:c r="W372" t="str">
        <x:v>Cloud Repatriation – Decommissioning legacy resources hosted in the Singapore region
</x:v>
      </x:c>
      <x:c r="X372"/>
      <x:c r="Y372" t="str">
        <x:v>sazali.mokhtar@petronas.com</x:v>
      </x:c>
      <x:c r="Z372"/>
      <x:c r="AA372"/>
      <x:c r="AB372"/>
      <x:c r="AC372" t="str">
        <x:v>CCoE SA</x:v>
      </x:c>
      <x:c r="AD372"/>
      <x:c r="AE372"/>
      <x:c r="AF372"/>
      <x:c r="AG372" t="str">
        <x:v>IMS - CLOUD CSSP EXECUTOR</x:v>
      </x:c>
      <x:c r="AH372"/>
      <x:c r="AI372"/>
      <x:c r="AJ372" t="str">
        <x:v>A-000564</x:v>
      </x:c>
      <x:c r="AK372" t="n">
        <x:v>4469</x:v>
      </x:c>
      <x:c r="AL372"/>
      <x:c r="AM372"/>
      <x:c r="AN372" t="str">
        <x:v>noretention</x:v>
      </x:c>
      <x:c r="AO372" t="n">
        <x:v>0</x:v>
      </x:c>
      <x:c r="AP372" s="23" t="str">
        <x:f>IF(E372="processing",IF(Z372="","",IF(ISNUMBER(Z372),INT(Z372),DATE(VALUE(LEFT(Z372,4)),VALUE(MID(Z372,6,2)),VALUE(MID(Z372,9,2))))),IF(OR(E372="executing",E372="pending"),IF(AD372="","",IF(ISNUMBER(AD372),INT(AD372),DATE(VALUE(LEFT(AD372,4)),VALUE(MID(AD372,6,2)),VALUE(MID(AD372,9,2))))),""))</x:f>
      </x:c>
      <x:c r="AQ372" s="24" t="str">
        <x:f>IF(AP372="","",INT('Configuration'!$B$4)-AP372)</x:f>
      </x:c>
      <x:c r="AR372" s="25" t="str">
        <x:f>IF(AP372="","Missing Required Date",IF(AQ372&lt;0,"Future Date",IF(AQ372=0,"0 days",IF(AQ372&lt;=2,"1-2 days",IF(AQ372&lt;=7,"3-7 days",IF(AQ372&lt;=14,"8-14 days",IF(AQ372&lt;=30,"15-30 days",IF(AQ372&lt;=60,"31-60 days",IF(AQ372&lt;=70,"61-70 days","71+ days")))))))))</x:f>
        <x:v>Missing Required Date</x:v>
      </x:c>
      <x:c r="AS372" s="25" t="str">
        <x:f>IF(OR(E372="processing",E372="executing",E372="pending"),IF(AP372="","Required aging date missing",IF(AQ372&gt;30,"Escalate &gt;30d",IF(AQ372&gt;14,"Watch &gt;14d","Within 14d"))),"Out of scope")</x:f>
        <x:v>Required aging date missing</x:v>
      </x:c>
    </x:row>
  </x:sheetData>
  <x:mergeCells>
    <x:mergeCell ref="A1:L1"/>
    <x:mergeCell ref="A2:L2"/>
    <x:mergeCell ref="A3:L3"/>
  </x:mergeCells>
  <x:conditionalFormatting sqref="AS5:AS372">
    <x:cfRule type="containsText" dxfId="6" priority="1" operator="containsText" text="Escalate"/>
    <x:cfRule type="containsText" dxfId="7" priority="2" operator="containsText" text="Watch"/>
    <x:cfRule type="containsText" dxfId="8" priority="3" operator="containsText" text="required"/>
  </x:conditionalFormatting>
  <x:pageMargins left="0.7" right="0.7" top="0.75" bottom="0.75" header="0.3" footer="0.3"/>
  <x:tableParts count="1">
    <x:tablePart xmlns:r="http://schemas.openxmlformats.org/officeDocument/2006/relationships" r:id="Rbbac2fc117d1446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7" hidden="0" customWidth="1"/>
    <x:col min="4" max="4" width="17" hidden="0" customWidth="1"/>
    <x:col min="5" max="5" width="17" hidden="0" customWidth="1"/>
    <x:col min="6" max="6" width="20" hidden="0" customWidth="1"/>
    <x:col min="7" max="7" width="20" hidden="0" customWidth="1"/>
    <x:col min="8" max="8" width="20" hidden="0" customWidth="1"/>
    <x:col min="9" max="9" width="26" hidden="0" customWidth="1"/>
    <x:col min="10" max="10" width="26" hidden="0" customWidth="1"/>
    <x:col min="11" max="11" width="26" hidden="0" customWidth="1"/>
    <x:col min="12" max="12" width="26" hidden="0" customWidth="1"/>
    <x:col min="39" max="39" width="19" hidden="0" customWidth="1"/>
    <x:col min="40" max="40" width="13" hidden="0" customWidth="1"/>
    <x:col min="41" max="41" width="22" hidden="0" customWidth="1"/>
    <x:col min="42" max="42" width="22" hidden="0" customWidth="1"/>
  </x:cols>
  <x:sheetData>
    <x:row r="1" ht="30" customHeight="1">
      <x:c r="A1" s="12" t="str">
        <x:v>PROVISIONING — PREVIOUS DAY INPUT TABLE</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c r="AK1" s="12"/>
      <x:c r="AL1" s="12"/>
      <x:c r="AM1" s="12"/>
      <x:c r="AN1" s="12"/>
      <x:c r="AO1" s="12"/>
      <x:c r="AP1" s="12"/>
    </x:row>
    <x:row r="2" ht="34" customHeight="1">
      <x:c r="A2" s="15" t="str">
        <x:v>Daily: clear only A5:AL5004, then paste source DATA ROWS at A5. Keep the header row and helper columns unchanged.</x:v>
      </x:c>
      <x:c r="B2" s="15"/>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row>
    <x:row r="3">
      <x:c r="A3" s="17" t="str">
        <x:v>Sample source: CSSP-Provisioning-1708.xlsx. Period: Previous Day. Summary supports up to 5000 rows.</x:v>
      </x:c>
      <x:c r="B3" s="17"/>
      <x:c r="C3" s="17"/>
      <x:c r="D3" s="17"/>
      <x:c r="E3" s="17"/>
      <x:c r="F3" s="17"/>
      <x:c r="G3" s="17"/>
      <x:c r="H3" s="17"/>
      <x:c r="I3" s="17"/>
      <x:c r="J3" s="17"/>
      <x:c r="K3" s="17"/>
      <x:c r="L3" s="17"/>
      <x:c r="M3" s="17"/>
      <x:c r="N3" s="17"/>
      <x:c r="O3" s="17"/>
      <x:c r="P3" s="17"/>
      <x:c r="Q3" s="17"/>
      <x:c r="R3" s="17"/>
      <x:c r="S3" s="17"/>
      <x:c r="T3" s="17"/>
      <x:c r="U3" s="17"/>
      <x:c r="V3" s="17"/>
      <x:c r="W3" s="17"/>
      <x:c r="X3" s="17"/>
      <x:c r="Y3" s="17"/>
      <x:c r="Z3" s="17"/>
      <x:c r="AA3" s="17"/>
      <x:c r="AB3" s="17"/>
      <x:c r="AC3" s="17"/>
      <x:c r="AD3" s="17"/>
      <x:c r="AE3" s="17"/>
      <x:c r="AF3" s="17"/>
      <x:c r="AG3" s="17"/>
      <x:c r="AH3" s="17"/>
      <x:c r="AI3" s="17"/>
      <x:c r="AJ3" s="17"/>
      <x:c r="AK3" s="17"/>
      <x:c r="AL3" s="17"/>
      <x:c r="AM3" s="17"/>
      <x:c r="AN3" s="17"/>
      <x:c r="AO3" s="17"/>
      <x:c r="AP3" s="17"/>
    </x:row>
    <x:row r="4" ht="42" customHeight="1">
      <x:c r="A4" s="22" t="str">
        <x:v>id</x:v>
      </x:c>
      <x:c r="B4" s="22" t="str">
        <x:v>request_number</x:v>
      </x:c>
      <x:c r="C4" s="22" t="str">
        <x:v>requestor_id</x:v>
      </x:c>
      <x:c r="D4" s="22" t="str">
        <x:v>request_type</x:v>
      </x:c>
      <x:c r="E4" s="22" t="str">
        <x:v>request_status</x:v>
      </x:c>
      <x:c r="F4" s="22" t="str">
        <x:v>date_created</x:v>
      </x:c>
      <x:c r="G4" s="22" t="str">
        <x:v>date_submitted</x:v>
      </x:c>
      <x:c r="H4" s="22" t="str">
        <x:v>date_updated</x:v>
      </x:c>
      <x:c r="I4" s="22" t="str">
        <x:v>application_id</x:v>
      </x:c>
      <x:c r="J4" s="22" t="str">
        <x:v>application_name</x:v>
      </x:c>
      <x:c r="K4" s="22" t="str">
        <x:v>project_code</x:v>
      </x:c>
      <x:c r="L4" s="22" t="str">
        <x:v>project_name</x:v>
      </x:c>
      <x:c r="M4" s="22" t="str">
        <x:v>manager_email</x:v>
      </x:c>
      <x:c r="N4" s="22" t="str">
        <x:v>devops_project</x:v>
      </x:c>
      <x:c r="O4" s="22" t="str">
        <x:v>request_category</x:v>
      </x:c>
      <x:c r="P4" s="22" t="str">
        <x:v>environment</x:v>
      </x:c>
      <x:c r="Q4" s="22" t="str">
        <x:v>remarks</x:v>
      </x:c>
      <x:c r="R4" s="22" t="str">
        <x:v>request_size</x:v>
      </x:c>
      <x:c r="S4" s="22" t="str">
        <x:v>rfc_number</x:v>
      </x:c>
      <x:c r="T4" s="22" t="str">
        <x:v>origin</x:v>
      </x:c>
      <x:c r="U4" s="22" t="str">
        <x:v>gate_1_comments</x:v>
      </x:c>
      <x:c r="V4" s="22" t="str">
        <x:v>gate_1_date</x:v>
      </x:c>
      <x:c r="W4" s="22" t="str">
        <x:v>gate_1_id</x:v>
      </x:c>
      <x:c r="X4" s="22" t="str">
        <x:v>gate_1_status</x:v>
      </x:c>
      <x:c r="Y4" s="22" t="str">
        <x:v>gate_2_comments</x:v>
      </x:c>
      <x:c r="Z4" s="22" t="str">
        <x:v>gate_2_date</x:v>
      </x:c>
      <x:c r="AA4" s="22" t="str">
        <x:v>gate_2_id</x:v>
      </x:c>
      <x:c r="AB4" s="22" t="str">
        <x:v>gate_2_status</x:v>
      </x:c>
      <x:c r="AC4" s="22" t="str">
        <x:v>gate_3_comments</x:v>
      </x:c>
      <x:c r="AD4" s="22" t="str">
        <x:v>gate_3_date</x:v>
      </x:c>
      <x:c r="AE4" s="22" t="str">
        <x:v>gate_3_id</x:v>
      </x:c>
      <x:c r="AF4" s="22" t="str">
        <x:v>gate_3_status</x:v>
      </x:c>
      <x:c r="AG4" s="22" t="str">
        <x:v>gate_4_comments</x:v>
      </x:c>
      <x:c r="AH4" s="22" t="str">
        <x:v>gate_4_date</x:v>
      </x:c>
      <x:c r="AI4" s="22" t="str">
        <x:v>gate_4_id</x:v>
      </x:c>
      <x:c r="AJ4" s="22" t="str">
        <x:v>gate_4_status</x:v>
      </x:c>
      <x:c r="AK4" s="22" t="str">
        <x:v>sr_number</x:v>
      </x:c>
      <x:c r="AL4" s="22" t="str">
        <x:v>project_id</x:v>
      </x:c>
      <x:c r="AM4" s="22" t="str">
        <x:v>aging_start_date</x:v>
      </x:c>
      <x:c r="AN4" s="22" t="str">
        <x:v>aging_days</x:v>
      </x:c>
      <x:c r="AO4" s="22" t="str">
        <x:v>aging_bucket</x:v>
      </x:c>
      <x:c r="AP4" s="22" t="str">
        <x:v>tracking_flag</x:v>
      </x:c>
    </x:row>
    <x:row r="5" ht="24" customHeight="1">
      <x:c r="A5" t="str">
        <x:v>197bccd2-693d-423f-833f-6775daaba542</x:v>
      </x:c>
      <x:c r="B5" t="str">
        <x:v>REQ000006914868</x:v>
      </x:c>
      <x:c r="C5" t="str">
        <x:v>masyraf.mnasir@petronas.com</x:v>
      </x:c>
      <x:c r="D5" t="str">
        <x:v>provision-cloud-public</x:v>
      </x:c>
      <x:c r="E5" t="str">
        <x:v>completed</x:v>
      </x:c>
      <x:c r="F5" t="str">
        <x:v>2024-11-20T15:27:56.87</x:v>
      </x:c>
      <x:c r="G5" t="str">
        <x:v>2024-11-20T07:27:56.867</x:v>
      </x:c>
      <x:c r="H5" t="n">
        <x:v>46083.32523962963</x:v>
      </x:c>
      <x:c r="I5" t="str">
        <x:v>A-000661</x:v>
      </x:c>
      <x:c r="J5" t="str">
        <x:v>ProcurementGo/STAR</x:v>
      </x:c>
      <x:c r="K5" t="str">
        <x:v>00915_30</x:v>
      </x:c>
      <x:c r="L5" t="str">
        <x:v>Cloud Migration Program - Procurement/Go Star</x:v>
      </x:c>
      <x:c r="M5" t="str">
        <x:v>masyraf.mnasir@petronas.com</x:v>
      </x:c>
      <x:c r="N5" t="str">
        <x:v>ProcurementGo</x:v>
      </x:c>
      <x:c r="O5" t="str">
        <x:v>New</x:v>
      </x:c>
      <x:c r="P5" t="str">
        <x:v>Production</x:v>
      </x:c>
      <x:c r="Q5" t="str">
        <x:v>small, azure, non-iac, add-on kv. RG=PTAZSG-PROD-PSTR-RG. Provision Azure key vault for ProcurementGo</x:v>
      </x:c>
      <x:c r="R5" t="str">
        <x:v>Small</x:v>
      </x:c>
      <x:c r="S5"/>
      <x:c r="T5" t="str">
        <x:v>cssp-v1</x:v>
      </x:c>
      <x:c r="U5" t="str">
        <x:v>REQ000006914868</x:v>
      </x:c>
      <x:c r="V5" t="str">
        <x:v>2024-11-20T07:27:56.867</x:v>
      </x:c>
      <x:c r="W5" t="str">
        <x:v>masyraf.mnasir@petronas.com</x:v>
      </x:c>
      <x:c r="X5" t="str">
        <x:v>approved</x:v>
      </x:c>
      <x:c r="Y5" t="str">
        <x:v>ICT_WO008350537/Pending</x:v>
      </x:c>
      <x:c r="Z5" t="str">
        <x:v>2024-11-20T07:27:56.87</x:v>
      </x:c>
      <x:c r="AA5" t="str">
        <x:v>syazali.saad@petronas.com</x:v>
      </x:c>
      <x:c r="AB5" t="str">
        <x:v>approved</x:v>
      </x:c>
      <x:c r="AC5" t="str">
        <x:v>ICT_WO008350537/Pending</x:v>
      </x:c>
      <x:c r="AD5" t="str">
        <x:v>2024-11-20T07:27:56.87</x:v>
      </x:c>
      <x:c r="AE5" t="str">
        <x:v>syazali.saad@petronas.com</x:v>
      </x:c>
      <x:c r="AF5" t="str">
        <x:v>approved</x:v>
      </x:c>
      <x:c r="AG5" t="str">
        <x:v>completed</x:v>
      </x:c>
      <x:c r="AH5" t="n">
        <x:v>46083.325239641206</x:v>
      </x:c>
      <x:c r="AI5" t="str">
        <x:v>chunwu.lim@petronas.com</x:v>
      </x:c>
      <x:c r="AJ5" t="str">
        <x:v>approved</x:v>
      </x:c>
      <x:c r="AK5"/>
      <x:c r="AL5"/>
      <x:c r="AM5" s="23" t="str">
        <x:f>IF(E5="processing",IF(Z5="","",IF(ISNUMBER(Z5),INT(Z5),DATE(VALUE(LEFT(Z5,4)),VALUE(MID(Z5,6,2)),VALUE(MID(Z5,9,2))))),IF(OR(E5="executing",E5="pending"),IF(AD5="","",IF(ISNUMBER(AD5),INT(AD5),DATE(VALUE(LEFT(AD5,4)),VALUE(MID(AD5,6,2)),VALUE(MID(AD5,9,2))))),""))</x:f>
      </x:c>
      <x:c r="AN5" s="24" t="str">
        <x:f>IF(AM5="","",INT('Configuration'!$B$4)-AM5)</x:f>
      </x:c>
      <x:c r="AO5" s="25" t="str">
        <x:f>IF(AM5="","Missing Required Date",IF(AN5&lt;0,"Future Date",IF(AN5=0,"0 days",IF(AN5&lt;=2,"1-2 days",IF(AN5&lt;=7,"3-7 days",IF(AN5&lt;=14,"8-14 days",IF(AN5&lt;=30,"15-30 days",IF(AN5&lt;=60,"31-60 days",IF(AN5&lt;=70,"61-70 days","71+ days")))))))))</x:f>
        <x:v>Missing Required Date</x:v>
      </x:c>
      <x:c r="AP5" s="25" t="str">
        <x:f>IF(OR(E5="processing",E5="executing",E5="pending"),IF(AM5="","Required aging date missing",IF(AN5&gt;30,"Escalate &gt;30d",IF(AN5&gt;14,"Watch &gt;14d","Within 14d"))),"Out of scope")</x:f>
        <x:v>Out of scope</x:v>
      </x:c>
    </x:row>
    <x:row r="6" ht="24" customHeight="1">
      <x:c r="A6" t="str">
        <x:v>dae1b9a3-81d3-48dc-9c37-db10ec4da527</x:v>
      </x:c>
      <x:c r="B6" t="str">
        <x:v>REQ000006834467</x:v>
      </x:c>
      <x:c r="C6" t="str">
        <x:v>taufiq.tomadan@petronas.com</x:v>
      </x:c>
      <x:c r="D6" t="str">
        <x:v>provision-cloud-public</x:v>
      </x:c>
      <x:c r="E6" t="str">
        <x:v>completed</x:v>
      </x:c>
      <x:c r="F6" t="str">
        <x:v>2024-10-15T09:51:35.49</x:v>
      </x:c>
      <x:c r="G6" t="str">
        <x:v>2024-10-15T01:51:38.16</x:v>
      </x:c>
      <x:c r="H6" t="n">
        <x:v>46083.32721467593</x:v>
      </x:c>
      <x:c r="I6" t="str">
        <x:v>A-000095</x:v>
      </x:c>
      <x:c r="J6" t="str">
        <x:v>Barrier Management and Work Control (BMWC) PCGB</x:v>
      </x:c>
      <x:c r="K6" t="n">
        <x:v>2204</x:v>
      </x:c>
      <x:c r="L6" t="str">
        <x:v>Implementation of Safe Work Control &amp; Barrier Management across PCG OPUs</x:v>
      </x:c>
      <x:c r="M6" t="str">
        <x:v>taufiq.tomadan@petronas.com</x:v>
      </x:c>
      <x:c r="N6" t="str">
        <x:v>Proscient middleware integration</x:v>
      </x:c>
      <x:c r="O6" t="str">
        <x:v>Upgrade</x:v>
      </x:c>
      <x:c r="P6" t="str">
        <x:v>UAT/Staging</x:v>
      </x:c>
      <x:c r="Q6" t="str">
        <x:v>VMs/Application are to be using the Key-Vault. PTAZSG-UAT-PWCB-RG</x:v>
      </x:c>
      <x:c r="R6"/>
      <x:c r="S6"/>
      <x:c r="T6" t="str">
        <x:v>cssp-v1</x:v>
      </x:c>
      <x:c r="U6" t="str">
        <x:v>REQ000006834467</x:v>
      </x:c>
      <x:c r="V6" t="str">
        <x:v>2024-10-15T01:51:38.16</x:v>
      </x:c>
      <x:c r="W6" t="str">
        <x:v>taufiq.tomadan@petronas.com</x:v>
      </x:c>
      <x:c r="X6" t="str">
        <x:v>approved</x:v>
      </x:c>
      <x:c r="Y6" t="str">
        <x:v>ICT_WO008217960/Pending</x:v>
      </x:c>
      <x:c r="Z6" t="str">
        <x:v>2024-10-15T01:51:38.16</x:v>
      </x:c>
      <x:c r="AA6" t="str">
        <x:v>syazali.saad@petronas.com</x:v>
      </x:c>
      <x:c r="AB6" t="str">
        <x:v>approved</x:v>
      </x:c>
      <x:c r="AC6" t="str">
        <x:v>ICT_WO008217960/Pending</x:v>
      </x:c>
      <x:c r="AD6" t="str">
        <x:v>2024-10-15T01:51:38.16</x:v>
      </x:c>
      <x:c r="AE6" t="str">
        <x:v>syazali.saad@petronas.com</x:v>
      </x:c>
      <x:c r="AF6" t="str">
        <x:v>approved</x:v>
      </x:c>
      <x:c r="AG6" t="str">
        <x:v>completed</x:v>
      </x:c>
      <x:c r="AH6" t="n">
        <x:v>46083.32721467593</x:v>
      </x:c>
      <x:c r="AI6" t="str">
        <x:v>chunwu.lim@petronas.com</x:v>
      </x:c>
      <x:c r="AJ6" t="str">
        <x:v>approved</x:v>
      </x:c>
      <x:c r="AK6"/>
      <x:c r="AL6"/>
      <x:c r="AM6" s="23" t="str">
        <x:f>IF(E6="processing",IF(Z6="","",IF(ISNUMBER(Z6),INT(Z6),DATE(VALUE(LEFT(Z6,4)),VALUE(MID(Z6,6,2)),VALUE(MID(Z6,9,2))))),IF(OR(E6="executing",E6="pending"),IF(AD6="","",IF(ISNUMBER(AD6),INT(AD6),DATE(VALUE(LEFT(AD6,4)),VALUE(MID(AD6,6,2)),VALUE(MID(AD6,9,2))))),""))</x:f>
      </x:c>
      <x:c r="AN6" s="24" t="str">
        <x:f>IF(AM6="","",INT('Configuration'!$B$4)-AM6)</x:f>
      </x:c>
      <x:c r="AO6" s="25" t="str">
        <x:f>IF(AM6="","Missing Required Date",IF(AN6&lt;0,"Future Date",IF(AN6=0,"0 days",IF(AN6&lt;=2,"1-2 days",IF(AN6&lt;=7,"3-7 days",IF(AN6&lt;=14,"8-14 days",IF(AN6&lt;=30,"15-30 days",IF(AN6&lt;=60,"31-60 days",IF(AN6&lt;=70,"61-70 days","71+ days")))))))))</x:f>
        <x:v>Missing Required Date</x:v>
      </x:c>
      <x:c r="AP6" s="25" t="str">
        <x:f>IF(OR(E6="processing",E6="executing",E6="pending"),IF(AM6="","Required aging date missing",IF(AN6&gt;30,"Escalate &gt;30d",IF(AN6&gt;14,"Watch &gt;14d","Within 14d"))),"Out of scope")</x:f>
        <x:v>Out of scope</x:v>
      </x:c>
    </x:row>
    <x:row r="7" ht="24" customHeight="1">
      <x:c r="A7" t="str">
        <x:v>d4065c1d-1fd1-4daf-9fdf-38b049f958af</x:v>
      </x:c>
      <x:c r="B7" t="str">
        <x:v>CSSP10832041</x:v>
      </x:c>
      <x:c r="C7" t="str">
        <x:v>mfaizal.salleh@petronas.com</x:v>
      </x:c>
      <x:c r="D7" t="str">
        <x:v>provision-cloud-public</x:v>
      </x:c>
      <x:c r="E7" t="str">
        <x:v>completed</x:v>
      </x:c>
      <x:c r="F7" t="n">
        <x:v>45818.302789444446</x:v>
      </x:c>
      <x:c r="G7" t="n">
        <x:v>45818.302789444446</x:v>
      </x:c>
      <x:c r="H7" t="n">
        <x:v>46042.33172793982</x:v>
      </x:c>
      <x:c r="I7" t="str">
        <x:v>A-000461</x:v>
      </x:c>
      <x:c r="J7" t="str">
        <x:v>Malaysian Financial Reporting Standards (MFRS)</x:v>
      </x:c>
      <x:c r="K7" t="n">
        <x:v>789</x:v>
      </x:c>
      <x:c r="L7" t="str">
        <x:v>Implementation Malaysian Financial Reporting Standards (MFRS) Statutory Reporting (MFRS16) for PETRONAS Group of Companies</x:v>
      </x:c>
      <x:c r="M7" t="str">
        <x:v>mfakhrul.islam@petronas.com.my</x:v>
      </x:c>
      <x:c r="N7" t="str">
        <x:v>MFRS program</x:v>
      </x:c>
      <x:c r="O7" t="str">
        <x:v>New</x:v>
      </x:c>
      <x:c r="P7" t="str">
        <x:v>Production</x:v>
      </x:c>
      <x:c r="Q7" t="str">
        <x:v>To add private endpoint for ptsg-1mfrswb01. For cyber security purpose
</x:v>
      </x:c>
      <x:c r="R7" t="str">
        <x:v>S</x:v>
      </x:c>
      <x:c r="S7"/>
      <x:c r="T7"/>
      <x:c r="U7" t="str">
        <x:v>Approved to add a private endpoint for ptsg-1mfrswb01 for cybersecurity purposes</x:v>
      </x:c>
      <x:c r="V7" t="n">
        <x:v>45819.09947346065</x:v>
      </x:c>
      <x:c r="W7" t="str">
        <x:v>mfakhrul.islam@petronas.com</x:v>
      </x:c>
      <x:c r="X7" t="str">
        <x:v>approved</x:v>
      </x:c>
      <x:c r="Y7" t="str">
        <x:v>This request is to deploy 1x Private Endpoint in existing the RG (PTAZSG-PROD-MFRS-RG) for ptsg-1mfrswb01 app service. This SR is good to go.</x:v>
      </x:c>
      <x:c r="Z7" t="n">
        <x:v>45820.21862608796</x:v>
      </x:c>
      <x:c r="AA7" t="str">
        <x:v>samsuddin.jumbri@petronas.com</x:v>
      </x:c>
      <x:c r="AB7" t="str">
        <x:v>approved</x:v>
      </x:c>
      <x:c r="AC7" t="str">
        <x:v>approved</x:v>
      </x:c>
      <x:c r="AD7" t="n">
        <x:v>45824.062667418984</x:v>
      </x:c>
      <x:c r="AE7" t="str">
        <x:v>syazali.saad@petronas.com</x:v>
      </x:c>
      <x:c r="AF7" t="str">
        <x:v>approved</x:v>
      </x:c>
      <x:c r="AG7" t="str">
        <x:v>The private endpoint for ptsg-1mfrswb01 has created</x:v>
      </x:c>
      <x:c r="AH7" t="n">
        <x:v>46042.33172795139</x:v>
      </x:c>
      <x:c r="AI7" t="str">
        <x:v>muhdfirdaus.muhamad@petronas.com</x:v>
      </x:c>
      <x:c r="AJ7" t="str">
        <x:v>approved</x:v>
      </x:c>
      <x:c r="AK7"/>
      <x:c r="AL7"/>
      <x:c r="AM7" s="23" t="str">
        <x:f>IF(E7="processing",IF(Z7="","",IF(ISNUMBER(Z7),INT(Z7),DATE(VALUE(LEFT(Z7,4)),VALUE(MID(Z7,6,2)),VALUE(MID(Z7,9,2))))),IF(OR(E7="executing",E7="pending"),IF(AD7="","",IF(ISNUMBER(AD7),INT(AD7),DATE(VALUE(LEFT(AD7,4)),VALUE(MID(AD7,6,2)),VALUE(MID(AD7,9,2))))),""))</x:f>
      </x:c>
      <x:c r="AN7" s="24" t="str">
        <x:f>IF(AM7="","",INT('Configuration'!$B$4)-AM7)</x:f>
      </x:c>
      <x:c r="AO7" s="25" t="str">
        <x:f>IF(AM7="","Missing Required Date",IF(AN7&lt;0,"Future Date",IF(AN7=0,"0 days",IF(AN7&lt;=2,"1-2 days",IF(AN7&lt;=7,"3-7 days",IF(AN7&lt;=14,"8-14 days",IF(AN7&lt;=30,"15-30 days",IF(AN7&lt;=60,"31-60 days",IF(AN7&lt;=70,"61-70 days","71+ days")))))))))</x:f>
        <x:v>Missing Required Date</x:v>
      </x:c>
      <x:c r="AP7" s="25" t="str">
        <x:f>IF(OR(E7="processing",E7="executing",E7="pending"),IF(AM7="","Required aging date missing",IF(AN7&gt;30,"Escalate &gt;30d",IF(AN7&gt;14,"Watch &gt;14d","Within 14d"))),"Out of scope")</x:f>
        <x:v>Out of scope</x:v>
      </x:c>
    </x:row>
    <x:row r="8" ht="24" customHeight="1">
      <x:c r="A8" t="str">
        <x:v>f12f17a3-31cb-4fc5-a3cd-f16243f041ec</x:v>
      </x:c>
      <x:c r="B8" t="str">
        <x:v>CSSP10960249</x:v>
      </x:c>
      <x:c r="C8" t="str">
        <x:v>mfaizal.suriyat@petronas.com</x:v>
      </x:c>
      <x:c r="D8" t="str">
        <x:v>provision-cloud-public</x:v>
      </x:c>
      <x:c r="E8" t="str">
        <x:v>rejected</x:v>
      </x:c>
      <x:c r="F8" t="n">
        <x:v>45946.39458328704</x:v>
      </x:c>
      <x:c r="G8" t="n">
        <x:v>45954.16343741898</x:v>
      </x:c>
      <x:c r="H8" t="n">
        <x:v>46057.86548861111</x:v>
      </x:c>
      <x:c r="I8" t="str">
        <x:v>A-000577</x:v>
      </x:c>
      <x:c r="J8" t="str">
        <x:v>Pipeline Integrity Management System - PIMS PGB</x:v>
      </x:c>
      <x:c r="K8" t="str">
        <x:v>SR10924</x:v>
      </x:c>
      <x:c r="L8" t="str">
        <x:v>Enhancement of PETRONAS Integrated Pipeline Integrity Assurance Solutions (i-PIMS) Phase 6</x:v>
      </x:c>
      <x:c r="M8" t="str">
        <x:v>shekha.mahdhar@petronas.com.my</x:v>
      </x:c>
      <x:c r="N8" t="str">
        <x:v>Pipeline Digital Twin</x:v>
      </x:c>
      <x:c r="O8" t="str">
        <x:v>New</x:v>
      </x:c>
      <x:c r="P8" t="str">
        <x:v>StagingUat</x:v>
      </x:c>
      <x:c r="Q8" t="str">
        <x:v>Please read note from Excel estimate
Cost Center: 001PCT-306</x:v>
      </x:c>
      <x:c r="R8"/>
      <x:c r="S8"/>
      <x:c r="T8"/>
      <x:c r="U8" t="str">
        <x:v>Reviewed</x:v>
      </x:c>
      <x:c r="V8" t="n">
        <x:v>46007.28521314815</x:v>
      </x:c>
      <x:c r="W8" t="str">
        <x:v>shekha.mahdhar@petronas.com</x:v>
      </x:c>
      <x:c r="X8" t="str">
        <x:v>approved</x:v>
      </x:c>
      <x:c r="Y8" t="str">
        <x:v>Good to go</x:v>
      </x:c>
      <x:c r="Z8" t="n">
        <x:v>46009.12536923611</x:v>
      </x:c>
      <x:c r="AA8" t="str">
        <x:v>samsuddin.jumbri@petronas.com</x:v>
      </x:c>
      <x:c r="AB8" t="str">
        <x:v>approved</x:v>
      </x:c>
      <x:c r="AC8" t="str">
        <x:v>resources already created in PTAZSG-IAC-UAT-PIMS-DTOFFSHORE-RG</x:v>
      </x:c>
      <x:c r="AD8" t="n">
        <x:v>46057.86548862269</x:v>
      </x:c>
      <x:c r="AE8" t="str">
        <x:v>syazali.saad@petronas.com</x:v>
      </x:c>
      <x:c r="AF8" t="str">
        <x:v>rejected</x:v>
      </x:c>
      <x:c r="AG8"/>
      <x:c r="AH8"/>
      <x:c r="AI8" t="str">
        <x:v>CCoE Core Services (Public)</x:v>
      </x:c>
      <x:c r="AJ8"/>
      <x:c r="AK8"/>
      <x:c r="AL8"/>
      <x:c r="AM8" s="23" t="str">
        <x:f>IF(E8="processing",IF(Z8="","",IF(ISNUMBER(Z8),INT(Z8),DATE(VALUE(LEFT(Z8,4)),VALUE(MID(Z8,6,2)),VALUE(MID(Z8,9,2))))),IF(OR(E8="executing",E8="pending"),IF(AD8="","",IF(ISNUMBER(AD8),INT(AD8),DATE(VALUE(LEFT(AD8,4)),VALUE(MID(AD8,6,2)),VALUE(MID(AD8,9,2))))),""))</x:f>
      </x:c>
      <x:c r="AN8" s="24" t="str">
        <x:f>IF(AM8="","",INT('Configuration'!$B$4)-AM8)</x:f>
      </x:c>
      <x:c r="AO8" s="25" t="str">
        <x:f>IF(AM8="","Missing Required Date",IF(AN8&lt;0,"Future Date",IF(AN8=0,"0 days",IF(AN8&lt;=2,"1-2 days",IF(AN8&lt;=7,"3-7 days",IF(AN8&lt;=14,"8-14 days",IF(AN8&lt;=30,"15-30 days",IF(AN8&lt;=60,"31-60 days",IF(AN8&lt;=70,"61-70 days","71+ days")))))))))</x:f>
        <x:v>Missing Required Date</x:v>
      </x:c>
      <x:c r="AP8" s="25" t="str">
        <x:f>IF(OR(E8="processing",E8="executing",E8="pending"),IF(AM8="","Required aging date missing",IF(AN8&gt;30,"Escalate &gt;30d",IF(AN8&gt;14,"Watch &gt;14d","Within 14d"))),"Out of scope")</x:f>
        <x:v>Out of scope</x:v>
      </x:c>
    </x:row>
    <x:row r="9" ht="24" customHeight="1">
      <x:c r="A9" t="str">
        <x:v>90001eaf-3d3f-4dd6-95d8-751b3f1f3ba0</x:v>
      </x:c>
      <x:c r="B9" t="str">
        <x:v>CSSP10167368</x:v>
      </x:c>
      <x:c r="C9" t="str">
        <x:v>mfaizal.suriyat@petronas.com</x:v>
      </x:c>
      <x:c r="D9" t="str">
        <x:v>provision-cloud-public</x:v>
      </x:c>
      <x:c r="E9" t="str">
        <x:v>completed</x:v>
      </x:c>
      <x:c r="F9" t="n">
        <x:v>45947.6089658912</x:v>
      </x:c>
      <x:c r="G9" t="n">
        <x:v>45958.022732337966</x:v>
      </x:c>
      <x:c r="H9" t="n">
        <x:v>46028.23219122685</x:v>
      </x:c>
      <x:c r="I9" t="str">
        <x:v>A-000640</x:v>
      </x:c>
      <x:c r="J9" t="str">
        <x:v>PETRONAS Pipeline Engineering Solution - P-PIES</x:v>
      </x:c>
      <x:c r="K9" t="str">
        <x:v>SR04104</x:v>
      </x:c>
      <x:c r="L9" t="str">
        <x:v>Pipeline of the Future (POTF) ‐ PiES, i‐PIMS, PrAnCorr &amp; PrAnSpan</x:v>
      </x:c>
      <x:c r="M9" t="str">
        <x:v>shekha.mahdhar@petronas.com.my</x:v>
      </x:c>
      <x:c r="N9" t="str">
        <x:v>PPIES</x:v>
      </x:c>
      <x:c r="O9" t="str">
        <x:v>New</x:v>
      </x:c>
      <x:c r="P9" t="str">
        <x:v>Production</x:v>
      </x:c>
      <x:c r="Q9" t="str">
        <x:v>Please refer attachment,</x:v>
      </x:c>
      <x:c r="R9" t="str">
        <x:v>S</x:v>
      </x:c>
      <x:c r="S9"/>
      <x:c r="T9"/>
      <x:c r="U9" t="str">
        <x:v>Reviewed</x:v>
      </x:c>
      <x:c r="V9" t="n">
        <x:v>46007.28484619213</x:v>
      </x:c>
      <x:c r="W9" t="str">
        <x:v>shekha.mahdhar@petronas.com</x:v>
      </x:c>
      <x:c r="X9" t="str">
        <x:v>approved</x:v>
      </x:c>
      <x:c r="Y9" t="str">
        <x:v>Good to go</x:v>
      </x:c>
      <x:c r="Z9" t="n">
        <x:v>46009.12768597222</x:v>
      </x:c>
      <x:c r="AA9" t="str">
        <x:v>samsuddin.jumbri@petronas.com</x:v>
      </x:c>
      <x:c r="AB9" t="str">
        <x:v>approved</x:v>
      </x:c>
      <x:c r="AC9" t="str">
        <x:v>storage account x1 only.</x:v>
      </x:c>
      <x:c r="AD9" t="n">
        <x:v>46028.14693540509</x:v>
      </x:c>
      <x:c r="AE9" t="str">
        <x:v>syazali.saad@petronas.com</x:v>
      </x:c>
      <x:c r="AF9" t="str">
        <x:v>approved</x:v>
      </x:c>
      <x:c r="AG9" t="str">
        <x:v>Completed. </x:v>
      </x:c>
      <x:c r="AH9" t="n">
        <x:v>46028.23219123843</x:v>
      </x:c>
      <x:c r="AI9" t="str">
        <x:v>fatinamirah.mjonik@petronas.com</x:v>
      </x:c>
      <x:c r="AJ9" t="str">
        <x:v>approved</x:v>
      </x:c>
      <x:c r="AK9" t="str">
        <x:v>REQ000007790536</x:v>
      </x:c>
      <x:c r="AL9"/>
      <x:c r="AM9" s="23" t="str">
        <x:f>IF(E9="processing",IF(Z9="","",IF(ISNUMBER(Z9),INT(Z9),DATE(VALUE(LEFT(Z9,4)),VALUE(MID(Z9,6,2)),VALUE(MID(Z9,9,2))))),IF(OR(E9="executing",E9="pending"),IF(AD9="","",IF(ISNUMBER(AD9),INT(AD9),DATE(VALUE(LEFT(AD9,4)),VALUE(MID(AD9,6,2)),VALUE(MID(AD9,9,2))))),""))</x:f>
      </x:c>
      <x:c r="AN9" s="24" t="str">
        <x:f>IF(AM9="","",INT('Configuration'!$B$4)-AM9)</x:f>
      </x:c>
      <x:c r="AO9" s="25" t="str">
        <x:f>IF(AM9="","Missing Required Date",IF(AN9&lt;0,"Future Date",IF(AN9=0,"0 days",IF(AN9&lt;=2,"1-2 days",IF(AN9&lt;=7,"3-7 days",IF(AN9&lt;=14,"8-14 days",IF(AN9&lt;=30,"15-30 days",IF(AN9&lt;=60,"31-60 days",IF(AN9&lt;=70,"61-70 days","71+ days")))))))))</x:f>
        <x:v>Missing Required Date</x:v>
      </x:c>
      <x:c r="AP9" s="25" t="str">
        <x:f>IF(OR(E9="processing",E9="executing",E9="pending"),IF(AM9="","Required aging date missing",IF(AN9&gt;30,"Escalate &gt;30d",IF(AN9&gt;14,"Watch &gt;14d","Within 14d"))),"Out of scope")</x:f>
        <x:v>Out of scope</x:v>
      </x:c>
    </x:row>
    <x:row r="10" ht="24" customHeight="1">
      <x:c r="A10" t="str">
        <x:v>c926f0a1-95c7-4207-b4d8-25b10c27b47c</x:v>
      </x:c>
      <x:c r="B10" t="str">
        <x:v>CSSP10742290</x:v>
      </x:c>
      <x:c r="C10" t="str">
        <x:v>mfaizal.suriyat@petronas.com</x:v>
      </x:c>
      <x:c r="D10" t="str">
        <x:v>provision-cloud-public</x:v>
      </x:c>
      <x:c r="E10" t="str">
        <x:v>completed</x:v>
      </x:c>
      <x:c r="F10" t="n">
        <x:v>45959.05435774306</x:v>
      </x:c>
      <x:c r="G10" t="n">
        <x:v>45959.05881108796</x:v>
      </x:c>
      <x:c r="H10" t="n">
        <x:v>46031.56304609954</x:v>
      </x:c>
      <x:c r="I10" t="str">
        <x:v>A-000640</x:v>
      </x:c>
      <x:c r="J10" t="str">
        <x:v>PETRONAS Pipeline Engineering Solution - P-PIES</x:v>
      </x:c>
      <x:c r="K10" t="str">
        <x:v>SR04104</x:v>
      </x:c>
      <x:c r="L10" t="str">
        <x:v>Pipeline of the Future (POTF) ‐ PiES, i‐PIMS, PrAnCorr &amp; PrAnSpan</x:v>
      </x:c>
      <x:c r="M10" t="str">
        <x:v>sarkunan.tigarajan@petronas.com.my</x:v>
      </x:c>
      <x:c r="N10" t="str">
        <x:v>PPIES</x:v>
      </x:c>
      <x:c r="O10" t="str">
        <x:v>New</x:v>
      </x:c>
      <x:c r="P10" t="str">
        <x:v>Production</x:v>
      </x:c>
      <x:c r="Q10" t="str">
        <x:v>Please refer Estimate Excel</x:v>
      </x:c>
      <x:c r="R10" t="str">
        <x:v>S</x:v>
      </x:c>
      <x:c r="S10"/>
      <x:c r="T10"/>
      <x:c r="U10" t="str">
        <x:v>Approved</x:v>
      </x:c>
      <x:c r="V10" t="n">
        <x:v>45960.01464903935</x:v>
      </x:c>
      <x:c r="W10" t="str">
        <x:v>sarkunan.tigarajan@petronas.com</x:v>
      </x:c>
      <x:c r="X10" t="str">
        <x:v>approved</x:v>
      </x:c>
      <x:c r="Y10" t="str">
        <x:v>Good to go</x:v>
      </x:c>
      <x:c r="Z10" t="n">
        <x:v>45960.07391832176</x:v>
      </x:c>
      <x:c r="AA10" t="str">
        <x:v>samsuddin.jumbri@petronas.com</x:v>
      </x:c>
      <x:c r="AB10" t="str">
        <x:v>approved</x:v>
      </x:c>
      <x:c r="AC10" t="str">
        <x:v>PTAZSG-PROD-GTS-PIES-RG</x:v>
      </x:c>
      <x:c r="AD10" t="n">
        <x:v>45961.17481476852</x:v>
      </x:c>
      <x:c r="AE10" t="str">
        <x:v>syazali.saad@petronas.com</x:v>
      </x:c>
      <x:c r="AF10" t="str">
        <x:v>approved</x:v>
      </x:c>
      <x:c r="AG10" t="str">
        <x:v>job completed </x:v>
      </x:c>
      <x:c r="AH10" t="n">
        <x:v>46031.56304609954</x:v>
      </x:c>
      <x:c r="AI10" t="str">
        <x:v>asri.yaakub@petronas.com</x:v>
      </x:c>
      <x:c r="AJ10" t="str">
        <x:v>approved</x:v>
      </x:c>
      <x:c r="AK10" t="str">
        <x:v>REQ000007627947</x:v>
      </x:c>
      <x:c r="AL10" t="str">
        <x:v>14651415-23d8-4898-b4e2-0d1247d2bd11</x:v>
      </x:c>
      <x:c r="AM10" s="23" t="str">
        <x:f>IF(E10="processing",IF(Z10="","",IF(ISNUMBER(Z10),INT(Z10),DATE(VALUE(LEFT(Z10,4)),VALUE(MID(Z10,6,2)),VALUE(MID(Z10,9,2))))),IF(OR(E10="executing",E10="pending"),IF(AD10="","",IF(ISNUMBER(AD10),INT(AD10),DATE(VALUE(LEFT(AD10,4)),VALUE(MID(AD10,6,2)),VALUE(MID(AD10,9,2))))),""))</x:f>
      </x:c>
      <x:c r="AN10" s="24" t="str">
        <x:f>IF(AM10="","",INT('Configuration'!$B$4)-AM10)</x:f>
      </x:c>
      <x:c r="AO10" s="25" t="str">
        <x:f>IF(AM10="","Missing Required Date",IF(AN10&lt;0,"Future Date",IF(AN10=0,"0 days",IF(AN10&lt;=2,"1-2 days",IF(AN10&lt;=7,"3-7 days",IF(AN10&lt;=14,"8-14 days",IF(AN10&lt;=30,"15-30 days",IF(AN10&lt;=60,"31-60 days",IF(AN10&lt;=70,"61-70 days","71+ days")))))))))</x:f>
        <x:v>Missing Required Date</x:v>
      </x:c>
      <x:c r="AP10" s="25" t="str">
        <x:f>IF(OR(E10="processing",E10="executing",E10="pending"),IF(AM10="","Required aging date missing",IF(AN10&gt;30,"Escalate &gt;30d",IF(AN10&gt;14,"Watch &gt;14d","Within 14d"))),"Out of scope")</x:f>
        <x:v>Out of scope</x:v>
      </x:c>
    </x:row>
    <x:row r="11" ht="24" customHeight="1">
      <x:c r="A11" t="str">
        <x:v>52b6334b-2415-4b0a-939f-23f769132df1</x:v>
      </x:c>
      <x:c r="B11" t="str">
        <x:v>CSSP10991554</x:v>
      </x:c>
      <x:c r="C11" t="str">
        <x:v>nabilifwat.muhamadh@petronas.com</x:v>
      </x:c>
      <x:c r="D11" t="str">
        <x:v>provision-cloud-public</x:v>
      </x:c>
      <x:c r="E11" t="str">
        <x:v>rejected</x:v>
      </x:c>
      <x:c r="F11" t="n">
        <x:v>45979.07530474537</x:v>
      </x:c>
      <x:c r="G11" t="n">
        <x:v>45979.07530474537</x:v>
      </x:c>
      <x:c r="H11" t="n">
        <x:v>46121.16786744213</x:v>
      </x:c>
      <x:c r="I11" t="str">
        <x:v>A-000093</x:v>
      </x:c>
      <x:c r="J11" t="str">
        <x:v>Barrier Management and HSSE - BMH - formerly Measure Validate and Predict - MVP</x:v>
      </x:c>
      <x:c r="K11" t="str">
        <x:v>02421_136</x:v>
      </x:c>
      <x:c r="L11" t="str">
        <x:v>Shared between 00915_103 and 00915_104 | AWS - Cloud Migration -Measure, Validate &amp; Predict (MVP) GPU | AWS - Cloud Migration - Measure, Validate &amp; Predict (MVP) GTR - From OLZ (MVP GPU &amp; MVP GTR) to NLZ (BMH)</x:v>
      </x:c>
      <x:c r="M11" t="str">
        <x:v>huajin.tan@petronas.com.my</x:v>
      </x:c>
      <x:c r="N11" t="str">
        <x:v>BMH</x:v>
      </x:c>
      <x:c r="O11" t="str">
        <x:v>Modify</x:v>
      </x:c>
      <x:c r="P11" t="str">
        <x:v>StagingUat</x:v>
      </x:c>
      <x:c r="Q11" t="str">
        <x:v>Request to provision private IP for the following staging app services in
AWS
SG: AWSReservedSSO_PTAW_APPS_BMH_GROUP
link: https://stg.bmh.petronas.com/
database: ptawsg-4bmhdb01.c444fcimx0qx.ap-southeast-1.rds.amazonaws.com 
API: sgpuapi.bmh.petronas.com
API: sgtrapi.bmh.petronas.com</x:v>
      </x:c>
      <x:c r="R11"/>
      <x:c r="S11"/>
      <x:c r="T11"/>
      <x:c r="U11" t="str">
        <x:v>old request</x:v>
      </x:c>
      <x:c r="V11" t="n">
        <x:v>46121.1678674537</x:v>
      </x:c>
      <x:c r="W11" t="str">
        <x:v>huajin.tan@petronas.com</x:v>
      </x:c>
      <x:c r="X11" t="str">
        <x:v>rejected</x:v>
      </x:c>
      <x:c r="Y11"/>
      <x:c r="Z11"/>
      <x:c r="AA11" t="str">
        <x:v>CCoE Demand</x:v>
      </x:c>
      <x:c r="AB11"/>
      <x:c r="AC11"/>
      <x:c r="AD11"/>
      <x:c r="AE11" t="str">
        <x:v>CCoE Business</x:v>
      </x:c>
      <x:c r="AF11"/>
      <x:c r="AG11"/>
      <x:c r="AH11"/>
      <x:c r="AI11" t="str">
        <x:v>CCoE Core Services (Public)</x:v>
      </x:c>
      <x:c r="AJ11"/>
      <x:c r="AK11"/>
      <x:c r="AL11" t="str">
        <x:v>d2f5d842-ec9f-45ad-a893-23615e186405</x:v>
      </x:c>
      <x:c r="AM11" s="23" t="str">
        <x:f>IF(E11="processing",IF(Z11="","",IF(ISNUMBER(Z11),INT(Z11),DATE(VALUE(LEFT(Z11,4)),VALUE(MID(Z11,6,2)),VALUE(MID(Z11,9,2))))),IF(OR(E11="executing",E11="pending"),IF(AD11="","",IF(ISNUMBER(AD11),INT(AD11),DATE(VALUE(LEFT(AD11,4)),VALUE(MID(AD11,6,2)),VALUE(MID(AD11,9,2))))),""))</x:f>
      </x:c>
      <x:c r="AN11" s="24" t="str">
        <x:f>IF(AM11="","",INT('Configuration'!$B$4)-AM11)</x:f>
      </x:c>
      <x:c r="AO11" s="25" t="str">
        <x:f>IF(AM11="","Missing Required Date",IF(AN11&lt;0,"Future Date",IF(AN11=0,"0 days",IF(AN11&lt;=2,"1-2 days",IF(AN11&lt;=7,"3-7 days",IF(AN11&lt;=14,"8-14 days",IF(AN11&lt;=30,"15-30 days",IF(AN11&lt;=60,"31-60 days",IF(AN11&lt;=70,"61-70 days","71+ days")))))))))</x:f>
        <x:v>Missing Required Date</x:v>
      </x:c>
      <x:c r="AP11" s="25" t="str">
        <x:f>IF(OR(E11="processing",E11="executing",E11="pending"),IF(AM11="","Required aging date missing",IF(AN11&gt;30,"Escalate &gt;30d",IF(AN11&gt;14,"Watch &gt;14d","Within 14d"))),"Out of scope")</x:f>
        <x:v>Out of scope</x:v>
      </x:c>
    </x:row>
    <x:row r="12" ht="24" customHeight="1">
      <x:c r="A12" t="str">
        <x:v>36573b9c-80d1-4fa5-ad9b-9ff80edc8e21</x:v>
      </x:c>
      <x:c r="B12" t="str">
        <x:v>CSSP10488950</x:v>
      </x:c>
      <x:c r="C12" t="str">
        <x:v>muhamadhafiz.muham@petronas.com</x:v>
      </x:c>
      <x:c r="D12" t="str">
        <x:v>provision-cloud-public</x:v>
      </x:c>
      <x:c r="E12" t="str">
        <x:v>rejected</x:v>
      </x:c>
      <x:c r="F12" t="n">
        <x:v>45980.13720907408</x:v>
      </x:c>
      <x:c r="G12" t="n">
        <x:v>45980.13720907408</x:v>
      </x:c>
      <x:c r="H12" t="n">
        <x:v>46090.445261608795</x:v>
      </x:c>
      <x:c r="I12" t="str">
        <x:v>A-001291</x:v>
      </x:c>
      <x:c r="J12" t="str">
        <x:v>Future Ready IoT to Drive Remote Operations via IoSync</x:v>
      </x:c>
      <x:c r="K12" t="n">
        <x:v>520</x:v>
      </x:c>
      <x:c r="L12" t="str">
        <x:v>IOSync</x:v>
      </x:c>
      <x:c r="M12" t="str">
        <x:v>huajin.tan@petronas.com.my</x:v>
      </x:c>
      <x:c r="N12" t="str">
        <x:v>Virtual Assets Walkabout</x:v>
      </x:c>
      <x:c r="O12" t="str">
        <x:v>New</x:v>
      </x:c>
      <x:c r="P12" t="str">
        <x:v>Production</x:v>
      </x:c>
      <x:c r="Q12" t="str">
        <x:v>I would like to provision similar services as IOSYNC staging similar as per this request below to production
CSSP ID: CSSP10913193
IOSYNC CSSP: https://cssp.petronas.com/request/provisioning/cloud/public/view/13d422f3-90cb-4fff-9e73-712486080d51</x:v>
      </x:c>
      <x:c r="R12"/>
      <x:c r="S12"/>
      <x:c r="T12"/>
      <x:c r="U12" t="str">
        <x:v>I believe there is another request for this since the project was completed</x:v>
      </x:c>
      <x:c r="V12" t="n">
        <x:v>46090.44526162037</x:v>
      </x:c>
      <x:c r="W12" t="str">
        <x:v>huajin.tan@petronas.com</x:v>
      </x:c>
      <x:c r="X12" t="str">
        <x:v>rejected</x:v>
      </x:c>
      <x:c r="Y12"/>
      <x:c r="Z12"/>
      <x:c r="AA12" t="str">
        <x:v>CCoE Demand</x:v>
      </x:c>
      <x:c r="AB12"/>
      <x:c r="AC12"/>
      <x:c r="AD12"/>
      <x:c r="AE12" t="str">
        <x:v>CCoE Business</x:v>
      </x:c>
      <x:c r="AF12"/>
      <x:c r="AG12"/>
      <x:c r="AH12"/>
      <x:c r="AI12" t="str">
        <x:v>CCoE Core Services (Public)</x:v>
      </x:c>
      <x:c r="AJ12"/>
      <x:c r="AK12"/>
      <x:c r="AL12" t="str">
        <x:v>f062f56e-396c-40f5-a78a-c1a1c573427f</x:v>
      </x:c>
      <x:c r="AM12" s="23" t="str">
        <x:f>IF(E12="processing",IF(Z12="","",IF(ISNUMBER(Z12),INT(Z12),DATE(VALUE(LEFT(Z12,4)),VALUE(MID(Z12,6,2)),VALUE(MID(Z12,9,2))))),IF(OR(E12="executing",E12="pending"),IF(AD12="","",IF(ISNUMBER(AD12),INT(AD12),DATE(VALUE(LEFT(AD12,4)),VALUE(MID(AD12,6,2)),VALUE(MID(AD12,9,2))))),""))</x:f>
      </x:c>
      <x:c r="AN12" s="24" t="str">
        <x:f>IF(AM12="","",INT('Configuration'!$B$4)-AM12)</x:f>
      </x:c>
      <x:c r="AO12" s="25" t="str">
        <x:f>IF(AM12="","Missing Required Date",IF(AN12&lt;0,"Future Date",IF(AN12=0,"0 days",IF(AN12&lt;=2,"1-2 days",IF(AN12&lt;=7,"3-7 days",IF(AN12&lt;=14,"8-14 days",IF(AN12&lt;=30,"15-30 days",IF(AN12&lt;=60,"31-60 days",IF(AN12&lt;=70,"61-70 days","71+ days")))))))))</x:f>
        <x:v>Missing Required Date</x:v>
      </x:c>
      <x:c r="AP12" s="25" t="str">
        <x:f>IF(OR(E12="processing",E12="executing",E12="pending"),IF(AM12="","Required aging date missing",IF(AN12&gt;30,"Escalate &gt;30d",IF(AN12&gt;14,"Watch &gt;14d","Within 14d"))),"Out of scope")</x:f>
        <x:v>Out of scope</x:v>
      </x:c>
    </x:row>
    <x:row r="13" ht="24" customHeight="1">
      <x:c r="A13" t="str">
        <x:v>bc64bf9a-be4e-4a4f-953a-c0ec21d376cf</x:v>
      </x:c>
      <x:c r="B13" t="str">
        <x:v>CSSP10289134</x:v>
      </x:c>
      <x:c r="C13" t="str">
        <x:v>yannchang.tan@petronas.com</x:v>
      </x:c>
      <x:c r="D13" t="str">
        <x:v>provision-cloud-public</x:v>
      </x:c>
      <x:c r="E13" t="str">
        <x:v>completed</x:v>
      </x:c>
      <x:c r="F13" t="n">
        <x:v>45985.133832175925</x:v>
      </x:c>
      <x:c r="G13" t="n">
        <x:v>46076.11428126157</x:v>
      </x:c>
      <x:c r="H13" t="n">
        <x:v>46091.09710172454</x:v>
      </x:c>
      <x:c r="I13" t="str">
        <x:v>A-000037</x:v>
      </x:c>
      <x:c r="J13" t="str">
        <x:v>AI Enablement Framework</x:v>
      </x:c>
      <x:c r="K13" t="n">
        <x:v>3437</x:v>
      </x:c>
      <x:c r="L13" t="str">
        <x:v>Support and Maintenance for AI Enablement Framework 2023-2024 for PDB</x:v>
      </x:c>
      <x:c r="M13" t="str">
        <x:v>debjani.sambasivam@petronas.com.my</x:v>
      </x:c>
      <x:c r="N13" t="str">
        <x:v>PDB_AI_Enablement</x:v>
      </x:c>
      <x:c r="O13" t="str">
        <x:v>Modify</x:v>
      </x:c>
      <x:c r="P13" t="str">
        <x:v>Development</x:v>
      </x:c>
      <x:c r="Q13" t="str">
        <x:v>Compute Name: PDB-CAD-FATHIN Assign To: Fathin Farhana Noordin (CAD/PDB) (fathinfarhana.noord@petronas.com.my) Virtual Machine Size: Standard_DS15_v2 (20 cores, 140 GB RAM, 280 GB disk) Scheduling Auto Shut Down: 60 minute</x:v>
      </x:c>
      <x:c r="R13" t="str">
        <x:v>S</x:v>
      </x:c>
      <x:c r="S13"/>
      <x:c r="T13"/>
      <x:c r="U13" t="str">
        <x:v>Please proceed</x:v>
      </x:c>
      <x:c r="V13" t="n">
        <x:v>46076.117447199074</x:v>
      </x:c>
      <x:c r="W13" t="str">
        <x:v>debjani.sambasivam@petronas.com</x:v>
      </x:c>
      <x:c r="X13" t="str">
        <x:v>approved</x:v>
      </x:c>
      <x:c r="Y13" t="str">
        <x:v>Good to go</x:v>
      </x:c>
      <x:c r="Z13" t="n">
        <x:v>46078.336317430556</x:v>
      </x:c>
      <x:c r="AA13" t="str">
        <x:v>samsuddin.jumbri@petronas.com</x:v>
      </x:c>
      <x:c r="AB13" t="str">
        <x:v>approved</x:v>
      </x:c>
      <x:c r="AC13" t="str">
        <x:v>.</x:v>
      </x:c>
      <x:c r="AD13" t="n">
        <x:v>46079.11504528935</x:v>
      </x:c>
      <x:c r="AE13" t="str">
        <x:v>syazali.saad@petronas.com</x:v>
      </x:c>
      <x:c r="AF13" t="str">
        <x:v>approved</x:v>
      </x:c>
      <x:c r="AG13" t="str">
        <x:v>completed</x:v>
      </x:c>
      <x:c r="AH13" t="n">
        <x:v>46091.09710173611</x:v>
      </x:c>
      <x:c r="AI13" t="str">
        <x:v>izham.ajmaan@petronas.com</x:v>
      </x:c>
      <x:c r="AJ13" t="str">
        <x:v>approved</x:v>
      </x:c>
      <x:c r="AK13" t="str">
        <x:v>REQ000007894811</x:v>
      </x:c>
      <x:c r="AL13" t="str">
        <x:v>f99ec12f-a075-40d0-8957-15cd4e72ddb4</x:v>
      </x:c>
      <x:c r="AM13" s="23" t="str">
        <x:f>IF(E13="processing",IF(Z13="","",IF(ISNUMBER(Z13),INT(Z13),DATE(VALUE(LEFT(Z13,4)),VALUE(MID(Z13,6,2)),VALUE(MID(Z13,9,2))))),IF(OR(E13="executing",E13="pending"),IF(AD13="","",IF(ISNUMBER(AD13),INT(AD13),DATE(VALUE(LEFT(AD13,4)),VALUE(MID(AD13,6,2)),VALUE(MID(AD13,9,2))))),""))</x:f>
      </x:c>
      <x:c r="AN13" s="24" t="str">
        <x:f>IF(AM13="","",INT('Configuration'!$B$4)-AM13)</x:f>
      </x:c>
      <x:c r="AO13" s="25" t="str">
        <x:f>IF(AM13="","Missing Required Date",IF(AN13&lt;0,"Future Date",IF(AN13=0,"0 days",IF(AN13&lt;=2,"1-2 days",IF(AN13&lt;=7,"3-7 days",IF(AN13&lt;=14,"8-14 days",IF(AN13&lt;=30,"15-30 days",IF(AN13&lt;=60,"31-60 days",IF(AN13&lt;=70,"61-70 days","71+ days")))))))))</x:f>
        <x:v>Missing Required Date</x:v>
      </x:c>
      <x:c r="AP13" s="25" t="str">
        <x:f>IF(OR(E13="processing",E13="executing",E13="pending"),IF(AM13="","Required aging date missing",IF(AN13&gt;30,"Escalate &gt;30d",IF(AN13&gt;14,"Watch &gt;14d","Within 14d"))),"Out of scope")</x:f>
        <x:v>Out of scope</x:v>
      </x:c>
    </x:row>
    <x:row r="14" ht="24" customHeight="1">
      <x:c r="A14" t="str">
        <x:v>fbf5852f-d9c4-44b4-88ec-f71c1c63c90b</x:v>
      </x:c>
      <x:c r="B14" t="str">
        <x:v>CSSP10764223</x:v>
      </x:c>
      <x:c r="C14" t="str">
        <x:v>gary.chengkeanglim@petronas.com</x:v>
      </x:c>
      <x:c r="D14" t="str">
        <x:v>provision-cloud-public</x:v>
      </x:c>
      <x:c r="E14" t="str">
        <x:v>completed</x:v>
      </x:c>
      <x:c r="F14" t="n">
        <x:v>45986.106715497684</x:v>
      </x:c>
      <x:c r="G14" t="n">
        <x:v>45986.1078896875</x:v>
      </x:c>
      <x:c r="H14" t="n">
        <x:v>46031.75681737268</x:v>
      </x:c>
      <x:c r="I14" t="str">
        <x:v>A-001303</x:v>
      </x:c>
      <x:c r="J14" t="str">
        <x:v>Project Command Centre (PCC)</x:v>
      </x:c>
      <x:c r="K14" t="n">
        <x:v>4624</x:v>
      </x:c>
      <x:c r="L14" t="str">
        <x:v>Project Command Centre (PCC) Phase 3</x:v>
      </x:c>
      <x:c r="M14" t="str">
        <x:v>wahidkahar@petronas.com.my</x:v>
      </x:c>
      <x:c r="N14" t="str">
        <x:v>Project Control Tower</x:v>
      </x:c>
      <x:c r="O14" t="str">
        <x:v>Modify</x:v>
      </x:c>
      <x:c r="P14" t="str">
        <x:v>Development</x:v>
      </x:c>
      <x:c r="Q14" t="str">
        <x:v>Setup ADF for PCC project</x:v>
      </x:c>
      <x:c r="R14" t="str">
        <x:v>M</x:v>
      </x:c>
      <x:c r="S14"/>
      <x:c r="T14"/>
      <x:c r="U14" t="str">
        <x:v>Please proceed</x:v>
      </x:c>
      <x:c r="V14" t="n">
        <x:v>45987.22718259259</x:v>
      </x:c>
      <x:c r="W14" t="str">
        <x:v>wahidkahar@petronas.com</x:v>
      </x:c>
      <x:c r="X14" t="str">
        <x:v>approved</x:v>
      </x:c>
      <x:c r="Y14" t="str">
        <x:v>Deploy all requested resources under the existing Resource Group (PTAZSG-IAC-DEV-PCT-RG) in Singapore.</x:v>
      </x:c>
      <x:c r="Z14" t="n">
        <x:v>45993.34452856481</x:v>
      </x:c>
      <x:c r="AA14" t="str">
        <x:v>samsuddin.jumbri@petronas.com</x:v>
      </x:c>
      <x:c r="AB14" t="str">
        <x:v>approved</x:v>
      </x:c>
      <x:c r="AC14" t="str">
        <x:v>CSSP10764223 Development
CSSP10651043 StagingUat
CSSP10781388 Production</x:v>
      </x:c>
      <x:c r="AD14" t="n">
        <x:v>45993.39722565972</x:v>
      </x:c>
      <x:c r="AE14" t="str">
        <x:v>syazali.saad@petronas.com</x:v>
      </x:c>
      <x:c r="AF14" t="str">
        <x:v>approved</x:v>
      </x:c>
      <x:c r="AG14" t="str">
        <x:v>Completed</x:v>
      </x:c>
      <x:c r="AH14" t="n">
        <x:v>46031.75681738426</x:v>
      </x:c>
      <x:c r="AI14" t="str">
        <x:v>amin.manshor@petronas.com</x:v>
      </x:c>
      <x:c r="AJ14" t="str">
        <x:v>approved</x:v>
      </x:c>
      <x:c r="AK14" t="str">
        <x:v>REQ000007707581</x:v>
      </x:c>
      <x:c r="AL14" t="str">
        <x:v>5a618235-0b34-4d04-8b74-5c4052b870d7</x:v>
      </x:c>
      <x:c r="AM14" s="23" t="str">
        <x:f>IF(E14="processing",IF(Z14="","",IF(ISNUMBER(Z14),INT(Z14),DATE(VALUE(LEFT(Z14,4)),VALUE(MID(Z14,6,2)),VALUE(MID(Z14,9,2))))),IF(OR(E14="executing",E14="pending"),IF(AD14="","",IF(ISNUMBER(AD14),INT(AD14),DATE(VALUE(LEFT(AD14,4)),VALUE(MID(AD14,6,2)),VALUE(MID(AD14,9,2))))),""))</x:f>
      </x:c>
      <x:c r="AN14" s="24" t="str">
        <x:f>IF(AM14="","",INT('Configuration'!$B$4)-AM14)</x:f>
      </x:c>
      <x:c r="AO14" s="25" t="str">
        <x:f>IF(AM14="","Missing Required Date",IF(AN14&lt;0,"Future Date",IF(AN14=0,"0 days",IF(AN14&lt;=2,"1-2 days",IF(AN14&lt;=7,"3-7 days",IF(AN14&lt;=14,"8-14 days",IF(AN14&lt;=30,"15-30 days",IF(AN14&lt;=60,"31-60 days",IF(AN14&lt;=70,"61-70 days","71+ days")))))))))</x:f>
        <x:v>Missing Required Date</x:v>
      </x:c>
      <x:c r="AP14" s="25" t="str">
        <x:f>IF(OR(E14="processing",E14="executing",E14="pending"),IF(AM14="","Required aging date missing",IF(AN14&gt;30,"Escalate &gt;30d",IF(AN14&gt;14,"Watch &gt;14d","Within 14d"))),"Out of scope")</x:f>
        <x:v>Out of scope</x:v>
      </x:c>
    </x:row>
    <x:row r="15" ht="24" customHeight="1">
      <x:c r="A15" t="str">
        <x:v>d4767236-4313-4bf5-8cb1-6395b037a18d</x:v>
      </x:c>
      <x:c r="B15" t="str">
        <x:v>CSSP10651043</x:v>
      </x:c>
      <x:c r="C15" t="str">
        <x:v>gary.chengkeanglim@petronas.com</x:v>
      </x:c>
      <x:c r="D15" t="str">
        <x:v>provision-cloud-public</x:v>
      </x:c>
      <x:c r="E15" t="str">
        <x:v>completed</x:v>
      </x:c>
      <x:c r="F15" t="n">
        <x:v>45986.10931908565</x:v>
      </x:c>
      <x:c r="G15" t="n">
        <x:v>45986.10931908565</x:v>
      </x:c>
      <x:c r="H15" t="n">
        <x:v>46031.75711918982</x:v>
      </x:c>
      <x:c r="I15" t="str">
        <x:v>A-001303</x:v>
      </x:c>
      <x:c r="J15" t="str">
        <x:v>Project Command Centre (PCC)</x:v>
      </x:c>
      <x:c r="K15" t="n">
        <x:v>4624</x:v>
      </x:c>
      <x:c r="L15" t="str">
        <x:v>Project Command Centre (PCC) Phase 3</x:v>
      </x:c>
      <x:c r="M15" t="str">
        <x:v>wahidkahar@petronas.com.my</x:v>
      </x:c>
      <x:c r="N15" t="str">
        <x:v>Project Control Tower</x:v>
      </x:c>
      <x:c r="O15" t="str">
        <x:v>Modify</x:v>
      </x:c>
      <x:c r="P15" t="str">
        <x:v>StagingUat</x:v>
      </x:c>
      <x:c r="Q15" t="str">
        <x:v>Setup ADF for PCC project</x:v>
      </x:c>
      <x:c r="R15" t="str">
        <x:v>M</x:v>
      </x:c>
      <x:c r="S15"/>
      <x:c r="T15"/>
      <x:c r="U15" t="str">
        <x:v>Please proceed</x:v>
      </x:c>
      <x:c r="V15" t="n">
        <x:v>45987.22808931713</x:v>
      </x:c>
      <x:c r="W15" t="str">
        <x:v>wahidkahar@petronas.com</x:v>
      </x:c>
      <x:c r="X15" t="str">
        <x:v>approved</x:v>
      </x:c>
      <x:c r="Y15" t="str">
        <x:v>Deploy all requested resources under the existing Resource Group (PTAZSG-IAC-UAT-PCT-RG) in Singapore.</x:v>
      </x:c>
      <x:c r="Z15" t="n">
        <x:v>45993.34508680556</x:v>
      </x:c>
      <x:c r="AA15" t="str">
        <x:v>samsuddin.jumbri@petronas.com</x:v>
      </x:c>
      <x:c r="AB15" t="str">
        <x:v>approved</x:v>
      </x:c>
      <x:c r="AC15" t="str">
        <x:v>CSSP10764223 Development
CSSP10651043 StagingUat
CSSP10781388 Production</x:v>
      </x:c>
      <x:c r="AD15" t="n">
        <x:v>45993.39712863426</x:v>
      </x:c>
      <x:c r="AE15" t="str">
        <x:v>syazali.saad@petronas.com</x:v>
      </x:c>
      <x:c r="AF15" t="str">
        <x:v>approved</x:v>
      </x:c>
      <x:c r="AG15" t="str">
        <x:v>Completed</x:v>
      </x:c>
      <x:c r="AH15" t="n">
        <x:v>46031.757119201386</x:v>
      </x:c>
      <x:c r="AI15" t="str">
        <x:v>amin.manshor@petronas.com</x:v>
      </x:c>
      <x:c r="AJ15" t="str">
        <x:v>approved</x:v>
      </x:c>
      <x:c r="AK15" t="str">
        <x:v>REQ000007707580</x:v>
      </x:c>
      <x:c r="AL15" t="str">
        <x:v>5a618235-0b34-4d04-8b74-5c4052b870d7</x:v>
      </x:c>
      <x:c r="AM15" s="23" t="str">
        <x:f>IF(E15="processing",IF(Z15="","",IF(ISNUMBER(Z15),INT(Z15),DATE(VALUE(LEFT(Z15,4)),VALUE(MID(Z15,6,2)),VALUE(MID(Z15,9,2))))),IF(OR(E15="executing",E15="pending"),IF(AD15="","",IF(ISNUMBER(AD15),INT(AD15),DATE(VALUE(LEFT(AD15,4)),VALUE(MID(AD15,6,2)),VALUE(MID(AD15,9,2))))),""))</x:f>
      </x:c>
      <x:c r="AN15" s="24" t="str">
        <x:f>IF(AM15="","",INT('Configuration'!$B$4)-AM15)</x:f>
      </x:c>
      <x:c r="AO15" s="25" t="str">
        <x:f>IF(AM15="","Missing Required Date",IF(AN15&lt;0,"Future Date",IF(AN15=0,"0 days",IF(AN15&lt;=2,"1-2 days",IF(AN15&lt;=7,"3-7 days",IF(AN15&lt;=14,"8-14 days",IF(AN15&lt;=30,"15-30 days",IF(AN15&lt;=60,"31-60 days",IF(AN15&lt;=70,"61-70 days","71+ days")))))))))</x:f>
        <x:v>Missing Required Date</x:v>
      </x:c>
      <x:c r="AP15" s="25" t="str">
        <x:f>IF(OR(E15="processing",E15="executing",E15="pending"),IF(AM15="","Required aging date missing",IF(AN15&gt;30,"Escalate &gt;30d",IF(AN15&gt;14,"Watch &gt;14d","Within 14d"))),"Out of scope")</x:f>
        <x:v>Out of scope</x:v>
      </x:c>
    </x:row>
    <x:row r="16" ht="24" customHeight="1">
      <x:c r="A16" t="str">
        <x:v>8b2cd422-d017-401e-9909-9c6dea4c8d69</x:v>
      </x:c>
      <x:c r="B16" t="str">
        <x:v>CSSP10432529</x:v>
      </x:c>
      <x:c r="C16" t="str">
        <x:v>shahrulrizal.said@petronas.com</x:v>
      </x:c>
      <x:c r="D16" t="str">
        <x:v>provision-cloud-public</x:v>
      </x:c>
      <x:c r="E16" t="str">
        <x:v>completed</x:v>
      </x:c>
      <x:c r="F16" t="n">
        <x:v>45994.33852444444</x:v>
      </x:c>
      <x:c r="G16" t="n">
        <x:v>45994.33852444444</x:v>
      </x:c>
      <x:c r="H16" t="n">
        <x:v>46028.05320391204</x:v>
      </x:c>
      <x:c r="I16" t="str">
        <x:v>A-000355</x:v>
      </x:c>
      <x:c r="J16" t="str">
        <x:v>HSE Intelligence Pod Multimodal AI Vision / Voice - HIPVISION</x:v>
      </x:c>
      <x:c r="K16" t="n">
        <x:v>3578</x:v>
      </x:c>
      <x:c r="L16" t="str">
        <x:v>Development of HSE Intelligence Pod (HIP) Multimodal AI (Vision, Voice)</x:v>
      </x:c>
      <x:c r="M16" t="str">
        <x:v>josephine.danielbav@petronas.com.my</x:v>
      </x:c>
      <x:c r="N16" t="str">
        <x:v>HIP Vision AI</x:v>
      </x:c>
      <x:c r="O16" t="str">
        <x:v>Modify</x:v>
      </x:c>
      <x:c r="P16" t="str">
        <x:v>StagingUat</x:v>
      </x:c>
      <x:c r="Q16" t="str">
        <x:v>To Upgrade Kubernetes version in HIP SDI UAT environment to the latest version 1.35 as per discussed
RG = PTAZSG-IAC-UAT-HIPVISION-JAI-RG
AKS= ptsg-4hipvisionaks02, ptsg-4hipvisionaks03</x:v>
      </x:c>
      <x:c r="R16" t="str">
        <x:v>M</x:v>
      </x:c>
      <x:c r="S16"/>
      <x:c r="T16"/>
      <x:c r="U16" t="str">
        <x:v>Urgently Required. </x:v>
      </x:c>
      <x:c r="V16" t="n">
        <x:v>45994.34466737269</x:v>
      </x:c>
      <x:c r="W16" t="str">
        <x:v>josephine.danielbav@petronas.com</x:v>
      </x:c>
      <x:c r="X16" t="str">
        <x:v>approved</x:v>
      </x:c>
      <x:c r="Y16" t="str">
        <x:v>Good to go</x:v>
      </x:c>
      <x:c r="Z16" t="n">
        <x:v>45995.094082511576</x:v>
      </x:c>
      <x:c r="AA16" t="str">
        <x:v>samsuddin.jumbri@petronas.com</x:v>
      </x:c>
      <x:c r="AB16" t="str">
        <x:v>approved</x:v>
      </x:c>
      <x:c r="AC16" t="str">
        <x:v>Proceed</x:v>
      </x:c>
      <x:c r="AD16" t="n">
        <x:v>45995.128940092596</x:v>
      </x:c>
      <x:c r="AE16" t="str">
        <x:v>azwan.badari@petronas.com</x:v>
      </x:c>
      <x:c r="AF16" t="str">
        <x:v>approved</x:v>
      </x:c>
      <x:c r="AG16" t="str">
        <x:v>Luis has provided updates to the requestor, Shahrulrizal B Said (Rizal) regarding the AKS version upgrade:
1)    ptsg-4hipvisionaks03
The control plane and its node pool have been successfully upgraded to the latest version, 1.34.0.
2) ptsg-4hipvisionaks02
  We need to discuss further, as the existing node pools must be replaced to obtain the latest version. Rizal will confirm with Dr. Liang regarding the node pool usage and will arrange an additional discussion with us if necessary.  
Note: As discussed with Rizal, Luis will close this ticket since the app team discussions and upgrade planning will take some time. Luis will coordinate the remaining items with Rizal via MS Teams.</x:v>
      </x:c>
      <x:c r="AH16" t="n">
        <x:v>46028.05320391204</x:v>
      </x:c>
      <x:c r="AI16" t="str">
        <x:v>yeonghunn.ho@petronas.com</x:v>
      </x:c>
      <x:c r="AJ16" t="str">
        <x:v>approved</x:v>
      </x:c>
      <x:c r="AK16" t="str">
        <x:v>REQ000007712065</x:v>
      </x:c>
      <x:c r="AL16" t="str">
        <x:v>ea9ff09d-7f7a-482f-a081-c07b99b496a2</x:v>
      </x:c>
      <x:c r="AM16" s="23" t="str">
        <x:f>IF(E16="processing",IF(Z16="","",IF(ISNUMBER(Z16),INT(Z16),DATE(VALUE(LEFT(Z16,4)),VALUE(MID(Z16,6,2)),VALUE(MID(Z16,9,2))))),IF(OR(E16="executing",E16="pending"),IF(AD16="","",IF(ISNUMBER(AD16),INT(AD16),DATE(VALUE(LEFT(AD16,4)),VALUE(MID(AD16,6,2)),VALUE(MID(AD16,9,2))))),""))</x:f>
      </x:c>
      <x:c r="AN16" s="24" t="str">
        <x:f>IF(AM16="","",INT('Configuration'!$B$4)-AM16)</x:f>
      </x:c>
      <x:c r="AO16" s="25" t="str">
        <x:f>IF(AM16="","Missing Required Date",IF(AN16&lt;0,"Future Date",IF(AN16=0,"0 days",IF(AN16&lt;=2,"1-2 days",IF(AN16&lt;=7,"3-7 days",IF(AN16&lt;=14,"8-14 days",IF(AN16&lt;=30,"15-30 days",IF(AN16&lt;=60,"31-60 days",IF(AN16&lt;=70,"61-70 days","71+ days")))))))))</x:f>
        <x:v>Missing Required Date</x:v>
      </x:c>
      <x:c r="AP16" s="25" t="str">
        <x:f>IF(OR(E16="processing",E16="executing",E16="pending"),IF(AM16="","Required aging date missing",IF(AN16&gt;30,"Escalate &gt;30d",IF(AN16&gt;14,"Watch &gt;14d","Within 14d"))),"Out of scope")</x:f>
        <x:v>Out of scope</x:v>
      </x:c>
    </x:row>
    <x:row r="17" ht="24" customHeight="1">
      <x:c r="A17" t="str">
        <x:v>3bb78a3c-f615-49b0-bb87-378288ebf03d</x:v>
      </x:c>
      <x:c r="B17" t="str">
        <x:v>CSSP10110126</x:v>
      </x:c>
      <x:c r="C17" t="str">
        <x:v>shafiq.hussein@petronas.com</x:v>
      </x:c>
      <x:c r="D17" t="str">
        <x:v>provision-cloud-public</x:v>
      </x:c>
      <x:c r="E17" t="str">
        <x:v>completed</x:v>
      </x:c>
      <x:c r="F17" t="n">
        <x:v>46000.14377606481</x:v>
      </x:c>
      <x:c r="G17" t="n">
        <x:v>46000.14801435185</x:v>
      </x:c>
      <x:c r="H17" t="n">
        <x:v>46028.19825408565</x:v>
      </x:c>
      <x:c r="I17" t="str">
        <x:v>A-001290</x:v>
      </x:c>
      <x:c r="J17" t="str">
        <x:v>SAP Global Data Consolidation - GDC</x:v>
      </x:c>
      <x:c r="K17" t="n">
        <x:v>435</x:v>
      </x:c>
      <x:c r="L17" t="str">
        <x:v>Enhancement for Global Data Consolidation (GDC) for MPM</x:v>
      </x:c>
      <x:c r="M17" t="str">
        <x:v>rohazlin.ahmad@petronas.com</x:v>
      </x:c>
      <x:c r="N17" t="str">
        <x:v>BPC GDC 2.0</x:v>
      </x:c>
      <x:c r="O17" t="str">
        <x:v>New</x:v>
      </x:c>
      <x:c r="P17" t="str">
        <x:v>Production</x:v>
      </x:c>
      <x:c r="Q17" t="str">
        <x:v>Request to provision Azure services for hosting internal APIs using container-based architecture. Solution includes Azure Container Services, API Management (Basic tier), Application Gateway, and Container Registry. The APIs are for internal use only with no external integration. SP, CS, and EA approvals have been completed.</x:v>
      </x:c>
      <x:c r="R17" t="str">
        <x:v>S</x:v>
      </x:c>
      <x:c r="S17"/>
      <x:c r="T17"/>
      <x:c r="U17" t="str">
        <x:v>Reviewed and approved </x:v>
      </x:c>
      <x:c r="V17" t="n">
        <x:v>46000.1491683912</x:v>
      </x:c>
      <x:c r="W17" t="str">
        <x:v>rohazlin.ahmad@petronas.com</x:v>
      </x:c>
      <x:c r="X17" t="str">
        <x:v>approved</x:v>
      </x:c>
      <x:c r="Y17" t="str">
        <x:v>Good to go</x:v>
      </x:c>
      <x:c r="Z17" t="n">
        <x:v>46001.09559951389</x:v>
      </x:c>
      <x:c r="AA17" t="str">
        <x:v>samsuddin.jumbri@petronas.com</x:v>
      </x:c>
      <x:c r="AB17" t="str">
        <x:v>approved</x:v>
      </x:c>
      <x:c r="AC17" t="str">
        <x:v>.</x:v>
      </x:c>
      <x:c r="AD17" t="n">
        <x:v>46002.291507511574</x:v>
      </x:c>
      <x:c r="AE17" t="str">
        <x:v>syazali.saad@petronas.com</x:v>
      </x:c>
      <x:c r="AF17" t="str">
        <x:v>approved</x:v>
      </x:c>
      <x:c r="AG17" t="str">
        <x:v>Completed.</x:v>
      </x:c>
      <x:c r="AH17" t="n">
        <x:v>46028.19825410879</x:v>
      </x:c>
      <x:c r="AI17" t="str">
        <x:v>darliz.zainol@petronas.com</x:v>
      </x:c>
      <x:c r="AJ17" t="str">
        <x:v>approved</x:v>
      </x:c>
      <x:c r="AK17" t="str">
        <x:v>REQ000007729086</x:v>
      </x:c>
      <x:c r="AL17" t="str">
        <x:v>e92680b4-8369-4236-9fda-0430bb8e1dfb</x:v>
      </x:c>
      <x:c r="AM17" s="23" t="str">
        <x:f>IF(E17="processing",IF(Z17="","",IF(ISNUMBER(Z17),INT(Z17),DATE(VALUE(LEFT(Z17,4)),VALUE(MID(Z17,6,2)),VALUE(MID(Z17,9,2))))),IF(OR(E17="executing",E17="pending"),IF(AD17="","",IF(ISNUMBER(AD17),INT(AD17),DATE(VALUE(LEFT(AD17,4)),VALUE(MID(AD17,6,2)),VALUE(MID(AD17,9,2))))),""))</x:f>
      </x:c>
      <x:c r="AN17" s="24" t="str">
        <x:f>IF(AM17="","",INT('Configuration'!$B$4)-AM17)</x:f>
      </x:c>
      <x:c r="AO17" s="25" t="str">
        <x:f>IF(AM17="","Missing Required Date",IF(AN17&lt;0,"Future Date",IF(AN17=0,"0 days",IF(AN17&lt;=2,"1-2 days",IF(AN17&lt;=7,"3-7 days",IF(AN17&lt;=14,"8-14 days",IF(AN17&lt;=30,"15-30 days",IF(AN17&lt;=60,"31-60 days",IF(AN17&lt;=70,"61-70 days","71+ days")))))))))</x:f>
        <x:v>Missing Required Date</x:v>
      </x:c>
      <x:c r="AP17" s="25" t="str">
        <x:f>IF(OR(E17="processing",E17="executing",E17="pending"),IF(AM17="","Required aging date missing",IF(AN17&gt;30,"Escalate &gt;30d",IF(AN17&gt;14,"Watch &gt;14d","Within 14d"))),"Out of scope")</x:f>
        <x:v>Out of scope</x:v>
      </x:c>
    </x:row>
    <x:row r="18" ht="24" customHeight="1">
      <x:c r="A18" t="str">
        <x:v>7526d2f5-1eba-42d9-aa96-708c1e73af60</x:v>
      </x:c>
      <x:c r="B18" t="str">
        <x:v>CSSP10893348</x:v>
      </x:c>
      <x:c r="C18" t="str">
        <x:v>yannchang.tan@petronas.com</x:v>
      </x:c>
      <x:c r="D18" t="str">
        <x:v>provision-cloud-public</x:v>
      </x:c>
      <x:c r="E18" t="str">
        <x:v>completed</x:v>
      </x:c>
      <x:c r="F18" t="n">
        <x:v>46001.16360355324</x:v>
      </x:c>
      <x:c r="G18" t="n">
        <x:v>46028.27399515046</x:v>
      </x:c>
      <x:c r="H18" t="n">
        <x:v>46031.69657782408</x:v>
      </x:c>
      <x:c r="I18" t="str">
        <x:v>A-000037</x:v>
      </x:c>
      <x:c r="J18" t="str">
        <x:v>AI Enablement Framework</x:v>
      </x:c>
      <x:c r="K18" t="n">
        <x:v>3437</x:v>
      </x:c>
      <x:c r="L18" t="str">
        <x:v>Support and Maintenance for AI Enablement Framework 2023-2024 for PDB</x:v>
      </x:c>
      <x:c r="M18" t="str">
        <x:v>debjani.sambasivam@petronas.com.my</x:v>
      </x:c>
      <x:c r="N18" t="str">
        <x:v>AI Enablement for PDB</x:v>
      </x:c>
      <x:c r="O18" t="str">
        <x:v>Modify</x:v>
      </x:c>
      <x:c r="P18" t="str">
        <x:v>Development</x:v>
      </x:c>
      <x:c r="Q18" t="str">
        <x:v>Compute Name: PDB-CAD-KENNETH Assign To: Kenneth Lau Kheng Soong (kenneth.laukhengsoon@petronas.com.my) Virtual Machine Size: Standard_DS15_v2 (20 cores, 140 GB RAM, 280 GB disk) Scheduling Auto Shut Down: 60 minute</x:v>
      </x:c>
      <x:c r="R18" t="str">
        <x:v>S</x:v>
      </x:c>
      <x:c r="S18"/>
      <x:c r="T18"/>
      <x:c r="U18" t="str">
        <x:v>Approved</x:v>
      </x:c>
      <x:c r="V18" t="n">
        <x:v>46028.27641792824</x:v>
      </x:c>
      <x:c r="W18" t="str">
        <x:v>debjani.sambasivam@petronas.com</x:v>
      </x:c>
      <x:c r="X18" t="str">
        <x:v>approved</x:v>
      </x:c>
      <x:c r="Y18" t="str">
        <x:v>Good to go</x:v>
      </x:c>
      <x:c r="Z18" t="n">
        <x:v>46029.13735974537</x:v>
      </x:c>
      <x:c r="AA18" t="str">
        <x:v>samsuddin.jumbri@petronas.com</x:v>
      </x:c>
      <x:c r="AB18" t="str">
        <x:v>approved</x:v>
      </x:c>
      <x:c r="AC18" t="str">
        <x:v>ML compute. perform this in ML studio.
https://portal.azure.com/#@PETRONAS.onmicrosoft.com/resource/subscriptions/b5a67ad5-d38a-4258-aa5e-31e39d3b709f/resourceGroups/PTAZSG-DEV-AIPDB-RG/providers/Microsoft.MachineLearningServices/workspaces/ptsg-5aipdbml01/overview</x:v>
      </x:c>
      <x:c r="AD18" t="n">
        <x:v>46029.37120918981</x:v>
      </x:c>
      <x:c r="AE18" t="str">
        <x:v>syazali.saad@petronas.com</x:v>
      </x:c>
      <x:c r="AF18" t="str">
        <x:v>approved</x:v>
      </x:c>
      <x:c r="AG18" t="str">
        <x:v>done. </x:v>
      </x:c>
      <x:c r="AH18" t="n">
        <x:v>46031.696577835646</x:v>
      </x:c>
      <x:c r="AI18" t="str">
        <x:v>azhan.shazeli@petronas.com</x:v>
      </x:c>
      <x:c r="AJ18" t="str">
        <x:v>approved</x:v>
      </x:c>
      <x:c r="AK18" t="str">
        <x:v>REQ000007795697</x:v>
      </x:c>
      <x:c r="AL18" t="str">
        <x:v>f99ec12f-a075-40d0-8957-15cd4e72ddb4</x:v>
      </x:c>
      <x:c r="AM18" s="23" t="str">
        <x:f>IF(E18="processing",IF(Z18="","",IF(ISNUMBER(Z18),INT(Z18),DATE(VALUE(LEFT(Z18,4)),VALUE(MID(Z18,6,2)),VALUE(MID(Z18,9,2))))),IF(OR(E18="executing",E18="pending"),IF(AD18="","",IF(ISNUMBER(AD18),INT(AD18),DATE(VALUE(LEFT(AD18,4)),VALUE(MID(AD18,6,2)),VALUE(MID(AD18,9,2))))),""))</x:f>
      </x:c>
      <x:c r="AN18" s="24" t="str">
        <x:f>IF(AM18="","",INT('Configuration'!$B$4)-AM18)</x:f>
      </x:c>
      <x:c r="AO18" s="25" t="str">
        <x:f>IF(AM18="","Missing Required Date",IF(AN18&lt;0,"Future Date",IF(AN18=0,"0 days",IF(AN18&lt;=2,"1-2 days",IF(AN18&lt;=7,"3-7 days",IF(AN18&lt;=14,"8-14 days",IF(AN18&lt;=30,"15-30 days",IF(AN18&lt;=60,"31-60 days",IF(AN18&lt;=70,"61-70 days","71+ days")))))))))</x:f>
        <x:v>Missing Required Date</x:v>
      </x:c>
      <x:c r="AP18" s="25" t="str">
        <x:f>IF(OR(E18="processing",E18="executing",E18="pending"),IF(AM18="","Required aging date missing",IF(AN18&gt;30,"Escalate &gt;30d",IF(AN18&gt;14,"Watch &gt;14d","Within 14d"))),"Out of scope")</x:f>
        <x:v>Out of scope</x:v>
      </x:c>
    </x:row>
    <x:row r="19" ht="24" customHeight="1">
      <x:c r="A19" t="str">
        <x:v>4698f3c6-9b1b-49ab-8edd-5e8f539e07e1</x:v>
      </x:c>
      <x:c r="B19" t="str">
        <x:v>CSSP10726338</x:v>
      </x:c>
      <x:c r="C19" t="str">
        <x:v>norhajarsyazwani.moh@petronas.com</x:v>
      </x:c>
      <x:c r="D19" t="str">
        <x:v>provision-cloud-public</x:v>
      </x:c>
      <x:c r="E19" t="str">
        <x:v>completed</x:v>
      </x:c>
      <x:c r="F19" t="n">
        <x:v>46003.36452991898</x:v>
      </x:c>
      <x:c r="G19" t="n">
        <x:v>46003.36452991898</x:v>
      </x:c>
      <x:c r="H19" t="n">
        <x:v>46029.27550255787</x:v>
      </x:c>
      <x:c r="I19" t="str">
        <x:v>A-000633</x:v>
      </x:c>
      <x:c r="J19" t="str">
        <x:v>Price Management Tool - PMT</x:v>
      </x:c>
      <x:c r="K19" t="n">
        <x:v>1687</x:v>
      </x:c>
      <x:c r="L19" t="str">
        <x:v>Provision of Support &amp; Maintenance for Price Management Tool (PMT) 2.0 for PCML</x:v>
      </x:c>
      <x:c r="M19" t="str">
        <x:v>noraziah.aziz@petronas.com.my</x:v>
      </x:c>
      <x:c r="N19" t="str">
        <x:v>PMT2.0 Application Support and Maintenance</x:v>
      </x:c>
      <x:c r="O19" t="str">
        <x:v>Modify</x:v>
      </x:c>
      <x:c r="P19" t="str">
        <x:v>StagingUat</x:v>
      </x:c>
      <x:c r="Q19" t="str">
        <x:v>To upgrade kubernetes version, ubuntu version and add one (1) additional node in ptsg-4pmtaks. 
AKS cluster to be upgraded to 1.33.0.
Ubuntu version to be upgraded to 22.04
Please assign to Mohamad Izzat Hazwan Romainor (IS/DIGITAL).</x:v>
      </x:c>
      <x:c r="R19" t="str">
        <x:v>L</x:v>
      </x:c>
      <x:c r="S19"/>
      <x:c r="T19"/>
      <x:c r="U19" t="str">
        <x:v>Approved as advise by support personnel</x:v>
      </x:c>
      <x:c r="V19" t="n">
        <x:v>46003.37039099537</x:v>
      </x:c>
      <x:c r="W19" t="str">
        <x:v>noraziah.aziz@petronas.com</x:v>
      </x:c>
      <x:c r="X19" t="str">
        <x:v>approved</x:v>
      </x:c>
      <x:c r="Y19" t="str">
        <x:v>Good to go</x:v>
      </x:c>
      <x:c r="Z19" t="n">
        <x:v>46006.33282310185</x:v>
      </x:c>
      <x:c r="AA19" t="str">
        <x:v>samsuddin.jumbri@petronas.com</x:v>
      </x:c>
      <x:c r="AB19" t="str">
        <x:v>approved</x:v>
      </x:c>
      <x:c r="AC19" t="str">
        <x:v>as per approved by cloud demand.</x:v>
      </x:c>
      <x:c r="AD19" t="n">
        <x:v>46007.36237472222</x:v>
      </x:c>
      <x:c r="AE19" t="str">
        <x:v>syazali.saad@petronas.com</x:v>
      </x:c>
      <x:c r="AF19" t="str">
        <x:v>approved</x:v>
      </x:c>
      <x:c r="AG19" t="str">
        <x:v>completed</x:v>
      </x:c>
      <x:c r="AH19" t="n">
        <x:v>46029.27550255787</x:v>
      </x:c>
      <x:c r="AI19" t="str">
        <x:v>izzat.romainor@petronas.com</x:v>
      </x:c>
      <x:c r="AJ19" t="str">
        <x:v>approved</x:v>
      </x:c>
      <x:c r="AK19" t="str">
        <x:v>REQ000007743308</x:v>
      </x:c>
      <x:c r="AL19" t="str">
        <x:v>2505cb08-b067-4c2b-8956-f83a94b5cf3a</x:v>
      </x:c>
      <x:c r="AM19" s="23" t="str">
        <x:f>IF(E19="processing",IF(Z19="","",IF(ISNUMBER(Z19),INT(Z19),DATE(VALUE(LEFT(Z19,4)),VALUE(MID(Z19,6,2)),VALUE(MID(Z19,9,2))))),IF(OR(E19="executing",E19="pending"),IF(AD19="","",IF(ISNUMBER(AD19),INT(AD19),DATE(VALUE(LEFT(AD19,4)),VALUE(MID(AD19,6,2)),VALUE(MID(AD19,9,2))))),""))</x:f>
      </x:c>
      <x:c r="AN19" s="24" t="str">
        <x:f>IF(AM19="","",INT('Configuration'!$B$4)-AM19)</x:f>
      </x:c>
      <x:c r="AO19" s="25" t="str">
        <x:f>IF(AM19="","Missing Required Date",IF(AN19&lt;0,"Future Date",IF(AN19=0,"0 days",IF(AN19&lt;=2,"1-2 days",IF(AN19&lt;=7,"3-7 days",IF(AN19&lt;=14,"8-14 days",IF(AN19&lt;=30,"15-30 days",IF(AN19&lt;=60,"31-60 days",IF(AN19&lt;=70,"61-70 days","71+ days")))))))))</x:f>
        <x:v>Missing Required Date</x:v>
      </x:c>
      <x:c r="AP19" s="25" t="str">
        <x:f>IF(OR(E19="processing",E19="executing",E19="pending"),IF(AM19="","Required aging date missing",IF(AN19&gt;30,"Escalate &gt;30d",IF(AN19&gt;14,"Watch &gt;14d","Within 14d"))),"Out of scope")</x:f>
        <x:v>Out of scope</x:v>
      </x:c>
    </x:row>
    <x:row r="20" ht="24" customHeight="1">
      <x:c r="A20" t="str">
        <x:v>5a97c8e5-f0a8-422c-866a-2ca5eabef156</x:v>
      </x:c>
      <x:c r="B20" t="str">
        <x:v>CSSP10283623</x:v>
      </x:c>
      <x:c r="C20" t="str">
        <x:v>dingjie.khoo@petronas.com</x:v>
      </x:c>
      <x:c r="D20" t="str">
        <x:v>provision-cloud-public</x:v>
      </x:c>
      <x:c r="E20" t="str">
        <x:v>completed</x:v>
      </x:c>
      <x:c r="F20" t="n">
        <x:v>46007.12294857639</x:v>
      </x:c>
      <x:c r="G20" t="n">
        <x:v>46021.08300832176</x:v>
      </x:c>
      <x:c r="H20" t="n">
        <x:v>46036.283825439816</x:v>
      </x:c>
      <x:c r="I20" t="str">
        <x:v>A-000820</x:v>
      </x:c>
      <x:c r="J20" t="str">
        <x:v>Upstream Commercial Finance - UCF</x:v>
      </x:c>
      <x:c r="K20" t="n">
        <x:v>4435</x:v>
      </x:c>
      <x:c r="L20" t="str">
        <x:v>Implementation of Documents Comparison Tool for Upstream Commercial Finance (UCF)</x:v>
      </x:c>
      <x:c r="M20" t="str">
        <x:v>ng.kokkwan@petronas.com</x:v>
      </x:c>
      <x:c r="N20" t="str">
        <x:v>Upstream_Commercial_Finance</x:v>
      </x:c>
      <x:c r="O20" t="str">
        <x:v>Modify</x:v>
      </x:c>
      <x:c r="P20" t="str">
        <x:v>Development</x:v>
      </x:c>
      <x:c r="Q20" t="str">
        <x:v>Current Azure AI Foundry Resource in East US does not have latest AI model: GPT5.2
Request to create a new Azure AI Foundry Resource in a different availability zone
East US 2 
Resource Group: PTAZSG-IAC-DAA-DEV-UCF-RG
Business requires this latest model to boost performance and reduce wait time</x:v>
      </x:c>
      <x:c r="R20" t="str">
        <x:v>M</x:v>
      </x:c>
      <x:c r="S20"/>
      <x:c r="T20"/>
      <x:c r="U20" t="str">
        <x:v>Need for fulfilling upstream finance work</x:v>
      </x:c>
      <x:c r="V20" t="n">
        <x:v>46022.05777994213</x:v>
      </x:c>
      <x:c r="W20" t="str">
        <x:v>ng.kokkwan@petronas.com</x:v>
      </x:c>
      <x:c r="X20" t="str">
        <x:v>approved</x:v>
      </x:c>
      <x:c r="Y20" t="str">
        <x:v>Good to go</x:v>
      </x:c>
      <x:c r="Z20" t="n">
        <x:v>46029.13121222222</x:v>
      </x:c>
      <x:c r="AA20" t="str">
        <x:v>samsuddin.jumbri@petronas.com</x:v>
      </x:c>
      <x:c r="AB20" t="str">
        <x:v>approved</x:v>
      </x:c>
      <x:c r="AC20" t="str">
        <x:v>DAA</x:v>
      </x:c>
      <x:c r="AD20" t="n">
        <x:v>46031.318882719905</x:v>
      </x:c>
      <x:c r="AE20" t="str">
        <x:v>syazali.saad@petronas.com</x:v>
      </x:c>
      <x:c r="AF20" t="str">
        <x:v>approved</x:v>
      </x:c>
      <x:c r="AG20" t="str">
        <x:v>Quota related. Completed</x:v>
      </x:c>
      <x:c r="AH20" t="n">
        <x:v>46036.28382545139</x:v>
      </x:c>
      <x:c r="AI20" t="str">
        <x:v>fathulrahman.misba@petronas.com</x:v>
      </x:c>
      <x:c r="AJ20" t="str">
        <x:v>approved</x:v>
      </x:c>
      <x:c r="AK20" t="str">
        <x:v>REQ000007803681</x:v>
      </x:c>
      <x:c r="AL20" t="str">
        <x:v>e25fc1c4-dbf2-4838-8f25-d590a60212e5</x:v>
      </x:c>
      <x:c r="AM20" s="23" t="str">
        <x:f>IF(E20="processing",IF(Z20="","",IF(ISNUMBER(Z20),INT(Z20),DATE(VALUE(LEFT(Z20,4)),VALUE(MID(Z20,6,2)),VALUE(MID(Z20,9,2))))),IF(OR(E20="executing",E20="pending"),IF(AD20="","",IF(ISNUMBER(AD20),INT(AD20),DATE(VALUE(LEFT(AD20,4)),VALUE(MID(AD20,6,2)),VALUE(MID(AD20,9,2))))),""))</x:f>
      </x:c>
      <x:c r="AN20" s="24" t="str">
        <x:f>IF(AM20="","",INT('Configuration'!$B$4)-AM20)</x:f>
      </x:c>
      <x:c r="AO20" s="25" t="str">
        <x:f>IF(AM20="","Missing Required Date",IF(AN20&lt;0,"Future Date",IF(AN20=0,"0 days",IF(AN20&lt;=2,"1-2 days",IF(AN20&lt;=7,"3-7 days",IF(AN20&lt;=14,"8-14 days",IF(AN20&lt;=30,"15-30 days",IF(AN20&lt;=60,"31-60 days",IF(AN20&lt;=70,"61-70 days","71+ days")))))))))</x:f>
        <x:v>Missing Required Date</x:v>
      </x:c>
      <x:c r="AP20" s="25" t="str">
        <x:f>IF(OR(E20="processing",E20="executing",E20="pending"),IF(AM20="","Required aging date missing",IF(AN20&gt;30,"Escalate &gt;30d",IF(AN20&gt;14,"Watch &gt;14d","Within 14d"))),"Out of scope")</x:f>
        <x:v>Out of scope</x:v>
      </x:c>
    </x:row>
    <x:row r="21" ht="24" customHeight="1">
      <x:c r="A21" t="str">
        <x:v>cdd4a014-5097-4a7d-a741-70641ab2172f</x:v>
      </x:c>
      <x:c r="B21" t="str">
        <x:v>CSSP10469672</x:v>
      </x:c>
      <x:c r="C21" t="str">
        <x:v>hairol.zainul@petronas.com</x:v>
      </x:c>
      <x:c r="D21" t="str">
        <x:v>provision-cloud-public</x:v>
      </x:c>
      <x:c r="E21" t="str">
        <x:v>completed</x:v>
      </x:c>
      <x:c r="F21" t="n">
        <x:v>46009.14081459491</x:v>
      </x:c>
      <x:c r="G21" t="n">
        <x:v>46009.14081459491</x:v>
      </x:c>
      <x:c r="H21" t="n">
        <x:v>46036.05996491898</x:v>
      </x:c>
      <x:c r="I21" t="str">
        <x:v>A-000380</x:v>
      </x:c>
      <x:c r="J21" t="str">
        <x:v>Lab Information Management System - LIMS PCGB</x:v>
      </x:c>
      <x:c r="K21" t="str">
        <x:v>SR00080</x:v>
      </x:c>
      <x:c r="L21" t="str">
        <x:v>Provisioning of Virtual Machine for LIMS with ELN for STAR+ Project for PCGB</x:v>
      </x:c>
      <x:c r="M21" t="str">
        <x:v>siowfui.chen@petronas.com.my</x:v>
      </x:c>
      <x:c r="N21" t="str">
        <x:v>ELN for STAR Project for PCGB</x:v>
      </x:c>
      <x:c r="O21" t="str">
        <x:v>New</x:v>
      </x:c>
      <x:c r="P21" t="str">
        <x:v>StagingUat</x:v>
      </x:c>
      <x:c r="Q21" t="str">
        <x:v>To provision cloud VM server and Oracle RDS database for LIMS ELN module at AWS PETRONAS cloud Test environment.</x:v>
      </x:c>
      <x:c r="R21" t="str">
        <x:v>M</x:v>
      </x:c>
      <x:c r="S21"/>
      <x:c r="T21"/>
      <x:c r="U21" t="str">
        <x:v>ok noted and pls proceed as per plan.</x:v>
      </x:c>
      <x:c r="V21" t="n">
        <x:v>46009.187363275465</x:v>
      </x:c>
      <x:c r="W21" t="str">
        <x:v>siowfui.chen@petronas.com</x:v>
      </x:c>
      <x:c r="X21" t="str">
        <x:v>approved</x:v>
      </x:c>
      <x:c r="Y21" t="str">
        <x:v>Good to go</x:v>
      </x:c>
      <x:c r="Z21" t="n">
        <x:v>46010.14701842592</x:v>
      </x:c>
      <x:c r="AA21" t="str">
        <x:v>samsuddin.jumbri@petronas.com</x:v>
      </x:c>
      <x:c r="AB21" t="str">
        <x:v>approved</x:v>
      </x:c>
      <x:c r="AC21" t="str">
        <x:v>Provision EC2 and RDS in AWS</x:v>
      </x:c>
      <x:c r="AD21" t="n">
        <x:v>46013.059503136574</x:v>
      </x:c>
      <x:c r="AE21" t="str">
        <x:v>azwan.badari@petronas.com</x:v>
      </x:c>
      <x:c r="AF21" t="str">
        <x:v>approved</x:v>
      </x:c>
      <x:c r="AG21" t="str">
        <x:v>Completed</x:v>
      </x:c>
      <x:c r="AH21" t="n">
        <x:v>46036.05996493056</x:v>
      </x:c>
      <x:c r="AI21" t="str">
        <x:v>amin.manshor@petronas.com</x:v>
      </x:c>
      <x:c r="AJ21" t="str">
        <x:v>approved</x:v>
      </x:c>
      <x:c r="AK21" t="str">
        <x:v>REQ000007755919</x:v>
      </x:c>
      <x:c r="AL21" t="str">
        <x:v>094b0a7e-cc8c-4a71-a978-7149a45f7482</x:v>
      </x:c>
      <x:c r="AM21" s="23" t="str">
        <x:f>IF(E21="processing",IF(Z21="","",IF(ISNUMBER(Z21),INT(Z21),DATE(VALUE(LEFT(Z21,4)),VALUE(MID(Z21,6,2)),VALUE(MID(Z21,9,2))))),IF(OR(E21="executing",E21="pending"),IF(AD21="","",IF(ISNUMBER(AD21),INT(AD21),DATE(VALUE(LEFT(AD21,4)),VALUE(MID(AD21,6,2)),VALUE(MID(AD21,9,2))))),""))</x:f>
      </x:c>
      <x:c r="AN21" s="24" t="str">
        <x:f>IF(AM21="","",INT('Configuration'!$B$4)-AM21)</x:f>
      </x:c>
      <x:c r="AO21" s="25" t="str">
        <x:f>IF(AM21="","Missing Required Date",IF(AN21&lt;0,"Future Date",IF(AN21=0,"0 days",IF(AN21&lt;=2,"1-2 days",IF(AN21&lt;=7,"3-7 days",IF(AN21&lt;=14,"8-14 days",IF(AN21&lt;=30,"15-30 days",IF(AN21&lt;=60,"31-60 days",IF(AN21&lt;=70,"61-70 days","71+ days")))))))))</x:f>
        <x:v>Missing Required Date</x:v>
      </x:c>
      <x:c r="AP21" s="25" t="str">
        <x:f>IF(OR(E21="processing",E21="executing",E21="pending"),IF(AM21="","Required aging date missing",IF(AN21&gt;30,"Escalate &gt;30d",IF(AN21&gt;14,"Watch &gt;14d","Within 14d"))),"Out of scope")</x:f>
        <x:v>Out of scope</x:v>
      </x:c>
    </x:row>
    <x:row r="22" ht="24" customHeight="1">
      <x:c r="A22" t="str">
        <x:v>d5465d1b-34d6-4fba-875e-6ded40c465c7</x:v>
      </x:c>
      <x:c r="B22" t="str">
        <x:v>CSSP10109255</x:v>
      </x:c>
      <x:c r="C22" t="str">
        <x:v>ahmadaimanhakim.nora@petronas.com</x:v>
      </x:c>
      <x:c r="D22" t="str">
        <x:v>provision-cloud-public</x:v>
      </x:c>
      <x:c r="E22" t="str">
        <x:v>completed</x:v>
      </x:c>
      <x:c r="F22" t="n">
        <x:v>46010.15920888889</x:v>
      </x:c>
      <x:c r="G22" t="n">
        <x:v>46010.15920888889</x:v>
      </x:c>
      <x:c r="H22" t="n">
        <x:v>46028.01546773148</x:v>
      </x:c>
      <x:c r="I22" t="str">
        <x:v>A-000361</x:v>
      </x:c>
      <x:c r="J22" t="str">
        <x:v>Integrated Asset Modelling - IAM</x:v>
      </x:c>
      <x:c r="K22" t="n">
        <x:v>859</x:v>
      </x:c>
      <x:c r="L22" t="str">
        <x:v>Implementation of development, testing and production server for Integrated Asset Modelling (IAM) for COE, PCSB</x:v>
      </x:c>
      <x:c r="M22" t="str">
        <x:v>syariffudin@petronas.com</x:v>
      </x:c>
      <x:c r="N22" t="str">
        <x:v>Project IAM</x:v>
      </x:c>
      <x:c r="O22" t="str">
        <x:v>New</x:v>
      </x:c>
      <x:c r="P22" t="str">
        <x:v>Production</x:v>
      </x:c>
      <x:c r="Q22" t="str">
        <x:v>Please provision this new 8 servers for DOF/IAM Project. Attached is the excel file containing the server specification (Hostname , RAM, CPU &amp; Storage) of the new servers to be provision.</x:v>
      </x:c>
      <x:c r="R22" t="str">
        <x:v>M</x:v>
      </x:c>
      <x:c r="S22"/>
      <x:c r="T22"/>
      <x:c r="U22" t="str">
        <x:v>pls proceed</x:v>
      </x:c>
      <x:c r="V22" t="n">
        <x:v>46010.16977324074</x:v>
      </x:c>
      <x:c r="W22" t="str">
        <x:v>syariffudin@petronas.com</x:v>
      </x:c>
      <x:c r="X22" t="str">
        <x:v>approved</x:v>
      </x:c>
      <x:c r="Y22" t="str">
        <x:v>Good to go. Provision in the existing RG (PTAZSG-PROD-PETEX-IAM-RG)</x:v>
      </x:c>
      <x:c r="Z22" t="n">
        <x:v>46010.1762391088</x:v>
      </x:c>
      <x:c r="AA22" t="str">
        <x:v>samsuddin.jumbri@petronas.com</x:v>
      </x:c>
      <x:c r="AB22" t="str">
        <x:v>approved</x:v>
      </x:c>
      <x:c r="AC22" t="str">
        <x:v>PTAZSG-PROD-PETEX-IAM-RG
</x:v>
      </x:c>
      <x:c r="AD22" t="n">
        <x:v>46014.174875578705</x:v>
      </x:c>
      <x:c r="AE22" t="str">
        <x:v>syazali.saad@petronas.com</x:v>
      </x:c>
      <x:c r="AF22" t="str">
        <x:v>approved</x:v>
      </x:c>
      <x:c r="AG22" t="str">
        <x:v>Provision VM done. </x:v>
      </x:c>
      <x:c r="AH22" t="n">
        <x:v>46028.01546773148</x:v>
      </x:c>
      <x:c r="AI22" t="str">
        <x:v>azhan.shazeli@petronas.com</x:v>
      </x:c>
      <x:c r="AJ22" t="str">
        <x:v>approved</x:v>
      </x:c>
      <x:c r="AK22" t="str">
        <x:v>REQ000007759450</x:v>
      </x:c>
      <x:c r="AL22" t="str">
        <x:v>fe80e76e-a9eb-4430-8940-992f48d3788e</x:v>
      </x:c>
      <x:c r="AM22" s="23" t="str">
        <x:f>IF(E22="processing",IF(Z22="","",IF(ISNUMBER(Z22),INT(Z22),DATE(VALUE(LEFT(Z22,4)),VALUE(MID(Z22,6,2)),VALUE(MID(Z22,9,2))))),IF(OR(E22="executing",E22="pending"),IF(AD22="","",IF(ISNUMBER(AD22),INT(AD22),DATE(VALUE(LEFT(AD22,4)),VALUE(MID(AD22,6,2)),VALUE(MID(AD22,9,2))))),""))</x:f>
      </x:c>
      <x:c r="AN22" s="24" t="str">
        <x:f>IF(AM22="","",INT('Configuration'!$B$4)-AM22)</x:f>
      </x:c>
      <x:c r="AO22" s="25" t="str">
        <x:f>IF(AM22="","Missing Required Date",IF(AN22&lt;0,"Future Date",IF(AN22=0,"0 days",IF(AN22&lt;=2,"1-2 days",IF(AN22&lt;=7,"3-7 days",IF(AN22&lt;=14,"8-14 days",IF(AN22&lt;=30,"15-30 days",IF(AN22&lt;=60,"31-60 days",IF(AN22&lt;=70,"61-70 days","71+ days")))))))))</x:f>
        <x:v>Missing Required Date</x:v>
      </x:c>
      <x:c r="AP22" s="25" t="str">
        <x:f>IF(OR(E22="processing",E22="executing",E22="pending"),IF(AM22="","Required aging date missing",IF(AN22&gt;30,"Escalate &gt;30d",IF(AN22&gt;14,"Watch &gt;14d","Within 14d"))),"Out of scope")</x:f>
        <x:v>Out of scope</x:v>
      </x:c>
    </x:row>
    <x:row r="23" ht="24" customHeight="1">
      <x:c r="A23" t="str">
        <x:v>5daca592-0d7f-456b-bd6b-f321998778ed</x:v>
      </x:c>
      <x:c r="B23" t="str">
        <x:v>CSSP10971128</x:v>
      </x:c>
      <x:c r="C23" t="str">
        <x:v>hadi.hairi@petronas.com</x:v>
      </x:c>
      <x:c r="D23" t="str">
        <x:v>provision-cloud-public</x:v>
      </x:c>
      <x:c r="E23" t="str">
        <x:v>completed</x:v>
      </x:c>
      <x:c r="F23" t="n">
        <x:v>46010.294650474534</x:v>
      </x:c>
      <x:c r="G23" t="n">
        <x:v>46014.10077710648</x:v>
      </x:c>
      <x:c r="H23" t="n">
        <x:v>46031.279839560186</x:v>
      </x:c>
      <x:c r="I23" t="str">
        <x:v>A-001312</x:v>
      </x:c>
      <x:c r="J23" t="str">
        <x:v>DSSR 3.0 Proof of Value of Data Exchange Agreement (POC)</x:v>
      </x:c>
      <x:c r="K23" t="str">
        <x:v>SR00239</x:v>
      </x:c>
      <x:c r="L23" t="str">
        <x:v>Digital Sustainability Strategy review 3.0 | Proof of Value of Data Exchange Agreement (WS2)</x:v>
      </x:c>
      <x:c r="M23" t="str">
        <x:v>sahrilnizam.ismail@petronas.com</x:v>
      </x:c>
      <x:c r="N23" t="str">
        <x:v>Proof of Value of Data Exchange Agreement (WS2)</x:v>
      </x:c>
      <x:c r="O23" t="str">
        <x:v>New</x:v>
      </x:c>
      <x:c r="P23" t="str">
        <x:v>SandboxPocPetronet</x:v>
      </x:c>
      <x:c r="Q23" t="str">
        <x:v>Proof of Concept. Will decommission these resources once the POC has been completed. </x:v>
      </x:c>
      <x:c r="R23" t="str">
        <x:v>M</x:v>
      </x:c>
      <x:c r="S23"/>
      <x:c r="T23"/>
      <x:c r="U23" t="str">
        <x:v>Reviewed</x:v>
      </x:c>
      <x:c r="V23" t="n">
        <x:v>46014.108131898145</x:v>
      </x:c>
      <x:c r="W23" t="str">
        <x:v>sahrilnizam.ismail@petronas.com</x:v>
      </x:c>
      <x:c r="X23" t="str">
        <x:v>approved</x:v>
      </x:c>
      <x:c r="Y23" t="str">
        <x:v>Good to go</x:v>
      </x:c>
      <x:c r="Z23" t="n">
        <x:v>46029.12518074074</x:v>
      </x:c>
      <x:c r="AA23" t="str">
        <x:v>samsuddin.jumbri@petronas.com</x:v>
      </x:c>
      <x:c r="AB23" t="str">
        <x:v>approved</x:v>
      </x:c>
      <x:c r="AC23" t="str">
        <x:v>PoC AWS / non-prod</x:v>
      </x:c>
      <x:c r="AD23" t="n">
        <x:v>46029.30112133102</x:v>
      </x:c>
      <x:c r="AE23" t="str">
        <x:v>syazali.saad@petronas.com</x:v>
      </x:c>
      <x:c r="AF23" t="str">
        <x:v>approved</x:v>
      </x:c>
      <x:c r="AG23" t="str">
        <x:v>Completed</x:v>
      </x:c>
      <x:c r="AH23" t="n">
        <x:v>46031.279839560186</x:v>
      </x:c>
      <x:c r="AI23" t="str">
        <x:v>badri.shaharudin@petronas.com</x:v>
      </x:c>
      <x:c r="AJ23" t="str">
        <x:v>approved</x:v>
      </x:c>
      <x:c r="AK23" t="str">
        <x:v>REQ000007795526</x:v>
      </x:c>
      <x:c r="AL23" t="str">
        <x:v>70e10157-5594-4696-b5ae-987d65a7fa56</x:v>
      </x:c>
      <x:c r="AM23" s="23" t="str">
        <x:f>IF(E23="processing",IF(Z23="","",IF(ISNUMBER(Z23),INT(Z23),DATE(VALUE(LEFT(Z23,4)),VALUE(MID(Z23,6,2)),VALUE(MID(Z23,9,2))))),IF(OR(E23="executing",E23="pending"),IF(AD23="","",IF(ISNUMBER(AD23),INT(AD23),DATE(VALUE(LEFT(AD23,4)),VALUE(MID(AD23,6,2)),VALUE(MID(AD23,9,2))))),""))</x:f>
      </x:c>
      <x:c r="AN23" s="24" t="str">
        <x:f>IF(AM23="","",INT('Configuration'!$B$4)-AM23)</x:f>
      </x:c>
      <x:c r="AO23" s="25" t="str">
        <x:f>IF(AM23="","Missing Required Date",IF(AN23&lt;0,"Future Date",IF(AN23=0,"0 days",IF(AN23&lt;=2,"1-2 days",IF(AN23&lt;=7,"3-7 days",IF(AN23&lt;=14,"8-14 days",IF(AN23&lt;=30,"15-30 days",IF(AN23&lt;=60,"31-60 days",IF(AN23&lt;=70,"61-70 days","71+ days")))))))))</x:f>
        <x:v>Missing Required Date</x:v>
      </x:c>
      <x:c r="AP23" s="25" t="str">
        <x:f>IF(OR(E23="processing",E23="executing",E23="pending"),IF(AM23="","Required aging date missing",IF(AN23&gt;30,"Escalate &gt;30d",IF(AN23&gt;14,"Watch &gt;14d","Within 14d"))),"Out of scope")</x:f>
        <x:v>Out of scope</x:v>
      </x:c>
    </x:row>
    <x:row r="24" ht="24" customHeight="1">
      <x:c r="A24" t="str">
        <x:v>332dd88c-6ac4-40ae-a831-e5d962aa59c5</x:v>
      </x:c>
      <x:c r="B24" t="str">
        <x:v>CSSP10357282</x:v>
      </x:c>
      <x:c r="C24" t="str">
        <x:v>nursalikeen.saparai@petronas.com</x:v>
      </x:c>
      <x:c r="D24" t="str">
        <x:v>provision-cloud-public</x:v>
      </x:c>
      <x:c r="E24" t="str">
        <x:v>completed</x:v>
      </x:c>
      <x:c r="F24" t="n">
        <x:v>46013.11288774305</x:v>
      </x:c>
      <x:c r="G24" t="n">
        <x:v>46013.11288774305</x:v>
      </x:c>
      <x:c r="H24" t="n">
        <x:v>46036.3055299537</x:v>
      </x:c>
      <x:c r="I24" t="str">
        <x:v>A-000045</x:v>
      </x:c>
      <x:c r="J24" t="str">
        <x:v>Alpha Oil</x:v>
      </x:c>
      <x:c r="K24" t="n">
        <x:v>3948</x:v>
      </x:c>
      <x:c r="L24" t="str">
        <x:v>Support Services of Alpha Oil – WS2 DevSecOps for Malaysia Petroleum Management (MPM)</x:v>
      </x:c>
      <x:c r="M24" t="str">
        <x:v>yngsheng.toh@petronas.com</x:v>
      </x:c>
      <x:c r="N24" t="str">
        <x:v>Alpha Oil</x:v>
      </x:c>
      <x:c r="O24" t="str">
        <x:v>New</x:v>
      </x:c>
      <x:c r="P24" t="str">
        <x:v>Development</x:v>
      </x:c>
      <x:c r="Q24" t="str">
        <x:v>To provision Azure Data Factory and Azure Function for development environment only. The new Azure Function will be used to serve Azure Data Factory endpoints.</x:v>
      </x:c>
      <x:c r="R24" t="str">
        <x:v>M</x:v>
      </x:c>
      <x:c r="S24"/>
      <x:c r="T24"/>
      <x:c r="U24" t="str">
        <x:v>Please proceed.</x:v>
      </x:c>
      <x:c r="V24" t="n">
        <x:v>46013.36782488426</x:v>
      </x:c>
      <x:c r="W24" t="str">
        <x:v>yngsheng.toh@petronas.com</x:v>
      </x:c>
      <x:c r="X24" t="str">
        <x:v>approved</x:v>
      </x:c>
      <x:c r="Y24" t="str">
        <x:v>Based on the email correspondence, the business owner has confirmed agreement to proceed with the deployment of resources, replacing Talend with Azure Data Factory.</x:v>
      </x:c>
      <x:c r="Z24" t="n">
        <x:v>46029.11864201389</x:v>
      </x:c>
      <x:c r="AA24" t="str">
        <x:v>samsuddin.jumbri@petronas.com</x:v>
      </x:c>
      <x:c r="AB24" t="str">
        <x:v>approved</x:v>
      </x:c>
      <x:c r="AC24" t="str">
        <x:v>df and azure function.
PTAZSG-IAC-DEV-ALPHA-OIL-RG</x:v>
      </x:c>
      <x:c r="AD24" t="n">
        <x:v>46029.14784722222</x:v>
      </x:c>
      <x:c r="AE24" t="str">
        <x:v>syazali.saad@petronas.com</x:v>
      </x:c>
      <x:c r="AF24" t="str">
        <x:v>approved</x:v>
      </x:c>
      <x:c r="AG24" t="str">
        <x:v>completed</x:v>
      </x:c>
      <x:c r="AH24" t="n">
        <x:v>46036.3055299537</x:v>
      </x:c>
      <x:c r="AI24" t="str">
        <x:v>akhmal.roslan@petronas.com</x:v>
      </x:c>
      <x:c r="AJ24" t="str">
        <x:v>approved</x:v>
      </x:c>
      <x:c r="AK24" t="str">
        <x:v>REQ000007794177</x:v>
      </x:c>
      <x:c r="AL24" t="str">
        <x:v>068bb9e2-7634-4ac4-b94c-0a9bb274301b</x:v>
      </x:c>
      <x:c r="AM24" s="23" t="str">
        <x:f>IF(E24="processing",IF(Z24="","",IF(ISNUMBER(Z24),INT(Z24),DATE(VALUE(LEFT(Z24,4)),VALUE(MID(Z24,6,2)),VALUE(MID(Z24,9,2))))),IF(OR(E24="executing",E24="pending"),IF(AD24="","",IF(ISNUMBER(AD24),INT(AD24),DATE(VALUE(LEFT(AD24,4)),VALUE(MID(AD24,6,2)),VALUE(MID(AD24,9,2))))),""))</x:f>
      </x:c>
      <x:c r="AN24" s="24" t="str">
        <x:f>IF(AM24="","",INT('Configuration'!$B$4)-AM24)</x:f>
      </x:c>
      <x:c r="AO24" s="25" t="str">
        <x:f>IF(AM24="","Missing Required Date",IF(AN24&lt;0,"Future Date",IF(AN24=0,"0 days",IF(AN24&lt;=2,"1-2 days",IF(AN24&lt;=7,"3-7 days",IF(AN24&lt;=14,"8-14 days",IF(AN24&lt;=30,"15-30 days",IF(AN24&lt;=60,"31-60 days",IF(AN24&lt;=70,"61-70 days","71+ days")))))))))</x:f>
        <x:v>Missing Required Date</x:v>
      </x:c>
      <x:c r="AP24" s="25" t="str">
        <x:f>IF(OR(E24="processing",E24="executing",E24="pending"),IF(AM24="","Required aging date missing",IF(AN24&gt;30,"Escalate &gt;30d",IF(AN24&gt;14,"Watch &gt;14d","Within 14d"))),"Out of scope")</x:f>
        <x:v>Out of scope</x:v>
      </x:c>
    </x:row>
    <x:row r="25" ht="24" customHeight="1">
      <x:c r="A25" t="str">
        <x:v>b95199cd-799f-4205-8ce1-a63827b7efa9</x:v>
      </x:c>
      <x:c r="B25" t="str">
        <x:v>CSSP10868310</x:v>
      </x:c>
      <x:c r="C25" t="str">
        <x:v>ungkuahmadimran.ung@petronas.com</x:v>
      </x:c>
      <x:c r="D25" t="str">
        <x:v>provision-cloud-public</x:v>
      </x:c>
      <x:c r="E25" t="str">
        <x:v>completed</x:v>
      </x:c>
      <x:c r="F25" t="n">
        <x:v>46014.099643194444</x:v>
      </x:c>
      <x:c r="G25" t="n">
        <x:v>46014.099643194444</x:v>
      </x:c>
      <x:c r="H25" t="n">
        <x:v>46034.088129791664</x:v>
      </x:c>
      <x:c r="I25" t="str">
        <x:v>P-000006</x:v>
      </x:c>
      <x:c r="J25" t="str">
        <x:v>OpenText</x:v>
      </x:c>
      <x:c r="K25" t="n">
        <x:v>426</x:v>
      </x:c>
      <x:c r="L25" t="str">
        <x:v>Upgrade of Opentext Enterprise Context Management (ECM) and Business Process Management (BPM) for PETRONAS</x:v>
      </x:c>
      <x:c r="M25" t="str">
        <x:v>samsuddin.abdaziz@petronas.com.my</x:v>
      </x:c>
      <x:c r="N25" t="str">
        <x:v>OpenText</x:v>
      </x:c>
      <x:c r="O25" t="str">
        <x:v>New</x:v>
      </x:c>
      <x:c r="P25" t="str">
        <x:v>Production</x:v>
      </x:c>
      <x:c r="Q25" t="str">
        <x:v>UIP is configured to store index backups in a non production storage account, and the connection between production and non production resources is no longer permitted. This new provisioning for FileShare storage account will be replace the non compliant setup.</x:v>
      </x:c>
      <x:c r="R25" t="str">
        <x:v>S</x:v>
      </x:c>
      <x:c r="S25"/>
      <x:c r="T25"/>
      <x:c r="U25" t="str">
        <x:v>Reviewed and approved the request to fix the non-compliance setup and mitigate the system performance issue.</x:v>
      </x:c>
      <x:c r="V25" t="n">
        <x:v>46014.190956782404</x:v>
      </x:c>
      <x:c r="W25" t="str">
        <x:v>samsuddin.abdaziz@petronas.com</x:v>
      </x:c>
      <x:c r="X25" t="str">
        <x:v>approved</x:v>
      </x:c>
      <x:c r="Y25" t="str">
        <x:v>Good to go</x:v>
      </x:c>
      <x:c r="Z25" t="n">
        <x:v>46029.1208359838</x:v>
      </x:c>
      <x:c r="AA25" t="str">
        <x:v>samsuddin.jumbri@petronas.com</x:v>
      </x:c>
      <x:c r="AB25" t="str">
        <x:v>approved</x:v>
      </x:c>
      <x:c r="AC25" t="str">
        <x:v>deploy new storage account ptazsg1ecmfs02.
ptazsg-prod-ot-rg
clickops</x:v>
      </x:c>
      <x:c r="AD25" t="n">
        <x:v>46029.28968326389</x:v>
      </x:c>
      <x:c r="AE25" t="str">
        <x:v>syazali.saad@petronas.com</x:v>
      </x:c>
      <x:c r="AF25" t="str">
        <x:v>approved</x:v>
      </x:c>
      <x:c r="AG25" t="str">
        <x:v>Completed.</x:v>
      </x:c>
      <x:c r="AH25" t="n">
        <x:v>46034.088129791664</x:v>
      </x:c>
      <x:c r="AI25" t="str">
        <x:v>izham.ajmaan@petronas.com</x:v>
      </x:c>
      <x:c r="AJ25" t="str">
        <x:v>approved</x:v>
      </x:c>
      <x:c r="AK25" t="str">
        <x:v>REQ000007794808</x:v>
      </x:c>
      <x:c r="AL25" t="str">
        <x:v>de37ed9b-d8c1-4b5d-ac53-e8e182d20f22</x:v>
      </x:c>
      <x:c r="AM25" s="23" t="str">
        <x:f>IF(E25="processing",IF(Z25="","",IF(ISNUMBER(Z25),INT(Z25),DATE(VALUE(LEFT(Z25,4)),VALUE(MID(Z25,6,2)),VALUE(MID(Z25,9,2))))),IF(OR(E25="executing",E25="pending"),IF(AD25="","",IF(ISNUMBER(AD25),INT(AD25),DATE(VALUE(LEFT(AD25,4)),VALUE(MID(AD25,6,2)),VALUE(MID(AD25,9,2))))),""))</x:f>
      </x:c>
      <x:c r="AN25" s="24" t="str">
        <x:f>IF(AM25="","",INT('Configuration'!$B$4)-AM25)</x:f>
      </x:c>
      <x:c r="AO25" s="25" t="str">
        <x:f>IF(AM25="","Missing Required Date",IF(AN25&lt;0,"Future Date",IF(AN25=0,"0 days",IF(AN25&lt;=2,"1-2 days",IF(AN25&lt;=7,"3-7 days",IF(AN25&lt;=14,"8-14 days",IF(AN25&lt;=30,"15-30 days",IF(AN25&lt;=60,"31-60 days",IF(AN25&lt;=70,"61-70 days","71+ days")))))))))</x:f>
        <x:v>Missing Required Date</x:v>
      </x:c>
      <x:c r="AP25" s="25" t="str">
        <x:f>IF(OR(E25="processing",E25="executing",E25="pending"),IF(AM25="","Required aging date missing",IF(AN25&gt;30,"Escalate &gt;30d",IF(AN25&gt;14,"Watch &gt;14d","Within 14d"))),"Out of scope")</x:f>
        <x:v>Out of scope</x:v>
      </x:c>
    </x:row>
    <x:row r="26" ht="24" customHeight="1">
      <x:c r="A26" t="str">
        <x:v>7915320d-f1bd-400c-beb6-5012a78cf12c</x:v>
      </x:c>
      <x:c r="B26" t="str">
        <x:v>CSSP10556410</x:v>
      </x:c>
      <x:c r="C26" t="str">
        <x:v>norhamizah.hasni@petronas.com</x:v>
      </x:c>
      <x:c r="D26" t="str">
        <x:v>provision-cloud-public</x:v>
      </x:c>
      <x:c r="E26" t="str">
        <x:v>completed</x:v>
      </x:c>
      <x:c r="F26" t="n">
        <x:v>46015.34305746528</x:v>
      </x:c>
      <x:c r="G26" t="n">
        <x:v>46017.06394986111</x:v>
      </x:c>
      <x:c r="H26" t="n">
        <x:v>46036.127110520836</x:v>
      </x:c>
      <x:c r="I26" t="str">
        <x:v>A-001313</x:v>
      </x:c>
      <x:c r="J26" t="str">
        <x:v>PLI ACS</x:v>
      </x:c>
      <x:c r="K26" t="str">
        <x:v>SR25040</x:v>
      </x:c>
      <x:c r="L26" t="str">
        <x:v>Migration of SMTP Basic Authentication to Azure Communication Services for PLISB</x:v>
      </x:c>
      <x:c r="M26" t="str">
        <x:v>mhaslan.abuhassan@petronas.com</x:v>
      </x:c>
      <x:c r="N26" t="str">
        <x:v>ACS PLI</x:v>
      </x:c>
      <x:c r="O26" t="str">
        <x:v>New</x:v>
      </x:c>
      <x:c r="P26" t="str">
        <x:v>Production</x:v>
      </x:c>
      <x:c r="Q26" t="str">
        <x:v>To provision new Azure Communication Services for PLISB</x:v>
      </x:c>
      <x:c r="R26" t="str">
        <x:v>S</x:v>
      </x:c>
      <x:c r="S26"/>
      <x:c r="T26"/>
      <x:c r="U26" t="str">
        <x:v>acs project implementation for PLI</x:v>
      </x:c>
      <x:c r="V26" t="n">
        <x:v>46017.093234837965</x:v>
      </x:c>
      <x:c r="W26" t="str">
        <x:v>mhaslan.abuhassan@petronas.com</x:v>
      </x:c>
      <x:c r="X26" t="str">
        <x:v>approved</x:v>
      </x:c>
      <x:c r="Y26" t="str">
        <x:v>Provision new Azure Communication Services for PLISB</x:v>
      </x:c>
      <x:c r="Z26" t="n">
        <x:v>46017.29110375</x:v>
      </x:c>
      <x:c r="AA26" t="str">
        <x:v>norhamizah.hasni@petronas.com</x:v>
      </x:c>
      <x:c r="AB26" t="str">
        <x:v>approved</x:v>
      </x:c>
      <x:c r="AC26" t="str">
        <x:v>.</x:v>
      </x:c>
      <x:c r="AD26" t="n">
        <x:v>46027.12900597222</x:v>
      </x:c>
      <x:c r="AE26" t="str">
        <x:v>syazali.saad@petronas.com</x:v>
      </x:c>
      <x:c r="AF26" t="str">
        <x:v>approved</x:v>
      </x:c>
      <x:c r="AG26" t="str">
        <x:v>resources provisioned</x:v>
      </x:c>
      <x:c r="AH26" t="n">
        <x:v>46036.127110532405</x:v>
      </x:c>
      <x:c r="AI26" t="str">
        <x:v>mhafizi.madnan@petronas.com</x:v>
      </x:c>
      <x:c r="AJ26" t="str">
        <x:v>approved</x:v>
      </x:c>
      <x:c r="AK26" t="str">
        <x:v>REQ000007785777</x:v>
      </x:c>
      <x:c r="AL26" t="str">
        <x:v>924e275a-e1c4-449a-81db-f3c153a73231</x:v>
      </x:c>
      <x:c r="AM26" s="23" t="str">
        <x:f>IF(E26="processing",IF(Z26="","",IF(ISNUMBER(Z26),INT(Z26),DATE(VALUE(LEFT(Z26,4)),VALUE(MID(Z26,6,2)),VALUE(MID(Z26,9,2))))),IF(OR(E26="executing",E26="pending"),IF(AD26="","",IF(ISNUMBER(AD26),INT(AD26),DATE(VALUE(LEFT(AD26,4)),VALUE(MID(AD26,6,2)),VALUE(MID(AD26,9,2))))),""))</x:f>
      </x:c>
      <x:c r="AN26" s="24" t="str">
        <x:f>IF(AM26="","",INT('Configuration'!$B$4)-AM26)</x:f>
      </x:c>
      <x:c r="AO26" s="25" t="str">
        <x:f>IF(AM26="","Missing Required Date",IF(AN26&lt;0,"Future Date",IF(AN26=0,"0 days",IF(AN26&lt;=2,"1-2 days",IF(AN26&lt;=7,"3-7 days",IF(AN26&lt;=14,"8-14 days",IF(AN26&lt;=30,"15-30 days",IF(AN26&lt;=60,"31-60 days",IF(AN26&lt;=70,"61-70 days","71+ days")))))))))</x:f>
        <x:v>Missing Required Date</x:v>
      </x:c>
      <x:c r="AP26" s="25" t="str">
        <x:f>IF(OR(E26="processing",E26="executing",E26="pending"),IF(AM26="","Required aging date missing",IF(AN26&gt;30,"Escalate &gt;30d",IF(AN26&gt;14,"Watch &gt;14d","Within 14d"))),"Out of scope")</x:f>
        <x:v>Out of scope</x:v>
      </x:c>
    </x:row>
    <x:row r="27" ht="24" customHeight="1">
      <x:c r="A27" t="str">
        <x:v>e9ecc3de-7e08-43d4-814f-c8a241a7eced</x:v>
      </x:c>
      <x:c r="B27" t="str">
        <x:v>CSSP10571003</x:v>
      </x:c>
      <x:c r="C27" t="str">
        <x:v>shahrulrizal.said@petronas.com</x:v>
      </x:c>
      <x:c r="D27" t="str">
        <x:v>provision-cloud-public</x:v>
      </x:c>
      <x:c r="E27" t="str">
        <x:v>completed</x:v>
      </x:c>
      <x:c r="F27" t="n">
        <x:v>46019.58830335648</x:v>
      </x:c>
      <x:c r="G27" t="n">
        <x:v>46019.588921574075</x:v>
      </x:c>
      <x:c r="H27" t="n">
        <x:v>46043.04597944445</x:v>
      </x:c>
      <x:c r="I27" t="str">
        <x:v>A-000355</x:v>
      </x:c>
      <x:c r="J27" t="str">
        <x:v>HSE Intelligence Pod Multimodal AI Vision / Voice - HIPVISION</x:v>
      </x:c>
      <x:c r="K27" t="n">
        <x:v>3578</x:v>
      </x:c>
      <x:c r="L27" t="str">
        <x:v>Development of HSE Intelligence Pod (HIP) Multimodal AI (Vision, Voice)</x:v>
      </x:c>
      <x:c r="M27" t="str">
        <x:v>josephine.danielbav@petronas.com.my</x:v>
      </x:c>
      <x:c r="N27" t="str">
        <x:v>HIP Vision AI</x:v>
      </x:c>
      <x:c r="O27" t="str">
        <x:v>New</x:v>
      </x:c>
      <x:c r="P27" t="str">
        <x:v>StagingUat</x:v>
      </x:c>
      <x:c r="Q27" t="str">
        <x:v>New function apps in HIP UAT environment</x:v>
      </x:c>
      <x:c r="R27" t="str">
        <x:v>M</x:v>
      </x:c>
      <x:c r="S27"/>
      <x:c r="T27"/>
      <x:c r="U27" t="str">
        <x:v>Please proceed</x:v>
      </x:c>
      <x:c r="V27" t="n">
        <x:v>46024.12243621528</x:v>
      </x:c>
      <x:c r="W27" t="str">
        <x:v>josephine.danielbav@petronas.com</x:v>
      </x:c>
      <x:c r="X27" t="str">
        <x:v>approved</x:v>
      </x:c>
      <x:c r="Y27" t="str">
        <x:v>Good to go</x:v>
      </x:c>
      <x:c r="Z27" t="n">
        <x:v>46029.1272433912</x:v>
      </x:c>
      <x:c r="AA27" t="str">
        <x:v>samsuddin.jumbri@petronas.com</x:v>
      </x:c>
      <x:c r="AB27" t="str">
        <x:v>approved</x:v>
      </x:c>
      <x:c r="AC27" t="str">
        <x:v>CSSP10509086 CSSP10571003 - </x:v>
      </x:c>
      <x:c r="AD27" t="n">
        <x:v>46031.370311516206</x:v>
      </x:c>
      <x:c r="AE27" t="str">
        <x:v>syazali.saad@petronas.com</x:v>
      </x:c>
      <x:c r="AF27" t="str">
        <x:v>approved</x:v>
      </x:c>
      <x:c r="AG27" t="str">
        <x:v>Has created the Azure function app, ptazsg-4hipsdistream in the RG PTAZSG-IAC-UAT-HIPVISION-JAI-RG</x:v>
      </x:c>
      <x:c r="AH27" t="n">
        <x:v>46043.04597944445</x:v>
      </x:c>
      <x:c r="AI27" t="str">
        <x:v>yeonghunn.ho@petronas.com</x:v>
      </x:c>
      <x:c r="AJ27" t="str">
        <x:v>approved</x:v>
      </x:c>
      <x:c r="AK27" t="str">
        <x:v>REQ000007803716</x:v>
      </x:c>
      <x:c r="AL27" t="str">
        <x:v>ea9ff09d-7f7a-482f-a081-c07b99b496a2</x:v>
      </x:c>
      <x:c r="AM27" s="23" t="str">
        <x:f>IF(E27="processing",IF(Z27="","",IF(ISNUMBER(Z27),INT(Z27),DATE(VALUE(LEFT(Z27,4)),VALUE(MID(Z27,6,2)),VALUE(MID(Z27,9,2))))),IF(OR(E27="executing",E27="pending"),IF(AD27="","",IF(ISNUMBER(AD27),INT(AD27),DATE(VALUE(LEFT(AD27,4)),VALUE(MID(AD27,6,2)),VALUE(MID(AD27,9,2))))),""))</x:f>
      </x:c>
      <x:c r="AN27" s="24" t="str">
        <x:f>IF(AM27="","",INT('Configuration'!$B$4)-AM27)</x:f>
      </x:c>
      <x:c r="AO27" s="25" t="str">
        <x:f>IF(AM27="","Missing Required Date",IF(AN27&lt;0,"Future Date",IF(AN27=0,"0 days",IF(AN27&lt;=2,"1-2 days",IF(AN27&lt;=7,"3-7 days",IF(AN27&lt;=14,"8-14 days",IF(AN27&lt;=30,"15-30 days",IF(AN27&lt;=60,"31-60 days",IF(AN27&lt;=70,"61-70 days","71+ days")))))))))</x:f>
        <x:v>Missing Required Date</x:v>
      </x:c>
      <x:c r="AP27" s="25" t="str">
        <x:f>IF(OR(E27="processing",E27="executing",E27="pending"),IF(AM27="","Required aging date missing",IF(AN27&gt;30,"Escalate &gt;30d",IF(AN27&gt;14,"Watch &gt;14d","Within 14d"))),"Out of scope")</x:f>
        <x:v>Out of scope</x:v>
      </x:c>
    </x:row>
    <x:row r="28" ht="24" customHeight="1">
      <x:c r="A28" t="str">
        <x:v>c507aad2-d329-45d6-b097-f90d74fe0802</x:v>
      </x:c>
      <x:c r="B28" t="str">
        <x:v>CSSP10509086</x:v>
      </x:c>
      <x:c r="C28" t="str">
        <x:v>shahrulrizal.said@petronas.com</x:v>
      </x:c>
      <x:c r="D28" t="str">
        <x:v>provision-cloud-public</x:v>
      </x:c>
      <x:c r="E28" t="str">
        <x:v>completed</x:v>
      </x:c>
      <x:c r="F28" t="n">
        <x:v>46019.590001550925</x:v>
      </x:c>
      <x:c r="G28" t="n">
        <x:v>46019.590001550925</x:v>
      </x:c>
      <x:c r="H28" t="n">
        <x:v>46043.04671998842</x:v>
      </x:c>
      <x:c r="I28" t="str">
        <x:v>A-000355</x:v>
      </x:c>
      <x:c r="J28" t="str">
        <x:v>HSE Intelligence Pod Multimodal AI Vision / Voice - HIPVISION</x:v>
      </x:c>
      <x:c r="K28" t="n">
        <x:v>3578</x:v>
      </x:c>
      <x:c r="L28" t="str">
        <x:v>Development of HSE Intelligence Pod (HIP) Multimodal AI (Vision, Voice)</x:v>
      </x:c>
      <x:c r="M28" t="str">
        <x:v>josephine.danielbav@petronas.com.my</x:v>
      </x:c>
      <x:c r="N28" t="str">
        <x:v>HIP Vision AI</x:v>
      </x:c>
      <x:c r="O28" t="str">
        <x:v>New</x:v>
      </x:c>
      <x:c r="P28" t="str">
        <x:v>Production</x:v>
      </x:c>
      <x:c r="Q28" t="str">
        <x:v>New function apps in Production environment</x:v>
      </x:c>
      <x:c r="R28" t="str">
        <x:v>S</x:v>
      </x:c>
      <x:c r="S28"/>
      <x:c r="T28"/>
      <x:c r="U28" t="str">
        <x:v>Approved</x:v>
      </x:c>
      <x:c r="V28" t="n">
        <x:v>46027.25564050926</x:v>
      </x:c>
      <x:c r="W28" t="str">
        <x:v>josephine.danielbav@petronas.com</x:v>
      </x:c>
      <x:c r="X28" t="str">
        <x:v>approved</x:v>
      </x:c>
      <x:c r="Y28" t="str">
        <x:v>Good to go</x:v>
      </x:c>
      <x:c r="Z28" t="n">
        <x:v>46029.12776956018</x:v>
      </x:c>
      <x:c r="AA28" t="str">
        <x:v>samsuddin.jumbri@petronas.com</x:v>
      </x:c>
      <x:c r="AB28" t="str">
        <x:v>approved</x:v>
      </x:c>
      <x:c r="AC28" t="str">
        <x:v>CSSP10509086 CSSP10571003</x:v>
      </x:c>
      <x:c r="AD28" t="n">
        <x:v>46031.37016255787</x:v>
      </x:c>
      <x:c r="AE28" t="str">
        <x:v>syazali.saad@petronas.com</x:v>
      </x:c>
      <x:c r="AF28" t="str">
        <x:v>approved</x:v>
      </x:c>
      <x:c r="AG28" t="str">
        <x:v>Has created the Azure Function app, ptazsg-1hipsdistream in the RG PTAZSG-IAC-PROD-HIPVISION-JAI-RG</x:v>
      </x:c>
      <x:c r="AH28" t="n">
        <x:v>46043.04672</x:v>
      </x:c>
      <x:c r="AI28" t="str">
        <x:v>yeonghunn.ho@petronas.com</x:v>
      </x:c>
      <x:c r="AJ28" t="str">
        <x:v>approved</x:v>
      </x:c>
      <x:c r="AK28" t="str">
        <x:v>REQ000007803715</x:v>
      </x:c>
      <x:c r="AL28" t="str">
        <x:v>ea9ff09d-7f7a-482f-a081-c07b99b496a2</x:v>
      </x:c>
      <x:c r="AM28" s="23" t="str">
        <x:f>IF(E28="processing",IF(Z28="","",IF(ISNUMBER(Z28),INT(Z28),DATE(VALUE(LEFT(Z28,4)),VALUE(MID(Z28,6,2)),VALUE(MID(Z28,9,2))))),IF(OR(E28="executing",E28="pending"),IF(AD28="","",IF(ISNUMBER(AD28),INT(AD28),DATE(VALUE(LEFT(AD28,4)),VALUE(MID(AD28,6,2)),VALUE(MID(AD28,9,2))))),""))</x:f>
      </x:c>
      <x:c r="AN28" s="24" t="str">
        <x:f>IF(AM28="","",INT('Configuration'!$B$4)-AM28)</x:f>
      </x:c>
      <x:c r="AO28" s="25" t="str">
        <x:f>IF(AM28="","Missing Required Date",IF(AN28&lt;0,"Future Date",IF(AN28=0,"0 days",IF(AN28&lt;=2,"1-2 days",IF(AN28&lt;=7,"3-7 days",IF(AN28&lt;=14,"8-14 days",IF(AN28&lt;=30,"15-30 days",IF(AN28&lt;=60,"31-60 days",IF(AN28&lt;=70,"61-70 days","71+ days")))))))))</x:f>
        <x:v>Missing Required Date</x:v>
      </x:c>
      <x:c r="AP28" s="25" t="str">
        <x:f>IF(OR(E28="processing",E28="executing",E28="pending"),IF(AM28="","Required aging date missing",IF(AN28&gt;30,"Escalate &gt;30d",IF(AN28&gt;14,"Watch &gt;14d","Within 14d"))),"Out of scope")</x:f>
        <x:v>Out of scope</x:v>
      </x:c>
    </x:row>
    <x:row r="29" ht="24" customHeight="1">
      <x:c r="A29" t="str">
        <x:v>2dee6c18-2383-46ae-a71b-4bcaaee911fa</x:v>
      </x:c>
      <x:c r="B29" t="str">
        <x:v>CSSP10451453</x:v>
      </x:c>
      <x:c r="C29" t="str">
        <x:v>hadi.hairi@petronas.com</x:v>
      </x:c>
      <x:c r="D29" t="str">
        <x:v>provision-cloud-public</x:v>
      </x:c>
      <x:c r="E29" t="str">
        <x:v>rejected</x:v>
      </x:c>
      <x:c r="F29" t="n">
        <x:v>46020.06661581019</x:v>
      </x:c>
      <x:c r="G29" t="n">
        <x:v>46020.06661581019</x:v>
      </x:c>
      <x:c r="H29" t="n">
        <x:v>46063.41066673611</x:v>
      </x:c>
      <x:c r="I29" t="str">
        <x:v>A-000355</x:v>
      </x:c>
      <x:c r="J29" t="str">
        <x:v>HSE Intelligence Pod Multimodal AI Vision / Voice - HIPVISION</x:v>
      </x:c>
      <x:c r="K29" t="n">
        <x:v>3578</x:v>
      </x:c>
      <x:c r="L29" t="str">
        <x:v>Development of HSE Intelligence Pod (HIP) Multimodal AI (Vision, Voice)</x:v>
      </x:c>
      <x:c r="M29" t="str">
        <x:v>liang.kimmeng@petronas.com.my</x:v>
      </x:c>
      <x:c r="N29" t="str">
        <x:v>HIP Vision AI</x:v>
      </x:c>
      <x:c r="O29" t="str">
        <x:v>New</x:v>
      </x:c>
      <x:c r="P29" t="str">
        <x:v>Development</x:v>
      </x:c>
      <x:c r="Q29" t="str">
        <x:v>Deployment of gpt-image-1 in ptsg-5hipvison-openai located in PTAZSG-DEV-HIPVISION-JAI-RG.
</x:v>
      </x:c>
      <x:c r="R29" t="str">
        <x:v>S</x:v>
      </x:c>
      <x:c r="S29"/>
      <x:c r="T29"/>
      <x:c r="U29" t="str">
        <x:v>As per plan</x:v>
      </x:c>
      <x:c r="V29" t="n">
        <x:v>46020.09593891204</x:v>
      </x:c>
      <x:c r="W29" t="str">
        <x:v>liang.kimmeng@petronas.com</x:v>
      </x:c>
      <x:c r="X29" t="str">
        <x:v>approved</x:v>
      </x:c>
      <x:c r="Y29" t="str">
        <x:v>Good to go</x:v>
      </x:c>
      <x:c r="Z29" t="n">
        <x:v>46029.129927141206</x:v>
      </x:c>
      <x:c r="AA29" t="str">
        <x:v>samsuddin.jumbri@petronas.com</x:v>
      </x:c>
      <x:c r="AB29" t="str">
        <x:v>approved</x:v>
      </x:c>
      <x:c r="AC29" t="str">
        <x:v>OLZ.</x:v>
      </x:c>
      <x:c r="AD29" t="n">
        <x:v>46031.36899487268</x:v>
      </x:c>
      <x:c r="AE29" t="str">
        <x:v>syazali.saad@petronas.com</x:v>
      </x:c>
      <x:c r="AF29" t="str">
        <x:v>approved</x:v>
      </x:c>
      <x:c r="AG29"/>
      <x:c r="AH29" t="n">
        <x:v>46063.41066673611</x:v>
      </x:c>
      <x:c r="AI29" t="str">
        <x:v>ahmadfirdaus.adnan@petronas.com</x:v>
      </x:c>
      <x:c r="AJ29" t="str">
        <x:v>rejected</x:v>
      </x:c>
      <x:c r="AK29" t="str">
        <x:v>REQ000007804055</x:v>
      </x:c>
      <x:c r="AL29" t="str">
        <x:v>ea9ff09d-7f7a-482f-a081-c07b99b496a2</x:v>
      </x:c>
      <x:c r="AM29" s="23" t="str">
        <x:f>IF(E29="processing",IF(Z29="","",IF(ISNUMBER(Z29),INT(Z29),DATE(VALUE(LEFT(Z29,4)),VALUE(MID(Z29,6,2)),VALUE(MID(Z29,9,2))))),IF(OR(E29="executing",E29="pending"),IF(AD29="","",IF(ISNUMBER(AD29),INT(AD29),DATE(VALUE(LEFT(AD29,4)),VALUE(MID(AD29,6,2)),VALUE(MID(AD29,9,2))))),""))</x:f>
      </x:c>
      <x:c r="AN29" s="24" t="str">
        <x:f>IF(AM29="","",INT('Configuration'!$B$4)-AM29)</x:f>
      </x:c>
      <x:c r="AO29" s="25" t="str">
        <x:f>IF(AM29="","Missing Required Date",IF(AN29&lt;0,"Future Date",IF(AN29=0,"0 days",IF(AN29&lt;=2,"1-2 days",IF(AN29&lt;=7,"3-7 days",IF(AN29&lt;=14,"8-14 days",IF(AN29&lt;=30,"15-30 days",IF(AN29&lt;=60,"31-60 days",IF(AN29&lt;=70,"61-70 days","71+ days")))))))))</x:f>
        <x:v>Missing Required Date</x:v>
      </x:c>
      <x:c r="AP29" s="25" t="str">
        <x:f>IF(OR(E29="processing",E29="executing",E29="pending"),IF(AM29="","Required aging date missing",IF(AN29&gt;30,"Escalate &gt;30d",IF(AN29&gt;14,"Watch &gt;14d","Within 14d"))),"Out of scope")</x:f>
        <x:v>Out of scope</x:v>
      </x:c>
    </x:row>
    <x:row r="30" ht="24" customHeight="1">
      <x:c r="A30" t="str">
        <x:v>63d1814c-5dc1-4772-8e7f-984aa119a289</x:v>
      </x:c>
      <x:c r="B30" t="str">
        <x:v>CSSP10494922</x:v>
      </x:c>
      <x:c r="C30" t="str">
        <x:v>hadi.hairi@petronas.com</x:v>
      </x:c>
      <x:c r="D30" t="str">
        <x:v>provision-cloud-public</x:v>
      </x:c>
      <x:c r="E30" t="str">
        <x:v>completed</x:v>
      </x:c>
      <x:c r="F30" t="n">
        <x:v>46021.29724528935</x:v>
      </x:c>
      <x:c r="G30" t="n">
        <x:v>46021.29724528935</x:v>
      </x:c>
      <x:c r="H30" t="n">
        <x:v>46035.04392703703</x:v>
      </x:c>
      <x:c r="I30" t="str">
        <x:v>A-000355</x:v>
      </x:c>
      <x:c r="J30" t="str">
        <x:v>HSE Intelligence Pod Multimodal AI Vision / Voice - HIPVISION</x:v>
      </x:c>
      <x:c r="K30" t="n">
        <x:v>3578</x:v>
      </x:c>
      <x:c r="L30" t="str">
        <x:v>Development of HSE Intelligence Pod (HIP) Multimodal AI (Vision, Voice)</x:v>
      </x:c>
      <x:c r="M30" t="str">
        <x:v>liang.kimmeng@petronas.com.my</x:v>
      </x:c>
      <x:c r="N30" t="str">
        <x:v>HIP Vision AI</x:v>
      </x:c>
      <x:c r="O30" t="str">
        <x:v>New</x:v>
      </x:c>
      <x:c r="P30" t="str">
        <x:v>Development</x:v>
      </x:c>
      <x:c r="Q30" t="str">
        <x:v>Provisioning of 2 Separate Compute Instances in ptazsg-5ailabmlw01. Please assign HSE-AILAB-IZZAH to izzahmaisarah.moha@petronas.com.my.
And HSE-AILAB-ANGLEE to leetze.an@petronas.com.my.</x:v>
      </x:c>
      <x:c r="R30" t="str">
        <x:v>S</x:v>
      </x:c>
      <x:c r="S30"/>
      <x:c r="T30"/>
      <x:c r="U30" t="str">
        <x:v>as per plan</x:v>
      </x:c>
      <x:c r="V30" t="n">
        <x:v>46021.317614976855</x:v>
      </x:c>
      <x:c r="W30" t="str">
        <x:v>liang.kimmeng@petronas.com</x:v>
      </x:c>
      <x:c r="X30" t="str">
        <x:v>approved</x:v>
      </x:c>
      <x:c r="Y30" t="str">
        <x:v>Good to go</x:v>
      </x:c>
      <x:c r="Z30" t="n">
        <x:v>46029.132118194444</x:v>
      </x:c>
      <x:c r="AA30" t="str">
        <x:v>samsuddin.jumbri@petronas.com</x:v>
      </x:c>
      <x:c r="AB30" t="str">
        <x:v>approved</x:v>
      </x:c>
      <x:c r="AC30" t="str">
        <x:v>ML compute</x:v>
      </x:c>
      <x:c r="AD30" t="n">
        <x:v>46031.36766128472</x:v>
      </x:c>
      <x:c r="AE30" t="str">
        <x:v>syazali.saad@petronas.com</x:v>
      </x:c>
      <x:c r="AF30" t="str">
        <x:v>approved</x:v>
      </x:c>
      <x:c r="AG30" t="str">
        <x:v>Request done. </x:v>
      </x:c>
      <x:c r="AH30" t="n">
        <x:v>46035.04392704861</x:v>
      </x:c>
      <x:c r="AI30" t="str">
        <x:v>azhan.shazeli@petronas.com</x:v>
      </x:c>
      <x:c r="AJ30" t="str">
        <x:v>approved</x:v>
      </x:c>
      <x:c r="AK30" t="str">
        <x:v>REQ000007804054</x:v>
      </x:c>
      <x:c r="AL30" t="str">
        <x:v>ea9ff09d-7f7a-482f-a081-c07b99b496a2</x:v>
      </x:c>
      <x:c r="AM30" s="23" t="str">
        <x:f>IF(E30="processing",IF(Z30="","",IF(ISNUMBER(Z30),INT(Z30),DATE(VALUE(LEFT(Z30,4)),VALUE(MID(Z30,6,2)),VALUE(MID(Z30,9,2))))),IF(OR(E30="executing",E30="pending"),IF(AD30="","",IF(ISNUMBER(AD30),INT(AD30),DATE(VALUE(LEFT(AD30,4)),VALUE(MID(AD30,6,2)),VALUE(MID(AD30,9,2))))),""))</x:f>
      </x:c>
      <x:c r="AN30" s="24" t="str">
        <x:f>IF(AM30="","",INT('Configuration'!$B$4)-AM30)</x:f>
      </x:c>
      <x:c r="AO30" s="25" t="str">
        <x:f>IF(AM30="","Missing Required Date",IF(AN30&lt;0,"Future Date",IF(AN30=0,"0 days",IF(AN30&lt;=2,"1-2 days",IF(AN30&lt;=7,"3-7 days",IF(AN30&lt;=14,"8-14 days",IF(AN30&lt;=30,"15-30 days",IF(AN30&lt;=60,"31-60 days",IF(AN30&lt;=70,"61-70 days","71+ days")))))))))</x:f>
        <x:v>Missing Required Date</x:v>
      </x:c>
      <x:c r="AP30" s="25" t="str">
        <x:f>IF(OR(E30="processing",E30="executing",E30="pending"),IF(AM30="","Required aging date missing",IF(AN30&gt;30,"Escalate &gt;30d",IF(AN30&gt;14,"Watch &gt;14d","Within 14d"))),"Out of scope")</x:f>
        <x:v>Out of scope</x:v>
      </x:c>
    </x:row>
    <x:row r="31" ht="24" customHeight="1">
      <x:c r="A31" t="str">
        <x:v>dce1c7d6-5af4-4fcd-abdd-62148ec8fa6c</x:v>
      </x:c>
      <x:c r="B31" t="str">
        <x:v>CSSP10603892</x:v>
      </x:c>
      <x:c r="C31" t="str">
        <x:v>hadi.hairi@petronas.com</x:v>
      </x:c>
      <x:c r="D31" t="str">
        <x:v>provision-cloud-public</x:v>
      </x:c>
      <x:c r="E31" t="str">
        <x:v>pending</x:v>
      </x:c>
      <x:c r="F31" t="n">
        <x:v>46027.10926525463</x:v>
      </x:c>
      <x:c r="G31" t="n">
        <x:v>46027.109265266205</x:v>
      </x:c>
      <x:c r="H31" t="n">
        <x:v>46027.10926525463</x:v>
      </x:c>
      <x:c r="I31" t="str">
        <x:v>A-000355</x:v>
      </x:c>
      <x:c r="J31" t="str">
        <x:v>HSE Intelligence Pod Multimodal AI Vision / Voice - HIPVISION</x:v>
      </x:c>
      <x:c r="K31" t="n">
        <x:v>3578</x:v>
      </x:c>
      <x:c r="L31" t="str">
        <x:v>Development of HSE Intelligence Pod (HIP) Multimodal AI (Vision, Voice)</x:v>
      </x:c>
      <x:c r="M31" t="str">
        <x:v>liang.kimmeng@petronas.com.my</x:v>
      </x:c>
      <x:c r="N31" t="str">
        <x:v>HIP Vision AI</x:v>
      </x:c>
      <x:c r="O31" t="str">
        <x:v>New</x:v>
      </x:c>
      <x:c r="P31" t="str">
        <x:v>Development</x:v>
      </x:c>
      <x:c r="Q31" t="str">
        <x:v>Provisioning of 1 Compute Instances in ptazsg-5ailabmlw01. Please assign HSE-AILAB-IMRAN to ahmadimran.khairulsa@petronas.com.my</x:v>
      </x:c>
      <x:c r="R31"/>
      <x:c r="S31"/>
      <x:c r="T31"/>
      <x:c r="U31"/>
      <x:c r="V31"/>
      <x:c r="W31" t="str">
        <x:v>liang.kimmeng@petronas.com</x:v>
      </x:c>
      <x:c r="X31"/>
      <x:c r="Y31"/>
      <x:c r="Z31"/>
      <x:c r="AA31" t="str">
        <x:v>CCoE Demand</x:v>
      </x:c>
      <x:c r="AB31"/>
      <x:c r="AC31"/>
      <x:c r="AD31"/>
      <x:c r="AE31" t="str">
        <x:v>CCoE Business</x:v>
      </x:c>
      <x:c r="AF31"/>
      <x:c r="AG31"/>
      <x:c r="AH31"/>
      <x:c r="AI31" t="str">
        <x:v>CCoE Core Services (Public)</x:v>
      </x:c>
      <x:c r="AJ31"/>
      <x:c r="AK31"/>
      <x:c r="AL31" t="str">
        <x:v>ea9ff09d-7f7a-482f-a081-c07b99b496a2</x:v>
      </x:c>
      <x:c r="AM31" s="23" t="str">
        <x:f>IF(E31="processing",IF(Z31="","",IF(ISNUMBER(Z31),INT(Z31),DATE(VALUE(LEFT(Z31,4)),VALUE(MID(Z31,6,2)),VALUE(MID(Z31,9,2))))),IF(OR(E31="executing",E31="pending"),IF(AD31="","",IF(ISNUMBER(AD31),INT(AD31),DATE(VALUE(LEFT(AD31,4)),VALUE(MID(AD31,6,2)),VALUE(MID(AD31,9,2))))),""))</x:f>
      </x:c>
      <x:c r="AN31" s="24" t="str">
        <x:f>IF(AM31="","",INT('Configuration'!$B$4)-AM31)</x:f>
      </x:c>
      <x:c r="AO31" s="25" t="str">
        <x:f>IF(AM31="","Missing Required Date",IF(AN31&lt;0,"Future Date",IF(AN31=0,"0 days",IF(AN31&lt;=2,"1-2 days",IF(AN31&lt;=7,"3-7 days",IF(AN31&lt;=14,"8-14 days",IF(AN31&lt;=30,"15-30 days",IF(AN31&lt;=60,"31-60 days",IF(AN31&lt;=70,"61-70 days","71+ days")))))))))</x:f>
        <x:v>Missing Required Date</x:v>
      </x:c>
      <x:c r="AP31" s="25" t="str">
        <x:f>IF(OR(E31="processing",E31="executing",E31="pending"),IF(AM31="","Required aging date missing",IF(AN31&gt;30,"Escalate &gt;30d",IF(AN31&gt;14,"Watch &gt;14d","Within 14d"))),"Out of scope")</x:f>
        <x:v>Required aging date missing</x:v>
      </x:c>
    </x:row>
    <x:row r="32" ht="24" customHeight="1">
      <x:c r="A32" t="str">
        <x:v>fd5e7d27-deed-40e8-b11d-3cc760517878</x:v>
      </x:c>
      <x:c r="B32" t="str">
        <x:v>CSSP10577297</x:v>
      </x:c>
      <x:c r="C32" t="str">
        <x:v>taufiq.tomadan@petronas.com</x:v>
      </x:c>
      <x:c r="D32" t="str">
        <x:v>provision-cloud-public</x:v>
      </x:c>
      <x:c r="E32" t="str">
        <x:v>completed</x:v>
      </x:c>
      <x:c r="F32" t="n">
        <x:v>46028.251716527775</x:v>
      </x:c>
      <x:c r="G32" t="n">
        <x:v>46030.58443027778</x:v>
      </x:c>
      <x:c r="H32" t="n">
        <x:v>46052.36657884259</x:v>
      </x:c>
      <x:c r="I32" t="str">
        <x:v>A-000295</x:v>
      </x:c>
      <x:c r="J32" t="str">
        <x:v>Electronic Permit To Work - ePTW KPOC</x:v>
      </x:c>
      <x:c r="K32" t="str">
        <x:v> 02315_1</x:v>
      </x:c>
      <x:c r="L32" t="str">
        <x:v>Implementation of ePTW system and Support &amp; Maintenance for Kebabangan Petroleum Operating Company Sdn. Bhd (KPOC) for Virtus IP Sdn Bhd - ePTW Commercial (Production) (Formelrly known as: ePTW (KPOC))_(Managed)</x:v>
      </x:c>
      <x:c r="M32" t="str">
        <x:v>bryan.dewitt@petronas.com.my</x:v>
      </x:c>
      <x:c r="N32" t="str">
        <x:v>EPTW UAUC OSIS POINT for ENEOS Xplora</x:v>
      </x:c>
      <x:c r="O32" t="str">
        <x:v>New</x:v>
      </x:c>
      <x:c r="P32" t="str">
        <x:v>StagingUat</x:v>
      </x:c>
      <x:c r="Q32" t="str">
        <x:v>Requesting New Azure Cloud Resources for two applications; UAUC (Staging) &amp; OSIS (Staging). please refer file attached for details (Azure Cloud server detail, CSBIA, and SOW)</x:v>
      </x:c>
      <x:c r="R32" t="str">
        <x:v>M</x:v>
      </x:c>
      <x:c r="S32"/>
      <x:c r="T32"/>
      <x:c r="U32" t="str">
        <x:v>approved for vipsb resources</x:v>
      </x:c>
      <x:c r="V32" t="n">
        <x:v>46031.04132616898</x:v>
      </x:c>
      <x:c r="W32" t="str">
        <x:v>bryan.dewitt@petronas.com</x:v>
      </x:c>
      <x:c r="X32" t="str">
        <x:v>approved</x:v>
      </x:c>
      <x:c r="Y32" t="str">
        <x:v>Good to go</x:v>
      </x:c>
      <x:c r="Z32" t="n">
        <x:v>46036.0871634375</x:v>
      </x:c>
      <x:c r="AA32" t="str">
        <x:v>samsuddin.jumbri@petronas.com</x:v>
      </x:c>
      <x:c r="AB32" t="str">
        <x:v>approved</x:v>
      </x:c>
      <x:c r="AC32" t="str">
        <x:v>https://dev.azure.com/Digital-Delivery/EPTW%20UAUC%20OSIS%20POINT%20for%20ENEOS%20Xplora
</x:v>
      </x:c>
      <x:c r="AD32" t="n">
        <x:v>46036.16900414352</x:v>
      </x:c>
      <x:c r="AE32" t="str">
        <x:v>syazali.saad@petronas.com</x:v>
      </x:c>
      <x:c r="AF32" t="str">
        <x:v>approved</x:v>
      </x:c>
      <x:c r="AG32" t="str">
        <x:v>The New Azure Cloud Resources for two applications; UAUC (Staging) &amp; OSIS (Staging) has been provisioned</x:v>
      </x:c>
      <x:c r="AH32" t="n">
        <x:v>46052.36657885417</x:v>
      </x:c>
      <x:c r="AI32" t="str">
        <x:v>muhdfirdaus.muhamad@petronas.com</x:v>
      </x:c>
      <x:c r="AJ32" t="str">
        <x:v>approved</x:v>
      </x:c>
      <x:c r="AK32" t="str">
        <x:v>REQ000007814122</x:v>
      </x:c>
      <x:c r="AL32" t="str">
        <x:v>c2005f6a-1df6-405b-8f7f-1c709c1738b1</x:v>
      </x:c>
      <x:c r="AM32" s="23" t="str">
        <x:f>IF(E32="processing",IF(Z32="","",IF(ISNUMBER(Z32),INT(Z32),DATE(VALUE(LEFT(Z32,4)),VALUE(MID(Z32,6,2)),VALUE(MID(Z32,9,2))))),IF(OR(E32="executing",E32="pending"),IF(AD32="","",IF(ISNUMBER(AD32),INT(AD32),DATE(VALUE(LEFT(AD32,4)),VALUE(MID(AD32,6,2)),VALUE(MID(AD32,9,2))))),""))</x:f>
      </x:c>
      <x:c r="AN32" s="24" t="str">
        <x:f>IF(AM32="","",INT('Configuration'!$B$4)-AM32)</x:f>
      </x:c>
      <x:c r="AO32" s="25" t="str">
        <x:f>IF(AM32="","Missing Required Date",IF(AN32&lt;0,"Future Date",IF(AN32=0,"0 days",IF(AN32&lt;=2,"1-2 days",IF(AN32&lt;=7,"3-7 days",IF(AN32&lt;=14,"8-14 days",IF(AN32&lt;=30,"15-30 days",IF(AN32&lt;=60,"31-60 days",IF(AN32&lt;=70,"61-70 days","71+ days")))))))))</x:f>
        <x:v>Missing Required Date</x:v>
      </x:c>
      <x:c r="AP32" s="25" t="str">
        <x:f>IF(OR(E32="processing",E32="executing",E32="pending"),IF(AM32="","Required aging date missing",IF(AN32&gt;30,"Escalate &gt;30d",IF(AN32&gt;14,"Watch &gt;14d","Within 14d"))),"Out of scope")</x:f>
        <x:v>Out of scope</x:v>
      </x:c>
    </x:row>
    <x:row r="33" ht="24" customHeight="1">
      <x:c r="A33" t="str">
        <x:v>fbeaefe9-5924-4fd6-beb9-98ac0301d7cb</x:v>
      </x:c>
      <x:c r="B33" t="str">
        <x:v>CSSP10601579</x:v>
      </x:c>
      <x:c r="C33" t="str">
        <x:v>shahrulrizal.said@petronas.com</x:v>
      </x:c>
      <x:c r="D33" t="str">
        <x:v>provision-cloud-public</x:v>
      </x:c>
      <x:c r="E33" t="str">
        <x:v>completed</x:v>
      </x:c>
      <x:c r="F33" t="n">
        <x:v>46029.14098484954</x:v>
      </x:c>
      <x:c r="G33" t="n">
        <x:v>46029.14098484954</x:v>
      </x:c>
      <x:c r="H33" t="n">
        <x:v>46042.09728675926</x:v>
      </x:c>
      <x:c r="I33" t="str">
        <x:v>A-000354</x:v>
      </x:c>
      <x:c r="J33" t="str">
        <x:v>HSE Intelligence Pod - Smart Advisor - HIP SA</x:v>
      </x:c>
      <x:c r="K33" t="n">
        <x:v>4007</x:v>
      </x:c>
      <x:c r="L33" t="str">
        <x:v>HSE Intelligence Pod - Smart Advisor</x:v>
      </x:c>
      <x:c r="M33" t="str">
        <x:v>josephine.danielbav@petronas.com.my</x:v>
      </x:c>
      <x:c r="N33" t="str">
        <x:v>HIP.AI</x:v>
      </x:c>
      <x:c r="O33" t="str">
        <x:v>New</x:v>
      </x:c>
      <x:c r="P33" t="str">
        <x:v>Development</x:v>
      </x:c>
      <x:c r="Q33" t="str">
        <x:v>Request to add new AZ function as per attached</x:v>
      </x:c>
      <x:c r="R33" t="str">
        <x:v>S</x:v>
      </x:c>
      <x:c r="S33"/>
      <x:c r="T33"/>
      <x:c r="U33" t="str">
        <x:v>Approved</x:v>
      </x:c>
      <x:c r="V33" t="n">
        <x:v>46029.145506608795</x:v>
      </x:c>
      <x:c r="W33" t="str">
        <x:v>josephine.danielbav@petronas.com</x:v>
      </x:c>
      <x:c r="X33" t="str">
        <x:v>approved</x:v>
      </x:c>
      <x:c r="Y33" t="str">
        <x:v>Good to go</x:v>
      </x:c>
      <x:c r="Z33" t="n">
        <x:v>46030.30008403935</x:v>
      </x:c>
      <x:c r="AA33" t="str">
        <x:v>samsuddin.jumbri@petronas.com</x:v>
      </x:c>
      <x:c r="AB33" t="str">
        <x:v>approved</x:v>
      </x:c>
      <x:c r="AC33" t="str">
        <x:v>.</x:v>
      </x:c>
      <x:c r="AD33" t="n">
        <x:v>46037.364669965275</x:v>
      </x:c>
      <x:c r="AE33" t="str">
        <x:v>syazali.saad@petronas.com</x:v>
      </x:c>
      <x:c r="AF33" t="str">
        <x:v>approved</x:v>
      </x:c>
      <x:c r="AG33" t="str">
        <x:v>Completed.</x:v>
      </x:c>
      <x:c r="AH33" t="n">
        <x:v>46042.09728677083</x:v>
      </x:c>
      <x:c r="AI33" t="str">
        <x:v>izham.ajmaan@petronas.com</x:v>
      </x:c>
      <x:c r="AJ33" t="str">
        <x:v>approved</x:v>
      </x:c>
      <x:c r="AK33" t="str">
        <x:v>REQ000007819838</x:v>
      </x:c>
      <x:c r="AL33" t="str">
        <x:v>dffc798b-8629-447b-9c6c-13563df2b5ac</x:v>
      </x:c>
      <x:c r="AM33" s="23" t="str">
        <x:f>IF(E33="processing",IF(Z33="","",IF(ISNUMBER(Z33),INT(Z33),DATE(VALUE(LEFT(Z33,4)),VALUE(MID(Z33,6,2)),VALUE(MID(Z33,9,2))))),IF(OR(E33="executing",E33="pending"),IF(AD33="","",IF(ISNUMBER(AD33),INT(AD33),DATE(VALUE(LEFT(AD33,4)),VALUE(MID(AD33,6,2)),VALUE(MID(AD33,9,2))))),""))</x:f>
      </x:c>
      <x:c r="AN33" s="24" t="str">
        <x:f>IF(AM33="","",INT('Configuration'!$B$4)-AM33)</x:f>
      </x:c>
      <x:c r="AO33" s="25" t="str">
        <x:f>IF(AM33="","Missing Required Date",IF(AN33&lt;0,"Future Date",IF(AN33=0,"0 days",IF(AN33&lt;=2,"1-2 days",IF(AN33&lt;=7,"3-7 days",IF(AN33&lt;=14,"8-14 days",IF(AN33&lt;=30,"15-30 days",IF(AN33&lt;=60,"31-60 days",IF(AN33&lt;=70,"61-70 days","71+ days")))))))))</x:f>
        <x:v>Missing Required Date</x:v>
      </x:c>
      <x:c r="AP33" s="25" t="str">
        <x:f>IF(OR(E33="processing",E33="executing",E33="pending"),IF(AM33="","Required aging date missing",IF(AN33&gt;30,"Escalate &gt;30d",IF(AN33&gt;14,"Watch &gt;14d","Within 14d"))),"Out of scope")</x:f>
        <x:v>Out of scope</x:v>
      </x:c>
    </x:row>
    <x:row r="34" ht="24" customHeight="1">
      <x:c r="A34" t="str">
        <x:v>e40690ac-2919-4250-b33b-74feeb704eb3</x:v>
      </x:c>
      <x:c r="B34" t="str">
        <x:v>CSSP10794553</x:v>
      </x:c>
      <x:c r="C34" t="str">
        <x:v>shahrulrizal.said@petronas.com</x:v>
      </x:c>
      <x:c r="D34" t="str">
        <x:v>provision-cloud-public</x:v>
      </x:c>
      <x:c r="E34" t="str">
        <x:v>completed</x:v>
      </x:c>
      <x:c r="F34" t="n">
        <x:v>46029.143836875</x:v>
      </x:c>
      <x:c r="G34" t="n">
        <x:v>46029.143836875</x:v>
      </x:c>
      <x:c r="H34" t="n">
        <x:v>46052.06383466435</x:v>
      </x:c>
      <x:c r="I34" t="str">
        <x:v>A-000354</x:v>
      </x:c>
      <x:c r="J34" t="str">
        <x:v>HSE Intelligence Pod - Smart Advisor - HIP SA</x:v>
      </x:c>
      <x:c r="K34" t="n">
        <x:v>4007</x:v>
      </x:c>
      <x:c r="L34" t="str">
        <x:v>HSE Intelligence Pod - Smart Advisor</x:v>
      </x:c>
      <x:c r="M34" t="str">
        <x:v>josephine.danielbav@petronas.com.my</x:v>
      </x:c>
      <x:c r="N34" t="str">
        <x:v>HIP.AI</x:v>
      </x:c>
      <x:c r="O34" t="str">
        <x:v>New</x:v>
      </x:c>
      <x:c r="P34" t="str">
        <x:v>Production</x:v>
      </x:c>
      <x:c r="Q34" t="str">
        <x:v>New AZ function in production</x:v>
      </x:c>
      <x:c r="R34" t="str">
        <x:v>M</x:v>
      </x:c>
      <x:c r="S34"/>
      <x:c r="T34"/>
      <x:c r="U34" t="str">
        <x:v>Approve</x:v>
      </x:c>
      <x:c r="V34" t="n">
        <x:v>46029.1452078125</x:v>
      </x:c>
      <x:c r="W34" t="str">
        <x:v>josephine.danielbav@petronas.com</x:v>
      </x:c>
      <x:c r="X34" t="str">
        <x:v>approved</x:v>
      </x:c>
      <x:c r="Y34" t="str">
        <x:v>Good to go</x:v>
      </x:c>
      <x:c r="Z34" t="n">
        <x:v>46030.300406539354</x:v>
      </x:c>
      <x:c r="AA34" t="str">
        <x:v>samsuddin.jumbri@petronas.com</x:v>
      </x:c>
      <x:c r="AB34" t="str">
        <x:v>approved</x:v>
      </x:c>
      <x:c r="AC34" t="str">
        <x:v>.</x:v>
      </x:c>
      <x:c r="AD34" t="n">
        <x:v>46038.31028686342</x:v>
      </x:c>
      <x:c r="AE34" t="str">
        <x:v>syazali.saad@petronas.com</x:v>
      </x:c>
      <x:c r="AF34" t="str">
        <x:v>approved</x:v>
      </x:c>
      <x:c r="AG34" t="str">
        <x:v>Create new resource done. </x:v>
      </x:c>
      <x:c r="AH34" t="n">
        <x:v>46052.06383467592</x:v>
      </x:c>
      <x:c r="AI34" t="str">
        <x:v>azhan.shazeli@petronas.com</x:v>
      </x:c>
      <x:c r="AJ34" t="str">
        <x:v>approved</x:v>
      </x:c>
      <x:c r="AK34" t="str">
        <x:v>REQ000007822250</x:v>
      </x:c>
      <x:c r="AL34" t="str">
        <x:v>dffc798b-8629-447b-9c6c-13563df2b5ac</x:v>
      </x:c>
      <x:c r="AM34" s="23" t="str">
        <x:f>IF(E34="processing",IF(Z34="","",IF(ISNUMBER(Z34),INT(Z34),DATE(VALUE(LEFT(Z34,4)),VALUE(MID(Z34,6,2)),VALUE(MID(Z34,9,2))))),IF(OR(E34="executing",E34="pending"),IF(AD34="","",IF(ISNUMBER(AD34),INT(AD34),DATE(VALUE(LEFT(AD34,4)),VALUE(MID(AD34,6,2)),VALUE(MID(AD34,9,2))))),""))</x:f>
      </x:c>
      <x:c r="AN34" s="24" t="str">
        <x:f>IF(AM34="","",INT('Configuration'!$B$4)-AM34)</x:f>
      </x:c>
      <x:c r="AO34" s="25" t="str">
        <x:f>IF(AM34="","Missing Required Date",IF(AN34&lt;0,"Future Date",IF(AN34=0,"0 days",IF(AN34&lt;=2,"1-2 days",IF(AN34&lt;=7,"3-7 days",IF(AN34&lt;=14,"8-14 days",IF(AN34&lt;=30,"15-30 days",IF(AN34&lt;=60,"31-60 days",IF(AN34&lt;=70,"61-70 days","71+ days")))))))))</x:f>
        <x:v>Missing Required Date</x:v>
      </x:c>
      <x:c r="AP34" s="25" t="str">
        <x:f>IF(OR(E34="processing",E34="executing",E34="pending"),IF(AM34="","Required aging date missing",IF(AN34&gt;30,"Escalate &gt;30d",IF(AN34&gt;14,"Watch &gt;14d","Within 14d"))),"Out of scope")</x:f>
        <x:v>Out of scope</x:v>
      </x:c>
    </x:row>
    <x:row r="35" ht="24" customHeight="1">
      <x:c r="A35" t="str">
        <x:v>7f9adaa5-f387-4ddf-b676-a88d8c8db72e</x:v>
      </x:c>
      <x:c r="B35" t="str">
        <x:v>CSSP10347506</x:v>
      </x:c>
      <x:c r="C35" t="str">
        <x:v>natasha.lupang@petronas.com</x:v>
      </x:c>
      <x:c r="D35" t="str">
        <x:v>provision-cloud-public</x:v>
      </x:c>
      <x:c r="E35" t="str">
        <x:v>completed</x:v>
      </x:c>
      <x:c r="F35" t="n">
        <x:v>46029.16760851852</x:v>
      </x:c>
      <x:c r="G35" t="n">
        <x:v>46031.18630739583</x:v>
      </x:c>
      <x:c r="H35" t="n">
        <x:v>46042.1488409375</x:v>
      </x:c>
      <x:c r="I35" t="str">
        <x:v>A-000866</x:v>
      </x:c>
      <x:c r="J35" t="str">
        <x:v>Yayasan PETRONAS</x:v>
      </x:c>
      <x:c r="K35" t="str">
        <x:v>PSR05912</x:v>
      </x:c>
      <x:c r="L35" t="str">
        <x:v>Provisioning of Microsoft Azure Cloud for Yayasan PETRONAS Website for Yayasan PETRONAS</x:v>
      </x:c>
      <x:c r="M35" t="str">
        <x:v>shielynn.lim@petronas.com.my</x:v>
      </x:c>
      <x:c r="N35" t="str">
        <x:v>Cloud Migration</x:v>
      </x:c>
      <x:c r="O35" t="str">
        <x:v>New</x:v>
      </x:c>
      <x:c r="P35" t="str">
        <x:v>Production</x:v>
      </x:c>
      <x:c r="Q35" t="str">
        <x:v>to provision new server red hat 9.6 in replacing the EOL server (PTSG-1YSPwb01). Approval from HOD is as attached.</x:v>
      </x:c>
      <x:c r="R35" t="str">
        <x:v>S</x:v>
      </x:c>
      <x:c r="S35"/>
      <x:c r="T35"/>
      <x:c r="U35" t="str">
        <x:v>Approved &amp; team is to ensure the request for new server is expedited so as to allow for and ensure optimal YP website performance and timely content updates.</x:v>
      </x:c>
      <x:c r="V35" t="n">
        <x:v>46031.18892516204</x:v>
      </x:c>
      <x:c r="W35" t="str">
        <x:v>shielynn.lim@petronas.com</x:v>
      </x:c>
      <x:c r="X35" t="str">
        <x:v>approved</x:v>
      </x:c>
      <x:c r="Y35" t="str">
        <x:v>Good to go</x:v>
      </x:c>
      <x:c r="Z35" t="n">
        <x:v>46036.08842461806</x:v>
      </x:c>
      <x:c r="AA35" t="str">
        <x:v>samsuddin.jumbri@petronas.com</x:v>
      </x:c>
      <x:c r="AB35" t="str">
        <x:v>approved</x:v>
      </x:c>
      <x:c r="AC35" t="str">
        <x:v>ptazsg-prod-ysp-rg</x:v>
      </x:c>
      <x:c r="AD35" t="n">
        <x:v>46037.36045866898</x:v>
      </x:c>
      <x:c r="AE35" t="str">
        <x:v>syazali.saad@petronas.com</x:v>
      </x:c>
      <x:c r="AF35" t="str">
        <x:v>approved</x:v>
      </x:c>
      <x:c r="AG35" t="str">
        <x:v>Linux migration completed</x:v>
      </x:c>
      <x:c r="AH35" t="n">
        <x:v>46042.1488409375</x:v>
      </x:c>
      <x:c r="AI35" t="str">
        <x:v>fatinamirah.mjonik@petronas.com</x:v>
      </x:c>
      <x:c r="AJ35" t="str">
        <x:v>approved</x:v>
      </x:c>
      <x:c r="AK35" t="str">
        <x:v>REQ000007819502</x:v>
      </x:c>
      <x:c r="AL35" t="str">
        <x:v>0d817e47-fc88-4ab5-b5c9-d84574351cf0</x:v>
      </x:c>
      <x:c r="AM35" s="23" t="str">
        <x:f>IF(E35="processing",IF(Z35="","",IF(ISNUMBER(Z35),INT(Z35),DATE(VALUE(LEFT(Z35,4)),VALUE(MID(Z35,6,2)),VALUE(MID(Z35,9,2))))),IF(OR(E35="executing",E35="pending"),IF(AD35="","",IF(ISNUMBER(AD35),INT(AD35),DATE(VALUE(LEFT(AD35,4)),VALUE(MID(AD35,6,2)),VALUE(MID(AD35,9,2))))),""))</x:f>
      </x:c>
      <x:c r="AN35" s="24" t="str">
        <x:f>IF(AM35="","",INT('Configuration'!$B$4)-AM35)</x:f>
      </x:c>
      <x:c r="AO35" s="25" t="str">
        <x:f>IF(AM35="","Missing Required Date",IF(AN35&lt;0,"Future Date",IF(AN35=0,"0 days",IF(AN35&lt;=2,"1-2 days",IF(AN35&lt;=7,"3-7 days",IF(AN35&lt;=14,"8-14 days",IF(AN35&lt;=30,"15-30 days",IF(AN35&lt;=60,"31-60 days",IF(AN35&lt;=70,"61-70 days","71+ days")))))))))</x:f>
        <x:v>Missing Required Date</x:v>
      </x:c>
      <x:c r="AP35" s="25" t="str">
        <x:f>IF(OR(E35="processing",E35="executing",E35="pending"),IF(AM35="","Required aging date missing",IF(AN35&gt;30,"Escalate &gt;30d",IF(AN35&gt;14,"Watch &gt;14d","Within 14d"))),"Out of scope")</x:f>
        <x:v>Out of scope</x:v>
      </x:c>
    </x:row>
    <x:row r="36" ht="24" customHeight="1">
      <x:c r="A36" t="str">
        <x:v>f54f3cdf-9b03-4459-999a-9d1e27597115</x:v>
      </x:c>
      <x:c r="B36" t="str">
        <x:v>CSSP10636896</x:v>
      </x:c>
      <x:c r="C36" t="str">
        <x:v>mkhairulazhar.jamil@petronas.com</x:v>
      </x:c>
      <x:c r="D36" t="str">
        <x:v>provision-cloud-public</x:v>
      </x:c>
      <x:c r="E36" t="str">
        <x:v>completed</x:v>
      </x:c>
      <x:c r="F36" t="n">
        <x:v>46030.0947506713</x:v>
      </x:c>
      <x:c r="G36" t="n">
        <x:v>46036.156789305554</x:v>
      </x:c>
      <x:c r="H36" t="n">
        <x:v>46052.34768141204</x:v>
      </x:c>
      <x:c r="I36" t="str">
        <x:v>A-000124</x:v>
      </x:c>
      <x:c r="J36" t="str">
        <x:v>COMPASS</x:v>
      </x:c>
      <x:c r="K36" t="n">
        <x:v>1709</x:v>
      </x:c>
      <x:c r="L36" t="str">
        <x:v>COMPASS Phase 2</x:v>
      </x:c>
      <x:c r="M36" t="str">
        <x:v>amirshazlan.mshah@petronas.com.my</x:v>
      </x:c>
      <x:c r="N36" t="str">
        <x:v>COMPASS</x:v>
      </x:c>
      <x:c r="O36" t="str">
        <x:v>New</x:v>
      </x:c>
      <x:c r="P36" t="str">
        <x:v>Production</x:v>
      </x:c>
      <x:c r="Q36" t="str">
        <x:v>This is to request the migration of the non-compliant Ubuntu operating system currently running on 
PTSG-1CMPSap02 to RedHat. A new VM is required to be provisioned with the same specifications and disk configurations as PTSG-1CMPSap02, but with RedHat OS.
The new VM will use a new hostname and IP address. Once provisioned, the application team will conduct the migration activities. Upon successful migration, the decommissioning process for the old VM will be initiated.</x:v>
      </x:c>
      <x:c r="R36" t="str">
        <x:v>M</x:v>
      </x:c>
      <x:c r="S36"/>
      <x:c r="T36"/>
      <x:c r="U36" t="str">
        <x:v>approved</x:v>
      </x:c>
      <x:c r="V36" t="n">
        <x:v>46036.158328310186</x:v>
      </x:c>
      <x:c r="W36" t="str">
        <x:v>amirshazlan.mshah@petronas.com</x:v>
      </x:c>
      <x:c r="X36" t="str">
        <x:v>approved</x:v>
      </x:c>
      <x:c r="Y36" t="str">
        <x:v>Good to go</x:v>
      </x:c>
      <x:c r="Z36" t="n">
        <x:v>46038.1576018287</x:v>
      </x:c>
      <x:c r="AA36" t="str">
        <x:v>samsuddin.jumbri@petronas.com</x:v>
      </x:c>
      <x:c r="AB36" t="str">
        <x:v>approved</x:v>
      </x:c>
      <x:c r="AC36" t="str">
        <x:v>migration</x:v>
      </x:c>
      <x:c r="AD36" t="n">
        <x:v>46042.14890648148</x:v>
      </x:c>
      <x:c r="AE36" t="str">
        <x:v>syazali.saad@petronas.com</x:v>
      </x:c>
      <x:c r="AF36" t="str">
        <x:v>approved</x:v>
      </x:c>
      <x:c r="AG36" t="str">
        <x:v>virtual machine provisioned</x:v>
      </x:c>
      <x:c r="AH36" t="n">
        <x:v>46052.34768142361</x:v>
      </x:c>
      <x:c r="AI36" t="str">
        <x:v>mhafizi.madnan@petronas.com</x:v>
      </x:c>
      <x:c r="AJ36" t="str">
        <x:v>approved</x:v>
      </x:c>
      <x:c r="AK36" t="str">
        <x:v>REQ000007828107</x:v>
      </x:c>
      <x:c r="AL36" t="str">
        <x:v>90296959-c21f-48ac-8658-df869ee75354</x:v>
      </x:c>
      <x:c r="AM36" s="23" t="str">
        <x:f>IF(E36="processing",IF(Z36="","",IF(ISNUMBER(Z36),INT(Z36),DATE(VALUE(LEFT(Z36,4)),VALUE(MID(Z36,6,2)),VALUE(MID(Z36,9,2))))),IF(OR(E36="executing",E36="pending"),IF(AD36="","",IF(ISNUMBER(AD36),INT(AD36),DATE(VALUE(LEFT(AD36,4)),VALUE(MID(AD36,6,2)),VALUE(MID(AD36,9,2))))),""))</x:f>
      </x:c>
      <x:c r="AN36" s="24" t="str">
        <x:f>IF(AM36="","",INT('Configuration'!$B$4)-AM36)</x:f>
      </x:c>
      <x:c r="AO36" s="25" t="str">
        <x:f>IF(AM36="","Missing Required Date",IF(AN36&lt;0,"Future Date",IF(AN36=0,"0 days",IF(AN36&lt;=2,"1-2 days",IF(AN36&lt;=7,"3-7 days",IF(AN36&lt;=14,"8-14 days",IF(AN36&lt;=30,"15-30 days",IF(AN36&lt;=60,"31-60 days",IF(AN36&lt;=70,"61-70 days","71+ days")))))))))</x:f>
        <x:v>Missing Required Date</x:v>
      </x:c>
      <x:c r="AP36" s="25" t="str">
        <x:f>IF(OR(E36="processing",E36="executing",E36="pending"),IF(AM36="","Required aging date missing",IF(AN36&gt;30,"Escalate &gt;30d",IF(AN36&gt;14,"Watch &gt;14d","Within 14d"))),"Out of scope")</x:f>
        <x:v>Out of scope</x:v>
      </x:c>
    </x:row>
    <x:row r="37" ht="24" customHeight="1">
      <x:c r="A37" t="str">
        <x:v>3d79c2dd-4e29-4b9c-b671-002b9acb0069</x:v>
      </x:c>
      <x:c r="B37" t="str">
        <x:v>CSSP10823957</x:v>
      </x:c>
      <x:c r="C37" t="str">
        <x:v>hasrol.yusop@petronas.com</x:v>
      </x:c>
      <x:c r="D37" t="str">
        <x:v>provision-cloud-public</x:v>
      </x:c>
      <x:c r="E37" t="str">
        <x:v>completed</x:v>
      </x:c>
      <x:c r="F37" t="n">
        <x:v>46030.34857350695</x:v>
      </x:c>
      <x:c r="G37" t="n">
        <x:v>46030.40290202546</x:v>
      </x:c>
      <x:c r="H37" t="n">
        <x:v>46059.11141832176</x:v>
      </x:c>
      <x:c r="I37" t="str">
        <x:v>A-000663</x:v>
      </x:c>
      <x:c r="J37" t="str">
        <x:v>ProSource</x:v>
      </x:c>
      <x:c r="K37" t="str">
        <x:v>SR00620</x:v>
      </x:c>
      <x:c r="L37" t="str">
        <x:v>Provisioning of Infrastructure for Prosource and Qumulo Storage Management System for UTDI</x:v>
      </x:c>
      <x:c r="M37" t="str">
        <x:v>hoongkum.chan@petronas.com</x:v>
      </x:c>
      <x:c r="N37" t="str">
        <x:v>Cloud Migration</x:v>
      </x:c>
      <x:c r="O37" t="str">
        <x:v>New</x:v>
      </x:c>
      <x:c r="P37" t="str">
        <x:v>Production</x:v>
      </x:c>
      <x:c r="Q37" t="str">
        <x:v>Provision ProSource Application server, DataBase Server (Oracle DB), Application License server &amp; Data Transfer server.
Others service category as below:
Azure Backup - Management and governance
Azure Monitor - DevOps
Microsoft Defender for Cloud - Security
Key Vault - Security
Azure ExpressRoute - Dedicated ER (PGSC to Azure)
Virtual Machines - VM300 Firewall
Load Balancer - LB for VM300 Firewall
</x:v>
      </x:c>
      <x:c r="R37" t="str">
        <x:v>L</x:v>
      </x:c>
      <x:c r="S37"/>
      <x:c r="T37"/>
      <x:c r="U37" t="str">
        <x:v>Reviewed with no further comments.</x:v>
      </x:c>
      <x:c r="V37" t="n">
        <x:v>46030.409880694446</x:v>
      </x:c>
      <x:c r="W37" t="str">
        <x:v>hoongkum.chan@petronas.com</x:v>
      </x:c>
      <x:c r="X37" t="str">
        <x:v>approved</x:v>
      </x:c>
      <x:c r="Y37" t="str">
        <x:v>Good to go</x:v>
      </x:c>
      <x:c r="Z37" t="n">
        <x:v>46031.08361216435</x:v>
      </x:c>
      <x:c r="AA37" t="str">
        <x:v>samsuddin.jumbri@petronas.com</x:v>
      </x:c>
      <x:c r="AB37" t="str">
        <x:v>approved</x:v>
      </x:c>
      <x:c r="AC37" t="str">
        <x:v>ER to pgsc.</x:v>
      </x:c>
      <x:c r="AD37" t="n">
        <x:v>46042.15828488426</x:v>
      </x:c>
      <x:c r="AE37" t="str">
        <x:v>syazali.saad@petronas.com</x:v>
      </x:c>
      <x:c r="AF37" t="str">
        <x:v>approved</x:v>
      </x:c>
      <x:c r="AG37" t="str">
        <x:v>Completed</x:v>
      </x:c>
      <x:c r="AH37" t="n">
        <x:v>46059.11141832176</x:v>
      </x:c>
      <x:c r="AI37" t="str">
        <x:v>badri.shaharudin@petronas.com</x:v>
      </x:c>
      <x:c r="AJ37" t="str">
        <x:v>approved</x:v>
      </x:c>
      <x:c r="AK37" t="str">
        <x:v>REQ000007828116</x:v>
      </x:c>
      <x:c r="AL37" t="str">
        <x:v>1f46f82f-3716-4404-aa90-fc69f4af663f</x:v>
      </x:c>
      <x:c r="AM37" s="23" t="str">
        <x:f>IF(E37="processing",IF(Z37="","",IF(ISNUMBER(Z37),INT(Z37),DATE(VALUE(LEFT(Z37,4)),VALUE(MID(Z37,6,2)),VALUE(MID(Z37,9,2))))),IF(OR(E37="executing",E37="pending"),IF(AD37="","",IF(ISNUMBER(AD37),INT(AD37),DATE(VALUE(LEFT(AD37,4)),VALUE(MID(AD37,6,2)),VALUE(MID(AD37,9,2))))),""))</x:f>
      </x:c>
      <x:c r="AN37" s="24" t="str">
        <x:f>IF(AM37="","",INT('Configuration'!$B$4)-AM37)</x:f>
      </x:c>
      <x:c r="AO37" s="25" t="str">
        <x:f>IF(AM37="","Missing Required Date",IF(AN37&lt;0,"Future Date",IF(AN37=0,"0 days",IF(AN37&lt;=2,"1-2 days",IF(AN37&lt;=7,"3-7 days",IF(AN37&lt;=14,"8-14 days",IF(AN37&lt;=30,"15-30 days",IF(AN37&lt;=60,"31-60 days",IF(AN37&lt;=70,"61-70 days","71+ days")))))))))</x:f>
        <x:v>Missing Required Date</x:v>
      </x:c>
      <x:c r="AP37" s="25" t="str">
        <x:f>IF(OR(E37="processing",E37="executing",E37="pending"),IF(AM37="","Required aging date missing",IF(AN37&gt;30,"Escalate &gt;30d",IF(AN37&gt;14,"Watch &gt;14d","Within 14d"))),"Out of scope")</x:f>
        <x:v>Out of scope</x:v>
      </x:c>
    </x:row>
    <x:row r="38" ht="24" customHeight="1">
      <x:c r="A38" t="str">
        <x:v>b1914e57-46b1-491e-a258-da6874c15746</x:v>
      </x:c>
      <x:c r="B38" t="str">
        <x:v>CSSP10625196</x:v>
      </x:c>
      <x:c r="C38" t="str">
        <x:v>hasrol.yusop@petronas.com</x:v>
      </x:c>
      <x:c r="D38" t="str">
        <x:v>provision-cloud-public</x:v>
      </x:c>
      <x:c r="E38" t="str">
        <x:v>completed</x:v>
      </x:c>
      <x:c r="F38" t="n">
        <x:v>46030.34964483797</x:v>
      </x:c>
      <x:c r="G38" t="n">
        <x:v>46030.40104917824</x:v>
      </x:c>
      <x:c r="H38" t="n">
        <x:v>46059.11093726852</x:v>
      </x:c>
      <x:c r="I38" t="str">
        <x:v>M-000065</x:v>
      </x:c>
      <x:c r="J38" t="str">
        <x:v>Qumulo</x:v>
      </x:c>
      <x:c r="K38" t="str">
        <x:v>00620_MP</x:v>
      </x:c>
      <x:c r="L38" t="str">
        <x:v>Provisioning of Infrastructure for Prosource and Qumulo Storage Management System for UTDI</x:v>
      </x:c>
      <x:c r="M38" t="str">
        <x:v>hoongkum.chan@petronas.com</x:v>
      </x:c>
      <x:c r="N38" t="str">
        <x:v>Cloud Migration</x:v>
      </x:c>
      <x:c r="O38" t="str">
        <x:v>New</x:v>
      </x:c>
      <x:c r="P38" t="str">
        <x:v>Production</x:v>
      </x:c>
      <x:c r="Q38" t="str">
        <x:v>Service category: Compute
Service type: 
i. Virtual Machines &amp; 
ii. Storage
Custom name: 
i. Qumulo VM - 8 units &amp; 
ii. Managed Disks 256GB for Qumulo VM - 8 units
**for the Estimated cloud calculation as per attached (highlighted in green).
Please refer to attachment for the TerraForm and Prerequisites
</x:v>
      </x:c>
      <x:c r="R38" t="str">
        <x:v>L</x:v>
      </x:c>
      <x:c r="S38"/>
      <x:c r="T38"/>
      <x:c r="U38" t="str">
        <x:v>Reviewed with no further comments.</x:v>
      </x:c>
      <x:c r="V38" t="n">
        <x:v>46030.402824247685</x:v>
      </x:c>
      <x:c r="W38" t="str">
        <x:v>hoongkum.chan@petronas.com</x:v>
      </x:c>
      <x:c r="X38" t="str">
        <x:v>approved</x:v>
      </x:c>
      <x:c r="Y38" t="str">
        <x:v>Approved</x:v>
      </x:c>
      <x:c r="Z38" t="n">
        <x:v>46035.11782481481</x:v>
      </x:c>
      <x:c r="AA38" t="str">
        <x:v>kianleng.geh@petronas.com</x:v>
      </x:c>
      <x:c r="AB38" t="str">
        <x:v>approved</x:v>
      </x:c>
      <x:c r="AC38" t="str">
        <x:v>additional Qumulo service requirement needed</x:v>
      </x:c>
      <x:c r="AD38" t="n">
        <x:v>46036.35139384259</x:v>
      </x:c>
      <x:c r="AE38" t="str">
        <x:v>syazali.saad@petronas.com</x:v>
      </x:c>
      <x:c r="AF38" t="str">
        <x:v>approved</x:v>
      </x:c>
      <x:c r="AG38" t="str">
        <x:v>Completed</x:v>
      </x:c>
      <x:c r="AH38" t="n">
        <x:v>46059.11093726852</x:v>
      </x:c>
      <x:c r="AI38" t="str">
        <x:v>badri.shaharudin@petronas.com</x:v>
      </x:c>
      <x:c r="AJ38" t="str">
        <x:v>approved</x:v>
      </x:c>
      <x:c r="AK38" t="str">
        <x:v>REQ000007815535</x:v>
      </x:c>
      <x:c r="AL38" t="str">
        <x:v>04019988-55f0-400f-9bac-e9b452cd7184</x:v>
      </x:c>
      <x:c r="AM38" s="23" t="str">
        <x:f>IF(E38="processing",IF(Z38="","",IF(ISNUMBER(Z38),INT(Z38),DATE(VALUE(LEFT(Z38,4)),VALUE(MID(Z38,6,2)),VALUE(MID(Z38,9,2))))),IF(OR(E38="executing",E38="pending"),IF(AD38="","",IF(ISNUMBER(AD38),INT(AD38),DATE(VALUE(LEFT(AD38,4)),VALUE(MID(AD38,6,2)),VALUE(MID(AD38,9,2))))),""))</x:f>
      </x:c>
      <x:c r="AN38" s="24" t="str">
        <x:f>IF(AM38="","",INT('Configuration'!$B$4)-AM38)</x:f>
      </x:c>
      <x:c r="AO38" s="25" t="str">
        <x:f>IF(AM38="","Missing Required Date",IF(AN38&lt;0,"Future Date",IF(AN38=0,"0 days",IF(AN38&lt;=2,"1-2 days",IF(AN38&lt;=7,"3-7 days",IF(AN38&lt;=14,"8-14 days",IF(AN38&lt;=30,"15-30 days",IF(AN38&lt;=60,"31-60 days",IF(AN38&lt;=70,"61-70 days","71+ days")))))))))</x:f>
        <x:v>Missing Required Date</x:v>
      </x:c>
      <x:c r="AP38" s="25" t="str">
        <x:f>IF(OR(E38="processing",E38="executing",E38="pending"),IF(AM38="","Required aging date missing",IF(AN38&gt;30,"Escalate &gt;30d",IF(AN38&gt;14,"Watch &gt;14d","Within 14d"))),"Out of scope")</x:f>
        <x:v>Out of scope</x:v>
      </x:c>
    </x:row>
    <x:row r="39" ht="24" customHeight="1">
      <x:c r="A39" t="str">
        <x:v>834110d1-0df1-4a62-9971-bac13fe28bb7</x:v>
      </x:c>
      <x:c r="B39" t="str">
        <x:v>CSSP10904562</x:v>
      </x:c>
      <x:c r="C39" t="str">
        <x:v>manas.dutta@petronas.com</x:v>
      </x:c>
      <x:c r="D39" t="str">
        <x:v>provision-cloud-public</x:v>
      </x:c>
      <x:c r="E39" t="str">
        <x:v>completed</x:v>
      </x:c>
      <x:c r="F39" t="n">
        <x:v>46030.382989618054</x:v>
      </x:c>
      <x:c r="G39" t="n">
        <x:v>46030.39292646991</x:v>
      </x:c>
      <x:c r="H39" t="n">
        <x:v>46064.14321138889</x:v>
      </x:c>
      <x:c r="I39" t="str">
        <x:v>A-001315</x:v>
      </x:c>
      <x:c r="J39" t="str">
        <x:v>PDB Data &amp; Intelligence Platform</x:v>
      </x:c>
      <x:c r="K39" t="str">
        <x:v>SR25023</x:v>
      </x:c>
      <x:c r="L39" t="str">
        <x:v>PDB Data &amp; Intelligence Platform</x:v>
      </x:c>
      <x:c r="M39" t="str">
        <x:v>manas.dutta@petronas.com.my</x:v>
      </x:c>
      <x:c r="N39" t="str">
        <x:v>PDB Data and Intelligence Platform</x:v>
      </x:c>
      <x:c r="O39" t="str">
        <x:v>New</x:v>
      </x:c>
      <x:c r="P39" t="str">
        <x:v>Development</x:v>
      </x:c>
      <x:c r="Q39" t="str">
        <x:v>All the necessary documents are attached herewith
This setup need Deployment of Databricks is Azure Vnet and also the databricks URL needs to be private and accessable only using PETRONAS network. So if needed any help, do reachout to me, can ask Microsoft and Databricks SME to join a call for this complex setup.</x:v>
      </x:c>
      <x:c r="R39" t="str">
        <x:v>L</x:v>
      </x:c>
      <x:c r="S39"/>
      <x:c r="T39"/>
      <x:c r="U39" t="str">
        <x:v>Approve from my end</x:v>
      </x:c>
      <x:c r="V39" t="n">
        <x:v>46030.395041145835</x:v>
      </x:c>
      <x:c r="W39" t="str">
        <x:v>manas.dutta@petronas.com</x:v>
      </x:c>
      <x:c r="X39" t="str">
        <x:v>approved</x:v>
      </x:c>
      <x:c r="Y39" t="str">
        <x:v>Approved</x:v>
      </x:c>
      <x:c r="Z39" t="n">
        <x:v>46035.11555565972</x:v>
      </x:c>
      <x:c r="AA39" t="str">
        <x:v>kianleng.geh@petronas.com</x:v>
      </x:c>
      <x:c r="AB39" t="str">
        <x:v>approved</x:v>
      </x:c>
      <x:c r="AC39" t="str">
        <x:v>new environment</x:v>
      </x:c>
      <x:c r="AD39" t="n">
        <x:v>46037.358829675926</x:v>
      </x:c>
      <x:c r="AE39" t="str">
        <x:v>syazali.saad@petronas.com</x:v>
      </x:c>
      <x:c r="AF39" t="str">
        <x:v>approved</x:v>
      </x:c>
      <x:c r="AG39" t="str">
        <x:v>resources provisioned by amin mansor</x:v>
      </x:c>
      <x:c r="AH39" t="n">
        <x:v>46064.143211400464</x:v>
      </x:c>
      <x:c r="AI39" t="str">
        <x:v>mhafizi.madnan@petronas.com</x:v>
      </x:c>
      <x:c r="AJ39" t="str">
        <x:v>approved</x:v>
      </x:c>
      <x:c r="AK39" t="str">
        <x:v>REQ000007819500</x:v>
      </x:c>
      <x:c r="AL39" t="str">
        <x:v>b4e60f9a-b7c8-4e1d-8847-6f2e75534143</x:v>
      </x:c>
      <x:c r="AM39" s="23" t="str">
        <x:f>IF(E39="processing",IF(Z39="","",IF(ISNUMBER(Z39),INT(Z39),DATE(VALUE(LEFT(Z39,4)),VALUE(MID(Z39,6,2)),VALUE(MID(Z39,9,2))))),IF(OR(E39="executing",E39="pending"),IF(AD39="","",IF(ISNUMBER(AD39),INT(AD39),DATE(VALUE(LEFT(AD39,4)),VALUE(MID(AD39,6,2)),VALUE(MID(AD39,9,2))))),""))</x:f>
      </x:c>
      <x:c r="AN39" s="24" t="str">
        <x:f>IF(AM39="","",INT('Configuration'!$B$4)-AM39)</x:f>
      </x:c>
      <x:c r="AO39" s="25" t="str">
        <x:f>IF(AM39="","Missing Required Date",IF(AN39&lt;0,"Future Date",IF(AN39=0,"0 days",IF(AN39&lt;=2,"1-2 days",IF(AN39&lt;=7,"3-7 days",IF(AN39&lt;=14,"8-14 days",IF(AN39&lt;=30,"15-30 days",IF(AN39&lt;=60,"31-60 days",IF(AN39&lt;=70,"61-70 days","71+ days")))))))))</x:f>
        <x:v>Missing Required Date</x:v>
      </x:c>
      <x:c r="AP39" s="25" t="str">
        <x:f>IF(OR(E39="processing",E39="executing",E39="pending"),IF(AM39="","Required aging date missing",IF(AN39&gt;30,"Escalate &gt;30d",IF(AN39&gt;14,"Watch &gt;14d","Within 14d"))),"Out of scope")</x:f>
        <x:v>Out of scope</x:v>
      </x:c>
    </x:row>
    <x:row r="40" ht="24" customHeight="1">
      <x:c r="A40" t="str">
        <x:v>79fd6c2d-8db4-459e-b3e7-ffd955e88417</x:v>
      </x:c>
      <x:c r="B40" t="str">
        <x:v>CSSP10391326</x:v>
      </x:c>
      <x:c r="C40" t="str">
        <x:v>norhayati.saad@petronas.com</x:v>
      </x:c>
      <x:c r="D40" t="str">
        <x:v>provision-cloud-public</x:v>
      </x:c>
      <x:c r="E40" t="str">
        <x:v>completed</x:v>
      </x:c>
      <x:c r="F40" t="n">
        <x:v>46030.40226717592</x:v>
      </x:c>
      <x:c r="G40" t="n">
        <x:v>46030.40226717592</x:v>
      </x:c>
      <x:c r="H40" t="n">
        <x:v>46058.26339652778</x:v>
      </x:c>
      <x:c r="I40" t="str">
        <x:v>A-001316</x:v>
      </x:c>
      <x:c r="J40" t="str">
        <x:v>Azure Cloud Hosting for KLCC Group Intranet and Internet</x:v>
      </x:c>
      <x:c r="K40" t="str">
        <x:v>SR25038</x:v>
      </x:c>
      <x:c r="L40" t="str">
        <x:v>Provision of Azure Cloud Hosting for KLCC Group Intranet and Internet</x:v>
      </x:c>
      <x:c r="M40" t="str">
        <x:v>mhaslan.abuhassan@petronas.com</x:v>
      </x:c>
      <x:c r="N40" t="str">
        <x:v>KLCCNET</x:v>
      </x:c>
      <x:c r="O40" t="str">
        <x:v>New</x:v>
      </x:c>
      <x:c r="P40" t="str">
        <x:v>Production</x:v>
      </x:c>
      <x:c r="Q40" t="str">
        <x:v>To provision new Azure Cloud Hosting for KLCC Group Intranet and Internet</x:v>
      </x:c>
      <x:c r="R40" t="str">
        <x:v>M</x:v>
      </x:c>
      <x:c r="S40"/>
      <x:c r="T40"/>
      <x:c r="U40" t="str">
        <x:v>approve for deployment</x:v>
      </x:c>
      <x:c r="V40" t="n">
        <x:v>46031.06285894676</x:v>
      </x:c>
      <x:c r="W40" t="str">
        <x:v>mhaslan.abuhassan@petronas.com</x:v>
      </x:c>
      <x:c r="X40" t="str">
        <x:v>approved</x:v>
      </x:c>
      <x:c r="Y40" t="str">
        <x:v>Good to go</x:v>
      </x:c>
      <x:c r="Z40" t="n">
        <x:v>46031.08123050926</x:v>
      </x:c>
      <x:c r="AA40" t="str">
        <x:v>samsuddin.jumbri@petronas.com</x:v>
      </x:c>
      <x:c r="AB40" t="str">
        <x:v>approved</x:v>
      </x:c>
      <x:c r="AC40" t="str">
        <x:v>CSSP10391326 CSSP10608230</x:v>
      </x:c>
      <x:c r="AD40" t="n">
        <x:v>46031.08342653935</x:v>
      </x:c>
      <x:c r="AE40" t="str">
        <x:v>syazali.saad@petronas.com</x:v>
      </x:c>
      <x:c r="AF40" t="str">
        <x:v>approved</x:v>
      </x:c>
      <x:c r="AG40" t="str">
        <x:v>resource deployed</x:v>
      </x:c>
      <x:c r="AH40" t="n">
        <x:v>46058.26339655092</x:v>
      </x:c>
      <x:c r="AI40" t="str">
        <x:v>mhaslan.abuhassan@petronas.com</x:v>
      </x:c>
      <x:c r="AJ40" t="str">
        <x:v>approved</x:v>
      </x:c>
      <x:c r="AK40" t="str">
        <x:v>REQ000007802176</x:v>
      </x:c>
      <x:c r="AL40" t="str">
        <x:v>19aef280-d1db-4a1f-8c78-d3476b78c5ff</x:v>
      </x:c>
      <x:c r="AM40" s="23" t="str">
        <x:f>IF(E40="processing",IF(Z40="","",IF(ISNUMBER(Z40),INT(Z40),DATE(VALUE(LEFT(Z40,4)),VALUE(MID(Z40,6,2)),VALUE(MID(Z40,9,2))))),IF(OR(E40="executing",E40="pending"),IF(AD40="","",IF(ISNUMBER(AD40),INT(AD40),DATE(VALUE(LEFT(AD40,4)),VALUE(MID(AD40,6,2)),VALUE(MID(AD40,9,2))))),""))</x:f>
      </x:c>
      <x:c r="AN40" s="24" t="str">
        <x:f>IF(AM40="","",INT('Configuration'!$B$4)-AM40)</x:f>
      </x:c>
      <x:c r="AO40" s="25" t="str">
        <x:f>IF(AM40="","Missing Required Date",IF(AN40&lt;0,"Future Date",IF(AN40=0,"0 days",IF(AN40&lt;=2,"1-2 days",IF(AN40&lt;=7,"3-7 days",IF(AN40&lt;=14,"8-14 days",IF(AN40&lt;=30,"15-30 days",IF(AN40&lt;=60,"31-60 days",IF(AN40&lt;=70,"61-70 days","71+ days")))))))))</x:f>
        <x:v>Missing Required Date</x:v>
      </x:c>
      <x:c r="AP40" s="25" t="str">
        <x:f>IF(OR(E40="processing",E40="executing",E40="pending"),IF(AM40="","Required aging date missing",IF(AN40&gt;30,"Escalate &gt;30d",IF(AN40&gt;14,"Watch &gt;14d","Within 14d"))),"Out of scope")</x:f>
        <x:v>Out of scope</x:v>
      </x:c>
    </x:row>
    <x:row r="41" ht="24" customHeight="1">
      <x:c r="A41" t="str">
        <x:v>a31d7427-0502-4fd9-a922-9ffaf38bbb68</x:v>
      </x:c>
      <x:c r="B41" t="str">
        <x:v>CSSP10608230</x:v>
      </x:c>
      <x:c r="C41" t="str">
        <x:v>norhayati.saad@petronas.com</x:v>
      </x:c>
      <x:c r="D41" t="str">
        <x:v>provision-cloud-public</x:v>
      </x:c>
      <x:c r="E41" t="str">
        <x:v>completed</x:v>
      </x:c>
      <x:c r="F41" t="n">
        <x:v>46030.40318162037</x:v>
      </x:c>
      <x:c r="G41" t="n">
        <x:v>46030.40318162037</x:v>
      </x:c>
      <x:c r="H41" t="n">
        <x:v>46058.26401905093</x:v>
      </x:c>
      <x:c r="I41" t="str">
        <x:v>A-001316</x:v>
      </x:c>
      <x:c r="J41" t="str">
        <x:v>Azure Cloud Hosting for KLCC Group Intranet and Internet</x:v>
      </x:c>
      <x:c r="K41" t="str">
        <x:v>SR25038</x:v>
      </x:c>
      <x:c r="L41" t="str">
        <x:v>Provision of Azure Cloud Hosting for KLCC Group Intranet and Internet</x:v>
      </x:c>
      <x:c r="M41" t="str">
        <x:v>mhaslan.abuhassan@petronas.com</x:v>
      </x:c>
      <x:c r="N41" t="str">
        <x:v>KLCCNET</x:v>
      </x:c>
      <x:c r="O41" t="str">
        <x:v>New</x:v>
      </x:c>
      <x:c r="P41" t="str">
        <x:v>StagingUat</x:v>
      </x:c>
      <x:c r="Q41" t="str">
        <x:v>To provision new Azure Cloud Hosting for KLCC Group Intranet and Internet</x:v>
      </x:c>
      <x:c r="R41" t="str">
        <x:v>M</x:v>
      </x:c>
      <x:c r="S41"/>
      <x:c r="T41"/>
      <x:c r="U41" t="str">
        <x:v>approve for deployment</x:v>
      </x:c>
      <x:c r="V41" t="n">
        <x:v>46031.063656631944</x:v>
      </x:c>
      <x:c r="W41" t="str">
        <x:v>mhaslan.abuhassan@petronas.com</x:v>
      </x:c>
      <x:c r="X41" t="str">
        <x:v>approved</x:v>
      </x:c>
      <x:c r="Y41" t="str">
        <x:v>Good to go</x:v>
      </x:c>
      <x:c r="Z41" t="n">
        <x:v>46031.08330290509</x:v>
      </x:c>
      <x:c r="AA41" t="str">
        <x:v>samsuddin.jumbri@petronas.com</x:v>
      </x:c>
      <x:c r="AB41" t="str">
        <x:v>approved</x:v>
      </x:c>
      <x:c r="AC41" t="str">
        <x:v>CSSP10391326 CSSP10608230 </x:v>
      </x:c>
      <x:c r="AD41" t="n">
        <x:v>46031.083865416666</x:v>
      </x:c>
      <x:c r="AE41" t="str">
        <x:v>syazali.saad@petronas.com</x:v>
      </x:c>
      <x:c r="AF41" t="str">
        <x:v>approved</x:v>
      </x:c>
      <x:c r="AG41" t="str">
        <x:v>resource deployed</x:v>
      </x:c>
      <x:c r="AH41" t="n">
        <x:v>46058.2640190625</x:v>
      </x:c>
      <x:c r="AI41" t="str">
        <x:v>mhaslan.abuhassan@petronas.com</x:v>
      </x:c>
      <x:c r="AJ41" t="str">
        <x:v>approved</x:v>
      </x:c>
      <x:c r="AK41" t="str">
        <x:v>REQ000007802177</x:v>
      </x:c>
      <x:c r="AL41" t="str">
        <x:v>19aef280-d1db-4a1f-8c78-d3476b78c5ff</x:v>
      </x:c>
      <x:c r="AM41" s="23" t="str">
        <x:f>IF(E41="processing",IF(Z41="","",IF(ISNUMBER(Z41),INT(Z41),DATE(VALUE(LEFT(Z41,4)),VALUE(MID(Z41,6,2)),VALUE(MID(Z41,9,2))))),IF(OR(E41="executing",E41="pending"),IF(AD41="","",IF(ISNUMBER(AD41),INT(AD41),DATE(VALUE(LEFT(AD41,4)),VALUE(MID(AD41,6,2)),VALUE(MID(AD41,9,2))))),""))</x:f>
      </x:c>
      <x:c r="AN41" s="24" t="str">
        <x:f>IF(AM41="","",INT('Configuration'!$B$4)-AM41)</x:f>
      </x:c>
      <x:c r="AO41" s="25" t="str">
        <x:f>IF(AM41="","Missing Required Date",IF(AN41&lt;0,"Future Date",IF(AN41=0,"0 days",IF(AN41&lt;=2,"1-2 days",IF(AN41&lt;=7,"3-7 days",IF(AN41&lt;=14,"8-14 days",IF(AN41&lt;=30,"15-30 days",IF(AN41&lt;=60,"31-60 days",IF(AN41&lt;=70,"61-70 days","71+ days")))))))))</x:f>
        <x:v>Missing Required Date</x:v>
      </x:c>
      <x:c r="AP41" s="25" t="str">
        <x:f>IF(OR(E41="processing",E41="executing",E41="pending"),IF(AM41="","Required aging date missing",IF(AN41&gt;30,"Escalate &gt;30d",IF(AN41&gt;14,"Watch &gt;14d","Within 14d"))),"Out of scope")</x:f>
        <x:v>Out of scope</x:v>
      </x:c>
    </x:row>
    <x:row r="42" ht="24" customHeight="1">
      <x:c r="A42" t="str">
        <x:v>320b30e1-9f8d-4bb0-a3c8-d8e877762d2c</x:v>
      </x:c>
      <x:c r="B42" t="str">
        <x:v>CSSP10579375</x:v>
      </x:c>
      <x:c r="C42" t="str">
        <x:v>norashikin.hasna@petronas.com</x:v>
      </x:c>
      <x:c r="D42" t="str">
        <x:v>provision-cloud-public</x:v>
      </x:c>
      <x:c r="E42" t="str">
        <x:v>rejected</x:v>
      </x:c>
      <x:c r="F42" t="n">
        <x:v>46031.37160666667</x:v>
      </x:c>
      <x:c r="G42" t="n">
        <x:v>46036.14025662037</x:v>
      </x:c>
      <x:c r="H42" t="n">
        <x:v>46044.070796597225</x:v>
      </x:c>
      <x:c r="I42" t="str">
        <x:v>A-000480</x:v>
      </x:c>
      <x:c r="J42" t="str">
        <x:v>Mygenie</x:v>
      </x:c>
      <x:c r="K42" t="str">
        <x:v>02421_83</x:v>
      </x:c>
      <x:c r="L42" t="str">
        <x:v>Cloud Migration Program - Mygenie+ Admin Portal</x:v>
      </x:c>
      <x:c r="M42" t="str">
        <x:v>saniza.ismail@petronas.com.my</x:v>
      </x:c>
      <x:c r="N42" t="str">
        <x:v>MyGenie Admin Portal</x:v>
      </x:c>
      <x:c r="O42" t="str">
        <x:v>Modify</x:v>
      </x:c>
      <x:c r="P42" t="str">
        <x:v>StagingUat</x:v>
      </x:c>
      <x:c r="Q42" t="str">
        <x:v>Qa Server for myGenie+ : PTSG-5MYGENAP01
Current = D2as v4 (2 vCPU 7 &amp; 8 GB RAM)
New = D2as v4 (4 vCPU 7 &amp; 16 GB RAM)
</x:v>
      </x:c>
      <x:c r="R42"/>
      <x:c r="S42"/>
      <x:c r="T42"/>
      <x:c r="U42" t="str">
        <x:v>Need additional capacity due to high utilization cause slowness to myGenie QA</x:v>
      </x:c>
      <x:c r="V42" t="n">
        <x:v>46036.26042878472</x:v>
      </x:c>
      <x:c r="W42" t="str">
        <x:v>saniza.ismail@petronas.com</x:v>
      </x:c>
      <x:c r="X42" t="str">
        <x:v>approved</x:v>
      </x:c>
      <x:c r="Y42" t="str">
        <x:v>Kindly provide the estimated cost in Excel format (including the required SKU specifications), downloaded from the Azure calculator website. For assistance with the cost calculator, please contact Samsuddin B. Jumbri (IS/DIGITAL) or Geh Kian Leng (IS/DIGITAL).</x:v>
      </x:c>
      <x:c r="Z42" t="n">
        <x:v>46044.070796597225</x:v>
      </x:c>
      <x:c r="AA42" t="str">
        <x:v>samsuddin.jumbri@petronas.com</x:v>
      </x:c>
      <x:c r="AB42" t="str">
        <x:v>rejected</x:v>
      </x:c>
      <x:c r="AC42"/>
      <x:c r="AD42"/>
      <x:c r="AE42" t="str">
        <x:v>CCoE Business</x:v>
      </x:c>
      <x:c r="AF42"/>
      <x:c r="AG42"/>
      <x:c r="AH42"/>
      <x:c r="AI42" t="str">
        <x:v>CCoE Core Services (Public)</x:v>
      </x:c>
      <x:c r="AJ42"/>
      <x:c r="AK42"/>
      <x:c r="AL42" t="str">
        <x:v>c6a63b47-bf9e-4308-9a85-4fcd7d745577</x:v>
      </x:c>
      <x:c r="AM42" s="23" t="str">
        <x:f>IF(E42="processing",IF(Z42="","",IF(ISNUMBER(Z42),INT(Z42),DATE(VALUE(LEFT(Z42,4)),VALUE(MID(Z42,6,2)),VALUE(MID(Z42,9,2))))),IF(OR(E42="executing",E42="pending"),IF(AD42="","",IF(ISNUMBER(AD42),INT(AD42),DATE(VALUE(LEFT(AD42,4)),VALUE(MID(AD42,6,2)),VALUE(MID(AD42,9,2))))),""))</x:f>
      </x:c>
      <x:c r="AN42" s="24" t="str">
        <x:f>IF(AM42="","",INT('Configuration'!$B$4)-AM42)</x:f>
      </x:c>
      <x:c r="AO42" s="25" t="str">
        <x:f>IF(AM42="","Missing Required Date",IF(AN42&lt;0,"Future Date",IF(AN42=0,"0 days",IF(AN42&lt;=2,"1-2 days",IF(AN42&lt;=7,"3-7 days",IF(AN42&lt;=14,"8-14 days",IF(AN42&lt;=30,"15-30 days",IF(AN42&lt;=60,"31-60 days",IF(AN42&lt;=70,"61-70 days","71+ days")))))))))</x:f>
        <x:v>Missing Required Date</x:v>
      </x:c>
      <x:c r="AP42" s="25" t="str">
        <x:f>IF(OR(E42="processing",E42="executing",E42="pending"),IF(AM42="","Required aging date missing",IF(AN42&gt;30,"Escalate &gt;30d",IF(AN42&gt;14,"Watch &gt;14d","Within 14d"))),"Out of scope")</x:f>
        <x:v>Out of scope</x:v>
      </x:c>
    </x:row>
    <x:row r="43" ht="24" customHeight="1">
      <x:c r="A43" t="str">
        <x:v>e14539b2-3e1d-4f64-9589-89e2aee4ab7d</x:v>
      </x:c>
      <x:c r="B43" t="str">
        <x:v>CSSP10518956</x:v>
      </x:c>
      <x:c r="C43" t="str">
        <x:v>ismail.azman@petronas.com</x:v>
      </x:c>
      <x:c r="D43" t="str">
        <x:v>provision-cloud-public</x:v>
      </x:c>
      <x:c r="E43" t="str">
        <x:v>completed</x:v>
      </x:c>
      <x:c r="F43" t="n">
        <x:v>46034.075134583334</x:v>
      </x:c>
      <x:c r="G43" t="n">
        <x:v>46034.075134583334</x:v>
      </x:c>
      <x:c r="H43" t="n">
        <x:v>46036.18383059028</x:v>
      </x:c>
      <x:c r="I43" t="str">
        <x:v>C-000040</x:v>
      </x:c>
      <x:c r="J43" t="str">
        <x:v>Cloud Self Service Portal - CSSP</x:v>
      </x:c>
      <x:c r="K43" t="str">
        <x:v>01824_1</x:v>
      </x:c>
      <x:c r="L43" t="str">
        <x:v>CloudSSP</x:v>
      </x:c>
      <x:c r="M43" t="str">
        <x:v>mhaslan.abuhassan@petronas.com</x:v>
      </x:c>
      <x:c r="N43" t="str">
        <x:v>CloudSSP</x:v>
      </x:c>
      <x:c r="O43" t="str">
        <x:v>New</x:v>
      </x:c>
      <x:c r="P43" t="str">
        <x:v>Production</x:v>
      </x:c>
      <x:c r="Q43" t="str">
        <x:v>to provision one ASP in prod ASE for Logic App usage to comply with DPIA</x:v>
      </x:c>
      <x:c r="R43" t="str">
        <x:v>S</x:v>
      </x:c>
      <x:c r="S43"/>
      <x:c r="T43"/>
      <x:c r="U43" t="str">
        <x:v>proceed for deployment</x:v>
      </x:c>
      <x:c r="V43" t="n">
        <x:v>46034.07634320602</x:v>
      </x:c>
      <x:c r="W43" t="str">
        <x:v>mhaslan.abuhassan@petronas.com</x:v>
      </x:c>
      <x:c r="X43" t="str">
        <x:v>approved</x:v>
      </x:c>
      <x:c r="Y43" t="str">
        <x:v>approved</x:v>
      </x:c>
      <x:c r="Z43" t="n">
        <x:v>46034.09378537037</x:v>
      </x:c>
      <x:c r="AA43" t="str">
        <x:v>kianleng.geh@petronas.com</x:v>
      </x:c>
      <x:c r="AB43" t="str">
        <x:v>approved</x:v>
      </x:c>
      <x:c r="AC43" t="str">
        <x:v>assigned to Afnan for provisioning</x:v>
      </x:c>
      <x:c r="AD43" t="n">
        <x:v>46034.097761157405</x:v>
      </x:c>
      <x:c r="AE43" t="str">
        <x:v>ismail.azman@petronas.com</x:v>
      </x:c>
      <x:c r="AF43" t="str">
        <x:v>approved</x:v>
      </x:c>
      <x:c r="AG43" t="str">
        <x:v>Completed</x:v>
      </x:c>
      <x:c r="AH43" t="n">
        <x:v>46036.183830601854</x:v>
      </x:c>
      <x:c r="AI43" t="str">
        <x:v>afnanfarhan.dzaharud@petronas.com</x:v>
      </x:c>
      <x:c r="AJ43" t="str">
        <x:v>approved</x:v>
      </x:c>
      <x:c r="AK43" t="str">
        <x:v>REQ000007805507</x:v>
      </x:c>
      <x:c r="AL43" t="str">
        <x:v>721a9131-21b0-4e6a-873f-fbc67d1f7a35</x:v>
      </x:c>
      <x:c r="AM43" s="23" t="str">
        <x:f>IF(E43="processing",IF(Z43="","",IF(ISNUMBER(Z43),INT(Z43),DATE(VALUE(LEFT(Z43,4)),VALUE(MID(Z43,6,2)),VALUE(MID(Z43,9,2))))),IF(OR(E43="executing",E43="pending"),IF(AD43="","",IF(ISNUMBER(AD43),INT(AD43),DATE(VALUE(LEFT(AD43,4)),VALUE(MID(AD43,6,2)),VALUE(MID(AD43,9,2))))),""))</x:f>
      </x:c>
      <x:c r="AN43" s="24" t="str">
        <x:f>IF(AM43="","",INT('Configuration'!$B$4)-AM43)</x:f>
      </x:c>
      <x:c r="AO43" s="25" t="str">
        <x:f>IF(AM43="","Missing Required Date",IF(AN43&lt;0,"Future Date",IF(AN43=0,"0 days",IF(AN43&lt;=2,"1-2 days",IF(AN43&lt;=7,"3-7 days",IF(AN43&lt;=14,"8-14 days",IF(AN43&lt;=30,"15-30 days",IF(AN43&lt;=60,"31-60 days",IF(AN43&lt;=70,"61-70 days","71+ days")))))))))</x:f>
        <x:v>Missing Required Date</x:v>
      </x:c>
      <x:c r="AP43" s="25" t="str">
        <x:f>IF(OR(E43="processing",E43="executing",E43="pending"),IF(AM43="","Required aging date missing",IF(AN43&gt;30,"Escalate &gt;30d",IF(AN43&gt;14,"Watch &gt;14d","Within 14d"))),"Out of scope")</x:f>
        <x:v>Out of scope</x:v>
      </x:c>
    </x:row>
    <x:row r="44" ht="24" customHeight="1">
      <x:c r="A44" t="str">
        <x:v>7b00047c-b5a7-4e18-ac59-96a67cd2d2cb</x:v>
      </x:c>
      <x:c r="B44" t="str">
        <x:v>CSSP10788217</x:v>
      </x:c>
      <x:c r="C44" t="str">
        <x:v>anisaufa.mohamadafif@petronas.com</x:v>
      </x:c>
      <x:c r="D44" t="str">
        <x:v>provision-cloud-public</x:v>
      </x:c>
      <x:c r="E44" t="str">
        <x:v>completed</x:v>
      </x:c>
      <x:c r="F44" t="n">
        <x:v>46034.18004216435</x:v>
      </x:c>
      <x:c r="G44" t="n">
        <x:v>46034.18004216435</x:v>
      </x:c>
      <x:c r="H44" t="n">
        <x:v>46064.17130173611</x:v>
      </x:c>
      <x:c r="I44" t="str">
        <x:v>A-000262</x:v>
      </x:c>
      <x:c r="J44" t="str">
        <x:v>Enterprise Data Hub - EDH</x:v>
      </x:c>
      <x:c r="K44" t="n">
        <x:v>1116</x:v>
      </x:c>
      <x:c r="L44" t="str">
        <x:v>PETRONAS Enterprise Data Hub</x:v>
      </x:c>
      <x:c r="M44" t="str">
        <x:v>adi.razali@petronas.com.my</x:v>
      </x:c>
      <x:c r="N44" t="str">
        <x:v>EDH Core Team</x:v>
      </x:c>
      <x:c r="O44" t="str">
        <x:v>New</x:v>
      </x:c>
      <x:c r="P44" t="str">
        <x:v>Production</x:v>
      </x:c>
      <x:c r="Q44" t="str">
        <x:v>Requesting a new VM to scale out SHIR for Azure Data Factory as recommended by Microsoft Support. Please refer to attached ExportedEstimate for important notes.</x:v>
      </x:c>
      <x:c r="R44" t="str">
        <x:v>S</x:v>
      </x:c>
      <x:c r="S44"/>
      <x:c r="T44"/>
      <x:c r="U44" t="str">
        <x:v>As per described in email of suggestion from internal and microsoft. This is needed to ensure performance is not at stake</x:v>
      </x:c>
      <x:c r="V44" t="n">
        <x:v>46035.09682371528</x:v>
      </x:c>
      <x:c r="W44" t="str">
        <x:v>adi.razali@petronas.com</x:v>
      </x:c>
      <x:c r="X44" t="str">
        <x:v>approved</x:v>
      </x:c>
      <x:c r="Y44" t="str">
        <x:v>Good to go</x:v>
      </x:c>
      <x:c r="Z44" t="n">
        <x:v>46036.094710972226</x:v>
      </x:c>
      <x:c r="AA44" t="str">
        <x:v>samsuddin.jumbri@petronas.com</x:v>
      </x:c>
      <x:c r="AB44" t="str">
        <x:v>approved</x:v>
      </x:c>
      <x:c r="AC44" t="str">
        <x:v>PTAZSG-PROD-TALEND-EDH-RG</x:v>
      </x:c>
      <x:c r="AD44" t="n">
        <x:v>46036.12920459491</x:v>
      </x:c>
      <x:c r="AE44" t="str">
        <x:v>syazali.saad@petronas.com</x:v>
      </x:c>
      <x:c r="AF44" t="str">
        <x:v>approved</x:v>
      </x:c>
      <x:c r="AG44" t="str">
        <x:v>completed</x:v>
      </x:c>
      <x:c r="AH44" t="n">
        <x:v>46064.17130174769</x:v>
      </x:c>
      <x:c r="AI44" t="str">
        <x:v>wanahmadfaizal.wanm@petronas.com</x:v>
      </x:c>
      <x:c r="AJ44" t="str">
        <x:v>approved</x:v>
      </x:c>
      <x:c r="AK44" t="str">
        <x:v>REQ000007813011</x:v>
      </x:c>
      <x:c r="AL44" t="str">
        <x:v>2e605ebc-324b-45bb-8e38-703ce36609f3</x:v>
      </x:c>
      <x:c r="AM44" s="23" t="str">
        <x:f>IF(E44="processing",IF(Z44="","",IF(ISNUMBER(Z44),INT(Z44),DATE(VALUE(LEFT(Z44,4)),VALUE(MID(Z44,6,2)),VALUE(MID(Z44,9,2))))),IF(OR(E44="executing",E44="pending"),IF(AD44="","",IF(ISNUMBER(AD44),INT(AD44),DATE(VALUE(LEFT(AD44,4)),VALUE(MID(AD44,6,2)),VALUE(MID(AD44,9,2))))),""))</x:f>
      </x:c>
      <x:c r="AN44" s="24" t="str">
        <x:f>IF(AM44="","",INT('Configuration'!$B$4)-AM44)</x:f>
      </x:c>
      <x:c r="AO44" s="25" t="str">
        <x:f>IF(AM44="","Missing Required Date",IF(AN44&lt;0,"Future Date",IF(AN44=0,"0 days",IF(AN44&lt;=2,"1-2 days",IF(AN44&lt;=7,"3-7 days",IF(AN44&lt;=14,"8-14 days",IF(AN44&lt;=30,"15-30 days",IF(AN44&lt;=60,"31-60 days",IF(AN44&lt;=70,"61-70 days","71+ days")))))))))</x:f>
        <x:v>Missing Required Date</x:v>
      </x:c>
      <x:c r="AP44" s="25" t="str">
        <x:f>IF(OR(E44="processing",E44="executing",E44="pending"),IF(AM44="","Required aging date missing",IF(AN44&gt;30,"Escalate &gt;30d",IF(AN44&gt;14,"Watch &gt;14d","Within 14d"))),"Out of scope")</x:f>
        <x:v>Out of scope</x:v>
      </x:c>
    </x:row>
    <x:row r="45" ht="24" customHeight="1">
      <x:c r="A45" t="str">
        <x:v>ed53447e-494d-41f1-82c3-9187f60e7955</x:v>
      </x:c>
      <x:c r="B45" t="str">
        <x:v>CSSP10283005</x:v>
      </x:c>
      <x:c r="C45" t="str">
        <x:v>nuralia.anuar@petronas.com</x:v>
      </x:c>
      <x:c r="D45" t="str">
        <x:v>provision-cloud-public</x:v>
      </x:c>
      <x:c r="E45" t="str">
        <x:v>completed</x:v>
      </x:c>
      <x:c r="F45" t="n">
        <x:v>46035.317188009256</x:v>
      </x:c>
      <x:c r="G45" t="n">
        <x:v>46038.207924814815</x:v>
      </x:c>
      <x:c r="H45" t="n">
        <x:v>46064.286271944446</x:v>
      </x:c>
      <x:c r="I45" t="str">
        <x:v>A-000239</x:v>
      </x:c>
      <x:c r="J45" t="str">
        <x:v>Data Science Advanced Analytics</x:v>
      </x:c>
      <x:c r="K45" t="n">
        <x:v>2902</x:v>
      </x:c>
      <x:c r="L45" t="str">
        <x:v>Provisioning Dedicated Advanced Analytics subscription (Terraform-enabled Azure Cloud Infrastructure) for Data Science Department</x:v>
      </x:c>
      <x:c r="M45" t="str">
        <x:v>ng.kokkwan@petronas.com.my</x:v>
      </x:c>
      <x:c r="N45" t="str">
        <x:v>azure-terraform-iac-daa-caf-configuration</x:v>
      </x:c>
      <x:c r="O45" t="str">
        <x:v>New</x:v>
      </x:c>
      <x:c r="P45" t="str">
        <x:v>Production</x:v>
      </x:c>
      <x:c r="Q45" t="str">
        <x:v>RG: PTAZSG-IAC-DAA-PROD-GUROBI-RG
Resource: PTSG-1GUROBIap01
Need to migrate the VM in from using Ubuntu 18.04 to using CoC approved VM running on RHEL OS</x:v>
      </x:c>
      <x:c r="R45" t="str">
        <x:v>M</x:v>
      </x:c>
      <x:c r="S45"/>
      <x:c r="T45"/>
      <x:c r="U45" t="str">
        <x:v>To upgrade mongo db server</x:v>
      </x:c>
      <x:c r="V45" t="n">
        <x:v>46043.17292675926</x:v>
      </x:c>
      <x:c r="W45" t="str">
        <x:v>ng.kokkwan@petronas.com</x:v>
      </x:c>
      <x:c r="X45" t="str">
        <x:v>approved</x:v>
      </x:c>
      <x:c r="Y45" t="str">
        <x:v>Good to go</x:v>
      </x:c>
      <x:c r="Z45" t="n">
        <x:v>46044.074134953706</x:v>
      </x:c>
      <x:c r="AA45" t="str">
        <x:v>samsuddin.jumbri@petronas.com</x:v>
      </x:c>
      <x:c r="AB45" t="str">
        <x:v>approved</x:v>
      </x:c>
      <x:c r="AC45" t="str">
        <x:v>.</x:v>
      </x:c>
      <x:c r="AD45" t="n">
        <x:v>46057.865252916665</x:v>
      </x:c>
      <x:c r="AE45" t="str">
        <x:v>syazali.saad@petronas.com</x:v>
      </x:c>
      <x:c r="AF45" t="str">
        <x:v>approved</x:v>
      </x:c>
      <x:c r="AG45" t="str">
        <x:v>Resources provisioned</x:v>
      </x:c>
      <x:c r="AH45" t="n">
        <x:v>46064.28627195602</x:v>
      </x:c>
      <x:c r="AI45" t="str">
        <x:v>norhamizah.hasni@petronas.com</x:v>
      </x:c>
      <x:c r="AJ45" t="str">
        <x:v>approved</x:v>
      </x:c>
      <x:c r="AK45" t="str">
        <x:v>REQ000007858990</x:v>
      </x:c>
      <x:c r="AL45" t="str">
        <x:v>40f38073-a217-4238-a072-e59828a6d0da</x:v>
      </x:c>
      <x:c r="AM45" s="23" t="str">
        <x:f>IF(E45="processing",IF(Z45="","",IF(ISNUMBER(Z45),INT(Z45),DATE(VALUE(LEFT(Z45,4)),VALUE(MID(Z45,6,2)),VALUE(MID(Z45,9,2))))),IF(OR(E45="executing",E45="pending"),IF(AD45="","",IF(ISNUMBER(AD45),INT(AD45),DATE(VALUE(LEFT(AD45,4)),VALUE(MID(AD45,6,2)),VALUE(MID(AD45,9,2))))),""))</x:f>
      </x:c>
      <x:c r="AN45" s="24" t="str">
        <x:f>IF(AM45="","",INT('Configuration'!$B$4)-AM45)</x:f>
      </x:c>
      <x:c r="AO45" s="25" t="str">
        <x:f>IF(AM45="","Missing Required Date",IF(AN45&lt;0,"Future Date",IF(AN45=0,"0 days",IF(AN45&lt;=2,"1-2 days",IF(AN45&lt;=7,"3-7 days",IF(AN45&lt;=14,"8-14 days",IF(AN45&lt;=30,"15-30 days",IF(AN45&lt;=60,"31-60 days",IF(AN45&lt;=70,"61-70 days","71+ days")))))))))</x:f>
        <x:v>Missing Required Date</x:v>
      </x:c>
      <x:c r="AP45" s="25" t="str">
        <x:f>IF(OR(E45="processing",E45="executing",E45="pending"),IF(AM45="","Required aging date missing",IF(AN45&gt;30,"Escalate &gt;30d",IF(AN45&gt;14,"Watch &gt;14d","Within 14d"))),"Out of scope")</x:f>
        <x:v>Out of scope</x:v>
      </x:c>
    </x:row>
    <x:row r="46" ht="24" customHeight="1">
      <x:c r="A46" t="str">
        <x:v>41d403d3-91ef-4a92-9a31-8b7549f61426</x:v>
      </x:c>
      <x:c r="B46" t="str">
        <x:v>CSSP10387983</x:v>
      </x:c>
      <x:c r="C46" t="str">
        <x:v>nuralia.anuar@petronas.com</x:v>
      </x:c>
      <x:c r="D46" t="str">
        <x:v>provision-cloud-public</x:v>
      </x:c>
      <x:c r="E46" t="str">
        <x:v>completed</x:v>
      </x:c>
      <x:c r="F46" t="n">
        <x:v>46035.325043784724</x:v>
      </x:c>
      <x:c r="G46" t="n">
        <x:v>46038.227984537036</x:v>
      </x:c>
      <x:c r="H46" t="n">
        <x:v>46062.27088791667</x:v>
      </x:c>
      <x:c r="I46" t="str">
        <x:v>A-000239</x:v>
      </x:c>
      <x:c r="J46" t="str">
        <x:v>Data Science Advanced Analytics</x:v>
      </x:c>
      <x:c r="K46" t="n">
        <x:v>2902</x:v>
      </x:c>
      <x:c r="L46" t="str">
        <x:v>Provisioning Dedicated Advanced Analytics subscription (Terraform-enabled Azure Cloud Infrastructure) for Data Science Department</x:v>
      </x:c>
      <x:c r="M46" t="str">
        <x:v>ng.kokkwan@petronas.com.my</x:v>
      </x:c>
      <x:c r="N46" t="str">
        <x:v>azure-terraform-iac-daa-caf-configuration</x:v>
      </x:c>
      <x:c r="O46" t="str">
        <x:v>Modify</x:v>
      </x:c>
      <x:c r="P46" t="str">
        <x:v>Development</x:v>
      </x:c>
      <x:c r="Q46" t="str">
        <x:v>RG: PTAZSG-IAC-DAA-DEV-GUROBI-RG
Resource: ptazsg-5gurobiaks01
Upsize: Increase the node size from 16vCPU to 32vCPU. Standard_F16s_v2 to Standard_F32s_v2</x:v>
      </x:c>
      <x:c r="R46" t="str">
        <x:v>L</x:v>
      </x:c>
      <x:c r="S46"/>
      <x:c r="T46"/>
      <x:c r="U46" t="str">
        <x:v>Projects are ramping up testing</x:v>
      </x:c>
      <x:c r="V46" t="n">
        <x:v>46038.355093391205</x:v>
      </x:c>
      <x:c r="W46" t="str">
        <x:v>ng.kokkwan@petronas.com</x:v>
      </x:c>
      <x:c r="X46" t="str">
        <x:v>approved</x:v>
      </x:c>
      <x:c r="Y46" t="str">
        <x:v>Good to go</x:v>
      </x:c>
      <x:c r="Z46" t="n">
        <x:v>46044.07491362269</x:v>
      </x:c>
      <x:c r="AA46" t="str">
        <x:v>samsuddin.jumbri@petronas.com</x:v>
      </x:c>
      <x:c r="AB46" t="str">
        <x:v>approved</x:v>
      </x:c>
      <x:c r="AC46" t="str">
        <x:v>DAA</x:v>
      </x:c>
      <x:c r="AD46" t="n">
        <x:v>46051.25548115741</x:v>
      </x:c>
      <x:c r="AE46" t="str">
        <x:v>syazali.saad@petronas.com</x:v>
      </x:c>
      <x:c r="AF46" t="str">
        <x:v>approved</x:v>
      </x:c>
      <x:c r="AG46" t="str">
        <x:v>New node pool configured. </x:v>
      </x:c>
      <x:c r="AH46" t="n">
        <x:v>46062.27088792824</x:v>
      </x:c>
      <x:c r="AI46" t="str">
        <x:v>fathulrahman.misba@petronas.com</x:v>
      </x:c>
      <x:c r="AJ46" t="str">
        <x:v>approved</x:v>
      </x:c>
      <x:c r="AK46" t="str">
        <x:v>REQ000007849082</x:v>
      </x:c>
      <x:c r="AL46" t="str">
        <x:v>40f38073-a217-4238-a072-e59828a6d0da</x:v>
      </x:c>
      <x:c r="AM46" s="23" t="str">
        <x:f>IF(E46="processing",IF(Z46="","",IF(ISNUMBER(Z46),INT(Z46),DATE(VALUE(LEFT(Z46,4)),VALUE(MID(Z46,6,2)),VALUE(MID(Z46,9,2))))),IF(OR(E46="executing",E46="pending"),IF(AD46="","",IF(ISNUMBER(AD46),INT(AD46),DATE(VALUE(LEFT(AD46,4)),VALUE(MID(AD46,6,2)),VALUE(MID(AD46,9,2))))),""))</x:f>
      </x:c>
      <x:c r="AN46" s="24" t="str">
        <x:f>IF(AM46="","",INT('Configuration'!$B$4)-AM46)</x:f>
      </x:c>
      <x:c r="AO46" s="25" t="str">
        <x:f>IF(AM46="","Missing Required Date",IF(AN46&lt;0,"Future Date",IF(AN46=0,"0 days",IF(AN46&lt;=2,"1-2 days",IF(AN46&lt;=7,"3-7 days",IF(AN46&lt;=14,"8-14 days",IF(AN46&lt;=30,"15-30 days",IF(AN46&lt;=60,"31-60 days",IF(AN46&lt;=70,"61-70 days","71+ days")))))))))</x:f>
        <x:v>Missing Required Date</x:v>
      </x:c>
      <x:c r="AP46" s="25" t="str">
        <x:f>IF(OR(E46="processing",E46="executing",E46="pending"),IF(AM46="","Required aging date missing",IF(AN46&gt;30,"Escalate &gt;30d",IF(AN46&gt;14,"Watch &gt;14d","Within 14d"))),"Out of scope")</x:f>
        <x:v>Out of scope</x:v>
      </x:c>
    </x:row>
    <x:row r="47" ht="24" customHeight="1">
      <x:c r="A47" t="str">
        <x:v>16b5df83-687f-44fb-ad8a-78d3a1cbe2c3</x:v>
      </x:c>
      <x:c r="B47" t="str">
        <x:v>CSSP10331232</x:v>
      </x:c>
      <x:c r="C47" t="str">
        <x:v>norhajarsyazwani.moh@petronas.com</x:v>
      </x:c>
      <x:c r="D47" t="str">
        <x:v>provision-cloud-public</x:v>
      </x:c>
      <x:c r="E47" t="str">
        <x:v>completed</x:v>
      </x:c>
      <x:c r="F47" t="n">
        <x:v>46035.40910582176</x:v>
      </x:c>
      <x:c r="G47" t="n">
        <x:v>46050.33567625</x:v>
      </x:c>
      <x:c r="H47" t="n">
        <x:v>46064.28719232639</x:v>
      </x:c>
      <x:c r="I47" t="str">
        <x:v>A-000633</x:v>
      </x:c>
      <x:c r="J47" t="str">
        <x:v>Price Management Tool - PMT</x:v>
      </x:c>
      <x:c r="K47" t="n">
        <x:v>1687</x:v>
      </x:c>
      <x:c r="L47" t="str">
        <x:v>Provision of Support &amp; Maintenance for Price Management Tool (PMT) 2.0 for PCML</x:v>
      </x:c>
      <x:c r="M47" t="str">
        <x:v>noraziah.aziz@petronas.com.my</x:v>
      </x:c>
      <x:c r="N47" t="str">
        <x:v>PMT2.0 Application Support and Maintenance</x:v>
      </x:c>
      <x:c r="O47" t="str">
        <x:v>Modify</x:v>
      </x:c>
      <x:c r="P47" t="str">
        <x:v>Production</x:v>
      </x:c>
      <x:c r="Q47" t="str">
        <x:v>To upgrade Kubernetes version, ubuntu version and add one (1) additional node in ptsg-1pmtaks. AKS cluster to be upgraded to 1.33.0. Ubuntu version to be upgraded to 22.04. Please assign to Mohamad Izzat Hazwan Romainor (IS/DIGITAL). If Hazwan is not available kindly nominate other support PIC. Thank you.</x:v>
      </x:c>
      <x:c r="R47" t="str">
        <x:v>M</x:v>
      </x:c>
      <x:c r="S47" t="str">
        <x:v>ICT_RFC00218881</x:v>
      </x:c>
      <x:c r="T47"/>
      <x:c r="U47" t="str">
        <x:v>approved as advise by support</x:v>
      </x:c>
      <x:c r="V47" t="n">
        <x:v>46050.99673195602</x:v>
      </x:c>
      <x:c r="W47" t="str">
        <x:v>noraziah.aziz@petronas.com</x:v>
      </x:c>
      <x:c r="X47" t="str">
        <x:v>approved</x:v>
      </x:c>
      <x:c r="Y47" t="str">
        <x:v>Good to go</x:v>
      </x:c>
      <x:c r="Z47" t="n">
        <x:v>46051.138832986115</x:v>
      </x:c>
      <x:c r="AA47" t="str">
        <x:v>samsuddin.jumbri@petronas.com</x:v>
      </x:c>
      <x:c r="AB47" t="str">
        <x:v>approved</x:v>
      </x:c>
      <x:c r="AC47" t="str">
        <x:v>unix vm</x:v>
      </x:c>
      <x:c r="AD47" t="n">
        <x:v>46057.863137430555</x:v>
      </x:c>
      <x:c r="AE47" t="str">
        <x:v>syazali.saad@petronas.com</x:v>
      </x:c>
      <x:c r="AF47" t="str">
        <x:v>approved</x:v>
      </x:c>
      <x:c r="AG47" t="str">
        <x:v>RFC task assigned to Luis and it is completed.</x:v>
      </x:c>
      <x:c r="AH47" t="n">
        <x:v>46064.287192337964</x:v>
      </x:c>
      <x:c r="AI47" t="str">
        <x:v>norhamizah.hasni@petronas.com</x:v>
      </x:c>
      <x:c r="AJ47" t="str">
        <x:v>approved</x:v>
      </x:c>
      <x:c r="AK47" t="str">
        <x:v>REQ000007859219</x:v>
      </x:c>
      <x:c r="AL47" t="str">
        <x:v>2505cb08-b067-4c2b-8956-f83a94b5cf3a</x:v>
      </x:c>
      <x:c r="AM47" s="23" t="str">
        <x:f>IF(E47="processing",IF(Z47="","",IF(ISNUMBER(Z47),INT(Z47),DATE(VALUE(LEFT(Z47,4)),VALUE(MID(Z47,6,2)),VALUE(MID(Z47,9,2))))),IF(OR(E47="executing",E47="pending"),IF(AD47="","",IF(ISNUMBER(AD47),INT(AD47),DATE(VALUE(LEFT(AD47,4)),VALUE(MID(AD47,6,2)),VALUE(MID(AD47,9,2))))),""))</x:f>
      </x:c>
      <x:c r="AN47" s="24" t="str">
        <x:f>IF(AM47="","",INT('Configuration'!$B$4)-AM47)</x:f>
      </x:c>
      <x:c r="AO47" s="25" t="str">
        <x:f>IF(AM47="","Missing Required Date",IF(AN47&lt;0,"Future Date",IF(AN47=0,"0 days",IF(AN47&lt;=2,"1-2 days",IF(AN47&lt;=7,"3-7 days",IF(AN47&lt;=14,"8-14 days",IF(AN47&lt;=30,"15-30 days",IF(AN47&lt;=60,"31-60 days",IF(AN47&lt;=70,"61-70 days","71+ days")))))))))</x:f>
        <x:v>Missing Required Date</x:v>
      </x:c>
      <x:c r="AP47" s="25" t="str">
        <x:f>IF(OR(E47="processing",E47="executing",E47="pending"),IF(AM47="","Required aging date missing",IF(AN47&gt;30,"Escalate &gt;30d",IF(AN47&gt;14,"Watch &gt;14d","Within 14d"))),"Out of scope")</x:f>
        <x:v>Out of scope</x:v>
      </x:c>
    </x:row>
    <x:row r="48" ht="24" customHeight="1">
      <x:c r="A48" t="str">
        <x:v>d92a319e-9028-481a-9898-063051993069</x:v>
      </x:c>
      <x:c r="B48" t="str">
        <x:v>CSSP10646457</x:v>
      </x:c>
      <x:c r="C48" t="str">
        <x:v>noraini.abdjalil@petronas.com</x:v>
      </x:c>
      <x:c r="D48" t="str">
        <x:v>provision-cloud-public</x:v>
      </x:c>
      <x:c r="E48" t="str">
        <x:v>rejected</x:v>
      </x:c>
      <x:c r="F48" t="n">
        <x:v>46043.34170347222</x:v>
      </x:c>
      <x:c r="G48" t="n">
        <x:v>46043.34170347222</x:v>
      </x:c>
      <x:c r="H48" t="n">
        <x:v>46050.12726059028</x:v>
      </x:c>
      <x:c r="I48" t="str">
        <x:v>A-000804</x:v>
      </x:c>
      <x:c r="J48" t="str">
        <x:v>TEA  </x:v>
      </x:c>
      <x:c r="K48" t="str">
        <x:v>00971_2</x:v>
      </x:c>
      <x:c r="L48" t="str">
        <x:v>PDB landing zone TEA Application</x:v>
      </x:c>
      <x:c r="M48" t="str">
        <x:v>shawnbenedict.anthon@petronas.com.my</x:v>
      </x:c>
      <x:c r="N48" t="str">
        <x:v>PETRONAS_AWS_Cloud_LandingZone</x:v>
      </x:c>
      <x:c r="O48" t="str">
        <x:v>New</x:v>
      </x:c>
      <x:c r="P48" t="str">
        <x:v>StagingUat</x:v>
      </x:c>
      <x:c r="Q48" t="str">
        <x:v>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x:v>
      </x:c>
      <x:c r="R48"/>
      <x:c r="S48"/>
      <x:c r="T48"/>
      <x:c r="U48" t="str">
        <x:v>This is required for CS upgrade</x:v>
      </x:c>
      <x:c r="V48" t="n">
        <x:v>46043.34439252315</x:v>
      </x:c>
      <x:c r="W48" t="str">
        <x:v>shawnbenedict.anthon@petronas.com</x:v>
      </x:c>
      <x:c r="X48" t="str">
        <x:v>approved</x:v>
      </x:c>
      <x:c r="Y48" t="str">
        <x:v>Please provide all attachments, i.e. approved SOW, SP CS BIA, intended design(approved myHLD)</x:v>
      </x:c>
      <x:c r="Z48" t="n">
        <x:v>46050.12726059028</x:v>
      </x:c>
      <x:c r="AA48" t="str">
        <x:v>kianleng.geh@petronas.com</x:v>
      </x:c>
      <x:c r="AB48" t="str">
        <x:v>rejected</x:v>
      </x:c>
      <x:c r="AC48"/>
      <x:c r="AD48"/>
      <x:c r="AE48" t="str">
        <x:v>CCoE Business</x:v>
      </x:c>
      <x:c r="AF48"/>
      <x:c r="AG48"/>
      <x:c r="AH48"/>
      <x:c r="AI48" t="str">
        <x:v>CCoE Core Services (Public)</x:v>
      </x:c>
      <x:c r="AJ48"/>
      <x:c r="AK48"/>
      <x:c r="AL48" t="str">
        <x:v>8c439d80-c07f-4823-acc0-f1852d6b6218</x:v>
      </x:c>
      <x:c r="AM48" s="23" t="str">
        <x:f>IF(E48="processing",IF(Z48="","",IF(ISNUMBER(Z48),INT(Z48),DATE(VALUE(LEFT(Z48,4)),VALUE(MID(Z48,6,2)),VALUE(MID(Z48,9,2))))),IF(OR(E48="executing",E48="pending"),IF(AD48="","",IF(ISNUMBER(AD48),INT(AD48),DATE(VALUE(LEFT(AD48,4)),VALUE(MID(AD48,6,2)),VALUE(MID(AD48,9,2))))),""))</x:f>
      </x:c>
      <x:c r="AN48" s="24" t="str">
        <x:f>IF(AM48="","",INT('Configuration'!$B$4)-AM48)</x:f>
      </x:c>
      <x:c r="AO48" s="25" t="str">
        <x:f>IF(AM48="","Missing Required Date",IF(AN48&lt;0,"Future Date",IF(AN48=0,"0 days",IF(AN48&lt;=2,"1-2 days",IF(AN48&lt;=7,"3-7 days",IF(AN48&lt;=14,"8-14 days",IF(AN48&lt;=30,"15-30 days",IF(AN48&lt;=60,"31-60 days",IF(AN48&lt;=70,"61-70 days","71+ days")))))))))</x:f>
        <x:v>Missing Required Date</x:v>
      </x:c>
      <x:c r="AP48" s="25" t="str">
        <x:f>IF(OR(E48="processing",E48="executing",E48="pending"),IF(AM48="","Required aging date missing",IF(AN48&gt;30,"Escalate &gt;30d",IF(AN48&gt;14,"Watch &gt;14d","Within 14d"))),"Out of scope")</x:f>
        <x:v>Out of scope</x:v>
      </x:c>
    </x:row>
    <x:row r="49" ht="24" customHeight="1">
      <x:c r="A49" t="str">
        <x:v>1454552b-cfba-41bf-9e1b-716349b8bb51</x:v>
      </x:c>
      <x:c r="B49" t="str">
        <x:v>CSSP10772940</x:v>
      </x:c>
      <x:c r="C49" t="str">
        <x:v>mnazli.sukimin@petronas.com</x:v>
      </x:c>
      <x:c r="D49" t="str">
        <x:v>provision-cloud-public</x:v>
      </x:c>
      <x:c r="E49" t="str">
        <x:v>completed</x:v>
      </x:c>
      <x:c r="F49" t="n">
        <x:v>46043.35117908565</x:v>
      </x:c>
      <x:c r="G49" t="n">
        <x:v>46043.35117908565</x:v>
      </x:c>
      <x:c r="H49" t="n">
        <x:v>46050.17899443287</x:v>
      </x:c>
      <x:c r="I49" t="str">
        <x:v>A-000380</x:v>
      </x:c>
      <x:c r="J49" t="str">
        <x:v>Lab Information Management System - LIMS PCGB</x:v>
      </x:c>
      <x:c r="K49" t="str">
        <x:v>SR00080</x:v>
      </x:c>
      <x:c r="L49" t="str">
        <x:v>Provisioning of Virtual Machine for LIMS with ELN for STAR+ Project for PCGB</x:v>
      </x:c>
      <x:c r="M49" t="str">
        <x:v>siowfui.chen@petronas.com</x:v>
      </x:c>
      <x:c r="N49" t="str">
        <x:v>iLIMS PCGB</x:v>
      </x:c>
      <x:c r="O49" t="str">
        <x:v>Modify</x:v>
      </x:c>
      <x:c r="P49" t="str">
        <x:v>StagingUat</x:v>
      </x:c>
      <x:c r="Q49" t="str">
        <x:v>to add storage (100GB) at new drive (E:/) on newly provisioned VM (PTAWMY-4LPCGAP1) under CSSP request no CSSP10469672.</x:v>
      </x:c>
      <x:c r="R49" t="str">
        <x:v>S</x:v>
      </x:c>
      <x:c r="S49"/>
      <x:c r="T49"/>
      <x:c r="U49" t="str">
        <x:v>Please proceed</x:v>
      </x:c>
      <x:c r="V49" t="n">
        <x:v>46044.114594108796</x:v>
      </x:c>
      <x:c r="W49" t="str">
        <x:v>siowfui.chen@petronas.com</x:v>
      </x:c>
      <x:c r="X49" t="str">
        <x:v>approved</x:v>
      </x:c>
      <x:c r="Y49" t="str">
        <x:v>Good to go</x:v>
      </x:c>
      <x:c r="Z49" t="n">
        <x:v>46044.148965671295</x:v>
      </x:c>
      <x:c r="AA49" t="str">
        <x:v>samsuddin.jumbri@petronas.com</x:v>
      </x:c>
      <x:c r="AB49" t="str">
        <x:v>approved</x:v>
      </x:c>
      <x:c r="AC49" t="str">
        <x:v>assigned/emailed on 22nd.</x:v>
      </x:c>
      <x:c r="AD49" t="n">
        <x:v>46050.166012546295</x:v>
      </x:c>
      <x:c r="AE49" t="str">
        <x:v>syazali.saad@petronas.com</x:v>
      </x:c>
      <x:c r="AF49" t="str">
        <x:v>approved</x:v>
      </x:c>
      <x:c r="AG49" t="str">
        <x:v>completed</x:v>
      </x:c>
      <x:c r="AH49" t="n">
        <x:v>46050.178994444446</x:v>
      </x:c>
      <x:c r="AI49" t="str">
        <x:v>akhmal.roslan@petronas.com</x:v>
      </x:c>
      <x:c r="AJ49" t="str">
        <x:v>approved</x:v>
      </x:c>
      <x:c r="AK49" t="str">
        <x:v>REQ000007846322</x:v>
      </x:c>
      <x:c r="AL49" t="str">
        <x:v>094b0a7e-cc8c-4a71-a978-7149a45f7482</x:v>
      </x:c>
      <x:c r="AM49" s="23" t="str">
        <x:f>IF(E49="processing",IF(Z49="","",IF(ISNUMBER(Z49),INT(Z49),DATE(VALUE(LEFT(Z49,4)),VALUE(MID(Z49,6,2)),VALUE(MID(Z49,9,2))))),IF(OR(E49="executing",E49="pending"),IF(AD49="","",IF(ISNUMBER(AD49),INT(AD49),DATE(VALUE(LEFT(AD49,4)),VALUE(MID(AD49,6,2)),VALUE(MID(AD49,9,2))))),""))</x:f>
      </x:c>
      <x:c r="AN49" s="24" t="str">
        <x:f>IF(AM49="","",INT('Configuration'!$B$4)-AM49)</x:f>
      </x:c>
      <x:c r="AO49" s="25" t="str">
        <x:f>IF(AM49="","Missing Required Date",IF(AN49&lt;0,"Future Date",IF(AN49=0,"0 days",IF(AN49&lt;=2,"1-2 days",IF(AN49&lt;=7,"3-7 days",IF(AN49&lt;=14,"8-14 days",IF(AN49&lt;=30,"15-30 days",IF(AN49&lt;=60,"31-60 days",IF(AN49&lt;=70,"61-70 days","71+ days")))))))))</x:f>
        <x:v>Missing Required Date</x:v>
      </x:c>
      <x:c r="AP49" s="25" t="str">
        <x:f>IF(OR(E49="processing",E49="executing",E49="pending"),IF(AM49="","Required aging date missing",IF(AN49&gt;30,"Escalate &gt;30d",IF(AN49&gt;14,"Watch &gt;14d","Within 14d"))),"Out of scope")</x:f>
        <x:v>Out of scope</x:v>
      </x:c>
    </x:row>
    <x:row r="50" ht="24" customHeight="1">
      <x:c r="A50" t="str">
        <x:v>79e594d8-f088-4aa8-9578-92e49b26c9c1</x:v>
      </x:c>
      <x:c r="B50" t="str">
        <x:v>CSSP10986022</x:v>
      </x:c>
      <x:c r="C50" t="str">
        <x:v>hairol.zainul@petronas.com</x:v>
      </x:c>
      <x:c r="D50" t="str">
        <x:v>provision-cloud-public</x:v>
      </x:c>
      <x:c r="E50" t="str">
        <x:v>rejected</x:v>
      </x:c>
      <x:c r="F50" t="n">
        <x:v>46050.264532395835</x:v>
      </x:c>
      <x:c r="G50" t="n">
        <x:v>46050.264532395835</x:v>
      </x:c>
      <x:c r="H50" t="n">
        <x:v>46050.30232278935</x:v>
      </x:c>
      <x:c r="I50" t="str">
        <x:v>A-001318</x:v>
      </x:c>
      <x:c r="J50" t="str">
        <x:v>Plant State Integrity - PSI PCOGD</x:v>
      </x:c>
      <x:c r="K50" t="str">
        <x:v>SR00050</x:v>
      </x:c>
      <x:c r="L50" t="str">
        <x:v>Provisioning Server for RTOT Upgrading for PCOGD</x:v>
      </x:c>
      <x:c r="M50" t="str">
        <x:v>siowfui.chen@petronas.com.my</x:v>
      </x:c>
      <x:c r="N50" t="str">
        <x:v>PAMS</x:v>
      </x:c>
      <x:c r="O50" t="str">
        <x:v>New</x:v>
      </x:c>
      <x:c r="P50" t="str">
        <x:v>Production</x:v>
      </x:c>
      <x:c r="Q50" t="str">
        <x:v>To provision new VM at level 4</x:v>
      </x:c>
      <x:c r="R50"/>
      <x:c r="S50"/>
      <x:c r="T50"/>
      <x:c r="U50" t="str">
        <x:v>Requested to resubmit</x:v>
      </x:c>
      <x:c r="V50" t="n">
        <x:v>46050.302322800926</x:v>
      </x:c>
      <x:c r="W50" t="str">
        <x:v>siowfui.chen@petronas.com</x:v>
      </x:c>
      <x:c r="X50" t="str">
        <x:v>rejected</x:v>
      </x:c>
      <x:c r="Y50"/>
      <x:c r="Z50"/>
      <x:c r="AA50" t="str">
        <x:v>CCoE Demand</x:v>
      </x:c>
      <x:c r="AB50"/>
      <x:c r="AC50"/>
      <x:c r="AD50"/>
      <x:c r="AE50" t="str">
        <x:v>CCoE Business</x:v>
      </x:c>
      <x:c r="AF50"/>
      <x:c r="AG50"/>
      <x:c r="AH50"/>
      <x:c r="AI50" t="str">
        <x:v>CCoE Core Services (Public)</x:v>
      </x:c>
      <x:c r="AJ50"/>
      <x:c r="AK50"/>
      <x:c r="AL50" t="str">
        <x:v>c4badc52-dfe2-4bc1-b7e5-0a9c5d89fdbb</x:v>
      </x:c>
      <x:c r="AM50" s="23" t="str">
        <x:f>IF(E50="processing",IF(Z50="","",IF(ISNUMBER(Z50),INT(Z50),DATE(VALUE(LEFT(Z50,4)),VALUE(MID(Z50,6,2)),VALUE(MID(Z50,9,2))))),IF(OR(E50="executing",E50="pending"),IF(AD50="","",IF(ISNUMBER(AD50),INT(AD50),DATE(VALUE(LEFT(AD50,4)),VALUE(MID(AD50,6,2)),VALUE(MID(AD50,9,2))))),""))</x:f>
      </x:c>
      <x:c r="AN50" s="24" t="str">
        <x:f>IF(AM50="","",INT('Configuration'!$B$4)-AM50)</x:f>
      </x:c>
      <x:c r="AO50" s="25" t="str">
        <x:f>IF(AM50="","Missing Required Date",IF(AN50&lt;0,"Future Date",IF(AN50=0,"0 days",IF(AN50&lt;=2,"1-2 days",IF(AN50&lt;=7,"3-7 days",IF(AN50&lt;=14,"8-14 days",IF(AN50&lt;=30,"15-30 days",IF(AN50&lt;=60,"31-60 days",IF(AN50&lt;=70,"61-70 days","71+ days")))))))))</x:f>
        <x:v>Missing Required Date</x:v>
      </x:c>
      <x:c r="AP50" s="25" t="str">
        <x:f>IF(OR(E50="processing",E50="executing",E50="pending"),IF(AM50="","Required aging date missing",IF(AN50&gt;30,"Escalate &gt;30d",IF(AN50&gt;14,"Watch &gt;14d","Within 14d"))),"Out of scope")</x:f>
        <x:v>Out of scope</x:v>
      </x:c>
    </x:row>
    <x:row r="51" ht="24" customHeight="1">
      <x:c r="A51" t="str">
        <x:v>9aef2064-d0c0-418f-b515-c8c62d398819</x:v>
      </x:c>
      <x:c r="B51" t="str">
        <x:v>CSSP10155550</x:v>
      </x:c>
      <x:c r="C51" t="str">
        <x:v>hairol.zainul@petronas.com</x:v>
      </x:c>
      <x:c r="D51" t="str">
        <x:v>provision-cloud-public</x:v>
      </x:c>
      <x:c r="E51" t="str">
        <x:v>completed</x:v>
      </x:c>
      <x:c r="F51" t="n">
        <x:v>46050.32672013889</x:v>
      </x:c>
      <x:c r="G51" t="n">
        <x:v>46051.04448454861</x:v>
      </x:c>
      <x:c r="H51" t="n">
        <x:v>46059.20812232639</x:v>
      </x:c>
      <x:c r="I51" t="str">
        <x:v>A-001318</x:v>
      </x:c>
      <x:c r="J51" t="str">
        <x:v>Plant State Integrity - PSI PCOGD</x:v>
      </x:c>
      <x:c r="K51" t="str">
        <x:v>SR00050</x:v>
      </x:c>
      <x:c r="L51" t="str">
        <x:v>Provisioning Server for RTOT Upgrading for PCOGD</x:v>
      </x:c>
      <x:c r="M51" t="str">
        <x:v>siowfui.chen@petronas.com.my</x:v>
      </x:c>
      <x:c r="N51" t="str">
        <x:v>Provisioning Server for RTOT Upgrading for PCOGD</x:v>
      </x:c>
      <x:c r="O51" t="str">
        <x:v>New</x:v>
      </x:c>
      <x:c r="P51" t="str">
        <x:v>Production</x:v>
      </x:c>
      <x:c r="Q51" t="str">
        <x:v>To provision new server for AMS</x:v>
      </x:c>
      <x:c r="R51" t="str">
        <x:v>S</x:v>
      </x:c>
      <x:c r="S51"/>
      <x:c r="T51"/>
      <x:c r="U51" t="str">
        <x:v>please proceed</x:v>
      </x:c>
      <x:c r="V51" t="n">
        <x:v>46051.12699298611</x:v>
      </x:c>
      <x:c r="W51" t="str">
        <x:v>siowfui.chen@petronas.com</x:v>
      </x:c>
      <x:c r="X51" t="str">
        <x:v>approved</x:v>
      </x:c>
      <x:c r="Y51" t="str">
        <x:v>Good to go</x:v>
      </x:c>
      <x:c r="Z51" t="n">
        <x:v>46051.137274155095</x:v>
      </x:c>
      <x:c r="AA51" t="str">
        <x:v>samsuddin.jumbri@petronas.com</x:v>
      </x:c>
      <x:c r="AB51" t="str">
        <x:v>approved</x:v>
      </x:c>
      <x:c r="AC51" t="str">
        <x:v>2x VM</x:v>
      </x:c>
      <x:c r="AD51" t="n">
        <x:v>46051.250695752315</x:v>
      </x:c>
      <x:c r="AE51" t="str">
        <x:v>syazali.saad@petronas.com</x:v>
      </x:c>
      <x:c r="AF51" t="str">
        <x:v>approved</x:v>
      </x:c>
      <x:c r="AG51" t="str">
        <x:v>Completed</x:v>
      </x:c>
      <x:c r="AH51" t="n">
        <x:v>46059.20812232639</x:v>
      </x:c>
      <x:c r="AI51" t="str">
        <x:v>fatinamirah.mjonik@petronas.com</x:v>
      </x:c>
      <x:c r="AJ51" t="str">
        <x:v>approved</x:v>
      </x:c>
      <x:c r="AK51" t="str">
        <x:v>REQ000007849342</x:v>
      </x:c>
      <x:c r="AL51" t="str">
        <x:v>c4badc52-dfe2-4bc1-b7e5-0a9c5d89fdbb</x:v>
      </x:c>
      <x:c r="AM51" s="23" t="str">
        <x:f>IF(E51="processing",IF(Z51="","",IF(ISNUMBER(Z51),INT(Z51),DATE(VALUE(LEFT(Z51,4)),VALUE(MID(Z51,6,2)),VALUE(MID(Z51,9,2))))),IF(OR(E51="executing",E51="pending"),IF(AD51="","",IF(ISNUMBER(AD51),INT(AD51),DATE(VALUE(LEFT(AD51,4)),VALUE(MID(AD51,6,2)),VALUE(MID(AD51,9,2))))),""))</x:f>
      </x:c>
      <x:c r="AN51" s="24" t="str">
        <x:f>IF(AM51="","",INT('Configuration'!$B$4)-AM51)</x:f>
      </x:c>
      <x:c r="AO51" s="25" t="str">
        <x:f>IF(AM51="","Missing Required Date",IF(AN51&lt;0,"Future Date",IF(AN51=0,"0 days",IF(AN51&lt;=2,"1-2 days",IF(AN51&lt;=7,"3-7 days",IF(AN51&lt;=14,"8-14 days",IF(AN51&lt;=30,"15-30 days",IF(AN51&lt;=60,"31-60 days",IF(AN51&lt;=70,"61-70 days","71+ days")))))))))</x:f>
        <x:v>Missing Required Date</x:v>
      </x:c>
      <x:c r="AP51" s="25" t="str">
        <x:f>IF(OR(E51="processing",E51="executing",E51="pending"),IF(AM51="","Required aging date missing",IF(AN51&gt;30,"Escalate &gt;30d",IF(AN51&gt;14,"Watch &gt;14d","Within 14d"))),"Out of scope")</x:f>
        <x:v>Out of scope</x:v>
      </x:c>
    </x:row>
    <x:row r="52" ht="24" customHeight="1">
      <x:c r="A52" t="str">
        <x:v>205e1923-668a-4370-b2f0-a950e3f8af66</x:v>
      </x:c>
      <x:c r="B52" t="str">
        <x:v>CSSP10994966</x:v>
      </x:c>
      <x:c r="C52" t="str">
        <x:v>mizzudin.manuar@petronas.com</x:v>
      </x:c>
      <x:c r="D52" t="str">
        <x:v>provision-cloud-public</x:v>
      </x:c>
      <x:c r="E52" t="str">
        <x:v>rejected</x:v>
      </x:c>
      <x:c r="F52" t="n">
        <x:v>46058.179556030096</x:v>
      </x:c>
      <x:c r="G52" t="n">
        <x:v>46058.179556030096</x:v>
      </x:c>
      <x:c r="H52" t="n">
        <x:v>46111.17450508102</x:v>
      </x:c>
      <x:c r="I52" t="str">
        <x:v>A-000605</x:v>
      </x:c>
      <x:c r="J52" t="str">
        <x:v>Plant Information - PI Vestigo</x:v>
      </x:c>
      <x:c r="K52" t="str">
        <x:v>02421_64</x:v>
      </x:c>
      <x:c r="L52" t="str">
        <x:v>Cloud Migration Program - PI Vestigo</x:v>
      </x:c>
      <x:c r="M52" t="str">
        <x:v>mohammadsani.johari@petronas.com</x:v>
      </x:c>
      <x:c r="N52" t="str">
        <x:v>Migration of PI System for Vestigo Operatorship Transfer</x:v>
      </x:c>
      <x:c r="O52" t="str">
        <x:v>New</x:v>
      </x:c>
      <x:c r="P52" t="str">
        <x:v>Production</x:v>
      </x:c>
      <x:c r="Q52" t="str">
        <x:v>ESTRELLA: Migration of Plant Information (PI) System for Vestigo Operatorship Transfer
Provision new PI Vision server for Vestigo</x:v>
      </x:c>
      <x:c r="R52" t="str">
        <x:v>M</x:v>
      </x:c>
      <x:c r="S52"/>
      <x:c r="T52"/>
      <x:c r="U52" t="str">
        <x:v>Please proceed. Part of Estrella scope.</x:v>
      </x:c>
      <x:c r="V52" t="n">
        <x:v>46064.285141168984</x:v>
      </x:c>
      <x:c r="W52" t="str">
        <x:v>mohammadsani.johari@petronas.com</x:v>
      </x:c>
      <x:c r="X52" t="str">
        <x:v>approved</x:v>
      </x:c>
      <x:c r="Y52" t="str">
        <x:v>Good to go</x:v>
      </x:c>
      <x:c r="Z52" t="n">
        <x:v>46066.35476798611</x:v>
      </x:c>
      <x:c r="AA52" t="str">
        <x:v>samsuddin.jumbri@petronas.com</x:v>
      </x:c>
      <x:c r="AB52" t="str">
        <x:v>approved</x:v>
      </x:c>
      <x:c r="AC52" t="str">
        <x:v>new ADO &amp; RG (unless requested by user to be in PTAZSG-PROD-VESTIGO-RG (different tagging).
</x:v>
      </x:c>
      <x:c r="AD52" t="n">
        <x:v>46072.2370069213</x:v>
      </x:c>
      <x:c r="AE52" t="str">
        <x:v>syazali.saad@petronas.com</x:v>
      </x:c>
      <x:c r="AF52" t="str">
        <x:v>approved</x:v>
      </x:c>
      <x:c r="AG52" t="str">
        <x:v>meeting held on 30/3/26 - requester agreed to provision in AWS - to aligned with cloud repatriation AWS SG to MY.</x:v>
      </x:c>
      <x:c r="AH52" t="n">
        <x:v>46111.17450509259</x:v>
      </x:c>
      <x:c r="AI52" t="str">
        <x:v>ahmadfirdaus.adnan@petronas.com</x:v>
      </x:c>
      <x:c r="AJ52" t="str">
        <x:v>rejected</x:v>
      </x:c>
      <x:c r="AK52" t="str">
        <x:v>REQ000007881725</x:v>
      </x:c>
      <x:c r="AL52" t="str">
        <x:v>5d3fb87b-9d92-4201-8beb-3a6b20d59907</x:v>
      </x:c>
      <x:c r="AM52" s="23" t="str">
        <x:f>IF(E52="processing",IF(Z52="","",IF(ISNUMBER(Z52),INT(Z52),DATE(VALUE(LEFT(Z52,4)),VALUE(MID(Z52,6,2)),VALUE(MID(Z52,9,2))))),IF(OR(E52="executing",E52="pending"),IF(AD52="","",IF(ISNUMBER(AD52),INT(AD52),DATE(VALUE(LEFT(AD52,4)),VALUE(MID(AD52,6,2)),VALUE(MID(AD52,9,2))))),""))</x:f>
      </x:c>
      <x:c r="AN52" s="24" t="str">
        <x:f>IF(AM52="","",INT('Configuration'!$B$4)-AM52)</x:f>
      </x:c>
      <x:c r="AO52" s="25" t="str">
        <x:f>IF(AM52="","Missing Required Date",IF(AN52&lt;0,"Future Date",IF(AN52=0,"0 days",IF(AN52&lt;=2,"1-2 days",IF(AN52&lt;=7,"3-7 days",IF(AN52&lt;=14,"8-14 days",IF(AN52&lt;=30,"15-30 days",IF(AN52&lt;=60,"31-60 days",IF(AN52&lt;=70,"61-70 days","71+ days")))))))))</x:f>
        <x:v>Missing Required Date</x:v>
      </x:c>
      <x:c r="AP52" s="25" t="str">
        <x:f>IF(OR(E52="processing",E52="executing",E52="pending"),IF(AM52="","Required aging date missing",IF(AN52&gt;30,"Escalate &gt;30d",IF(AN52&gt;14,"Watch &gt;14d","Within 14d"))),"Out of scope")</x:f>
        <x:v>Out of scope</x:v>
      </x:c>
    </x:row>
    <x:row r="53" ht="24" customHeight="1">
      <x:c r="A53" t="str">
        <x:v>c9853726-3588-45a8-9fbe-c2d8d69199e2</x:v>
      </x:c>
      <x:c r="B53" t="str">
        <x:v>CSSP10683335</x:v>
      </x:c>
      <x:c r="C53" t="str">
        <x:v>sriram.vengadaramanu@petronas.com</x:v>
      </x:c>
      <x:c r="D53" t="str">
        <x:v>provision-cloud-public</x:v>
      </x:c>
      <x:c r="E53" t="str">
        <x:v>completed</x:v>
      </x:c>
      <x:c r="F53" t="n">
        <x:v>46062.1332174537</x:v>
      </x:c>
      <x:c r="G53" t="n">
        <x:v>46062.13395496528</x:v>
      </x:c>
      <x:c r="H53" t="n">
        <x:v>46091.30116416667</x:v>
      </x:c>
      <x:c r="I53" t="str">
        <x:v>A-001320</x:v>
      </x:c>
      <x:c r="J53" t="str">
        <x:v>Plant Information - PI BASIL PCMTBE</x:v>
      </x:c>
      <x:c r="K53" t="str">
        <x:v>PSR00621</x:v>
      </x:c>
      <x:c r="L53" t="str">
        <x:v>Provisioning of PI &amp; BASIL Plant Infrastructure for PETRONAS Chemicals MTBE</x:v>
      </x:c>
      <x:c r="M53" t="str">
        <x:v>sulaiman.tawil@petronas.com.my</x:v>
      </x:c>
      <x:c r="N53" t="str">
        <x:v>Provisioning of PI Infrastructure (BASIL Plant) for PCMTBE</x:v>
      </x:c>
      <x:c r="O53" t="str">
        <x:v>New</x:v>
      </x:c>
      <x:c r="P53" t="str">
        <x:v>Production</x:v>
      </x:c>
      <x:c r="Q53" t="str">
        <x:v>To provision 3 new Azure VMs accordingly.</x:v>
      </x:c>
      <x:c r="R53" t="str">
        <x:v>M</x:v>
      </x:c>
      <x:c r="S53"/>
      <x:c r="T53"/>
      <x:c r="U53" t="str">
        <x:v>Please proceed.</x:v>
      </x:c>
      <x:c r="V53" t="n">
        <x:v>46062.13613082176</x:v>
      </x:c>
      <x:c r="W53" t="str">
        <x:v>sulaiman.tawil@petronas.com</x:v>
      </x:c>
      <x:c r="X53" t="str">
        <x:v>approved</x:v>
      </x:c>
      <x:c r="Y53" t="str">
        <x:v>Good to go</x:v>
      </x:c>
      <x:c r="Z53" t="n">
        <x:v>46066.35684920139</x:v>
      </x:c>
      <x:c r="AA53" t="str">
        <x:v>samsuddin.jumbri@petronas.com</x:v>
      </x:c>
      <x:c r="AB53" t="str">
        <x:v>approved</x:v>
      </x:c>
      <x:c r="AC53" t="str">
        <x:v>VM and SQL vm</x:v>
      </x:c>
      <x:c r="AD53" t="n">
        <x:v>46072.247005798614</x:v>
      </x:c>
      <x:c r="AE53" t="str">
        <x:v>syazali.saad@petronas.com</x:v>
      </x:c>
      <x:c r="AF53" t="str">
        <x:v>approved</x:v>
      </x:c>
      <x:c r="AG53" t="str">
        <x:v>Completed</x:v>
      </x:c>
      <x:c r="AH53" t="n">
        <x:v>46091.30116416667</x:v>
      </x:c>
      <x:c r="AI53" t="str">
        <x:v>amin.manshor@petronas.com</x:v>
      </x:c>
      <x:c r="AJ53" t="str">
        <x:v>approved</x:v>
      </x:c>
      <x:c r="AK53" t="str">
        <x:v>REQ000007881168</x:v>
      </x:c>
      <x:c r="AL53" t="str">
        <x:v>d0464d7c-9244-49d6-bfa4-e8081b7fd90e</x:v>
      </x:c>
      <x:c r="AM53" s="23" t="str">
        <x:f>IF(E53="processing",IF(Z53="","",IF(ISNUMBER(Z53),INT(Z53),DATE(VALUE(LEFT(Z53,4)),VALUE(MID(Z53,6,2)),VALUE(MID(Z53,9,2))))),IF(OR(E53="executing",E53="pending"),IF(AD53="","",IF(ISNUMBER(AD53),INT(AD53),DATE(VALUE(LEFT(AD53,4)),VALUE(MID(AD53,6,2)),VALUE(MID(AD53,9,2))))),""))</x:f>
      </x:c>
      <x:c r="AN53" s="24" t="str">
        <x:f>IF(AM53="","",INT('Configuration'!$B$4)-AM53)</x:f>
      </x:c>
      <x:c r="AO53" s="25" t="str">
        <x:f>IF(AM53="","Missing Required Date",IF(AN53&lt;0,"Future Date",IF(AN53=0,"0 days",IF(AN53&lt;=2,"1-2 days",IF(AN53&lt;=7,"3-7 days",IF(AN53&lt;=14,"8-14 days",IF(AN53&lt;=30,"15-30 days",IF(AN53&lt;=60,"31-60 days",IF(AN53&lt;=70,"61-70 days","71+ days")))))))))</x:f>
        <x:v>Missing Required Date</x:v>
      </x:c>
      <x:c r="AP53" s="25" t="str">
        <x:f>IF(OR(E53="processing",E53="executing",E53="pending"),IF(AM53="","Required aging date missing",IF(AN53&gt;30,"Escalate &gt;30d",IF(AN53&gt;14,"Watch &gt;14d","Within 14d"))),"Out of scope")</x:f>
        <x:v>Out of scope</x:v>
      </x:c>
    </x:row>
    <x:row r="54" ht="24" customHeight="1">
      <x:c r="A54" t="str">
        <x:v>f82edd71-3b20-4c1a-a54d-631d99b29fff</x:v>
      </x:c>
      <x:c r="B54" t="str">
        <x:v>CSSP10142017</x:v>
      </x:c>
      <x:c r="C54" t="str">
        <x:v>yannchang.tan@petronas.com</x:v>
      </x:c>
      <x:c r="D54" t="str">
        <x:v>provision-cloud-public</x:v>
      </x:c>
      <x:c r="E54" t="str">
        <x:v>completed</x:v>
      </x:c>
      <x:c r="F54" t="n">
        <x:v>46062.371390844906</x:v>
      </x:c>
      <x:c r="G54" t="n">
        <x:v>46062.371390844906</x:v>
      </x:c>
      <x:c r="H54" t="n">
        <x:v>46072.196785555556</x:v>
      </x:c>
      <x:c r="I54" t="str">
        <x:v>A-000037</x:v>
      </x:c>
      <x:c r="J54" t="str">
        <x:v>AI Enablement Framework</x:v>
      </x:c>
      <x:c r="K54" t="n">
        <x:v>3437</x:v>
      </x:c>
      <x:c r="L54" t="str">
        <x:v>Support and Maintenance for AI Enablement Framework 2023-2024 for PDB</x:v>
      </x:c>
      <x:c r="M54" t="str">
        <x:v>debjani.sambasivam@petronas.com.my</x:v>
      </x:c>
      <x:c r="N54" t="str">
        <x:v>PDB_AI_Enablement</x:v>
      </x:c>
      <x:c r="O54" t="str">
        <x:v>Modify</x:v>
      </x:c>
      <x:c r="P54" t="str">
        <x:v>Development</x:v>
      </x:c>
      <x:c r="Q54" t="str">
        <x:v> Compute Name: PDB-CAD-SHUSHOMA Assign To: Sushama Ghodke (sushama.ghodke@petronas.com) Virtual Machine Size: Standard_DS15_v2 (20 cores, 140 GB RAM, 280 GB disk) Scheduling Auto Shut Down: 60 minute
Compute Name: PDB-CAD-AVADUT Assign To: Avadhut Kulkarni (avadhut.kulkarni@petronas.com) Virtual Machine Size: Standard_DS15_v2 (20 cores, 140 GB RAM, 280 GB disk) Scheduling Auto Shut Down: 60 minute
Compute Name: PDB-CAD-SUFIYA Assign To: Sufiya Jakate (sufiya.jakate@petronas.com) Virtual Machine Size: Standard_DS15_v2 (20 cores, 140 GB RAM, 280 GB disk) Scheduling Auto Shut Down: 60 minute
Compute Name: PDB-CAD-KANISHKA Assign To: Kanishka Batra (kanishka.batra@petronas.com) Virtual Machine Size: Standard_DS15_v2 (20 cores, 140 GB RAM, 280 GB disk) Scheduling Auto Shut Down: 60 minute</x:v>
      </x:c>
      <x:c r="R54" t="str">
        <x:v>S</x:v>
      </x:c>
      <x:c r="S54"/>
      <x:c r="T54"/>
      <x:c r="U54" t="str">
        <x:v>This is required for Analytics Works for CAD.</x:v>
      </x:c>
      <x:c r="V54" t="n">
        <x:v>46062.3748965625</x:v>
      </x:c>
      <x:c r="W54" t="str">
        <x:v>debjani.sambasivam@petronas.com</x:v>
      </x:c>
      <x:c r="X54" t="str">
        <x:v>approved</x:v>
      </x:c>
      <x:c r="Y54" t="str">
        <x:v>Good to go</x:v>
      </x:c>
      <x:c r="Z54" t="n">
        <x:v>46069.33854482639</x:v>
      </x:c>
      <x:c r="AA54" t="str">
        <x:v>samsuddin.jumbri@petronas.com</x:v>
      </x:c>
      <x:c r="AB54" t="str">
        <x:v>approved</x:v>
      </x:c>
      <x:c r="AC54" t="str">
        <x:v>ML creation</x:v>
      </x:c>
      <x:c r="AD54" t="n">
        <x:v>46069.34645509259</x:v>
      </x:c>
      <x:c r="AE54" t="str">
        <x:v>syazali.saad@petronas.com</x:v>
      </x:c>
      <x:c r="AF54" t="str">
        <x:v>approved</x:v>
      </x:c>
      <x:c r="AG54" t="str">
        <x:v>provided.</x:v>
      </x:c>
      <x:c r="AH54" t="n">
        <x:v>46072.19678556713</x:v>
      </x:c>
      <x:c r="AI54" t="str">
        <x:v>syazali.saad@petronas.com</x:v>
      </x:c>
      <x:c r="AJ54" t="str">
        <x:v>approved</x:v>
      </x:c>
      <x:c r="AK54" t="str">
        <x:v>REQ000007879520</x:v>
      </x:c>
      <x:c r="AL54" t="str">
        <x:v>f99ec12f-a075-40d0-8957-15cd4e72ddb4</x:v>
      </x:c>
      <x:c r="AM54" s="23" t="str">
        <x:f>IF(E54="processing",IF(Z54="","",IF(ISNUMBER(Z54),INT(Z54),DATE(VALUE(LEFT(Z54,4)),VALUE(MID(Z54,6,2)),VALUE(MID(Z54,9,2))))),IF(OR(E54="executing",E54="pending"),IF(AD54="","",IF(ISNUMBER(AD54),INT(AD54),DATE(VALUE(LEFT(AD54,4)),VALUE(MID(AD54,6,2)),VALUE(MID(AD54,9,2))))),""))</x:f>
      </x:c>
      <x:c r="AN54" s="24" t="str">
        <x:f>IF(AM54="","",INT('Configuration'!$B$4)-AM54)</x:f>
      </x:c>
      <x:c r="AO54" s="25" t="str">
        <x:f>IF(AM54="","Missing Required Date",IF(AN54&lt;0,"Future Date",IF(AN54=0,"0 days",IF(AN54&lt;=2,"1-2 days",IF(AN54&lt;=7,"3-7 days",IF(AN54&lt;=14,"8-14 days",IF(AN54&lt;=30,"15-30 days",IF(AN54&lt;=60,"31-60 days",IF(AN54&lt;=70,"61-70 days","71+ days")))))))))</x:f>
        <x:v>Missing Required Date</x:v>
      </x:c>
      <x:c r="AP54" s="25" t="str">
        <x:f>IF(OR(E54="processing",E54="executing",E54="pending"),IF(AM54="","Required aging date missing",IF(AN54&gt;30,"Escalate &gt;30d",IF(AN54&gt;14,"Watch &gt;14d","Within 14d"))),"Out of scope")</x:f>
        <x:v>Out of scope</x:v>
      </x:c>
    </x:row>
    <x:row r="55" ht="24" customHeight="1">
      <x:c r="A55" t="str">
        <x:v>36c7be1c-9795-44b6-8ea1-084c5c6f0d48</x:v>
      </x:c>
      <x:c r="B55" t="str">
        <x:v>CSSP10205419</x:v>
      </x:c>
      <x:c r="C55" t="str">
        <x:v>suliza.sumari@petronas.com</x:v>
      </x:c>
      <x:c r="D55" t="str">
        <x:v>provision-cloud-public</x:v>
      </x:c>
      <x:c r="E55" t="str">
        <x:v>completed</x:v>
      </x:c>
      <x:c r="F55" t="n">
        <x:v>46062.41020395833</x:v>
      </x:c>
      <x:c r="G55" t="n">
        <x:v>46063.37428984954</x:v>
      </x:c>
      <x:c r="H55" t="n">
        <x:v>46198.14503666667</x:v>
      </x:c>
      <x:c r="I55" t="str">
        <x:v>A-000491</x:v>
      </x:c>
      <x:c r="J55" t="str">
        <x:v>MyPROData</x:v>
      </x:c>
      <x:c r="K55" t="n">
        <x:v>4583</x:v>
      </x:c>
      <x:c r="L55" t="str">
        <x:v>Shared Support Services (SecOps) myPROdata FY2025 for Malaysia Petroleum Management (MPM)</x:v>
      </x:c>
      <x:c r="M55" t="str">
        <x:v>wadiah.rusli@petronas.com.my</x:v>
      </x:c>
      <x:c r="N55" t="str">
        <x:v>myPROdata</x:v>
      </x:c>
      <x:c r="O55" t="str">
        <x:v>Modify</x:v>
      </x:c>
      <x:c r="P55" t="str">
        <x:v>Production</x:v>
      </x:c>
      <x:c r="Q55" t="str">
        <x:v>•	PTSG-1ArcGisap1 (172.25.33.127)
•	PTSG-1ArcGisap2 (172.25.33.88)
Our team has already performed disk housekeeping; however, disk usage remains high and available space is still limited. With ongoing data ingestion and increasing data volumes, additional disk space is required to ensure stable operations. In particular, Portal for ArcGIS and ArcGIS Datastore components require more storage as data continues to grow, and temporary files may be created on the C: drive during ingestion and processing activities.
</x:v>
      </x:c>
      <x:c r="R55" t="str">
        <x:v>S</x:v>
      </x:c>
      <x:c r="S55" t="str">
        <x:v>ICT_RFC00218960</x:v>
      </x:c>
      <x:c r="T55"/>
      <x:c r="U55" t="str">
        <x:v>Please upgrade ASAP as today is the MBR 2026 launching</x:v>
      </x:c>
      <x:c r="V55" t="n">
        <x:v>46063.37852111111</x:v>
      </x:c>
      <x:c r="W55" t="str">
        <x:v>wadiah.rusli@petronas.com</x:v>
      </x:c>
      <x:c r="X55" t="str">
        <x:v>approved</x:v>
      </x:c>
      <x:c r="Y55" t="str">
        <x:v>Approved. Increase C:\ drive for 2 servers. PTAZSG-PROD-ARCGIS-RG</x:v>
      </x:c>
      <x:c r="Z55" t="n">
        <x:v>46063.38017803241</x:v>
      </x:c>
      <x:c r="AA55" t="str">
        <x:v>kianleng.geh@petronas.com</x:v>
      </x:c>
      <x:c r="AB55" t="str">
        <x:v>approved</x:v>
      </x:c>
      <x:c r="AC55" t="str">
        <x:v>Proceed to urgent upgrade the disk as requested. </x:v>
      </x:c>
      <x:c r="AD55" t="n">
        <x:v>46063.46868013889</x:v>
      </x:c>
      <x:c r="AE55" t="str">
        <x:v>azwan.badari@petronas.com</x:v>
      </x:c>
      <x:c r="AF55" t="str">
        <x:v>approved</x:v>
      </x:c>
      <x:c r="AG55" t="str">
        <x:v>request has been completed.</x:v>
      </x:c>
      <x:c r="AH55" t="n">
        <x:v>46198.14503666667</x:v>
      </x:c>
      <x:c r="AI55" t="str">
        <x:v>ahmadfirdaus.adnan@petronas.com</x:v>
      </x:c>
      <x:c r="AJ55" t="str">
        <x:v>approved</x:v>
      </x:c>
      <x:c r="AK55" t="str">
        <x:v>REQ000007869277</x:v>
      </x:c>
      <x:c r="AL55" t="str">
        <x:v>ebc92a57-efcb-4ea1-91f3-f2e35a11c936</x:v>
      </x:c>
      <x:c r="AM55" s="23" t="str">
        <x:f>IF(E55="processing",IF(Z55="","",IF(ISNUMBER(Z55),INT(Z55),DATE(VALUE(LEFT(Z55,4)),VALUE(MID(Z55,6,2)),VALUE(MID(Z55,9,2))))),IF(OR(E55="executing",E55="pending"),IF(AD55="","",IF(ISNUMBER(AD55),INT(AD55),DATE(VALUE(LEFT(AD55,4)),VALUE(MID(AD55,6,2)),VALUE(MID(AD55,9,2))))),""))</x:f>
      </x:c>
      <x:c r="AN55" s="24" t="str">
        <x:f>IF(AM55="","",INT('Configuration'!$B$4)-AM55)</x:f>
      </x:c>
      <x:c r="AO55" s="25" t="str">
        <x:f>IF(AM55="","Missing Required Date",IF(AN55&lt;0,"Future Date",IF(AN55=0,"0 days",IF(AN55&lt;=2,"1-2 days",IF(AN55&lt;=7,"3-7 days",IF(AN55&lt;=14,"8-14 days",IF(AN55&lt;=30,"15-30 days",IF(AN55&lt;=60,"31-60 days",IF(AN55&lt;=70,"61-70 days","71+ days")))))))))</x:f>
        <x:v>Missing Required Date</x:v>
      </x:c>
      <x:c r="AP55" s="25" t="str">
        <x:f>IF(OR(E55="processing",E55="executing",E55="pending"),IF(AM55="","Required aging date missing",IF(AN55&gt;30,"Escalate &gt;30d",IF(AN55&gt;14,"Watch &gt;14d","Within 14d"))),"Out of scope")</x:f>
        <x:v>Out of scope</x:v>
      </x:c>
    </x:row>
    <x:row r="56" ht="24" customHeight="1">
      <x:c r="A56" t="str">
        <x:v>615059d8-5126-4d3b-8a05-58268ed42bb2</x:v>
      </x:c>
      <x:c r="B56" t="str">
        <x:v>CSSP10881366</x:v>
      </x:c>
      <x:c r="C56" t="str">
        <x:v>ettonnarimah@petronas.com</x:v>
      </x:c>
      <x:c r="D56" t="str">
        <x:v>provision-cloud-public</x:v>
      </x:c>
      <x:c r="E56" t="str">
        <x:v>completed</x:v>
      </x:c>
      <x:c r="F56" t="n">
        <x:v>46063.148371076386</x:v>
      </x:c>
      <x:c r="G56" t="n">
        <x:v>46063.148371076386</x:v>
      </x:c>
      <x:c r="H56" t="n">
        <x:v>46072.25235241898</x:v>
      </x:c>
      <x:c r="I56" t="str">
        <x:v>A-000037</x:v>
      </x:c>
      <x:c r="J56" t="str">
        <x:v>AI Enablement Framework</x:v>
      </x:c>
      <x:c r="K56" t="n">
        <x:v>3437</x:v>
      </x:c>
      <x:c r="L56" t="str">
        <x:v>Support and Maintenance for AI Enablement Framework 2023-2024 for PDB</x:v>
      </x:c>
      <x:c r="M56" t="str">
        <x:v>mariful.islam@petronas.com.my</x:v>
      </x:c>
      <x:c r="N56" t="str">
        <x:v>AI Enablement for PDB</x:v>
      </x:c>
      <x:c r="O56" t="str">
        <x:v>Modify</x:v>
      </x:c>
      <x:c r="P56" t="str">
        <x:v>Development</x:v>
      </x:c>
      <x:c r="Q56" t="str">
        <x:v>Compute Name: PDB CAD - IMAN Assign to: Ahmad Iman Azrul Hasni (ahmadiman.azrulhasni@petronas.com.my) Virtual Machine Size: Standard_DS15_v2 (20 cores, 140 GB RAM, 280 GB disk) Scheduling Auto Shut Down: 60 minutes</x:v>
      </x:c>
      <x:c r="R56" t="str">
        <x:v>S</x:v>
      </x:c>
      <x:c r="S56"/>
      <x:c r="T56"/>
      <x:c r="U56" t="str">
        <x:v>its an access to existing compute.</x:v>
      </x:c>
      <x:c r="V56" t="n">
        <x:v>46065.14553173611</x:v>
      </x:c>
      <x:c r="W56" t="str">
        <x:v>mariful.islam@petronas.com</x:v>
      </x:c>
      <x:c r="X56" t="str">
        <x:v>approved</x:v>
      </x:c>
      <x:c r="Y56" t="str">
        <x:v>Good to go</x:v>
      </x:c>
      <x:c r="Z56" t="n">
        <x:v>46069.35185831018</x:v>
      </x:c>
      <x:c r="AA56" t="str">
        <x:v>samsuddin.jumbri@petronas.com</x:v>
      </x:c>
      <x:c r="AB56" t="str">
        <x:v>approved</x:v>
      </x:c>
      <x:c r="AC56" t="str">
        <x:v>created.</x:v>
      </x:c>
      <x:c r="AD56" t="n">
        <x:v>46072.2521825</x:v>
      </x:c>
      <x:c r="AE56" t="str">
        <x:v>syazali.saad@petronas.com</x:v>
      </x:c>
      <x:c r="AF56" t="str">
        <x:v>approved</x:v>
      </x:c>
      <x:c r="AG56" t="str">
        <x:v>created</x:v>
      </x:c>
      <x:c r="AH56" t="n">
        <x:v>46072.25235241898</x:v>
      </x:c>
      <x:c r="AI56" t="str">
        <x:v>syazali.saad@petronas.com</x:v>
      </x:c>
      <x:c r="AJ56" t="str">
        <x:v>approved</x:v>
      </x:c>
      <x:c r="AK56" t="str">
        <x:v>REQ000007881170</x:v>
      </x:c>
      <x:c r="AL56" t="str">
        <x:v>f99ec12f-a075-40d0-8957-15cd4e72ddb4</x:v>
      </x:c>
      <x:c r="AM56" s="23" t="str">
        <x:f>IF(E56="processing",IF(Z56="","",IF(ISNUMBER(Z56),INT(Z56),DATE(VALUE(LEFT(Z56,4)),VALUE(MID(Z56,6,2)),VALUE(MID(Z56,9,2))))),IF(OR(E56="executing",E56="pending"),IF(AD56="","",IF(ISNUMBER(AD56),INT(AD56),DATE(VALUE(LEFT(AD56,4)),VALUE(MID(AD56,6,2)),VALUE(MID(AD56,9,2))))),""))</x:f>
      </x:c>
      <x:c r="AN56" s="24" t="str">
        <x:f>IF(AM56="","",INT('Configuration'!$B$4)-AM56)</x:f>
      </x:c>
      <x:c r="AO56" s="25" t="str">
        <x:f>IF(AM56="","Missing Required Date",IF(AN56&lt;0,"Future Date",IF(AN56=0,"0 days",IF(AN56&lt;=2,"1-2 days",IF(AN56&lt;=7,"3-7 days",IF(AN56&lt;=14,"8-14 days",IF(AN56&lt;=30,"15-30 days",IF(AN56&lt;=60,"31-60 days",IF(AN56&lt;=70,"61-70 days","71+ days")))))))))</x:f>
        <x:v>Missing Required Date</x:v>
      </x:c>
      <x:c r="AP56" s="25" t="str">
        <x:f>IF(OR(E56="processing",E56="executing",E56="pending"),IF(AM56="","Required aging date missing",IF(AN56&gt;30,"Escalate &gt;30d",IF(AN56&gt;14,"Watch &gt;14d","Within 14d"))),"Out of scope")</x:f>
        <x:v>Out of scope</x:v>
      </x:c>
    </x:row>
    <x:row r="57" ht="24" customHeight="1">
      <x:c r="A57" t="str">
        <x:v>541292bd-53a6-4abe-910a-c384c9aa3073</x:v>
      </x:c>
      <x:c r="B57" t="str">
        <x:v>CSSP10270528</x:v>
      </x:c>
      <x:c r="C57" t="str">
        <x:v>zulhasyidi.hassan@petronas.com</x:v>
      </x:c>
      <x:c r="D57" t="str">
        <x:v>provision-cloud-public</x:v>
      </x:c>
      <x:c r="E57" t="str">
        <x:v>rejected</x:v>
      </x:c>
      <x:c r="F57" t="n">
        <x:v>46063.31018040509</x:v>
      </x:c>
      <x:c r="G57" t="n">
        <x:v>46063.31018040509</x:v>
      </x:c>
      <x:c r="H57" t="n">
        <x:v>46069.339945671294</x:v>
      </x:c>
      <x:c r="I57" t="str">
        <x:v>A-000566</x:v>
      </x:c>
      <x:c r="J57" t="str">
        <x:v>Plant Information - PI CHOPI UPSTREAM</x:v>
      </x:c>
      <x:c r="K57" t="str">
        <x:v>02421_12</x:v>
      </x:c>
      <x:c r="L57" t="str">
        <x:v>Cloud Migration Program - PI Upstream</x:v>
      </x:c>
      <x:c r="M57" t="str">
        <x:v>mohammadsani.johari@petronas.com.my</x:v>
      </x:c>
      <x:c r="N57" t="str">
        <x:v>PI Upstream Cho PI</x:v>
      </x:c>
      <x:c r="O57" t="str">
        <x:v>Modify</x:v>
      </x:c>
      <x:c r="P57" t="str">
        <x:v>Production</x:v>
      </x:c>
      <x:c r="Q57" t="str">
        <x:v>Upgrade existing server CPU specification (PTSG-1PIDB01 &amp; PTSG-1PIDB02)</x:v>
      </x:c>
      <x:c r="R57"/>
      <x:c r="S57" t="str">
        <x:v>ICT_RFC00219274</x:v>
      </x:c>
      <x:c r="T57"/>
      <x:c r="U57" t="str">
        <x:v>Please proceed.</x:v>
      </x:c>
      <x:c r="V57" t="n">
        <x:v>46064.28470375</x:v>
      </x:c>
      <x:c r="W57" t="str">
        <x:v>mohammadsani.johari@petronas.com</x:v>
      </x:c>
      <x:c r="X57" t="str">
        <x:v>approved</x:v>
      </x:c>
      <x:c r="Y57" t="str">
        <x:v>Kindly provide the estimated cost in Excel format (including the required SKU specifications), downloaded from the Azure calculator website. For assistance with the cost calculator, please contact Samsuddin B. Jumbri (IS/DIGITAL) or Geh Kian Leng (IS/DIGITAL).</x:v>
      </x:c>
      <x:c r="Z57" t="n">
        <x:v>46069.339945706015</x:v>
      </x:c>
      <x:c r="AA57" t="str">
        <x:v>samsuddin.jumbri@petronas.com</x:v>
      </x:c>
      <x:c r="AB57" t="str">
        <x:v>rejected</x:v>
      </x:c>
      <x:c r="AC57"/>
      <x:c r="AD57"/>
      <x:c r="AE57" t="str">
        <x:v>CCoE Business</x:v>
      </x:c>
      <x:c r="AF57"/>
      <x:c r="AG57"/>
      <x:c r="AH57"/>
      <x:c r="AI57" t="str">
        <x:v>CCoE Core Services (Public)</x:v>
      </x:c>
      <x:c r="AJ57"/>
      <x:c r="AK57"/>
      <x:c r="AL57" t="str">
        <x:v>fd598383-7773-40d2-a78c-f50abc149ce9</x:v>
      </x:c>
      <x:c r="AM57" s="23" t="str">
        <x:f>IF(E57="processing",IF(Z57="","",IF(ISNUMBER(Z57),INT(Z57),DATE(VALUE(LEFT(Z57,4)),VALUE(MID(Z57,6,2)),VALUE(MID(Z57,9,2))))),IF(OR(E57="executing",E57="pending"),IF(AD57="","",IF(ISNUMBER(AD57),INT(AD57),DATE(VALUE(LEFT(AD57,4)),VALUE(MID(AD57,6,2)),VALUE(MID(AD57,9,2))))),""))</x:f>
      </x:c>
      <x:c r="AN57" s="24" t="str">
        <x:f>IF(AM57="","",INT('Configuration'!$B$4)-AM57)</x:f>
      </x:c>
      <x:c r="AO57" s="25" t="str">
        <x:f>IF(AM57="","Missing Required Date",IF(AN57&lt;0,"Future Date",IF(AN57=0,"0 days",IF(AN57&lt;=2,"1-2 days",IF(AN57&lt;=7,"3-7 days",IF(AN57&lt;=14,"8-14 days",IF(AN57&lt;=30,"15-30 days",IF(AN57&lt;=60,"31-60 days",IF(AN57&lt;=70,"61-70 days","71+ days")))))))))</x:f>
        <x:v>Missing Required Date</x:v>
      </x:c>
      <x:c r="AP57" s="25" t="str">
        <x:f>IF(OR(E57="processing",E57="executing",E57="pending"),IF(AM57="","Required aging date missing",IF(AN57&gt;30,"Escalate &gt;30d",IF(AN57&gt;14,"Watch &gt;14d","Within 14d"))),"Out of scope")</x:f>
        <x:v>Out of scope</x:v>
      </x:c>
    </x:row>
    <x:row r="58" ht="24" customHeight="1">
      <x:c r="A58" t="str">
        <x:v>1ff9cced-6766-411e-abad-e7b564e42d3f</x:v>
      </x:c>
      <x:c r="B58" t="str">
        <x:v>CSSP10965749</x:v>
      </x:c>
      <x:c r="C58" t="str">
        <x:v>norashikin.hasna@petronas.com</x:v>
      </x:c>
      <x:c r="D58" t="str">
        <x:v>provision-cloud-public</x:v>
      </x:c>
      <x:c r="E58" t="str">
        <x:v>completed</x:v>
      </x:c>
      <x:c r="F58" t="n">
        <x:v>46064.14412848379</x:v>
      </x:c>
      <x:c r="G58" t="n">
        <x:v>46064.14412848379</x:v>
      </x:c>
      <x:c r="H58" t="n">
        <x:v>46082.29721815972</x:v>
      </x:c>
      <x:c r="I58" t="str">
        <x:v>A-000480</x:v>
      </x:c>
      <x:c r="J58" t="str">
        <x:v>Mygenie</x:v>
      </x:c>
      <x:c r="K58" t="str">
        <x:v>02421_83</x:v>
      </x:c>
      <x:c r="L58" t="str">
        <x:v>Cloud Migration Program - Mygenie+ Admin Portal</x:v>
      </x:c>
      <x:c r="M58" t="str">
        <x:v>saniza.ismail@petronas.com.my</x:v>
      </x:c>
      <x:c r="N58" t="str">
        <x:v>MyGenie Admin Portal</x:v>
      </x:c>
      <x:c r="O58" t="str">
        <x:v>Modify</x:v>
      </x:c>
      <x:c r="P58" t="str">
        <x:v>StagingUat</x:v>
      </x:c>
      <x:c r="Q58" t="str">
        <x:v>Current = D2as v4 (2 vCPU 7 &amp; 8 GB RAM)
New = D2as v4 (4 vCPU 7 &amp; 16 GB RAM)</x:v>
      </x:c>
      <x:c r="R58" t="str">
        <x:v>M</x:v>
      </x:c>
      <x:c r="S58"/>
      <x:c r="T58"/>
      <x:c r="U58" t="str">
        <x:v>This server is also 2nd server for Admin back end job for batch upload. The performance is too slow now.</x:v>
      </x:c>
      <x:c r="V58" t="n">
        <x:v>46064.33683403935</x:v>
      </x:c>
      <x:c r="W58" t="str">
        <x:v>saniza.ismail@petronas.com</x:v>
      </x:c>
      <x:c r="X58" t="str">
        <x:v>approved</x:v>
      </x:c>
      <x:c r="Y58" t="str">
        <x:v>Good to go</x:v>
      </x:c>
      <x:c r="Z58" t="n">
        <x:v>46066.35325388889</x:v>
      </x:c>
      <x:c r="AA58" t="str">
        <x:v>samsuddin.jumbri@petronas.com</x:v>
      </x:c>
      <x:c r="AB58" t="str">
        <x:v>approved</x:v>
      </x:c>
      <x:c r="AC58" t="str">
        <x:v>upsize.</x:v>
      </x:c>
      <x:c r="AD58" t="n">
        <x:v>46072.256759027776</x:v>
      </x:c>
      <x:c r="AE58" t="str">
        <x:v>syazali.saad@petronas.com</x:v>
      </x:c>
      <x:c r="AF58" t="str">
        <x:v>approved</x:v>
      </x:c>
      <x:c r="AG58" t="str">
        <x:v>done</x:v>
      </x:c>
      <x:c r="AH58" t="n">
        <x:v>46082.2972181713</x:v>
      </x:c>
      <x:c r="AI58" t="str">
        <x:v>azhan.shazeli@petronas.com</x:v>
      </x:c>
      <x:c r="AJ58" t="str">
        <x:v>approved</x:v>
      </x:c>
      <x:c r="AK58" t="str">
        <x:v>REQ000007881730</x:v>
      </x:c>
      <x:c r="AL58" t="str">
        <x:v>c6a63b47-bf9e-4308-9a85-4fcd7d745577</x:v>
      </x:c>
      <x:c r="AM58" s="23" t="str">
        <x:f>IF(E58="processing",IF(Z58="","",IF(ISNUMBER(Z58),INT(Z58),DATE(VALUE(LEFT(Z58,4)),VALUE(MID(Z58,6,2)),VALUE(MID(Z58,9,2))))),IF(OR(E58="executing",E58="pending"),IF(AD58="","",IF(ISNUMBER(AD58),INT(AD58),DATE(VALUE(LEFT(AD58,4)),VALUE(MID(AD58,6,2)),VALUE(MID(AD58,9,2))))),""))</x:f>
      </x:c>
      <x:c r="AN58" s="24" t="str">
        <x:f>IF(AM58="","",INT('Configuration'!$B$4)-AM58)</x:f>
      </x:c>
      <x:c r="AO58" s="25" t="str">
        <x:f>IF(AM58="","Missing Required Date",IF(AN58&lt;0,"Future Date",IF(AN58=0,"0 days",IF(AN58&lt;=2,"1-2 days",IF(AN58&lt;=7,"3-7 days",IF(AN58&lt;=14,"8-14 days",IF(AN58&lt;=30,"15-30 days",IF(AN58&lt;=60,"31-60 days",IF(AN58&lt;=70,"61-70 days","71+ days")))))))))</x:f>
        <x:v>Missing Required Date</x:v>
      </x:c>
      <x:c r="AP58" s="25" t="str">
        <x:f>IF(OR(E58="processing",E58="executing",E58="pending"),IF(AM58="","Required aging date missing",IF(AN58&gt;30,"Escalate &gt;30d",IF(AN58&gt;14,"Watch &gt;14d","Within 14d"))),"Out of scope")</x:f>
        <x:v>Out of scope</x:v>
      </x:c>
    </x:row>
    <x:row r="59" ht="24" customHeight="1">
      <x:c r="A59" t="str">
        <x:v>0a73b7a6-c0c7-4fc4-afe4-ec6db1149a3a</x:v>
      </x:c>
      <x:c r="B59" t="str">
        <x:v>CSSP10629844</x:v>
      </x:c>
      <x:c r="C59" t="str">
        <x:v>krishnamurthy.s@petronas.com</x:v>
      </x:c>
      <x:c r="D59" t="str">
        <x:v>provision-cloud-public</x:v>
      </x:c>
      <x:c r="E59" t="str">
        <x:v>completed</x:v>
      </x:c>
      <x:c r="F59" t="n">
        <x:v>46064.1953858912</x:v>
      </x:c>
      <x:c r="G59" t="n">
        <x:v>46072.08342371528</x:v>
      </x:c>
      <x:c r="H59" t="n">
        <x:v>46073.09537077546</x:v>
      </x:c>
      <x:c r="I59" t="str">
        <x:v>A-000064</x:v>
      </x:c>
      <x:c r="J59" t="str">
        <x:v>ArBiTra PTLCL</x:v>
      </x:c>
      <x:c r="K59" t="n">
        <x:v>4569</x:v>
      </x:c>
      <x:c r="L59" t="str">
        <x:v>Provision of Professional Service, Software License and Infra for ArBiTra (OVC &amp; LVC) 2025 for PTLCL</x:v>
      </x:c>
      <x:c r="M59" t="str">
        <x:v>gopabandhu.patr@petronas.com.my</x:v>
      </x:c>
      <x:c r="N59" t="str">
        <x:v>ArBiTra Phase 3 - IT Sub Modules</x:v>
      </x:c>
      <x:c r="O59" t="str">
        <x:v>Modify</x:v>
      </x:c>
      <x:c r="P59" t="str">
        <x:v>Development</x:v>
      </x:c>
      <x:c r="Q59" t="str">
        <x:v>We need to increse postgresSQL storage. currently it is 600GB and need to increase by 100GB for below resource
Resource name/Id : ptawsg-5abtdb01.cfrhfufvrhpu.ap-southeast-1.rds.amazonaws.com
Current storage size : 600GB
Need to increase additionally by 100GB.</x:v>
      </x:c>
      <x:c r="R59" t="str">
        <x:v>M</x:v>
      </x:c>
      <x:c r="S59"/>
      <x:c r="T59"/>
      <x:c r="U59" t="str">
        <x:v>ok</x:v>
      </x:c>
      <x:c r="V59" t="n">
        <x:v>46072.17237545139</x:v>
      </x:c>
      <x:c r="W59" t="str">
        <x:v>gopabandhu.patr@petronas.com</x:v>
      </x:c>
      <x:c r="X59" t="str">
        <x:v>approved</x:v>
      </x:c>
      <x:c r="Y59" t="str">
        <x:v>RDS storage resize</x:v>
      </x:c>
      <x:c r="Z59" t="n">
        <x:v>46073.06400099537</x:v>
      </x:c>
      <x:c r="AA59" t="str">
        <x:v>fathulrahman.misba@petronas.com</x:v>
      </x:c>
      <x:c r="AB59" t="str">
        <x:v>approved</x:v>
      </x:c>
      <x:c r="AC59" t="str">
        <x:v>.</x:v>
      </x:c>
      <x:c r="AD59" t="n">
        <x:v>46073.08252644676</x:v>
      </x:c>
      <x:c r="AE59" t="str">
        <x:v>syazali.saad@petronas.com</x:v>
      </x:c>
      <x:c r="AF59" t="str">
        <x:v>approved</x:v>
      </x:c>
      <x:c r="AG59" t="str">
        <x:v>RDS storage expanded</x:v>
      </x:c>
      <x:c r="AH59" t="n">
        <x:v>46073.095370787036</x:v>
      </x:c>
      <x:c r="AI59" t="str">
        <x:v>fathulrahman.misba@petronas.com</x:v>
      </x:c>
      <x:c r="AJ59" t="str">
        <x:v>approved</x:v>
      </x:c>
      <x:c r="AK59" t="str">
        <x:v>REQ000007882775</x:v>
      </x:c>
      <x:c r="AL59" t="str">
        <x:v>866cd81d-011e-424b-b696-e232f59deeb1</x:v>
      </x:c>
      <x:c r="AM59" s="23" t="str">
        <x:f>IF(E59="processing",IF(Z59="","",IF(ISNUMBER(Z59),INT(Z59),DATE(VALUE(LEFT(Z59,4)),VALUE(MID(Z59,6,2)),VALUE(MID(Z59,9,2))))),IF(OR(E59="executing",E59="pending"),IF(AD59="","",IF(ISNUMBER(AD59),INT(AD59),DATE(VALUE(LEFT(AD59,4)),VALUE(MID(AD59,6,2)),VALUE(MID(AD59,9,2))))),""))</x:f>
      </x:c>
      <x:c r="AN59" s="24" t="str">
        <x:f>IF(AM59="","",INT('Configuration'!$B$4)-AM59)</x:f>
      </x:c>
      <x:c r="AO59" s="25" t="str">
        <x:f>IF(AM59="","Missing Required Date",IF(AN59&lt;0,"Future Date",IF(AN59=0,"0 days",IF(AN59&lt;=2,"1-2 days",IF(AN59&lt;=7,"3-7 days",IF(AN59&lt;=14,"8-14 days",IF(AN59&lt;=30,"15-30 days",IF(AN59&lt;=60,"31-60 days",IF(AN59&lt;=70,"61-70 days","71+ days")))))))))</x:f>
        <x:v>Missing Required Date</x:v>
      </x:c>
      <x:c r="AP59" s="25" t="str">
        <x:f>IF(OR(E59="processing",E59="executing",E59="pending"),IF(AM59="","Required aging date missing",IF(AN59&gt;30,"Escalate &gt;30d",IF(AN59&gt;14,"Watch &gt;14d","Within 14d"))),"Out of scope")</x:f>
        <x:v>Out of scope</x:v>
      </x:c>
    </x:row>
    <x:row r="60" ht="24" customHeight="1">
      <x:c r="A60" t="str">
        <x:v>eff0acd9-d429-4ebf-a66d-b60082f4a5b1</x:v>
      </x:c>
      <x:c r="B60" t="str">
        <x:v>CSSP10799733</x:v>
      </x:c>
      <x:c r="C60" t="str">
        <x:v>shahrulrizal.said@petronas.com</x:v>
      </x:c>
      <x:c r="D60" t="str">
        <x:v>provision-cloud-public</x:v>
      </x:c>
      <x:c r="E60" t="str">
        <x:v>completed</x:v>
      </x:c>
      <x:c r="F60" t="n">
        <x:v>46064.305340416664</x:v>
      </x:c>
      <x:c r="G60" t="n">
        <x:v>46069.171128449074</x:v>
      </x:c>
      <x:c r="H60" t="n">
        <x:v>46112.118893321756</x:v>
      </x:c>
      <x:c r="I60" t="str">
        <x:v>A-000355</x:v>
      </x:c>
      <x:c r="J60" t="str">
        <x:v>HSE Intelligence Pod Multimodal AI Vision / Voice - HIPVISION</x:v>
      </x:c>
      <x:c r="K60" t="n">
        <x:v>3578</x:v>
      </x:c>
      <x:c r="L60" t="str">
        <x:v>Development of HSE Intelligence Pod (HIP) Multimodal AI (Vision, Voice)</x:v>
      </x:c>
      <x:c r="M60" t="str">
        <x:v>josephine.danielbav@petronas.com.my</x:v>
      </x:c>
      <x:c r="N60" t="str">
        <x:v>HIP Vision AI</x:v>
      </x:c>
      <x:c r="O60" t="str">
        <x:v>Modify</x:v>
      </x:c>
      <x:c r="P60" t="str">
        <x:v>StagingUat</x:v>
      </x:c>
      <x:c r="Q60" t="str">
        <x:v>To upgrade Existing Azure Kubernetes pricing tier from free to standard tier. AKS resource= ptsg-4hipvisionaks02 reside in ptazsg-iac-uat-hipvision-jai-rg Resource group. This is for us to testing prior performing actual change in production. After the testing successful. the pricing tier needs to change back to free tier in UAT. Have been discussing with Fathul and good to have him assign since he understands the situation.
Resubmitted by attached the cost of AKS standard tier</x:v>
      </x:c>
      <x:c r="R60" t="str">
        <x:v>L</x:v>
      </x:c>
      <x:c r="S60"/>
      <x:c r="T60"/>
      <x:c r="U60" t="str">
        <x:v>Approved</x:v>
      </x:c>
      <x:c r="V60" t="n">
        <x:v>46078.09135804398</x:v>
      </x:c>
      <x:c r="W60" t="str">
        <x:v>josephine.danielbav@petronas.com</x:v>
      </x:c>
      <x:c r="X60" t="str">
        <x:v>approved</x:v>
      </x:c>
      <x:c r="Y60" t="str">
        <x:v>Good to go</x:v>
      </x:c>
      <x:c r="Z60" t="n">
        <x:v>46080.090917685186</x:v>
      </x:c>
      <x:c r="AA60" t="str">
        <x:v>samsuddin.jumbri@petronas.com</x:v>
      </x:c>
      <x:c r="AB60" t="str">
        <x:v>approved</x:v>
      </x:c>
      <x:c r="AC60" t="str">
        <x:v>AKS</x:v>
      </x:c>
      <x:c r="AD60" t="n">
        <x:v>46085.166137037035</x:v>
      </x:c>
      <x:c r="AE60" t="str">
        <x:v>syazali.saad@petronas.com</x:v>
      </x:c>
      <x:c r="AF60" t="str">
        <x:v>approved</x:v>
      </x:c>
      <x:c r="AG60" t="str">
        <x:v>Completed</x:v>
      </x:c>
      <x:c r="AH60" t="n">
        <x:v>46112.11889333333</x:v>
      </x:c>
      <x:c r="AI60" t="str">
        <x:v>fathulrahman.misba@petronas.com</x:v>
      </x:c>
      <x:c r="AJ60" t="str">
        <x:v>approved</x:v>
      </x:c>
      <x:c r="AK60" t="str">
        <x:v>REQ000007913270</x:v>
      </x:c>
      <x:c r="AL60" t="str">
        <x:v>ea9ff09d-7f7a-482f-a081-c07b99b496a2</x:v>
      </x:c>
      <x:c r="AM60" s="23" t="str">
        <x:f>IF(E60="processing",IF(Z60="","",IF(ISNUMBER(Z60),INT(Z60),DATE(VALUE(LEFT(Z60,4)),VALUE(MID(Z60,6,2)),VALUE(MID(Z60,9,2))))),IF(OR(E60="executing",E60="pending"),IF(AD60="","",IF(ISNUMBER(AD60),INT(AD60),DATE(VALUE(LEFT(AD60,4)),VALUE(MID(AD60,6,2)),VALUE(MID(AD60,9,2))))),""))</x:f>
      </x:c>
      <x:c r="AN60" s="24" t="str">
        <x:f>IF(AM60="","",INT('Configuration'!$B$4)-AM60)</x:f>
      </x:c>
      <x:c r="AO60" s="25" t="str">
        <x:f>IF(AM60="","Missing Required Date",IF(AN60&lt;0,"Future Date",IF(AN60=0,"0 days",IF(AN60&lt;=2,"1-2 days",IF(AN60&lt;=7,"3-7 days",IF(AN60&lt;=14,"8-14 days",IF(AN60&lt;=30,"15-30 days",IF(AN60&lt;=60,"31-60 days",IF(AN60&lt;=70,"61-70 days","71+ days")))))))))</x:f>
        <x:v>Missing Required Date</x:v>
      </x:c>
      <x:c r="AP60" s="25" t="str">
        <x:f>IF(OR(E60="processing",E60="executing",E60="pending"),IF(AM60="","Required aging date missing",IF(AN60&gt;30,"Escalate &gt;30d",IF(AN60&gt;14,"Watch &gt;14d","Within 14d"))),"Out of scope")</x:f>
        <x:v>Out of scope</x:v>
      </x:c>
    </x:row>
    <x:row r="61" ht="24" customHeight="1">
      <x:c r="A61" t="str">
        <x:v>f3d57495-1c0e-44e3-91e3-618d253432cf</x:v>
      </x:c>
      <x:c r="B61" t="str">
        <x:v>CSSP10500225</x:v>
      </x:c>
      <x:c r="C61" t="str">
        <x:v>shahrulrizal.said@petronas.com</x:v>
      </x:c>
      <x:c r="D61" t="str">
        <x:v>provision-cloud-public</x:v>
      </x:c>
      <x:c r="E61" t="str">
        <x:v>completed</x:v>
      </x:c>
      <x:c r="F61" t="n">
        <x:v>46065.42225866898</x:v>
      </x:c>
      <x:c r="G61" t="n">
        <x:v>46065.42225866898</x:v>
      </x:c>
      <x:c r="H61" t="n">
        <x:v>46090.078410243055</x:v>
      </x:c>
      <x:c r="I61" t="str">
        <x:v>A-000354</x:v>
      </x:c>
      <x:c r="J61" t="str">
        <x:v>HSE Intelligence Pod - Smart Advisor - HIP SA</x:v>
      </x:c>
      <x:c r="K61" t="n">
        <x:v>4007</x:v>
      </x:c>
      <x:c r="L61" t="str">
        <x:v>HSE Intelligence Pod - Smart Advisor</x:v>
      </x:c>
      <x:c r="M61" t="str">
        <x:v>josephine.danielbav@petronas.com.my</x:v>
      </x:c>
      <x:c r="N61" t="str">
        <x:v>HIP.AI</x:v>
      </x:c>
      <x:c r="O61" t="str">
        <x:v>New</x:v>
      </x:c>
      <x:c r="P61" t="str">
        <x:v>Production</x:v>
      </x:c>
      <x:c r="Q61" t="str">
        <x:v>To create new azure foundry project from PTAZSG-1HIPSAOAI resource.
Create azure foundry project name : agentaiproj-prod
 in PTAZSG-IAC-PROD-HIP-SA-RG Resource group.
Please refer to same project created in Dev environment agentaiproj (agentaiproj-resource/agentaiproj)</x:v>
      </x:c>
      <x:c r="R61" t="str">
        <x:v>M</x:v>
      </x:c>
      <x:c r="S61"/>
      <x:c r="T61"/>
      <x:c r="U61" t="str">
        <x:v>Approved. Please proceed with utmost urgency</x:v>
      </x:c>
      <x:c r="V61" t="n">
        <x:v>46066.140562291665</x:v>
      </x:c>
      <x:c r="W61" t="str">
        <x:v>josephine.danielbav@petronas.com</x:v>
      </x:c>
      <x:c r="X61" t="str">
        <x:v>approved</x:v>
      </x:c>
      <x:c r="Y61" t="str">
        <x:v>Good to go</x:v>
      </x:c>
      <x:c r="Z61" t="n">
        <x:v>46066.34033625</x:v>
      </x:c>
      <x:c r="AA61" t="str">
        <x:v>samsuddin.jumbri@petronas.com</x:v>
      </x:c>
      <x:c r="AB61" t="str">
        <x:v>approved</x:v>
      </x:c>
      <x:c r="AC61" t="str">
        <x:v>ai resource</x:v>
      </x:c>
      <x:c r="AD61" t="n">
        <x:v>46072.26308791667</x:v>
      </x:c>
      <x:c r="AE61" t="str">
        <x:v>syazali.saad@petronas.com</x:v>
      </x:c>
      <x:c r="AF61" t="str">
        <x:v>approved</x:v>
      </x:c>
      <x:c r="AG61" t="str">
        <x:v>The resource has been provisioned </x:v>
      </x:c>
      <x:c r="AH61" t="n">
        <x:v>46090.078410243055</x:v>
      </x:c>
      <x:c r="AI61" t="str">
        <x:v>muhdfirdaus.muhamad@petronas.com</x:v>
      </x:c>
      <x:c r="AJ61" t="str">
        <x:v>approved</x:v>
      </x:c>
      <x:c r="AK61" t="str">
        <x:v>REQ000007881176</x:v>
      </x:c>
      <x:c r="AL61" t="str">
        <x:v>dffc798b-8629-447b-9c6c-13563df2b5ac</x:v>
      </x:c>
      <x:c r="AM61" s="23" t="str">
        <x:f>IF(E61="processing",IF(Z61="","",IF(ISNUMBER(Z61),INT(Z61),DATE(VALUE(LEFT(Z61,4)),VALUE(MID(Z61,6,2)),VALUE(MID(Z61,9,2))))),IF(OR(E61="executing",E61="pending"),IF(AD61="","",IF(ISNUMBER(AD61),INT(AD61),DATE(VALUE(LEFT(AD61,4)),VALUE(MID(AD61,6,2)),VALUE(MID(AD61,9,2))))),""))</x:f>
      </x:c>
      <x:c r="AN61" s="24" t="str">
        <x:f>IF(AM61="","",INT('Configuration'!$B$4)-AM61)</x:f>
      </x:c>
      <x:c r="AO61" s="25" t="str">
        <x:f>IF(AM61="","Missing Required Date",IF(AN61&lt;0,"Future Date",IF(AN61=0,"0 days",IF(AN61&lt;=2,"1-2 days",IF(AN61&lt;=7,"3-7 days",IF(AN61&lt;=14,"8-14 days",IF(AN61&lt;=30,"15-30 days",IF(AN61&lt;=60,"31-60 days",IF(AN61&lt;=70,"61-70 days","71+ days")))))))))</x:f>
        <x:v>Missing Required Date</x:v>
      </x:c>
      <x:c r="AP61" s="25" t="str">
        <x:f>IF(OR(E61="processing",E61="executing",E61="pending"),IF(AM61="","Required aging date missing",IF(AN61&gt;30,"Escalate &gt;30d",IF(AN61&gt;14,"Watch &gt;14d","Within 14d"))),"Out of scope")</x:f>
        <x:v>Out of scope</x:v>
      </x:c>
    </x:row>
    <x:row r="62" ht="24" customHeight="1">
      <x:c r="A62" t="str">
        <x:v>71a2611e-e0fe-41a5-a84a-5aa66b81c949</x:v>
      </x:c>
      <x:c r="B62" t="str">
        <x:v>CSSP10984525</x:v>
      </x:c>
      <x:c r="C62" t="str">
        <x:v>norfarhanael.shukor@petronas.com</x:v>
      </x:c>
      <x:c r="D62" t="str">
        <x:v>provision-cloud-public</x:v>
      </x:c>
      <x:c r="E62" t="str">
        <x:v>completed</x:v>
      </x:c>
      <x:c r="F62" t="n">
        <x:v>46066.310932106484</x:v>
      </x:c>
      <x:c r="G62" t="n">
        <x:v>46066.341464606485</x:v>
      </x:c>
      <x:c r="H62" t="n">
        <x:v>46067.74636615741</x:v>
      </x:c>
      <x:c r="I62" t="str">
        <x:v>A-000094</x:v>
      </x:c>
      <x:c r="J62" t="str">
        <x:v>Barrier Management and Work Control - BMWC Downstream</x:v>
      </x:c>
      <x:c r="K62" t="n">
        <x:v>568</x:v>
      </x:c>
      <x:c r="L62" t="str">
        <x:v>Pilot implementation of Proscient Work Control and Barrier Management for MRC and PPTSB</x:v>
      </x:c>
      <x:c r="M62" t="str">
        <x:v>ruhy.zanita@petronas.com.my</x:v>
      </x:c>
      <x:c r="N62" t="str">
        <x:v>Barrier Management and Work Control (BMWC)</x:v>
      </x:c>
      <x:c r="O62" t="str">
        <x:v>Modify</x:v>
      </x:c>
      <x:c r="P62" t="str">
        <x:v>Production</x:v>
      </x:c>
      <x:c r="Q62" t="str">
        <x:v>To upgrade VM CPU, RAM &amp; Disk for PTSG-1SWCBAP03 Reporting Server due to system slowness during peak hour (8AM - 11AM) daily. Finding from Solarwind monitoring &amp; issue has been logged to vendor  (T201884). As advised by vendor, to upgrade the server specification due to the server specifications and memory settings are insufficient for the application’s peak workload.</x:v>
      </x:c>
      <x:c r="R62" t="str">
        <x:v>S</x:v>
      </x:c>
      <x:c r="S62" t="str">
        <x:v>ICT_RFC00219321</x:v>
      </x:c>
      <x:c r="T62"/>
      <x:c r="U62" t="str">
        <x:v>Approved based on MRCSB’s request for COTS to support the resolution of the BMWC slowness issues.</x:v>
      </x:c>
      <x:c r="V62" t="n">
        <x:v>46066.34235355324</x:v>
      </x:c>
      <x:c r="W62" t="str">
        <x:v>ruhy.zanita@petronas.com</x:v>
      </x:c>
      <x:c r="X62" t="str">
        <x:v>approved</x:v>
      </x:c>
      <x:c r="Y62" t="str">
        <x:v>Good to go</x:v>
      </x:c>
      <x:c r="Z62" t="n">
        <x:v>46066.34531453704</x:v>
      </x:c>
      <x:c r="AA62" t="str">
        <x:v>samsuddin.jumbri@petronas.com</x:v>
      </x:c>
      <x:c r="AB62" t="str">
        <x:v>approved</x:v>
      </x:c>
      <x:c r="AC62" t="str">
        <x:v>upgrade activity on weekend.</x:v>
      </x:c>
      <x:c r="AD62" t="n">
        <x:v>46066.36977655093</x:v>
      </x:c>
      <x:c r="AE62" t="str">
        <x:v>syazali.saad@petronas.com</x:v>
      </x:c>
      <x:c r="AF62" t="str">
        <x:v>approved</x:v>
      </x:c>
      <x:c r="AG62" t="str">
        <x:v>completed</x:v>
      </x:c>
      <x:c r="AH62" t="n">
        <x:v>46067.74636618055</x:v>
      </x:c>
      <x:c r="AI62" t="str">
        <x:v>ahmadfirdaus.adnan@petronas.com</x:v>
      </x:c>
      <x:c r="AJ62" t="str">
        <x:v>approved</x:v>
      </x:c>
      <x:c r="AK62" t="str">
        <x:v>REQ000007876850</x:v>
      </x:c>
      <x:c r="AL62" t="str">
        <x:v>7a408f03-86c5-401c-a54c-a719975e734f</x:v>
      </x:c>
      <x:c r="AM62" s="23" t="str">
        <x:f>IF(E62="processing",IF(Z62="","",IF(ISNUMBER(Z62),INT(Z62),DATE(VALUE(LEFT(Z62,4)),VALUE(MID(Z62,6,2)),VALUE(MID(Z62,9,2))))),IF(OR(E62="executing",E62="pending"),IF(AD62="","",IF(ISNUMBER(AD62),INT(AD62),DATE(VALUE(LEFT(AD62,4)),VALUE(MID(AD62,6,2)),VALUE(MID(AD62,9,2))))),""))</x:f>
      </x:c>
      <x:c r="AN62" s="24" t="str">
        <x:f>IF(AM62="","",INT('Configuration'!$B$4)-AM62)</x:f>
      </x:c>
      <x:c r="AO62" s="25" t="str">
        <x:f>IF(AM62="","Missing Required Date",IF(AN62&lt;0,"Future Date",IF(AN62=0,"0 days",IF(AN62&lt;=2,"1-2 days",IF(AN62&lt;=7,"3-7 days",IF(AN62&lt;=14,"8-14 days",IF(AN62&lt;=30,"15-30 days",IF(AN62&lt;=60,"31-60 days",IF(AN62&lt;=70,"61-70 days","71+ days")))))))))</x:f>
        <x:v>Missing Required Date</x:v>
      </x:c>
      <x:c r="AP62" s="25" t="str">
        <x:f>IF(OR(E62="processing",E62="executing",E62="pending"),IF(AM62="","Required aging date missing",IF(AN62&gt;30,"Escalate &gt;30d",IF(AN62&gt;14,"Watch &gt;14d","Within 14d"))),"Out of scope")</x:f>
        <x:v>Out of scope</x:v>
      </x:c>
    </x:row>
    <x:row r="63" ht="24" customHeight="1">
      <x:c r="A63" t="str">
        <x:v>28ad9538-c792-4831-8995-14668b3ff8aa</x:v>
      </x:c>
      <x:c r="B63" t="str">
        <x:v>CSSP10441451</x:v>
      </x:c>
      <x:c r="C63" t="str">
        <x:v>shahrulrizal.said@petronas.com</x:v>
      </x:c>
      <x:c r="D63" t="str">
        <x:v>provision-cloud-public</x:v>
      </x:c>
      <x:c r="E63" t="str">
        <x:v>completed</x:v>
      </x:c>
      <x:c r="F63" t="n">
        <x:v>46069.197641597224</x:v>
      </x:c>
      <x:c r="G63" t="n">
        <x:v>46069.197641597224</x:v>
      </x:c>
      <x:c r="H63" t="n">
        <x:v>46090.07774414352</x:v>
      </x:c>
      <x:c r="I63" t="str">
        <x:v>A-000354</x:v>
      </x:c>
      <x:c r="J63" t="str">
        <x:v>HSE Intelligence Pod - Smart Advisor - HIP SA</x:v>
      </x:c>
      <x:c r="K63" t="n">
        <x:v>4007</x:v>
      </x:c>
      <x:c r="L63" t="str">
        <x:v>HSE Intelligence Pod - Smart Advisor</x:v>
      </x:c>
      <x:c r="M63" t="str">
        <x:v>josephine.danielbav@petronas.com.my</x:v>
      </x:c>
      <x:c r="N63" t="str">
        <x:v>HIP.AI</x:v>
      </x:c>
      <x:c r="O63" t="str">
        <x:v>New</x:v>
      </x:c>
      <x:c r="P63" t="str">
        <x:v>Development</x:v>
      </x:c>
      <x:c r="Q63" t="str">
        <x:v>To provision attached resources in this development RG PTAZSG-DEV-HIPVISION-SA-RG</x:v>
      </x:c>
      <x:c r="R63" t="str">
        <x:v>M</x:v>
      </x:c>
      <x:c r="S63"/>
      <x:c r="T63"/>
      <x:c r="U63" t="str">
        <x:v>Proceed Urgently. Approved</x:v>
      </x:c>
      <x:c r="V63" t="n">
        <x:v>46069.31281244213</x:v>
      </x:c>
      <x:c r="W63" t="str">
        <x:v>josephine.danielbav@petronas.com</x:v>
      </x:c>
      <x:c r="X63" t="str">
        <x:v>approved</x:v>
      </x:c>
      <x:c r="Y63" t="str">
        <x:v>Good to go</x:v>
      </x:c>
      <x:c r="Z63" t="n">
        <x:v>46069.354966099534</x:v>
      </x:c>
      <x:c r="AA63" t="str">
        <x:v>samsuddin.jumbri@petronas.com</x:v>
      </x:c>
      <x:c r="AB63" t="str">
        <x:v>approved</x:v>
      </x:c>
      <x:c r="AC63" t="str">
        <x:v>olz deployment</x:v>
      </x:c>
      <x:c r="AD63" t="n">
        <x:v>46072.26335209491</x:v>
      </x:c>
      <x:c r="AE63" t="str">
        <x:v>syazali.saad@petronas.com</x:v>
      </x:c>
      <x:c r="AF63" t="str">
        <x:v>approved</x:v>
      </x:c>
      <x:c r="AG63" t="str">
        <x:v>The resources have been provisioned</x:v>
      </x:c>
      <x:c r="AH63" t="n">
        <x:v>46090.07774415509</x:v>
      </x:c>
      <x:c r="AI63" t="str">
        <x:v>muhdfirdaus.muhamad@petronas.com</x:v>
      </x:c>
      <x:c r="AJ63" t="str">
        <x:v>approved</x:v>
      </x:c>
      <x:c r="AK63" t="str">
        <x:v>REQ000007881734</x:v>
      </x:c>
      <x:c r="AL63" t="str">
        <x:v>dffc798b-8629-447b-9c6c-13563df2b5ac</x:v>
      </x:c>
      <x:c r="AM63" s="23" t="str">
        <x:f>IF(E63="processing",IF(Z63="","",IF(ISNUMBER(Z63),INT(Z63),DATE(VALUE(LEFT(Z63,4)),VALUE(MID(Z63,6,2)),VALUE(MID(Z63,9,2))))),IF(OR(E63="executing",E63="pending"),IF(AD63="","",IF(ISNUMBER(AD63),INT(AD63),DATE(VALUE(LEFT(AD63,4)),VALUE(MID(AD63,6,2)),VALUE(MID(AD63,9,2))))),""))</x:f>
      </x:c>
      <x:c r="AN63" s="24" t="str">
        <x:f>IF(AM63="","",INT('Configuration'!$B$4)-AM63)</x:f>
      </x:c>
      <x:c r="AO63" s="25" t="str">
        <x:f>IF(AM63="","Missing Required Date",IF(AN63&lt;0,"Future Date",IF(AN63=0,"0 days",IF(AN63&lt;=2,"1-2 days",IF(AN63&lt;=7,"3-7 days",IF(AN63&lt;=14,"8-14 days",IF(AN63&lt;=30,"15-30 days",IF(AN63&lt;=60,"31-60 days",IF(AN63&lt;=70,"61-70 days","71+ days")))))))))</x:f>
        <x:v>Missing Required Date</x:v>
      </x:c>
      <x:c r="AP63" s="25" t="str">
        <x:f>IF(OR(E63="processing",E63="executing",E63="pending"),IF(AM63="","Required aging date missing",IF(AN63&gt;30,"Escalate &gt;30d",IF(AN63&gt;14,"Watch &gt;14d","Within 14d"))),"Out of scope")</x:f>
        <x:v>Out of scope</x:v>
      </x:c>
    </x:row>
    <x:row r="64" ht="24" customHeight="1">
      <x:c r="A64" t="str">
        <x:v>b72088d7-d8ee-41a2-91a9-f7f3e9a77dc9</x:v>
      </x:c>
      <x:c r="B64" t="str">
        <x:v>CSSP10954631</x:v>
      </x:c>
      <x:c r="C64" t="str">
        <x:v>shahrulrizal.said@petronas.com</x:v>
      </x:c>
      <x:c r="D64" t="str">
        <x:v>provision-cloud-public</x:v>
      </x:c>
      <x:c r="E64" t="str">
        <x:v>completed</x:v>
      </x:c>
      <x:c r="F64" t="n">
        <x:v>46069.30460880787</x:v>
      </x:c>
      <x:c r="G64" t="n">
        <x:v>46069.30460880787</x:v>
      </x:c>
      <x:c r="H64" t="n">
        <x:v>46114.18826326389</x:v>
      </x:c>
      <x:c r="I64" t="str">
        <x:v>A-000355</x:v>
      </x:c>
      <x:c r="J64" t="str">
        <x:v>HSE Intelligence Pod Multimodal AI Vision / Voice - HIPVISION</x:v>
      </x:c>
      <x:c r="K64" t="n">
        <x:v>3578</x:v>
      </x:c>
      <x:c r="L64" t="str">
        <x:v>Development of HSE Intelligence Pod (HIP) Multimodal AI (Vision, Voice)</x:v>
      </x:c>
      <x:c r="M64" t="str">
        <x:v>josephine.danielbav@petronas.com.my</x:v>
      </x:c>
      <x:c r="N64" t="str">
        <x:v>HIP Vision AI</x:v>
      </x:c>
      <x:c r="O64" t="str">
        <x:v>Modify</x:v>
      </x:c>
      <x:c r="P64" t="str">
        <x:v>Production</x:v>
      </x:c>
      <x:c r="Q64" t="str">
        <x:v>To upgrade Existing Azure Kubernetes pricing tier from free to standard tier. AKS resource= ptsg-1hipvisionaks01 reside in ptazsg-iac-prod-hipvision-jai-rg Resource group. Have been discussing with Fathul and good to have him assign since he understands the situation. </x:v>
      </x:c>
      <x:c r="R64" t="str">
        <x:v>L</x:v>
      </x:c>
      <x:c r="S64" t="str">
        <x:v>ICT_RFC00218992</x:v>
      </x:c>
      <x:c r="T64"/>
      <x:c r="U64" t="str">
        <x:v>Kindly Proceed urgently. Approved</x:v>
      </x:c>
      <x:c r="V64" t="n">
        <x:v>46069.310848587964</x:v>
      </x:c>
      <x:c r="W64" t="str">
        <x:v>josephine.danielbav@petronas.com</x:v>
      </x:c>
      <x:c r="X64" t="str">
        <x:v>approved</x:v>
      </x:c>
      <x:c r="Y64" t="str">
        <x:v>Good to go</x:v>
      </x:c>
      <x:c r="Z64" t="n">
        <x:v>46069.353077789354</x:v>
      </x:c>
      <x:c r="AA64" t="str">
        <x:v>samsuddin.jumbri@petronas.com</x:v>
      </x:c>
      <x:c r="AB64" t="str">
        <x:v>approved</x:v>
      </x:c>
      <x:c r="AC64" t="str">
        <x:v>kubernetes upgrade (target 20th Feb 2026, night).</x:v>
      </x:c>
      <x:c r="AD64" t="n">
        <x:v>46072.27073238426</x:v>
      </x:c>
      <x:c r="AE64" t="str">
        <x:v>syazali.saad@petronas.com</x:v>
      </x:c>
      <x:c r="AF64" t="str">
        <x:v>approved</x:v>
      </x:c>
      <x:c r="AG64" t="str">
        <x:v>done on 20/2</x:v>
      </x:c>
      <x:c r="AH64" t="n">
        <x:v>46114.188263275464</x:v>
      </x:c>
      <x:c r="AI64" t="str">
        <x:v>izham.ajmaan@petronas.com</x:v>
      </x:c>
      <x:c r="AJ64" t="str">
        <x:v>approved</x:v>
      </x:c>
      <x:c r="AK64" t="str">
        <x:v>REQ000007881736</x:v>
      </x:c>
      <x:c r="AL64" t="str">
        <x:v>ea9ff09d-7f7a-482f-a081-c07b99b496a2</x:v>
      </x:c>
      <x:c r="AM64" s="23" t="str">
        <x:f>IF(E64="processing",IF(Z64="","",IF(ISNUMBER(Z64),INT(Z64),DATE(VALUE(LEFT(Z64,4)),VALUE(MID(Z64,6,2)),VALUE(MID(Z64,9,2))))),IF(OR(E64="executing",E64="pending"),IF(AD64="","",IF(ISNUMBER(AD64),INT(AD64),DATE(VALUE(LEFT(AD64,4)),VALUE(MID(AD64,6,2)),VALUE(MID(AD64,9,2))))),""))</x:f>
      </x:c>
      <x:c r="AN64" s="24" t="str">
        <x:f>IF(AM64="","",INT('Configuration'!$B$4)-AM64)</x:f>
      </x:c>
      <x:c r="AO64" s="25" t="str">
        <x:f>IF(AM64="","Missing Required Date",IF(AN64&lt;0,"Future Date",IF(AN64=0,"0 days",IF(AN64&lt;=2,"1-2 days",IF(AN64&lt;=7,"3-7 days",IF(AN64&lt;=14,"8-14 days",IF(AN64&lt;=30,"15-30 days",IF(AN64&lt;=60,"31-60 days",IF(AN64&lt;=70,"61-70 days","71+ days")))))))))</x:f>
        <x:v>Missing Required Date</x:v>
      </x:c>
      <x:c r="AP64" s="25" t="str">
        <x:f>IF(OR(E64="processing",E64="executing",E64="pending"),IF(AM64="","Required aging date missing",IF(AN64&gt;30,"Escalate &gt;30d",IF(AN64&gt;14,"Watch &gt;14d","Within 14d"))),"Out of scope")</x:f>
        <x:v>Out of scope</x:v>
      </x:c>
    </x:row>
    <x:row r="65" ht="24" customHeight="1">
      <x:c r="A65" t="str">
        <x:v>55fb99fa-591a-4969-a638-46daa411e6e6</x:v>
      </x:c>
      <x:c r="B65" t="str">
        <x:v>CSSP10620386</x:v>
      </x:c>
      <x:c r="C65" t="str">
        <x:v>zulhasyidi.hassan@petronas.com</x:v>
      </x:c>
      <x:c r="D65" t="str">
        <x:v>provision-cloud-public</x:v>
      </x:c>
      <x:c r="E65" t="str">
        <x:v>completed</x:v>
      </x:c>
      <x:c r="F65" t="n">
        <x:v>46073.32463443287</x:v>
      </x:c>
      <x:c r="G65" t="n">
        <x:v>46073.32463443287</x:v>
      </x:c>
      <x:c r="H65" t="n">
        <x:v>46092.17548827546</x:v>
      </x:c>
      <x:c r="I65" t="str">
        <x:v>A-000566</x:v>
      </x:c>
      <x:c r="J65" t="str">
        <x:v>Plant Information - PI CHOPI UPSTREAM</x:v>
      </x:c>
      <x:c r="K65" t="str">
        <x:v>02421_12</x:v>
      </x:c>
      <x:c r="L65" t="str">
        <x:v>Cloud Migration Program - PI Upstream</x:v>
      </x:c>
      <x:c r="M65" t="str">
        <x:v>mohammadsani.johari@petronas.com.my</x:v>
      </x:c>
      <x:c r="N65" t="str">
        <x:v>PI Upstream Cho PI</x:v>
      </x:c>
      <x:c r="O65" t="str">
        <x:v>Modify</x:v>
      </x:c>
      <x:c r="P65" t="str">
        <x:v>Production</x:v>
      </x:c>
      <x:c r="Q65" t="str">
        <x:v>Upgrade existing server CPU specification (PTSG-1PIDB01 &amp; PTSG-1PIDB02)</x:v>
      </x:c>
      <x:c r="R65" t="str">
        <x:v>M</x:v>
      </x:c>
      <x:c r="S65" t="str">
        <x:v>ICT_RFC00219433</x:v>
      </x:c>
      <x:c r="T65"/>
      <x:c r="U65" t="str">
        <x:v>Approved</x:v>
      </x:c>
      <x:c r="V65" t="n">
        <x:v>46076.03206297454</x:v>
      </x:c>
      <x:c r="W65" t="str">
        <x:v>mohammadsani.johari@petronas.com</x:v>
      </x:c>
      <x:c r="X65" t="str">
        <x:v>approved</x:v>
      </x:c>
      <x:c r="Y65" t="str">
        <x:v>Good to go</x:v>
      </x:c>
      <x:c r="Z65" t="n">
        <x:v>46077.32007829861</x:v>
      </x:c>
      <x:c r="AA65" t="str">
        <x:v>samsuddin.jumbri@petronas.com</x:v>
      </x:c>
      <x:c r="AB65" t="str">
        <x:v>approved</x:v>
      </x:c>
      <x:c r="AC65" t="str">
        <x:v>RFC.
Azure focal - Abu
primary - Badri
2ndary - Afnan</x:v>
      </x:c>
      <x:c r="AD65" t="n">
        <x:v>46077.32741680556</x:v>
      </x:c>
      <x:c r="AE65" t="str">
        <x:v>syazali.saad@petronas.com</x:v>
      </x:c>
      <x:c r="AF65" t="str">
        <x:v>approved</x:v>
      </x:c>
      <x:c r="AG65" t="str">
        <x:v>request completed</x:v>
      </x:c>
      <x:c r="AH65" t="n">
        <x:v>46092.17548828704</x:v>
      </x:c>
      <x:c r="AI65" t="str">
        <x:v>izzat.romainor@petronas.com</x:v>
      </x:c>
      <x:c r="AJ65" t="str">
        <x:v>approved</x:v>
      </x:c>
      <x:c r="AK65" t="str">
        <x:v>REQ000007890587</x:v>
      </x:c>
      <x:c r="AL65" t="str">
        <x:v>fd598383-7773-40d2-a78c-f50abc149ce9</x:v>
      </x:c>
      <x:c r="AM65" s="23" t="str">
        <x:f>IF(E65="processing",IF(Z65="","",IF(ISNUMBER(Z65),INT(Z65),DATE(VALUE(LEFT(Z65,4)),VALUE(MID(Z65,6,2)),VALUE(MID(Z65,9,2))))),IF(OR(E65="executing",E65="pending"),IF(AD65="","",IF(ISNUMBER(AD65),INT(AD65),DATE(VALUE(LEFT(AD65,4)),VALUE(MID(AD65,6,2)),VALUE(MID(AD65,9,2))))),""))</x:f>
      </x:c>
      <x:c r="AN65" s="24" t="str">
        <x:f>IF(AM65="","",INT('Configuration'!$B$4)-AM65)</x:f>
      </x:c>
      <x:c r="AO65" s="25" t="str">
        <x:f>IF(AM65="","Missing Required Date",IF(AN65&lt;0,"Future Date",IF(AN65=0,"0 days",IF(AN65&lt;=2,"1-2 days",IF(AN65&lt;=7,"3-7 days",IF(AN65&lt;=14,"8-14 days",IF(AN65&lt;=30,"15-30 days",IF(AN65&lt;=60,"31-60 days",IF(AN65&lt;=70,"61-70 days","71+ days")))))))))</x:f>
        <x:v>Missing Required Date</x:v>
      </x:c>
      <x:c r="AP65" s="25" t="str">
        <x:f>IF(OR(E65="processing",E65="executing",E65="pending"),IF(AM65="","Required aging date missing",IF(AN65&gt;30,"Escalate &gt;30d",IF(AN65&gt;14,"Watch &gt;14d","Within 14d"))),"Out of scope")</x:f>
        <x:v>Out of scope</x:v>
      </x:c>
    </x:row>
    <x:row r="66" ht="24" customHeight="1">
      <x:c r="A66" t="str">
        <x:v>92c4b87a-8c76-427d-a543-89a708619ea5</x:v>
      </x:c>
      <x:c r="B66" t="str">
        <x:v>CSSP10936246</x:v>
      </x:c>
      <x:c r="C66" t="str">
        <x:v>mohamadkhamanfa.norm@petronas.com</x:v>
      </x:c>
      <x:c r="D66" t="str">
        <x:v>provision-cloud-public</x:v>
      </x:c>
      <x:c r="E66" t="str">
        <x:v>completed</x:v>
      </x:c>
      <x:c r="F66" t="n">
        <x:v>46076.172252094904</x:v>
      </x:c>
      <x:c r="G66" t="n">
        <x:v>46076.172252094904</x:v>
      </x:c>
      <x:c r="H66" t="n">
        <x:v>46097.36706614583</x:v>
      </x:c>
      <x:c r="I66" t="str">
        <x:v>C-000009</x:v>
      </x:c>
      <x:c r="J66" t="str">
        <x:v>Common DevOps</x:v>
      </x:c>
      <x:c r="K66" t="str">
        <x:v>Common-DevOps</x:v>
      </x:c>
      <x:c r="L66" t="str">
        <x:v>Common DevOps (VS-petronasvsts-Group)</x:v>
      </x:c>
      <x:c r="M66" t="str">
        <x:v>ahmadkamal.aziz@petronas.com</x:v>
      </x:c>
      <x:c r="N66" t="str">
        <x:v>DevOps Project Portal</x:v>
      </x:c>
      <x:c r="O66" t="str">
        <x:v>New</x:v>
      </x:c>
      <x:c r="P66" t="str">
        <x:v>Production</x:v>
      </x:c>
      <x:c r="Q66" t="str">
        <x:v>6 BU, 12 MY Subscriptions, 1 VM in each Subs, Thus, 12 Windows VM. 
Azure DevOps Agent. Using same cost center and project code from CommonDevOps (Azure DevOps services bill tagged)</x:v>
      </x:c>
      <x:c r="R66" t="str">
        <x:v>M</x:v>
      </x:c>
      <x:c r="S66"/>
      <x:c r="T66"/>
      <x:c r="U66" t="str">
        <x:v>Proceed</x:v>
      </x:c>
      <x:c r="V66" t="n">
        <x:v>46076.17779972222</x:v>
      </x:c>
      <x:c r="W66" t="str">
        <x:v>ahmadkamal.aziz@petronas.com</x:v>
      </x:c>
      <x:c r="X66" t="str">
        <x:v>approved</x:v>
      </x:c>
      <x:c r="Y66" t="str">
        <x:v>Good to go</x:v>
      </x:c>
      <x:c r="Z66" t="n">
        <x:v>46080.327154074075</x:v>
      </x:c>
      <x:c r="AA66" t="str">
        <x:v>samsuddin.jumbri@petronas.com</x:v>
      </x:c>
      <x:c r="AB66" t="str">
        <x:v>approved</x:v>
      </x:c>
      <x:c r="AC66" t="str">
        <x:v>new ADO WE</x:v>
      </x:c>
      <x:c r="AD66" t="n">
        <x:v>46085.20341988426</x:v>
      </x:c>
      <x:c r="AE66" t="str">
        <x:v>syazali.saad@petronas.com</x:v>
      </x:c>
      <x:c r="AF66" t="str">
        <x:v>approved</x:v>
      </x:c>
      <x:c r="AG66" t="str">
        <x:v>completed</x:v>
      </x:c>
      <x:c r="AH66" t="n">
        <x:v>46097.36706614583</x:v>
      </x:c>
      <x:c r="AI66" t="str">
        <x:v>akhmal.roslan@petronas.com</x:v>
      </x:c>
      <x:c r="AJ66" t="str">
        <x:v>approved</x:v>
      </x:c>
      <x:c r="AK66" t="str">
        <x:v>REQ000007913365</x:v>
      </x:c>
      <x:c r="AL66" t="str">
        <x:v>6f125514-d21d-4733-9965-a181b6199525</x:v>
      </x:c>
      <x:c r="AM66" s="23" t="str">
        <x:f>IF(E66="processing",IF(Z66="","",IF(ISNUMBER(Z66),INT(Z66),DATE(VALUE(LEFT(Z66,4)),VALUE(MID(Z66,6,2)),VALUE(MID(Z66,9,2))))),IF(OR(E66="executing",E66="pending"),IF(AD66="","",IF(ISNUMBER(AD66),INT(AD66),DATE(VALUE(LEFT(AD66,4)),VALUE(MID(AD66,6,2)),VALUE(MID(AD66,9,2))))),""))</x:f>
      </x:c>
      <x:c r="AN66" s="24" t="str">
        <x:f>IF(AM66="","",INT('Configuration'!$B$4)-AM66)</x:f>
      </x:c>
      <x:c r="AO66" s="25" t="str">
        <x:f>IF(AM66="","Missing Required Date",IF(AN66&lt;0,"Future Date",IF(AN66=0,"0 days",IF(AN66&lt;=2,"1-2 days",IF(AN66&lt;=7,"3-7 days",IF(AN66&lt;=14,"8-14 days",IF(AN66&lt;=30,"15-30 days",IF(AN66&lt;=60,"31-60 days",IF(AN66&lt;=70,"61-70 days","71+ days")))))))))</x:f>
        <x:v>Missing Required Date</x:v>
      </x:c>
      <x:c r="AP66" s="25" t="str">
        <x:f>IF(OR(E66="processing",E66="executing",E66="pending"),IF(AM66="","Required aging date missing",IF(AN66&gt;30,"Escalate &gt;30d",IF(AN66&gt;14,"Watch &gt;14d","Within 14d"))),"Out of scope")</x:f>
        <x:v>Out of scope</x:v>
      </x:c>
    </x:row>
    <x:row r="67" ht="24" customHeight="1">
      <x:c r="A67" t="str">
        <x:v>5eddc4bf-6658-4932-81e4-4f51bfcf6b77</x:v>
      </x:c>
      <x:c r="B67" t="str">
        <x:v>CSSP10505264</x:v>
      </x:c>
      <x:c r="C67" t="str">
        <x:v>ettonnarimah@petronas.com</x:v>
      </x:c>
      <x:c r="D67" t="str">
        <x:v>provision-cloud-public</x:v>
      </x:c>
      <x:c r="E67" t="str">
        <x:v>rejected</x:v>
      </x:c>
      <x:c r="F67" t="n">
        <x:v>46076.25043788194</x:v>
      </x:c>
      <x:c r="G67" t="n">
        <x:v>46076.25043788194</x:v>
      </x:c>
      <x:c r="H67" t="n">
        <x:v>46098.08090732639</x:v>
      </x:c>
      <x:c r="I67" t="str">
        <x:v>A-001315</x:v>
      </x:c>
      <x:c r="J67" t="str">
        <x:v>PDB Data &amp; Intelligence Platform</x:v>
      </x:c>
      <x:c r="K67" t="str">
        <x:v>SR25023</x:v>
      </x:c>
      <x:c r="L67" t="str">
        <x:v>PDB Data &amp; Intelligence Platform</x:v>
      </x:c>
      <x:c r="M67" t="str">
        <x:v>mariful.islam@petronas.com.my</x:v>
      </x:c>
      <x:c r="N67" t="str">
        <x:v>AI Enablement for PDB</x:v>
      </x:c>
      <x:c r="O67" t="str">
        <x:v>New</x:v>
      </x:c>
      <x:c r="P67" t="str">
        <x:v>Development</x:v>
      </x:c>
      <x:c r="Q67" t="str">
        <x:v>Compute Name: PDB-CAD-NUR AINA ALIYAH
Assign To: Nur Aina Aliyah Yusry Effendy (CAD/PDB)
Virtual Machine Size: Standard_D4s_v3 4 cores, 16GB RAM, 32GB storage
Auto Shut Down Schedule: 60 minutes
</x:v>
      </x:c>
      <x:c r="R67"/>
      <x:c r="S67"/>
      <x:c r="T67"/>
      <x:c r="U67" t="str">
        <x:v>ok</x:v>
      </x:c>
      <x:c r="V67" t="n">
        <x:v>46097.44269362269</x:v>
      </x:c>
      <x:c r="W67" t="str">
        <x:v>mariful.islam@petronas.com</x:v>
      </x:c>
      <x:c r="X67" t="str">
        <x:v>approved</x:v>
      </x:c>
      <x:c r="Y67" t="str">
        <x:v>To comply with the Cloud Service Request and Provisioning Guideline v4.0, kindly provide the approved CS BIA, SOW/HLD and Estimate Cost (in excel file downloaded from Azure/AWS calculator website portal) as supporting evidence. </x:v>
      </x:c>
      <x:c r="Z67" t="n">
        <x:v>46098.080907337964</x:v>
      </x:c>
      <x:c r="AA67" t="str">
        <x:v>samsuddin.jumbri@petronas.com</x:v>
      </x:c>
      <x:c r="AB67" t="str">
        <x:v>rejected</x:v>
      </x:c>
      <x:c r="AC67"/>
      <x:c r="AD67"/>
      <x:c r="AE67" t="str">
        <x:v>CCoE Business</x:v>
      </x:c>
      <x:c r="AF67"/>
      <x:c r="AG67"/>
      <x:c r="AH67"/>
      <x:c r="AI67" t="str">
        <x:v>CCoE Core Services (Public)</x:v>
      </x:c>
      <x:c r="AJ67"/>
      <x:c r="AK67"/>
      <x:c r="AL67" t="str">
        <x:v>b4e60f9a-b7c8-4e1d-8847-6f2e75534143</x:v>
      </x:c>
      <x:c r="AM67" s="23" t="str">
        <x:f>IF(E67="processing",IF(Z67="","",IF(ISNUMBER(Z67),INT(Z67),DATE(VALUE(LEFT(Z67,4)),VALUE(MID(Z67,6,2)),VALUE(MID(Z67,9,2))))),IF(OR(E67="executing",E67="pending"),IF(AD67="","",IF(ISNUMBER(AD67),INT(AD67),DATE(VALUE(LEFT(AD67,4)),VALUE(MID(AD67,6,2)),VALUE(MID(AD67,9,2))))),""))</x:f>
      </x:c>
      <x:c r="AN67" s="24" t="str">
        <x:f>IF(AM67="","",INT('Configuration'!$B$4)-AM67)</x:f>
      </x:c>
      <x:c r="AO67" s="25" t="str">
        <x:f>IF(AM67="","Missing Required Date",IF(AN67&lt;0,"Future Date",IF(AN67=0,"0 days",IF(AN67&lt;=2,"1-2 days",IF(AN67&lt;=7,"3-7 days",IF(AN67&lt;=14,"8-14 days",IF(AN67&lt;=30,"15-30 days",IF(AN67&lt;=60,"31-60 days",IF(AN67&lt;=70,"61-70 days","71+ days")))))))))</x:f>
        <x:v>Missing Required Date</x:v>
      </x:c>
      <x:c r="AP67" s="25" t="str">
        <x:f>IF(OR(E67="processing",E67="executing",E67="pending"),IF(AM67="","Required aging date missing",IF(AN67&gt;30,"Escalate &gt;30d",IF(AN67&gt;14,"Watch &gt;14d","Within 14d"))),"Out of scope")</x:f>
        <x:v>Out of scope</x:v>
      </x:c>
    </x:row>
    <x:row r="68" ht="24" customHeight="1">
      <x:c r="A68" t="str">
        <x:v>3c3b3712-3078-4079-977d-361f5eeceb58</x:v>
      </x:c>
      <x:c r="B68" t="str">
        <x:v>CSSP10772786</x:v>
      </x:c>
      <x:c r="C68" t="str">
        <x:v>mibrahim.sulaima@petronas.com</x:v>
      </x:c>
      <x:c r="D68" t="str">
        <x:v>provision-cloud-public</x:v>
      </x:c>
      <x:c r="E68" t="str">
        <x:v>completed</x:v>
      </x:c>
      <x:c r="F68" t="n">
        <x:v>46077.304119444445</x:v>
      </x:c>
      <x:c r="G68" t="n">
        <x:v>46077.304119444445</x:v>
      </x:c>
      <x:c r="H68" t="n">
        <x:v>46094.27951479167</x:v>
      </x:c>
      <x:c r="I68" t="str">
        <x:v>A-000303</x:v>
      </x:c>
      <x:c r="J68" t="str">
        <x:v>Enhancement of Enhanced Resource Monetization by Artificial Intelligence - ERMAI Phase 3 for Malaysia Petroleum Management - MPM</x:v>
      </x:c>
      <x:c r="K68" t="n">
        <x:v>100</x:v>
      </x:c>
      <x:c r="L68" t="str">
        <x:v>Enhancement of Enhanced Resource Monetization by Artificial Intelligence (ERMAI) Phase 4 </x:v>
      </x:c>
      <x:c r="M68" t="str">
        <x:v>limeng.tan@petronas.com.my</x:v>
      </x:c>
      <x:c r="N68" t="str">
        <x:v>ERMAI</x:v>
      </x:c>
      <x:c r="O68" t="str">
        <x:v>Modify</x:v>
      </x:c>
      <x:c r="P68" t="str">
        <x:v>Development</x:v>
      </x:c>
      <x:c r="Q68" t="str">
        <x:v>Our Dev VM is currently having occasional 'hang' whenever new deployment or VM auto turn-on every morning. We identified potential bottleneck happen in Data Disk due to massive read/write especially on application logging. Hence raising this request to upgrade existing disk from Standard SSD to Premium SSD. 
VM: PTSG-5ERMAIap01
To upgrade by swaping data disk from Standard SSD to Premium SSD.</x:v>
      </x:c>
      <x:c r="R68" t="str">
        <x:v>M</x:v>
      </x:c>
      <x:c r="S68"/>
      <x:c r="T68"/>
      <x:c r="U68" t="str">
        <x:v>Approved as per acknowledgement by business PM (M Faizal B A Rahim)</x:v>
      </x:c>
      <x:c r="V68" t="n">
        <x:v>46078.07666158565</x:v>
      </x:c>
      <x:c r="W68" t="str">
        <x:v>limeng.tan@petronas.com</x:v>
      </x:c>
      <x:c r="X68" t="str">
        <x:v>approved</x:v>
      </x:c>
      <x:c r="Y68" t="str">
        <x:v>Good to go</x:v>
      </x:c>
      <x:c r="Z68" t="n">
        <x:v>46080.328649282405</x:v>
      </x:c>
      <x:c r="AA68" t="str">
        <x:v>samsuddin.jumbri@petronas.com</x:v>
      </x:c>
      <x:c r="AB68" t="str">
        <x:v>approved</x:v>
      </x:c>
      <x:c r="AC68" t="str">
        <x:v>upsize</x:v>
      </x:c>
      <x:c r="AD68" t="n">
        <x:v>46091.31656421296</x:v>
      </x:c>
      <x:c r="AE68" t="str">
        <x:v>syazali.saad@petronas.com</x:v>
      </x:c>
      <x:c r="AF68" t="str">
        <x:v>approved</x:v>
      </x:c>
      <x:c r="AG68" t="str">
        <x:v>Completed</x:v>
      </x:c>
      <x:c r="AH68" t="n">
        <x:v>46094.27951479167</x:v>
      </x:c>
      <x:c r="AI68" t="str">
        <x:v>badri.shaharudin@petronas.com</x:v>
      </x:c>
      <x:c r="AJ68" t="str">
        <x:v>approved</x:v>
      </x:c>
      <x:c r="AK68" t="str">
        <x:v>REQ000007924665</x:v>
      </x:c>
      <x:c r="AL68" t="str">
        <x:v>5863a8c2-1f97-4aab-9158-0ada19ce8b61</x:v>
      </x:c>
      <x:c r="AM68" s="23" t="str">
        <x:f>IF(E68="processing",IF(Z68="","",IF(ISNUMBER(Z68),INT(Z68),DATE(VALUE(LEFT(Z68,4)),VALUE(MID(Z68,6,2)),VALUE(MID(Z68,9,2))))),IF(OR(E68="executing",E68="pending"),IF(AD68="","",IF(ISNUMBER(AD68),INT(AD68),DATE(VALUE(LEFT(AD68,4)),VALUE(MID(AD68,6,2)),VALUE(MID(AD68,9,2))))),""))</x:f>
      </x:c>
      <x:c r="AN68" s="24" t="str">
        <x:f>IF(AM68="","",INT('Configuration'!$B$4)-AM68)</x:f>
      </x:c>
      <x:c r="AO68" s="25" t="str">
        <x:f>IF(AM68="","Missing Required Date",IF(AN68&lt;0,"Future Date",IF(AN68=0,"0 days",IF(AN68&lt;=2,"1-2 days",IF(AN68&lt;=7,"3-7 days",IF(AN68&lt;=14,"8-14 days",IF(AN68&lt;=30,"15-30 days",IF(AN68&lt;=60,"31-60 days",IF(AN68&lt;=70,"61-70 days","71+ days")))))))))</x:f>
        <x:v>Missing Required Date</x:v>
      </x:c>
      <x:c r="AP68" s="25" t="str">
        <x:f>IF(OR(E68="processing",E68="executing",E68="pending"),IF(AM68="","Required aging date missing",IF(AN68&gt;30,"Escalate &gt;30d",IF(AN68&gt;14,"Watch &gt;14d","Within 14d"))),"Out of scope")</x:f>
        <x:v>Out of scope</x:v>
      </x:c>
    </x:row>
    <x:row r="69" ht="24" customHeight="1">
      <x:c r="A69" t="str">
        <x:v>cbb7b077-d8cf-41e4-892e-e6bac1d707d3</x:v>
      </x:c>
      <x:c r="B69" t="str">
        <x:v>CSSP10604853</x:v>
      </x:c>
      <x:c r="C69" t="str">
        <x:v>mfaizal.salleh@petronas.com</x:v>
      </x:c>
      <x:c r="D69" t="str">
        <x:v>provision-cloud-public</x:v>
      </x:c>
      <x:c r="E69" t="str">
        <x:v>completed</x:v>
      </x:c>
      <x:c r="F69" t="n">
        <x:v>46078.01204931713</x:v>
      </x:c>
      <x:c r="G69" t="n">
        <x:v>46078.01204931713</x:v>
      </x:c>
      <x:c r="H69" t="n">
        <x:v>46219.06947282407</x:v>
      </x:c>
      <x:c r="I69" t="str">
        <x:v>A-000461</x:v>
      </x:c>
      <x:c r="J69" t="str">
        <x:v>Malaysian Financial Reporting Standards - MFRS</x:v>
      </x:c>
      <x:c r="K69" t="n">
        <x:v>789</x:v>
      </x:c>
      <x:c r="L69" t="str">
        <x:v>Implementation Malaysian Financial Reporting Standards (MFRS) Statutory Reporting (MFRS16) for PETRONAS Group of Companies</x:v>
      </x:c>
      <x:c r="M69" t="str">
        <x:v>amirshazlan.mshah@petronas.com.my</x:v>
      </x:c>
      <x:c r="N69" t="str">
        <x:v>MFRS program</x:v>
      </x:c>
      <x:c r="O69" t="str">
        <x:v>New</x:v>
      </x:c>
      <x:c r="P69" t="str">
        <x:v>Production</x:v>
      </x:c>
      <x:c r="Q69" t="str">
        <x:v>To add private endpoint for ptsg-1mfrswb01. As part of cyber security initiative to remove MFRS from public facing.</x:v>
      </x:c>
      <x:c r="R69" t="str">
        <x:v>S</x:v>
      </x:c>
      <x:c r="S69"/>
      <x:c r="T69"/>
      <x:c r="U69" t="str">
        <x:v>approved</x:v>
      </x:c>
      <x:c r="V69" t="n">
        <x:v>46078.03242096065</x:v>
      </x:c>
      <x:c r="W69" t="str">
        <x:v>amirshazlan.mshah@petronas.com</x:v>
      </x:c>
      <x:c r="X69" t="str">
        <x:v>approved</x:v>
      </x:c>
      <x:c r="Y69" t="str">
        <x:v>Good to go</x:v>
      </x:c>
      <x:c r="Z69" t="n">
        <x:v>46080.09021116898</x:v>
      </x:c>
      <x:c r="AA69" t="str">
        <x:v>samsuddin.jumbri@petronas.com</x:v>
      </x:c>
      <x:c r="AB69" t="str">
        <x:v>approved</x:v>
      </x:c>
      <x:c r="AC69" t="str">
        <x:v>PE. OLZ, clickops</x:v>
      </x:c>
      <x:c r="AD69" t="n">
        <x:v>46085.194525729166</x:v>
      </x:c>
      <x:c r="AE69" t="str">
        <x:v>syazali.saad@petronas.com</x:v>
      </x:c>
      <x:c r="AF69" t="str">
        <x:v>approved</x:v>
      </x:c>
      <x:c r="AG69" t="str">
        <x:v>The new function apps have been created (ptazsg-1hipsdiuauc)</x:v>
      </x:c>
      <x:c r="AH69" t="n">
        <x:v>46219.06947282407</x:v>
      </x:c>
      <x:c r="AI69" t="str">
        <x:v>muhdfirdaus.muhamad@petronas.com</x:v>
      </x:c>
      <x:c r="AJ69" t="str">
        <x:v>approved</x:v>
      </x:c>
      <x:c r="AK69" t="str">
        <x:v>REQ000007913285</x:v>
      </x:c>
      <x:c r="AL69" t="str">
        <x:v>f9b1ea22-2e56-44a1-8e04-89cf16f7a673</x:v>
      </x:c>
      <x:c r="AM69" s="23" t="str">
        <x:f>IF(E69="processing",IF(Z69="","",IF(ISNUMBER(Z69),INT(Z69),DATE(VALUE(LEFT(Z69,4)),VALUE(MID(Z69,6,2)),VALUE(MID(Z69,9,2))))),IF(OR(E69="executing",E69="pending"),IF(AD69="","",IF(ISNUMBER(AD69),INT(AD69),DATE(VALUE(LEFT(AD69,4)),VALUE(MID(AD69,6,2)),VALUE(MID(AD69,9,2))))),""))</x:f>
      </x:c>
      <x:c r="AN69" s="24" t="str">
        <x:f>IF(AM69="","",INT('Configuration'!$B$4)-AM69)</x:f>
      </x:c>
      <x:c r="AO69" s="25" t="str">
        <x:f>IF(AM69="","Missing Required Date",IF(AN69&lt;0,"Future Date",IF(AN69=0,"0 days",IF(AN69&lt;=2,"1-2 days",IF(AN69&lt;=7,"3-7 days",IF(AN69&lt;=14,"8-14 days",IF(AN69&lt;=30,"15-30 days",IF(AN69&lt;=60,"31-60 days",IF(AN69&lt;=70,"61-70 days","71+ days")))))))))</x:f>
        <x:v>Missing Required Date</x:v>
      </x:c>
      <x:c r="AP69" s="25" t="str">
        <x:f>IF(OR(E69="processing",E69="executing",E69="pending"),IF(AM69="","Required aging date missing",IF(AN69&gt;30,"Escalate &gt;30d",IF(AN69&gt;14,"Watch &gt;14d","Within 14d"))),"Out of scope")</x:f>
        <x:v>Out of scope</x:v>
      </x:c>
    </x:row>
    <x:row r="70" ht="24" customHeight="1">
      <x:c r="A70" t="str">
        <x:v>61efcb3f-4264-4f7d-876c-fcf42812205e</x:v>
      </x:c>
      <x:c r="B70" t="str">
        <x:v>CSSP10479891</x:v>
      </x:c>
      <x:c r="C70" t="str">
        <x:v>ahmadaimanhakim.nora@petronas.com</x:v>
      </x:c>
      <x:c r="D70" t="str">
        <x:v>provision-cloud-public</x:v>
      </x:c>
      <x:c r="E70" t="str">
        <x:v>completed</x:v>
      </x:c>
      <x:c r="F70" t="n">
        <x:v>46078.14108998843</x:v>
      </x:c>
      <x:c r="G70" t="n">
        <x:v>46078.15010053241</x:v>
      </x:c>
      <x:c r="H70" t="n">
        <x:v>46091.35855693287</x:v>
      </x:c>
      <x:c r="I70" t="str">
        <x:v>A-000361</x:v>
      </x:c>
      <x:c r="J70" t="str">
        <x:v>Integrated Asset Modelling - IAM</x:v>
      </x:c>
      <x:c r="K70" t="n">
        <x:v>859</x:v>
      </x:c>
      <x:c r="L70" t="str">
        <x:v>Implementation of development, testing and production server for Integrated Asset Modelling (IAM) for COE, PCSB</x:v>
      </x:c>
      <x:c r="M70" t="str">
        <x:v>halim.matnoh@petronas.com.my</x:v>
      </x:c>
      <x:c r="N70" t="str">
        <x:v>Project IAM</x:v>
      </x:c>
      <x:c r="O70" t="str">
        <x:v>Modify</x:v>
      </x:c>
      <x:c r="P70" t="str">
        <x:v>Production</x:v>
      </x:c>
      <x:c r="Q70" t="str">
        <x:v>To upgrade these servers resources PTSG-1IVMDMAP01 &amp; PTSG-1IVMDMAP02
Current -  Standard E8ds v4 (8 vcpus, 64 GiB memory). C Disk - 127 GiB
Upgrade to - 1 B32as v2 (32 vCPUs, 128 GB RAM), C Disk - 512 GiB</x:v>
      </x:c>
      <x:c r="R70" t="str">
        <x:v>M</x:v>
      </x:c>
      <x:c r="S70" t="str">
        <x:v>ICT_RFC00219829</x:v>
      </x:c>
      <x:c r="T70"/>
      <x:c r="U70" t="str">
        <x:v>approved</x:v>
      </x:c>
      <x:c r="V70" t="n">
        <x:v>46079.26165040509</x:v>
      </x:c>
      <x:c r="W70" t="str">
        <x:v>halim.matnoh@petronas.com</x:v>
      </x:c>
      <x:c r="X70" t="str">
        <x:v>approved</x:v>
      </x:c>
      <x:c r="Y70" t="str">
        <x:v>Good to go</x:v>
      </x:c>
      <x:c r="Z70" t="n">
        <x:v>46079.27866199074</x:v>
      </x:c>
      <x:c r="AA70" t="str">
        <x:v>samsuddin.jumbri@petronas.com</x:v>
      </x:c>
      <x:c r="AB70" t="str">
        <x:v>approved</x:v>
      </x:c>
      <x:c r="AC70" t="str">
        <x:v>rfc scheduled</x:v>
      </x:c>
      <x:c r="AD70" t="n">
        <x:v>46079.32385457176</x:v>
      </x:c>
      <x:c r="AE70" t="str">
        <x:v>syazali.saad@petronas.com</x:v>
      </x:c>
      <x:c r="AF70" t="str">
        <x:v>approved</x:v>
      </x:c>
      <x:c r="AG70" t="str">
        <x:v>replaced with CSSP10479891. no longer required</x:v>
      </x:c>
      <x:c r="AH70" t="n">
        <x:v>46091.35855694445</x:v>
      </x:c>
      <x:c r="AI70" t="str">
        <x:v>syazali.saad@petronas.com</x:v>
      </x:c>
      <x:c r="AJ70" t="str">
        <x:v>approved</x:v>
      </x:c>
      <x:c r="AK70" t="str">
        <x:v>REQ000007896454</x:v>
      </x:c>
      <x:c r="AL70" t="str">
        <x:v>fe80e76e-a9eb-4430-8940-992f48d3788e</x:v>
      </x:c>
      <x:c r="AM70" s="23" t="str">
        <x:f>IF(E70="processing",IF(Z70="","",IF(ISNUMBER(Z70),INT(Z70),DATE(VALUE(LEFT(Z70,4)),VALUE(MID(Z70,6,2)),VALUE(MID(Z70,9,2))))),IF(OR(E70="executing",E70="pending"),IF(AD70="","",IF(ISNUMBER(AD70),INT(AD70),DATE(VALUE(LEFT(AD70,4)),VALUE(MID(AD70,6,2)),VALUE(MID(AD70,9,2))))),""))</x:f>
      </x:c>
      <x:c r="AN70" s="24" t="str">
        <x:f>IF(AM70="","",INT('Configuration'!$B$4)-AM70)</x:f>
      </x:c>
      <x:c r="AO70" s="25" t="str">
        <x:f>IF(AM70="","Missing Required Date",IF(AN70&lt;0,"Future Date",IF(AN70=0,"0 days",IF(AN70&lt;=2,"1-2 days",IF(AN70&lt;=7,"3-7 days",IF(AN70&lt;=14,"8-14 days",IF(AN70&lt;=30,"15-30 days",IF(AN70&lt;=60,"31-60 days",IF(AN70&lt;=70,"61-70 days","71+ days")))))))))</x:f>
        <x:v>Missing Required Date</x:v>
      </x:c>
      <x:c r="AP70" s="25" t="str">
        <x:f>IF(OR(E70="processing",E70="executing",E70="pending"),IF(AM70="","Required aging date missing",IF(AN70&gt;30,"Escalate &gt;30d",IF(AN70&gt;14,"Watch &gt;14d","Within 14d"))),"Out of scope")</x:f>
        <x:v>Out of scope</x:v>
      </x:c>
    </x:row>
    <x:row r="71" ht="24" customHeight="1">
      <x:c r="A71" t="str">
        <x:v>6b84a122-259b-46bd-baed-e50d61a4a220</x:v>
      </x:c>
      <x:c r="B71" t="str">
        <x:v>CSSP10519899</x:v>
      </x:c>
      <x:c r="C71" t="str">
        <x:v>princy.rajpoot@petronas.com</x:v>
      </x:c>
      <x:c r="D71" t="str">
        <x:v>provision-cloud-public</x:v>
      </x:c>
      <x:c r="E71" t="str">
        <x:v>completed</x:v>
      </x:c>
      <x:c r="F71" t="n">
        <x:v>46078.25724853009</x:v>
      </x:c>
      <x:c r="G71" t="n">
        <x:v>46078.25724853009</x:v>
      </x:c>
      <x:c r="H71" t="n">
        <x:v>46079.240320474535</x:v>
      </x:c>
      <x:c r="I71" t="str">
        <x:v>C-000011</x:v>
      </x:c>
      <x:c r="J71" t="str">
        <x:v>Common IAC Landing Zone</x:v>
      </x:c>
      <x:c r="K71" t="str">
        <x:v>00915_120</x:v>
      </x:c>
      <x:c r="L71" t="str">
        <x:v>Cloud Migration Azure Infrastructure for New Landing Zone</x:v>
      </x:c>
      <x:c r="M71" t="str">
        <x:v>sazali.mokhtar@petronas.com.my</x:v>
      </x:c>
      <x:c r="N71" t="str">
        <x:v>PETRONAS Cloud Repatriation for Azure</x:v>
      </x:c>
      <x:c r="O71" t="str">
        <x:v>New</x:v>
      </x:c>
      <x:c r="P71" t="str">
        <x:v>StagingUat</x:v>
      </x:c>
      <x:c r="Q71" t="str">
        <x:v>Cloud Repatriation for PE&amp;T (Azure Migration) - Need 1 shared VM with Domain Join to copy the data from Singapore region to Malaysia Region
</x:v>
      </x:c>
      <x:c r="R71" t="str">
        <x:v>S</x:v>
      </x:c>
      <x:c r="S71"/>
      <x:c r="T71"/>
      <x:c r="U71" t="str">
        <x:v>Data Migration for Repat Program.</x:v>
      </x:c>
      <x:c r="V71" t="n">
        <x:v>46078.26727655093</x:v>
      </x:c>
      <x:c r="W71" t="str">
        <x:v>sazali.mokhtar@petronas.com</x:v>
      </x:c>
      <x:c r="X71" t="str">
        <x:v>approved</x:v>
      </x:c>
      <x:c r="Y71" t="str">
        <x:v>confirmed by haslan</x:v>
      </x:c>
      <x:c r="Z71" t="n">
        <x:v>46078.27796164352</x:v>
      </x:c>
      <x:c r="AA71" t="str">
        <x:v>norhayati.saad@petronas.com</x:v>
      </x:c>
      <x:c r="AB71" t="str">
        <x:v>approved</x:v>
      </x:c>
      <x:c r="AC71" t="str">
        <x:v>Repat. Common Cloud.</x:v>
      </x:c>
      <x:c r="AD71" t="n">
        <x:v>46078.28870527778</x:v>
      </x:c>
      <x:c r="AE71" t="str">
        <x:v>syazali.saad@petronas.com</x:v>
      </x:c>
      <x:c r="AF71" t="str">
        <x:v>approved</x:v>
      </x:c>
      <x:c r="AG71" t="str">
        <x:v>resource provisioned</x:v>
      </x:c>
      <x:c r="AH71" t="n">
        <x:v>46079.24032048611</x:v>
      </x:c>
      <x:c r="AI71" t="str">
        <x:v>mhaslan.abuhassan@petronas.com</x:v>
      </x:c>
      <x:c r="AJ71" t="str">
        <x:v>approved</x:v>
      </x:c>
      <x:c r="AK71" t="str">
        <x:v>REQ000007893088</x:v>
      </x:c>
      <x:c r="AL71" t="str">
        <x:v>37299f6e-7a66-4e9b-be43-dc387a66f1ca</x:v>
      </x:c>
      <x:c r="AM71" s="23" t="str">
        <x:f>IF(E71="processing",IF(Z71="","",IF(ISNUMBER(Z71),INT(Z71),DATE(VALUE(LEFT(Z71,4)),VALUE(MID(Z71,6,2)),VALUE(MID(Z71,9,2))))),IF(OR(E71="executing",E71="pending"),IF(AD71="","",IF(ISNUMBER(AD71),INT(AD71),DATE(VALUE(LEFT(AD71,4)),VALUE(MID(AD71,6,2)),VALUE(MID(AD71,9,2))))),""))</x:f>
      </x:c>
      <x:c r="AN71" s="24" t="str">
        <x:f>IF(AM71="","",INT('Configuration'!$B$4)-AM71)</x:f>
      </x:c>
      <x:c r="AO71" s="25" t="str">
        <x:f>IF(AM71="","Missing Required Date",IF(AN71&lt;0,"Future Date",IF(AN71=0,"0 days",IF(AN71&lt;=2,"1-2 days",IF(AN71&lt;=7,"3-7 days",IF(AN71&lt;=14,"8-14 days",IF(AN71&lt;=30,"15-30 days",IF(AN71&lt;=60,"31-60 days",IF(AN71&lt;=70,"61-70 days","71+ days")))))))))</x:f>
        <x:v>Missing Required Date</x:v>
      </x:c>
      <x:c r="AP71" s="25" t="str">
        <x:f>IF(OR(E71="processing",E71="executing",E71="pending"),IF(AM71="","Required aging date missing",IF(AN71&gt;30,"Escalate &gt;30d",IF(AN71&gt;14,"Watch &gt;14d","Within 14d"))),"Out of scope")</x:f>
        <x:v>Out of scope</x:v>
      </x:c>
    </x:row>
    <x:row r="72" ht="24" customHeight="1">
      <x:c r="A72" t="str">
        <x:v>17b1e930-ca35-4c2f-bd05-8c434dfda17a</x:v>
      </x:c>
      <x:c r="B72" t="str">
        <x:v>CSSP10859404</x:v>
      </x:c>
      <x:c r="C72" t="str">
        <x:v>princy.rajpoot@petronas.com</x:v>
      </x:c>
      <x:c r="D72" t="str">
        <x:v>provision-cloud-public</x:v>
      </x:c>
      <x:c r="E72" t="str">
        <x:v>completed</x:v>
      </x:c>
      <x:c r="F72" t="n">
        <x:v>46078.25961990741</x:v>
      </x:c>
      <x:c r="G72" t="n">
        <x:v>46078.25961990741</x:v>
      </x:c>
      <x:c r="H72" t="n">
        <x:v>46142.147448125</x:v>
      </x:c>
      <x:c r="I72" t="str">
        <x:v>C-000011</x:v>
      </x:c>
      <x:c r="J72" t="str">
        <x:v>Common IAC Landing Zone</x:v>
      </x:c>
      <x:c r="K72" t="str">
        <x:v>00915_120</x:v>
      </x:c>
      <x:c r="L72" t="str">
        <x:v>Cloud Migration Azure Infrastructure for New Landing Zone</x:v>
      </x:c>
      <x:c r="M72" t="str">
        <x:v>sazali.mokhtar@petronas.com.my</x:v>
      </x:c>
      <x:c r="N72" t="str">
        <x:v>PETRONAS Cloud Repatriation for Azure</x:v>
      </x:c>
      <x:c r="O72" t="str">
        <x:v>New</x:v>
      </x:c>
      <x:c r="P72" t="str">
        <x:v>Production</x:v>
      </x:c>
      <x:c r="Q72" t="str">
        <x:v>Cloud Repatriation for PE&amp;T (Azure Migration) - For PROD -  Need 1 shared VM  with Domain Join to copy the data from Singapore region to Malaysia Region</x:v>
      </x:c>
      <x:c r="R72" t="str">
        <x:v>S</x:v>
      </x:c>
      <x:c r="S72"/>
      <x:c r="T72"/>
      <x:c r="U72" t="str">
        <x:v>Data Migration for Repat Program.</x:v>
      </x:c>
      <x:c r="V72" t="n">
        <x:v>46078.267039618055</x:v>
      </x:c>
      <x:c r="W72" t="str">
        <x:v>sazali.mokhtar@petronas.com</x:v>
      </x:c>
      <x:c r="X72" t="str">
        <x:v>approved</x:v>
      </x:c>
      <x:c r="Y72" t="str">
        <x:v>confirmed by haslan</x:v>
      </x:c>
      <x:c r="Z72" t="n">
        <x:v>46078.27793894676</x:v>
      </x:c>
      <x:c r="AA72" t="str">
        <x:v>norhayati.saad@petronas.com</x:v>
      </x:c>
      <x:c r="AB72" t="str">
        <x:v>approved</x:v>
      </x:c>
      <x:c r="AC72" t="str">
        <x:v>Repat. Common Cloud.</x:v>
      </x:c>
      <x:c r="AD72" t="n">
        <x:v>46078.288740474534</x:v>
      </x:c>
      <x:c r="AE72" t="str">
        <x:v>syazali.saad@petronas.com</x:v>
      </x:c>
      <x:c r="AF72" t="str">
        <x:v>approved</x:v>
      </x:c>
      <x:c r="AG72" t="str">
        <x:v>request already completed. closing on behalf of mhaslan.abuhassan@petronas.com
</x:v>
      </x:c>
      <x:c r="AH72" t="n">
        <x:v>46142.14744814815</x:v>
      </x:c>
      <x:c r="AI72" t="str">
        <x:v>syazali.saad@petronas.com</x:v>
      </x:c>
      <x:c r="AJ72" t="str">
        <x:v>approved</x:v>
      </x:c>
      <x:c r="AK72" t="str">
        <x:v>REQ000007893524</x:v>
      </x:c>
      <x:c r="AL72" t="str">
        <x:v>37299f6e-7a66-4e9b-be43-dc387a66f1ca</x:v>
      </x:c>
      <x:c r="AM72" s="23" t="str">
        <x:f>IF(E72="processing",IF(Z72="","",IF(ISNUMBER(Z72),INT(Z72),DATE(VALUE(LEFT(Z72,4)),VALUE(MID(Z72,6,2)),VALUE(MID(Z72,9,2))))),IF(OR(E72="executing",E72="pending"),IF(AD72="","",IF(ISNUMBER(AD72),INT(AD72),DATE(VALUE(LEFT(AD72,4)),VALUE(MID(AD72,6,2)),VALUE(MID(AD72,9,2))))),""))</x:f>
      </x:c>
      <x:c r="AN72" s="24" t="str">
        <x:f>IF(AM72="","",INT('Configuration'!$B$4)-AM72)</x:f>
      </x:c>
      <x:c r="AO72" s="25" t="str">
        <x:f>IF(AM72="","Missing Required Date",IF(AN72&lt;0,"Future Date",IF(AN72=0,"0 days",IF(AN72&lt;=2,"1-2 days",IF(AN72&lt;=7,"3-7 days",IF(AN72&lt;=14,"8-14 days",IF(AN72&lt;=30,"15-30 days",IF(AN72&lt;=60,"31-60 days",IF(AN72&lt;=70,"61-70 days","71+ days")))))))))</x:f>
        <x:v>Missing Required Date</x:v>
      </x:c>
      <x:c r="AP72" s="25" t="str">
        <x:f>IF(OR(E72="processing",E72="executing",E72="pending"),IF(AM72="","Required aging date missing",IF(AN72&gt;30,"Escalate &gt;30d",IF(AN72&gt;14,"Watch &gt;14d","Within 14d"))),"Out of scope")</x:f>
        <x:v>Out of scope</x:v>
      </x:c>
    </x:row>
    <x:row r="73" ht="24" customHeight="1">
      <x:c r="A73" t="str">
        <x:v>b0118029-5224-4da9-b529-9d375682b6c1</x:v>
      </x:c>
      <x:c r="B73" t="str">
        <x:v>CSSP10551255</x:v>
      </x:c>
      <x:c r="C73" t="str">
        <x:v>kianleng.geh@petronas.com</x:v>
      </x:c>
      <x:c r="D73" t="str">
        <x:v>provision-cloud-public</x:v>
      </x:c>
      <x:c r="E73" t="str">
        <x:v>completed</x:v>
      </x:c>
      <x:c r="F73" t="n">
        <x:v>46079.31732019676</x:v>
      </x:c>
      <x:c r="G73" t="n">
        <x:v>46079.31732019676</x:v>
      </x:c>
      <x:c r="H73" t="n">
        <x:v>46092.031580462964</x:v>
      </x:c>
      <x:c r="I73" t="str">
        <x:v>A-000558</x:v>
      </x:c>
      <x:c r="J73" t="str">
        <x:v>PETRONAS Global Website</x:v>
      </x:c>
      <x:c r="K73" t="str">
        <x:v>SR25012</x:v>
      </x:c>
      <x:c r="L73" t="str">
        <x:v>Mitigation of Cyber Security Risk &amp; Application Compatibility Issue for PETRONAS Global Website​</x:v>
      </x:c>
      <x:c r="M73" t="str">
        <x:v>mhaslan.abuhassan@petronas.com</x:v>
      </x:c>
      <x:c r="N73" t="str">
        <x:v>Petronas Global Website (Petronas.com)</x:v>
      </x:c>
      <x:c r="O73" t="str">
        <x:v>New</x:v>
      </x:c>
      <x:c r="P73" t="str">
        <x:v>Development</x:v>
      </x:c>
      <x:c r="Q73" t="str">
        <x:v>Please provision resources in Malaysia West region. OS=RHEL, MySQL=MySQL version 5.7</x:v>
      </x:c>
      <x:c r="R73" t="str">
        <x:v>M</x:v>
      </x:c>
      <x:c r="S73"/>
      <x:c r="T73"/>
      <x:c r="U73" t="str">
        <x:v>approved</x:v>
      </x:c>
      <x:c r="V73" t="n">
        <x:v>46079.34509091435</x:v>
      </x:c>
      <x:c r="W73" t="str">
        <x:v>mhaslan.abuhassan@petronas.com</x:v>
      </x:c>
      <x:c r="X73" t="str">
        <x:v>approved</x:v>
      </x:c>
      <x:c r="Y73" t="str">
        <x:v>Good to go</x:v>
      </x:c>
      <x:c r="Z73" t="n">
        <x:v>46080.089068125</x:v>
      </x:c>
      <x:c r="AA73" t="str">
        <x:v>samsuddin.jumbri@petronas.com</x:v>
      </x:c>
      <x:c r="AB73" t="str">
        <x:v>approved</x:v>
      </x:c>
      <x:c r="AC73" t="str">
        <x:v>.CSSP10551255 - CSSP10816410 </x:v>
      </x:c>
      <x:c r="AD73" t="n">
        <x:v>46080.12090996528</x:v>
      </x:c>
      <x:c r="AE73" t="str">
        <x:v>syazali.saad@petronas.com</x:v>
      </x:c>
      <x:c r="AF73" t="str">
        <x:v>approved</x:v>
      </x:c>
      <x:c r="AG73" t="str">
        <x:v>Completed</x:v>
      </x:c>
      <x:c r="AH73" t="n">
        <x:v>46092.03158047454</x:v>
      </x:c>
      <x:c r="AI73" t="str">
        <x:v>mfirdaus.fadlizam@petronas.com</x:v>
      </x:c>
      <x:c r="AJ73" t="str">
        <x:v>approved</x:v>
      </x:c>
      <x:c r="AK73" t="str">
        <x:v>REQ000007897689</x:v>
      </x:c>
      <x:c r="AL73" t="str">
        <x:v>65bb69e6-e2a4-4641-86ef-72c8f0b8f4a0</x:v>
      </x:c>
      <x:c r="AM73" s="23" t="str">
        <x:f>IF(E73="processing",IF(Z73="","",IF(ISNUMBER(Z73),INT(Z73),DATE(VALUE(LEFT(Z73,4)),VALUE(MID(Z73,6,2)),VALUE(MID(Z73,9,2))))),IF(OR(E73="executing",E73="pending"),IF(AD73="","",IF(ISNUMBER(AD73),INT(AD73),DATE(VALUE(LEFT(AD73,4)),VALUE(MID(AD73,6,2)),VALUE(MID(AD73,9,2))))),""))</x:f>
      </x:c>
      <x:c r="AN73" s="24" t="str">
        <x:f>IF(AM73="","",INT('Configuration'!$B$4)-AM73)</x:f>
      </x:c>
      <x:c r="AO73" s="25" t="str">
        <x:f>IF(AM73="","Missing Required Date",IF(AN73&lt;0,"Future Date",IF(AN73=0,"0 days",IF(AN73&lt;=2,"1-2 days",IF(AN73&lt;=7,"3-7 days",IF(AN73&lt;=14,"8-14 days",IF(AN73&lt;=30,"15-30 days",IF(AN73&lt;=60,"31-60 days",IF(AN73&lt;=70,"61-70 days","71+ days")))))))))</x:f>
        <x:v>Missing Required Date</x:v>
      </x:c>
      <x:c r="AP73" s="25" t="str">
        <x:f>IF(OR(E73="processing",E73="executing",E73="pending"),IF(AM73="","Required aging date missing",IF(AN73&gt;30,"Escalate &gt;30d",IF(AN73&gt;14,"Watch &gt;14d","Within 14d"))),"Out of scope")</x:f>
        <x:v>Out of scope</x:v>
      </x:c>
    </x:row>
    <x:row r="74" ht="24" customHeight="1">
      <x:c r="A74" t="str">
        <x:v>1f464361-26f7-4497-9e2c-07b5c2fe95d5</x:v>
      </x:c>
      <x:c r="B74" t="str">
        <x:v>CSSP10816410</x:v>
      </x:c>
      <x:c r="C74" t="str">
        <x:v>kianleng.geh@petronas.com</x:v>
      </x:c>
      <x:c r="D74" t="str">
        <x:v>provision-cloud-public</x:v>
      </x:c>
      <x:c r="E74" t="str">
        <x:v>completed</x:v>
      </x:c>
      <x:c r="F74" t="n">
        <x:v>46079.319074907406</x:v>
      </x:c>
      <x:c r="G74" t="n">
        <x:v>46079.319074907406</x:v>
      </x:c>
      <x:c r="H74" t="n">
        <x:v>46092.287532800925</x:v>
      </x:c>
      <x:c r="I74" t="str">
        <x:v>A-000558</x:v>
      </x:c>
      <x:c r="J74" t="str">
        <x:v>PETRONAS Global Website</x:v>
      </x:c>
      <x:c r="K74" t="str">
        <x:v>SR25012</x:v>
      </x:c>
      <x:c r="L74" t="str">
        <x:v>Mitigation of Cyber Security Risk &amp; Application Compatibility Issue for PETRONAS Global Website​</x:v>
      </x:c>
      <x:c r="M74" t="str">
        <x:v>mhaslan.abuhassan@petronas.com</x:v>
      </x:c>
      <x:c r="N74" t="str">
        <x:v>Petronas Global Website (Petronas.com)</x:v>
      </x:c>
      <x:c r="O74" t="str">
        <x:v>New</x:v>
      </x:c>
      <x:c r="P74" t="str">
        <x:v>Production</x:v>
      </x:c>
      <x:c r="Q74" t="str">
        <x:v>Please provision in Malaysia west region. OS=RHEL, MySQL=MySQL version 5.7</x:v>
      </x:c>
      <x:c r="R74" t="str">
        <x:v>M</x:v>
      </x:c>
      <x:c r="S74"/>
      <x:c r="T74"/>
      <x:c r="U74" t="str">
        <x:v>approve to deploy</x:v>
      </x:c>
      <x:c r="V74" t="n">
        <x:v>46079.34461987269</x:v>
      </x:c>
      <x:c r="W74" t="str">
        <x:v>mhaslan.abuhassan@petronas.com</x:v>
      </x:c>
      <x:c r="X74" t="str">
        <x:v>approved</x:v>
      </x:c>
      <x:c r="Y74" t="str">
        <x:v>Good to go</x:v>
      </x:c>
      <x:c r="Z74" t="n">
        <x:v>46080.08945478009</x:v>
      </x:c>
      <x:c r="AA74" t="str">
        <x:v>samsuddin.jumbri@petronas.com</x:v>
      </x:c>
      <x:c r="AB74" t="str">
        <x:v>approved</x:v>
      </x:c>
      <x:c r="AC74" t="str">
        <x:v>CSSP10551255 - CSSP10816410 </x:v>
      </x:c>
      <x:c r="AD74" t="n">
        <x:v>46080.121178009256</x:v>
      </x:c>
      <x:c r="AE74" t="str">
        <x:v>syazali.saad@petronas.com</x:v>
      </x:c>
      <x:c r="AF74" t="str">
        <x:v>approved</x:v>
      </x:c>
      <x:c r="AG74" t="str">
        <x:v>Completed</x:v>
      </x:c>
      <x:c r="AH74" t="n">
        <x:v>46092.28753282408</x:v>
      </x:c>
      <x:c r="AI74" t="str">
        <x:v>mfirdaus.fadlizam@petronas.com</x:v>
      </x:c>
      <x:c r="AJ74" t="str">
        <x:v>approved</x:v>
      </x:c>
      <x:c r="AK74" t="str">
        <x:v>REQ000007897690</x:v>
      </x:c>
      <x:c r="AL74" t="str">
        <x:v>65bb69e6-e2a4-4641-86ef-72c8f0b8f4a0</x:v>
      </x:c>
      <x:c r="AM74" s="23" t="str">
        <x:f>IF(E74="processing",IF(Z74="","",IF(ISNUMBER(Z74),INT(Z74),DATE(VALUE(LEFT(Z74,4)),VALUE(MID(Z74,6,2)),VALUE(MID(Z74,9,2))))),IF(OR(E74="executing",E74="pending"),IF(AD74="","",IF(ISNUMBER(AD74),INT(AD74),DATE(VALUE(LEFT(AD74,4)),VALUE(MID(AD74,6,2)),VALUE(MID(AD74,9,2))))),""))</x:f>
      </x:c>
      <x:c r="AN74" s="24" t="str">
        <x:f>IF(AM74="","",INT('Configuration'!$B$4)-AM74)</x:f>
      </x:c>
      <x:c r="AO74" s="25" t="str">
        <x:f>IF(AM74="","Missing Required Date",IF(AN74&lt;0,"Future Date",IF(AN74=0,"0 days",IF(AN74&lt;=2,"1-2 days",IF(AN74&lt;=7,"3-7 days",IF(AN74&lt;=14,"8-14 days",IF(AN74&lt;=30,"15-30 days",IF(AN74&lt;=60,"31-60 days",IF(AN74&lt;=70,"61-70 days","71+ days")))))))))</x:f>
        <x:v>Missing Required Date</x:v>
      </x:c>
      <x:c r="AP74" s="25" t="str">
        <x:f>IF(OR(E74="processing",E74="executing",E74="pending"),IF(AM74="","Required aging date missing",IF(AN74&gt;30,"Escalate &gt;30d",IF(AN74&gt;14,"Watch &gt;14d","Within 14d"))),"Out of scope")</x:f>
        <x:v>Out of scope</x:v>
      </x:c>
    </x:row>
    <x:row r="75" ht="24" customHeight="1">
      <x:c r="A75" t="str">
        <x:v>677a1d80-45ea-4879-92f5-3ba20754373a</x:v>
      </x:c>
      <x:c r="B75" t="str">
        <x:v>CSSP10789839</x:v>
      </x:c>
      <x:c r="C75" t="str">
        <x:v>sharonie.loris@petronas.com</x:v>
      </x:c>
      <x:c r="D75" t="str">
        <x:v>provision-cloud-public</x:v>
      </x:c>
      <x:c r="E75" t="str">
        <x:v>completed</x:v>
      </x:c>
      <x:c r="F75" t="n">
        <x:v>46080.18392519676</x:v>
      </x:c>
      <x:c r="G75" t="n">
        <x:v>46080.18392519676</x:v>
      </x:c>
      <x:c r="H75" t="n">
        <x:v>46094.59160650463</x:v>
      </x:c>
      <x:c r="I75" t="str">
        <x:v>A-001322</x:v>
      </x:c>
      <x:c r="J75" t="str">
        <x:v>RADIAN</x:v>
      </x:c>
      <x:c r="K75" t="str">
        <x:v>SR10734</x:v>
      </x:c>
      <x:c r="L75" t="str">
        <x:v>Real-Time Advisory &amp; Drilling Insight via Artificial Neural Intelligence (RADIAN) for 
Wells formerly known HSPM</x:v>
      </x:c>
      <x:c r="M75" t="str">
        <x:v>nurshida.czakaria@petronas.com.my</x:v>
      </x:c>
      <x:c r="N75" t="str">
        <x:v>RADIAN</x:v>
      </x:c>
      <x:c r="O75" t="str">
        <x:v>New</x:v>
      </x:c>
      <x:c r="P75" t="str">
        <x:v>StagingUat</x:v>
      </x:c>
      <x:c r="Q75" t="str">
        <x:v>Request to provision cloud infrastructure</x:v>
      </x:c>
      <x:c r="R75" t="str">
        <x:v>L</x:v>
      </x:c>
      <x:c r="S75"/>
      <x:c r="T75"/>
      <x:c r="U75" t="str">
        <x:v>Approved.</x:v>
      </x:c>
      <x:c r="V75" t="n">
        <x:v>46080.19163763889</x:v>
      </x:c>
      <x:c r="W75" t="str">
        <x:v>nurshida.czakaria@petronas.com</x:v>
      </x:c>
      <x:c r="X75" t="str">
        <x:v>approved</x:v>
      </x:c>
      <x:c r="Y75" t="str">
        <x:v>Good to go. Provisioned in Azure Malaysia West</x:v>
      </x:c>
      <x:c r="Z75" t="n">
        <x:v>46080.329951238426</x:v>
      </x:c>
      <x:c r="AA75" t="str">
        <x:v>samsuddin.jumbri@petronas.com</x:v>
      </x:c>
      <x:c r="AB75" t="str">
        <x:v>approved</x:v>
      </x:c>
      <x:c r="AC75" t="str">
        <x:v>AKS, west malaysia</x:v>
      </x:c>
      <x:c r="AD75" t="n">
        <x:v>46084.084973703706</x:v>
      </x:c>
      <x:c r="AE75" t="str">
        <x:v>syazali.saad@petronas.com</x:v>
      </x:c>
      <x:c r="AF75" t="str">
        <x:v>approved</x:v>
      </x:c>
      <x:c r="AG75" t="str">
        <x:v>Completed</x:v>
      </x:c>
      <x:c r="AH75" t="n">
        <x:v>46094.5916065162</x:v>
      </x:c>
      <x:c r="AI75" t="str">
        <x:v>badri.shaharudin@petronas.com</x:v>
      </x:c>
      <x:c r="AJ75" t="str">
        <x:v>approved</x:v>
      </x:c>
      <x:c r="AK75" t="str">
        <x:v>REQ000007909917</x:v>
      </x:c>
      <x:c r="AL75" t="str">
        <x:v>4e9ba02b-45f5-40b0-8fda-a54588d5903e</x:v>
      </x:c>
      <x:c r="AM75" s="23" t="str">
        <x:f>IF(E75="processing",IF(Z75="","",IF(ISNUMBER(Z75),INT(Z75),DATE(VALUE(LEFT(Z75,4)),VALUE(MID(Z75,6,2)),VALUE(MID(Z75,9,2))))),IF(OR(E75="executing",E75="pending"),IF(AD75="","",IF(ISNUMBER(AD75),INT(AD75),DATE(VALUE(LEFT(AD75,4)),VALUE(MID(AD75,6,2)),VALUE(MID(AD75,9,2))))),""))</x:f>
      </x:c>
      <x:c r="AN75" s="24" t="str">
        <x:f>IF(AM75="","",INT('Configuration'!$B$4)-AM75)</x:f>
      </x:c>
      <x:c r="AO75" s="25" t="str">
        <x:f>IF(AM75="","Missing Required Date",IF(AN75&lt;0,"Future Date",IF(AN75=0,"0 days",IF(AN75&lt;=2,"1-2 days",IF(AN75&lt;=7,"3-7 days",IF(AN75&lt;=14,"8-14 days",IF(AN75&lt;=30,"15-30 days",IF(AN75&lt;=60,"31-60 days",IF(AN75&lt;=70,"61-70 days","71+ days")))))))))</x:f>
        <x:v>Missing Required Date</x:v>
      </x:c>
      <x:c r="AP75" s="25" t="str">
        <x:f>IF(OR(E75="processing",E75="executing",E75="pending"),IF(AM75="","Required aging date missing",IF(AN75&gt;30,"Escalate &gt;30d",IF(AN75&gt;14,"Watch &gt;14d","Within 14d"))),"Out of scope")</x:f>
        <x:v>Out of scope</x:v>
      </x:c>
    </x:row>
    <x:row r="76" ht="24" customHeight="1">
      <x:c r="A76" t="str">
        <x:v>549ea1ee-3470-4df0-8809-b9825d7db38b</x:v>
      </x:c>
      <x:c r="B76" t="str">
        <x:v>CSSP10722868</x:v>
      </x:c>
      <x:c r="C76" t="str">
        <x:v>sharonie.loris@petronas.com</x:v>
      </x:c>
      <x:c r="D76" t="str">
        <x:v>provision-cloud-public</x:v>
      </x:c>
      <x:c r="E76" t="str">
        <x:v>completed</x:v>
      </x:c>
      <x:c r="F76" t="n">
        <x:v>46083.17626547454</x:v>
      </x:c>
      <x:c r="G76" t="n">
        <x:v>46083.17626547454</x:v>
      </x:c>
      <x:c r="H76" t="n">
        <x:v>46163.05790170139</x:v>
      </x:c>
      <x:c r="I76" t="str">
        <x:v>A-001322</x:v>
      </x:c>
      <x:c r="J76" t="str">
        <x:v>RADIAN</x:v>
      </x:c>
      <x:c r="K76" t="str">
        <x:v>SR10734</x:v>
      </x:c>
      <x:c r="L76" t="str">
        <x:v>Real-Time Advisory &amp; Drilling Insight via Artificial Neural Intelligence (RADIAN) for 
Wells formerly known HSPM</x:v>
      </x:c>
      <x:c r="M76" t="str">
        <x:v>nurshida.czakaria@petronas.com.my</x:v>
      </x:c>
      <x:c r="N76" t="str">
        <x:v>RADIAN</x:v>
      </x:c>
      <x:c r="O76" t="str">
        <x:v>New</x:v>
      </x:c>
      <x:c r="P76" t="str">
        <x:v>Production</x:v>
      </x:c>
      <x:c r="Q76" t="str">
        <x:v>Request to provision cloud infrastructure for production environment </x:v>
      </x:c>
      <x:c r="R76" t="str">
        <x:v>L</x:v>
      </x:c>
      <x:c r="S76"/>
      <x:c r="T76"/>
      <x:c r="U76" t="str">
        <x:v>Approved. </x:v>
      </x:c>
      <x:c r="V76" t="n">
        <x:v>46083.180361516206</x:v>
      </x:c>
      <x:c r="W76" t="str">
        <x:v>nurshida.czakaria@petronas.com</x:v>
      </x:c>
      <x:c r="X76" t="str">
        <x:v>approved</x:v>
      </x:c>
      <x:c r="Y76" t="str">
        <x:v>Good to go</x:v>
      </x:c>
      <x:c r="Z76" t="n">
        <x:v>46084.040450486114</x:v>
      </x:c>
      <x:c r="AA76" t="str">
        <x:v>samsuddin.jumbri@petronas.com</x:v>
      </x:c>
      <x:c r="AB76" t="str">
        <x:v>approved</x:v>
      </x:c>
      <x:c r="AC76" t="str">
        <x:v>AKS</x:v>
      </x:c>
      <x:c r="AD76" t="n">
        <x:v>46084.18799097222</x:v>
      </x:c>
      <x:c r="AE76" t="str">
        <x:v>syazali.saad@petronas.com</x:v>
      </x:c>
      <x:c r="AF76" t="str">
        <x:v>approved</x:v>
      </x:c>
      <x:c r="AG76" t="str">
        <x:v>Has created the resources in PTAZMY-IAC-PROD-RADIAN-RG:
ptazmy-1radianaks01
ptazmy-1radiansvr01
ptazmy1radstrg1
ptazmy-1radiankv01
ptazmy1radianacr01
ptazmy-1radian-disk01
ptazmy-1radian-disk02
ptazmy-1radian-disk03
ptazmy-1radian-disk04
ptazmy-1radian-disk05</x:v>
      </x:c>
      <x:c r="AH76" t="n">
        <x:v>46163.05790170139</x:v>
      </x:c>
      <x:c r="AI76" t="str">
        <x:v>yeonghunn.ho@petronas.com</x:v>
      </x:c>
      <x:c r="AJ76" t="str">
        <x:v>approved</x:v>
      </x:c>
      <x:c r="AK76" t="str">
        <x:v>REQ000007910453</x:v>
      </x:c>
      <x:c r="AL76" t="str">
        <x:v>4e9ba02b-45f5-40b0-8fda-a54588d5903e</x:v>
      </x:c>
      <x:c r="AM76" s="23" t="str">
        <x:f>IF(E76="processing",IF(Z76="","",IF(ISNUMBER(Z76),INT(Z76),DATE(VALUE(LEFT(Z76,4)),VALUE(MID(Z76,6,2)),VALUE(MID(Z76,9,2))))),IF(OR(E76="executing",E76="pending"),IF(AD76="","",IF(ISNUMBER(AD76),INT(AD76),DATE(VALUE(LEFT(AD76,4)),VALUE(MID(AD76,6,2)),VALUE(MID(AD76,9,2))))),""))</x:f>
      </x:c>
      <x:c r="AN76" s="24" t="str">
        <x:f>IF(AM76="","",INT('Configuration'!$B$4)-AM76)</x:f>
      </x:c>
      <x:c r="AO76" s="25" t="str">
        <x:f>IF(AM76="","Missing Required Date",IF(AN76&lt;0,"Future Date",IF(AN76=0,"0 days",IF(AN76&lt;=2,"1-2 days",IF(AN76&lt;=7,"3-7 days",IF(AN76&lt;=14,"8-14 days",IF(AN76&lt;=30,"15-30 days",IF(AN76&lt;=60,"31-60 days",IF(AN76&lt;=70,"61-70 days","71+ days")))))))))</x:f>
        <x:v>Missing Required Date</x:v>
      </x:c>
      <x:c r="AP76" s="25" t="str">
        <x:f>IF(OR(E76="processing",E76="executing",E76="pending"),IF(AM76="","Required aging date missing",IF(AN76&gt;30,"Escalate &gt;30d",IF(AN76&gt;14,"Watch &gt;14d","Within 14d"))),"Out of scope")</x:f>
        <x:v>Out of scope</x:v>
      </x:c>
    </x:row>
    <x:row r="77" ht="24" customHeight="1">
      <x:c r="A77" t="str">
        <x:v>f58b87f5-3a93-4b5b-95bf-ce91e892ebdd</x:v>
      </x:c>
      <x:c r="B77" t="str">
        <x:v>CSSP10120195</x:v>
      </x:c>
      <x:c r="C77" t="str">
        <x:v>tarun.shar@petronas.com</x:v>
      </x:c>
      <x:c r="D77" t="str">
        <x:v>provision-cloud-public</x:v>
      </x:c>
      <x:c r="E77" t="str">
        <x:v>completed</x:v>
      </x:c>
      <x:c r="F77" t="n">
        <x:v>46083.20441600694</x:v>
      </x:c>
      <x:c r="G77" t="n">
        <x:v>46083.20441600694</x:v>
      </x:c>
      <x:c r="H77" t="n">
        <x:v>46112.11971087963</x:v>
      </x:c>
      <x:c r="I77" t="str">
        <x:v>C-000011</x:v>
      </x:c>
      <x:c r="J77" t="str">
        <x:v>Common IAC Landing Zone</x:v>
      </x:c>
      <x:c r="K77" t="str">
        <x:v>00915_120</x:v>
      </x:c>
      <x:c r="L77" t="str">
        <x:v>Cloud Migration Azure Infrastructure for New Landing Zone</x:v>
      </x:c>
      <x:c r="M77" t="str">
        <x:v>sazali.mokhtar@petronas.com.my</x:v>
      </x:c>
      <x:c r="N77" t="str">
        <x:v>PETRONAS Cloud Repatriation for Azure</x:v>
      </x:c>
      <x:c r="O77" t="str">
        <x:v>New</x:v>
      </x:c>
      <x:c r="P77" t="str">
        <x:v>Production</x:v>
      </x:c>
      <x:c r="Q77" t="str">
        <x:v>Cloud Repatriation for UPSTREAM (Azure Migration) - Need 1 shared VM with Domain Join to copy the data from Singapore region to Malaysia Region.</x:v>
      </x:c>
      <x:c r="R77" t="str">
        <x:v>M</x:v>
      </x:c>
      <x:c r="S77"/>
      <x:c r="T77"/>
      <x:c r="U77" t="str">
        <x:v>For repat program.</x:v>
      </x:c>
      <x:c r="V77" t="n">
        <x:v>46085.05723582176</x:v>
      </x:c>
      <x:c r="W77" t="str">
        <x:v>sazali.mokhtar@petronas.com</x:v>
      </x:c>
      <x:c r="X77" t="str">
        <x:v>approved</x:v>
      </x:c>
      <x:c r="Y77" t="str">
        <x:v>Good to go</x:v>
      </x:c>
      <x:c r="Z77" t="n">
        <x:v>46090.11404564815</x:v>
      </x:c>
      <x:c r="AA77" t="str">
        <x:v>samsuddin.jumbri@petronas.com</x:v>
      </x:c>
      <x:c r="AB77" t="str">
        <x:v>approved</x:v>
      </x:c>
      <x:c r="AC77" t="str">
        <x:v>CSSP10931399 CSSP10120195</x:v>
      </x:c>
      <x:c r="AD77" t="n">
        <x:v>46092.32641216435</x:v>
      </x:c>
      <x:c r="AE77" t="str">
        <x:v>syazali.saad@petronas.com</x:v>
      </x:c>
      <x:c r="AF77" t="str">
        <x:v>approved</x:v>
      </x:c>
      <x:c r="AG77" t="str">
        <x:v>Completed</x:v>
      </x:c>
      <x:c r="AH77" t="n">
        <x:v>46112.1197108912</x:v>
      </x:c>
      <x:c r="AI77" t="str">
        <x:v>fathulrahman.misba@petronas.com</x:v>
      </x:c>
      <x:c r="AJ77" t="str">
        <x:v>approved</x:v>
      </x:c>
      <x:c r="AK77" t="str">
        <x:v>REQ000007927316</x:v>
      </x:c>
      <x:c r="AL77" t="str">
        <x:v>37299f6e-7a66-4e9b-be43-dc387a66f1ca</x:v>
      </x:c>
      <x:c r="AM77" s="23" t="str">
        <x:f>IF(E77="processing",IF(Z77="","",IF(ISNUMBER(Z77),INT(Z77),DATE(VALUE(LEFT(Z77,4)),VALUE(MID(Z77,6,2)),VALUE(MID(Z77,9,2))))),IF(OR(E77="executing",E77="pending"),IF(AD77="","",IF(ISNUMBER(AD77),INT(AD77),DATE(VALUE(LEFT(AD77,4)),VALUE(MID(AD77,6,2)),VALUE(MID(AD77,9,2))))),""))</x:f>
      </x:c>
      <x:c r="AN77" s="24" t="str">
        <x:f>IF(AM77="","",INT('Configuration'!$B$4)-AM77)</x:f>
      </x:c>
      <x:c r="AO77" s="25" t="str">
        <x:f>IF(AM77="","Missing Required Date",IF(AN77&lt;0,"Future Date",IF(AN77=0,"0 days",IF(AN77&lt;=2,"1-2 days",IF(AN77&lt;=7,"3-7 days",IF(AN77&lt;=14,"8-14 days",IF(AN77&lt;=30,"15-30 days",IF(AN77&lt;=60,"31-60 days",IF(AN77&lt;=70,"61-70 days","71+ days")))))))))</x:f>
        <x:v>Missing Required Date</x:v>
      </x:c>
      <x:c r="AP77" s="25" t="str">
        <x:f>IF(OR(E77="processing",E77="executing",E77="pending"),IF(AM77="","Required aging date missing",IF(AN77&gt;30,"Escalate &gt;30d",IF(AN77&gt;14,"Watch &gt;14d","Within 14d"))),"Out of scope")</x:f>
        <x:v>Out of scope</x:v>
      </x:c>
    </x:row>
    <x:row r="78" ht="24" customHeight="1">
      <x:c r="A78" t="str">
        <x:v>1e43c1cc-e547-4092-bfca-30d6f3f4a679</x:v>
      </x:c>
      <x:c r="B78" t="str">
        <x:v>CSSP10940354</x:v>
      </x:c>
      <x:c r="C78" t="str">
        <x:v>amit.manchanda@petronas.com</x:v>
      </x:c>
      <x:c r="D78" t="str">
        <x:v>provision-cloud-public</x:v>
      </x:c>
      <x:c r="E78" t="str">
        <x:v>completed</x:v>
      </x:c>
      <x:c r="F78" t="n">
        <x:v>46083.20457517361</x:v>
      </x:c>
      <x:c r="G78" t="n">
        <x:v>46083.20457517361</x:v>
      </x:c>
      <x:c r="H78" t="n">
        <x:v>46112.11983229167</x:v>
      </x:c>
      <x:c r="I78" t="str">
        <x:v>C-000011</x:v>
      </x:c>
      <x:c r="J78" t="str">
        <x:v>Common IAC Landing Zone</x:v>
      </x:c>
      <x:c r="K78" t="str">
        <x:v>00915_120</x:v>
      </x:c>
      <x:c r="L78" t="str">
        <x:v>Cloud Migration Azure Infrastructure for New Landing Zone</x:v>
      </x:c>
      <x:c r="M78" t="str">
        <x:v>sazali.mokhtar@petronas.com.my</x:v>
      </x:c>
      <x:c r="N78" t="str">
        <x:v>PETRONAS Cloud Repatriation for Azure</x:v>
      </x:c>
      <x:c r="O78" t="str">
        <x:v>New</x:v>
      </x:c>
      <x:c r="P78" t="str">
        <x:v>StagingUat</x:v>
      </x:c>
      <x:c r="Q78" t="str">
        <x:v>Cloud Repatriation for Corporate (Azure Migration) - Need 1 shared VM with Domain Join to copy the data from Singapore region to Malaysia Region.</x:v>
      </x:c>
      <x:c r="R78" t="str">
        <x:v>M</x:v>
      </x:c>
      <x:c r="S78"/>
      <x:c r="T78"/>
      <x:c r="U78" t="str">
        <x:v>For repat program.</x:v>
      </x:c>
      <x:c r="V78" t="n">
        <x:v>46085.056509664355</x:v>
      </x:c>
      <x:c r="W78" t="str">
        <x:v>sazali.mokhtar@petronas.com</x:v>
      </x:c>
      <x:c r="X78" t="str">
        <x:v>approved</x:v>
      </x:c>
      <x:c r="Y78" t="str">
        <x:v>Good to go</x:v>
      </x:c>
      <x:c r="Z78" t="n">
        <x:v>46091.28116539352</x:v>
      </x:c>
      <x:c r="AA78" t="str">
        <x:v>samsuddin.jumbri@petronas.com</x:v>
      </x:c>
      <x:c r="AB78" t="str">
        <x:v>approved</x:v>
      </x:c>
      <x:c r="AC78" t="str">
        <x:v>CSSP10940354 CSSP10940354</x:v>
      </x:c>
      <x:c r="AD78" t="n">
        <x:v>46092.327011747686</x:v>
      </x:c>
      <x:c r="AE78" t="str">
        <x:v>syazali.saad@petronas.com</x:v>
      </x:c>
      <x:c r="AF78" t="str">
        <x:v>approved</x:v>
      </x:c>
      <x:c r="AG78" t="str">
        <x:v>Completed</x:v>
      </x:c>
      <x:c r="AH78" t="n">
        <x:v>46112.11983229167</x:v>
      </x:c>
      <x:c r="AI78" t="str">
        <x:v>fathulrahman.misba@petronas.com</x:v>
      </x:c>
      <x:c r="AJ78" t="str">
        <x:v>approved</x:v>
      </x:c>
      <x:c r="AK78" t="str">
        <x:v>REQ000007928317</x:v>
      </x:c>
      <x:c r="AL78" t="str">
        <x:v>37299f6e-7a66-4e9b-be43-dc387a66f1ca</x:v>
      </x:c>
      <x:c r="AM78" s="23" t="str">
        <x:f>IF(E78="processing",IF(Z78="","",IF(ISNUMBER(Z78),INT(Z78),DATE(VALUE(LEFT(Z78,4)),VALUE(MID(Z78,6,2)),VALUE(MID(Z78,9,2))))),IF(OR(E78="executing",E78="pending"),IF(AD78="","",IF(ISNUMBER(AD78),INT(AD78),DATE(VALUE(LEFT(AD78,4)),VALUE(MID(AD78,6,2)),VALUE(MID(AD78,9,2))))),""))</x:f>
      </x:c>
      <x:c r="AN78" s="24" t="str">
        <x:f>IF(AM78="","",INT('Configuration'!$B$4)-AM78)</x:f>
      </x:c>
      <x:c r="AO78" s="25" t="str">
        <x:f>IF(AM78="","Missing Required Date",IF(AN78&lt;0,"Future Date",IF(AN78=0,"0 days",IF(AN78&lt;=2,"1-2 days",IF(AN78&lt;=7,"3-7 days",IF(AN78&lt;=14,"8-14 days",IF(AN78&lt;=30,"15-30 days",IF(AN78&lt;=60,"31-60 days",IF(AN78&lt;=70,"61-70 days","71+ days")))))))))</x:f>
        <x:v>Missing Required Date</x:v>
      </x:c>
      <x:c r="AP78" s="25" t="str">
        <x:f>IF(OR(E78="processing",E78="executing",E78="pending"),IF(AM78="","Required aging date missing",IF(AN78&gt;30,"Escalate &gt;30d",IF(AN78&gt;14,"Watch &gt;14d","Within 14d"))),"Out of scope")</x:f>
        <x:v>Out of scope</x:v>
      </x:c>
    </x:row>
    <x:row r="79" ht="24" customHeight="1">
      <x:c r="A79" t="str">
        <x:v>f84dddd5-2959-43e0-a2fd-1963a4aa4506</x:v>
      </x:c>
      <x:c r="B79" t="str">
        <x:v>CSSP10297682</x:v>
      </x:c>
      <x:c r="C79" t="str">
        <x:v>mohamadsyafiq.mnoor@petronas.com</x:v>
      </x:c>
      <x:c r="D79" t="str">
        <x:v>provision-cloud-public</x:v>
      </x:c>
      <x:c r="E79" t="str">
        <x:v>completed</x:v>
      </x:c>
      <x:c r="F79" t="n">
        <x:v>46083.205160763886</x:v>
      </x:c>
      <x:c r="G79" t="n">
        <x:v>46083.205160763886</x:v>
      </x:c>
      <x:c r="H79" t="n">
        <x:v>46093.17662170139</x:v>
      </x:c>
      <x:c r="I79" t="str">
        <x:v>A-001307</x:v>
      </x:c>
      <x:c r="J79" t="str">
        <x:v>Azure Machine Learning - PRPC</x:v>
      </x:c>
      <x:c r="K79" t="n">
        <x:v>4739</x:v>
      </x:c>
      <x:c r="L79" t="str">
        <x:v>Run &amp; Maintain Citizen Analytics Use Cases for PRPC</x:v>
      </x:c>
      <x:c r="M79" t="str">
        <x:v>khairulnizam.bahari@petronas.com.my</x:v>
      </x:c>
      <x:c r="N79" t="str">
        <x:v>Citizen-Analytics</x:v>
      </x:c>
      <x:c r="O79" t="str">
        <x:v>New</x:v>
      </x:c>
      <x:c r="P79" t="str">
        <x:v>Production</x:v>
      </x:c>
      <x:c r="Q79" t="str">
        <x:v>Request to provision two compute instances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M Rafiq Ramlee (POCM/PRPC) - rafiq.ramlee@petronas.com.my  </x:v>
      </x:c>
      <x:c r="R79" t="str">
        <x:v>S</x:v>
      </x:c>
      <x:c r="S79"/>
      <x:c r="T79"/>
      <x:c r="U79" t="str">
        <x:v>to provision compute instance for the new member from PRPC M Rafiq Ramlee</x:v>
      </x:c>
      <x:c r="V79" t="n">
        <x:v>46083.31226313658</x:v>
      </x:c>
      <x:c r="W79" t="str">
        <x:v>khairulnizam.bahari@petronas.com</x:v>
      </x:c>
      <x:c r="X79" t="str">
        <x:v>approved</x:v>
      </x:c>
      <x:c r="Y79" t="str">
        <x:v>Good to go</x:v>
      </x:c>
      <x:c r="Z79" t="n">
        <x:v>46084.04147596065</x:v>
      </x:c>
      <x:c r="AA79" t="str">
        <x:v>samsuddin.jumbri@petronas.com</x:v>
      </x:c>
      <x:c r="AB79" t="str">
        <x:v>approved</x:v>
      </x:c>
      <x:c r="AC79" t="str">
        <x:v>ML Compute. DAA.</x:v>
      </x:c>
      <x:c r="AD79" t="n">
        <x:v>46085.198255972224</x:v>
      </x:c>
      <x:c r="AE79" t="str">
        <x:v>syazali.saad@petronas.com</x:v>
      </x:c>
      <x:c r="AF79" t="str">
        <x:v>approved</x:v>
      </x:c>
      <x:c r="AG79" t="str">
        <x:v>ETP-Rafiq - PTAZSG-1CA-ETP-AERATION
CWP-Rafiq - PTAZSG-1CA-COOL-WTR-PUMP
ODOR-Rafiq - PTAZSG-1CA-ODOR-PRED</x:v>
      </x:c>
      <x:c r="AH79" t="n">
        <x:v>46093.17662171296</x:v>
      </x:c>
      <x:c r="AI79" t="str">
        <x:v>norhamizah.hasni@petronas.com</x:v>
      </x:c>
      <x:c r="AJ79" t="str">
        <x:v>approved</x:v>
      </x:c>
      <x:c r="AK79" t="str">
        <x:v>REQ000007913362</x:v>
      </x:c>
      <x:c r="AL79" t="str">
        <x:v>175979a6-0134-4d4e-b3f1-5ff77e1fdf7f</x:v>
      </x:c>
      <x:c r="AM79" s="23" t="str">
        <x:f>IF(E79="processing",IF(Z79="","",IF(ISNUMBER(Z79),INT(Z79),DATE(VALUE(LEFT(Z79,4)),VALUE(MID(Z79,6,2)),VALUE(MID(Z79,9,2))))),IF(OR(E79="executing",E79="pending"),IF(AD79="","",IF(ISNUMBER(AD79),INT(AD79),DATE(VALUE(LEFT(AD79,4)),VALUE(MID(AD79,6,2)),VALUE(MID(AD79,9,2))))),""))</x:f>
      </x:c>
      <x:c r="AN79" s="24" t="str">
        <x:f>IF(AM79="","",INT('Configuration'!$B$4)-AM79)</x:f>
      </x:c>
      <x:c r="AO79" s="25" t="str">
        <x:f>IF(AM79="","Missing Required Date",IF(AN79&lt;0,"Future Date",IF(AN79=0,"0 days",IF(AN79&lt;=2,"1-2 days",IF(AN79&lt;=7,"3-7 days",IF(AN79&lt;=14,"8-14 days",IF(AN79&lt;=30,"15-30 days",IF(AN79&lt;=60,"31-60 days",IF(AN79&lt;=70,"61-70 days","71+ days")))))))))</x:f>
        <x:v>Missing Required Date</x:v>
      </x:c>
      <x:c r="AP79" s="25" t="str">
        <x:f>IF(OR(E79="processing",E79="executing",E79="pending"),IF(AM79="","Required aging date missing",IF(AN79&gt;30,"Escalate &gt;30d",IF(AN79&gt;14,"Watch &gt;14d","Within 14d"))),"Out of scope")</x:f>
        <x:v>Out of scope</x:v>
      </x:c>
    </x:row>
    <x:row r="80" ht="24" customHeight="1">
      <x:c r="A80" t="str">
        <x:v>c58436d1-93f3-4853-b557-138f409babe1</x:v>
      </x:c>
      <x:c r="B80" t="str">
        <x:v>CSSP10328144</x:v>
      </x:c>
      <x:c r="C80" t="str">
        <x:v>marash.pakhrurraz@petronas.com</x:v>
      </x:c>
      <x:c r="D80" t="str">
        <x:v>provision-cloud-public</x:v>
      </x:c>
      <x:c r="E80" t="str">
        <x:v>completed</x:v>
      </x:c>
      <x:c r="F80" t="n">
        <x:v>46083.205393171294</x:v>
      </x:c>
      <x:c r="G80" t="n">
        <x:v>46085.315212430556</x:v>
      </x:c>
      <x:c r="H80" t="n">
        <x:v>46092.37002739583</x:v>
      </x:c>
      <x:c r="I80" t="str">
        <x:v>A-000804</x:v>
      </x:c>
      <x:c r="J80" t="str">
        <x:v>TEA  </x:v>
      </x:c>
      <x:c r="K80" t="str">
        <x:v>00971_2</x:v>
      </x:c>
      <x:c r="L80" t="str">
        <x:v>PDB landing zone TEA Application</x:v>
      </x:c>
      <x:c r="M80" t="str">
        <x:v>noraini.abdjalil@petronas.com.my</x:v>
      </x:c>
      <x:c r="N80" t="str">
        <x:v>PETRONAS_AWS_Cloud_LandingZone</x:v>
      </x:c>
      <x:c r="O80" t="str">
        <x:v>New</x:v>
      </x:c>
      <x:c r="P80" t="str">
        <x:v>StagingUat</x:v>
      </x:c>
      <x:c r="Q80" t="str">
        <x:v>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x:v>
      </x:c>
      <x:c r="R80" t="str">
        <x:v>L</x:v>
      </x:c>
      <x:c r="S80"/>
      <x:c r="T80"/>
      <x:c r="U80" t="str">
        <x:v>Approved. Please proceed. </x:v>
      </x:c>
      <x:c r="V80" t="n">
        <x:v>46085.315914039355</x:v>
      </x:c>
      <x:c r="W80" t="str">
        <x:v>noraini.abdjalil@petronas.com</x:v>
      </x:c>
      <x:c r="X80" t="str">
        <x:v>approved</x:v>
      </x:c>
      <x:c r="Y80" t="str">
        <x:v>Approved. Provision 2 EC2 instance with Ubuntu 24.04 and 2 load balancers</x:v>
      </x:c>
      <x:c r="Z80" t="n">
        <x:v>46086.0998940625</x:v>
      </x:c>
      <x:c r="AA80" t="str">
        <x:v>kianleng.geh@petronas.com</x:v>
      </x:c>
      <x:c r="AB80" t="str">
        <x:v>approved</x:v>
      </x:c>
      <x:c r="AC80" t="str">
        <x:v>deploy aws and ec2 resource. may refer existing code for ec2 and lb configuration.</x:v>
      </x:c>
      <x:c r="AD80" t="n">
        <x:v>46090.32443974537</x:v>
      </x:c>
      <x:c r="AE80" t="str">
        <x:v>syazali.saad@petronas.com</x:v>
      </x:c>
      <x:c r="AF80" t="str">
        <x:v>approved</x:v>
      </x:c>
      <x:c r="AG80" t="str">
        <x:v>resource provisioned</x:v>
      </x:c>
      <x:c r="AH80" t="n">
        <x:v>46092.37002740741</x:v>
      </x:c>
      <x:c r="AI80" t="str">
        <x:v>mhafizi.madnan@petronas.com</x:v>
      </x:c>
      <x:c r="AJ80" t="str">
        <x:v>approved</x:v>
      </x:c>
      <x:c r="AK80" t="str">
        <x:v>REQ000007921958</x:v>
      </x:c>
      <x:c r="AL80" t="str">
        <x:v>8c439d80-c07f-4823-acc0-f1852d6b6218</x:v>
      </x:c>
      <x:c r="AM80" s="23" t="str">
        <x:f>IF(E80="processing",IF(Z80="","",IF(ISNUMBER(Z80),INT(Z80),DATE(VALUE(LEFT(Z80,4)),VALUE(MID(Z80,6,2)),VALUE(MID(Z80,9,2))))),IF(OR(E80="executing",E80="pending"),IF(AD80="","",IF(ISNUMBER(AD80),INT(AD80),DATE(VALUE(LEFT(AD80,4)),VALUE(MID(AD80,6,2)),VALUE(MID(AD80,9,2))))),""))</x:f>
      </x:c>
      <x:c r="AN80" s="24" t="str">
        <x:f>IF(AM80="","",INT('Configuration'!$B$4)-AM80)</x:f>
      </x:c>
      <x:c r="AO80" s="25" t="str">
        <x:f>IF(AM80="","Missing Required Date",IF(AN80&lt;0,"Future Date",IF(AN80=0,"0 days",IF(AN80&lt;=2,"1-2 days",IF(AN80&lt;=7,"3-7 days",IF(AN80&lt;=14,"8-14 days",IF(AN80&lt;=30,"15-30 days",IF(AN80&lt;=60,"31-60 days",IF(AN80&lt;=70,"61-70 days","71+ days")))))))))</x:f>
        <x:v>Missing Required Date</x:v>
      </x:c>
      <x:c r="AP80" s="25" t="str">
        <x:f>IF(OR(E80="processing",E80="executing",E80="pending"),IF(AM80="","Required aging date missing",IF(AN80&gt;30,"Escalate &gt;30d",IF(AN80&gt;14,"Watch &gt;14d","Within 14d"))),"Out of scope")</x:f>
        <x:v>Out of scope</x:v>
      </x:c>
    </x:row>
    <x:row r="81" ht="24" customHeight="1">
      <x:c r="A81" t="str">
        <x:v>fd805707-8c2f-4024-8fa1-3922b9448344</x:v>
      </x:c>
      <x:c r="B81" t="str">
        <x:v>CSSP10931399</x:v>
      </x:c>
      <x:c r="C81" t="str">
        <x:v>tarun.shar@petronas.com</x:v>
      </x:c>
      <x:c r="D81" t="str">
        <x:v>provision-cloud-public</x:v>
      </x:c>
      <x:c r="E81" t="str">
        <x:v>completed</x:v>
      </x:c>
      <x:c r="F81" t="n">
        <x:v>46083.20585806713</x:v>
      </x:c>
      <x:c r="G81" t="n">
        <x:v>46083.205858078705</x:v>
      </x:c>
      <x:c r="H81" t="n">
        <x:v>46112.12000188657</x:v>
      </x:c>
      <x:c r="I81" t="str">
        <x:v>C-000011</x:v>
      </x:c>
      <x:c r="J81" t="str">
        <x:v>Common IAC Landing Zone</x:v>
      </x:c>
      <x:c r="K81" t="str">
        <x:v>00915_120</x:v>
      </x:c>
      <x:c r="L81" t="str">
        <x:v>Cloud Migration Azure Infrastructure for New Landing Zone</x:v>
      </x:c>
      <x:c r="M81" t="str">
        <x:v>sazali.mokhtar@petronas.com.my</x:v>
      </x:c>
      <x:c r="N81" t="str">
        <x:v>PETRONAS Cloud Repatriation for Azure</x:v>
      </x:c>
      <x:c r="O81" t="str">
        <x:v>New</x:v>
      </x:c>
      <x:c r="P81" t="str">
        <x:v>StagingUat</x:v>
      </x:c>
      <x:c r="Q81" t="str">
        <x:v>Cloud Repatriation for UPSTREAM (Azure Migration) - Need 1 shared VM with Domain Join to copy the data from Singapore region to Malaysia Region.</x:v>
      </x:c>
      <x:c r="R81" t="str">
        <x:v>M</x:v>
      </x:c>
      <x:c r="S81"/>
      <x:c r="T81"/>
      <x:c r="U81" t="str">
        <x:v>For repat program.</x:v>
      </x:c>
      <x:c r="V81" t="n">
        <x:v>46085.05515219907</x:v>
      </x:c>
      <x:c r="W81" t="str">
        <x:v>sazali.mokhtar@petronas.com</x:v>
      </x:c>
      <x:c r="X81" t="str">
        <x:v>approved</x:v>
      </x:c>
      <x:c r="Y81" t="str">
        <x:v>Good to go</x:v>
      </x:c>
      <x:c r="Z81" t="n">
        <x:v>46091.28147699074</x:v>
      </x:c>
      <x:c r="AA81" t="str">
        <x:v>samsuddin.jumbri@petronas.com</x:v>
      </x:c>
      <x:c r="AB81" t="str">
        <x:v>approved</x:v>
      </x:c>
      <x:c r="AC81" t="str">
        <x:v>CSSP10931399 CSSP10120195</x:v>
      </x:c>
      <x:c r="AD81" t="n">
        <x:v>46092.326269895835</x:v>
      </x:c>
      <x:c r="AE81" t="str">
        <x:v>syazali.saad@petronas.com</x:v>
      </x:c>
      <x:c r="AF81" t="str">
        <x:v>approved</x:v>
      </x:c>
      <x:c r="AG81" t="str">
        <x:v>Completed</x:v>
      </x:c>
      <x:c r="AH81" t="n">
        <x:v>46112.12000188657</x:v>
      </x:c>
      <x:c r="AI81" t="str">
        <x:v>fathulrahman.misba@petronas.com</x:v>
      </x:c>
      <x:c r="AJ81" t="str">
        <x:v>approved</x:v>
      </x:c>
      <x:c r="AK81" t="str">
        <x:v>REQ000007927315</x:v>
      </x:c>
      <x:c r="AL81" t="str">
        <x:v>37299f6e-7a66-4e9b-be43-dc387a66f1ca</x:v>
      </x:c>
      <x:c r="AM81" s="23" t="str">
        <x:f>IF(E81="processing",IF(Z81="","",IF(ISNUMBER(Z81),INT(Z81),DATE(VALUE(LEFT(Z81,4)),VALUE(MID(Z81,6,2)),VALUE(MID(Z81,9,2))))),IF(OR(E81="executing",E81="pending"),IF(AD81="","",IF(ISNUMBER(AD81),INT(AD81),DATE(VALUE(LEFT(AD81,4)),VALUE(MID(AD81,6,2)),VALUE(MID(AD81,9,2))))),""))</x:f>
      </x:c>
      <x:c r="AN81" s="24" t="str">
        <x:f>IF(AM81="","",INT('Configuration'!$B$4)-AM81)</x:f>
      </x:c>
      <x:c r="AO81" s="25" t="str">
        <x:f>IF(AM81="","Missing Required Date",IF(AN81&lt;0,"Future Date",IF(AN81=0,"0 days",IF(AN81&lt;=2,"1-2 days",IF(AN81&lt;=7,"3-7 days",IF(AN81&lt;=14,"8-14 days",IF(AN81&lt;=30,"15-30 days",IF(AN81&lt;=60,"31-60 days",IF(AN81&lt;=70,"61-70 days","71+ days")))))))))</x:f>
        <x:v>Missing Required Date</x:v>
      </x:c>
      <x:c r="AP81" s="25" t="str">
        <x:f>IF(OR(E81="processing",E81="executing",E81="pending"),IF(AM81="","Required aging date missing",IF(AN81&gt;30,"Escalate &gt;30d",IF(AN81&gt;14,"Watch &gt;14d","Within 14d"))),"Out of scope")</x:f>
        <x:v>Out of scope</x:v>
      </x:c>
    </x:row>
    <x:row r="82" ht="24" customHeight="1">
      <x:c r="A82" t="str">
        <x:v>43616fc9-592e-426c-a9bf-c7cffd8a944a</x:v>
      </x:c>
      <x:c r="B82" t="str">
        <x:v>CSSP10391617</x:v>
      </x:c>
      <x:c r="C82" t="str">
        <x:v>amit.manchanda@petronas.com</x:v>
      </x:c>
      <x:c r="D82" t="str">
        <x:v>provision-cloud-public</x:v>
      </x:c>
      <x:c r="E82" t="str">
        <x:v>completed</x:v>
      </x:c>
      <x:c r="F82" t="n">
        <x:v>46083.20594104167</x:v>
      </x:c>
      <x:c r="G82" t="n">
        <x:v>46083.20594104167</x:v>
      </x:c>
      <x:c r="H82" t="n">
        <x:v>46112.12061932871</x:v>
      </x:c>
      <x:c r="I82" t="str">
        <x:v>C-000011</x:v>
      </x:c>
      <x:c r="J82" t="str">
        <x:v>Common IAC Landing Zone</x:v>
      </x:c>
      <x:c r="K82" t="str">
        <x:v>00915_120</x:v>
      </x:c>
      <x:c r="L82" t="str">
        <x:v>Cloud Migration Azure Infrastructure for New Landing Zone</x:v>
      </x:c>
      <x:c r="M82" t="str">
        <x:v>sazali.mokhtar@petronas.com.my</x:v>
      </x:c>
      <x:c r="N82" t="str">
        <x:v>PETRONAS Cloud Repatriation for Azure</x:v>
      </x:c>
      <x:c r="O82" t="str">
        <x:v>New</x:v>
      </x:c>
      <x:c r="P82" t="str">
        <x:v>Production</x:v>
      </x:c>
      <x:c r="Q82" t="str">
        <x:v>Cloud Repatriation for CORPORATE (Azure Migration) - For PROD - Need 1 shared VM with Domain Join to copy the data from Singapore region to Malaysia Region</x:v>
      </x:c>
      <x:c r="R82" t="str">
        <x:v>M</x:v>
      </x:c>
      <x:c r="S82"/>
      <x:c r="T82"/>
      <x:c r="U82" t="str">
        <x:v>For repat program.</x:v>
      </x:c>
      <x:c r="V82" t="n">
        <x:v>46085.05444893519</x:v>
      </x:c>
      <x:c r="W82" t="str">
        <x:v>sazali.mokhtar@petronas.com</x:v>
      </x:c>
      <x:c r="X82" t="str">
        <x:v>approved</x:v>
      </x:c>
      <x:c r="Y82" t="str">
        <x:v>Good to go</x:v>
      </x:c>
      <x:c r="Z82" t="n">
        <x:v>46091.28175354167</x:v>
      </x:c>
      <x:c r="AA82" t="str">
        <x:v>samsuddin.jumbri@petronas.com</x:v>
      </x:c>
      <x:c r="AB82" t="str">
        <x:v>approved</x:v>
      </x:c>
      <x:c r="AC82" t="str">
        <x:v>CSSP10940354 CSSP10940354</x:v>
      </x:c>
      <x:c r="AD82" t="n">
        <x:v>46092.32721797454</x:v>
      </x:c>
      <x:c r="AE82" t="str">
        <x:v>syazali.saad@petronas.com</x:v>
      </x:c>
      <x:c r="AF82" t="str">
        <x:v>approved</x:v>
      </x:c>
      <x:c r="AG82" t="str">
        <x:v>Completed</x:v>
      </x:c>
      <x:c r="AH82" t="n">
        <x:v>46112.12061932871</x:v>
      </x:c>
      <x:c r="AI82" t="str">
        <x:v>fathulrahman.misba@petronas.com</x:v>
      </x:c>
      <x:c r="AJ82" t="str">
        <x:v>approved</x:v>
      </x:c>
      <x:c r="AK82" t="str">
        <x:v>REQ000007928248</x:v>
      </x:c>
      <x:c r="AL82" t="str">
        <x:v>37299f6e-7a66-4e9b-be43-dc387a66f1ca</x:v>
      </x:c>
      <x:c r="AM82" s="23" t="str">
        <x:f>IF(E82="processing",IF(Z82="","",IF(ISNUMBER(Z82),INT(Z82),DATE(VALUE(LEFT(Z82,4)),VALUE(MID(Z82,6,2)),VALUE(MID(Z82,9,2))))),IF(OR(E82="executing",E82="pending"),IF(AD82="","",IF(ISNUMBER(AD82),INT(AD82),DATE(VALUE(LEFT(AD82,4)),VALUE(MID(AD82,6,2)),VALUE(MID(AD82,9,2))))),""))</x:f>
      </x:c>
      <x:c r="AN82" s="24" t="str">
        <x:f>IF(AM82="","",INT('Configuration'!$B$4)-AM82)</x:f>
      </x:c>
      <x:c r="AO82" s="25" t="str">
        <x:f>IF(AM82="","Missing Required Date",IF(AN82&lt;0,"Future Date",IF(AN82=0,"0 days",IF(AN82&lt;=2,"1-2 days",IF(AN82&lt;=7,"3-7 days",IF(AN82&lt;=14,"8-14 days",IF(AN82&lt;=30,"15-30 days",IF(AN82&lt;=60,"31-60 days",IF(AN82&lt;=70,"61-70 days","71+ days")))))))))</x:f>
        <x:v>Missing Required Date</x:v>
      </x:c>
      <x:c r="AP82" s="25" t="str">
        <x:f>IF(OR(E82="processing",E82="executing",E82="pending"),IF(AM82="","Required aging date missing",IF(AN82&gt;30,"Escalate &gt;30d",IF(AN82&gt;14,"Watch &gt;14d","Within 14d"))),"Out of scope")</x:f>
        <x:v>Out of scope</x:v>
      </x:c>
    </x:row>
    <x:row r="83" ht="24" customHeight="1">
      <x:c r="A83" t="str">
        <x:v>53e088bd-0315-4c06-9c35-dec15452a29f</x:v>
      </x:c>
      <x:c r="B83" t="str">
        <x:v>CSSP10196936</x:v>
      </x:c>
      <x:c r="C83" t="str">
        <x:v>nursalikeen.saparai@petronas.com</x:v>
      </x:c>
      <x:c r="D83" t="str">
        <x:v>provision-cloud-public</x:v>
      </x:c>
      <x:c r="E83" t="str">
        <x:v>completed</x:v>
      </x:c>
      <x:c r="F83" t="n">
        <x:v>46083.27134497685</x:v>
      </x:c>
      <x:c r="G83" t="n">
        <x:v>46083.27134497685</x:v>
      </x:c>
      <x:c r="H83" t="n">
        <x:v>46092.126240081016</x:v>
      </x:c>
      <x:c r="I83" t="str">
        <x:v>A-000045</x:v>
      </x:c>
      <x:c r="J83" t="str">
        <x:v>Alpha Oil</x:v>
      </x:c>
      <x:c r="K83" t="n">
        <x:v>3948</x:v>
      </x:c>
      <x:c r="L83" t="str">
        <x:v>Support Services of Alpha Oil – WS2 DevSecOps for Malaysia Petroleum Management (MPM)</x:v>
      </x:c>
      <x:c r="M83" t="str">
        <x:v>sharulazlan.ahmad@petronas.com</x:v>
      </x:c>
      <x:c r="N83" t="str">
        <x:v>Alpha Oil</x:v>
      </x:c>
      <x:c r="O83" t="str">
        <x:v>New</x:v>
      </x:c>
      <x:c r="P83" t="str">
        <x:v>Development</x:v>
      </x:c>
      <x:c r="Q83" t="str">
        <x:v>To provision 1 VM for (Azure Data Factory) ADF integration run time for data loading, transformation and ingestion. Alpha Oil required to setup ADF to replace Talend for their data processor.</x:v>
      </x:c>
      <x:c r="R83" t="str">
        <x:v>S</x:v>
      </x:c>
      <x:c r="S83"/>
      <x:c r="T83"/>
      <x:c r="U83" t="str">
        <x:v>Approved</x:v>
      </x:c>
      <x:c r="V83" t="n">
        <x:v>46085.04826513889</x:v>
      </x:c>
      <x:c r="W83" t="str">
        <x:v>sharulazlan.ahmad@petronas.com</x:v>
      </x:c>
      <x:c r="X83" t="str">
        <x:v>approved</x:v>
      </x:c>
      <x:c r="Y83" t="str">
        <x:v>Approved. Provision VM under PTAZSG-IAC-DEV-ALPHA-OIL-RG</x:v>
      </x:c>
      <x:c r="Z83" t="n">
        <x:v>46086.327214386576</x:v>
      </x:c>
      <x:c r="AA83" t="str">
        <x:v>kianleng.geh@petronas.com</x:v>
      </x:c>
      <x:c r="AB83" t="str">
        <x:v>approved</x:v>
      </x:c>
      <x:c r="AC83" t="str">
        <x:v>1x VM</x:v>
      </x:c>
      <x:c r="AD83" t="n">
        <x:v>46086.340543356484</x:v>
      </x:c>
      <x:c r="AE83" t="str">
        <x:v>syazali.saad@petronas.com</x:v>
      </x:c>
      <x:c r="AF83" t="str">
        <x:v>approved</x:v>
      </x:c>
      <x:c r="AG83" t="str">
        <x:v>Completed</x:v>
      </x:c>
      <x:c r="AH83" t="n">
        <x:v>46092.12624009259</x:v>
      </x:c>
      <x:c r="AI83" t="str">
        <x:v>amin.manshor@petronas.com</x:v>
      </x:c>
      <x:c r="AJ83" t="str">
        <x:v>approved</x:v>
      </x:c>
      <x:c r="AK83" t="str">
        <x:v>REQ000007917534</x:v>
      </x:c>
      <x:c r="AL83" t="str">
        <x:v>068bb9e2-7634-4ac4-b94c-0a9bb274301b</x:v>
      </x:c>
      <x:c r="AM83" s="23" t="str">
        <x:f>IF(E83="processing",IF(Z83="","",IF(ISNUMBER(Z83),INT(Z83),DATE(VALUE(LEFT(Z83,4)),VALUE(MID(Z83,6,2)),VALUE(MID(Z83,9,2))))),IF(OR(E83="executing",E83="pending"),IF(AD83="","",IF(ISNUMBER(AD83),INT(AD83),DATE(VALUE(LEFT(AD83,4)),VALUE(MID(AD83,6,2)),VALUE(MID(AD83,9,2))))),""))</x:f>
      </x:c>
      <x:c r="AN83" s="24" t="str">
        <x:f>IF(AM83="","",INT('Configuration'!$B$4)-AM83)</x:f>
      </x:c>
      <x:c r="AO83" s="25" t="str">
        <x:f>IF(AM83="","Missing Required Date",IF(AN83&lt;0,"Future Date",IF(AN83=0,"0 days",IF(AN83&lt;=2,"1-2 days",IF(AN83&lt;=7,"3-7 days",IF(AN83&lt;=14,"8-14 days",IF(AN83&lt;=30,"15-30 days",IF(AN83&lt;=60,"31-60 days",IF(AN83&lt;=70,"61-70 days","71+ days")))))))))</x:f>
        <x:v>Missing Required Date</x:v>
      </x:c>
      <x:c r="AP83" s="25" t="str">
        <x:f>IF(OR(E83="processing",E83="executing",E83="pending"),IF(AM83="","Required aging date missing",IF(AN83&gt;30,"Escalate &gt;30d",IF(AN83&gt;14,"Watch &gt;14d","Within 14d"))),"Out of scope")</x:f>
        <x:v>Out of scope</x:v>
      </x:c>
    </x:row>
    <x:row r="84" ht="24" customHeight="1">
      <x:c r="A84" t="str">
        <x:v>e1de3770-b2a1-4489-85af-04ac4a4c581a</x:v>
      </x:c>
      <x:c r="B84" t="str">
        <x:v>CSSP10535228</x:v>
      </x:c>
      <x:c r="C84" t="str">
        <x:v>mohamadsyafiq.mnoor@petronas.com</x:v>
      </x:c>
      <x:c r="D84" t="str">
        <x:v>provision-cloud-public</x:v>
      </x:c>
      <x:c r="E84" t="str">
        <x:v>completed</x:v>
      </x:c>
      <x:c r="F84" t="n">
        <x:v>46086.09832063657</x:v>
      </x:c>
      <x:c r="G84" t="n">
        <x:v>46086.09832063657</x:v>
      </x:c>
      <x:c r="H84" t="n">
        <x:v>46098.008077199076</x:v>
      </x:c>
      <x:c r="I84" t="str">
        <x:v>A-001307</x:v>
      </x:c>
      <x:c r="J84" t="str">
        <x:v>Azure Machine Learning - PRPC</x:v>
      </x:c>
      <x:c r="K84" t="n">
        <x:v>4739</x:v>
      </x:c>
      <x:c r="L84" t="str">
        <x:v>Run &amp; Maintain Citizen Analytics Use Cases for PRPC</x:v>
      </x:c>
      <x:c r="M84" t="str">
        <x:v>khairulnizam.bahari@petronas.com.my</x:v>
      </x:c>
      <x:c r="N84" t="str">
        <x:v>Citizen-Analytics</x:v>
      </x:c>
      <x:c r="O84" t="str">
        <x:v>New</x:v>
      </x:c>
      <x:c r="P84" t="str">
        <x:v>Production</x:v>
      </x:c>
      <x:c r="Q84" t="str">
        <x:v>Request to provision compute instance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Nur Fara Nabila Mohamad Firdaus Yong (POCM/PRPC) - nurfaranabila.mohama@petronas.com.my </x:v>
      </x:c>
      <x:c r="R84" t="str">
        <x:v>S</x:v>
      </x:c>
      <x:c r="S84"/>
      <x:c r="T84"/>
      <x:c r="U84" t="str">
        <x:v>compute instance for the new resource under En Azman's team.</x:v>
      </x:c>
      <x:c r="V84" t="n">
        <x:v>46086.11244523148</x:v>
      </x:c>
      <x:c r="W84" t="str">
        <x:v>khairulnizam.bahari@petronas.com</x:v>
      </x:c>
      <x:c r="X84" t="str">
        <x:v>approved</x:v>
      </x:c>
      <x:c r="Y84" t="str">
        <x:v>Good to go</x:v>
      </x:c>
      <x:c r="Z84" t="n">
        <x:v>46091.28288141204</x:v>
      </x:c>
      <x:c r="AA84" t="str">
        <x:v>samsuddin.jumbri@petronas.com</x:v>
      </x:c>
      <x:c r="AB84" t="str">
        <x:v>approved</x:v>
      </x:c>
      <x:c r="AC84" t="str">
        <x:v>ML</x:v>
      </x:c>
      <x:c r="AD84" t="n">
        <x:v>46092.40185959491</x:v>
      </x:c>
      <x:c r="AE84" t="str">
        <x:v>syazali.saad@petronas.com</x:v>
      </x:c>
      <x:c r="AF84" t="str">
        <x:v>approved</x:v>
      </x:c>
      <x:c r="AG84" t="str">
        <x:v>Compute created. </x:v>
      </x:c>
      <x:c r="AH84" t="n">
        <x:v>46098.008077210645</x:v>
      </x:c>
      <x:c r="AI84" t="str">
        <x:v>azhan.shazeli@petronas.com</x:v>
      </x:c>
      <x:c r="AJ84" t="str">
        <x:v>approved</x:v>
      </x:c>
      <x:c r="AK84" t="str">
        <x:v>REQ000007928353</x:v>
      </x:c>
      <x:c r="AL84" t="str">
        <x:v>175979a6-0134-4d4e-b3f1-5ff77e1fdf7f</x:v>
      </x:c>
      <x:c r="AM84" s="23" t="str">
        <x:f>IF(E84="processing",IF(Z84="","",IF(ISNUMBER(Z84),INT(Z84),DATE(VALUE(LEFT(Z84,4)),VALUE(MID(Z84,6,2)),VALUE(MID(Z84,9,2))))),IF(OR(E84="executing",E84="pending"),IF(AD84="","",IF(ISNUMBER(AD84),INT(AD84),DATE(VALUE(LEFT(AD84,4)),VALUE(MID(AD84,6,2)),VALUE(MID(AD84,9,2))))),""))</x:f>
      </x:c>
      <x:c r="AN84" s="24" t="str">
        <x:f>IF(AM84="","",INT('Configuration'!$B$4)-AM84)</x:f>
      </x:c>
      <x:c r="AO84" s="25" t="str">
        <x:f>IF(AM84="","Missing Required Date",IF(AN84&lt;0,"Future Date",IF(AN84=0,"0 days",IF(AN84&lt;=2,"1-2 days",IF(AN84&lt;=7,"3-7 days",IF(AN84&lt;=14,"8-14 days",IF(AN84&lt;=30,"15-30 days",IF(AN84&lt;=60,"31-60 days",IF(AN84&lt;=70,"61-70 days","71+ days")))))))))</x:f>
        <x:v>Missing Required Date</x:v>
      </x:c>
      <x:c r="AP84" s="25" t="str">
        <x:f>IF(OR(E84="processing",E84="executing",E84="pending"),IF(AM84="","Required aging date missing",IF(AN84&gt;30,"Escalate &gt;30d",IF(AN84&gt;14,"Watch &gt;14d","Within 14d"))),"Out of scope")</x:f>
        <x:v>Out of scope</x:v>
      </x:c>
    </x:row>
    <x:row r="85" ht="24" customHeight="1">
      <x:c r="A85" t="str">
        <x:v>b532da1e-5ea3-4c5b-ad1b-50e3455fdab1</x:v>
      </x:c>
      <x:c r="B85" t="str">
        <x:v>CSSP10447421</x:v>
      </x:c>
      <x:c r="C85" t="str">
        <x:v>mizzudin.manuar@petronas.com</x:v>
      </x:c>
      <x:c r="D85" t="str">
        <x:v>provision-cloud-public</x:v>
      </x:c>
      <x:c r="E85" t="str">
        <x:v>completed</x:v>
      </x:c>
      <x:c r="F85" t="n">
        <x:v>46086.26346570602</x:v>
      </x:c>
      <x:c r="G85" t="n">
        <x:v>46086.363029988424</x:v>
      </x:c>
      <x:c r="H85" t="n">
        <x:v>46097.12368866898</x:v>
      </x:c>
      <x:c r="I85" t="str">
        <x:v>A-000605</x:v>
      </x:c>
      <x:c r="J85" t="str">
        <x:v>Plant Information - PI Vestigo</x:v>
      </x:c>
      <x:c r="K85" t="str">
        <x:v>02421_64</x:v>
      </x:c>
      <x:c r="L85" t="str">
        <x:v>Cloud Migration Program - PI Vestigo</x:v>
      </x:c>
      <x:c r="M85" t="str">
        <x:v>mohammadsani.johari@petronas.com.my</x:v>
      </x:c>
      <x:c r="N85" t="str">
        <x:v>Migration of PI System for Vestigo Operatorship Transfer</x:v>
      </x:c>
      <x:c r="O85" t="str">
        <x:v>Modify</x:v>
      </x:c>
      <x:c r="P85" t="str">
        <x:v>Production</x:v>
      </x:c>
      <x:c r="Q85" t="str">
        <x:v>ESTRELLA: Migration of Plant Information (PI) System for Vestigo Operatorship Transfer, PI Server Hard Drive Upgrade</x:v>
      </x:c>
      <x:c r="R85" t="str">
        <x:v>M</x:v>
      </x:c>
      <x:c r="S85" t="str">
        <x:v>ICT_RFC00219906</x:v>
      </x:c>
      <x:c r="T85"/>
      <x:c r="U85" t="str">
        <x:v>Project requirement.</x:v>
      </x:c>
      <x:c r="V85" t="n">
        <x:v>46090.04989353009</x:v>
      </x:c>
      <x:c r="W85" t="str">
        <x:v>mohammadsani.johari@petronas.com</x:v>
      </x:c>
      <x:c r="X85" t="str">
        <x:v>approved</x:v>
      </x:c>
      <x:c r="Y85" t="str">
        <x:v>Good to go</x:v>
      </x:c>
      <x:c r="Z85" t="n">
        <x:v>46091.28526193287</x:v>
      </x:c>
      <x:c r="AA85" t="str">
        <x:v>samsuddin.jumbri@petronas.com</x:v>
      </x:c>
      <x:c r="AB85" t="str">
        <x:v>approved</x:v>
      </x:c>
      <x:c r="AC85" t="str">
        <x:v>rfc, 03/16/2026 10:00:00 PM. AWS.</x:v>
      </x:c>
      <x:c r="AD85" t="n">
        <x:v>46091.36869584491</x:v>
      </x:c>
      <x:c r="AE85" t="str">
        <x:v>syazali.saad@petronas.com</x:v>
      </x:c>
      <x:c r="AF85" t="str">
        <x:v>approved</x:v>
      </x:c>
      <x:c r="AG85" t="str">
        <x:v>requestor cancelled due to change in plan and spec.</x:v>
      </x:c>
      <x:c r="AH85" t="n">
        <x:v>46097.12368868056</x:v>
      </x:c>
      <x:c r="AI85" t="str">
        <x:v>syazali.saad@petronas.com</x:v>
      </x:c>
      <x:c r="AJ85" t="str">
        <x:v>approved</x:v>
      </x:c>
      <x:c r="AK85" t="str">
        <x:v>REQ000007925432</x:v>
      </x:c>
      <x:c r="AL85" t="str">
        <x:v>5d3fb87b-9d92-4201-8beb-3a6b20d59907</x:v>
      </x:c>
      <x:c r="AM85" s="23" t="str">
        <x:f>IF(E85="processing",IF(Z85="","",IF(ISNUMBER(Z85),INT(Z85),DATE(VALUE(LEFT(Z85,4)),VALUE(MID(Z85,6,2)),VALUE(MID(Z85,9,2))))),IF(OR(E85="executing",E85="pending"),IF(AD85="","",IF(ISNUMBER(AD85),INT(AD85),DATE(VALUE(LEFT(AD85,4)),VALUE(MID(AD85,6,2)),VALUE(MID(AD85,9,2))))),""))</x:f>
      </x:c>
      <x:c r="AN85" s="24" t="str">
        <x:f>IF(AM85="","",INT('Configuration'!$B$4)-AM85)</x:f>
      </x:c>
      <x:c r="AO85" s="25" t="str">
        <x:f>IF(AM85="","Missing Required Date",IF(AN85&lt;0,"Future Date",IF(AN85=0,"0 days",IF(AN85&lt;=2,"1-2 days",IF(AN85&lt;=7,"3-7 days",IF(AN85&lt;=14,"8-14 days",IF(AN85&lt;=30,"15-30 days",IF(AN85&lt;=60,"31-60 days",IF(AN85&lt;=70,"61-70 days","71+ days")))))))))</x:f>
        <x:v>Missing Required Date</x:v>
      </x:c>
      <x:c r="AP85" s="25" t="str">
        <x:f>IF(OR(E85="processing",E85="executing",E85="pending"),IF(AM85="","Required aging date missing",IF(AN85&gt;30,"Escalate &gt;30d",IF(AN85&gt;14,"Watch &gt;14d","Within 14d"))),"Out of scope")</x:f>
        <x:v>Out of scope</x:v>
      </x:c>
    </x:row>
    <x:row r="86" ht="24" customHeight="1">
      <x:c r="A86" t="str">
        <x:v>5b7bbbc1-4eda-4abb-b3a0-6d660db246a8</x:v>
      </x:c>
      <x:c r="B86" t="str">
        <x:v>CSSP10489794</x:v>
      </x:c>
      <x:c r="C86" t="str">
        <x:v>mahzan.musa@petronas.com</x:v>
      </x:c>
      <x:c r="D86" t="str">
        <x:v>provision-cloud-public</x:v>
      </x:c>
      <x:c r="E86" t="str">
        <x:v>completed</x:v>
      </x:c>
      <x:c r="F86" t="n">
        <x:v>46086.30530608796</x:v>
      </x:c>
      <x:c r="G86" t="n">
        <x:v>46086.30530608796</x:v>
      </x:c>
      <x:c r="H86" t="n">
        <x:v>46100.39461304398</x:v>
      </x:c>
      <x:c r="I86" t="str">
        <x:v>P-000007</x:v>
      </x:c>
      <x:c r="J86" t="str">
        <x:v>Outsystem - Citizen Developer Program</x:v>
      </x:c>
      <x:c r="K86" t="str">
        <x:v>PC-00034</x:v>
      </x:c>
      <x:c r="L86" t="str">
        <x:v>Citizen Developer Program - OutSystems Standard edition (150 AOs)</x:v>
      </x:c>
      <x:c r="M86" t="str">
        <x:v>amirshazlan.mshah@petronas.com.my</x:v>
      </x:c>
      <x:c r="N86" t="str">
        <x:v>Citizen Developer Program</x:v>
      </x:c>
      <x:c r="O86" t="str">
        <x:v>New</x:v>
      </x:c>
      <x:c r="P86" t="str">
        <x:v>Development</x:v>
      </x:c>
      <x:c r="Q86" t="str">
        <x:v>Dashboard for cost recovery. Amazon EC2 1 instance. Windows Server. t3.2xlarge. EBS Storage 10 GB</x:v>
      </x:c>
      <x:c r="R86" t="str">
        <x:v>M</x:v>
      </x:c>
      <x:c r="S86"/>
      <x:c r="T86"/>
      <x:c r="U86" t="str">
        <x:v>approved</x:v>
      </x:c>
      <x:c r="V86" t="n">
        <x:v>46086.31136861111</x:v>
      </x:c>
      <x:c r="W86" t="str">
        <x:v>amirshazlan.mshah@petronas.com</x:v>
      </x:c>
      <x:c r="X86" t="str">
        <x:v>approved</x:v>
      </x:c>
      <x:c r="Y86" t="str">
        <x:v>Good to go</x:v>
      </x:c>
      <x:c r="Z86" t="n">
        <x:v>46091.284103136575</x:v>
      </x:c>
      <x:c r="AA86" t="str">
        <x:v>samsuddin.jumbri@petronas.com</x:v>
      </x:c>
      <x:c r="AB86" t="str">
        <x:v>approved</x:v>
      </x:c>
      <x:c r="AC86" t="str">
        <x:v>ec2 x1. new.</x:v>
      </x:c>
      <x:c r="AD86" t="n">
        <x:v>46092.16742255787</x:v>
      </x:c>
      <x:c r="AE86" t="str">
        <x:v>syazali.saad@petronas.com</x:v>
      </x:c>
      <x:c r="AF86" t="str">
        <x:v>approved</x:v>
      </x:c>
      <x:c r="AG86" t="str">
        <x:v>Request completed and email has been sent for verification.</x:v>
      </x:c>
      <x:c r="AH86" t="n">
        <x:v>46100.394613055556</x:v>
      </x:c>
      <x:c r="AI86" t="str">
        <x:v>faiz.noorhasim@petronas.com</x:v>
      </x:c>
      <x:c r="AJ86" t="str">
        <x:v>approved</x:v>
      </x:c>
      <x:c r="AK86" t="str">
        <x:v>REQ000007927046</x:v>
      </x:c>
      <x:c r="AL86" t="str">
        <x:v>d06714b8-6137-414d-b0ca-dc58ccfe404a</x:v>
      </x:c>
      <x:c r="AM86" s="23" t="str">
        <x:f>IF(E86="processing",IF(Z86="","",IF(ISNUMBER(Z86),INT(Z86),DATE(VALUE(LEFT(Z86,4)),VALUE(MID(Z86,6,2)),VALUE(MID(Z86,9,2))))),IF(OR(E86="executing",E86="pending"),IF(AD86="","",IF(ISNUMBER(AD86),INT(AD86),DATE(VALUE(LEFT(AD86,4)),VALUE(MID(AD86,6,2)),VALUE(MID(AD86,9,2))))),""))</x:f>
      </x:c>
      <x:c r="AN86" s="24" t="str">
        <x:f>IF(AM86="","",INT('Configuration'!$B$4)-AM86)</x:f>
      </x:c>
      <x:c r="AO86" s="25" t="str">
        <x:f>IF(AM86="","Missing Required Date",IF(AN86&lt;0,"Future Date",IF(AN86=0,"0 days",IF(AN86&lt;=2,"1-2 days",IF(AN86&lt;=7,"3-7 days",IF(AN86&lt;=14,"8-14 days",IF(AN86&lt;=30,"15-30 days",IF(AN86&lt;=60,"31-60 days",IF(AN86&lt;=70,"61-70 days","71+ days")))))))))</x:f>
        <x:v>Missing Required Date</x:v>
      </x:c>
      <x:c r="AP86" s="25" t="str">
        <x:f>IF(OR(E86="processing",E86="executing",E86="pending"),IF(AM86="","Required aging date missing",IF(AN86&gt;30,"Escalate &gt;30d",IF(AN86&gt;14,"Watch &gt;14d","Within 14d"))),"Out of scope")</x:f>
        <x:v>Out of scope</x:v>
      </x:c>
    </x:row>
    <x:row r="87" ht="24" customHeight="1">
      <x:c r="A87" t="str">
        <x:v>52b36a76-7e00-49d6-a9da-5b10a07aeda5</x:v>
      </x:c>
      <x:c r="B87" t="str">
        <x:v>CSSP10732023</x:v>
      </x:c>
      <x:c r="C87" t="str">
        <x:v>hari.amirchow@petronas.com</x:v>
      </x:c>
      <x:c r="D87" t="str">
        <x:v>provision-cloud-public</x:v>
      </x:c>
      <x:c r="E87" t="str">
        <x:v>completed</x:v>
      </x:c>
      <x:c r="F87" t="n">
        <x:v>46087.00287318287</x:v>
      </x:c>
      <x:c r="G87" t="n">
        <x:v>46087.00287318287</x:v>
      </x:c>
      <x:c r="H87" t="n">
        <x:v>46088.708198900466</x:v>
      </x:c>
      <x:c r="I87" t="str">
        <x:v>A-000726</x:v>
      </x:c>
      <x:c r="J87" t="str">
        <x:v>SAP 50 ECC6</x:v>
      </x:c>
      <x:c r="K87" t="str">
        <x:v>OSR00410_1</x:v>
      </x:c>
      <x:c r="L87" t="str">
        <x:v>S/4HANA Technical Conversion and Migration of SAP Systems P30 and P50</x:v>
      </x:c>
      <x:c r="M87" t="str">
        <x:v>safura.ibadullah@petronas.com</x:v>
      </x:c>
      <x:c r="N87" t="str">
        <x:v>PHOENIX Technology Modernisation</x:v>
      </x:c>
      <x:c r="O87" t="str">
        <x:v>Modify</x:v>
      </x:c>
      <x:c r="P87" t="str">
        <x:v>Production</x:v>
      </x:c>
      <x:c r="Q87" t="str">
        <x:v>Phoenix Tech mod P50 DB VM upgrade</x:v>
      </x:c>
      <x:c r="R87" t="str">
        <x:v>S</x:v>
      </x:c>
      <x:c r="S87" t="str">
        <x:v>ICT_RFC00219889 </x:v>
      </x:c>
      <x:c r="T87"/>
      <x:c r="U87" t="str">
        <x:v>Phoenix Dress Rehersal</x:v>
      </x:c>
      <x:c r="V87" t="n">
        <x:v>46087.0100359375</x:v>
      </x:c>
      <x:c r="W87" t="str">
        <x:v>safura.ibadullah@petronas.com</x:v>
      </x:c>
      <x:c r="X87" t="str">
        <x:v>approved</x:v>
      </x:c>
      <x:c r="Y87" t="str">
        <x:v>Approved for P50</x:v>
      </x:c>
      <x:c r="Z87" t="n">
        <x:v>46087.12910643518</x:v>
      </x:c>
      <x:c r="AA87" t="str">
        <x:v>fathulrahman.misba@petronas.com</x:v>
      </x:c>
      <x:c r="AB87" t="str">
        <x:v>approved</x:v>
      </x:c>
      <x:c r="AC87" t="str">
        <x:v>VM upgrade to E96ds. clickops.</x:v>
      </x:c>
      <x:c r="AD87" t="n">
        <x:v>46087.174869710645</x:v>
      </x:c>
      <x:c r="AE87" t="str">
        <x:v>syazali.saad@petronas.com</x:v>
      </x:c>
      <x:c r="AF87" t="str">
        <x:v>approved</x:v>
      </x:c>
      <x:c r="AG87" t="str">
        <x:v>PTSG-1PDBdb01 and PTSG-1PDBdb02 have been upgraded to Standard E96ds v5 (96 vCPU and 672 GiB memory). It is the highest available E series class available.</x:v>
      </x:c>
      <x:c r="AH87" t="n">
        <x:v>46088.708198912034</x:v>
      </x:c>
      <x:c r="AI87" t="str">
        <x:v>faiz.noorhasim@petronas.com</x:v>
      </x:c>
      <x:c r="AJ87" t="str">
        <x:v>approved</x:v>
      </x:c>
      <x:c r="AK87" t="str">
        <x:v>REQ000007918425</x:v>
      </x:c>
      <x:c r="AL87" t="str">
        <x:v>23f8d636-6c6b-4ae6-97b1-490b7f9db028</x:v>
      </x:c>
      <x:c r="AM87" s="23" t="str">
        <x:f>IF(E87="processing",IF(Z87="","",IF(ISNUMBER(Z87),INT(Z87),DATE(VALUE(LEFT(Z87,4)),VALUE(MID(Z87,6,2)),VALUE(MID(Z87,9,2))))),IF(OR(E87="executing",E87="pending"),IF(AD87="","",IF(ISNUMBER(AD87),INT(AD87),DATE(VALUE(LEFT(AD87,4)),VALUE(MID(AD87,6,2)),VALUE(MID(AD87,9,2))))),""))</x:f>
      </x:c>
      <x:c r="AN87" s="24" t="str">
        <x:f>IF(AM87="","",INT('Configuration'!$B$4)-AM87)</x:f>
      </x:c>
      <x:c r="AO87" s="25" t="str">
        <x:f>IF(AM87="","Missing Required Date",IF(AN87&lt;0,"Future Date",IF(AN87=0,"0 days",IF(AN87&lt;=2,"1-2 days",IF(AN87&lt;=7,"3-7 days",IF(AN87&lt;=14,"8-14 days",IF(AN87&lt;=30,"15-30 days",IF(AN87&lt;=60,"31-60 days",IF(AN87&lt;=70,"61-70 days","71+ days")))))))))</x:f>
        <x:v>Missing Required Date</x:v>
      </x:c>
      <x:c r="AP87" s="25" t="str">
        <x:f>IF(OR(E87="processing",E87="executing",E87="pending"),IF(AM87="","Required aging date missing",IF(AN87&gt;30,"Escalate &gt;30d",IF(AN87&gt;14,"Watch &gt;14d","Within 14d"))),"Out of scope")</x:f>
        <x:v>Out of scope</x:v>
      </x:c>
    </x:row>
    <x:row r="88" ht="24" customHeight="1">
      <x:c r="A88" t="str">
        <x:v>012e7efc-80f7-4b03-9717-1a9c6a3b4ee2</x:v>
      </x:c>
      <x:c r="B88" t="str">
        <x:v>CSSP10398565</x:v>
      </x:c>
      <x:c r="C88" t="str">
        <x:v>manas.dutta@petronas.com</x:v>
      </x:c>
      <x:c r="D88" t="str">
        <x:v>provision-cloud-public</x:v>
      </x:c>
      <x:c r="E88" t="str">
        <x:v>completed</x:v>
      </x:c>
      <x:c r="F88" t="n">
        <x:v>46090.168200092594</x:v>
      </x:c>
      <x:c r="G88" t="n">
        <x:v>46090.168200092594</x:v>
      </x:c>
      <x:c r="H88" t="n">
        <x:v>46129.086684988426</x:v>
      </x:c>
      <x:c r="I88" t="str">
        <x:v>A-001315</x:v>
      </x:c>
      <x:c r="J88" t="str">
        <x:v>PDB Data &amp; Intelligence Platform</x:v>
      </x:c>
      <x:c r="K88" t="str">
        <x:v>SR25023</x:v>
      </x:c>
      <x:c r="L88" t="str">
        <x:v>PDB Data &amp; Intelligence Platform</x:v>
      </x:c>
      <x:c r="M88" t="str">
        <x:v>manas.dutta@petronas.com</x:v>
      </x:c>
      <x:c r="N88" t="str">
        <x:v>PDB Data and Intelligence Platform</x:v>
      </x:c>
      <x:c r="O88" t="str">
        <x:v>New</x:v>
      </x:c>
      <x:c r="P88" t="str">
        <x:v>StagingUat</x:v>
      </x:c>
      <x:c r="Q88" t="str">
        <x:v>The dev resources are already provisioned so this request is to provision the UAT resources</x:v>
      </x:c>
      <x:c r="R88" t="str">
        <x:v>L</x:v>
      </x:c>
      <x:c r="S88"/>
      <x:c r="T88"/>
      <x:c r="U88" t="str">
        <x:v>Same as Dev so COC can proceed to provision for UAT/Prod</x:v>
      </x:c>
      <x:c r="V88" t="n">
        <x:v>46090.17315674768</x:v>
      </x:c>
      <x:c r="W88" t="str">
        <x:v>manas.dutta@petronas.com</x:v>
      </x:c>
      <x:c r="X88" t="str">
        <x:v>approved</x:v>
      </x:c>
      <x:c r="Y88" t="str">
        <x:v>Good to go</x:v>
      </x:c>
      <x:c r="Z88" t="n">
        <x:v>46091.28703550926</x:v>
      </x:c>
      <x:c r="AA88" t="str">
        <x:v>samsuddin.jumbri@petronas.com</x:v>
      </x:c>
      <x:c r="AB88" t="str">
        <x:v>approved</x:v>
      </x:c>
      <x:c r="AC88" t="str">
        <x:v>databricks.</x:v>
      </x:c>
      <x:c r="AD88" t="n">
        <x:v>46092.16290703704</x:v>
      </x:c>
      <x:c r="AE88" t="str">
        <x:v>syazali.saad@petronas.com</x:v>
      </x:c>
      <x:c r="AF88" t="str">
        <x:v>approved</x:v>
      </x:c>
      <x:c r="AG88" t="str">
        <x:v>completed</x:v>
      </x:c>
      <x:c r="AH88" t="n">
        <x:v>46129.086685</x:v>
      </x:c>
      <x:c r="AI88" t="str">
        <x:v>amin.manshor@petronas.com</x:v>
      </x:c>
      <x:c r="AJ88" t="str">
        <x:v>approved</x:v>
      </x:c>
      <x:c r="AK88" t="str">
        <x:v>REQ000007927043</x:v>
      </x:c>
      <x:c r="AL88" t="str">
        <x:v>b4e60f9a-b7c8-4e1d-8847-6f2e75534143</x:v>
      </x:c>
      <x:c r="AM88" s="23" t="str">
        <x:f>IF(E88="processing",IF(Z88="","",IF(ISNUMBER(Z88),INT(Z88),DATE(VALUE(LEFT(Z88,4)),VALUE(MID(Z88,6,2)),VALUE(MID(Z88,9,2))))),IF(OR(E88="executing",E88="pending"),IF(AD88="","",IF(ISNUMBER(AD88),INT(AD88),DATE(VALUE(LEFT(AD88,4)),VALUE(MID(AD88,6,2)),VALUE(MID(AD88,9,2))))),""))</x:f>
      </x:c>
      <x:c r="AN88" s="24" t="str">
        <x:f>IF(AM88="","",INT('Configuration'!$B$4)-AM88)</x:f>
      </x:c>
      <x:c r="AO88" s="25" t="str">
        <x:f>IF(AM88="","Missing Required Date",IF(AN88&lt;0,"Future Date",IF(AN88=0,"0 days",IF(AN88&lt;=2,"1-2 days",IF(AN88&lt;=7,"3-7 days",IF(AN88&lt;=14,"8-14 days",IF(AN88&lt;=30,"15-30 days",IF(AN88&lt;=60,"31-60 days",IF(AN88&lt;=70,"61-70 days","71+ days")))))))))</x:f>
        <x:v>Missing Required Date</x:v>
      </x:c>
      <x:c r="AP88" s="25" t="str">
        <x:f>IF(OR(E88="processing",E88="executing",E88="pending"),IF(AM88="","Required aging date missing",IF(AN88&gt;30,"Escalate &gt;30d",IF(AN88&gt;14,"Watch &gt;14d","Within 14d"))),"Out of scope")</x:f>
        <x:v>Out of scope</x:v>
      </x:c>
    </x:row>
    <x:row r="89" ht="24" customHeight="1">
      <x:c r="A89" t="str">
        <x:v>df1258b4-cf59-4e94-9341-daa35a947f0b</x:v>
      </x:c>
      <x:c r="B89" t="str">
        <x:v>CSSP10114358</x:v>
      </x:c>
      <x:c r="C89" t="str">
        <x:v>manas.dutta@petronas.com</x:v>
      </x:c>
      <x:c r="D89" t="str">
        <x:v>provision-cloud-public</x:v>
      </x:c>
      <x:c r="E89" t="str">
        <x:v>completed</x:v>
      </x:c>
      <x:c r="F89" t="n">
        <x:v>46090.16904212963</x:v>
      </x:c>
      <x:c r="G89" t="n">
        <x:v>46090.16904212963</x:v>
      </x:c>
      <x:c r="H89" t="n">
        <x:v>46129.087061631944</x:v>
      </x:c>
      <x:c r="I89" t="str">
        <x:v>A-001315</x:v>
      </x:c>
      <x:c r="J89" t="str">
        <x:v>PDB Data &amp; Intelligence Platform</x:v>
      </x:c>
      <x:c r="K89" t="str">
        <x:v>SR25023</x:v>
      </x:c>
      <x:c r="L89" t="str">
        <x:v>PDB Data &amp; Intelligence Platform</x:v>
      </x:c>
      <x:c r="M89" t="str">
        <x:v>manas.dutta@petronas.com</x:v>
      </x:c>
      <x:c r="N89" t="str">
        <x:v>PDB Data and Intelligence Platform</x:v>
      </x:c>
      <x:c r="O89" t="str">
        <x:v>New</x:v>
      </x:c>
      <x:c r="P89" t="str">
        <x:v>Production</x:v>
      </x:c>
      <x:c r="Q89" t="str">
        <x:v>The dev resources are already provisioned so this request is to provision the PROD resources</x:v>
      </x:c>
      <x:c r="R89" t="str">
        <x:v>L</x:v>
      </x:c>
      <x:c r="S89"/>
      <x:c r="T89"/>
      <x:c r="U89" t="str">
        <x:v>Same as Dev so COC can proceed to provision for UAT/Prod</x:v>
      </x:c>
      <x:c r="V89" t="n">
        <x:v>46090.17282449074</x:v>
      </x:c>
      <x:c r="W89" t="str">
        <x:v>manas.dutta@petronas.com</x:v>
      </x:c>
      <x:c r="X89" t="str">
        <x:v>approved</x:v>
      </x:c>
      <x:c r="Y89" t="str">
        <x:v>Good to go</x:v>
      </x:c>
      <x:c r="Z89" t="n">
        <x:v>46091.28732181713</x:v>
      </x:c>
      <x:c r="AA89" t="str">
        <x:v>samsuddin.jumbri@petronas.com</x:v>
      </x:c>
      <x:c r="AB89" t="str">
        <x:v>approved</x:v>
      </x:c>
      <x:c r="AC89" t="str">
        <x:v>databricks.</x:v>
      </x:c>
      <x:c r="AD89" t="n">
        <x:v>46092.16267140046</x:v>
      </x:c>
      <x:c r="AE89" t="str">
        <x:v>syazali.saad@petronas.com</x:v>
      </x:c>
      <x:c r="AF89" t="str">
        <x:v>approved</x:v>
      </x:c>
      <x:c r="AG89" t="str">
        <x:v>completed</x:v>
      </x:c>
      <x:c r="AH89" t="n">
        <x:v>46129.087061631944</x:v>
      </x:c>
      <x:c r="AI89" t="str">
        <x:v>amin.manshor@petronas.com</x:v>
      </x:c>
      <x:c r="AJ89" t="str">
        <x:v>approved</x:v>
      </x:c>
      <x:c r="AK89" t="str">
        <x:v>REQ000007927042</x:v>
      </x:c>
      <x:c r="AL89" t="str">
        <x:v>b4e60f9a-b7c8-4e1d-8847-6f2e75534143</x:v>
      </x:c>
      <x:c r="AM89" s="23" t="str">
        <x:f>IF(E89="processing",IF(Z89="","",IF(ISNUMBER(Z89),INT(Z89),DATE(VALUE(LEFT(Z89,4)),VALUE(MID(Z89,6,2)),VALUE(MID(Z89,9,2))))),IF(OR(E89="executing",E89="pending"),IF(AD89="","",IF(ISNUMBER(AD89),INT(AD89),DATE(VALUE(LEFT(AD89,4)),VALUE(MID(AD89,6,2)),VALUE(MID(AD89,9,2))))),""))</x:f>
      </x:c>
      <x:c r="AN89" s="24" t="str">
        <x:f>IF(AM89="","",INT('Configuration'!$B$4)-AM89)</x:f>
      </x:c>
      <x:c r="AO89" s="25" t="str">
        <x:f>IF(AM89="","Missing Required Date",IF(AN89&lt;0,"Future Date",IF(AN89=0,"0 days",IF(AN89&lt;=2,"1-2 days",IF(AN89&lt;=7,"3-7 days",IF(AN89&lt;=14,"8-14 days",IF(AN89&lt;=30,"15-30 days",IF(AN89&lt;=60,"31-60 days",IF(AN89&lt;=70,"61-70 days","71+ days")))))))))</x:f>
        <x:v>Missing Required Date</x:v>
      </x:c>
      <x:c r="AP89" s="25" t="str">
        <x:f>IF(OR(E89="processing",E89="executing",E89="pending"),IF(AM89="","Required aging date missing",IF(AN89&gt;30,"Escalate &gt;30d",IF(AN89&gt;14,"Watch &gt;14d","Within 14d"))),"Out of scope")</x:f>
        <x:v>Out of scope</x:v>
      </x:c>
    </x:row>
    <x:row r="90" ht="24" customHeight="1">
      <x:c r="A90" t="str">
        <x:v>c770e32d-5625-43af-a7fb-d5258685d9f4</x:v>
      </x:c>
      <x:c r="B90" t="str">
        <x:v>CSSP10448286</x:v>
      </x:c>
      <x:c r="C90" t="str">
        <x:v>ahmadaimanhakim.nora@petronas.com</x:v>
      </x:c>
      <x:c r="D90" t="str">
        <x:v>provision-cloud-public</x:v>
      </x:c>
      <x:c r="E90" t="str">
        <x:v>rejected</x:v>
      </x:c>
      <x:c r="F90" t="n">
        <x:v>46090.28968721065</x:v>
      </x:c>
      <x:c r="G90" t="n">
        <x:v>46091.08421974537</x:v>
      </x:c>
      <x:c r="H90" t="n">
        <x:v>46125.279041932874</x:v>
      </x:c>
      <x:c r="I90" t="str">
        <x:v>A-000361</x:v>
      </x:c>
      <x:c r="J90" t="str">
        <x:v>Integrated Asset Modelling - IAM</x:v>
      </x:c>
      <x:c r="K90" t="n">
        <x:v>859</x:v>
      </x:c>
      <x:c r="L90" t="str">
        <x:v>Implementation of development, testing and production server for Integrated Asset Modelling (IAM) for COE, PCSB</x:v>
      </x:c>
      <x:c r="M90" t="str">
        <x:v>halim.matnoh@petronas.com.my</x:v>
      </x:c>
      <x:c r="N90" t="str">
        <x:v>Project IAM</x:v>
      </x:c>
      <x:c r="O90" t="str">
        <x:v>Modify</x:v>
      </x:c>
      <x:c r="P90" t="str">
        <x:v>Production</x:v>
      </x:c>
      <x:c r="Q90" t="str">
        <x:v>Refer previous approved CSSP10479891, re-raised to update sku and estimate. 
To upgrade these servers resources PTSG-1IVMDMAP01 &amp; PTSG-1IVMDMAP02:
Current -  Standard E8ds v4
Upgrade to - E16s v3</x:v>
      </x:c>
      <x:c r="R90"/>
      <x:c r="S90" t="str">
        <x:v>ICT_RFC00220099</x:v>
      </x:c>
      <x:c r="T90"/>
      <x:c r="U90" t="str">
        <x:v>rejected</x:v>
      </x:c>
      <x:c r="V90" t="n">
        <x:v>46125.27904194444</x:v>
      </x:c>
      <x:c r="W90" t="str">
        <x:v>halim.matnoh@petronas.com</x:v>
      </x:c>
      <x:c r="X90" t="str">
        <x:v>rejected</x:v>
      </x:c>
      <x:c r="Y90"/>
      <x:c r="Z90"/>
      <x:c r="AA90" t="str">
        <x:v>CCoE Demand</x:v>
      </x:c>
      <x:c r="AB90"/>
      <x:c r="AC90"/>
      <x:c r="AD90"/>
      <x:c r="AE90" t="str">
        <x:v>CCoE Business</x:v>
      </x:c>
      <x:c r="AF90"/>
      <x:c r="AG90"/>
      <x:c r="AH90"/>
      <x:c r="AI90" t="str">
        <x:v>CCoE Core Services (Public)</x:v>
      </x:c>
      <x:c r="AJ90"/>
      <x:c r="AK90"/>
      <x:c r="AL90" t="str">
        <x:v>fe80e76e-a9eb-4430-8940-992f48d3788e</x:v>
      </x:c>
      <x:c r="AM90" s="23" t="str">
        <x:f>IF(E90="processing",IF(Z90="","",IF(ISNUMBER(Z90),INT(Z90),DATE(VALUE(LEFT(Z90,4)),VALUE(MID(Z90,6,2)),VALUE(MID(Z90,9,2))))),IF(OR(E90="executing",E90="pending"),IF(AD90="","",IF(ISNUMBER(AD90),INT(AD90),DATE(VALUE(LEFT(AD90,4)),VALUE(MID(AD90,6,2)),VALUE(MID(AD90,9,2))))),""))</x:f>
      </x:c>
      <x:c r="AN90" s="24" t="str">
        <x:f>IF(AM90="","",INT('Configuration'!$B$4)-AM90)</x:f>
      </x:c>
      <x:c r="AO90" s="25" t="str">
        <x:f>IF(AM90="","Missing Required Date",IF(AN90&lt;0,"Future Date",IF(AN90=0,"0 days",IF(AN90&lt;=2,"1-2 days",IF(AN90&lt;=7,"3-7 days",IF(AN90&lt;=14,"8-14 days",IF(AN90&lt;=30,"15-30 days",IF(AN90&lt;=60,"31-60 days",IF(AN90&lt;=70,"61-70 days","71+ days")))))))))</x:f>
        <x:v>Missing Required Date</x:v>
      </x:c>
      <x:c r="AP90" s="25" t="str">
        <x:f>IF(OR(E90="processing",E90="executing",E90="pending"),IF(AM90="","Required aging date missing",IF(AN90&gt;30,"Escalate &gt;30d",IF(AN90&gt;14,"Watch &gt;14d","Within 14d"))),"Out of scope")</x:f>
        <x:v>Out of scope</x:v>
      </x:c>
    </x:row>
    <x:row r="91" ht="24" customHeight="1">
      <x:c r="A91" t="str">
        <x:v>cc9cf246-3e93-466f-953c-a2886069963a</x:v>
      </x:c>
      <x:c r="B91" t="str">
        <x:v>CSSP10683664</x:v>
      </x:c>
      <x:c r="C91" t="str">
        <x:v>rusnani.mamat@petronas.com</x:v>
      </x:c>
      <x:c r="D91" t="str">
        <x:v>provision-cloud-public</x:v>
      </x:c>
      <x:c r="E91" t="str">
        <x:v>rejected</x:v>
      </x:c>
      <x:c r="F91" t="n">
        <x:v>46090.31258621528</x:v>
      </x:c>
      <x:c r="G91" t="n">
        <x:v>46090.31258621528</x:v>
      </x:c>
      <x:c r="H91" t="n">
        <x:v>46091.28956038194</x:v>
      </x:c>
      <x:c r="I91" t="str">
        <x:v>A-000031</x:v>
      </x:c>
      <x:c r="J91" t="str">
        <x:v>Augmented Gas Nomination Ecosystem - AGNES</x:v>
      </x:c>
      <x:c r="K91" t="n">
        <x:v>209</x:v>
      </x:c>
      <x:c r="L91" t="str">
        <x:v>Establishment of Augmented Gas Nomination EcoSystem (AGNES) DevSecOps for Malaysia Petroleum Management (MPM)</x:v>
      </x:c>
      <x:c r="M91" t="str">
        <x:v>faradina.mohamed@petronas.com.my</x:v>
      </x:c>
      <x:c r="N91" t="str">
        <x:v>Establishment of AGNES DevSecOps for MPM</x:v>
      </x:c>
      <x:c r="O91" t="str">
        <x:v>New</x:v>
      </x:c>
      <x:c r="P91" t="str">
        <x:v>Development</x:v>
      </x:c>
      <x:c r="Q91" t="str">
        <x:v>AGNES is an existing system application. This request is for new provisioning for AGNES Run&amp;Maintain.
</x:v>
      </x:c>
      <x:c r="R91"/>
      <x:c r="S91"/>
      <x:c r="T91"/>
      <x:c r="U91" t="str">
        <x:v>approved to provision</x:v>
      </x:c>
      <x:c r="V91" t="n">
        <x:v>46090.33718398148</x:v>
      </x:c>
      <x:c r="W91" t="str">
        <x:v>faradina.mohamed@petronas.com</x:v>
      </x:c>
      <x:c r="X91" t="str">
        <x:v>approved</x:v>
      </x:c>
      <x:c r="Y91" t="str">
        <x:v>Kindly provide the estimated cost in Excel format (including the required SKU specifications), downloaded from the Azure/AWS calculator website.</x:v>
      </x:c>
      <x:c r="Z91" t="n">
        <x:v>46091.289560405094</x:v>
      </x:c>
      <x:c r="AA91" t="str">
        <x:v>samsuddin.jumbri@petronas.com</x:v>
      </x:c>
      <x:c r="AB91" t="str">
        <x:v>rejected</x:v>
      </x:c>
      <x:c r="AC91"/>
      <x:c r="AD91"/>
      <x:c r="AE91" t="str">
        <x:v>CCoE Business</x:v>
      </x:c>
      <x:c r="AF91"/>
      <x:c r="AG91"/>
      <x:c r="AH91"/>
      <x:c r="AI91" t="str">
        <x:v>CCoE Core Services (Public)</x:v>
      </x:c>
      <x:c r="AJ91"/>
      <x:c r="AK91"/>
      <x:c r="AL91" t="str">
        <x:v>a3f54c5f-6942-4740-96ec-b35604ec2ace</x:v>
      </x:c>
      <x:c r="AM91" s="23" t="str">
        <x:f>IF(E91="processing",IF(Z91="","",IF(ISNUMBER(Z91),INT(Z91),DATE(VALUE(LEFT(Z91,4)),VALUE(MID(Z91,6,2)),VALUE(MID(Z91,9,2))))),IF(OR(E91="executing",E91="pending"),IF(AD91="","",IF(ISNUMBER(AD91),INT(AD91),DATE(VALUE(LEFT(AD91,4)),VALUE(MID(AD91,6,2)),VALUE(MID(AD91,9,2))))),""))</x:f>
      </x:c>
      <x:c r="AN91" s="24" t="str">
        <x:f>IF(AM91="","",INT('Configuration'!$B$4)-AM91)</x:f>
      </x:c>
      <x:c r="AO91" s="25" t="str">
        <x:f>IF(AM91="","Missing Required Date",IF(AN91&lt;0,"Future Date",IF(AN91=0,"0 days",IF(AN91&lt;=2,"1-2 days",IF(AN91&lt;=7,"3-7 days",IF(AN91&lt;=14,"8-14 days",IF(AN91&lt;=30,"15-30 days",IF(AN91&lt;=60,"31-60 days",IF(AN91&lt;=70,"61-70 days","71+ days")))))))))</x:f>
        <x:v>Missing Required Date</x:v>
      </x:c>
      <x:c r="AP91" s="25" t="str">
        <x:f>IF(OR(E91="processing",E91="executing",E91="pending"),IF(AM91="","Required aging date missing",IF(AN91&gt;30,"Escalate &gt;30d",IF(AN91&gt;14,"Watch &gt;14d","Within 14d"))),"Out of scope")</x:f>
        <x:v>Out of scope</x:v>
      </x:c>
    </x:row>
    <x:row r="92" ht="24" customHeight="1">
      <x:c r="A92" t="str">
        <x:v>0fbb821f-d649-401a-bd3e-295f0eab46bc</x:v>
      </x:c>
      <x:c r="B92" t="str">
        <x:v>CSSP10958937</x:v>
      </x:c>
      <x:c r="C92" t="str">
        <x:v>ahmadaizuddin.badry@petronas.com</x:v>
      </x:c>
      <x:c r="D92" t="str">
        <x:v>provision-cloud-public</x:v>
      </x:c>
      <x:c r="E92" t="str">
        <x:v>completed</x:v>
      </x:c>
      <x:c r="F92" t="n">
        <x:v>46090.330007094904</x:v>
      </x:c>
      <x:c r="G92" t="n">
        <x:v>46090.330007094904</x:v>
      </x:c>
      <x:c r="H92" t="n">
        <x:v>46135.33716791667</x:v>
      </x:c>
      <x:c r="I92" t="str">
        <x:v>A-000490</x:v>
      </x:c>
      <x:c r="J92" t="str">
        <x:v>MyProcure</x:v>
      </x:c>
      <x:c r="K92" t="n">
        <x:v>4343</x:v>
      </x:c>
      <x:c r="L92" t="str">
        <x:v>Procurement Innovation Through Automation And Procurement Marketplace</x:v>
      </x:c>
      <x:c r="M92" t="str">
        <x:v>amirshazlan.mshah@petronas.com.my</x:v>
      </x:c>
      <x:c r="N92" t="str">
        <x:v>myProcure DevOps - Support</x:v>
      </x:c>
      <x:c r="O92" t="str">
        <x:v>New</x:v>
      </x:c>
      <x:c r="P92" t="str">
        <x:v>Development</x:v>
      </x:c>
      <x:c r="Q92" t="str">
        <x:v>Resources group : PTAZSG-IAC-DEV-GPDATA-RG
Security Group : GP_POC_SG</x:v>
      </x:c>
      <x:c r="R92" t="str">
        <x:v>L</x:v>
      </x:c>
      <x:c r="S92"/>
      <x:c r="T92"/>
      <x:c r="U92" t="str">
        <x:v>approved</x:v>
      </x:c>
      <x:c r="V92" t="n">
        <x:v>46090.34498179398</x:v>
      </x:c>
      <x:c r="W92" t="str">
        <x:v>amirshazlan.mshah@petronas.com</x:v>
      </x:c>
      <x:c r="X92" t="str">
        <x:v>approved</x:v>
      </x:c>
      <x:c r="Y92" t="str">
        <x:v>Good to go</x:v>
      </x:c>
      <x:c r="Z92" t="n">
        <x:v>46091.291307708336</x:v>
      </x:c>
      <x:c r="AA92" t="str">
        <x:v>samsuddin.jumbri@petronas.com</x:v>
      </x:c>
      <x:c r="AB92" t="str">
        <x:v>approved</x:v>
      </x:c>
      <x:c r="AC92" t="str">
        <x:v>.</x:v>
      </x:c>
      <x:c r="AD92" t="n">
        <x:v>46094.33116689815</x:v>
      </x:c>
      <x:c r="AE92" t="str">
        <x:v>syazali.saad@petronas.com</x:v>
      </x:c>
      <x:c r="AF92" t="str">
        <x:v>approved</x:v>
      </x:c>
      <x:c r="AG92" t="str">
        <x:v>to close request first while waiting for another resource to completed</x:v>
      </x:c>
      <x:c r="AH92" t="n">
        <x:v>46135.33716792824</x:v>
      </x:c>
      <x:c r="AI92" t="str">
        <x:v>akhmal.roslan@petronas.com</x:v>
      </x:c>
      <x:c r="AJ92" t="str">
        <x:v>approved</x:v>
      </x:c>
      <x:c r="AK92" t="str">
        <x:v>REQ000007933192</x:v>
      </x:c>
      <x:c r="AL92" t="str">
        <x:v>b5606a96-441e-48fe-ab6e-881a6eb72c27</x:v>
      </x:c>
      <x:c r="AM92" s="23" t="str">
        <x:f>IF(E92="processing",IF(Z92="","",IF(ISNUMBER(Z92),INT(Z92),DATE(VALUE(LEFT(Z92,4)),VALUE(MID(Z92,6,2)),VALUE(MID(Z92,9,2))))),IF(OR(E92="executing",E92="pending"),IF(AD92="","",IF(ISNUMBER(AD92),INT(AD92),DATE(VALUE(LEFT(AD92,4)),VALUE(MID(AD92,6,2)),VALUE(MID(AD92,9,2))))),""))</x:f>
      </x:c>
      <x:c r="AN92" s="24" t="str">
        <x:f>IF(AM92="","",INT('Configuration'!$B$4)-AM92)</x:f>
      </x:c>
      <x:c r="AO92" s="25" t="str">
        <x:f>IF(AM92="","Missing Required Date",IF(AN92&lt;0,"Future Date",IF(AN92=0,"0 days",IF(AN92&lt;=2,"1-2 days",IF(AN92&lt;=7,"3-7 days",IF(AN92&lt;=14,"8-14 days",IF(AN92&lt;=30,"15-30 days",IF(AN92&lt;=60,"31-60 days",IF(AN92&lt;=70,"61-70 days","71+ days")))))))))</x:f>
        <x:v>Missing Required Date</x:v>
      </x:c>
      <x:c r="AP92" s="25" t="str">
        <x:f>IF(OR(E92="processing",E92="executing",E92="pending"),IF(AM92="","Required aging date missing",IF(AN92&gt;30,"Escalate &gt;30d",IF(AN92&gt;14,"Watch &gt;14d","Within 14d"))),"Out of scope")</x:f>
        <x:v>Out of scope</x:v>
      </x:c>
    </x:row>
    <x:row r="93" ht="24" customHeight="1">
      <x:c r="A93" t="str">
        <x:v>de291346-4740-49d5-bbbb-9700eee39b66</x:v>
      </x:c>
      <x:c r="B93" t="str">
        <x:v>CSSP10354764</x:v>
      </x:c>
      <x:c r="C93" t="str">
        <x:v>rusnani.mamat@petronas.com</x:v>
      </x:c>
      <x:c r="D93" t="str">
        <x:v>provision-cloud-public</x:v>
      </x:c>
      <x:c r="E93" t="str">
        <x:v>completed</x:v>
      </x:c>
      <x:c r="F93" t="n">
        <x:v>46091.11752489583</x:v>
      </x:c>
      <x:c r="G93" t="n">
        <x:v>46093.210536053244</x:v>
      </x:c>
      <x:c r="H93" t="n">
        <x:v>46121.26929103009</x:v>
      </x:c>
      <x:c r="I93" t="str">
        <x:v>A-000031</x:v>
      </x:c>
      <x:c r="J93" t="str">
        <x:v>Augmented Gas Nomination Ecosystem - AGNES</x:v>
      </x:c>
      <x:c r="K93" t="n">
        <x:v>209</x:v>
      </x:c>
      <x:c r="L93" t="str">
        <x:v>Establishment of Augmented Gas Nomination EcoSystem (AGNES) DevSecOps for Malaysia Petroleum Management (MPM)</x:v>
      </x:c>
      <x:c r="M93" t="str">
        <x:v>faradina.mohamed@petronas.com.my</x:v>
      </x:c>
      <x:c r="N93" t="str">
        <x:v>Establishment of AGNES DevSecOps for MPM</x:v>
      </x:c>
      <x:c r="O93" t="str">
        <x:v>New</x:v>
      </x:c>
      <x:c r="P93" t="str">
        <x:v>StagingUat</x:v>
      </x:c>
      <x:c r="Q93" t="str">
        <x:v>Request for new server for existing application</x:v>
      </x:c>
      <x:c r="R93" t="str">
        <x:v>M</x:v>
      </x:c>
      <x:c r="S93"/>
      <x:c r="T93"/>
      <x:c r="U93" t="str">
        <x:v>Request for StagingUat DB environment for AGNES</x:v>
      </x:c>
      <x:c r="V93" t="n">
        <x:v>46093.218172719906</x:v>
      </x:c>
      <x:c r="W93" t="str">
        <x:v>faradina.mohamed@petronas.com</x:v>
      </x:c>
      <x:c r="X93" t="str">
        <x:v>approved</x:v>
      </x:c>
      <x:c r="Y93" t="str">
        <x:v>Good to go</x:v>
      </x:c>
      <x:c r="Z93" t="n">
        <x:v>46112.076636261576</x:v>
      </x:c>
      <x:c r="AA93" t="str">
        <x:v>samsuddin.jumbri@petronas.com</x:v>
      </x:c>
      <x:c r="AB93" t="str">
        <x:v>approved</x:v>
      </x:c>
      <x:c r="AC93" t="str">
        <x:v>database</x:v>
      </x:c>
      <x:c r="AD93" t="n">
        <x:v>46113.110919212966</x:v>
      </x:c>
      <x:c r="AE93" t="str">
        <x:v>syazali.saad@petronas.com</x:v>
      </x:c>
      <x:c r="AF93" t="str">
        <x:v>approved</x:v>
      </x:c>
      <x:c r="AG93" t="str">
        <x:v>resource provisioned</x:v>
      </x:c>
      <x:c r="AH93" t="n">
        <x:v>46121.26929105324</x:v>
      </x:c>
      <x:c r="AI93" t="str">
        <x:v>mhafizi.madnan@petronas.com</x:v>
      </x:c>
      <x:c r="AJ93" t="str">
        <x:v>approved</x:v>
      </x:c>
      <x:c r="AK93" t="str">
        <x:v>REQ000007960183</x:v>
      </x:c>
      <x:c r="AL93" t="str">
        <x:v>a3f54c5f-6942-4740-96ec-b35604ec2ace</x:v>
      </x:c>
      <x:c r="AM93" s="23" t="str">
        <x:f>IF(E93="processing",IF(Z93="","",IF(ISNUMBER(Z93),INT(Z93),DATE(VALUE(LEFT(Z93,4)),VALUE(MID(Z93,6,2)),VALUE(MID(Z93,9,2))))),IF(OR(E93="executing",E93="pending"),IF(AD93="","",IF(ISNUMBER(AD93),INT(AD93),DATE(VALUE(LEFT(AD93,4)),VALUE(MID(AD93,6,2)),VALUE(MID(AD93,9,2))))),""))</x:f>
      </x:c>
      <x:c r="AN93" s="24" t="str">
        <x:f>IF(AM93="","",INT('Configuration'!$B$4)-AM93)</x:f>
      </x:c>
      <x:c r="AO93" s="25" t="str">
        <x:f>IF(AM93="","Missing Required Date",IF(AN93&lt;0,"Future Date",IF(AN93=0,"0 days",IF(AN93&lt;=2,"1-2 days",IF(AN93&lt;=7,"3-7 days",IF(AN93&lt;=14,"8-14 days",IF(AN93&lt;=30,"15-30 days",IF(AN93&lt;=60,"31-60 days",IF(AN93&lt;=70,"61-70 days","71+ days")))))))))</x:f>
        <x:v>Missing Required Date</x:v>
      </x:c>
      <x:c r="AP93" s="25" t="str">
        <x:f>IF(OR(E93="processing",E93="executing",E93="pending"),IF(AM93="","Required aging date missing",IF(AN93&gt;30,"Escalate &gt;30d",IF(AN93&gt;14,"Watch &gt;14d","Within 14d"))),"Out of scope")</x:f>
        <x:v>Out of scope</x:v>
      </x:c>
    </x:row>
    <x:row r="94" ht="24" customHeight="1">
      <x:c r="A94" t="str">
        <x:v>fe4c57d6-dd6d-4392-8b5b-c2f3c85bb18d</x:v>
      </x:c>
      <x:c r="B94" t="str">
        <x:v>CSSP10205245</x:v>
      </x:c>
      <x:c r="C94" t="str">
        <x:v>ahmadaimanhakim.nora@petronas.com</x:v>
      </x:c>
      <x:c r="D94" t="str">
        <x:v>provision-cloud-public</x:v>
      </x:c>
      <x:c r="E94" t="str">
        <x:v>completed</x:v>
      </x:c>
      <x:c r="F94" t="n">
        <x:v>46091.181582453704</x:v>
      </x:c>
      <x:c r="G94" t="n">
        <x:v>46091.181582453704</x:v>
      </x:c>
      <x:c r="H94" t="n">
        <x:v>46094.59188033565</x:v>
      </x:c>
      <x:c r="I94" t="str">
        <x:v>A-000361</x:v>
      </x:c>
      <x:c r="J94" t="str">
        <x:v>Integrated Asset Modelling - IAM</x:v>
      </x:c>
      <x:c r="K94" t="n">
        <x:v>859</x:v>
      </x:c>
      <x:c r="L94" t="str">
        <x:v>Implementation of development, testing and production server for Integrated Asset Modelling (IAM) for COE, PCSB</x:v>
      </x:c>
      <x:c r="M94" t="str">
        <x:v>nurshida.czakaria@petronas.com.my</x:v>
      </x:c>
      <x:c r="N94" t="str">
        <x:v>Project IAM</x:v>
      </x:c>
      <x:c r="O94" t="str">
        <x:v>Modify</x:v>
      </x:c>
      <x:c r="P94" t="str">
        <x:v>Production</x:v>
      </x:c>
      <x:c r="Q94" t="str">
        <x:v>Refer previous approved CSSP10479891, re-raised to update sku and estimate. To upgrade these servers resources PTSG-1IVMDMAP01 &amp; PTSG-1IVMDMAP02. Current -  Standard E8ds v4. Upgrade to - E16s v3.</x:v>
      </x:c>
      <x:c r="R94" t="str">
        <x:v>M</x:v>
      </x:c>
      <x:c r="S94" t="str">
        <x:v>ICT_RFC00220099</x:v>
      </x:c>
      <x:c r="T94"/>
      <x:c r="U94" t="str">
        <x:v>Approved for the upgrade.</x:v>
      </x:c>
      <x:c r="V94" t="n">
        <x:v>46091.256324560185</x:v>
      </x:c>
      <x:c r="W94" t="str">
        <x:v>nurshida.czakaria@petronas.com</x:v>
      </x:c>
      <x:c r="X94" t="str">
        <x:v>approved</x:v>
      </x:c>
      <x:c r="Y94" t="str">
        <x:v>Good to go</x:v>
      </x:c>
      <x:c r="Z94" t="n">
        <x:v>46091.293950879626</x:v>
      </x:c>
      <x:c r="AA94" t="str">
        <x:v>samsuddin.jumbri@petronas.com</x:v>
      </x:c>
      <x:c r="AB94" t="str">
        <x:v>approved</x:v>
      </x:c>
      <x:c r="AC94" t="str">
        <x:v>RFC, OLZ, 13 March 2026</x:v>
      </x:c>
      <x:c r="AD94" t="n">
        <x:v>46091.34012508102</x:v>
      </x:c>
      <x:c r="AE94" t="str">
        <x:v>syazali.saad@petronas.com</x:v>
      </x:c>
      <x:c r="AF94" t="str">
        <x:v>approved</x:v>
      </x:c>
      <x:c r="AG94" t="str">
        <x:v>Completed</x:v>
      </x:c>
      <x:c r="AH94" t="n">
        <x:v>46094.59188034722</x:v>
      </x:c>
      <x:c r="AI94" t="str">
        <x:v>badri.shaharudin@petronas.com</x:v>
      </x:c>
      <x:c r="AJ94" t="str">
        <x:v>approved</x:v>
      </x:c>
      <x:c r="AK94" t="str">
        <x:v>REQ000007925112</x:v>
      </x:c>
      <x:c r="AL94" t="str">
        <x:v>fe80e76e-a9eb-4430-8940-992f48d3788e</x:v>
      </x:c>
      <x:c r="AM94" s="23" t="str">
        <x:f>IF(E94="processing",IF(Z94="","",IF(ISNUMBER(Z94),INT(Z94),DATE(VALUE(LEFT(Z94,4)),VALUE(MID(Z94,6,2)),VALUE(MID(Z94,9,2))))),IF(OR(E94="executing",E94="pending"),IF(AD94="","",IF(ISNUMBER(AD94),INT(AD94),DATE(VALUE(LEFT(AD94,4)),VALUE(MID(AD94,6,2)),VALUE(MID(AD94,9,2))))),""))</x:f>
      </x:c>
      <x:c r="AN94" s="24" t="str">
        <x:f>IF(AM94="","",INT('Configuration'!$B$4)-AM94)</x:f>
      </x:c>
      <x:c r="AO94" s="25" t="str">
        <x:f>IF(AM94="","Missing Required Date",IF(AN94&lt;0,"Future Date",IF(AN94=0,"0 days",IF(AN94&lt;=2,"1-2 days",IF(AN94&lt;=7,"3-7 days",IF(AN94&lt;=14,"8-14 days",IF(AN94&lt;=30,"15-30 days",IF(AN94&lt;=60,"31-60 days",IF(AN94&lt;=70,"61-70 days","71+ days")))))))))</x:f>
        <x:v>Missing Required Date</x:v>
      </x:c>
      <x:c r="AP94" s="25" t="str">
        <x:f>IF(OR(E94="processing",E94="executing",E94="pending"),IF(AM94="","Required aging date missing",IF(AN94&gt;30,"Escalate &gt;30d",IF(AN94&gt;14,"Watch &gt;14d","Within 14d"))),"Out of scope")</x:f>
        <x:v>Out of scope</x:v>
      </x:c>
    </x:row>
    <x:row r="95" ht="24" customHeight="1">
      <x:c r="A95" t="str">
        <x:v>f27582cc-2e87-4f13-b755-daf66667a8e4</x:v>
      </x:c>
      <x:c r="B95" t="str">
        <x:v>CSSP10900651</x:v>
      </x:c>
      <x:c r="C95" t="str">
        <x:v>nurulemira.jalaluddi@petronas.com</x:v>
      </x:c>
      <x:c r="D95" t="str">
        <x:v>provision-cloud-public</x:v>
      </x:c>
      <x:c r="E95" t="str">
        <x:v>completed</x:v>
      </x:c>
      <x:c r="F95" t="n">
        <x:v>46091.35896886574</x:v>
      </x:c>
      <x:c r="G95" t="n">
        <x:v>46091.37932467592</x:v>
      </x:c>
      <x:c r="H95" t="n">
        <x:v>46132.1585028125</x:v>
      </x:c>
      <x:c r="I95" t="str">
        <x:v>A-000361</x:v>
      </x:c>
      <x:c r="J95" t="str">
        <x:v>Integrated Asset Modelling - IAM</x:v>
      </x:c>
      <x:c r="K95" t="str">
        <x:v>00859_1</x:v>
      </x:c>
      <x:c r="L95" t="str">
        <x:v>Upstream Model Management</x:v>
      </x:c>
      <x:c r="M95" t="str">
        <x:v>nurshida.czakaria@petronas.com.my</x:v>
      </x:c>
      <x:c r="N95" t="str">
        <x:v>Project IAM</x:v>
      </x:c>
      <x:c r="O95" t="str">
        <x:v>Modify</x:v>
      </x:c>
      <x:c r="P95" t="str">
        <x:v>Production</x:v>
      </x:c>
      <x:c r="Q95" t="str">
        <x:v>To upgrade the server resource PTSG-1IVMDMAP03. Current - Standard E8ds v4. Upgrade to - E16s v3.</x:v>
      </x:c>
      <x:c r="R95" t="str">
        <x:v>M</x:v>
      </x:c>
      <x:c r="S95" t="str">
        <x:v>ICT_RFC00220099</x:v>
      </x:c>
      <x:c r="T95"/>
      <x:c r="U95" t="str">
        <x:v>Approved as part of operational requirement to Upgrade the server resource.</x:v>
      </x:c>
      <x:c r="V95" t="n">
        <x:v>46119.164511041665</x:v>
      </x:c>
      <x:c r="W95" t="str">
        <x:v>nurshida.czakaria@petronas.com</x:v>
      </x:c>
      <x:c r="X95" t="str">
        <x:v>approved</x:v>
      </x:c>
      <x:c r="Y95" t="str">
        <x:v>Good to go</x:v>
      </x:c>
      <x:c r="Z95" t="n">
        <x:v>46122.288105162035</x:v>
      </x:c>
      <x:c r="AA95" t="str">
        <x:v>samsuddin.jumbri@petronas.com</x:v>
      </x:c>
      <x:c r="AB95" t="str">
        <x:v>approved</x:v>
      </x:c>
      <x:c r="AC95" t="str">
        <x:v>olz</x:v>
      </x:c>
      <x:c r="AD95" t="n">
        <x:v>46125.075407951386</x:v>
      </x:c>
      <x:c r="AE95" t="str">
        <x:v>syazali.saad@petronas.com</x:v>
      </x:c>
      <x:c r="AF95" t="str">
        <x:v>approved</x:v>
      </x:c>
      <x:c r="AG95" t="str">
        <x:v>Pending RFC, will proceed once approve</x:v>
      </x:c>
      <x:c r="AH95" t="n">
        <x:v>46132.1585028125</x:v>
      </x:c>
      <x:c r="AI95" t="str">
        <x:v>badri.shaharudin@petronas.com</x:v>
      </x:c>
      <x:c r="AJ95" t="str">
        <x:v>approved</x:v>
      </x:c>
      <x:c r="AK95" t="str">
        <x:v>REQ000007984507</x:v>
      </x:c>
      <x:c r="AL95" t="str">
        <x:v>963ea52f-6351-4b1a-96d8-a8442114967a</x:v>
      </x:c>
      <x:c r="AM95" s="23" t="str">
        <x:f>IF(E95="processing",IF(Z95="","",IF(ISNUMBER(Z95),INT(Z95),DATE(VALUE(LEFT(Z95,4)),VALUE(MID(Z95,6,2)),VALUE(MID(Z95,9,2))))),IF(OR(E95="executing",E95="pending"),IF(AD95="","",IF(ISNUMBER(AD95),INT(AD95),DATE(VALUE(LEFT(AD95,4)),VALUE(MID(AD95,6,2)),VALUE(MID(AD95,9,2))))),""))</x:f>
      </x:c>
      <x:c r="AN95" s="24" t="str">
        <x:f>IF(AM95="","",INT('Configuration'!$B$4)-AM95)</x:f>
      </x:c>
      <x:c r="AO95" s="25" t="str">
        <x:f>IF(AM95="","Missing Required Date",IF(AN95&lt;0,"Future Date",IF(AN95=0,"0 days",IF(AN95&lt;=2,"1-2 days",IF(AN95&lt;=7,"3-7 days",IF(AN95&lt;=14,"8-14 days",IF(AN95&lt;=30,"15-30 days",IF(AN95&lt;=60,"31-60 days",IF(AN95&lt;=70,"61-70 days","71+ days")))))))))</x:f>
        <x:v>Missing Required Date</x:v>
      </x:c>
      <x:c r="AP95" s="25" t="str">
        <x:f>IF(OR(E95="processing",E95="executing",E95="pending"),IF(AM95="","Required aging date missing",IF(AN95&gt;30,"Escalate &gt;30d",IF(AN95&gt;14,"Watch &gt;14d","Within 14d"))),"Out of scope")</x:f>
        <x:v>Out of scope</x:v>
      </x:c>
    </x:row>
    <x:row r="96" ht="24" customHeight="1">
      <x:c r="A96" t="str">
        <x:v>cff5a88b-5a77-4daa-acd1-7d599baa23e8</x:v>
      </x:c>
      <x:c r="B96" t="str">
        <x:v>CSSP10573691</x:v>
      </x:c>
      <x:c r="C96" t="str">
        <x:v>mengsiang.ta@petronas.com</x:v>
      </x:c>
      <x:c r="D96" t="str">
        <x:v>provision-cloud-public</x:v>
      </x:c>
      <x:c r="E96" t="str">
        <x:v>completed</x:v>
      </x:c>
      <x:c r="F96" t="n">
        <x:v>46092.10369614583</x:v>
      </x:c>
      <x:c r="G96" t="n">
        <x:v>46092.10369614583</x:v>
      </x:c>
      <x:c r="H96" t="n">
        <x:v>46105.024373622684</x:v>
      </x:c>
      <x:c r="I96" t="str">
        <x:v>A-001273</x:v>
      </x:c>
      <x:c r="J96" t="str">
        <x:v>Meeting Experience System - MEET</x:v>
      </x:c>
      <x:c r="K96" t="n">
        <x:v>4682</x:v>
      </x:c>
      <x:c r="L96" t="str">
        <x:v>Meeting Experience System (MEET) Enhancement</x:v>
      </x:c>
      <x:c r="M96" t="str">
        <x:v>bryan.dewitt@petronas.com.my</x:v>
      </x:c>
      <x:c r="N96" t="str">
        <x:v>Petronas Visitor Management System</x:v>
      </x:c>
      <x:c r="O96" t="str">
        <x:v>New</x:v>
      </x:c>
      <x:c r="P96" t="str">
        <x:v>Production</x:v>
      </x:c>
      <x:c r="Q96" t="str">
        <x:v>to provision new Azure Front Door for REAL Applications to connect to the Private Azure Storage</x:v>
      </x:c>
      <x:c r="R96" t="str">
        <x:v>S</x:v>
      </x:c>
      <x:c r="S96"/>
      <x:c r="T96"/>
      <x:c r="U96" t="str">
        <x:v>ok</x:v>
      </x:c>
      <x:c r="V96" t="n">
        <x:v>46092.11291575232</x:v>
      </x:c>
      <x:c r="W96" t="str">
        <x:v>bryan.dewitt@petronas.com</x:v>
      </x:c>
      <x:c r="X96" t="str">
        <x:v>approved</x:v>
      </x:c>
      <x:c r="Y96" t="str">
        <x:v>Good to go</x:v>
      </x:c>
      <x:c r="Z96" t="n">
        <x:v>46098.082760729165</x:v>
      </x:c>
      <x:c r="AA96" t="str">
        <x:v>samsuddin.jumbri@petronas.com</x:v>
      </x:c>
      <x:c r="AB96" t="str">
        <x:v>approved</x:v>
      </x:c>
      <x:c r="AC96" t="str">
        <x:v>small.</x:v>
      </x:c>
      <x:c r="AD96" t="n">
        <x:v>46099.165236875</x:v>
      </x:c>
      <x:c r="AE96" t="str">
        <x:v>syazali.saad@petronas.com</x:v>
      </x:c>
      <x:c r="AF96" t="str">
        <x:v>approved</x:v>
      </x:c>
      <x:c r="AG96" t="str">
        <x:v>Completed.</x:v>
      </x:c>
      <x:c r="AH96" t="n">
        <x:v>46105.02437363426</x:v>
      </x:c>
      <x:c r="AI96" t="str">
        <x:v>afnanfarhan.dzaharud@petronas.com</x:v>
      </x:c>
      <x:c r="AJ96" t="str">
        <x:v>approved</x:v>
      </x:c>
      <x:c r="AK96" t="str">
        <x:v>REQ000007943240</x:v>
      </x:c>
      <x:c r="AL96" t="str">
        <x:v>c2d31433-d14e-4d91-90d2-b63326245a43</x:v>
      </x:c>
      <x:c r="AM96" s="23" t="str">
        <x:f>IF(E96="processing",IF(Z96="","",IF(ISNUMBER(Z96),INT(Z96),DATE(VALUE(LEFT(Z96,4)),VALUE(MID(Z96,6,2)),VALUE(MID(Z96,9,2))))),IF(OR(E96="executing",E96="pending"),IF(AD96="","",IF(ISNUMBER(AD96),INT(AD96),DATE(VALUE(LEFT(AD96,4)),VALUE(MID(AD96,6,2)),VALUE(MID(AD96,9,2))))),""))</x:f>
      </x:c>
      <x:c r="AN96" s="24" t="str">
        <x:f>IF(AM96="","",INT('Configuration'!$B$4)-AM96)</x:f>
      </x:c>
      <x:c r="AO96" s="25" t="str">
        <x:f>IF(AM96="","Missing Required Date",IF(AN96&lt;0,"Future Date",IF(AN96=0,"0 days",IF(AN96&lt;=2,"1-2 days",IF(AN96&lt;=7,"3-7 days",IF(AN96&lt;=14,"8-14 days",IF(AN96&lt;=30,"15-30 days",IF(AN96&lt;=60,"31-60 days",IF(AN96&lt;=70,"61-70 days","71+ days")))))))))</x:f>
        <x:v>Missing Required Date</x:v>
      </x:c>
      <x:c r="AP96" s="25" t="str">
        <x:f>IF(OR(E96="processing",E96="executing",E96="pending"),IF(AM96="","Required aging date missing",IF(AN96&gt;30,"Escalate &gt;30d",IF(AN96&gt;14,"Watch &gt;14d","Within 14d"))),"Out of scope")</x:f>
        <x:v>Out of scope</x:v>
      </x:c>
    </x:row>
    <x:row r="97" ht="24" customHeight="1">
      <x:c r="A97" t="str">
        <x:v>0af23e8c-a3c7-40e1-b02b-fc911499979f</x:v>
      </x:c>
      <x:c r="B97" t="str">
        <x:v>CSSP10418243</x:v>
      </x:c>
      <x:c r="C97" t="str">
        <x:v>keanseng.lim@petronas.com</x:v>
      </x:c>
      <x:c r="D97" t="str">
        <x:v>provision-cloud-public</x:v>
      </x:c>
      <x:c r="E97" t="str">
        <x:v>completed</x:v>
      </x:c>
      <x:c r="F97" t="n">
        <x:v>46092.15468086806</x:v>
      </x:c>
      <x:c r="G97" t="n">
        <x:v>46099.073301585646</x:v>
      </x:c>
      <x:c r="H97" t="n">
        <x:v>46119.168626921295</x:v>
      </x:c>
      <x:c r="I97" t="str">
        <x:v>A-000486</x:v>
      </x:c>
      <x:c r="J97" t="str">
        <x:v>MyMILLORA</x:v>
      </x:c>
      <x:c r="K97" t="n">
        <x:v>4464</x:v>
      </x:c>
      <x:c r="L97" t="str">
        <x:v>myMILLORA ‐ PD&amp;T One Stop Solution Offerings Platform (MVP 1) For Petroliam Nasional Berhad</x:v>
      </x:c>
      <x:c r="M97" t="str">
        <x:v>sarkunan.tigarajan@petronas.com</x:v>
      </x:c>
      <x:c r="N97" t="str">
        <x:v>MyMILLORA</x:v>
      </x:c>
      <x:c r="O97" t="str">
        <x:v>Modify</x:v>
      </x:c>
      <x:c r="P97" t="str">
        <x:v>Production</x:v>
      </x:c>
      <x:c r="Q97" t="str">
        <x:v> Request increase SQL Pool Size &amp; DB Size for myMILLORA Production DB to 1TB. Scale for upcoming bulk data migration requirement.</x:v>
      </x:c>
      <x:c r="R97" t="str">
        <x:v>M</x:v>
      </x:c>
      <x:c r="S97" t="str">
        <x:v>ICT_RFC00220719</x:v>
      </x:c>
      <x:c r="T97"/>
      <x:c r="U97" t="str">
        <x:v>Reviewed and approved</x:v>
      </x:c>
      <x:c r="V97" t="n">
        <x:v>46099.08539240741</x:v>
      </x:c>
      <x:c r="W97" t="str">
        <x:v>sarkunan.tigarajan@petronas.com</x:v>
      </x:c>
      <x:c r="X97" t="str">
        <x:v>approved</x:v>
      </x:c>
      <x:c r="Y97" t="str">
        <x:v>Good to go</x:v>
      </x:c>
      <x:c r="Z97" t="n">
        <x:v>46112.36661358796</x:v>
      </x:c>
      <x:c r="AA97" t="str">
        <x:v>samsuddin.jumbri@petronas.com</x:v>
      </x:c>
      <x:c r="AB97" t="str">
        <x:v>approved</x:v>
      </x:c>
      <x:c r="AC97" t="str">
        <x:v>upsize db</x:v>
      </x:c>
      <x:c r="AD97" t="n">
        <x:v>46114.31767320602</x:v>
      </x:c>
      <x:c r="AE97" t="str">
        <x:v>syazali.saad@petronas.com</x:v>
      </x:c>
      <x:c r="AF97" t="str">
        <x:v>approved</x:v>
      </x:c>
      <x:c r="AG97" t="str">
        <x:v>completed</x:v>
      </x:c>
      <x:c r="AH97" t="n">
        <x:v>46119.168626921295</x:v>
      </x:c>
      <x:c r="AI97" t="str">
        <x:v>akhmal.roslan@petronas.com</x:v>
      </x:c>
      <x:c r="AJ97" t="str">
        <x:v>approved</x:v>
      </x:c>
      <x:c r="AK97" t="str">
        <x:v>REQ000007965931</x:v>
      </x:c>
      <x:c r="AL97" t="str">
        <x:v>4e368d05-0609-4182-8d84-58829c78a96d</x:v>
      </x:c>
      <x:c r="AM97" s="23" t="str">
        <x:f>IF(E97="processing",IF(Z97="","",IF(ISNUMBER(Z97),INT(Z97),DATE(VALUE(LEFT(Z97,4)),VALUE(MID(Z97,6,2)),VALUE(MID(Z97,9,2))))),IF(OR(E97="executing",E97="pending"),IF(AD97="","",IF(ISNUMBER(AD97),INT(AD97),DATE(VALUE(LEFT(AD97,4)),VALUE(MID(AD97,6,2)),VALUE(MID(AD97,9,2))))),""))</x:f>
      </x:c>
      <x:c r="AN97" s="24" t="str">
        <x:f>IF(AM97="","",INT('Configuration'!$B$4)-AM97)</x:f>
      </x:c>
      <x:c r="AO97" s="25" t="str">
        <x:f>IF(AM97="","Missing Required Date",IF(AN97&lt;0,"Future Date",IF(AN97=0,"0 days",IF(AN97&lt;=2,"1-2 days",IF(AN97&lt;=7,"3-7 days",IF(AN97&lt;=14,"8-14 days",IF(AN97&lt;=30,"15-30 days",IF(AN97&lt;=60,"31-60 days",IF(AN97&lt;=70,"61-70 days","71+ days")))))))))</x:f>
        <x:v>Missing Required Date</x:v>
      </x:c>
      <x:c r="AP97" s="25" t="str">
        <x:f>IF(OR(E97="processing",E97="executing",E97="pending"),IF(AM97="","Required aging date missing",IF(AN97&gt;30,"Escalate &gt;30d",IF(AN97&gt;14,"Watch &gt;14d","Within 14d"))),"Out of scope")</x:f>
        <x:v>Out of scope</x:v>
      </x:c>
    </x:row>
    <x:row r="98" ht="24" customHeight="1">
      <x:c r="A98" t="str">
        <x:v>186d91fc-61b1-4c73-9bcd-916d468eb9d1</x:v>
      </x:c>
      <x:c r="B98" t="str">
        <x:v>CSSP10906743</x:v>
      </x:c>
      <x:c r="C98" t="str">
        <x:v>suliza.sumari@petronas.com</x:v>
      </x:c>
      <x:c r="D98" t="str">
        <x:v>provision-cloud-public</x:v>
      </x:c>
      <x:c r="E98" t="str">
        <x:v>completed</x:v>
      </x:c>
      <x:c r="F98" t="n">
        <x:v>46092.41585387731</x:v>
      </x:c>
      <x:c r="G98" t="n">
        <x:v>46092.41585387731</x:v>
      </x:c>
      <x:c r="H98" t="n">
        <x:v>46098.19408023148</x:v>
      </x:c>
      <x:c r="I98" t="str">
        <x:v>A-000491</x:v>
      </x:c>
      <x:c r="J98" t="str">
        <x:v>MyPROData</x:v>
      </x:c>
      <x:c r="K98" t="n">
        <x:v>4583</x:v>
      </x:c>
      <x:c r="L98" t="str">
        <x:v>Shared Support Services (SecOps) myPROdata FY2025 for Malaysia Petroleum Management (MPM)</x:v>
      </x:c>
      <x:c r="M98" t="str">
        <x:v>wadiah.rusli@petronas.com.my</x:v>
      </x:c>
      <x:c r="N98" t="str">
        <x:v>myPROdata</x:v>
      </x:c>
      <x:c r="O98" t="str">
        <x:v>New</x:v>
      </x:c>
      <x:c r="P98" t="str">
        <x:v>Production</x:v>
      </x:c>
      <x:c r="Q98" t="str">
        <x:v>This request is based on the incident ticket raise by CS - incident call, server: ip-10-85-156-179.petronas.petronet.dir (i-06c2c501f555159e1 (PTAWSG-1MBRWB01)).
At the moment, server: ip-10-85-156-179.petronas.petronet.dir (i-06c2c501f555159e1 (PTAWSG-1MBRWB01)) which hosting ebid.malaysiabidround.com will remain isolated. Vendor (Fishermen) will redeploy the application into new AWS EC2 instance.</x:v>
      </x:c>
      <x:c r="R98" t="str">
        <x:v>S</x:v>
      </x:c>
      <x:c r="S98"/>
      <x:c r="T98"/>
      <x:c r="U98" t="str">
        <x:v>This request is urgent as a remediation to address a cyber security incident happened on 10 March 2026. Please review and quickly assign to the PIC. We are targeting for the provision of the server before the Hari Raya Holiday, please. Thank you. </x:v>
      </x:c>
      <x:c r="V98" t="n">
        <x:v>46092.434311192126</x:v>
      </x:c>
      <x:c r="W98" t="str">
        <x:v>wadiah.rusli@petronas.com</x:v>
      </x:c>
      <x:c r="X98" t="str">
        <x:v>approved</x:v>
      </x:c>
      <x:c r="Y98" t="str">
        <x:v>Approved. Reprovsioning of EC2 to fix CS issue </x:v>
      </x:c>
      <x:c r="Z98" t="n">
        <x:v>46094.11639263889</x:v>
      </x:c>
      <x:c r="AA98" t="str">
        <x:v>kianleng.geh@petronas.com</x:v>
      </x:c>
      <x:c r="AB98" t="str">
        <x:v>approved</x:v>
      </x:c>
      <x:c r="AC98" t="str">
        <x:v>Provision 1 EC2 in Production AWS as requested.</x:v>
      </x:c>
      <x:c r="AD98" t="n">
        <x:v>46094.19116899306</x:v>
      </x:c>
      <x:c r="AE98" t="str">
        <x:v>azwan.badari@petronas.com</x:v>
      </x:c>
      <x:c r="AF98" t="str">
        <x:v>approved</x:v>
      </x:c>
      <x:c r="AG98" t="str">
        <x:v>The ec2 has provisioned as below:
Hostname : PTAWSG-1MBRWB02
IP Address : 10.85.156.74</x:v>
      </x:c>
      <x:c r="AH98" t="n">
        <x:v>46098.19408025463</x:v>
      </x:c>
      <x:c r="AI98" t="str">
        <x:v>muhdfirdaus.muhamad@petronas.com</x:v>
      </x:c>
      <x:c r="AJ98" t="str">
        <x:v>approved</x:v>
      </x:c>
      <x:c r="AK98" t="str">
        <x:v>REQ000007933139</x:v>
      </x:c>
      <x:c r="AL98" t="str">
        <x:v>ebc92a57-efcb-4ea1-91f3-f2e35a11c936</x:v>
      </x:c>
      <x:c r="AM98" s="23" t="str">
        <x:f>IF(E98="processing",IF(Z98="","",IF(ISNUMBER(Z98),INT(Z98),DATE(VALUE(LEFT(Z98,4)),VALUE(MID(Z98,6,2)),VALUE(MID(Z98,9,2))))),IF(OR(E98="executing",E98="pending"),IF(AD98="","",IF(ISNUMBER(AD98),INT(AD98),DATE(VALUE(LEFT(AD98,4)),VALUE(MID(AD98,6,2)),VALUE(MID(AD98,9,2))))),""))</x:f>
      </x:c>
      <x:c r="AN98" s="24" t="str">
        <x:f>IF(AM98="","",INT('Configuration'!$B$4)-AM98)</x:f>
      </x:c>
      <x:c r="AO98" s="25" t="str">
        <x:f>IF(AM98="","Missing Required Date",IF(AN98&lt;0,"Future Date",IF(AN98=0,"0 days",IF(AN98&lt;=2,"1-2 days",IF(AN98&lt;=7,"3-7 days",IF(AN98&lt;=14,"8-14 days",IF(AN98&lt;=30,"15-30 days",IF(AN98&lt;=60,"31-60 days",IF(AN98&lt;=70,"61-70 days","71+ days")))))))))</x:f>
        <x:v>Missing Required Date</x:v>
      </x:c>
      <x:c r="AP98" s="25" t="str">
        <x:f>IF(OR(E98="processing",E98="executing",E98="pending"),IF(AM98="","Required aging date missing",IF(AN98&gt;30,"Escalate &gt;30d",IF(AN98&gt;14,"Watch &gt;14d","Within 14d"))),"Out of scope")</x:f>
        <x:v>Out of scope</x:v>
      </x:c>
    </x:row>
    <x:row r="99" ht="24" customHeight="1">
      <x:c r="A99" t="str">
        <x:v>bc270a39-b0da-4dc4-b818-0ce70900a1bd</x:v>
      </x:c>
      <x:c r="B99" t="str">
        <x:v>CSSP10219795</x:v>
      </x:c>
      <x:c r="C99" t="str">
        <x:v>msyahir.mohamadzak@petronas.com</x:v>
      </x:c>
      <x:c r="D99" t="str">
        <x:v>provision-cloud-public</x:v>
      </x:c>
      <x:c r="E99" t="str">
        <x:v>completed</x:v>
      </x:c>
      <x:c r="F99" t="n">
        <x:v>46093.239640486114</x:v>
      </x:c>
      <x:c r="G99" t="n">
        <x:v>46097.10090011574</x:v>
      </x:c>
      <x:c r="H99" t="n">
        <x:v>46132.01783788195</x:v>
      </x:c>
      <x:c r="I99" t="str">
        <x:v>A-001329</x:v>
      </x:c>
      <x:c r="J99" t="str">
        <x:v>Azure Machine Learning - PCIHBV</x:v>
      </x:c>
      <x:c r="K99" t="str">
        <x:v>SR25052</x:v>
      </x:c>
      <x:c r="L99" t="str">
        <x:v>Support, Services &amp; Subscription of Azure Machine Learning for Pipeline Pigging Frequency Prediction at PCIHBV</x:v>
      </x:c>
      <x:c r="M99" t="str">
        <x:v>khairulnizam.bahari@petronas.com</x:v>
      </x:c>
      <x:c r="N99" t="str">
        <x:v>Citizen-Analytics</x:v>
      </x:c>
      <x:c r="O99" t="str">
        <x:v>New</x:v>
      </x:c>
      <x:c r="P99" t="str">
        <x:v>Production</x:v>
      </x:c>
      <x:c r="Q99" t="str">
        <x:v>Request to create Resource Group named "PTAZSG-IAC-DAA-PROD-UPSTREAM-PCIHBV-RG" in Production (PTAZSG-IAC-PROD-DAA ENVIRONMENT). Resources to be provisioned under this Resource Group: 
1. Azure Machine Learning Workspace named "PTAZSG-1CA-PIG-FREQ-PRED"
2. Compute cluster: 3 nodes</x:v>
      </x:c>
      <x:c r="R99" t="str">
        <x:v>M</x:v>
      </x:c>
      <x:c r="S99"/>
      <x:c r="T99"/>
      <x:c r="U99" t="str">
        <x:v>Move Citizen Analytics solution to Production environment via SR25052</x:v>
      </x:c>
      <x:c r="V99" t="n">
        <x:v>46097.147276145835</x:v>
      </x:c>
      <x:c r="W99" t="str">
        <x:v>khairulnizam.bahari@petronas.com</x:v>
      </x:c>
      <x:c r="X99" t="str">
        <x:v>approved</x:v>
      </x:c>
      <x:c r="Y99" t="str">
        <x:v>Good to go</x:v>
      </x:c>
      <x:c r="Z99" t="n">
        <x:v>46111.07811524306</x:v>
      </x:c>
      <x:c r="AA99" t="str">
        <x:v>samsuddin.jumbri@petronas.com</x:v>
      </x:c>
      <x:c r="AB99" t="str">
        <x:v>approved</x:v>
      </x:c>
      <x:c r="AC99" t="str">
        <x:v>DAA</x:v>
      </x:c>
      <x:c r="AD99" t="n">
        <x:v>46113.105562083336</x:v>
      </x:c>
      <x:c r="AE99" t="str">
        <x:v>syazali.saad@petronas.com</x:v>
      </x:c>
      <x:c r="AF99" t="str">
        <x:v>approved</x:v>
      </x:c>
      <x:c r="AG99" t="str">
        <x:v>Done. </x:v>
      </x:c>
      <x:c r="AH99" t="n">
        <x:v>46132.01783788195</x:v>
      </x:c>
      <x:c r="AI99" t="str">
        <x:v>azhan.shazeli@petronas.com</x:v>
      </x:c>
      <x:c r="AJ99" t="str">
        <x:v>approved</x:v>
      </x:c>
      <x:c r="AK99" t="str">
        <x:v>REQ000007960432</x:v>
      </x:c>
      <x:c r="AL99" t="str">
        <x:v>d00550b3-7e5b-4f4a-b353-b0c5441a4fc7</x:v>
      </x:c>
      <x:c r="AM99" s="23" t="str">
        <x:f>IF(E99="processing",IF(Z99="","",IF(ISNUMBER(Z99),INT(Z99),DATE(VALUE(LEFT(Z99,4)),VALUE(MID(Z99,6,2)),VALUE(MID(Z99,9,2))))),IF(OR(E99="executing",E99="pending"),IF(AD99="","",IF(ISNUMBER(AD99),INT(AD99),DATE(VALUE(LEFT(AD99,4)),VALUE(MID(AD99,6,2)),VALUE(MID(AD99,9,2))))),""))</x:f>
      </x:c>
      <x:c r="AN99" s="24" t="str">
        <x:f>IF(AM99="","",INT('Configuration'!$B$4)-AM99)</x:f>
      </x:c>
      <x:c r="AO99" s="25" t="str">
        <x:f>IF(AM99="","Missing Required Date",IF(AN99&lt;0,"Future Date",IF(AN99=0,"0 days",IF(AN99&lt;=2,"1-2 days",IF(AN99&lt;=7,"3-7 days",IF(AN99&lt;=14,"8-14 days",IF(AN99&lt;=30,"15-30 days",IF(AN99&lt;=60,"31-60 days",IF(AN99&lt;=70,"61-70 days","71+ days")))))))))</x:f>
        <x:v>Missing Required Date</x:v>
      </x:c>
      <x:c r="AP99" s="25" t="str">
        <x:f>IF(OR(E99="processing",E99="executing",E99="pending"),IF(AM99="","Required aging date missing",IF(AN99&gt;30,"Escalate &gt;30d",IF(AN99&gt;14,"Watch &gt;14d","Within 14d"))),"Out of scope")</x:f>
        <x:v>Out of scope</x:v>
      </x:c>
    </x:row>
    <x:row r="100" ht="24" customHeight="1">
      <x:c r="A100" t="str">
        <x:v>bb1dbd31-109d-4f86-a2f2-d6de4d90103b</x:v>
      </x:c>
      <x:c r="B100" t="str">
        <x:v>CSSP10488606</x:v>
      </x:c>
      <x:c r="C100" t="str">
        <x:v>rusnani.mamat@petronas.com</x:v>
      </x:c>
      <x:c r="D100" t="str">
        <x:v>provision-cloud-public</x:v>
      </x:c>
      <x:c r="E100" t="str">
        <x:v>completed</x:v>
      </x:c>
      <x:c r="F100" t="n">
        <x:v>46094.093478622686</x:v>
      </x:c>
      <x:c r="G100" t="n">
        <x:v>46094.093478622686</x:v>
      </x:c>
      <x:c r="H100" t="n">
        <x:v>46121.268734606485</x:v>
      </x:c>
      <x:c r="I100" t="str">
        <x:v>A-000031</x:v>
      </x:c>
      <x:c r="J100" t="str">
        <x:v>Augmented Gas Nomination Ecosystem - AGNES</x:v>
      </x:c>
      <x:c r="K100" t="n">
        <x:v>209</x:v>
      </x:c>
      <x:c r="L100" t="str">
        <x:v>Establishment of Augmented Gas Nomination EcoSystem (AGNES) DevSecOps for Malaysia Petroleum Management (MPM)</x:v>
      </x:c>
      <x:c r="M100" t="str">
        <x:v>faradina.mohamed@petronas.com.my</x:v>
      </x:c>
      <x:c r="N100" t="str">
        <x:v>Establishment of AGNES DevSecOps for MPM</x:v>
      </x:c>
      <x:c r="O100" t="str">
        <x:v>New</x:v>
      </x:c>
      <x:c r="P100" t="str">
        <x:v>Development</x:v>
      </x:c>
      <x:c r="Q100" t="str">
        <x:v>Request to provision a new  development server for AGNES Database as part of AGNES Run &amp; Maintain scope, to support USDB to AGNES DB data migration.</x:v>
      </x:c>
      <x:c r="R100" t="str">
        <x:v>M</x:v>
      </x:c>
      <x:c r="S100"/>
      <x:c r="T100"/>
      <x:c r="U100" t="str">
        <x:v>provisioning for DB Dev server, TQ </x:v>
      </x:c>
      <x:c r="V100" t="n">
        <x:v>46094.10796525463</x:v>
      </x:c>
      <x:c r="W100" t="str">
        <x:v>faradina.mohamed@petronas.com</x:v>
      </x:c>
      <x:c r="X100" t="str">
        <x:v>approved</x:v>
      </x:c>
      <x:c r="Y100" t="str">
        <x:v>Good to go</x:v>
      </x:c>
      <x:c r="Z100" t="n">
        <x:v>46112.370966180555</x:v>
      </x:c>
      <x:c r="AA100" t="str">
        <x:v>samsuddin.jumbri@petronas.com</x:v>
      </x:c>
      <x:c r="AB100" t="str">
        <x:v>approved</x:v>
      </x:c>
      <x:c r="AC100" t="str">
        <x:v>CSSP10354764 - CSSP10488606 - AGNES</x:v>
      </x:c>
      <x:c r="AD100" t="n">
        <x:v>46113.17840273148</x:v>
      </x:c>
      <x:c r="AE100" t="str">
        <x:v>syazali.saad@petronas.com</x:v>
      </x:c>
      <x:c r="AF100" t="str">
        <x:v>approved</x:v>
      </x:c>
      <x:c r="AG100" t="str">
        <x:v>resource provisioned</x:v>
      </x:c>
      <x:c r="AH100" t="n">
        <x:v>46121.268734618054</x:v>
      </x:c>
      <x:c r="AI100" t="str">
        <x:v>mhafizi.madnan@petronas.com</x:v>
      </x:c>
      <x:c r="AJ100" t="str">
        <x:v>approved</x:v>
      </x:c>
      <x:c r="AK100" t="str">
        <x:v>REQ000007960492</x:v>
      </x:c>
      <x:c r="AL100" t="str">
        <x:v>a3f54c5f-6942-4740-96ec-b35604ec2ace</x:v>
      </x:c>
      <x:c r="AM100" s="23" t="str">
        <x:f>IF(E100="processing",IF(Z100="","",IF(ISNUMBER(Z100),INT(Z100),DATE(VALUE(LEFT(Z100,4)),VALUE(MID(Z100,6,2)),VALUE(MID(Z100,9,2))))),IF(OR(E100="executing",E100="pending"),IF(AD100="","",IF(ISNUMBER(AD100),INT(AD100),DATE(VALUE(LEFT(AD100,4)),VALUE(MID(AD100,6,2)),VALUE(MID(AD100,9,2))))),""))</x:f>
      </x:c>
      <x:c r="AN100" s="24" t="str">
        <x:f>IF(AM100="","",INT('Configuration'!$B$4)-AM100)</x:f>
      </x:c>
      <x:c r="AO100" s="25" t="str">
        <x:f>IF(AM100="","Missing Required Date",IF(AN100&lt;0,"Future Date",IF(AN100=0,"0 days",IF(AN100&lt;=2,"1-2 days",IF(AN100&lt;=7,"3-7 days",IF(AN100&lt;=14,"8-14 days",IF(AN100&lt;=30,"15-30 days",IF(AN100&lt;=60,"31-60 days",IF(AN100&lt;=70,"61-70 days","71+ days")))))))))</x:f>
        <x:v>Missing Required Date</x:v>
      </x:c>
      <x:c r="AP100" s="25" t="str">
        <x:f>IF(OR(E100="processing",E100="executing",E100="pending"),IF(AM100="","Required aging date missing",IF(AN100&gt;30,"Escalate &gt;30d",IF(AN100&gt;14,"Watch &gt;14d","Within 14d"))),"Out of scope")</x:f>
        <x:v>Out of scope</x:v>
      </x:c>
    </x:row>
    <x:row r="101" ht="24" customHeight="1">
      <x:c r="A101" t="str">
        <x:v>7090b274-ccb3-4900-b54a-776ee31f763f</x:v>
      </x:c>
      <x:c r="B101" t="str">
        <x:v>CSSP10900243</x:v>
      </x:c>
      <x:c r="C101" t="str">
        <x:v>ishwandi.akadir@petronas.com</x:v>
      </x:c>
      <x:c r="D101" t="str">
        <x:v>provision-cloud-public</x:v>
      </x:c>
      <x:c r="E101" t="str">
        <x:v>pending</x:v>
      </x:c>
      <x:c r="F101" t="n">
        <x:v>46094.44255471065</x:v>
      </x:c>
      <x:c r="G101" t="n">
        <x:v>46094.44255471065</x:v>
      </x:c>
      <x:c r="H101" t="n">
        <x:v>46219.26860325231</x:v>
      </x:c>
      <x:c r="I101" t="str">
        <x:v>A-000493</x:v>
      </x:c>
      <x:c r="J101" t="str">
        <x:v>MyRISK</x:v>
      </x:c>
      <x:c r="K101" t="n">
        <x:v>3297</x:v>
      </x:c>
      <x:c r="L101" t="str">
        <x:v>[myRISK] Implementation of Integrated Risk Management System for Group Risk Management</x:v>
      </x:c>
      <x:c r="M101" t="str">
        <x:v>lena.boey@petronas.com.my</x:v>
      </x:c>
      <x:c r="N101" t="str">
        <x:v>myRisk Project</x:v>
      </x:c>
      <x:c r="O101" t="str">
        <x:v>Repat</x:v>
      </x:c>
      <x:c r="P101" t="str">
        <x:v>StagingUat</x:v>
      </x:c>
      <x:c r="Q101" t="str">
        <x:v>Azure Repat Requirement, to provision a Keyvault in RG PTAZMY-IAC-UAT-MYRISK-RG</x:v>
      </x:c>
      <x:c r="R101" t="str">
        <x:v>M</x:v>
      </x:c>
      <x:c r="S101"/>
      <x:c r="T101"/>
      <x:c r="U101" t="str">
        <x:v>[System] Stage pre-approved for Cloud Repatriation project</x:v>
      </x:c>
      <x:c r="V101" t="n">
        <x:v>46094.44255471065</x:v>
      </x:c>
      <x:c r="W101" t="str">
        <x:v>lena.boey@petronas.com</x:v>
      </x:c>
      <x:c r="X101" t="str">
        <x:v>approved</x:v>
      </x:c>
      <x:c r="Y101" t="str">
        <x:v>[System] Stage pre-approved for Cloud Repatriation project</x:v>
      </x:c>
      <x:c r="Z101" t="n">
        <x:v>46094.44255471065</x:v>
      </x:c>
      <x:c r="AA101" t="str">
        <x:v>CCoE Demand</x:v>
      </x:c>
      <x:c r="AB101" t="str">
        <x:v>approved</x:v>
      </x:c>
      <x:c r="AC101"/>
      <x:c r="AD101"/>
      <x:c r="AE101" t="str">
        <x:v>IMS - CLOUD CSSP REVIEWER</x:v>
      </x:c>
      <x:c r="AF101"/>
      <x:c r="AG101"/>
      <x:c r="AH101"/>
      <x:c r="AI101" t="str">
        <x:v>CCoE Core Services (Public)</x:v>
      </x:c>
      <x:c r="AJ101"/>
      <x:c r="AK101"/>
      <x:c r="AL101" t="str">
        <x:v>be2b68e2-08ed-42b3-8760-aceba00d470c</x:v>
      </x:c>
      <x:c r="AM101" s="23" t="str">
        <x:f>IF(E101="processing",IF(Z101="","",IF(ISNUMBER(Z101),INT(Z101),DATE(VALUE(LEFT(Z101,4)),VALUE(MID(Z101,6,2)),VALUE(MID(Z101,9,2))))),IF(OR(E101="executing",E101="pending"),IF(AD101="","",IF(ISNUMBER(AD101),INT(AD101),DATE(VALUE(LEFT(AD101,4)),VALUE(MID(AD101,6,2)),VALUE(MID(AD101,9,2))))),""))</x:f>
      </x:c>
      <x:c r="AN101" s="24" t="str">
        <x:f>IF(AM101="","",INT('Configuration'!$B$4)-AM101)</x:f>
      </x:c>
      <x:c r="AO101" s="25" t="str">
        <x:f>IF(AM101="","Missing Required Date",IF(AN101&lt;0,"Future Date",IF(AN101=0,"0 days",IF(AN101&lt;=2,"1-2 days",IF(AN101&lt;=7,"3-7 days",IF(AN101&lt;=14,"8-14 days",IF(AN101&lt;=30,"15-30 days",IF(AN101&lt;=60,"31-60 days",IF(AN101&lt;=70,"61-70 days","71+ days")))))))))</x:f>
        <x:v>Missing Required Date</x:v>
      </x:c>
      <x:c r="AP101" s="25" t="str">
        <x:f>IF(OR(E101="processing",E101="executing",E101="pending"),IF(AM101="","Required aging date missing",IF(AN101&gt;30,"Escalate &gt;30d",IF(AN101&gt;14,"Watch &gt;14d","Within 14d"))),"Out of scope")</x:f>
        <x:v>Required aging date missing</x:v>
      </x:c>
    </x:row>
    <x:row r="102" ht="24" customHeight="1">
      <x:c r="A102" t="str">
        <x:v>ddcdce05-f015-4f58-8d9c-4294428fe27e</x:v>
      </x:c>
      <x:c r="B102" t="str">
        <x:v>CSSP10732948</x:v>
      </x:c>
      <x:c r="C102" t="str">
        <x:v>sitisazreena.myusof@petronas.com</x:v>
      </x:c>
      <x:c r="D102" t="str">
        <x:v>provision-cloud-public</x:v>
      </x:c>
      <x:c r="E102" t="str">
        <x:v>completed</x:v>
      </x:c>
      <x:c r="F102" t="n">
        <x:v>46098.36659048611</x:v>
      </x:c>
      <x:c r="G102" t="n">
        <x:v>46114.14491650463</x:v>
      </x:c>
      <x:c r="H102" t="n">
        <x:v>46127.06642403935</x:v>
      </x:c>
      <x:c r="I102" t="str">
        <x:v>A-001331</x:v>
      </x:c>
      <x:c r="J102" t="str">
        <x:v>Process Director for BRB</x:v>
      </x:c>
      <x:c r="K102" t="str">
        <x:v>SR00585</x:v>
      </x:c>
      <x:c r="L102" t="str">
        <x:v>Implementation of Invoice Processing for BRB</x:v>
      </x:c>
      <x:c r="M102" t="str">
        <x:v>sarabjeetsingh.meha@petronas.com.my</x:v>
      </x:c>
      <x:c r="N102" t="str">
        <x:v>SAP Project BRB</x:v>
      </x:c>
      <x:c r="O102" t="str">
        <x:v>New</x:v>
      </x:c>
      <x:c r="P102" t="str">
        <x:v>Development</x:v>
      </x:c>
      <x:c r="Q102" t="str">
        <x:v>PD Web Development Server for Invoice Processing implementation for BRB International.</x:v>
      </x:c>
      <x:c r="R102" t="str">
        <x:v>M</x:v>
      </x:c>
      <x:c r="S102"/>
      <x:c r="T102"/>
      <x:c r="U102" t="str">
        <x:v>Approved for BRB Process Invoicing </x:v>
      </x:c>
      <x:c r="V102" t="n">
        <x:v>46114.16385370371</x:v>
      </x:c>
      <x:c r="W102" t="str">
        <x:v>sarabjeetsingh.meha@petronas.com</x:v>
      </x:c>
      <x:c r="X102" t="str">
        <x:v>approved</x:v>
      </x:c>
      <x:c r="Y102" t="str">
        <x:v>Good to go</x:v>
      </x:c>
      <x:c r="Z102" t="n">
        <x:v>46114.18567934028</x:v>
      </x:c>
      <x:c r="AA102" t="str">
        <x:v>samsuddin.jumbri@petronas.com</x:v>
      </x:c>
      <x:c r="AB102" t="str">
        <x:v>approved</x:v>
      </x:c>
      <x:c r="AC102" t="str">
        <x:v>vm x2</x:v>
      </x:c>
      <x:c r="AD102" t="n">
        <x:v>46115.11874888889</x:v>
      </x:c>
      <x:c r="AE102" t="str">
        <x:v>syazali.saad@petronas.com</x:v>
      </x:c>
      <x:c r="AF102" t="str">
        <x:v>approved</x:v>
      </x:c>
      <x:c r="AG102" t="str">
        <x:v>Completed</x:v>
      </x:c>
      <x:c r="AH102" t="n">
        <x:v>46127.06642405093</x:v>
      </x:c>
      <x:c r="AI102" t="str">
        <x:v>darliz.zainol@petronas.com</x:v>
      </x:c>
      <x:c r="AJ102" t="str">
        <x:v>approved</x:v>
      </x:c>
      <x:c r="AK102" t="str">
        <x:v>REQ000007966984</x:v>
      </x:c>
      <x:c r="AL102" t="str">
        <x:v>32bf3704-001f-4f9d-bbfa-7974a79e112d</x:v>
      </x:c>
      <x:c r="AM102" s="23" t="str">
        <x:f>IF(E102="processing",IF(Z102="","",IF(ISNUMBER(Z102),INT(Z102),DATE(VALUE(LEFT(Z102,4)),VALUE(MID(Z102,6,2)),VALUE(MID(Z102,9,2))))),IF(OR(E102="executing",E102="pending"),IF(AD102="","",IF(ISNUMBER(AD102),INT(AD102),DATE(VALUE(LEFT(AD102,4)),VALUE(MID(AD102,6,2)),VALUE(MID(AD102,9,2))))),""))</x:f>
      </x:c>
      <x:c r="AN102" s="24" t="str">
        <x:f>IF(AM102="","",INT('Configuration'!$B$4)-AM102)</x:f>
      </x:c>
      <x:c r="AO102" s="25" t="str">
        <x:f>IF(AM102="","Missing Required Date",IF(AN102&lt;0,"Future Date",IF(AN102=0,"0 days",IF(AN102&lt;=2,"1-2 days",IF(AN102&lt;=7,"3-7 days",IF(AN102&lt;=14,"8-14 days",IF(AN102&lt;=30,"15-30 days",IF(AN102&lt;=60,"31-60 days",IF(AN102&lt;=70,"61-70 days","71+ days")))))))))</x:f>
        <x:v>Missing Required Date</x:v>
      </x:c>
      <x:c r="AP102" s="25" t="str">
        <x:f>IF(OR(E102="processing",E102="executing",E102="pending"),IF(AM102="","Required aging date missing",IF(AN102&gt;30,"Escalate &gt;30d",IF(AN102&gt;14,"Watch &gt;14d","Within 14d"))),"Out of scope")</x:f>
        <x:v>Out of scope</x:v>
      </x:c>
    </x:row>
    <x:row r="103" ht="24" customHeight="1">
      <x:c r="A103" t="str">
        <x:v>190def84-4f5f-4f52-8c1b-a97229db3008</x:v>
      </x:c>
      <x:c r="B103" t="str">
        <x:v>CSSP10264005</x:v>
      </x:c>
      <x:c r="C103" t="str">
        <x:v>ahmadtarmezee.sham@petronas.com</x:v>
      </x:c>
      <x:c r="D103" t="str">
        <x:v>provision-cloud-public</x:v>
      </x:c>
      <x:c r="E103" t="str">
        <x:v>rejected</x:v>
      </x:c>
      <x:c r="F103" t="n">
        <x:v>46106.04699793981</x:v>
      </x:c>
      <x:c r="G103" t="n">
        <x:v>46106.15859086806</x:v>
      </x:c>
      <x:c r="H103" t="n">
        <x:v>46126.32882079861</x:v>
      </x:c>
      <x:c r="I103" t="str">
        <x:v>A-001315</x:v>
      </x:c>
      <x:c r="J103" t="str">
        <x:v>PDB Data &amp; Intelligence Platform</x:v>
      </x:c>
      <x:c r="K103" t="str">
        <x:v>SR25023</x:v>
      </x:c>
      <x:c r="L103" t="str">
        <x:v>PDB Data &amp; Intelligence Platform</x:v>
      </x:c>
      <x:c r="M103" t="str">
        <x:v>nuruddin.mansor@petronas.com.my</x:v>
      </x:c>
      <x:c r="N103" t="str">
        <x:v>PDB Data and Intelligence Platform</x:v>
      </x:c>
      <x:c r="O103" t="str">
        <x:v>New</x:v>
      </x:c>
      <x:c r="P103" t="str">
        <x:v>Development</x:v>
      </x:c>
      <x:c r="Q103" t="str">
        <x:v>request for 4 service principal for 
# Azure Databricks (ptsg-5pdbedhdatabrick - /subscriptions/2be5068f-e0ac-4d57-aedc-96bc9798a265/resourceGroups/PTAZSG-IAC-DEV-PDB-EDH-RG/providers/Microsoft.Databricks/workspaces/ptsg-5pdbedhdatabrick ), 
# role PTAZ-DE-CUSTOMROLE (/subscriptions/2be5068f-e0ac-4d57-aedc-96bc9798a265/providers/Microsoft.Authorization/roleDefinitions/a8518860-2f5f-49c9-a0a6-818d5169f33d)
service.sp_bi_dev - SPN for Power BI's On-Premises Data Gateway (Dev)
serviec.sp_pa_dev - SPN for Microsoft PowerApp (Dev)
service.sp_etl_dev - SPN for Azure DevOps running DE (Data Engineering) Pipelines (Dev)
service.sp_ml_dev - SPN for Azure DevOps running ML Pipelines (Dev)</x:v>
      </x:c>
      <x:c r="R103" t="str">
        <x:v>M</x:v>
      </x:c>
      <x:c r="S103"/>
      <x:c r="T103"/>
      <x:c r="U103" t="str">
        <x:v>Approved </x:v>
      </x:c>
      <x:c r="V103" t="n">
        <x:v>46106.165745625</x:v>
      </x:c>
      <x:c r="W103" t="str">
        <x:v>nuruddin.mansor@petronas.com</x:v>
      </x:c>
      <x:c r="X103" t="str">
        <x:v>approved</x:v>
      </x:c>
      <x:c r="Y103" t="str">
        <x:v>Good to go</x:v>
      </x:c>
      <x:c r="Z103" t="n">
        <x:v>46112.36803770834</x:v>
      </x:c>
      <x:c r="AA103" t="str">
        <x:v>samsuddin.jumbri@petronas.com</x:v>
      </x:c>
      <x:c r="AB103" t="str">
        <x:v>approved</x:v>
      </x:c>
      <x:c r="AC103" t="str">
        <x:v>SPN request</x:v>
      </x:c>
      <x:c r="AD103" t="n">
        <x:v>46113.315484074075</x:v>
      </x:c>
      <x:c r="AE103" t="str">
        <x:v>syazali.saad@petronas.com</x:v>
      </x:c>
      <x:c r="AF103" t="str">
        <x:v>approved</x:v>
      </x:c>
      <x:c r="AG103" t="str">
        <x:v>Refer to AD team for Service Principal provisioning.</x:v>
      </x:c>
      <x:c r="AH103" t="n">
        <x:v>46126.32882081019</x:v>
      </x:c>
      <x:c r="AI103" t="str">
        <x:v>afnanfarhan.dzaharud@petronas.com</x:v>
      </x:c>
      <x:c r="AJ103" t="str">
        <x:v>rejected</x:v>
      </x:c>
      <x:c r="AK103" t="str">
        <x:v>REQ000007961468</x:v>
      </x:c>
      <x:c r="AL103" t="str">
        <x:v>b4e60f9a-b7c8-4e1d-8847-6f2e75534143</x:v>
      </x:c>
      <x:c r="AM103" s="23" t="str">
        <x:f>IF(E103="processing",IF(Z103="","",IF(ISNUMBER(Z103),INT(Z103),DATE(VALUE(LEFT(Z103,4)),VALUE(MID(Z103,6,2)),VALUE(MID(Z103,9,2))))),IF(OR(E103="executing",E103="pending"),IF(AD103="","",IF(ISNUMBER(AD103),INT(AD103),DATE(VALUE(LEFT(AD103,4)),VALUE(MID(AD103,6,2)),VALUE(MID(AD103,9,2))))),""))</x:f>
      </x:c>
      <x:c r="AN103" s="24" t="str">
        <x:f>IF(AM103="","",INT('Configuration'!$B$4)-AM103)</x:f>
      </x:c>
      <x:c r="AO103" s="25" t="str">
        <x:f>IF(AM103="","Missing Required Date",IF(AN103&lt;0,"Future Date",IF(AN103=0,"0 days",IF(AN103&lt;=2,"1-2 days",IF(AN103&lt;=7,"3-7 days",IF(AN103&lt;=14,"8-14 days",IF(AN103&lt;=30,"15-30 days",IF(AN103&lt;=60,"31-60 days",IF(AN103&lt;=70,"61-70 days","71+ days")))))))))</x:f>
        <x:v>Missing Required Date</x:v>
      </x:c>
      <x:c r="AP103" s="25" t="str">
        <x:f>IF(OR(E103="processing",E103="executing",E103="pending"),IF(AM103="","Required aging date missing",IF(AN103&gt;30,"Escalate &gt;30d",IF(AN103&gt;14,"Watch &gt;14d","Within 14d"))),"Out of scope")</x:f>
        <x:v>Out of scope</x:v>
      </x:c>
    </x:row>
    <x:row r="104" ht="24" customHeight="1">
      <x:c r="A104" t="str">
        <x:v>2dc49972-cd40-43e3-80cf-8883b7a278df</x:v>
      </x:c>
      <x:c r="B104" t="str">
        <x:v>CSSP10308393</x:v>
      </x:c>
      <x:c r="C104" t="str">
        <x:v>yannchang.tan@petronas.com</x:v>
      </x:c>
      <x:c r="D104" t="str">
        <x:v>provision-cloud-public</x:v>
      </x:c>
      <x:c r="E104" t="str">
        <x:v>completed</x:v>
      </x:c>
      <x:c r="F104" t="n">
        <x:v>46111.12135234954</x:v>
      </x:c>
      <x:c r="G104" t="n">
        <x:v>46111.12135234954</x:v>
      </x:c>
      <x:c r="H104" t="n">
        <x:v>46114.187422511575</x:v>
      </x:c>
      <x:c r="I104" t="str">
        <x:v>A-000037</x:v>
      </x:c>
      <x:c r="J104" t="str">
        <x:v>AI Enablement Framework</x:v>
      </x:c>
      <x:c r="K104" t="n">
        <x:v>3437</x:v>
      </x:c>
      <x:c r="L104" t="str">
        <x:v>Support and Maintenance for AI Enablement Framework 2023-2024 for PDB</x:v>
      </x:c>
      <x:c r="M104" t="str">
        <x:v>debjani.sambasivam@petronas.com.my</x:v>
      </x:c>
      <x:c r="N104" t="str">
        <x:v>PDB_AI_Enablement</x:v>
      </x:c>
      <x:c r="O104" t="str">
        <x:v>Modify</x:v>
      </x:c>
      <x:c r="P104" t="str">
        <x:v>Development</x:v>
      </x:c>
      <x:c r="Q104" t="str">
        <x:v>Compute Name: PDB-CAD-IRYAN Assign To: Iryan Syauqi Azhar (CAD/PDB) (iryan.syauqiazhar@petronas.com.my) Virtual Machine Size: Standard_DS15_v2 (20 cores, 140 GB RAM, 280 GB disk) Scheduling Auto Shut Down: 60 minute
Compute Name: PDB-CAD-ANA Assign To: Nur Ana Mardiana M Shukri (nuranamardiana.mshuk@petronas.com) Virtual Machine Size: Standard_DS15_v2 (20 cores, 140 GB RAM, 280 GB disk) Scheduling Auto Shut Down: 60 minute</x:v>
      </x:c>
      <x:c r="R104" t="str">
        <x:v>S</x:v>
      </x:c>
      <x:c r="S104"/>
      <x:c r="T104"/>
      <x:c r="U104" t="str">
        <x:v>Please proceed</x:v>
      </x:c>
      <x:c r="V104" t="n">
        <x:v>46111.12793230324</x:v>
      </x:c>
      <x:c r="W104" t="str">
        <x:v>debjani.sambasivam@petronas.com</x:v>
      </x:c>
      <x:c r="X104" t="str">
        <x:v>approved</x:v>
      </x:c>
      <x:c r="Y104" t="str">
        <x:v>Good to go</x:v>
      </x:c>
      <x:c r="Z104" t="n">
        <x:v>46112.37011332176</x:v>
      </x:c>
      <x:c r="AA104" t="str">
        <x:v>samsuddin.jumbri@petronas.com</x:v>
      </x:c>
      <x:c r="AB104" t="str">
        <x:v>approved</x:v>
      </x:c>
      <x:c r="AC104" t="str">
        <x:v>ML</x:v>
      </x:c>
      <x:c r="AD104" t="n">
        <x:v>46113.138615104166</x:v>
      </x:c>
      <x:c r="AE104" t="str">
        <x:v>syazali.saad@petronas.com</x:v>
      </x:c>
      <x:c r="AF104" t="str">
        <x:v>approved</x:v>
      </x:c>
      <x:c r="AG104" t="str">
        <x:v>done</x:v>
      </x:c>
      <x:c r="AH104" t="n">
        <x:v>46114.187422511575</x:v>
      </x:c>
      <x:c r="AI104" t="str">
        <x:v>izham.ajmaan@petronas.com</x:v>
      </x:c>
      <x:c r="AJ104" t="str">
        <x:v>approved</x:v>
      </x:c>
      <x:c r="AK104" t="str">
        <x:v>REQ000007960479</x:v>
      </x:c>
      <x:c r="AL104" t="str">
        <x:v>f99ec12f-a075-40d0-8957-15cd4e72ddb4</x:v>
      </x:c>
      <x:c r="AM104" s="23" t="str">
        <x:f>IF(E104="processing",IF(Z104="","",IF(ISNUMBER(Z104),INT(Z104),DATE(VALUE(LEFT(Z104,4)),VALUE(MID(Z104,6,2)),VALUE(MID(Z104,9,2))))),IF(OR(E104="executing",E104="pending"),IF(AD104="","",IF(ISNUMBER(AD104),INT(AD104),DATE(VALUE(LEFT(AD104,4)),VALUE(MID(AD104,6,2)),VALUE(MID(AD104,9,2))))),""))</x:f>
      </x:c>
      <x:c r="AN104" s="24" t="str">
        <x:f>IF(AM104="","",INT('Configuration'!$B$4)-AM104)</x:f>
      </x:c>
      <x:c r="AO104" s="25" t="str">
        <x:f>IF(AM104="","Missing Required Date",IF(AN104&lt;0,"Future Date",IF(AN104=0,"0 days",IF(AN104&lt;=2,"1-2 days",IF(AN104&lt;=7,"3-7 days",IF(AN104&lt;=14,"8-14 days",IF(AN104&lt;=30,"15-30 days",IF(AN104&lt;=60,"31-60 days",IF(AN104&lt;=70,"61-70 days","71+ days")))))))))</x:f>
        <x:v>Missing Required Date</x:v>
      </x:c>
      <x:c r="AP104" s="25" t="str">
        <x:f>IF(OR(E104="processing",E104="executing",E104="pending"),IF(AM104="","Required aging date missing",IF(AN104&gt;30,"Escalate &gt;30d",IF(AN104&gt;14,"Watch &gt;14d","Within 14d"))),"Out of scope")</x:f>
        <x:v>Out of scope</x:v>
      </x:c>
    </x:row>
    <x:row r="105" ht="24" customHeight="1">
      <x:c r="A105" t="str">
        <x:v>bb58609c-14ab-443c-bedf-6a50c6e8f18a</x:v>
      </x:c>
      <x:c r="B105" t="str">
        <x:v>CSSP10944972</x:v>
      </x:c>
      <x:c r="C105" t="str">
        <x:v>bob.jaliu@petronas.com</x:v>
      </x:c>
      <x:c r="D105" t="str">
        <x:v>provision-cloud-public</x:v>
      </x:c>
      <x:c r="E105" t="str">
        <x:v>completed</x:v>
      </x:c>
      <x:c r="F105" t="n">
        <x:v>46111.15700936343</x:v>
      </x:c>
      <x:c r="G105" t="n">
        <x:v>46115.16194181713</x:v>
      </x:c>
      <x:c r="H105" t="n">
        <x:v>46141.63561224537</x:v>
      </x:c>
      <x:c r="I105" t="str">
        <x:v>A-001332</x:v>
      </x:c>
      <x:c r="J105" t="str">
        <x:v>Authorization For Expenditure Management System - AFEMS VESTIGO</x:v>
      </x:c>
      <x:c r="K105" t="n">
        <x:v>315</x:v>
      </x:c>
      <x:c r="L105" t="str">
        <x:v>Estrella OT Vestigo AFEMS Implementation</x:v>
      </x:c>
      <x:c r="M105" t="str">
        <x:v>eanand.ehambaram@petronas.com</x:v>
      </x:c>
      <x:c r="N105" t="str">
        <x:v>AFEMS</x:v>
      </x:c>
      <x:c r="O105" t="str">
        <x:v>New</x:v>
      </x:c>
      <x:c r="P105" t="str">
        <x:v>Production</x:v>
      </x:c>
      <x:c r="Q105" t="str">
        <x:v>Creating a replication of AFEMS for VPSB in MY data centre</x:v>
      </x:c>
      <x:c r="R105" t="str">
        <x:v>M</x:v>
      </x:c>
      <x:c r="S105"/>
      <x:c r="T105"/>
      <x:c r="U105" t="str">
        <x:v>Approved</x:v>
      </x:c>
      <x:c r="V105" t="n">
        <x:v>46119.08920876157</x:v>
      </x:c>
      <x:c r="W105" t="str">
        <x:v>eanand.ehambaram@petronas.com</x:v>
      </x:c>
      <x:c r="X105" t="str">
        <x:v>approved</x:v>
      </x:c>
      <x:c r="Y105" t="str">
        <x:v>Approved</x:v>
      </x:c>
      <x:c r="Z105" t="n">
        <x:v>46129.08586164352</x:v>
      </x:c>
      <x:c r="AA105" t="str">
        <x:v>kianleng.geh@petronas.com</x:v>
      </x:c>
      <x:c r="AB105" t="str">
        <x:v>approved</x:v>
      </x:c>
      <x:c r="AC105" t="str">
        <x:v>.</x:v>
      </x:c>
      <x:c r="AD105" t="n">
        <x:v>46134.11655412037</x:v>
      </x:c>
      <x:c r="AE105" t="str">
        <x:v>syazali.saad@petronas.com</x:v>
      </x:c>
      <x:c r="AF105" t="str">
        <x:v>approved</x:v>
      </x:c>
      <x:c r="AG105" t="str">
        <x:v>completed</x:v>
      </x:c>
      <x:c r="AH105" t="n">
        <x:v>46141.63561225694</x:v>
      </x:c>
      <x:c r="AI105" t="str">
        <x:v>akhmal.roslan@petronas.com</x:v>
      </x:c>
      <x:c r="AJ105" t="str">
        <x:v>approved</x:v>
      </x:c>
      <x:c r="AK105" t="str">
        <x:v>REQ000008004292</x:v>
      </x:c>
      <x:c r="AL105" t="str">
        <x:v>86c503ed-3326-410f-be77-d501f00c226c</x:v>
      </x:c>
      <x:c r="AM105" s="23" t="str">
        <x:f>IF(E105="processing",IF(Z105="","",IF(ISNUMBER(Z105),INT(Z105),DATE(VALUE(LEFT(Z105,4)),VALUE(MID(Z105,6,2)),VALUE(MID(Z105,9,2))))),IF(OR(E105="executing",E105="pending"),IF(AD105="","",IF(ISNUMBER(AD105),INT(AD105),DATE(VALUE(LEFT(AD105,4)),VALUE(MID(AD105,6,2)),VALUE(MID(AD105,9,2))))),""))</x:f>
      </x:c>
      <x:c r="AN105" s="24" t="str">
        <x:f>IF(AM105="","",INT('Configuration'!$B$4)-AM105)</x:f>
      </x:c>
      <x:c r="AO105" s="25" t="str">
        <x:f>IF(AM105="","Missing Required Date",IF(AN105&lt;0,"Future Date",IF(AN105=0,"0 days",IF(AN105&lt;=2,"1-2 days",IF(AN105&lt;=7,"3-7 days",IF(AN105&lt;=14,"8-14 days",IF(AN105&lt;=30,"15-30 days",IF(AN105&lt;=60,"31-60 days",IF(AN105&lt;=70,"61-70 days","71+ days")))))))))</x:f>
        <x:v>Missing Required Date</x:v>
      </x:c>
      <x:c r="AP105" s="25" t="str">
        <x:f>IF(OR(E105="processing",E105="executing",E105="pending"),IF(AM105="","Required aging date missing",IF(AN105&gt;30,"Escalate &gt;30d",IF(AN105&gt;14,"Watch &gt;14d","Within 14d"))),"Out of scope")</x:f>
        <x:v>Out of scope</x:v>
      </x:c>
    </x:row>
    <x:row r="106" ht="24" customHeight="1">
      <x:c r="A106" t="str">
        <x:v>381cefdb-8e2a-47e7-8923-9777c25f6934</x:v>
      </x:c>
      <x:c r="B106" t="str">
        <x:v>CSSP10903969</x:v>
      </x:c>
      <x:c r="C106" t="str">
        <x:v>bob.jaliu@petronas.com</x:v>
      </x:c>
      <x:c r="D106" t="str">
        <x:v>provision-cloud-public</x:v>
      </x:c>
      <x:c r="E106" t="str">
        <x:v>completed</x:v>
      </x:c>
      <x:c r="F106" t="n">
        <x:v>46111.158345578704</x:v>
      </x:c>
      <x:c r="G106" t="n">
        <x:v>46115.16245295139</x:v>
      </x:c>
      <x:c r="H106" t="n">
        <x:v>46135.33755108796</x:v>
      </x:c>
      <x:c r="I106" t="str">
        <x:v>A-001332</x:v>
      </x:c>
      <x:c r="J106" t="str">
        <x:v>Authorization For Expenditure Management System - AFEMS VESTIGO</x:v>
      </x:c>
      <x:c r="K106" t="n">
        <x:v>315</x:v>
      </x:c>
      <x:c r="L106" t="str">
        <x:v>Estrella OT Vestigo AFEMS Implementation</x:v>
      </x:c>
      <x:c r="M106" t="str">
        <x:v>eanand.ehambaram@petronas.com</x:v>
      </x:c>
      <x:c r="N106" t="str">
        <x:v>AFEMS</x:v>
      </x:c>
      <x:c r="O106" t="str">
        <x:v>New</x:v>
      </x:c>
      <x:c r="P106" t="str">
        <x:v>StagingUat</x:v>
      </x:c>
      <x:c r="Q106" t="str">
        <x:v>Creating a replication of AFEMS for VPSB in MY data centre (UAT/Staging environment)</x:v>
      </x:c>
      <x:c r="R106" t="str">
        <x:v>L</x:v>
      </x:c>
      <x:c r="S106"/>
      <x:c r="T106"/>
      <x:c r="U106" t="str">
        <x:v>Approve</x:v>
      </x:c>
      <x:c r="V106" t="n">
        <x:v>46119.088802708335</x:v>
      </x:c>
      <x:c r="W106" t="str">
        <x:v>eanand.ehambaram@petronas.com</x:v>
      </x:c>
      <x:c r="X106" t="str">
        <x:v>approved</x:v>
      </x:c>
      <x:c r="Y106" t="str">
        <x:v>Approved</x:v>
      </x:c>
      <x:c r="Z106" t="n">
        <x:v>46128.290990208334</x:v>
      </x:c>
      <x:c r="AA106" t="str">
        <x:v>kianleng.geh@petronas.com</x:v>
      </x:c>
      <x:c r="AB106" t="str">
        <x:v>approved</x:v>
      </x:c>
      <x:c r="AC106" t="str">
        <x:v>provision new env.
CSSP10903969 - Staging
CSSP10944972 - Production</x:v>
      </x:c>
      <x:c r="AD106" t="n">
        <x:v>46128.38457751158</x:v>
      </x:c>
      <x:c r="AE106" t="str">
        <x:v>syazali.saad@petronas.com</x:v>
      </x:c>
      <x:c r="AF106" t="str">
        <x:v>approved</x:v>
      </x:c>
      <x:c r="AG106" t="str">
        <x:v>completed</x:v>
      </x:c>
      <x:c r="AH106" t="n">
        <x:v>46135.33755109954</x:v>
      </x:c>
      <x:c r="AI106" t="str">
        <x:v>akhmal.roslan@petronas.com</x:v>
      </x:c>
      <x:c r="AJ106" t="str">
        <x:v>approved</x:v>
      </x:c>
      <x:c r="AK106" t="str">
        <x:v>REQ000007994604</x:v>
      </x:c>
      <x:c r="AL106" t="str">
        <x:v>86c503ed-3326-410f-be77-d501f00c226c</x:v>
      </x:c>
      <x:c r="AM106" s="23" t="str">
        <x:f>IF(E106="processing",IF(Z106="","",IF(ISNUMBER(Z106),INT(Z106),DATE(VALUE(LEFT(Z106,4)),VALUE(MID(Z106,6,2)),VALUE(MID(Z106,9,2))))),IF(OR(E106="executing",E106="pending"),IF(AD106="","",IF(ISNUMBER(AD106),INT(AD106),DATE(VALUE(LEFT(AD106,4)),VALUE(MID(AD106,6,2)),VALUE(MID(AD106,9,2))))),""))</x:f>
      </x:c>
      <x:c r="AN106" s="24" t="str">
        <x:f>IF(AM106="","",INT('Configuration'!$B$4)-AM106)</x:f>
      </x:c>
      <x:c r="AO106" s="25" t="str">
        <x:f>IF(AM106="","Missing Required Date",IF(AN106&lt;0,"Future Date",IF(AN106=0,"0 days",IF(AN106&lt;=2,"1-2 days",IF(AN106&lt;=7,"3-7 days",IF(AN106&lt;=14,"8-14 days",IF(AN106&lt;=30,"15-30 days",IF(AN106&lt;=60,"31-60 days",IF(AN106&lt;=70,"61-70 days","71+ days")))))))))</x:f>
        <x:v>Missing Required Date</x:v>
      </x:c>
      <x:c r="AP106" s="25" t="str">
        <x:f>IF(OR(E106="processing",E106="executing",E106="pending"),IF(AM106="","Required aging date missing",IF(AN106&gt;30,"Escalate &gt;30d",IF(AN106&gt;14,"Watch &gt;14d","Within 14d"))),"Out of scope")</x:f>
        <x:v>Out of scope</x:v>
      </x:c>
    </x:row>
    <x:row r="107" ht="24" customHeight="1">
      <x:c r="A107" t="str">
        <x:v>d837bcd4-9dd5-4b8e-8e54-9d9750002938</x:v>
      </x:c>
      <x:c r="B107" t="str">
        <x:v>CSSP10561171</x:v>
      </x:c>
      <x:c r="C107" t="str">
        <x:v>mizzudin.manuar@petronas.com</x:v>
      </x:c>
      <x:c r="D107" t="str">
        <x:v>provision-cloud-public</x:v>
      </x:c>
      <x:c r="E107" t="str">
        <x:v>completed</x:v>
      </x:c>
      <x:c r="F107" t="n">
        <x:v>46112.095105243054</x:v>
      </x:c>
      <x:c r="G107" t="n">
        <x:v>46112.17669716435</x:v>
      </x:c>
      <x:c r="H107" t="n">
        <x:v>46219.07059761574</x:v>
      </x:c>
      <x:c r="I107" t="str">
        <x:v>A-000605</x:v>
      </x:c>
      <x:c r="J107" t="str">
        <x:v>Plant Information - PI Vestigo</x:v>
      </x:c>
      <x:c r="K107" t="str">
        <x:v>02421_64</x:v>
      </x:c>
      <x:c r="L107" t="str">
        <x:v>Cloud Migration Program - PI Vestigo</x:v>
      </x:c>
      <x:c r="M107" t="str">
        <x:v>mohammadsani.johari@petronas.com</x:v>
      </x:c>
      <x:c r="N107" t="str">
        <x:v>Migration of PI System for Vestigo Operatorship Transfer</x:v>
      </x:c>
      <x:c r="O107" t="str">
        <x:v>New</x:v>
      </x:c>
      <x:c r="P107" t="str">
        <x:v>Production</x:v>
      </x:c>
      <x:c r="Q107" t="str">
        <x:v>Provisioning of AWS Malaysia server.
Project - ESTRELLA: Migration of Plant Information (PI) System for Vestigo Operatorship Transfer</x:v>
      </x:c>
      <x:c r="R107" t="str">
        <x:v>S</x:v>
      </x:c>
      <x:c r="S107"/>
      <x:c r="T107"/>
      <x:c r="U107" t="str">
        <x:v>As per project scope.</x:v>
      </x:c>
      <x:c r="V107" t="n">
        <x:v>46112.211288136576</x:v>
      </x:c>
      <x:c r="W107" t="str">
        <x:v>mohammadsani.johari@petronas.com</x:v>
      </x:c>
      <x:c r="X107" t="str">
        <x:v>approved</x:v>
      </x:c>
      <x:c r="Y107" t="str">
        <x:v>Good to go</x:v>
      </x:c>
      <x:c r="Z107" t="n">
        <x:v>46112.27567695602</x:v>
      </x:c>
      <x:c r="AA107" t="str">
        <x:v>samsuddin.jumbri@petronas.com</x:v>
      </x:c>
      <x:c r="AB107" t="str">
        <x:v>approved</x:v>
      </x:c>
      <x:c r="AC107" t="str">
        <x:v>1x EC2</x:v>
      </x:c>
      <x:c r="AD107" t="n">
        <x:v>46112.29751635416</x:v>
      </x:c>
      <x:c r="AE107" t="str">
        <x:v>syazali.saad@petronas.com</x:v>
      </x:c>
      <x:c r="AF107" t="str">
        <x:v>approved</x:v>
      </x:c>
      <x:c r="AG107" t="str">
        <x:v>The ec2 has provision as detail here : 
AWS Account : PTAW-IAC-PROD-UpStream-Environment-01
Server name : PTAWMY-1VTGDB1
IP Address : 10.80.116.120</x:v>
      </x:c>
      <x:c r="AH107" t="n">
        <x:v>46219.07059762732</x:v>
      </x:c>
      <x:c r="AI107" t="str">
        <x:v>muhdfirdaus.muhamad@petronas.com</x:v>
      </x:c>
      <x:c r="AJ107" t="str">
        <x:v>approved</x:v>
      </x:c>
      <x:c r="AK107" t="str">
        <x:v>REQ000007957440</x:v>
      </x:c>
      <x:c r="AL107" t="str">
        <x:v>5d3fb87b-9d92-4201-8beb-3a6b20d59907</x:v>
      </x:c>
      <x:c r="AM107" s="23" t="str">
        <x:f>IF(E107="processing",IF(Z107="","",IF(ISNUMBER(Z107),INT(Z107),DATE(VALUE(LEFT(Z107,4)),VALUE(MID(Z107,6,2)),VALUE(MID(Z107,9,2))))),IF(OR(E107="executing",E107="pending"),IF(AD107="","",IF(ISNUMBER(AD107),INT(AD107),DATE(VALUE(LEFT(AD107,4)),VALUE(MID(AD107,6,2)),VALUE(MID(AD107,9,2))))),""))</x:f>
      </x:c>
      <x:c r="AN107" s="24" t="str">
        <x:f>IF(AM107="","",INT('Configuration'!$B$4)-AM107)</x:f>
      </x:c>
      <x:c r="AO107" s="25" t="str">
        <x:f>IF(AM107="","Missing Required Date",IF(AN107&lt;0,"Future Date",IF(AN107=0,"0 days",IF(AN107&lt;=2,"1-2 days",IF(AN107&lt;=7,"3-7 days",IF(AN107&lt;=14,"8-14 days",IF(AN107&lt;=30,"15-30 days",IF(AN107&lt;=60,"31-60 days",IF(AN107&lt;=70,"61-70 days","71+ days")))))))))</x:f>
        <x:v>Missing Required Date</x:v>
      </x:c>
      <x:c r="AP107" s="25" t="str">
        <x:f>IF(OR(E107="processing",E107="executing",E107="pending"),IF(AM107="","Required aging date missing",IF(AN107&gt;30,"Escalate &gt;30d",IF(AN107&gt;14,"Watch &gt;14d","Within 14d"))),"Out of scope")</x:f>
        <x:v>Out of scope</x:v>
      </x:c>
    </x:row>
    <x:row r="108" ht="24" customHeight="1">
      <x:c r="A108" t="str">
        <x:v>c0e8071a-6acb-4e58-953c-17df2bd7c66a</x:v>
      </x:c>
      <x:c r="B108" t="str">
        <x:v>CSSP10524027</x:v>
      </x:c>
      <x:c r="C108" t="str">
        <x:v>rusnani.mamat@petronas.com</x:v>
      </x:c>
      <x:c r="D108" t="str">
        <x:v>provision-cloud-public</x:v>
      </x:c>
      <x:c r="E108" t="str">
        <x:v>completed</x:v>
      </x:c>
      <x:c r="F108" t="n">
        <x:v>46113.1400465625</x:v>
      </x:c>
      <x:c r="G108" t="n">
        <x:v>46113.1400465625</x:v>
      </x:c>
      <x:c r="H108" t="n">
        <x:v>46126.08062800926</x:v>
      </x:c>
      <x:c r="I108" t="str">
        <x:v>A-000031</x:v>
      </x:c>
      <x:c r="J108" t="str">
        <x:v>Augmented Gas Nomination Ecosystem - AGNES</x:v>
      </x:c>
      <x:c r="K108" t="n">
        <x:v>209</x:v>
      </x:c>
      <x:c r="L108" t="str">
        <x:v>Establishment of Augmented Gas Nomination EcoSystem (AGNES) DevSecOps for Malaysia Petroleum Management (MPM)</x:v>
      </x:c>
      <x:c r="M108" t="str">
        <x:v>faradina.mohamed@petronas.com.my</x:v>
      </x:c>
      <x:c r="N108" t="str">
        <x:v>Establishment of AGNES DevSecOps for MPM</x:v>
      </x:c>
      <x:c r="O108" t="str">
        <x:v>New</x:v>
      </x:c>
      <x:c r="P108" t="str">
        <x:v>Production</x:v>
      </x:c>
      <x:c r="Q108" t="str">
        <x:v>Provisioning for DB production server.</x:v>
      </x:c>
      <x:c r="R108" t="str">
        <x:v>M</x:v>
      </x:c>
      <x:c r="S108"/>
      <x:c r="T108"/>
      <x:c r="U108" t="str">
        <x:v>to proceed obtaining PROD DB server for AGNES SKA (MPM-GT&amp;C)</x:v>
      </x:c>
      <x:c r="V108" t="n">
        <x:v>46113.15228436342</x:v>
      </x:c>
      <x:c r="W108" t="str">
        <x:v>faradina.mohamed@petronas.com</x:v>
      </x:c>
      <x:c r="X108" t="str">
        <x:v>approved</x:v>
      </x:c>
      <x:c r="Y108" t="str">
        <x:v>Good to go</x:v>
      </x:c>
      <x:c r="Z108" t="n">
        <x:v>46118.09867449074</x:v>
      </x:c>
      <x:c r="AA108" t="str">
        <x:v>samsuddin.jumbri@petronas.com</x:v>
      </x:c>
      <x:c r="AB108" t="str">
        <x:v>approved</x:v>
      </x:c>
      <x:c r="AC108" t="str">
        <x:v>sql server x2.</x:v>
      </x:c>
      <x:c r="AD108" t="n">
        <x:v>46119.08142818287</x:v>
      </x:c>
      <x:c r="AE108" t="str">
        <x:v>syazali.saad@petronas.com</x:v>
      </x:c>
      <x:c r="AF108" t="str">
        <x:v>approved</x:v>
      </x:c>
      <x:c r="AG108" t="str">
        <x:v>db prod server provisioned in prod rg</x:v>
      </x:c>
      <x:c r="AH108" t="n">
        <x:v>46126.080628020834</x:v>
      </x:c>
      <x:c r="AI108" t="str">
        <x:v>mhafizi.madnan@petronas.com</x:v>
      </x:c>
      <x:c r="AJ108" t="str">
        <x:v>approved</x:v>
      </x:c>
      <x:c r="AK108" t="str">
        <x:v>REQ000007973461</x:v>
      </x:c>
      <x:c r="AL108" t="str">
        <x:v>a3f54c5f-6942-4740-96ec-b35604ec2ace</x:v>
      </x:c>
      <x:c r="AM108" s="23" t="str">
        <x:f>IF(E108="processing",IF(Z108="","",IF(ISNUMBER(Z108),INT(Z108),DATE(VALUE(LEFT(Z108,4)),VALUE(MID(Z108,6,2)),VALUE(MID(Z108,9,2))))),IF(OR(E108="executing",E108="pending"),IF(AD108="","",IF(ISNUMBER(AD108),INT(AD108),DATE(VALUE(LEFT(AD108,4)),VALUE(MID(AD108,6,2)),VALUE(MID(AD108,9,2))))),""))</x:f>
      </x:c>
      <x:c r="AN108" s="24" t="str">
        <x:f>IF(AM108="","",INT('Configuration'!$B$4)-AM108)</x:f>
      </x:c>
      <x:c r="AO108" s="25" t="str">
        <x:f>IF(AM108="","Missing Required Date",IF(AN108&lt;0,"Future Date",IF(AN108=0,"0 days",IF(AN108&lt;=2,"1-2 days",IF(AN108&lt;=7,"3-7 days",IF(AN108&lt;=14,"8-14 days",IF(AN108&lt;=30,"15-30 days",IF(AN108&lt;=60,"31-60 days",IF(AN108&lt;=70,"61-70 days","71+ days")))))))))</x:f>
        <x:v>Missing Required Date</x:v>
      </x:c>
      <x:c r="AP108" s="25" t="str">
        <x:f>IF(OR(E108="processing",E108="executing",E108="pending"),IF(AM108="","Required aging date missing",IF(AN108&gt;30,"Escalate &gt;30d",IF(AN108&gt;14,"Watch &gt;14d","Within 14d"))),"Out of scope")</x:f>
        <x:v>Out of scope</x:v>
      </x:c>
    </x:row>
    <x:row r="109" ht="24" customHeight="1">
      <x:c r="A109" t="str">
        <x:v>6ee44ecb-7c51-459e-82aa-e1ad65286ce9</x:v>
      </x:c>
      <x:c r="B109" t="str">
        <x:v>CSSP10922302</x:v>
      </x:c>
      <x:c r="C109" t="str">
        <x:v>nurainnasiha.ibrahi@petronas.com</x:v>
      </x:c>
      <x:c r="D109" t="str">
        <x:v>provision-cloud-public</x:v>
      </x:c>
      <x:c r="E109" t="str">
        <x:v>completed</x:v>
      </x:c>
      <x:c r="F109" t="n">
        <x:v>46113.251506597226</x:v>
      </x:c>
      <x:c r="G109" t="n">
        <x:v>46113.251506597226</x:v>
      </x:c>
      <x:c r="H109" t="n">
        <x:v>46149.26341049768</x:v>
      </x:c>
      <x:c r="I109" t="str">
        <x:v>A-000622</x:v>
      </x:c>
      <x:c r="J109" t="str">
        <x:v>PlanningSpace</x:v>
      </x:c>
      <x:c r="K109" t="str">
        <x:v>00915_249</x:v>
      </x:c>
      <x:c r="L109" t="str">
        <x:v>Cloud Migration-Planning Space</x:v>
      </x:c>
      <x:c r="M109" t="str">
        <x:v>eanand.ehambaram@petronas.com.my</x:v>
      </x:c>
      <x:c r="N109" t="str">
        <x:v>Upstream Development Group Of Apps 2</x:v>
      </x:c>
      <x:c r="O109" t="str">
        <x:v>New</x:v>
      </x:c>
      <x:c r="P109" t="str">
        <x:v>Development</x:v>
      </x:c>
      <x:c r="Q109" t="str">
        <x:v>Require to provision Azure SQL DB for Planning Space 2.0 in this Resource Group: PTAZSG-IAC-DEV-PLAN-RG</x:v>
      </x:c>
      <x:c r="R109" t="str">
        <x:v>M</x:v>
      </x:c>
      <x:c r="S109"/>
      <x:c r="T109"/>
      <x:c r="U109" t="str">
        <x:v>Approved</x:v>
      </x:c>
      <x:c r="V109" t="n">
        <x:v>46113.2725321875</x:v>
      </x:c>
      <x:c r="W109" t="str">
        <x:v>eanand.ehambaram@petronas.com</x:v>
      </x:c>
      <x:c r="X109" t="str">
        <x:v>approved</x:v>
      </x:c>
      <x:c r="Y109" t="str">
        <x:v>Good to go</x:v>
      </x:c>
      <x:c r="Z109" t="n">
        <x:v>46118.09956407407</x:v>
      </x:c>
      <x:c r="AA109" t="str">
        <x:v>samsuddin.jumbri@petronas.com</x:v>
      </x:c>
      <x:c r="AB109" t="str">
        <x:v>approved</x:v>
      </x:c>
      <x:c r="AC109" t="str">
        <x:v>dev. sql single database,  sql server.</x:v>
      </x:c>
      <x:c r="AD109" t="n">
        <x:v>46119.083436469904</x:v>
      </x:c>
      <x:c r="AE109" t="str">
        <x:v>syazali.saad@petronas.com</x:v>
      </x:c>
      <x:c r="AF109" t="str">
        <x:v>approved</x:v>
      </x:c>
      <x:c r="AG109" t="str">
        <x:v>done</x:v>
      </x:c>
      <x:c r="AH109" t="n">
        <x:v>46149.26341049768</x:v>
      </x:c>
      <x:c r="AI109" t="str">
        <x:v>izham.ajmaan@petronas.com</x:v>
      </x:c>
      <x:c r="AJ109" t="str">
        <x:v>approved</x:v>
      </x:c>
      <x:c r="AK109" t="str">
        <x:v>REQ000007973465</x:v>
      </x:c>
      <x:c r="AL109" t="str">
        <x:v>4f36fdd8-8a97-43a9-a559-a2d958b5285f</x:v>
      </x:c>
      <x:c r="AM109" s="23" t="str">
        <x:f>IF(E109="processing",IF(Z109="","",IF(ISNUMBER(Z109),INT(Z109),DATE(VALUE(LEFT(Z109,4)),VALUE(MID(Z109,6,2)),VALUE(MID(Z109,9,2))))),IF(OR(E109="executing",E109="pending"),IF(AD109="","",IF(ISNUMBER(AD109),INT(AD109),DATE(VALUE(LEFT(AD109,4)),VALUE(MID(AD109,6,2)),VALUE(MID(AD109,9,2))))),""))</x:f>
      </x:c>
      <x:c r="AN109" s="24" t="str">
        <x:f>IF(AM109="","",INT('Configuration'!$B$4)-AM109)</x:f>
      </x:c>
      <x:c r="AO109" s="25" t="str">
        <x:f>IF(AM109="","Missing Required Date",IF(AN109&lt;0,"Future Date",IF(AN109=0,"0 days",IF(AN109&lt;=2,"1-2 days",IF(AN109&lt;=7,"3-7 days",IF(AN109&lt;=14,"8-14 days",IF(AN109&lt;=30,"15-30 days",IF(AN109&lt;=60,"31-60 days",IF(AN109&lt;=70,"61-70 days","71+ days")))))))))</x:f>
        <x:v>Missing Required Date</x:v>
      </x:c>
      <x:c r="AP109" s="25" t="str">
        <x:f>IF(OR(E109="processing",E109="executing",E109="pending"),IF(AM109="","Required aging date missing",IF(AN109&gt;30,"Escalate &gt;30d",IF(AN109&gt;14,"Watch &gt;14d","Within 14d"))),"Out of scope")</x:f>
        <x:v>Out of scope</x:v>
      </x:c>
    </x:row>
    <x:row r="110" ht="24" customHeight="1">
      <x:c r="A110" t="str">
        <x:v>74b739bc-65d6-4731-87f4-7181c8a1f9a9</x:v>
      </x:c>
      <x:c r="B110" t="str">
        <x:v>CSSP10479593</x:v>
      </x:c>
      <x:c r="C110" t="str">
        <x:v>mammarhaziq.amra@petronas.com</x:v>
      </x:c>
      <x:c r="D110" t="str">
        <x:v>provision-cloud-public</x:v>
      </x:c>
      <x:c r="E110" t="str">
        <x:v>pending</x:v>
      </x:c>
      <x:c r="F110" t="n">
        <x:v>46114.15745918982</x:v>
      </x:c>
      <x:c r="G110" t="n">
        <x:v>46114.15745918982</x:v>
      </x:c>
      <x:c r="H110" t="n">
        <x:v>46114.15745918982</x:v>
      </x:c>
      <x:c r="I110" t="str">
        <x:v>A-000782</x:v>
      </x:c>
      <x:c r="J110" t="str">
        <x:v>Subsurface Sand Management and Rock Mechanics - SMRM</x:v>
      </x:c>
      <x:c r="K110" t="n">
        <x:v>192</x:v>
      </x:c>
      <x:c r="L110" t="str">
        <x:v>Intelligent Sand Management System (iSAND) Enhancement for Malaysia Petroleum Management (MPM)</x:v>
      </x:c>
      <x:c r="M110" t="str">
        <x:v>ng.kokwan@petronas.com</x:v>
      </x:c>
      <x:c r="N110" t="str">
        <x:v>iSAND (Intelligent Sand Management System)</x:v>
      </x:c>
      <x:c r="O110" t="str">
        <x:v>Modify</x:v>
      </x:c>
      <x:c r="P110" t="str">
        <x:v>Production</x:v>
      </x:c>
      <x:c r="Q110" t="str">
        <x:v>1. Request to upgrade VM PTSG-1SMRMap01 in PTAZSG-IAC-DAA-PROD-SMRM-RG from B2s to D2s_v5 due to higher spec computing requirements.
2. Request to increase datadisk PTSG-1SMRMap01_DataDisk01 from 32gb to 64gb to accommodate storage.</x:v>
      </x:c>
      <x:c r="R110"/>
      <x:c r="S110" t="str">
        <x:v>N/A</x:v>
      </x:c>
      <x:c r="T110"/>
      <x:c r="U110"/>
      <x:c r="V110"/>
      <x:c r="W110" t="str">
        <x:v>ng.kokwan@petronas.com</x:v>
      </x:c>
      <x:c r="X110"/>
      <x:c r="Y110"/>
      <x:c r="Z110"/>
      <x:c r="AA110" t="str">
        <x:v>CCoE Demand</x:v>
      </x:c>
      <x:c r="AB110"/>
      <x:c r="AC110"/>
      <x:c r="AD110"/>
      <x:c r="AE110" t="str">
        <x:v>CCoE Business</x:v>
      </x:c>
      <x:c r="AF110"/>
      <x:c r="AG110"/>
      <x:c r="AH110"/>
      <x:c r="AI110" t="str">
        <x:v>CCoE Core Services (Public)</x:v>
      </x:c>
      <x:c r="AJ110"/>
      <x:c r="AK110"/>
      <x:c r="AL110" t="str">
        <x:v>f9928342-9ca0-4aff-90a3-8216880b8e69</x:v>
      </x:c>
      <x:c r="AM110" s="23" t="str">
        <x:f>IF(E110="processing",IF(Z110="","",IF(ISNUMBER(Z110),INT(Z110),DATE(VALUE(LEFT(Z110,4)),VALUE(MID(Z110,6,2)),VALUE(MID(Z110,9,2))))),IF(OR(E110="executing",E110="pending"),IF(AD110="","",IF(ISNUMBER(AD110),INT(AD110),DATE(VALUE(LEFT(AD110,4)),VALUE(MID(AD110,6,2)),VALUE(MID(AD110,9,2))))),""))</x:f>
      </x:c>
      <x:c r="AN110" s="24" t="str">
        <x:f>IF(AM110="","",INT('Configuration'!$B$4)-AM110)</x:f>
      </x:c>
      <x:c r="AO110" s="25" t="str">
        <x:f>IF(AM110="","Missing Required Date",IF(AN110&lt;0,"Future Date",IF(AN110=0,"0 days",IF(AN110&lt;=2,"1-2 days",IF(AN110&lt;=7,"3-7 days",IF(AN110&lt;=14,"8-14 days",IF(AN110&lt;=30,"15-30 days",IF(AN110&lt;=60,"31-60 days",IF(AN110&lt;=70,"61-70 days","71+ days")))))))))</x:f>
        <x:v>Missing Required Date</x:v>
      </x:c>
      <x:c r="AP110" s="25" t="str">
        <x:f>IF(OR(E110="processing",E110="executing",E110="pending"),IF(AM110="","Required aging date missing",IF(AN110&gt;30,"Escalate &gt;30d",IF(AN110&gt;14,"Watch &gt;14d","Within 14d"))),"Out of scope")</x:f>
        <x:v>Required aging date missing</x:v>
      </x:c>
    </x:row>
    <x:row r="111" ht="24" customHeight="1">
      <x:c r="A111" t="str">
        <x:v>58da446a-3d64-4f4b-ae14-dfead1fee681</x:v>
      </x:c>
      <x:c r="B111" t="str">
        <x:v>CSSP10339640</x:v>
      </x:c>
      <x:c r="C111" t="str">
        <x:v>abdullahnaqib.hassa@petronas.com</x:v>
      </x:c>
      <x:c r="D111" t="str">
        <x:v>provision-cloud-public</x:v>
      </x:c>
      <x:c r="E111" t="str">
        <x:v>completed</x:v>
      </x:c>
      <x:c r="F111" t="n">
        <x:v>46114.19464947917</x:v>
      </x:c>
      <x:c r="G111" t="n">
        <x:v>46114.19464947917</x:v>
      </x:c>
      <x:c r="H111" t="n">
        <x:v>46219.137729918984</x:v>
      </x:c>
      <x:c r="I111" t="str">
        <x:v>A-000714</x:v>
      </x:c>
      <x:c r="J111" t="str">
        <x:v>SAP 30 ECC6</x:v>
      </x:c>
      <x:c r="K111" t="str">
        <x:v>OSR00410</x:v>
      </x:c>
      <x:c r="L111" t="str">
        <x:v>S/4HANA Technical Conversion and Migration of SAP Systems P30 and P50</x:v>
      </x:c>
      <x:c r="M111" t="str">
        <x:v>safura.ibadullah@petronas.com</x:v>
      </x:c>
      <x:c r="N111" t="str">
        <x:v>PHOENIX Technology Modernisation</x:v>
      </x:c>
      <x:c r="O111" t="str">
        <x:v>Modify</x:v>
      </x:c>
      <x:c r="P111" t="str">
        <x:v>Production</x:v>
      </x:c>
      <x:c r="Q111" t="str">
        <x:v>Phoenix Tech mod P30 DB VM upgrade</x:v>
      </x:c>
      <x:c r="R111" t="str">
        <x:v>M</x:v>
      </x:c>
      <x:c r="S111" t="str">
        <x:v>ICT_RFC00220127</x:v>
      </x:c>
      <x:c r="T111"/>
      <x:c r="U111" t="str">
        <x:v>for S4HANA readiness</x:v>
      </x:c>
      <x:c r="V111" t="n">
        <x:v>46114.269312662036</x:v>
      </x:c>
      <x:c r="W111" t="str">
        <x:v>safura.ibadullah@petronas.com</x:v>
      </x:c>
      <x:c r="X111" t="str">
        <x:v>approved</x:v>
      </x:c>
      <x:c r="Y111" t="str">
        <x:v>Good to go</x:v>
      </x:c>
      <x:c r="Z111" t="n">
        <x:v>46114.37433520833</x:v>
      </x:c>
      <x:c r="AA111" t="str">
        <x:v>samsuddin.jumbri@petronas.com</x:v>
      </x:c>
      <x:c r="AB111" t="str">
        <x:v>approved</x:v>
      </x:c>
      <x:c r="AC111" t="str">
        <x:v>rfc</x:v>
      </x:c>
      <x:c r="AD111" t="n">
        <x:v>46114.40865491898</x:v>
      </x:c>
      <x:c r="AE111" t="str">
        <x:v>syazali.saad@petronas.com</x:v>
      </x:c>
      <x:c r="AF111" t="str">
        <x:v>approved</x:v>
      </x:c>
      <x:c r="AG111" t="str">
        <x:v>completed </x:v>
      </x:c>
      <x:c r="AH111" t="n">
        <x:v>46219.137729918984</x:v>
      </x:c>
      <x:c r="AI111" t="str">
        <x:v>ahmadfirdaus.adnan@petronas.com</x:v>
      </x:c>
      <x:c r="AJ111" t="str">
        <x:v>approved</x:v>
      </x:c>
      <x:c r="AK111" t="str">
        <x:v>REQ000007965989</x:v>
      </x:c>
      <x:c r="AL111" t="str">
        <x:v>cc1bad82-c5d9-409e-b5f0-e231f3f4551d</x:v>
      </x:c>
      <x:c r="AM111" s="23" t="str">
        <x:f>IF(E111="processing",IF(Z111="","",IF(ISNUMBER(Z111),INT(Z111),DATE(VALUE(LEFT(Z111,4)),VALUE(MID(Z111,6,2)),VALUE(MID(Z111,9,2))))),IF(OR(E111="executing",E111="pending"),IF(AD111="","",IF(ISNUMBER(AD111),INT(AD111),DATE(VALUE(LEFT(AD111,4)),VALUE(MID(AD111,6,2)),VALUE(MID(AD111,9,2))))),""))</x:f>
      </x:c>
      <x:c r="AN111" s="24" t="str">
        <x:f>IF(AM111="","",INT('Configuration'!$B$4)-AM111)</x:f>
      </x:c>
      <x:c r="AO111" s="25" t="str">
        <x:f>IF(AM111="","Missing Required Date",IF(AN111&lt;0,"Future Date",IF(AN111=0,"0 days",IF(AN111&lt;=2,"1-2 days",IF(AN111&lt;=7,"3-7 days",IF(AN111&lt;=14,"8-14 days",IF(AN111&lt;=30,"15-30 days",IF(AN111&lt;=60,"31-60 days",IF(AN111&lt;=70,"61-70 days","71+ days")))))))))</x:f>
        <x:v>Missing Required Date</x:v>
      </x:c>
      <x:c r="AP111" s="25" t="str">
        <x:f>IF(OR(E111="processing",E111="executing",E111="pending"),IF(AM111="","Required aging date missing",IF(AN111&gt;30,"Escalate &gt;30d",IF(AN111&gt;14,"Watch &gt;14d","Within 14d"))),"Out of scope")</x:f>
        <x:v>Out of scope</x:v>
      </x:c>
    </x:row>
    <x:row r="112" ht="24" customHeight="1">
      <x:c r="A112" t="str">
        <x:v>6d8c86a9-eab7-4698-a876-34c81cf2b1bb</x:v>
      </x:c>
      <x:c r="B112" t="str">
        <x:v>CSSP10902778</x:v>
      </x:c>
      <x:c r="C112" t="str">
        <x:v>sharonie.loris@petronas.com</x:v>
      </x:c>
      <x:c r="D112" t="str">
        <x:v>provision-cloud-public</x:v>
      </x:c>
      <x:c r="E112" t="str">
        <x:v>completed</x:v>
      </x:c>
      <x:c r="F112" t="n">
        <x:v>46114.26833974537</x:v>
      </x:c>
      <x:c r="G112" t="n">
        <x:v>46119.17310021991</x:v>
      </x:c>
      <x:c r="H112" t="n">
        <x:v>46129.08733767361</x:v>
      </x:c>
      <x:c r="I112" t="str">
        <x:v>A-001322</x:v>
      </x:c>
      <x:c r="J112" t="str">
        <x:v>RADIAN</x:v>
      </x:c>
      <x:c r="K112" t="str">
        <x:v>SR10734</x:v>
      </x:c>
      <x:c r="L112" t="str">
        <x:v>Real-Time Advisory &amp; Drilling Insight via Artificial Neural Intelligence (RADIAN) for 
Wells formerly known HSPM</x:v>
      </x:c>
      <x:c r="M112" t="str">
        <x:v>nurshida.czakaria@petronas.com.my</x:v>
      </x:c>
      <x:c r="N112" t="str">
        <x:v>RADIAN</x:v>
      </x:c>
      <x:c r="O112" t="str">
        <x:v>Modify</x:v>
      </x:c>
      <x:c r="P112" t="str">
        <x:v>StagingUat</x:v>
      </x:c>
      <x:c r="Q112" t="str">
        <x:v>Request to add new item in provision cloud infrastructure</x:v>
      </x:c>
      <x:c r="R112" t="str">
        <x:v>S</x:v>
      </x:c>
      <x:c r="S112"/>
      <x:c r="T112"/>
      <x:c r="U112" t="str">
        <x:v>Approved for RADIAN project.</x:v>
      </x:c>
      <x:c r="V112" t="n">
        <x:v>46119.1794497338</x:v>
      </x:c>
      <x:c r="W112" t="str">
        <x:v>nurshida.czakaria@petronas.com</x:v>
      </x:c>
      <x:c r="X112" t="str">
        <x:v>approved</x:v>
      </x:c>
      <x:c r="Y112" t="str">
        <x:v>Good to go</x:v>
      </x:c>
      <x:c r="Z112" t="n">
        <x:v>46119.28890380787</x:v>
      </x:c>
      <x:c r="AA112" t="str">
        <x:v>samsuddin.jumbri@petronas.com</x:v>
      </x:c>
      <x:c r="AB112" t="str">
        <x:v>approved</x:v>
      </x:c>
      <x:c r="AC112" t="str">
        <x:v>.</x:v>
      </x:c>
      <x:c r="AD112" t="n">
        <x:v>46121.38287260417</x:v>
      </x:c>
      <x:c r="AE112" t="str">
        <x:v>syazali.saad@petronas.com</x:v>
      </x:c>
      <x:c r="AF112" t="str">
        <x:v>approved</x:v>
      </x:c>
      <x:c r="AG112" t="str">
        <x:v>completed</x:v>
      </x:c>
      <x:c r="AH112" t="n">
        <x:v>46129.08733767361</x:v>
      </x:c>
      <x:c r="AI112" t="str">
        <x:v>amin.manshor@petronas.com</x:v>
      </x:c>
      <x:c r="AJ112" t="str">
        <x:v>approved</x:v>
      </x:c>
      <x:c r="AK112" t="str">
        <x:v>REQ000007980589</x:v>
      </x:c>
      <x:c r="AL112" t="str">
        <x:v>4e9ba02b-45f5-40b0-8fda-a54588d5903e</x:v>
      </x:c>
      <x:c r="AM112" s="23" t="str">
        <x:f>IF(E112="processing",IF(Z112="","",IF(ISNUMBER(Z112),INT(Z112),DATE(VALUE(LEFT(Z112,4)),VALUE(MID(Z112,6,2)),VALUE(MID(Z112,9,2))))),IF(OR(E112="executing",E112="pending"),IF(AD112="","",IF(ISNUMBER(AD112),INT(AD112),DATE(VALUE(LEFT(AD112,4)),VALUE(MID(AD112,6,2)),VALUE(MID(AD112,9,2))))),""))</x:f>
      </x:c>
      <x:c r="AN112" s="24" t="str">
        <x:f>IF(AM112="","",INT('Configuration'!$B$4)-AM112)</x:f>
      </x:c>
      <x:c r="AO112" s="25" t="str">
        <x:f>IF(AM112="","Missing Required Date",IF(AN112&lt;0,"Future Date",IF(AN112=0,"0 days",IF(AN112&lt;=2,"1-2 days",IF(AN112&lt;=7,"3-7 days",IF(AN112&lt;=14,"8-14 days",IF(AN112&lt;=30,"15-30 days",IF(AN112&lt;=60,"31-60 days",IF(AN112&lt;=70,"61-70 days","71+ days")))))))))</x:f>
        <x:v>Missing Required Date</x:v>
      </x:c>
      <x:c r="AP112" s="25" t="str">
        <x:f>IF(OR(E112="processing",E112="executing",E112="pending"),IF(AM112="","Required aging date missing",IF(AN112&gt;30,"Escalate &gt;30d",IF(AN112&gt;14,"Watch &gt;14d","Within 14d"))),"Out of scope")</x:f>
        <x:v>Out of scope</x:v>
      </x:c>
    </x:row>
    <x:row r="113" ht="24" customHeight="1">
      <x:c r="A113" t="str">
        <x:v>20865d57-7c57-47da-9d3d-198bd8815b99</x:v>
      </x:c>
      <x:c r="B113" t="str">
        <x:v>CSSP10769881</x:v>
      </x:c>
      <x:c r="C113" t="str">
        <x:v>harsukhvir.godrei@petronas.com</x:v>
      </x:c>
      <x:c r="D113" t="str">
        <x:v>provision-cloud-public</x:v>
      </x:c>
      <x:c r="E113" t="str">
        <x:v>completed</x:v>
      </x:c>
      <x:c r="F113" t="n">
        <x:v>46114.36075008102</x:v>
      </x:c>
      <x:c r="G113" t="n">
        <x:v>46114.36075008102</x:v>
      </x:c>
      <x:c r="H113" t="n">
        <x:v>46122.131456944444</x:v>
      </x:c>
      <x:c r="I113" t="str">
        <x:v>A-001334</x:v>
      </x:c>
      <x:c r="J113" t="str">
        <x:v>PETRONAS360 PRO</x:v>
      </x:c>
      <x:c r="K113" t="str">
        <x:v>PC-00087</x:v>
      </x:c>
      <x:c r="L113" t="str">
        <x:v>MS Fabric License for PETRONAS360 PRO POC</x:v>
      </x:c>
      <x:c r="M113" t="str">
        <x:v>yong.laiming@petronas.com.my</x:v>
      </x:c>
      <x:c r="N113" t="str">
        <x:v>PETRONAS360</x:v>
      </x:c>
      <x:c r="O113" t="str">
        <x:v>New</x:v>
      </x:c>
      <x:c r="P113" t="str">
        <x:v>Development</x:v>
      </x:c>
      <x:c r="Q113" t="str">
        <x:v>Require Fabric F2 license for POC to get Data agent </x:v>
      </x:c>
      <x:c r="R113" t="str">
        <x:v>S</x:v>
      </x:c>
      <x:c r="S113"/>
      <x:c r="T113"/>
      <x:c r="U113" t="str">
        <x:v>POC on Microsoft co-pilot &amp; PETRONAS360</x:v>
      </x:c>
      <x:c r="V113" t="n">
        <x:v>46114.41490079861</x:v>
      </x:c>
      <x:c r="W113" t="str">
        <x:v>yong.laiming@petronas.com</x:v>
      </x:c>
      <x:c r="X113" t="str">
        <x:v>approved</x:v>
      </x:c>
      <x:c r="Y113" t="str">
        <x:v>Good to go</x:v>
      </x:c>
      <x:c r="Z113" t="n">
        <x:v>46118.09563318287</x:v>
      </x:c>
      <x:c r="AA113" t="str">
        <x:v>samsuddin.jumbri@petronas.com</x:v>
      </x:c>
      <x:c r="AB113" t="str">
        <x:v>approved</x:v>
      </x:c>
      <x:c r="AC113" t="str">
        <x:v>deploy fabric license</x:v>
      </x:c>
      <x:c r="AD113" t="n">
        <x:v>46119.0858241088</x:v>
      </x:c>
      <x:c r="AE113" t="str">
        <x:v>syazali.saad@petronas.com</x:v>
      </x:c>
      <x:c r="AF113" t="str">
        <x:v>approved</x:v>
      </x:c>
      <x:c r="AG113" t="str">
        <x:v>The fabric ptazsg5ptpropocfabric01 has been provisioned and assigned with F2 license</x:v>
      </x:c>
      <x:c r="AH113" t="n">
        <x:v>46122.13145695602</x:v>
      </x:c>
      <x:c r="AI113" t="str">
        <x:v>muhdfirdaus.muhamad@petronas.com</x:v>
      </x:c>
      <x:c r="AJ113" t="str">
        <x:v>approved</x:v>
      </x:c>
      <x:c r="AK113" t="str">
        <x:v>REQ000007973305</x:v>
      </x:c>
      <x:c r="AL113" t="str">
        <x:v>c4fec439-0b2c-4ce2-b258-61a1ee373d09</x:v>
      </x:c>
      <x:c r="AM113" s="23" t="str">
        <x:f>IF(E113="processing",IF(Z113="","",IF(ISNUMBER(Z113),INT(Z113),DATE(VALUE(LEFT(Z113,4)),VALUE(MID(Z113,6,2)),VALUE(MID(Z113,9,2))))),IF(OR(E113="executing",E113="pending"),IF(AD113="","",IF(ISNUMBER(AD113),INT(AD113),DATE(VALUE(LEFT(AD113,4)),VALUE(MID(AD113,6,2)),VALUE(MID(AD113,9,2))))),""))</x:f>
      </x:c>
      <x:c r="AN113" s="24" t="str">
        <x:f>IF(AM113="","",INT('Configuration'!$B$4)-AM113)</x:f>
      </x:c>
      <x:c r="AO113" s="25" t="str">
        <x:f>IF(AM113="","Missing Required Date",IF(AN113&lt;0,"Future Date",IF(AN113=0,"0 days",IF(AN113&lt;=2,"1-2 days",IF(AN113&lt;=7,"3-7 days",IF(AN113&lt;=14,"8-14 days",IF(AN113&lt;=30,"15-30 days",IF(AN113&lt;=60,"31-60 days",IF(AN113&lt;=70,"61-70 days","71+ days")))))))))</x:f>
        <x:v>Missing Required Date</x:v>
      </x:c>
      <x:c r="AP113" s="25" t="str">
        <x:f>IF(OR(E113="processing",E113="executing",E113="pending"),IF(AM113="","Required aging date missing",IF(AN113&gt;30,"Escalate &gt;30d",IF(AN113&gt;14,"Watch &gt;14d","Within 14d"))),"Out of scope")</x:f>
        <x:v>Out of scope</x:v>
      </x:c>
    </x:row>
    <x:row r="114" ht="24" customHeight="1">
      <x:c r="A114" t="str">
        <x:v>4cfe86bc-f194-45f0-b422-3afa92653756</x:v>
      </x:c>
      <x:c r="B114" t="str">
        <x:v>CSSP10237634</x:v>
      </x:c>
      <x:c r="C114" t="str">
        <x:v>rusnani.mamat@petronas.com</x:v>
      </x:c>
      <x:c r="D114" t="str">
        <x:v>provision-cloud-public</x:v>
      </x:c>
      <x:c r="E114" t="str">
        <x:v>completed</x:v>
      </x:c>
      <x:c r="F114" t="n">
        <x:v>46115.106471527775</x:v>
      </x:c>
      <x:c r="G114" t="n">
        <x:v>46115.106471527775</x:v>
      </x:c>
      <x:c r="H114" t="n">
        <x:v>46126.07633645833</x:v>
      </x:c>
      <x:c r="I114" t="str">
        <x:v>A-000031</x:v>
      </x:c>
      <x:c r="J114" t="str">
        <x:v>Augmented Gas Nomination Ecosystem - AGNES</x:v>
      </x:c>
      <x:c r="K114" t="n">
        <x:v>209</x:v>
      </x:c>
      <x:c r="L114" t="str">
        <x:v>Establishment of Augmented Gas Nomination EcoSystem (AGNES) DevSecOps for Malaysia Petroleum Management (MPM)</x:v>
      </x:c>
      <x:c r="M114" t="str">
        <x:v>faradina.mohamed@petronas.com.my</x:v>
      </x:c>
      <x:c r="N114" t="str">
        <x:v>Establishment of AGNES DevSecOps for MPM</x:v>
      </x:c>
      <x:c r="O114" t="str">
        <x:v>New</x:v>
      </x:c>
      <x:c r="P114" t="str">
        <x:v>StagingUat</x:v>
      </x:c>
      <x:c r="Q114" t="str">
        <x:v>Request for Azure Data Factory (ADF) provisioning. ADF is needed to migrate the data from 1 SQL server to another SQL server. TQ</x:v>
      </x:c>
      <x:c r="R114" t="str">
        <x:v>M</x:v>
      </x:c>
      <x:c r="S114"/>
      <x:c r="T114"/>
      <x:c r="U114" t="str">
        <x:v>require for temp data migration </x:v>
      </x:c>
      <x:c r="V114" t="n">
        <x:v>46115.15099962963</x:v>
      </x:c>
      <x:c r="W114" t="str">
        <x:v>faradina.mohamed@petronas.com</x:v>
      </x:c>
      <x:c r="X114" t="str">
        <x:v>approved</x:v>
      </x:c>
      <x:c r="Y114" t="str">
        <x:v>Good to go</x:v>
      </x:c>
      <x:c r="Z114" t="n">
        <x:v>46118.0973315625</x:v>
      </x:c>
      <x:c r="AA114" t="str">
        <x:v>samsuddin.jumbri@petronas.com</x:v>
      </x:c>
      <x:c r="AB114" t="str">
        <x:v>approved</x:v>
      </x:c>
      <x:c r="AC114" t="str">
        <x:v>staging. + ADF and storage account.
</x:v>
      </x:c>
      <x:c r="AD114" t="n">
        <x:v>46119.0798672338</x:v>
      </x:c>
      <x:c r="AE114" t="str">
        <x:v>syazali.saad@petronas.com</x:v>
      </x:c>
      <x:c r="AF114" t="str">
        <x:v>approved</x:v>
      </x:c>
      <x:c r="AG114" t="str">
        <x:v>data factory provisioned</x:v>
      </x:c>
      <x:c r="AH114" t="n">
        <x:v>46126.07633646991</x:v>
      </x:c>
      <x:c r="AI114" t="str">
        <x:v>mhafizi.madnan@petronas.com</x:v>
      </x:c>
      <x:c r="AJ114" t="str">
        <x:v>approved</x:v>
      </x:c>
      <x:c r="AK114" t="str">
        <x:v>REQ000007973298</x:v>
      </x:c>
      <x:c r="AL114" t="str">
        <x:v>a3f54c5f-6942-4740-96ec-b35604ec2ace</x:v>
      </x:c>
      <x:c r="AM114" s="23" t="str">
        <x:f>IF(E114="processing",IF(Z114="","",IF(ISNUMBER(Z114),INT(Z114),DATE(VALUE(LEFT(Z114,4)),VALUE(MID(Z114,6,2)),VALUE(MID(Z114,9,2))))),IF(OR(E114="executing",E114="pending"),IF(AD114="","",IF(ISNUMBER(AD114),INT(AD114),DATE(VALUE(LEFT(AD114,4)),VALUE(MID(AD114,6,2)),VALUE(MID(AD114,9,2))))),""))</x:f>
      </x:c>
      <x:c r="AN114" s="24" t="str">
        <x:f>IF(AM114="","",INT('Configuration'!$B$4)-AM114)</x:f>
      </x:c>
      <x:c r="AO114" s="25" t="str">
        <x:f>IF(AM114="","Missing Required Date",IF(AN114&lt;0,"Future Date",IF(AN114=0,"0 days",IF(AN114&lt;=2,"1-2 days",IF(AN114&lt;=7,"3-7 days",IF(AN114&lt;=14,"8-14 days",IF(AN114&lt;=30,"15-30 days",IF(AN114&lt;=60,"31-60 days",IF(AN114&lt;=70,"61-70 days","71+ days")))))))))</x:f>
        <x:v>Missing Required Date</x:v>
      </x:c>
      <x:c r="AP114" s="25" t="str">
        <x:f>IF(OR(E114="processing",E114="executing",E114="pending"),IF(AM114="","Required aging date missing",IF(AN114&gt;30,"Escalate &gt;30d",IF(AN114&gt;14,"Watch &gt;14d","Within 14d"))),"Out of scope")</x:f>
        <x:v>Out of scope</x:v>
      </x:c>
    </x:row>
    <x:row r="115" ht="24" customHeight="1">
      <x:c r="A115" t="str">
        <x:v>606cae02-87cc-435a-a299-bc2ea55f8ff8</x:v>
      </x:c>
      <x:c r="B115" t="str">
        <x:v>CSSP10397504</x:v>
      </x:c>
      <x:c r="C115" t="str">
        <x:v>ettonnarimah@petronas.com</x:v>
      </x:c>
      <x:c r="D115" t="str">
        <x:v>provision-cloud-public</x:v>
      </x:c>
      <x:c r="E115" t="str">
        <x:v>completed</x:v>
      </x:c>
      <x:c r="F115" t="n">
        <x:v>46119.088592939814</x:v>
      </x:c>
      <x:c r="G115" t="n">
        <x:v>46119.088592939814</x:v>
      </x:c>
      <x:c r="H115" t="n">
        <x:v>46132.018281979166</x:v>
      </x:c>
      <x:c r="I115" t="str">
        <x:v>A-000037</x:v>
      </x:c>
      <x:c r="J115" t="str">
        <x:v>AI Enablement Framework</x:v>
      </x:c>
      <x:c r="K115" t="n">
        <x:v>3437</x:v>
      </x:c>
      <x:c r="L115" t="str">
        <x:v>Support and Maintenance for AI Enablement Framework 2023-2024 for PDB</x:v>
      </x:c>
      <x:c r="M115" t="str">
        <x:v>mariful.islam@petronas.com.my</x:v>
      </x:c>
      <x:c r="N115" t="str">
        <x:v>AI Enablement for PDB</x:v>
      </x:c>
      <x:c r="O115" t="str">
        <x:v>Modify</x:v>
      </x:c>
      <x:c r="P115" t="str">
        <x:v>Development</x:v>
      </x:c>
      <x:c r="Q115" t="str">
        <x:v>Compute Name: PDB CAD - ALIYAH Assign to: Nur Aina Aliyah Yusry Effendy (nurainaaliyah.yusrye@petronas.com.my) Virtual Machine Size: Standard_DS15_v2 20 cores, 140 GB RAM, 280 GB disk) Scheduling Auto Shut Down: 60 minutes</x:v>
      </x:c>
      <x:c r="R115" t="str">
        <x:v>S</x:v>
      </x:c>
      <x:c r="S115"/>
      <x:c r="T115"/>
      <x:c r="U115" t="str">
        <x:v>Ok </x:v>
      </x:c>
      <x:c r="V115" t="n">
        <x:v>46119.12889222222</x:v>
      </x:c>
      <x:c r="W115" t="str">
        <x:v>mariful.islam@petronas.com</x:v>
      </x:c>
      <x:c r="X115" t="str">
        <x:v>approved</x:v>
      </x:c>
      <x:c r="Y115" t="str">
        <x:v>Good to go</x:v>
      </x:c>
      <x:c r="Z115" t="n">
        <x:v>46120.37012378472</x:v>
      </x:c>
      <x:c r="AA115" t="str">
        <x:v>samsuddin.jumbri@petronas.com</x:v>
      </x:c>
      <x:c r="AB115" t="str">
        <x:v>approved</x:v>
      </x:c>
      <x:c r="AC115" t="str">
        <x:v>ML</x:v>
      </x:c>
      <x:c r="AD115" t="n">
        <x:v>46121.384109502316</x:v>
      </x:c>
      <x:c r="AE115" t="str">
        <x:v>syazali.saad@petronas.com</x:v>
      </x:c>
      <x:c r="AF115" t="str">
        <x:v>approved</x:v>
      </x:c>
      <x:c r="AG115" t="str">
        <x:v>done. </x:v>
      </x:c>
      <x:c r="AH115" t="n">
        <x:v>46132.01828199074</x:v>
      </x:c>
      <x:c r="AI115" t="str">
        <x:v>azhan.shazeli@petronas.com</x:v>
      </x:c>
      <x:c r="AJ115" t="str">
        <x:v>approved</x:v>
      </x:c>
      <x:c r="AK115" t="str">
        <x:v>REQ000007980833</x:v>
      </x:c>
      <x:c r="AL115" t="str">
        <x:v>f99ec12f-a075-40d0-8957-15cd4e72ddb4</x:v>
      </x:c>
      <x:c r="AM115" s="23" t="str">
        <x:f>IF(E115="processing",IF(Z115="","",IF(ISNUMBER(Z115),INT(Z115),DATE(VALUE(LEFT(Z115,4)),VALUE(MID(Z115,6,2)),VALUE(MID(Z115,9,2))))),IF(OR(E115="executing",E115="pending"),IF(AD115="","",IF(ISNUMBER(AD115),INT(AD115),DATE(VALUE(LEFT(AD115,4)),VALUE(MID(AD115,6,2)),VALUE(MID(AD115,9,2))))),""))</x:f>
      </x:c>
      <x:c r="AN115" s="24" t="str">
        <x:f>IF(AM115="","",INT('Configuration'!$B$4)-AM115)</x:f>
      </x:c>
      <x:c r="AO115" s="25" t="str">
        <x:f>IF(AM115="","Missing Required Date",IF(AN115&lt;0,"Future Date",IF(AN115=0,"0 days",IF(AN115&lt;=2,"1-2 days",IF(AN115&lt;=7,"3-7 days",IF(AN115&lt;=14,"8-14 days",IF(AN115&lt;=30,"15-30 days",IF(AN115&lt;=60,"31-60 days",IF(AN115&lt;=70,"61-70 days","71+ days")))))))))</x:f>
        <x:v>Missing Required Date</x:v>
      </x:c>
      <x:c r="AP115" s="25" t="str">
        <x:f>IF(OR(E115="processing",E115="executing",E115="pending"),IF(AM115="","Required aging date missing",IF(AN115&gt;30,"Escalate &gt;30d",IF(AN115&gt;14,"Watch &gt;14d","Within 14d"))),"Out of scope")</x:f>
        <x:v>Out of scope</x:v>
      </x:c>
    </x:row>
    <x:row r="116" ht="24" customHeight="1">
      <x:c r="A116" t="str">
        <x:v>7f738736-12b5-42c4-ba07-2a384bbbfd9c</x:v>
      </x:c>
      <x:c r="B116" t="str">
        <x:v>CSSP10104844</x:v>
      </x:c>
      <x:c r="C116" t="str">
        <x:v>suliza.sumari@petronas.com</x:v>
      </x:c>
      <x:c r="D116" t="str">
        <x:v>provision-cloud-public</x:v>
      </x:c>
      <x:c r="E116" t="str">
        <x:v>completed</x:v>
      </x:c>
      <x:c r="F116" t="n">
        <x:v>46119.153086701386</x:v>
      </x:c>
      <x:c r="G116" t="n">
        <x:v>46119.153086701386</x:v>
      </x:c>
      <x:c r="H116" t="n">
        <x:v>46126.10800678241</x:v>
      </x:c>
      <x:c r="I116" t="str">
        <x:v>A-000491</x:v>
      </x:c>
      <x:c r="J116" t="str">
        <x:v>MyPROData</x:v>
      </x:c>
      <x:c r="K116" t="n">
        <x:v>4583</x:v>
      </x:c>
      <x:c r="L116" t="str">
        <x:v>Shared Support Services (SecOps) myPROdata FY2025 for Malaysia Petroleum Management (MPM)</x:v>
      </x:c>
      <x:c r="M116" t="str">
        <x:v>wadiah.rusli@petronas.com.my</x:v>
      </x:c>
      <x:c r="N116" t="str">
        <x:v>myPROdata</x:v>
      </x:c>
      <x:c r="O116" t="str">
        <x:v>Modify</x:v>
      </x:c>
      <x:c r="P116" t="str">
        <x:v>StagingUat</x:v>
      </x:c>
      <x:c r="Q116" t="str">
        <x:v>Request for RAM upgrade for the myPROdata staging server from 32GB to 64 GB. Detail of server is as below;
Server environment: Staging App	
Server Name: PTSG-4ArcGisap1.PETRONAS.PETRONET.DIR	
IP Address: 172.25.52.193	
Hostname: PTSG-4ArcGisap1
</x:v>
      </x:c>
      <x:c r="R116" t="str">
        <x:v>M</x:v>
      </x:c>
      <x:c r="S116"/>
      <x:c r="T116"/>
      <x:c r="U116" t="str">
        <x:v>Please expedite to ensure operations are optimal.</x:v>
      </x:c>
      <x:c r="V116" t="n">
        <x:v>46119.31971751157</x:v>
      </x:c>
      <x:c r="W116" t="str">
        <x:v>wadiah.rusli@petronas.com</x:v>
      </x:c>
      <x:c r="X116" t="str">
        <x:v>approved</x:v>
      </x:c>
      <x:c r="Y116" t="str">
        <x:v>Approved. Upgrade RAM for only 1 server: PTSG-4ArcGisap1.PETRONAS.PETRONET.DIR in PTAZSG-UAT-ARCGIS-RG</x:v>
      </x:c>
      <x:c r="Z116" t="n">
        <x:v>46120.097572094906</x:v>
      </x:c>
      <x:c r="AA116" t="str">
        <x:v>kianleng.geh@petronas.com</x:v>
      </x:c>
      <x:c r="AB116" t="str">
        <x:v>approved</x:v>
      </x:c>
      <x:c r="AC116" t="str">
        <x:v>nonprod OLZ upgrade</x:v>
      </x:c>
      <x:c r="AD116" t="n">
        <x:v>46121.11392928241</x:v>
      </x:c>
      <x:c r="AE116" t="str">
        <x:v>syazali.saad@petronas.com</x:v>
      </x:c>
      <x:c r="AF116" t="str">
        <x:v>approved</x:v>
      </x:c>
      <x:c r="AG116" t="str">
        <x:v>done</x:v>
      </x:c>
      <x:c r="AH116" t="n">
        <x:v>46126.10800678241</x:v>
      </x:c>
      <x:c r="AI116" t="str">
        <x:v>izham.ajmaan@petronas.com</x:v>
      </x:c>
      <x:c r="AJ116" t="str">
        <x:v>approved</x:v>
      </x:c>
      <x:c r="AK116" t="str">
        <x:v>REQ000007978815</x:v>
      </x:c>
      <x:c r="AL116" t="str">
        <x:v>ebc92a57-efcb-4ea1-91f3-f2e35a11c936</x:v>
      </x:c>
      <x:c r="AM116" s="23" t="str">
        <x:f>IF(E116="processing",IF(Z116="","",IF(ISNUMBER(Z116),INT(Z116),DATE(VALUE(LEFT(Z116,4)),VALUE(MID(Z116,6,2)),VALUE(MID(Z116,9,2))))),IF(OR(E116="executing",E116="pending"),IF(AD116="","",IF(ISNUMBER(AD116),INT(AD116),DATE(VALUE(LEFT(AD116,4)),VALUE(MID(AD116,6,2)),VALUE(MID(AD116,9,2))))),""))</x:f>
      </x:c>
      <x:c r="AN116" s="24" t="str">
        <x:f>IF(AM116="","",INT('Configuration'!$B$4)-AM116)</x:f>
      </x:c>
      <x:c r="AO116" s="25" t="str">
        <x:f>IF(AM116="","Missing Required Date",IF(AN116&lt;0,"Future Date",IF(AN116=0,"0 days",IF(AN116&lt;=2,"1-2 days",IF(AN116&lt;=7,"3-7 days",IF(AN116&lt;=14,"8-14 days",IF(AN116&lt;=30,"15-30 days",IF(AN116&lt;=60,"31-60 days",IF(AN116&lt;=70,"61-70 days","71+ days")))))))))</x:f>
        <x:v>Missing Required Date</x:v>
      </x:c>
      <x:c r="AP116" s="25" t="str">
        <x:f>IF(OR(E116="processing",E116="executing",E116="pending"),IF(AM116="","Required aging date missing",IF(AN116&gt;30,"Escalate &gt;30d",IF(AN116&gt;14,"Watch &gt;14d","Within 14d"))),"Out of scope")</x:f>
        <x:v>Out of scope</x:v>
      </x:c>
    </x:row>
    <x:row r="117" ht="24" customHeight="1">
      <x:c r="A117" t="str">
        <x:v>e1f6d44d-4da1-47b2-b9e3-ad9012f64cba</x:v>
      </x:c>
      <x:c r="B117" t="str">
        <x:v>CSSP10326926</x:v>
      </x:c>
      <x:c r="C117" t="str">
        <x:v>mhelmi.abdaziz@petronas.com</x:v>
      </x:c>
      <x:c r="D117" t="str">
        <x:v>provision-cloud-public</x:v>
      </x:c>
      <x:c r="E117" t="str">
        <x:v>completed</x:v>
      </x:c>
      <x:c r="F117" t="n">
        <x:v>46119.32990670139</x:v>
      </x:c>
      <x:c r="G117" t="n">
        <x:v>46120.31125886574</x:v>
      </x:c>
      <x:c r="H117" t="n">
        <x:v>46128.38205564815</x:v>
      </x:c>
      <x:c r="I117" t="str">
        <x:v>A-000510</x:v>
      </x:c>
      <x:c r="J117" t="str">
        <x:v>OASIS Infra provisioning</x:v>
      </x:c>
      <x:c r="K117" t="n">
        <x:v>4495</x:v>
      </x:c>
      <x:c r="L117" t="str">
        <x:v>OASIS Infra provisioning</x:v>
      </x:c>
      <x:c r="M117" t="str">
        <x:v>izayu.ismail@petronas.com</x:v>
      </x:c>
      <x:c r="N117" t="str">
        <x:v>Provision of Infra for OASIS Modernization for PDB</x:v>
      </x:c>
      <x:c r="O117" t="str">
        <x:v>Modify</x:v>
      </x:c>
      <x:c r="P117" t="str">
        <x:v>Production</x:v>
      </x:c>
      <x:c r="Q117" t="str">
        <x:v>Azure Front Door is required as a public entry point to handle external eDM click‑tracking traffic, ensuring proper SSL termination and transparent forwarding to downstream services (SendGrid/Braze) to resolve current link unwrapping issues.</x:v>
      </x:c>
      <x:c r="R117" t="str">
        <x:v>S</x:v>
      </x:c>
      <x:c r="S117" t="str">
        <x:v>N/A</x:v>
      </x:c>
      <x:c r="T117"/>
      <x:c r="U117" t="str">
        <x:v>Approved as per business confirmation email.</x:v>
      </x:c>
      <x:c r="V117" t="n">
        <x:v>46120.313588958335</x:v>
      </x:c>
      <x:c r="W117" t="str">
        <x:v>izayu.ismail@petronas.com</x:v>
      </x:c>
      <x:c r="X117" t="str">
        <x:v>approved</x:v>
      </x:c>
      <x:c r="Y117" t="str">
        <x:v>Good to go</x:v>
      </x:c>
      <x:c r="Z117" t="n">
        <x:v>46120.317961712964</x:v>
      </x:c>
      <x:c r="AA117" t="str">
        <x:v>samsuddin.jumbri@petronas.com</x:v>
      </x:c>
      <x:c r="AB117" t="str">
        <x:v>approved</x:v>
      </x:c>
      <x:c r="AC117" t="str">
        <x:v>frontdoor</x:v>
      </x:c>
      <x:c r="AD117" t="n">
        <x:v>46121.38051613426</x:v>
      </x:c>
      <x:c r="AE117" t="str">
        <x:v>syazali.saad@petronas.com</x:v>
      </x:c>
      <x:c r="AF117" t="str">
        <x:v>approved</x:v>
      </x:c>
      <x:c r="AG117" t="str">
        <x:v>completed</x:v>
      </x:c>
      <x:c r="AH117" t="n">
        <x:v>46128.38205565972</x:v>
      </x:c>
      <x:c r="AI117" t="str">
        <x:v>akhmal.roslan@petronas.com</x:v>
      </x:c>
      <x:c r="AJ117" t="str">
        <x:v>approved</x:v>
      </x:c>
      <x:c r="AK117" t="str">
        <x:v>REQ000007980584</x:v>
      </x:c>
      <x:c r="AL117" t="str">
        <x:v>613431ac-fd85-4e43-891e-042bf980fe35</x:v>
      </x:c>
      <x:c r="AM117" s="23" t="str">
        <x:f>IF(E117="processing",IF(Z117="","",IF(ISNUMBER(Z117),INT(Z117),DATE(VALUE(LEFT(Z117,4)),VALUE(MID(Z117,6,2)),VALUE(MID(Z117,9,2))))),IF(OR(E117="executing",E117="pending"),IF(AD117="","",IF(ISNUMBER(AD117),INT(AD117),DATE(VALUE(LEFT(AD117,4)),VALUE(MID(AD117,6,2)),VALUE(MID(AD117,9,2))))),""))</x:f>
      </x:c>
      <x:c r="AN117" s="24" t="str">
        <x:f>IF(AM117="","",INT('Configuration'!$B$4)-AM117)</x:f>
      </x:c>
      <x:c r="AO117" s="25" t="str">
        <x:f>IF(AM117="","Missing Required Date",IF(AN117&lt;0,"Future Date",IF(AN117=0,"0 days",IF(AN117&lt;=2,"1-2 days",IF(AN117&lt;=7,"3-7 days",IF(AN117&lt;=14,"8-14 days",IF(AN117&lt;=30,"15-30 days",IF(AN117&lt;=60,"31-60 days",IF(AN117&lt;=70,"61-70 days","71+ days")))))))))</x:f>
        <x:v>Missing Required Date</x:v>
      </x:c>
      <x:c r="AP117" s="25" t="str">
        <x:f>IF(OR(E117="processing",E117="executing",E117="pending"),IF(AM117="","Required aging date missing",IF(AN117&gt;30,"Escalate &gt;30d",IF(AN117&gt;14,"Watch &gt;14d","Within 14d"))),"Out of scope")</x:f>
        <x:v>Out of scope</x:v>
      </x:c>
    </x:row>
    <x:row r="118" ht="24" customHeight="1">
      <x:c r="A118" t="str">
        <x:v>b2e0ff9c-eddc-4f40-b416-6a04a3120c8d</x:v>
      </x:c>
      <x:c r="B118" t="str">
        <x:v>CSSP10441441</x:v>
      </x:c>
      <x:c r="C118" t="str">
        <x:v>sitisazreena.myusof@petronas.com</x:v>
      </x:c>
      <x:c r="D118" t="str">
        <x:v>provision-cloud-public</x:v>
      </x:c>
      <x:c r="E118" t="str">
        <x:v>completed</x:v>
      </x:c>
      <x:c r="F118" t="n">
        <x:v>46122.211081284724</x:v>
      </x:c>
      <x:c r="G118" t="n">
        <x:v>46122.2129500463</x:v>
      </x:c>
      <x:c r="H118" t="n">
        <x:v>46133.11610574074</x:v>
      </x:c>
      <x:c r="I118" t="str">
        <x:v>A-001331</x:v>
      </x:c>
      <x:c r="J118" t="str">
        <x:v>Process Director for BRB</x:v>
      </x:c>
      <x:c r="K118" t="str">
        <x:v>SR00585</x:v>
      </x:c>
      <x:c r="L118" t="str">
        <x:v>Implementation of Invoice Processing for BRB</x:v>
      </x:c>
      <x:c r="M118" t="str">
        <x:v>sarabjeetsingh.meha@petronas.com.my</x:v>
      </x:c>
      <x:c r="N118" t="str">
        <x:v>SAP Project BRB</x:v>
      </x:c>
      <x:c r="O118" t="str">
        <x:v>New</x:v>
      </x:c>
      <x:c r="P118" t="str">
        <x:v>Production</x:v>
      </x:c>
      <x:c r="Q118" t="str">
        <x:v>Add-on to CSSP10732948</x:v>
      </x:c>
      <x:c r="R118" t="str">
        <x:v>S</x:v>
      </x:c>
      <x:c r="S118"/>
      <x:c r="T118"/>
      <x:c r="U118" t="str">
        <x:v>Approved as requirement</x:v>
      </x:c>
      <x:c r="V118" t="n">
        <x:v>46122.21395942129</x:v>
      </x:c>
      <x:c r="W118" t="str">
        <x:v>sarabjeetsingh.meha@petronas.com</x:v>
      </x:c>
      <x:c r="X118" t="str">
        <x:v>approved</x:v>
      </x:c>
      <x:c r="Y118" t="str">
        <x:v>Good to go</x:v>
      </x:c>
      <x:c r="Z118" t="n">
        <x:v>46122.27692712963</x:v>
      </x:c>
      <x:c r="AA118" t="str">
        <x:v>samsuddin.jumbri@petronas.com</x:v>
      </x:c>
      <x:c r="AB118" t="str">
        <x:v>approved</x:v>
      </x:c>
      <x:c r="AC118" t="str">
        <x:v>CSSP10732948 (dev)
CSSP10441441 (prod)</x:v>
      </x:c>
      <x:c r="AD118" t="n">
        <x:v>46124.99815086806</x:v>
      </x:c>
      <x:c r="AE118" t="str">
        <x:v>syazali.saad@petronas.com</x:v>
      </x:c>
      <x:c r="AF118" t="str">
        <x:v>approved</x:v>
      </x:c>
      <x:c r="AG118" t="str">
        <x:v>completed</x:v>
      </x:c>
      <x:c r="AH118" t="n">
        <x:v>46133.11610574074</x:v>
      </x:c>
      <x:c r="AI118" t="str">
        <x:v>darliz.zainol@petronas.com</x:v>
      </x:c>
      <x:c r="AJ118" t="str">
        <x:v>approved</x:v>
      </x:c>
      <x:c r="AK118" t="str">
        <x:v>REQ000007984390</x:v>
      </x:c>
      <x:c r="AL118" t="str">
        <x:v>32bf3704-001f-4f9d-bbfa-7974a79e112d</x:v>
      </x:c>
      <x:c r="AM118" s="23" t="str">
        <x:f>IF(E118="processing",IF(Z118="","",IF(ISNUMBER(Z118),INT(Z118),DATE(VALUE(LEFT(Z118,4)),VALUE(MID(Z118,6,2)),VALUE(MID(Z118,9,2))))),IF(OR(E118="executing",E118="pending"),IF(AD118="","",IF(ISNUMBER(AD118),INT(AD118),DATE(VALUE(LEFT(AD118,4)),VALUE(MID(AD118,6,2)),VALUE(MID(AD118,9,2))))),""))</x:f>
      </x:c>
      <x:c r="AN118" s="24" t="str">
        <x:f>IF(AM118="","",INT('Configuration'!$B$4)-AM118)</x:f>
      </x:c>
      <x:c r="AO118" s="25" t="str">
        <x:f>IF(AM118="","Missing Required Date",IF(AN118&lt;0,"Future Date",IF(AN118=0,"0 days",IF(AN118&lt;=2,"1-2 days",IF(AN118&lt;=7,"3-7 days",IF(AN118&lt;=14,"8-14 days",IF(AN118&lt;=30,"15-30 days",IF(AN118&lt;=60,"31-60 days",IF(AN118&lt;=70,"61-70 days","71+ days")))))))))</x:f>
        <x:v>Missing Required Date</x:v>
      </x:c>
      <x:c r="AP118" s="25" t="str">
        <x:f>IF(OR(E118="processing",E118="executing",E118="pending"),IF(AM118="","Required aging date missing",IF(AN118&gt;30,"Escalate &gt;30d",IF(AN118&gt;14,"Watch &gt;14d","Within 14d"))),"Out of scope")</x:f>
        <x:v>Out of scope</x:v>
      </x:c>
    </x:row>
    <x:row r="119" ht="24" customHeight="1">
      <x:c r="A119" t="str">
        <x:v>4f7bc192-9e81-4a7a-8ee6-5a64c64cb158</x:v>
      </x:c>
      <x:c r="B119" t="str">
        <x:v>CSSP10663979</x:v>
      </x:c>
      <x:c r="C119" t="str">
        <x:v>arul.britto@petronas.com</x:v>
      </x:c>
      <x:c r="D119" t="str">
        <x:v>provision-cloud-public</x:v>
      </x:c>
      <x:c r="E119" t="str">
        <x:v>completed</x:v>
      </x:c>
      <x:c r="F119" t="n">
        <x:v>46122.41706356481</x:v>
      </x:c>
      <x:c r="G119" t="n">
        <x:v>46132.27437856481</x:v>
      </x:c>
      <x:c r="H119" t="n">
        <x:v>46140.43065508102</x:v>
      </x:c>
      <x:c r="I119" t="str">
        <x:v>A-000064</x:v>
      </x:c>
      <x:c r="J119" t="str">
        <x:v>Zidane OVC</x:v>
      </x:c>
      <x:c r="K119" t="n">
        <x:v>4569</x:v>
      </x:c>
      <x:c r="L119" t="str">
        <x:v>Provision of Professional Service, Software License and Infra for ArBiTra (OVC &amp; LVC) 2025 for PTLCL</x:v>
      </x:c>
      <x:c r="M119" t="str">
        <x:v>yap.winhong@petronas.com.my</x:v>
      </x:c>
      <x:c r="N119" t="str">
        <x:v>ArBiTra Phase 3 - IT Sub Modules</x:v>
      </x:c>
      <x:c r="O119" t="str">
        <x:v>New</x:v>
      </x:c>
      <x:c r="P119" t="str">
        <x:v>Development</x:v>
      </x:c>
      <x:c r="Q119" t="str">
        <x:v>Request Azure Document Intelligence subscription, to extract content from PDF for market data</x:v>
      </x:c>
      <x:c r="R119" t="str">
        <x:v>L</x:v>
      </x:c>
      <x:c r="S119"/>
      <x:c r="T119"/>
      <x:c r="U119" t="str">
        <x:v>Approve</x:v>
      </x:c>
      <x:c r="V119" t="n">
        <x:v>46132.63048954861</x:v>
      </x:c>
      <x:c r="W119" t="str">
        <x:v>yap.winhong@petronas.com</x:v>
      </x:c>
      <x:c r="X119" t="str">
        <x:v>approved</x:v>
      </x:c>
      <x:c r="Y119" t="str">
        <x:v>To configure AWS Databrick workspace /26 per subnet</x:v>
      </x:c>
      <x:c r="Z119" t="n">
        <x:v>46139.10971408565</x:v>
      </x:c>
      <x:c r="AA119" t="str">
        <x:v>fathulrahman.misba@petronas.com</x:v>
      </x:c>
      <x:c r="AB119" t="str">
        <x:v>approved</x:v>
      </x:c>
      <x:c r="AC119" t="str">
        <x:v>Proceed</x:v>
      </x:c>
      <x:c r="AD119" t="n">
        <x:v>46139.149759872686</x:v>
      </x:c>
      <x:c r="AE119" t="str">
        <x:v>azwan.badari@petronas.com</x:v>
      </x:c>
      <x:c r="AF119" t="str">
        <x:v>approved</x:v>
      </x:c>
      <x:c r="AG119" t="str">
        <x:v>Completed</x:v>
      </x:c>
      <x:c r="AH119" t="n">
        <x:v>46140.43065508102</x:v>
      </x:c>
      <x:c r="AI119" t="str">
        <x:v>badri.shaharudin@petronas.com</x:v>
      </x:c>
      <x:c r="AJ119" t="str">
        <x:v>approved</x:v>
      </x:c>
      <x:c r="AK119" t="str">
        <x:v>REQ000008013554</x:v>
      </x:c>
      <x:c r="AL119" t="str">
        <x:v>866cd81d-011e-424b-b696-e232f59deeb1</x:v>
      </x:c>
      <x:c r="AM119" s="23" t="str">
        <x:f>IF(E119="processing",IF(Z119="","",IF(ISNUMBER(Z119),INT(Z119),DATE(VALUE(LEFT(Z119,4)),VALUE(MID(Z119,6,2)),VALUE(MID(Z119,9,2))))),IF(OR(E119="executing",E119="pending"),IF(AD119="","",IF(ISNUMBER(AD119),INT(AD119),DATE(VALUE(LEFT(AD119,4)),VALUE(MID(AD119,6,2)),VALUE(MID(AD119,9,2))))),""))</x:f>
      </x:c>
      <x:c r="AN119" s="24" t="str">
        <x:f>IF(AM119="","",INT('Configuration'!$B$4)-AM119)</x:f>
      </x:c>
      <x:c r="AO119" s="25" t="str">
        <x:f>IF(AM119="","Missing Required Date",IF(AN119&lt;0,"Future Date",IF(AN119=0,"0 days",IF(AN119&lt;=2,"1-2 days",IF(AN119&lt;=7,"3-7 days",IF(AN119&lt;=14,"8-14 days",IF(AN119&lt;=30,"15-30 days",IF(AN119&lt;=60,"31-60 days",IF(AN119&lt;=70,"61-70 days","71+ days")))))))))</x:f>
        <x:v>Missing Required Date</x:v>
      </x:c>
      <x:c r="AP119" s="25" t="str">
        <x:f>IF(OR(E119="processing",E119="executing",E119="pending"),IF(AM119="","Required aging date missing",IF(AN119&gt;30,"Escalate &gt;30d",IF(AN119&gt;14,"Watch &gt;14d","Within 14d"))),"Out of scope")</x:f>
        <x:v>Out of scope</x:v>
      </x:c>
    </x:row>
    <x:row r="120" ht="24" customHeight="1">
      <x:c r="A120" t="str">
        <x:v>49eac9a9-80ed-42e0-9861-487e2db4c669</x:v>
      </x:c>
      <x:c r="B120" t="str">
        <x:v>CSSP10882869</x:v>
      </x:c>
      <x:c r="C120" t="str">
        <x:v>mibrahim.sulaima@petronas.com</x:v>
      </x:c>
      <x:c r="D120" t="str">
        <x:v>provision-cloud-public</x:v>
      </x:c>
      <x:c r="E120" t="str">
        <x:v>completed</x:v>
      </x:c>
      <x:c r="F120" t="n">
        <x:v>46125.19915158565</x:v>
      </x:c>
      <x:c r="G120" t="n">
        <x:v>46125.19915158565</x:v>
      </x:c>
      <x:c r="H120" t="n">
        <x:v>46197.109712777776</x:v>
      </x:c>
      <x:c r="I120" t="str">
        <x:v>A-000303</x:v>
      </x:c>
      <x:c r="J120" t="str">
        <x:v>Enhancement of Enhanced Resource Monetization by Artificial Intelligence - ERMAI Phase 3 for Malaysia Petroleum Management - MPM</x:v>
      </x:c>
      <x:c r="K120" t="n">
        <x:v>100</x:v>
      </x:c>
      <x:c r="L120" t="str">
        <x:v>Enhancement of Enhanced Resource Monetization by Artificial Intelligence (ERMAI) Phase 4 </x:v>
      </x:c>
      <x:c r="M120" t="str">
        <x:v>limeng.tan@petronas.com.my</x:v>
      </x:c>
      <x:c r="N120" t="str">
        <x:v>ERMAI</x:v>
      </x:c>
      <x:c r="O120" t="str">
        <x:v>New</x:v>
      </x:c>
      <x:c r="P120" t="str">
        <x:v>StagingUat</x:v>
      </x:c>
      <x:c r="Q120" t="str">
        <x:v>To provision Azure Container App &amp; Azure Managed Redis for enhancement of module of Rapid Scale Up in ERMAI. Please allow security group ERMAIDevTeam to access both Container App and Redis inside Staging environment.</x:v>
      </x:c>
      <x:c r="R120" t="str">
        <x:v>M</x:v>
      </x:c>
      <x:c r="S120"/>
      <x:c r="T120"/>
      <x:c r="U120" t="str">
        <x:v>approved as discussed.</x:v>
      </x:c>
      <x:c r="V120" t="n">
        <x:v>46125.27377576389</x:v>
      </x:c>
      <x:c r="W120" t="str">
        <x:v>limeng.tan@petronas.com</x:v>
      </x:c>
      <x:c r="X120" t="str">
        <x:v>approved</x:v>
      </x:c>
      <x:c r="Y120" t="str">
        <x:v>Good to go</x:v>
      </x:c>
      <x:c r="Z120" t="n">
        <x:v>46133.11279994213</x:v>
      </x:c>
      <x:c r="AA120" t="str">
        <x:v>samsuddin.jumbri@petronas.com</x:v>
      </x:c>
      <x:c r="AB120" t="str">
        <x:v>approved</x:v>
      </x:c>
      <x:c r="AC120" t="str">
        <x:v>CSSP10114358 &amp; CSSP10882869</x:v>
      </x:c>
      <x:c r="AD120" t="n">
        <x:v>46133.16556650463</x:v>
      </x:c>
      <x:c r="AE120" t="str">
        <x:v>syazali.saad@petronas.com</x:v>
      </x:c>
      <x:c r="AF120" t="str">
        <x:v>approved</x:v>
      </x:c>
      <x:c r="AG120" t="str">
        <x:v>Complete provisioning</x:v>
      </x:c>
      <x:c r="AH120" t="n">
        <x:v>46197.10971278935</x:v>
      </x:c>
      <x:c r="AI120" t="str">
        <x:v>amin.manshor@petronas.com</x:v>
      </x:c>
      <x:c r="AJ120" t="str">
        <x:v>approved</x:v>
      </x:c>
      <x:c r="AK120" t="str">
        <x:v>REQ000008001687</x:v>
      </x:c>
      <x:c r="AL120" t="str">
        <x:v>5863a8c2-1f97-4aab-9158-0ada19ce8b61</x:v>
      </x:c>
      <x:c r="AM120" s="23" t="str">
        <x:f>IF(E120="processing",IF(Z120="","",IF(ISNUMBER(Z120),INT(Z120),DATE(VALUE(LEFT(Z120,4)),VALUE(MID(Z120,6,2)),VALUE(MID(Z120,9,2))))),IF(OR(E120="executing",E120="pending"),IF(AD120="","",IF(ISNUMBER(AD120),INT(AD120),DATE(VALUE(LEFT(AD120,4)),VALUE(MID(AD120,6,2)),VALUE(MID(AD120,9,2))))),""))</x:f>
      </x:c>
      <x:c r="AN120" s="24" t="str">
        <x:f>IF(AM120="","",INT('Configuration'!$B$4)-AM120)</x:f>
      </x:c>
      <x:c r="AO120" s="25" t="str">
        <x:f>IF(AM120="","Missing Required Date",IF(AN120&lt;0,"Future Date",IF(AN120=0,"0 days",IF(AN120&lt;=2,"1-2 days",IF(AN120&lt;=7,"3-7 days",IF(AN120&lt;=14,"8-14 days",IF(AN120&lt;=30,"15-30 days",IF(AN120&lt;=60,"31-60 days",IF(AN120&lt;=70,"61-70 days","71+ days")))))))))</x:f>
        <x:v>Missing Required Date</x:v>
      </x:c>
      <x:c r="AP120" s="25" t="str">
        <x:f>IF(OR(E120="processing",E120="executing",E120="pending"),IF(AM120="","Required aging date missing",IF(AN120&gt;30,"Escalate &gt;30d",IF(AN120&gt;14,"Watch &gt;14d","Within 14d"))),"Out of scope")</x:f>
        <x:v>Out of scope</x:v>
      </x:c>
    </x:row>
    <x:row r="121" ht="24" customHeight="1">
      <x:c r="A121" t="str">
        <x:v>845993d7-d9a9-4675-ab49-df8f20699553</x:v>
      </x:c>
      <x:c r="B121" t="str">
        <x:v>CSSP10114358</x:v>
      </x:c>
      <x:c r="C121" t="str">
        <x:v>mibrahim.sulaima@petronas.com</x:v>
      </x:c>
      <x:c r="D121" t="str">
        <x:v>provision-cloud-public</x:v>
      </x:c>
      <x:c r="E121" t="str">
        <x:v>completed</x:v>
      </x:c>
      <x:c r="F121" t="n">
        <x:v>46125.20157803241</x:v>
      </x:c>
      <x:c r="G121" t="n">
        <x:v>46125.20157803241</x:v>
      </x:c>
      <x:c r="H121" t="n">
        <x:v>46197.109078877314</x:v>
      </x:c>
      <x:c r="I121" t="str">
        <x:v>A-000303</x:v>
      </x:c>
      <x:c r="J121" t="str">
        <x:v>Enhancement of Enhanced Resource Monetization by Artificial Intelligence - ERMAI Phase 3 for Malaysia Petroleum Management - MPM</x:v>
      </x:c>
      <x:c r="K121" t="n">
        <x:v>100</x:v>
      </x:c>
      <x:c r="L121" t="str">
        <x:v>Enhancement of Enhanced Resource Monetization by Artificial Intelligence (ERMAI) Phase 4 </x:v>
      </x:c>
      <x:c r="M121" t="str">
        <x:v>limeng.tan@petronas.com.my</x:v>
      </x:c>
      <x:c r="N121" t="str">
        <x:v>ERMAI</x:v>
      </x:c>
      <x:c r="O121" t="str">
        <x:v>New</x:v>
      </x:c>
      <x:c r="P121" t="str">
        <x:v>Production</x:v>
      </x:c>
      <x:c r="Q121" t="str">
        <x:v>To provision Azure Container App &amp; Azure Managed Redis for enhancement of module of Rapid Scale Up in ERMAI. Please allow security group ERMAIDevTeam to access both Container App and Redis inside Production environment.</x:v>
      </x:c>
      <x:c r="R121" t="str">
        <x:v>M</x:v>
      </x:c>
      <x:c r="S121"/>
      <x:c r="T121"/>
      <x:c r="U121" t="str">
        <x:v>approved as discussed.</x:v>
      </x:c>
      <x:c r="V121" t="n">
        <x:v>46125.27334891204</x:v>
      </x:c>
      <x:c r="W121" t="str">
        <x:v>limeng.tan@petronas.com</x:v>
      </x:c>
      <x:c r="X121" t="str">
        <x:v>approved</x:v>
      </x:c>
      <x:c r="Y121" t="str">
        <x:v>Good to go</x:v>
      </x:c>
      <x:c r="Z121" t="n">
        <x:v>46133.11345645833</x:v>
      </x:c>
      <x:c r="AA121" t="str">
        <x:v>samsuddin.jumbri@petronas.com</x:v>
      </x:c>
      <x:c r="AB121" t="str">
        <x:v>approved</x:v>
      </x:c>
      <x:c r="AC121" t="str">
        <x:v>Container App / Redis</x:v>
      </x:c>
      <x:c r="AD121" t="n">
        <x:v>46133.16529226852</x:v>
      </x:c>
      <x:c r="AE121" t="str">
        <x:v>syazali.saad@petronas.com</x:v>
      </x:c>
      <x:c r="AF121" t="str">
        <x:v>approved</x:v>
      </x:c>
      <x:c r="AG121" t="str">
        <x:v>Complete provisioning</x:v>
      </x:c>
      <x:c r="AH121" t="n">
        <x:v>46197.109078877314</x:v>
      </x:c>
      <x:c r="AI121" t="str">
        <x:v>amin.manshor@petronas.com</x:v>
      </x:c>
      <x:c r="AJ121" t="str">
        <x:v>approved</x:v>
      </x:c>
      <x:c r="AK121" t="str">
        <x:v>REQ000008001685</x:v>
      </x:c>
      <x:c r="AL121" t="str">
        <x:v>5863a8c2-1f97-4aab-9158-0ada19ce8b61</x:v>
      </x:c>
      <x:c r="AM121" s="23" t="str">
        <x:f>IF(E121="processing",IF(Z121="","",IF(ISNUMBER(Z121),INT(Z121),DATE(VALUE(LEFT(Z121,4)),VALUE(MID(Z121,6,2)),VALUE(MID(Z121,9,2))))),IF(OR(E121="executing",E121="pending"),IF(AD121="","",IF(ISNUMBER(AD121),INT(AD121),DATE(VALUE(LEFT(AD121,4)),VALUE(MID(AD121,6,2)),VALUE(MID(AD121,9,2))))),""))</x:f>
      </x:c>
      <x:c r="AN121" s="24" t="str">
        <x:f>IF(AM121="","",INT('Configuration'!$B$4)-AM121)</x:f>
      </x:c>
      <x:c r="AO121" s="25" t="str">
        <x:f>IF(AM121="","Missing Required Date",IF(AN121&lt;0,"Future Date",IF(AN121=0,"0 days",IF(AN121&lt;=2,"1-2 days",IF(AN121&lt;=7,"3-7 days",IF(AN121&lt;=14,"8-14 days",IF(AN121&lt;=30,"15-30 days",IF(AN121&lt;=60,"31-60 days",IF(AN121&lt;=70,"61-70 days","71+ days")))))))))</x:f>
        <x:v>Missing Required Date</x:v>
      </x:c>
      <x:c r="AP121" s="25" t="str">
        <x:f>IF(OR(E121="processing",E121="executing",E121="pending"),IF(AM121="","Required aging date missing",IF(AN121&gt;30,"Escalate &gt;30d",IF(AN121&gt;14,"Watch &gt;14d","Within 14d"))),"Out of scope")</x:f>
        <x:v>Out of scope</x:v>
      </x:c>
    </x:row>
    <x:row r="122" ht="24" customHeight="1">
      <x:c r="A122" t="str">
        <x:v>a86ffe31-d8c1-4c22-af8c-14a5919ab9d8</x:v>
      </x:c>
      <x:c r="B122" t="str">
        <x:v>CSSP10357340</x:v>
      </x:c>
      <x:c r="C122" t="str">
        <x:v>mhashimi.aris@petronas.com</x:v>
      </x:c>
      <x:c r="D122" t="str">
        <x:v>provision-cloud-public</x:v>
      </x:c>
      <x:c r="E122" t="str">
        <x:v>completed</x:v>
      </x:c>
      <x:c r="F122" t="n">
        <x:v>46125.32927065972</x:v>
      </x:c>
      <x:c r="G122" t="n">
        <x:v>46126.37283287037</x:v>
      </x:c>
      <x:c r="H122" t="n">
        <x:v>46128.07968361111</x:v>
      </x:c>
      <x:c r="I122" t="str">
        <x:v>A-000092</x:v>
      </x:c>
      <x:c r="J122" t="str">
        <x:v>Business Intelligence Reporting and Analytic - BIRA</x:v>
      </x:c>
      <x:c r="K122" t="str">
        <x:v>02421_15</x:v>
      </x:c>
      <x:c r="L122" t="str">
        <x:v>Cloud Migration- BIRA (Business Intelligence Reporting &amp; Analytic)</x:v>
      </x:c>
      <x:c r="M122" t="str">
        <x:v>ananddutt.pande@petronas.com.my</x:v>
      </x:c>
      <x:c r="N122" t="str">
        <x:v>BIRA</x:v>
      </x:c>
      <x:c r="O122" t="str">
        <x:v>Modify</x:v>
      </x:c>
      <x:c r="P122" t="str">
        <x:v>Production</x:v>
      </x:c>
      <x:c r="Q122" t="str">
        <x:v>Kindly assist to perform storage expansion from 8TB to 10TB  BIRA storage for TRMS above threshold and impacting Prod Environment. Urgent request  Server type : Windows 2019 Server Server name : PTSG-1BIRADB01 IP Address : 172.25.204.22 Volume : F: Label:SQLVMDATA 068342FC </x:v>
      </x:c>
      <x:c r="R122" t="str">
        <x:v>M</x:v>
      </x:c>
      <x:c r="S122" t="str">
        <x:v>ICT_RFC00221663</x:v>
      </x:c>
      <x:c r="T122"/>
      <x:c r="U122" t="str">
        <x:v>Approved, as this is critical for Production env to work.</x:v>
      </x:c>
      <x:c r="V122" t="n">
        <x:v>46127.26303032407</x:v>
      </x:c>
      <x:c r="W122" t="str">
        <x:v>ananddutt.pande@petronas.com</x:v>
      </x:c>
      <x:c r="X122" t="str">
        <x:v>approved</x:v>
      </x:c>
      <x:c r="Y122" t="str">
        <x:v>Approved. Upgrade disk for server at PTAZSG-IAC-PROD-BIRA-RG. Please note that RFC is currently still in draft mode and not approved yet.</x:v>
      </x:c>
      <x:c r="Z122" t="n">
        <x:v>46127.2754444213</x:v>
      </x:c>
      <x:c r="AA122" t="str">
        <x:v>kianleng.geh@petronas.com</x:v>
      </x:c>
      <x:c r="AB122" t="str">
        <x:v>approved</x:v>
      </x:c>
      <x:c r="AC122" t="str">
        <x:v>execute storage</x:v>
      </x:c>
      <x:c r="AD122" t="n">
        <x:v>46127.32105846065</x:v>
      </x:c>
      <x:c r="AE122" t="str">
        <x:v>syazali.saad@petronas.com</x:v>
      </x:c>
      <x:c r="AF122" t="str">
        <x:v>approved</x:v>
      </x:c>
      <x:c r="AG122" t="str">
        <x:v>Completed</x:v>
      </x:c>
      <x:c r="AH122" t="n">
        <x:v>46128.07968362269</x:v>
      </x:c>
      <x:c r="AI122" t="str">
        <x:v>badri.shaharudin@petronas.com</x:v>
      </x:c>
      <x:c r="AJ122" t="str">
        <x:v>approved</x:v>
      </x:c>
      <x:c r="AK122" t="str">
        <x:v>REQ000007990812</x:v>
      </x:c>
      <x:c r="AL122" t="str">
        <x:v>8f88cbcf-d8f7-44bc-bc09-e51d40ce3c7e</x:v>
      </x:c>
      <x:c r="AM122" s="23" t="str">
        <x:f>IF(E122="processing",IF(Z122="","",IF(ISNUMBER(Z122),INT(Z122),DATE(VALUE(LEFT(Z122,4)),VALUE(MID(Z122,6,2)),VALUE(MID(Z122,9,2))))),IF(OR(E122="executing",E122="pending"),IF(AD122="","",IF(ISNUMBER(AD122),INT(AD122),DATE(VALUE(LEFT(AD122,4)),VALUE(MID(AD122,6,2)),VALUE(MID(AD122,9,2))))),""))</x:f>
      </x:c>
      <x:c r="AN122" s="24" t="str">
        <x:f>IF(AM122="","",INT('Configuration'!$B$4)-AM122)</x:f>
      </x:c>
      <x:c r="AO122" s="25" t="str">
        <x:f>IF(AM122="","Missing Required Date",IF(AN122&lt;0,"Future Date",IF(AN122=0,"0 days",IF(AN122&lt;=2,"1-2 days",IF(AN122&lt;=7,"3-7 days",IF(AN122&lt;=14,"8-14 days",IF(AN122&lt;=30,"15-30 days",IF(AN122&lt;=60,"31-60 days",IF(AN122&lt;=70,"61-70 days","71+ days")))))))))</x:f>
        <x:v>Missing Required Date</x:v>
      </x:c>
      <x:c r="AP122" s="25" t="str">
        <x:f>IF(OR(E122="processing",E122="executing",E122="pending"),IF(AM122="","Required aging date missing",IF(AN122&gt;30,"Escalate &gt;30d",IF(AN122&gt;14,"Watch &gt;14d","Within 14d"))),"Out of scope")</x:f>
        <x:v>Out of scope</x:v>
      </x:c>
    </x:row>
    <x:row r="123" ht="24" customHeight="1">
      <x:c r="A123" t="str">
        <x:v>791c8989-9231-45d0-b8d1-de14722402d6</x:v>
      </x:c>
      <x:c r="B123" t="str">
        <x:v>CSSP10542659</x:v>
      </x:c>
      <x:c r="C123" t="str">
        <x:v>mkhairulazhar.jamil@petronas.com</x:v>
      </x:c>
      <x:c r="D123" t="str">
        <x:v>provision-cloud-public</x:v>
      </x:c>
      <x:c r="E123" t="str">
        <x:v>completed</x:v>
      </x:c>
      <x:c r="F123" t="n">
        <x:v>46126.30799417824</x:v>
      </x:c>
      <x:c r="G123" t="n">
        <x:v>46126.30799417824</x:v>
      </x:c>
      <x:c r="H123" t="n">
        <x:v>46133.48180388889</x:v>
      </x:c>
      <x:c r="I123" t="str">
        <x:v>A-000124</x:v>
      </x:c>
      <x:c r="J123" t="str">
        <x:v>COMPASS</x:v>
      </x:c>
      <x:c r="K123" t="n">
        <x:v>1709</x:v>
      </x:c>
      <x:c r="L123" t="str">
        <x:v>COMPASS Phase 2</x:v>
      </x:c>
      <x:c r="M123" t="str">
        <x:v>amirshazlan.mshah@petronas.com.my</x:v>
      </x:c>
      <x:c r="N123" t="str">
        <x:v>COMPASS</x:v>
      </x:c>
      <x:c r="O123" t="str">
        <x:v>Modify</x:v>
      </x:c>
      <x:c r="P123" t="str">
        <x:v>Production</x:v>
      </x:c>
      <x:c r="Q123" t="str">
        <x:v>This request to enable the 'Database Auto Grow' option for:
Subscription: PTAZSG-IAC-PROD ENVIRONMENT
Resource group: PTAZSG-IAC-PROD-COMPASS-RG
Server name: ptazsg-1compass-psql02
Endpoint: ptazsg-1compass-psql02.postgres.database.azure.com
End date (to disable after): 15th July 2026</x:v>
      </x:c>
      <x:c r="R123" t="str">
        <x:v>M</x:v>
      </x:c>
      <x:c r="S123" t="str">
        <x:v>-</x:v>
      </x:c>
      <x:c r="T123"/>
      <x:c r="U123" t="str">
        <x:v>for setting up autogrow - approved</x:v>
      </x:c>
      <x:c r="V123" t="n">
        <x:v>46126.383045925926</x:v>
      </x:c>
      <x:c r="W123" t="str">
        <x:v>amirshazlan.mshah@petronas.com</x:v>
      </x:c>
      <x:c r="X123" t="str">
        <x:v>approved</x:v>
      </x:c>
      <x:c r="Y123" t="str">
        <x:v>Good to go</x:v>
      </x:c>
      <x:c r="Z123" t="n">
        <x:v>46133.11428292824</x:v>
      </x:c>
      <x:c r="AA123" t="str">
        <x:v>samsuddin.jumbri@petronas.com</x:v>
      </x:c>
      <x:c r="AB123" t="str">
        <x:v>approved</x:v>
      </x:c>
      <x:c r="AC123" t="str">
        <x:v>enable config</x:v>
      </x:c>
      <x:c r="AD123" t="n">
        <x:v>46133.30273228009</x:v>
      </x:c>
      <x:c r="AE123" t="str">
        <x:v>syazali.saad@petronas.com</x:v>
      </x:c>
      <x:c r="AF123" t="str">
        <x:v>approved</x:v>
      </x:c>
      <x:c r="AG123" t="str">
        <x:v>Completed - autogrow is enabled for ptazsg-1compass-psql02 and the server has updated successfully.</x:v>
      </x:c>
      <x:c r="AH123" t="n">
        <x:v>46133.48180390046</x:v>
      </x:c>
      <x:c r="AI123" t="str">
        <x:v>afnanfarhan.dzaharud@petronas.com</x:v>
      </x:c>
      <x:c r="AJ123" t="str">
        <x:v>approved</x:v>
      </x:c>
      <x:c r="AK123" t="str">
        <x:v>REQ000008001893</x:v>
      </x:c>
      <x:c r="AL123" t="str">
        <x:v>90296959-c21f-48ac-8658-df869ee75354</x:v>
      </x:c>
      <x:c r="AM123" s="23" t="str">
        <x:f>IF(E123="processing",IF(Z123="","",IF(ISNUMBER(Z123),INT(Z123),DATE(VALUE(LEFT(Z123,4)),VALUE(MID(Z123,6,2)),VALUE(MID(Z123,9,2))))),IF(OR(E123="executing",E123="pending"),IF(AD123="","",IF(ISNUMBER(AD123),INT(AD123),DATE(VALUE(LEFT(AD123,4)),VALUE(MID(AD123,6,2)),VALUE(MID(AD123,9,2))))),""))</x:f>
      </x:c>
      <x:c r="AN123" s="24" t="str">
        <x:f>IF(AM123="","",INT('Configuration'!$B$4)-AM123)</x:f>
      </x:c>
      <x:c r="AO123" s="25" t="str">
        <x:f>IF(AM123="","Missing Required Date",IF(AN123&lt;0,"Future Date",IF(AN123=0,"0 days",IF(AN123&lt;=2,"1-2 days",IF(AN123&lt;=7,"3-7 days",IF(AN123&lt;=14,"8-14 days",IF(AN123&lt;=30,"15-30 days",IF(AN123&lt;=60,"31-60 days",IF(AN123&lt;=70,"61-70 days","71+ days")))))))))</x:f>
        <x:v>Missing Required Date</x:v>
      </x:c>
      <x:c r="AP123" s="25" t="str">
        <x:f>IF(OR(E123="processing",E123="executing",E123="pending"),IF(AM123="","Required aging date missing",IF(AN123&gt;30,"Escalate &gt;30d",IF(AN123&gt;14,"Watch &gt;14d","Within 14d"))),"Out of scope")</x:f>
        <x:v>Out of scope</x:v>
      </x:c>
    </x:row>
    <x:row r="124" ht="24" customHeight="1">
      <x:c r="A124" t="str">
        <x:v>641df817-64a4-4b73-9b09-40860cd695fb</x:v>
      </x:c>
      <x:c r="B124" t="str">
        <x:v>CSSP10399247</x:v>
      </x:c>
      <x:c r="C124" t="str">
        <x:v>mammarhaziq.amra@petronas.com</x:v>
      </x:c>
      <x:c r="D124" t="str">
        <x:v>provision-cloud-public</x:v>
      </x:c>
      <x:c r="E124" t="str">
        <x:v>rejected</x:v>
      </x:c>
      <x:c r="F124" t="n">
        <x:v>46127.109772222226</x:v>
      </x:c>
      <x:c r="G124" t="n">
        <x:v>46127.109772222226</x:v>
      </x:c>
      <x:c r="H124" t="n">
        <x:v>46133.16098832176</x:v>
      </x:c>
      <x:c r="I124" t="str">
        <x:v>A-000782</x:v>
      </x:c>
      <x:c r="J124" t="str">
        <x:v>Subsurface Sand Management and Rock Mechanics - SMRM</x:v>
      </x:c>
      <x:c r="K124" t="n">
        <x:v>192</x:v>
      </x:c>
      <x:c r="L124" t="str">
        <x:v>Intelligent Sand Management System (iSAND) Enhancement for Malaysia Petroleum Management (MPM)</x:v>
      </x:c>
      <x:c r="M124" t="str">
        <x:v>ng.kokkwan@petronas.com.my</x:v>
      </x:c>
      <x:c r="N124" t="str">
        <x:v>iSAND (Intelligent Sand Management System)</x:v>
      </x:c>
      <x:c r="O124" t="str">
        <x:v>Modify</x:v>
      </x:c>
      <x:c r="P124" t="str">
        <x:v>Production</x:v>
      </x:c>
      <x:c r="Q124" t="str">
        <x:v>1. Request to upgrade VM PTSG-1SMRMap01 in PTAZSG-IAC-DAA-PROD-SMRM-RG from B2s to D2s_v5 due to higher spec computing requirements. 
2. Request to increase datadisk PTSG-1SMRMap01_DataDisk01 from 32gb to 64gb to accommodate storage.</x:v>
      </x:c>
      <x:c r="R124"/>
      <x:c r="S124" t="str">
        <x:v>N/A</x:v>
      </x:c>
      <x:c r="T124"/>
      <x:c r="U124" t="str">
        <x:v>Increase resources due to increase in scope and workloads</x:v>
      </x:c>
      <x:c r="V124" t="n">
        <x:v>46127.12662412037</x:v>
      </x:c>
      <x:c r="W124" t="str">
        <x:v>ng.kokkwan@petronas.com</x:v>
      </x:c>
      <x:c r="X124" t="str">
        <x:v>approved</x:v>
      </x:c>
      <x:c r="Y124" t="str">
        <x:v>(1) For a server upgrade (Production), please raise an RFC and include the RFC number in this service request.
(2) Kindly provide the estimated cost in Excel format, including the required SKU specifications, generated from the Azure Pricing Calculator website.</x:v>
      </x:c>
      <x:c r="Z124" t="n">
        <x:v>46133.16098833334</x:v>
      </x:c>
      <x:c r="AA124" t="str">
        <x:v>samsuddin.jumbri@petronas.com</x:v>
      </x:c>
      <x:c r="AB124" t="str">
        <x:v>rejected</x:v>
      </x:c>
      <x:c r="AC124"/>
      <x:c r="AD124"/>
      <x:c r="AE124" t="str">
        <x:v>CCoE Business</x:v>
      </x:c>
      <x:c r="AF124"/>
      <x:c r="AG124"/>
      <x:c r="AH124"/>
      <x:c r="AI124" t="str">
        <x:v>CCoE Core Services (Public)</x:v>
      </x:c>
      <x:c r="AJ124"/>
      <x:c r="AK124"/>
      <x:c r="AL124" t="str">
        <x:v>f9928342-9ca0-4aff-90a3-8216880b8e69</x:v>
      </x:c>
      <x:c r="AM124" s="23" t="str">
        <x:f>IF(E124="processing",IF(Z124="","",IF(ISNUMBER(Z124),INT(Z124),DATE(VALUE(LEFT(Z124,4)),VALUE(MID(Z124,6,2)),VALUE(MID(Z124,9,2))))),IF(OR(E124="executing",E124="pending"),IF(AD124="","",IF(ISNUMBER(AD124),INT(AD124),DATE(VALUE(LEFT(AD124,4)),VALUE(MID(AD124,6,2)),VALUE(MID(AD124,9,2))))),""))</x:f>
      </x:c>
      <x:c r="AN124" s="24" t="str">
        <x:f>IF(AM124="","",INT('Configuration'!$B$4)-AM124)</x:f>
      </x:c>
      <x:c r="AO124" s="25" t="str">
        <x:f>IF(AM124="","Missing Required Date",IF(AN124&lt;0,"Future Date",IF(AN124=0,"0 days",IF(AN124&lt;=2,"1-2 days",IF(AN124&lt;=7,"3-7 days",IF(AN124&lt;=14,"8-14 days",IF(AN124&lt;=30,"15-30 days",IF(AN124&lt;=60,"31-60 days",IF(AN124&lt;=70,"61-70 days","71+ days")))))))))</x:f>
        <x:v>Missing Required Date</x:v>
      </x:c>
      <x:c r="AP124" s="25" t="str">
        <x:f>IF(OR(E124="processing",E124="executing",E124="pending"),IF(AM124="","Required aging date missing",IF(AN124&gt;30,"Escalate &gt;30d",IF(AN124&gt;14,"Watch &gt;14d","Within 14d"))),"Out of scope")</x:f>
        <x:v>Out of scope</x:v>
      </x:c>
    </x:row>
    <x:row r="125" ht="24" customHeight="1">
      <x:c r="A125" t="str">
        <x:v>0b89befe-7846-4028-a3b0-771ce105c8f8</x:v>
      </x:c>
      <x:c r="B125" t="str">
        <x:v>CSSP10486910</x:v>
      </x:c>
      <x:c r="C125" t="str">
        <x:v>afnanfarhan.dzaharud@petronas.com</x:v>
      </x:c>
      <x:c r="D125" t="str">
        <x:v>provision-cloud-public</x:v>
      </x:c>
      <x:c r="E125" t="str">
        <x:v>rejected</x:v>
      </x:c>
      <x:c r="F125" t="n">
        <x:v>46127.32310712963</x:v>
      </x:c>
      <x:c r="G125" t="n">
        <x:v>46127.32310712963</x:v>
      </x:c>
      <x:c r="H125" t="n">
        <x:v>46176.04978674769</x:v>
      </x:c>
      <x:c r="I125" t="str">
        <x:v>C-000040</x:v>
      </x:c>
      <x:c r="J125" t="str">
        <x:v>Cloud Self Service Portal - CSSP</x:v>
      </x:c>
      <x:c r="K125" t="str">
        <x:v>01824_1</x:v>
      </x:c>
      <x:c r="L125" t="str">
        <x:v>CloudSSP</x:v>
      </x:c>
      <x:c r="M125" t="str">
        <x:v>ismail.azman@petronas.com.my</x:v>
      </x:c>
      <x:c r="N125" t="str">
        <x:v>CloudSSP</x:v>
      </x:c>
      <x:c r="O125" t="str">
        <x:v>New</x:v>
      </x:c>
      <x:c r="P125" t="str">
        <x:v>Development</x:v>
      </x:c>
      <x:c r="Q125" t="str">
        <x:v>Test</x:v>
      </x:c>
      <x:c r="R125"/>
      <x:c r="S125"/>
      <x:c r="T125"/>
      <x:c r="U125"/>
      <x:c r="V125" t="n">
        <x:v>46176.04978675926</x:v>
      </x:c>
      <x:c r="W125" t="str">
        <x:v>ismail.azman@petronas.com</x:v>
      </x:c>
      <x:c r="X125" t="str">
        <x:v>rejected</x:v>
      </x:c>
      <x:c r="Y125"/>
      <x:c r="Z125"/>
      <x:c r="AA125" t="str">
        <x:v>CCoE Demand</x:v>
      </x:c>
      <x:c r="AB125"/>
      <x:c r="AC125"/>
      <x:c r="AD125"/>
      <x:c r="AE125" t="str">
        <x:v>CCoE Business</x:v>
      </x:c>
      <x:c r="AF125"/>
      <x:c r="AG125"/>
      <x:c r="AH125"/>
      <x:c r="AI125" t="str">
        <x:v>CCoE Core Services (Public)</x:v>
      </x:c>
      <x:c r="AJ125"/>
      <x:c r="AK125"/>
      <x:c r="AL125" t="str">
        <x:v>721a9131-21b0-4e6a-873f-fbc67d1f7a35</x:v>
      </x:c>
      <x:c r="AM125" s="23" t="str">
        <x:f>IF(E125="processing",IF(Z125="","",IF(ISNUMBER(Z125),INT(Z125),DATE(VALUE(LEFT(Z125,4)),VALUE(MID(Z125,6,2)),VALUE(MID(Z125,9,2))))),IF(OR(E125="executing",E125="pending"),IF(AD125="","",IF(ISNUMBER(AD125),INT(AD125),DATE(VALUE(LEFT(AD125,4)),VALUE(MID(AD125,6,2)),VALUE(MID(AD125,9,2))))),""))</x:f>
      </x:c>
      <x:c r="AN125" s="24" t="str">
        <x:f>IF(AM125="","",INT('Configuration'!$B$4)-AM125)</x:f>
      </x:c>
      <x:c r="AO125" s="25" t="str">
        <x:f>IF(AM125="","Missing Required Date",IF(AN125&lt;0,"Future Date",IF(AN125=0,"0 days",IF(AN125&lt;=2,"1-2 days",IF(AN125&lt;=7,"3-7 days",IF(AN125&lt;=14,"8-14 days",IF(AN125&lt;=30,"15-30 days",IF(AN125&lt;=60,"31-60 days",IF(AN125&lt;=70,"61-70 days","71+ days")))))))))</x:f>
        <x:v>Missing Required Date</x:v>
      </x:c>
      <x:c r="AP125" s="25" t="str">
        <x:f>IF(OR(E125="processing",E125="executing",E125="pending"),IF(AM125="","Required aging date missing",IF(AN125&gt;30,"Escalate &gt;30d",IF(AN125&gt;14,"Watch &gt;14d","Within 14d"))),"Out of scope")</x:f>
        <x:v>Out of scope</x:v>
      </x:c>
    </x:row>
    <x:row r="126" ht="24" customHeight="1">
      <x:c r="A126" t="str">
        <x:v>0aac1bfa-a95b-42b3-b323-bc26a2c4fd0e</x:v>
      </x:c>
      <x:c r="B126" t="str">
        <x:v>CSSP10502441</x:v>
      </x:c>
      <x:c r="C126" t="str">
        <x:v>rabiatul.mohamad@petronas.com</x:v>
      </x:c>
      <x:c r="D126" t="str">
        <x:v>provision-cloud-public</x:v>
      </x:c>
      <x:c r="E126" t="str">
        <x:v>completed</x:v>
      </x:c>
      <x:c r="F126" t="n">
        <x:v>46127.57784291667</x:v>
      </x:c>
      <x:c r="G126" t="n">
        <x:v>46127.57784291667</x:v>
      </x:c>
      <x:c r="H126" t="n">
        <x:v>46141.11018185185</x:v>
      </x:c>
      <x:c r="I126" t="str">
        <x:v>A-000031</x:v>
      </x:c>
      <x:c r="J126" t="str">
        <x:v>Augmented Gas Nomination Ecosystem - AGNES</x:v>
      </x:c>
      <x:c r="K126" t="str">
        <x:v>SR26593</x:v>
      </x:c>
      <x:c r="L126" t="str">
        <x:v>Procurement for Deployment of Augmented Gas Nomination Ecosystem (AGNES) at PMA</x:v>
      </x:c>
      <x:c r="M126" t="str">
        <x:v>zuhairi.zubir@petronas.com</x:v>
      </x:c>
      <x:c r="N126" t="str">
        <x:v>AGNES</x:v>
      </x:c>
      <x:c r="O126" t="str">
        <x:v>New</x:v>
      </x:c>
      <x:c r="P126" t="str">
        <x:v>StagingUat</x:v>
      </x:c>
      <x:c r="Q126" t="str">
        <x:v>Provisional server for AGNES-PMA Enhancement of Module 1-5</x:v>
      </x:c>
      <x:c r="R126" t="str">
        <x:v>M</x:v>
      </x:c>
      <x:c r="S126"/>
      <x:c r="T126"/>
      <x:c r="U126" t="str">
        <x:v>Approved</x:v>
      </x:c>
      <x:c r="V126" t="n">
        <x:v>46127.953664849534</x:v>
      </x:c>
      <x:c r="W126" t="str">
        <x:v>zuhairi.zubir@petronas.com</x:v>
      </x:c>
      <x:c r="X126" t="str">
        <x:v>approved</x:v>
      </x:c>
      <x:c r="Y126" t="str">
        <x:v>Approved. For staging, please provision VM SKU of D8ds v5 instead of D64ds v5.</x:v>
      </x:c>
      <x:c r="Z126" t="n">
        <x:v>46129.09998688658</x:v>
      </x:c>
      <x:c r="AA126" t="str">
        <x:v>kianleng.geh@petronas.com</x:v>
      </x:c>
      <x:c r="AB126" t="str">
        <x:v>approved</x:v>
      </x:c>
      <x:c r="AC126" t="str">
        <x:v>CSSP10814403 CSSP10502441 </x:v>
      </x:c>
      <x:c r="AD126" t="n">
        <x:v>46129.109916215275</x:v>
      </x:c>
      <x:c r="AE126" t="str">
        <x:v>syazali.saad@petronas.com</x:v>
      </x:c>
      <x:c r="AF126" t="str">
        <x:v>approved</x:v>
      </x:c>
      <x:c r="AG126" t="str">
        <x:v>Resource group: PTAZMY-IAC-UAT-AGNES-PMA-RG
VM name: ptmy-4agnespma1
VM IP: 10.176.48.6
OS: Windows server 2022
Domain: PETRONAS
</x:v>
      </x:c>
      <x:c r="AH126" t="n">
        <x:v>46141.11018185185</x:v>
      </x:c>
      <x:c r="AI126" t="str">
        <x:v>yeonghunn.ho@petronas.com</x:v>
      </x:c>
      <x:c r="AJ126" t="str">
        <x:v>approved</x:v>
      </x:c>
      <x:c r="AK126" t="str">
        <x:v>REQ000007995955</x:v>
      </x:c>
      <x:c r="AL126" t="str">
        <x:v>ce102e4f-11e3-4336-af66-3c380cafe022</x:v>
      </x:c>
      <x:c r="AM126" s="23" t="str">
        <x:f>IF(E126="processing",IF(Z126="","",IF(ISNUMBER(Z126),INT(Z126),DATE(VALUE(LEFT(Z126,4)),VALUE(MID(Z126,6,2)),VALUE(MID(Z126,9,2))))),IF(OR(E126="executing",E126="pending"),IF(AD126="","",IF(ISNUMBER(AD126),INT(AD126),DATE(VALUE(LEFT(AD126,4)),VALUE(MID(AD126,6,2)),VALUE(MID(AD126,9,2))))),""))</x:f>
      </x:c>
      <x:c r="AN126" s="24" t="str">
        <x:f>IF(AM126="","",INT('Configuration'!$B$4)-AM126)</x:f>
      </x:c>
      <x:c r="AO126" s="25" t="str">
        <x:f>IF(AM126="","Missing Required Date",IF(AN126&lt;0,"Future Date",IF(AN126=0,"0 days",IF(AN126&lt;=2,"1-2 days",IF(AN126&lt;=7,"3-7 days",IF(AN126&lt;=14,"8-14 days",IF(AN126&lt;=30,"15-30 days",IF(AN126&lt;=60,"31-60 days",IF(AN126&lt;=70,"61-70 days","71+ days")))))))))</x:f>
        <x:v>Missing Required Date</x:v>
      </x:c>
      <x:c r="AP126" s="25" t="str">
        <x:f>IF(OR(E126="processing",E126="executing",E126="pending"),IF(AM126="","Required aging date missing",IF(AN126&gt;30,"Escalate &gt;30d",IF(AN126&gt;14,"Watch &gt;14d","Within 14d"))),"Out of scope")</x:f>
        <x:v>Out of scope</x:v>
      </x:c>
    </x:row>
    <x:row r="127" ht="24" customHeight="1">
      <x:c r="A127" t="str">
        <x:v>04166769-2fdc-4eb5-80eb-bac8157cab75</x:v>
      </x:c>
      <x:c r="B127" t="str">
        <x:v>CSSP10814403</x:v>
      </x:c>
      <x:c r="C127" t="str">
        <x:v>rabiatul.mohamad@petronas.com</x:v>
      </x:c>
      <x:c r="D127" t="str">
        <x:v>provision-cloud-public</x:v>
      </x:c>
      <x:c r="E127" t="str">
        <x:v>completed</x:v>
      </x:c>
      <x:c r="F127" t="n">
        <x:v>46127.580483530095</x:v>
      </x:c>
      <x:c r="G127" t="n">
        <x:v>46127.580483530095</x:v>
      </x:c>
      <x:c r="H127" t="n">
        <x:v>46141.11061059028</x:v>
      </x:c>
      <x:c r="I127" t="str">
        <x:v>A-000031</x:v>
      </x:c>
      <x:c r="J127" t="str">
        <x:v>Augmented Gas Nomination Ecosystem - AGNES</x:v>
      </x:c>
      <x:c r="K127" t="str">
        <x:v>SR26593</x:v>
      </x:c>
      <x:c r="L127" t="str">
        <x:v>Procurement for Deployment of Augmented Gas Nomination Ecosystem (AGNES) at PMA</x:v>
      </x:c>
      <x:c r="M127" t="str">
        <x:v>zuhairi.zubir@petronas.com</x:v>
      </x:c>
      <x:c r="N127" t="str">
        <x:v>AGNES</x:v>
      </x:c>
      <x:c r="O127" t="str">
        <x:v>New</x:v>
      </x:c>
      <x:c r="P127" t="str">
        <x:v>Production</x:v>
      </x:c>
      <x:c r="Q127" t="str">
        <x:v>Provisional server for AGNES-PMA Enhancement of Module 1-5</x:v>
      </x:c>
      <x:c r="R127" t="str">
        <x:v>M</x:v>
      </x:c>
      <x:c r="S127"/>
      <x:c r="T127"/>
      <x:c r="U127" t="str">
        <x:v>Approved</x:v>
      </x:c>
      <x:c r="V127" t="n">
        <x:v>46127.95401447917</x:v>
      </x:c>
      <x:c r="W127" t="str">
        <x:v>zuhairi.zubir@petronas.com</x:v>
      </x:c>
      <x:c r="X127" t="str">
        <x:v>approved</x:v>
      </x:c>
      <x:c r="Y127" t="str">
        <x:v>Approved</x:v>
      </x:c>
      <x:c r="Z127" t="n">
        <x:v>46129.100153287036</x:v>
      </x:c>
      <x:c r="AA127" t="str">
        <x:v>kianleng.geh@petronas.com</x:v>
      </x:c>
      <x:c r="AB127" t="str">
        <x:v>approved</x:v>
      </x:c>
      <x:c r="AC127" t="str">
        <x:v>CSSP10814403 CSSP10502441 </x:v>
      </x:c>
      <x:c r="AD127" t="n">
        <x:v>46129.10980186343</x:v>
      </x:c>
      <x:c r="AE127" t="str">
        <x:v>syazali.saad@petronas.com</x:v>
      </x:c>
      <x:c r="AF127" t="str">
        <x:v>approved</x:v>
      </x:c>
      <x:c r="AG127" t="str">
        <x:v>Resource group: PTAZMY-IAC-PROD-AGNES-PMA-RG
VM name: ptmy-1agnespma1
VM IP: 10.176.120.6
OS: Windows server 2022
Domain: PETRONAS
</x:v>
      </x:c>
      <x:c r="AH127" t="n">
        <x:v>46141.11061060185</x:v>
      </x:c>
      <x:c r="AI127" t="str">
        <x:v>yeonghunn.ho@petronas.com</x:v>
      </x:c>
      <x:c r="AJ127" t="str">
        <x:v>approved</x:v>
      </x:c>
      <x:c r="AK127" t="str">
        <x:v>REQ000007995606</x:v>
      </x:c>
      <x:c r="AL127" t="str">
        <x:v>ce102e4f-11e3-4336-af66-3c380cafe022</x:v>
      </x:c>
      <x:c r="AM127" s="23" t="str">
        <x:f>IF(E127="processing",IF(Z127="","",IF(ISNUMBER(Z127),INT(Z127),DATE(VALUE(LEFT(Z127,4)),VALUE(MID(Z127,6,2)),VALUE(MID(Z127,9,2))))),IF(OR(E127="executing",E127="pending"),IF(AD127="","",IF(ISNUMBER(AD127),INT(AD127),DATE(VALUE(LEFT(AD127,4)),VALUE(MID(AD127,6,2)),VALUE(MID(AD127,9,2))))),""))</x:f>
      </x:c>
      <x:c r="AN127" s="24" t="str">
        <x:f>IF(AM127="","",INT('Configuration'!$B$4)-AM127)</x:f>
      </x:c>
      <x:c r="AO127" s="25" t="str">
        <x:f>IF(AM127="","Missing Required Date",IF(AN127&lt;0,"Future Date",IF(AN127=0,"0 days",IF(AN127&lt;=2,"1-2 days",IF(AN127&lt;=7,"3-7 days",IF(AN127&lt;=14,"8-14 days",IF(AN127&lt;=30,"15-30 days",IF(AN127&lt;=60,"31-60 days",IF(AN127&lt;=70,"61-70 days","71+ days")))))))))</x:f>
        <x:v>Missing Required Date</x:v>
      </x:c>
      <x:c r="AP127" s="25" t="str">
        <x:f>IF(OR(E127="processing",E127="executing",E127="pending"),IF(AM127="","Required aging date missing",IF(AN127&gt;30,"Escalate &gt;30d",IF(AN127&gt;14,"Watch &gt;14d","Within 14d"))),"Out of scope")</x:f>
        <x:v>Out of scope</x:v>
      </x:c>
    </x:row>
    <x:row r="128" ht="24" customHeight="1">
      <x:c r="A128" t="str">
        <x:v>38459830-a915-44c8-91f1-939930127be0</x:v>
      </x:c>
      <x:c r="B128" t="str">
        <x:v>CSSP10775394</x:v>
      </x:c>
      <x:c r="C128" t="str">
        <x:v>mohd.azri@petronas.com</x:v>
      </x:c>
      <x:c r="D128" t="str">
        <x:v>provision-cloud-public</x:v>
      </x:c>
      <x:c r="E128" t="str">
        <x:v>completed</x:v>
      </x:c>
      <x:c r="F128" t="n">
        <x:v>46129.332351655095</x:v>
      </x:c>
      <x:c r="G128" t="n">
        <x:v>46129.332351655095</x:v>
      </x:c>
      <x:c r="H128" t="n">
        <x:v>46133.40220747685</x:v>
      </x:c>
      <x:c r="I128" t="str">
        <x:v>A-000510</x:v>
      </x:c>
      <x:c r="J128" t="str">
        <x:v>OASIS Infra provisioning</x:v>
      </x:c>
      <x:c r="K128" t="n">
        <x:v>4495</x:v>
      </x:c>
      <x:c r="L128" t="str">
        <x:v>OASIS Infra provisioning</x:v>
      </x:c>
      <x:c r="M128" t="str">
        <x:v>ng.cheekeong@petronas.com.my</x:v>
      </x:c>
      <x:c r="N128" t="str">
        <x:v>Provision of Infra for OASIS Modernization for PDB</x:v>
      </x:c>
      <x:c r="O128" t="str">
        <x:v>New</x:v>
      </x:c>
      <x:c r="P128" t="str">
        <x:v>StagingUat</x:v>
      </x:c>
      <x:c r="Q128" t="str">
        <x:v>to clone hostname to clone ptsg-1oasisap04 (FleetOps 2) into our UAT Azure environment</x:v>
      </x:c>
      <x:c r="R128" t="str">
        <x:v>M</x:v>
      </x:c>
      <x:c r="S128"/>
      <x:c r="T128"/>
      <x:c r="U128" t="str">
        <x:v>please proceed</x:v>
      </x:c>
      <x:c r="V128" t="n">
        <x:v>46129.33982115741</x:v>
      </x:c>
      <x:c r="W128" t="str">
        <x:v>ng.cheekeong@petronas.com</x:v>
      </x:c>
      <x:c r="X128" t="str">
        <x:v>approved</x:v>
      </x:c>
      <x:c r="Y128" t="str">
        <x:v>Good to go</x:v>
      </x:c>
      <x:c r="Z128" t="n">
        <x:v>46133.16274826389</x:v>
      </x:c>
      <x:c r="AA128" t="str">
        <x:v>samsuddin.jumbri@petronas.com</x:v>
      </x:c>
      <x:c r="AB128" t="str">
        <x:v>approved</x:v>
      </x:c>
      <x:c r="AC128" t="str">
        <x:v>.</x:v>
      </x:c>
      <x:c r="AD128" t="n">
        <x:v>46133.16704059028</x:v>
      </x:c>
      <x:c r="AE128" t="str">
        <x:v>syazali.saad@petronas.com</x:v>
      </x:c>
      <x:c r="AF128" t="str">
        <x:v>approved</x:v>
      </x:c>
      <x:c r="AG128" t="str">
        <x:v>Completed</x:v>
      </x:c>
      <x:c r="AH128" t="n">
        <x:v>46133.40220747685</x:v>
      </x:c>
      <x:c r="AI128" t="str">
        <x:v>badri.shaharudin@petronas.com</x:v>
      </x:c>
      <x:c r="AJ128" t="str">
        <x:v>approved</x:v>
      </x:c>
      <x:c r="AK128" t="str">
        <x:v>REQ000008001689</x:v>
      </x:c>
      <x:c r="AL128" t="str">
        <x:v>613431ac-fd85-4e43-891e-042bf980fe35</x:v>
      </x:c>
      <x:c r="AM128" s="23" t="str">
        <x:f>IF(E128="processing",IF(Z128="","",IF(ISNUMBER(Z128),INT(Z128),DATE(VALUE(LEFT(Z128,4)),VALUE(MID(Z128,6,2)),VALUE(MID(Z128,9,2))))),IF(OR(E128="executing",E128="pending"),IF(AD128="","",IF(ISNUMBER(AD128),INT(AD128),DATE(VALUE(LEFT(AD128,4)),VALUE(MID(AD128,6,2)),VALUE(MID(AD128,9,2))))),""))</x:f>
      </x:c>
      <x:c r="AN128" s="24" t="str">
        <x:f>IF(AM128="","",INT('Configuration'!$B$4)-AM128)</x:f>
      </x:c>
      <x:c r="AO128" s="25" t="str">
        <x:f>IF(AM128="","Missing Required Date",IF(AN128&lt;0,"Future Date",IF(AN128=0,"0 days",IF(AN128&lt;=2,"1-2 days",IF(AN128&lt;=7,"3-7 days",IF(AN128&lt;=14,"8-14 days",IF(AN128&lt;=30,"15-30 days",IF(AN128&lt;=60,"31-60 days",IF(AN128&lt;=70,"61-70 days","71+ days")))))))))</x:f>
        <x:v>Missing Required Date</x:v>
      </x:c>
      <x:c r="AP128" s="25" t="str">
        <x:f>IF(OR(E128="processing",E128="executing",E128="pending"),IF(AM128="","Required aging date missing",IF(AN128&gt;30,"Escalate &gt;30d",IF(AN128&gt;14,"Watch &gt;14d","Within 14d"))),"Out of scope")</x:f>
        <x:v>Out of scope</x:v>
      </x:c>
    </x:row>
    <x:row r="129" ht="24" customHeight="1">
      <x:c r="A129" t="str">
        <x:v>2fffdeca-fe16-4105-b6c8-993a9ff35042</x:v>
      </x:c>
      <x:c r="B129" t="str">
        <x:v>CSSP10474051</x:v>
      </x:c>
      <x:c r="C129" t="str">
        <x:v>zakwan.zulkifli@petronas.com</x:v>
      </x:c>
      <x:c r="D129" t="str">
        <x:v>provision-cloud-public</x:v>
      </x:c>
      <x:c r="E129" t="str">
        <x:v>completed</x:v>
      </x:c>
      <x:c r="F129" t="n">
        <x:v>46129.339125914354</x:v>
      </x:c>
      <x:c r="G129" t="n">
        <x:v>46129.339125914354</x:v>
      </x:c>
      <x:c r="H129" t="n">
        <x:v>46198.124934976855</x:v>
      </x:c>
      <x:c r="I129" t="str">
        <x:v>A-000552</x:v>
      </x:c>
      <x:c r="J129" t="str">
        <x:v>PETRONAS Engineering Data Management System - P-EDMS GTS</x:v>
      </x:c>
      <x:c r="K129" t="str">
        <x:v>00915_238</x:v>
      </x:c>
      <x:c r="L129" t="str">
        <x:v>Cloud Migration Program - P-EDMS</x:v>
      </x:c>
      <x:c r="M129" t="str">
        <x:v>sitizakiah.sulaiman@petronas.com.my</x:v>
      </x:c>
      <x:c r="N129" t="str">
        <x:v>PETRONAS Engineering Data Management System (P-EDMS)</x:v>
      </x:c>
      <x:c r="O129" t="str">
        <x:v>Modify</x:v>
      </x:c>
      <x:c r="P129" t="str">
        <x:v>Production</x:v>
      </x:c>
      <x:c r="Q129" t="str">
        <x:v>1. We have received a request from the business to repurpose one of our existing AWS web servers to host a new P-EDMS functionality, namely P-EDMS AI, which is scheduled to go live soon.
2. To mitigate additional costs, we propose to repurpose the current P-EDMS AWS web server by upgrading its server specifications to include a Graphics Processing Unit (GPU) to support the AI tools.
3. The cost of this VM will be charged to the same cost center as the existing P-EDMS GTS server: 001PCT-410, under the Run and Maintain scope. 
4. The server quotation, prepared using the AWS Pricing Calculator, was calculated by Tuan Samsuddin B. Jumbri (IS/DIGITAL). The server specifications are as follows: Instance Type: AWS EC2 g6.4xlarge (16 vCPU, 64 GB Memory, GPU: 1 × NVIDIA L4 – 24 GB VRAM)</x:v>
      </x:c>
      <x:c r="R129" t="str">
        <x:v>M</x:v>
      </x:c>
      <x:c r="S129" t="str">
        <x:v>ICT_RFC00221716</x:v>
      </x:c>
      <x:c r="T129"/>
      <x:c r="U129" t="str">
        <x:v>Please proceed.</x:v>
      </x:c>
      <x:c r="V129" t="n">
        <x:v>46133.07656214121</x:v>
      </x:c>
      <x:c r="W129" t="str">
        <x:v>sitizakiah.sulaiman@petronas.com</x:v>
      </x:c>
      <x:c r="X129" t="str">
        <x:v>approved</x:v>
      </x:c>
      <x:c r="Y129" t="str">
        <x:v>Good to go</x:v>
      </x:c>
      <x:c r="Z129" t="n">
        <x:v>46133.083509814816</x:v>
      </x:c>
      <x:c r="AA129" t="str">
        <x:v>samsuddin.jumbri@petronas.com</x:v>
      </x:c>
      <x:c r="AB129" t="str">
        <x:v>approved</x:v>
      </x:c>
      <x:c r="AC129" t="str">
        <x:v>r5.4xlarge (16 vCPU, 128 GB Memory) &gt; g6.4xlarge (16 vCPU, 64 GB Memory, GPU: 1 × NVIDIA L4 – 24 GB VRAM).
04/24/2026 10:00:00 PM - 04/25/2026 12:00:00 AM</x:v>
      </x:c>
      <x:c r="AD129" t="n">
        <x:v>46133.29245207176</x:v>
      </x:c>
      <x:c r="AE129" t="str">
        <x:v>syazali.saad@petronas.com</x:v>
      </x:c>
      <x:c r="AF129" t="str">
        <x:v>approved</x:v>
      </x:c>
      <x:c r="AG129" t="str">
        <x:v>request has been completed.</x:v>
      </x:c>
      <x:c r="AH129" t="n">
        <x:v>46198.124934976855</x:v>
      </x:c>
      <x:c r="AI129" t="str">
        <x:v>ahmadfirdaus.adnan@petronas.com</x:v>
      </x:c>
      <x:c r="AJ129" t="str">
        <x:v>approved</x:v>
      </x:c>
      <x:c r="AK129" t="str">
        <x:v>REQ000008002623</x:v>
      </x:c>
      <x:c r="AL129" t="str">
        <x:v>e1b324dc-c83c-4236-a989-0ba174653cd6</x:v>
      </x:c>
      <x:c r="AM129" s="23" t="str">
        <x:f>IF(E129="processing",IF(Z129="","",IF(ISNUMBER(Z129),INT(Z129),DATE(VALUE(LEFT(Z129,4)),VALUE(MID(Z129,6,2)),VALUE(MID(Z129,9,2))))),IF(OR(E129="executing",E129="pending"),IF(AD129="","",IF(ISNUMBER(AD129),INT(AD129),DATE(VALUE(LEFT(AD129,4)),VALUE(MID(AD129,6,2)),VALUE(MID(AD129,9,2))))),""))</x:f>
      </x:c>
      <x:c r="AN129" s="24" t="str">
        <x:f>IF(AM129="","",INT('Configuration'!$B$4)-AM129)</x:f>
      </x:c>
      <x:c r="AO129" s="25" t="str">
        <x:f>IF(AM129="","Missing Required Date",IF(AN129&lt;0,"Future Date",IF(AN129=0,"0 days",IF(AN129&lt;=2,"1-2 days",IF(AN129&lt;=7,"3-7 days",IF(AN129&lt;=14,"8-14 days",IF(AN129&lt;=30,"15-30 days",IF(AN129&lt;=60,"31-60 days",IF(AN129&lt;=70,"61-70 days","71+ days")))))))))</x:f>
        <x:v>Missing Required Date</x:v>
      </x:c>
      <x:c r="AP129" s="25" t="str">
        <x:f>IF(OR(E129="processing",E129="executing",E129="pending"),IF(AM129="","Required aging date missing",IF(AN129&gt;30,"Escalate &gt;30d",IF(AN129&gt;14,"Watch &gt;14d","Within 14d"))),"Out of scope")</x:f>
        <x:v>Out of scope</x:v>
      </x:c>
    </x:row>
    <x:row r="130" ht="24" customHeight="1">
      <x:c r="A130" t="str">
        <x:v>24214abf-5ddd-43bb-a7c0-2db30cb657c8</x:v>
      </x:c>
      <x:c r="B130" t="str">
        <x:v>CSSP10945611</x:v>
      </x:c>
      <x:c r="C130" t="str">
        <x:v>norashikin.hasna@petronas.com</x:v>
      </x:c>
      <x:c r="D130" t="str">
        <x:v>provision-cloud-public</x:v>
      </x:c>
      <x:c r="E130" t="str">
        <x:v>completed</x:v>
      </x:c>
      <x:c r="F130" t="n">
        <x:v>46129.35443363426</x:v>
      </x:c>
      <x:c r="G130" t="n">
        <x:v>46129.35443363426</x:v>
      </x:c>
      <x:c r="H130" t="n">
        <x:v>46140.25402273148</x:v>
      </x:c>
      <x:c r="I130" t="str">
        <x:v>A-000480</x:v>
      </x:c>
      <x:c r="J130" t="str">
        <x:v>Mygenie</x:v>
      </x:c>
      <x:c r="K130" t="str">
        <x:v>02421_83</x:v>
      </x:c>
      <x:c r="L130" t="str">
        <x:v>Cloud Migration Program - Mygenie+ Admin Portal</x:v>
      </x:c>
      <x:c r="M130" t="str">
        <x:v>saniza.ismail@petronas.com.my</x:v>
      </x:c>
      <x:c r="N130" t="str">
        <x:v>MyGenie Admin Portal</x:v>
      </x:c>
      <x:c r="O130" t="str">
        <x:v>New</x:v>
      </x:c>
      <x:c r="P130" t="str">
        <x:v>Development</x:v>
      </x:c>
      <x:c r="Q130" t="str">
        <x:v>To request new resource to be use for MSP transition &amp; knowledge transfer. 
Spec: the same as existing PTSG-5MYGENAP01
 D4as v4 (4 vCPUs &amp; 16 GB RAM)
New resource Name: PTSG-5MYGENAP02
</x:v>
      </x:c>
      <x:c r="R130" t="str">
        <x:v>S</x:v>
      </x:c>
      <x:c r="S130"/>
      <x:c r="T130"/>
      <x:c r="U130" t="str">
        <x:v>Servicedesk team required to use Dev environment for MSP Training. We required gateway server to run data import tool to export Production Product category and support group to Development </x:v>
      </x:c>
      <x:c r="V130" t="n">
        <x:v>46129.43884387732</x:v>
      </x:c>
      <x:c r="W130" t="str">
        <x:v>saniza.ismail@petronas.com</x:v>
      </x:c>
      <x:c r="X130" t="str">
        <x:v>approved</x:v>
      </x:c>
      <x:c r="Y130" t="str">
        <x:v>Good to go</x:v>
      </x:c>
      <x:c r="Z130" t="n">
        <x:v>46133.165400694445</x:v>
      </x:c>
      <x:c r="AA130" t="str">
        <x:v>samsuddin.jumbri@petronas.com</x:v>
      </x:c>
      <x:c r="AB130" t="str">
        <x:v>approved</x:v>
      </x:c>
      <x:c r="AC130" t="str">
        <x:v>1x VM</x:v>
      </x:c>
      <x:c r="AD130" t="n">
        <x:v>46134.11807222222</x:v>
      </x:c>
      <x:c r="AE130" t="str">
        <x:v>syazali.saad@petronas.com</x:v>
      </x:c>
      <x:c r="AF130" t="str">
        <x:v>approved</x:v>
      </x:c>
      <x:c r="AG130" t="str">
        <x:v>The new vm PTSG-5MYGENAP02 has been provisioned</x:v>
      </x:c>
      <x:c r="AH130" t="n">
        <x:v>46140.25402274306</x:v>
      </x:c>
      <x:c r="AI130" t="str">
        <x:v>muhdfirdaus.muhamad@petronas.com</x:v>
      </x:c>
      <x:c r="AJ130" t="str">
        <x:v>approved</x:v>
      </x:c>
      <x:c r="AK130" t="str">
        <x:v>REQ000008004739</x:v>
      </x:c>
      <x:c r="AL130" t="str">
        <x:v>c6a63b47-bf9e-4308-9a85-4fcd7d745577</x:v>
      </x:c>
      <x:c r="AM130" s="23" t="str">
        <x:f>IF(E130="processing",IF(Z130="","",IF(ISNUMBER(Z130),INT(Z130),DATE(VALUE(LEFT(Z130,4)),VALUE(MID(Z130,6,2)),VALUE(MID(Z130,9,2))))),IF(OR(E130="executing",E130="pending"),IF(AD130="","",IF(ISNUMBER(AD130),INT(AD130),DATE(VALUE(LEFT(AD130,4)),VALUE(MID(AD130,6,2)),VALUE(MID(AD130,9,2))))),""))</x:f>
      </x:c>
      <x:c r="AN130" s="24" t="str">
        <x:f>IF(AM130="","",INT('Configuration'!$B$4)-AM130)</x:f>
      </x:c>
      <x:c r="AO130" s="25" t="str">
        <x:f>IF(AM130="","Missing Required Date",IF(AN130&lt;0,"Future Date",IF(AN130=0,"0 days",IF(AN130&lt;=2,"1-2 days",IF(AN130&lt;=7,"3-7 days",IF(AN130&lt;=14,"8-14 days",IF(AN130&lt;=30,"15-30 days",IF(AN130&lt;=60,"31-60 days",IF(AN130&lt;=70,"61-70 days","71+ days")))))))))</x:f>
        <x:v>Missing Required Date</x:v>
      </x:c>
      <x:c r="AP130" s="25" t="str">
        <x:f>IF(OR(E130="processing",E130="executing",E130="pending"),IF(AM130="","Required aging date missing",IF(AN130&gt;30,"Escalate &gt;30d",IF(AN130&gt;14,"Watch &gt;14d","Within 14d"))),"Out of scope")</x:f>
        <x:v>Out of scope</x:v>
      </x:c>
    </x:row>
    <x:row r="131" ht="24" customHeight="1">
      <x:c r="A131" t="str">
        <x:v>181855dc-7118-4c89-9352-0b11596d10cc</x:v>
      </x:c>
      <x:c r="B131" t="str">
        <x:v>CSSP10433585</x:v>
      </x:c>
      <x:c r="C131" t="str">
        <x:v>azmi.mohd.noor@petronas.com</x:v>
      </x:c>
      <x:c r="D131" t="str">
        <x:v>provision-cloud-public</x:v>
      </x:c>
      <x:c r="E131" t="str">
        <x:v>completed</x:v>
      </x:c>
      <x:c r="F131" t="n">
        <x:v>46132.20935846065</x:v>
      </x:c>
      <x:c r="G131" t="n">
        <x:v>46132.20935846065</x:v>
      </x:c>
      <x:c r="H131" t="n">
        <x:v>46149.03722005787</x:v>
      </x:c>
      <x:c r="I131" t="str">
        <x:v>A-000446</x:v>
      </x:c>
      <x:c r="J131" t="str">
        <x:v>M365 Provisioning Engine - PE</x:v>
      </x:c>
      <x:c r="K131" t="str">
        <x:v>00916_6</x:v>
      </x:c>
      <x:c r="L131" t="str">
        <x:v>Productivity Platform Hub</x:v>
      </x:c>
      <x:c r="M131" t="str">
        <x:v>faylynn.chua@petronas.com</x:v>
      </x:c>
      <x:c r="N131" t="str">
        <x:v>M365</x:v>
      </x:c>
      <x:c r="O131" t="str">
        <x:v>New</x:v>
      </x:c>
      <x:c r="P131" t="str">
        <x:v>Production</x:v>
      </x:c>
      <x:c r="Q131" t="str">
        <x:v>Preferred RG : PTAZSG-PROD-PP-HUB-RG
Note on Azure DevOps Project Name, This resources for this request to be provisioned under the same repo as per Parent Project Code : 00916_1 </x:v>
      </x:c>
      <x:c r="R131" t="str">
        <x:v>S</x:v>
      </x:c>
      <x:c r="S131"/>
      <x:c r="T131"/>
      <x:c r="U131" t="str">
        <x:v>Approved </x:v>
      </x:c>
      <x:c r="V131" t="n">
        <x:v>46133.12614846065</x:v>
      </x:c>
      <x:c r="W131" t="str">
        <x:v>faylynn.chua@petronas.com</x:v>
      </x:c>
      <x:c r="X131" t="str">
        <x:v>approved</x:v>
      </x:c>
      <x:c r="Y131" t="str">
        <x:v>This request is only to create a new RG.</x:v>
      </x:c>
      <x:c r="Z131" t="n">
        <x:v>46135.16724795139</x:v>
      </x:c>
      <x:c r="AA131" t="str">
        <x:v>samsuddin.jumbri@petronas.com</x:v>
      </x:c>
      <x:c r="AB131" t="str">
        <x:v>approved</x:v>
      </x:c>
      <x:c r="AC131" t="str">
        <x:v>to create in PTAZSG-PROD-COPILOT-ENVIRONMENT subscription.</x:v>
      </x:c>
      <x:c r="AD131" t="n">
        <x:v>46135.19690449074</x:v>
      </x:c>
      <x:c r="AE131" t="str">
        <x:v>syazali.saad@petronas.com</x:v>
      </x:c>
      <x:c r="AF131" t="str">
        <x:v>approved</x:v>
      </x:c>
      <x:c r="AG131" t="str">
        <x:v>Done. </x:v>
      </x:c>
      <x:c r="AH131" t="n">
        <x:v>46149.03722006945</x:v>
      </x:c>
      <x:c r="AI131" t="str">
        <x:v>azhan.shazeli@petronas.com</x:v>
      </x:c>
      <x:c r="AJ131" t="str">
        <x:v>approved</x:v>
      </x:c>
      <x:c r="AK131" t="str">
        <x:v>REQ000008007394</x:v>
      </x:c>
      <x:c r="AL131" t="str">
        <x:v>c0acc46f-c9c3-4203-9c5f-6ae7551aeff1</x:v>
      </x:c>
      <x:c r="AM131" s="23" t="str">
        <x:f>IF(E131="processing",IF(Z131="","",IF(ISNUMBER(Z131),INT(Z131),DATE(VALUE(LEFT(Z131,4)),VALUE(MID(Z131,6,2)),VALUE(MID(Z131,9,2))))),IF(OR(E131="executing",E131="pending"),IF(AD131="","",IF(ISNUMBER(AD131),INT(AD131),DATE(VALUE(LEFT(AD131,4)),VALUE(MID(AD131,6,2)),VALUE(MID(AD131,9,2))))),""))</x:f>
      </x:c>
      <x:c r="AN131" s="24" t="str">
        <x:f>IF(AM131="","",INT('Configuration'!$B$4)-AM131)</x:f>
      </x:c>
      <x:c r="AO131" s="25" t="str">
        <x:f>IF(AM131="","Missing Required Date",IF(AN131&lt;0,"Future Date",IF(AN131=0,"0 days",IF(AN131&lt;=2,"1-2 days",IF(AN131&lt;=7,"3-7 days",IF(AN131&lt;=14,"8-14 days",IF(AN131&lt;=30,"15-30 days",IF(AN131&lt;=60,"31-60 days",IF(AN131&lt;=70,"61-70 days","71+ days")))))))))</x:f>
        <x:v>Missing Required Date</x:v>
      </x:c>
      <x:c r="AP131" s="25" t="str">
        <x:f>IF(OR(E131="processing",E131="executing",E131="pending"),IF(AM131="","Required aging date missing",IF(AN131&gt;30,"Escalate &gt;30d",IF(AN131&gt;14,"Watch &gt;14d","Within 14d"))),"Out of scope")</x:f>
        <x:v>Out of scope</x:v>
      </x:c>
    </x:row>
    <x:row r="132" ht="24" customHeight="1">
      <x:c r="A132" t="str">
        <x:v>64828225-b4a6-4b8d-bd66-9667bf7e5fbd</x:v>
      </x:c>
      <x:c r="B132" t="str">
        <x:v>CSSP10186972</x:v>
      </x:c>
      <x:c r="C132" t="str">
        <x:v>wanmiqbal.wanmhdnoor@petronas.com</x:v>
      </x:c>
      <x:c r="D132" t="str">
        <x:v>provision-cloud-public</x:v>
      </x:c>
      <x:c r="E132" t="str">
        <x:v>completed</x:v>
      </x:c>
      <x:c r="F132" t="n">
        <x:v>46133.093222627314</x:v>
      </x:c>
      <x:c r="G132" t="n">
        <x:v>46133.093222627314</x:v>
      </x:c>
      <x:c r="H132" t="n">
        <x:v>46167.356639641206</x:v>
      </x:c>
      <x:c r="I132" t="str">
        <x:v>A-001296</x:v>
      </x:c>
      <x:c r="J132" t="str">
        <x:v> Predictive Rotating Equipment Analytics - PROTEAN BRMC</x:v>
      </x:c>
      <x:c r="K132" t="str">
        <x:v>SR10961</x:v>
      </x:c>
      <x:c r="L132" t="str">
        <x:v>PROTEAN BRMC SI</x:v>
      </x:c>
      <x:c r="M132" t="str">
        <x:v>mohammadsani.johari@petronas.com</x:v>
      </x:c>
      <x:c r="N132" t="str">
        <x:v>PROTEAN BRMC SI</x:v>
      </x:c>
      <x:c r="O132" t="str">
        <x:v>New</x:v>
      </x:c>
      <x:c r="P132" t="str">
        <x:v>Production</x:v>
      </x:c>
      <x:c r="Q132" t="str">
        <x:v>Provisioning Azure Communication Services (ACS)</x:v>
      </x:c>
      <x:c r="R132" t="str">
        <x:v>S</x:v>
      </x:c>
      <x:c r="S132"/>
      <x:c r="T132"/>
      <x:c r="U132" t="str">
        <x:v>Proceed as per project requirement</x:v>
      </x:c>
      <x:c r="V132" t="n">
        <x:v>46133.10111179398</x:v>
      </x:c>
      <x:c r="W132" t="str">
        <x:v>mohammadsani.johari@petronas.com</x:v>
      </x:c>
      <x:c r="X132" t="str">
        <x:v>approved</x:v>
      </x:c>
      <x:c r="Y132" t="str">
        <x:v>Good to go</x:v>
      </x:c>
      <x:c r="Z132" t="n">
        <x:v>46136.417900127315</x:v>
      </x:c>
      <x:c r="AA132" t="str">
        <x:v>samsuddin.jumbri@petronas.com</x:v>
      </x:c>
      <x:c r="AB132" t="str">
        <x:v>approved</x:v>
      </x:c>
      <x:c r="AC132" t="str">
        <x:v>.</x:v>
      </x:c>
      <x:c r="AD132" t="n">
        <x:v>46146.30350314815</x:v>
      </x:c>
      <x:c r="AE132" t="str">
        <x:v>syazali.saad@petronas.com</x:v>
      </x:c>
      <x:c r="AF132" t="str">
        <x:v>approved</x:v>
      </x:c>
      <x:c r="AG132" t="str">
        <x:v>The Azure Communication Services (ACS) has been provisioned</x:v>
      </x:c>
      <x:c r="AH132" t="n">
        <x:v>46167.356639652775</x:v>
      </x:c>
      <x:c r="AI132" t="str">
        <x:v>muhdfirdaus.muhamad@petronas.com</x:v>
      </x:c>
      <x:c r="AJ132" t="str">
        <x:v>approved</x:v>
      </x:c>
      <x:c r="AK132" t="str">
        <x:v>REQ000008026483</x:v>
      </x:c>
      <x:c r="AL132" t="str">
        <x:v>d5fabeea-472b-4beb-bd0b-7c60661c9643</x:v>
      </x:c>
      <x:c r="AM132" s="23" t="str">
        <x:f>IF(E132="processing",IF(Z132="","",IF(ISNUMBER(Z132),INT(Z132),DATE(VALUE(LEFT(Z132,4)),VALUE(MID(Z132,6,2)),VALUE(MID(Z132,9,2))))),IF(OR(E132="executing",E132="pending"),IF(AD132="","",IF(ISNUMBER(AD132),INT(AD132),DATE(VALUE(LEFT(AD132,4)),VALUE(MID(AD132,6,2)),VALUE(MID(AD132,9,2))))),""))</x:f>
      </x:c>
      <x:c r="AN132" s="24" t="str">
        <x:f>IF(AM132="","",INT('Configuration'!$B$4)-AM132)</x:f>
      </x:c>
      <x:c r="AO132" s="25" t="str">
        <x:f>IF(AM132="","Missing Required Date",IF(AN132&lt;0,"Future Date",IF(AN132=0,"0 days",IF(AN132&lt;=2,"1-2 days",IF(AN132&lt;=7,"3-7 days",IF(AN132&lt;=14,"8-14 days",IF(AN132&lt;=30,"15-30 days",IF(AN132&lt;=60,"31-60 days",IF(AN132&lt;=70,"61-70 days","71+ days")))))))))</x:f>
        <x:v>Missing Required Date</x:v>
      </x:c>
      <x:c r="AP132" s="25" t="str">
        <x:f>IF(OR(E132="processing",E132="executing",E132="pending"),IF(AM132="","Required aging date missing",IF(AN132&gt;30,"Escalate &gt;30d",IF(AN132&gt;14,"Watch &gt;14d","Within 14d"))),"Out of scope")</x:f>
        <x:v>Out of scope</x:v>
      </x:c>
    </x:row>
    <x:row r="133" ht="24" customHeight="1">
      <x:c r="A133" t="str">
        <x:v>87d1c6a0-2046-4f47-ac6d-41c1941b87f8</x:v>
      </x:c>
      <x:c r="B133" t="str">
        <x:v>CSSP10335168</x:v>
      </x:c>
      <x:c r="C133" t="str">
        <x:v>sharonie.loris@petronas.com</x:v>
      </x:c>
      <x:c r="D133" t="str">
        <x:v>provision-cloud-public</x:v>
      </x:c>
      <x:c r="E133" t="str">
        <x:v>completed</x:v>
      </x:c>
      <x:c r="F133" t="n">
        <x:v>46133.10650270833</x:v>
      </x:c>
      <x:c r="G133" t="n">
        <x:v>46133.10650270833</x:v>
      </x:c>
      <x:c r="H133" t="n">
        <x:v>46135.31911398148</x:v>
      </x:c>
      <x:c r="I133" t="str">
        <x:v>A-001322</x:v>
      </x:c>
      <x:c r="J133" t="str">
        <x:v>RADIAN</x:v>
      </x:c>
      <x:c r="K133" t="str">
        <x:v>SR10734</x:v>
      </x:c>
      <x:c r="L133" t="str">
        <x:v>Real-Time Advisory &amp; Drilling Insight via Artificial Neural Intelligence (RADIAN) for 
Wells formerly known HSPM</x:v>
      </x:c>
      <x:c r="M133" t="str">
        <x:v>nurshida.czakaria@petronas.com.my</x:v>
      </x:c>
      <x:c r="N133" t="str">
        <x:v>RADIAN</x:v>
      </x:c>
      <x:c r="O133" t="str">
        <x:v>Modify</x:v>
      </x:c>
      <x:c r="P133" t="str">
        <x:v>Production</x:v>
      </x:c>
      <x:c r="Q133" t="str">
        <x:v>Request to add new item in provision cloud infrastructure</x:v>
      </x:c>
      <x:c r="R133" t="str">
        <x:v>S</x:v>
      </x:c>
      <x:c r="S133" t="str">
        <x:v>-</x:v>
      </x:c>
      <x:c r="T133"/>
      <x:c r="U133" t="str">
        <x:v>Approved for RADIAN project</x:v>
      </x:c>
      <x:c r="V133" t="n">
        <x:v>46133.11176965278</x:v>
      </x:c>
      <x:c r="W133" t="str">
        <x:v>nurshida.czakaria@petronas.com</x:v>
      </x:c>
      <x:c r="X133" t="str">
        <x:v>approved</x:v>
      </x:c>
      <x:c r="Y133" t="str">
        <x:v>Good to go</x:v>
      </x:c>
      <x:c r="Z133" t="n">
        <x:v>46135.092228773145</x:v>
      </x:c>
      <x:c r="AA133" t="str">
        <x:v>samsuddin.jumbri@petronas.com</x:v>
      </x:c>
      <x:c r="AB133" t="str">
        <x:v>approved</x:v>
      </x:c>
      <x:c r="AC133" t="str">
        <x:v>.</x:v>
      </x:c>
      <x:c r="AD133" t="n">
        <x:v>46135.10366664352</x:v>
      </x:c>
      <x:c r="AE133" t="str">
        <x:v>syazali.saad@petronas.com</x:v>
      </x:c>
      <x:c r="AF133" t="str">
        <x:v>approved</x:v>
      </x:c>
      <x:c r="AG133" t="str">
        <x:v>provisioned in PTAZMY-IAC-PROD-RADIAN-RG</x:v>
      </x:c>
      <x:c r="AH133" t="n">
        <x:v>46135.31911400463</x:v>
      </x:c>
      <x:c r="AI133" t="str">
        <x:v>chunwu.lim@petronas.com</x:v>
      </x:c>
      <x:c r="AJ133" t="str">
        <x:v>approved</x:v>
      </x:c>
      <x:c r="AK133" t="str">
        <x:v>REQ000008007292</x:v>
      </x:c>
      <x:c r="AL133" t="str">
        <x:v>4e9ba02b-45f5-40b0-8fda-a54588d5903e</x:v>
      </x:c>
      <x:c r="AM133" s="23" t="str">
        <x:f>IF(E133="processing",IF(Z133="","",IF(ISNUMBER(Z133),INT(Z133),DATE(VALUE(LEFT(Z133,4)),VALUE(MID(Z133,6,2)),VALUE(MID(Z133,9,2))))),IF(OR(E133="executing",E133="pending"),IF(AD133="","",IF(ISNUMBER(AD133),INT(AD133),DATE(VALUE(LEFT(AD133,4)),VALUE(MID(AD133,6,2)),VALUE(MID(AD133,9,2))))),""))</x:f>
      </x:c>
      <x:c r="AN133" s="24" t="str">
        <x:f>IF(AM133="","",INT('Configuration'!$B$4)-AM133)</x:f>
      </x:c>
      <x:c r="AO133" s="25" t="str">
        <x:f>IF(AM133="","Missing Required Date",IF(AN133&lt;0,"Future Date",IF(AN133=0,"0 days",IF(AN133&lt;=2,"1-2 days",IF(AN133&lt;=7,"3-7 days",IF(AN133&lt;=14,"8-14 days",IF(AN133&lt;=30,"15-30 days",IF(AN133&lt;=60,"31-60 days",IF(AN133&lt;=70,"61-70 days","71+ days")))))))))</x:f>
        <x:v>Missing Required Date</x:v>
      </x:c>
      <x:c r="AP133" s="25" t="str">
        <x:f>IF(OR(E133="processing",E133="executing",E133="pending"),IF(AM133="","Required aging date missing",IF(AN133&gt;30,"Escalate &gt;30d",IF(AN133&gt;14,"Watch &gt;14d","Within 14d"))),"Out of scope")</x:f>
        <x:v>Out of scope</x:v>
      </x:c>
    </x:row>
    <x:row r="134" ht="24" customHeight="1">
      <x:c r="A134" t="str">
        <x:v>c9daca31-1afb-4521-abd6-2570b2df97e6</x:v>
      </x:c>
      <x:c r="B134" t="str">
        <x:v>CSSP10489931</x:v>
      </x:c>
      <x:c r="C134" t="str">
        <x:v>ivanlim.choonkit@petronas.com</x:v>
      </x:c>
      <x:c r="D134" t="str">
        <x:v>provision-cloud-public</x:v>
      </x:c>
      <x:c r="E134" t="str">
        <x:v>completed</x:v>
      </x:c>
      <x:c r="F134" t="n">
        <x:v>46133.152506990744</x:v>
      </x:c>
      <x:c r="G134" t="n">
        <x:v>46133.181214826385</x:v>
      </x:c>
      <x:c r="H134" t="n">
        <x:v>46141.121513425926</x:v>
      </x:c>
      <x:c r="I134" t="str">
        <x:v>A-001241</x:v>
      </x:c>
      <x:c r="J134" t="str">
        <x:v>Digital Intelligence Center - DIC</x:v>
      </x:c>
      <x:c r="K134" t="n">
        <x:v>4712</x:v>
      </x:c>
      <x:c r="L134" t="str">
        <x:v>Deployment of Digital Intelligence Center (DIC) for Malaysia Petroleum Management (MPM)</x:v>
      </x:c>
      <x:c r="M134" t="str">
        <x:v>wadiah.rusli@petronas.com.my</x:v>
      </x:c>
      <x:c r="N134" t="str">
        <x:v>Deployment of Digital Intelligence Center (DIC) for MPM</x:v>
      </x:c>
      <x:c r="O134" t="str">
        <x:v>New</x:v>
      </x:c>
      <x:c r="P134" t="str">
        <x:v>Development</x:v>
      </x:c>
      <x:c r="Q134"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
</x:v>
      </x:c>
      <x:c r="R134" t="str">
        <x:v>S</x:v>
      </x:c>
      <x:c r="S134"/>
      <x:c r="T134"/>
      <x:c r="U134" t="str">
        <x:v>Approved for DIC project requirement.</x:v>
      </x:c>
      <x:c r="V134" t="n">
        <x:v>46133.182958530095</x:v>
      </x:c>
      <x:c r="W134" t="str">
        <x:v>wadiah.rusli@petronas.com</x:v>
      </x:c>
      <x:c r="X134" t="str">
        <x:v>approved</x:v>
      </x:c>
      <x:c r="Y134" t="str">
        <x:v>Approved for the provisioning of EC2. User need to contact helpdesk for Microsoft Office installation.</x:v>
      </x:c>
      <x:c r="Z134" t="n">
        <x:v>46134.30960886574</x:v>
      </x:c>
      <x:c r="AA134" t="str">
        <x:v>kianleng.geh@petronas.com</x:v>
      </x:c>
      <x:c r="AB134" t="str">
        <x:v>approved</x:v>
      </x:c>
      <x:c r="AC134" t="str">
        <x:v>ec2</x:v>
      </x:c>
      <x:c r="AD134" t="n">
        <x:v>46134.35859128472</x:v>
      </x:c>
      <x:c r="AE134" t="str">
        <x:v>syazali.saad@petronas.com</x:v>
      </x:c>
      <x:c r="AF134" t="str">
        <x:v>approved</x:v>
      </x:c>
      <x:c r="AG134" t="str">
        <x:v>ec2 provisioned</x:v>
      </x:c>
      <x:c r="AH134" t="n">
        <x:v>46141.121513425926</x:v>
      </x:c>
      <x:c r="AI134" t="str">
        <x:v>mhafizi.madnan@petronas.com</x:v>
      </x:c>
      <x:c r="AJ134" t="str">
        <x:v>approved</x:v>
      </x:c>
      <x:c r="AK134" t="str">
        <x:v>REQ000008006244</x:v>
      </x:c>
      <x:c r="AL134" t="str">
        <x:v>cc71964c-37e4-4a55-80e9-353ad3690f75</x:v>
      </x:c>
      <x:c r="AM134" s="23" t="str">
        <x:f>IF(E134="processing",IF(Z134="","",IF(ISNUMBER(Z134),INT(Z134),DATE(VALUE(LEFT(Z134,4)),VALUE(MID(Z134,6,2)),VALUE(MID(Z134,9,2))))),IF(OR(E134="executing",E134="pending"),IF(AD134="","",IF(ISNUMBER(AD134),INT(AD134),DATE(VALUE(LEFT(AD134,4)),VALUE(MID(AD134,6,2)),VALUE(MID(AD134,9,2))))),""))</x:f>
      </x:c>
      <x:c r="AN134" s="24" t="str">
        <x:f>IF(AM134="","",INT('Configuration'!$B$4)-AM134)</x:f>
      </x:c>
      <x:c r="AO134" s="25" t="str">
        <x:f>IF(AM134="","Missing Required Date",IF(AN134&lt;0,"Future Date",IF(AN134=0,"0 days",IF(AN134&lt;=2,"1-2 days",IF(AN134&lt;=7,"3-7 days",IF(AN134&lt;=14,"8-14 days",IF(AN134&lt;=30,"15-30 days",IF(AN134&lt;=60,"31-60 days",IF(AN134&lt;=70,"61-70 days","71+ days")))))))))</x:f>
        <x:v>Missing Required Date</x:v>
      </x:c>
      <x:c r="AP134" s="25" t="str">
        <x:f>IF(OR(E134="processing",E134="executing",E134="pending"),IF(AM134="","Required aging date missing",IF(AN134&gt;30,"Escalate &gt;30d",IF(AN134&gt;14,"Watch &gt;14d","Within 14d"))),"Out of scope")</x:f>
        <x:v>Out of scope</x:v>
      </x:c>
    </x:row>
    <x:row r="135" ht="24" customHeight="1">
      <x:c r="A135" t="str">
        <x:v>e3931116-b96b-4e5e-833f-dfb0c8d4f537</x:v>
      </x:c>
      <x:c r="B135" t="str">
        <x:v>CSSP10547846</x:v>
      </x:c>
      <x:c r="C135" t="str">
        <x:v>ahmadaizuddin.badry@petronas.com</x:v>
      </x:c>
      <x:c r="D135" t="str">
        <x:v>provision-cloud-public</x:v>
      </x:c>
      <x:c r="E135" t="str">
        <x:v>completed</x:v>
      </x:c>
      <x:c r="F135" t="n">
        <x:v>46134.11422584491</x:v>
      </x:c>
      <x:c r="G135" t="n">
        <x:v>46134.11422584491</x:v>
      </x:c>
      <x:c r="H135" t="n">
        <x:v>46155.17787675926</x:v>
      </x:c>
      <x:c r="I135" t="str">
        <x:v>A-000490</x:v>
      </x:c>
      <x:c r="J135" t="str">
        <x:v>MyProcure</x:v>
      </x:c>
      <x:c r="K135" t="n">
        <x:v>4343</x:v>
      </x:c>
      <x:c r="L135" t="str">
        <x:v>Procurement Innovation Through Automation And Procurement Marketplace</x:v>
      </x:c>
      <x:c r="M135" t="str">
        <x:v>amirshazlan.mshah@petronas.com.my</x:v>
      </x:c>
      <x:c r="N135" t="str">
        <x:v>Procurement AI</x:v>
      </x:c>
      <x:c r="O135" t="str">
        <x:v>New</x:v>
      </x:c>
      <x:c r="P135" t="str">
        <x:v>Development</x:v>
      </x:c>
      <x:c r="Q135" t="str">
        <x:v>Add to resource group PTAZSG-IAC-DEV-GPDATA-RG</x:v>
      </x:c>
      <x:c r="R135" t="str">
        <x:v>L</x:v>
      </x:c>
      <x:c r="S135"/>
      <x:c r="T135"/>
      <x:c r="U135" t="str">
        <x:v>approved for dev purpose</x:v>
      </x:c>
      <x:c r="V135" t="n">
        <x:v>46134.26364800926</x:v>
      </x:c>
      <x:c r="W135" t="str">
        <x:v>amirshazlan.mshah@petronas.com</x:v>
      </x:c>
      <x:c r="X135" t="str">
        <x:v>approved</x:v>
      </x:c>
      <x:c r="Y135" t="str">
        <x:v>Good to go</x:v>
      </x:c>
      <x:c r="Z135" t="n">
        <x:v>46136.41965225695</x:v>
      </x:c>
      <x:c r="AA135" t="str">
        <x:v>samsuddin.jumbri@petronas.com</x:v>
      </x:c>
      <x:c r="AB135" t="str">
        <x:v>approved</x:v>
      </x:c>
      <x:c r="AC135" t="str">
        <x:v>work with badri / luis on the databricks.
</x:v>
      </x:c>
      <x:c r="AD135" t="n">
        <x:v>46141.333839618055</x:v>
      </x:c>
      <x:c r="AE135" t="str">
        <x:v>syazali.saad@petronas.com</x:v>
      </x:c>
      <x:c r="AF135" t="str">
        <x:v>approved</x:v>
      </x:c>
      <x:c r="AG135" t="str">
        <x:v>completed</x:v>
      </x:c>
      <x:c r="AH135" t="n">
        <x:v>46155.17787675926</x:v>
      </x:c>
      <x:c r="AI135" t="str">
        <x:v>akhmal.roslan@petronas.com</x:v>
      </x:c>
      <x:c r="AJ135" t="str">
        <x:v>approved</x:v>
      </x:c>
      <x:c r="AK135" t="str">
        <x:v>REQ000008019447</x:v>
      </x:c>
      <x:c r="AL135" t="str">
        <x:v>e1827a6c-e18c-4500-94be-16de9cbb9e7c</x:v>
      </x:c>
      <x:c r="AM135" s="23" t="str">
        <x:f>IF(E135="processing",IF(Z135="","",IF(ISNUMBER(Z135),INT(Z135),DATE(VALUE(LEFT(Z135,4)),VALUE(MID(Z135,6,2)),VALUE(MID(Z135,9,2))))),IF(OR(E135="executing",E135="pending"),IF(AD135="","",IF(ISNUMBER(AD135),INT(AD135),DATE(VALUE(LEFT(AD135,4)),VALUE(MID(AD135,6,2)),VALUE(MID(AD135,9,2))))),""))</x:f>
      </x:c>
      <x:c r="AN135" s="24" t="str">
        <x:f>IF(AM135="","",INT('Configuration'!$B$4)-AM135)</x:f>
      </x:c>
      <x:c r="AO135" s="25" t="str">
        <x:f>IF(AM135="","Missing Required Date",IF(AN135&lt;0,"Future Date",IF(AN135=0,"0 days",IF(AN135&lt;=2,"1-2 days",IF(AN135&lt;=7,"3-7 days",IF(AN135&lt;=14,"8-14 days",IF(AN135&lt;=30,"15-30 days",IF(AN135&lt;=60,"31-60 days",IF(AN135&lt;=70,"61-70 days","71+ days")))))))))</x:f>
        <x:v>Missing Required Date</x:v>
      </x:c>
      <x:c r="AP135" s="25" t="str">
        <x:f>IF(OR(E135="processing",E135="executing",E135="pending"),IF(AM135="","Required aging date missing",IF(AN135&gt;30,"Escalate &gt;30d",IF(AN135&gt;14,"Watch &gt;14d","Within 14d"))),"Out of scope")</x:f>
        <x:v>Out of scope</x:v>
      </x:c>
    </x:row>
    <x:row r="136" ht="24" customHeight="1">
      <x:c r="A136" t="str">
        <x:v>1618794a-db69-462e-9559-41e3b603d54e</x:v>
      </x:c>
      <x:c r="B136" t="str">
        <x:v>CSSP10697511</x:v>
      </x:c>
      <x:c r="C136" t="str">
        <x:v>azad.johari@petronas.com</x:v>
      </x:c>
      <x:c r="D136" t="str">
        <x:v>provision-cloud-public</x:v>
      </x:c>
      <x:c r="E136" t="str">
        <x:v>completed</x:v>
      </x:c>
      <x:c r="F136" t="n">
        <x:v>46135.11258994213</x:v>
      </x:c>
      <x:c r="G136" t="n">
        <x:v>46135.11258994213</x:v>
      </x:c>
      <x:c r="H136" t="n">
        <x:v>46204.25907130787</x:v>
      </x:c>
      <x:c r="I136" t="str">
        <x:v>A-000271</x:v>
      </x:c>
      <x:c r="J136" t="str">
        <x:v>PETRONAS Education Sponsorship Programme Web</x:v>
      </x:c>
      <x:c r="K136" t="str">
        <x:v>00915_83</x:v>
      </x:c>
      <x:c r="L136" t="str">
        <x:v>Cloud Migration Program - PETRONAS Education Sponsorship Programme ESMS.NET 2.0</x:v>
      </x:c>
      <x:c r="M136" t="str">
        <x:v>amirshazlan.mshah@petronas.com</x:v>
      </x:c>
      <x:c r="N136" t="str">
        <x:v>EducationSponsorship</x:v>
      </x:c>
      <x:c r="O136" t="str">
        <x:v>New</x:v>
      </x:c>
      <x:c r="P136" t="str">
        <x:v>Production</x:v>
      </x:c>
      <x:c r="Q136" t="str">
        <x:v>add KV and FD</x:v>
      </x:c>
      <x:c r="R136" t="str">
        <x:v>S</x:v>
      </x:c>
      <x:c r="S136"/>
      <x:c r="T136"/>
      <x:c r="U136" t="str">
        <x:v>approved but need to see whether other CDN besides Front Door is available with lower cost</x:v>
      </x:c>
      <x:c r="V136" t="n">
        <x:v>46135.119771921294</x:v>
      </x:c>
      <x:c r="W136" t="str">
        <x:v>amirshazlan.mshah@petronas.com</x:v>
      </x:c>
      <x:c r="X136" t="str">
        <x:v>approved</x:v>
      </x:c>
      <x:c r="Y136" t="str">
        <x:v>Good to go</x:v>
      </x:c>
      <x:c r="Z136" t="n">
        <x:v>46136.42029297454</x:v>
      </x:c>
      <x:c r="AA136" t="str">
        <x:v>samsuddin.jumbri@petronas.com</x:v>
      </x:c>
      <x:c r="AB136" t="str">
        <x:v>approved</x:v>
      </x:c>
      <x:c r="AC136" t="str">
        <x:v>dev and prod. olz. PTAZSG-PROD-ESMS-RG, PTAZSG-DEV-ESMS-RG
</x:v>
      </x:c>
      <x:c r="AD136" t="n">
        <x:v>46142.315312025465</x:v>
      </x:c>
      <x:c r="AE136" t="str">
        <x:v>syazali.saad@petronas.com</x:v>
      </x:c>
      <x:c r="AF136" t="str">
        <x:v>approved</x:v>
      </x:c>
      <x:c r="AG136" t="str">
        <x:v>done;</x:v>
      </x:c>
      <x:c r="AH136" t="n">
        <x:v>46204.259071319444</x:v>
      </x:c>
      <x:c r="AI136" t="str">
        <x:v>izham.ajmaan@petronas.com</x:v>
      </x:c>
      <x:c r="AJ136" t="str">
        <x:v>approved</x:v>
      </x:c>
      <x:c r="AK136" t="str">
        <x:v>REQ000008021758</x:v>
      </x:c>
      <x:c r="AL136" t="str">
        <x:v>29a27bbf-d3a1-4b49-8c7a-d475a28d955c</x:v>
      </x:c>
      <x:c r="AM136" s="23" t="str">
        <x:f>IF(E136="processing",IF(Z136="","",IF(ISNUMBER(Z136),INT(Z136),DATE(VALUE(LEFT(Z136,4)),VALUE(MID(Z136,6,2)),VALUE(MID(Z136,9,2))))),IF(OR(E136="executing",E136="pending"),IF(AD136="","",IF(ISNUMBER(AD136),INT(AD136),DATE(VALUE(LEFT(AD136,4)),VALUE(MID(AD136,6,2)),VALUE(MID(AD136,9,2))))),""))</x:f>
      </x:c>
      <x:c r="AN136" s="24" t="str">
        <x:f>IF(AM136="","",INT('Configuration'!$B$4)-AM136)</x:f>
      </x:c>
      <x:c r="AO136" s="25" t="str">
        <x:f>IF(AM136="","Missing Required Date",IF(AN136&lt;0,"Future Date",IF(AN136=0,"0 days",IF(AN136&lt;=2,"1-2 days",IF(AN136&lt;=7,"3-7 days",IF(AN136&lt;=14,"8-14 days",IF(AN136&lt;=30,"15-30 days",IF(AN136&lt;=60,"31-60 days",IF(AN136&lt;=70,"61-70 days","71+ days")))))))))</x:f>
        <x:v>Missing Required Date</x:v>
      </x:c>
      <x:c r="AP136" s="25" t="str">
        <x:f>IF(OR(E136="processing",E136="executing",E136="pending"),IF(AM136="","Required aging date missing",IF(AN136&gt;30,"Escalate &gt;30d",IF(AN136&gt;14,"Watch &gt;14d","Within 14d"))),"Out of scope")</x:f>
        <x:v>Out of scope</x:v>
      </x:c>
    </x:row>
    <x:row r="137" ht="24" customHeight="1">
      <x:c r="A137" t="str">
        <x:v>5f53e6fc-eecd-4fcb-9bfd-77eb5aee6542</x:v>
      </x:c>
      <x:c r="B137" t="str">
        <x:v>CSSP10594123</x:v>
      </x:c>
      <x:c r="C137" t="str">
        <x:v>mohamadsyafiq.mnoor@petronas.com</x:v>
      </x:c>
      <x:c r="D137" t="str">
        <x:v>provision-cloud-public</x:v>
      </x:c>
      <x:c r="E137" t="str">
        <x:v>completed</x:v>
      </x:c>
      <x:c r="F137" t="n">
        <x:v>46135.350320335645</x:v>
      </x:c>
      <x:c r="G137" t="n">
        <x:v>46135.350320335645</x:v>
      </x:c>
      <x:c r="H137" t="n">
        <x:v>46153.10953412037</x:v>
      </x:c>
      <x:c r="I137" t="str">
        <x:v>A-001307</x:v>
      </x:c>
      <x:c r="J137" t="str">
        <x:v>Azure Machine Learning - PRPC</x:v>
      </x:c>
      <x:c r="K137" t="n">
        <x:v>4739</x:v>
      </x:c>
      <x:c r="L137" t="str">
        <x:v>Run &amp; Maintain Citizen Analytics Use Cases for PRPC</x:v>
      </x:c>
      <x:c r="M137" t="str">
        <x:v>khairulnizam.bahari@petronas.com.my</x:v>
      </x:c>
      <x:c r="N137" t="str">
        <x:v>Citizen-Analytics</x:v>
      </x:c>
      <x:c r="O137" t="str">
        <x:v>New</x:v>
      </x:c>
      <x:c r="P137" t="str">
        <x:v>Production</x:v>
      </x:c>
      <x:c r="Q137" t="str">
        <x:v>Request to provision compute instance (with virtual network enabled) for each of the following Azure ML workspaces:
1(a). Workspace Name: PTAZSG-1CA-COOL-WTR-PUMP
2(b). Workspace URL: https://ml.azure.com/?tid=3b2e8941-7948-4131-978a-b2dfc7295091&amp;wsid=/subscriptions/7003ae80-02ed-43c8-9c84-c16f3d931f2f/resourcegroups/PTAZSG-IAC-DAA-PROD-DOWNSTREAM-PRPC-RG/providers/Microsoft.MachineLearningServices/workspaces/PTAZSG-1CA-COOL-WTR-PUMP
Assigned New User:
1. Kamelia Izzati Rozaini (POCM/PRPC) - kameliaizzati.rozain@petronas.com.my
2.Farah Fuaad (OEf/PRPC) - farah.fuaad@petronas.com.my</x:v>
      </x:c>
      <x:c r="R137" t="str">
        <x:v>S</x:v>
      </x:c>
      <x:c r="S137"/>
      <x:c r="T137"/>
      <x:c r="U137" t="str">
        <x:v>Add 2 new users from PRPC for Cooling Water Pump Workspace use case</x:v>
      </x:c>
      <x:c r="V137" t="n">
        <x:v>46135.358594398145</x:v>
      </x:c>
      <x:c r="W137" t="str">
        <x:v>khairulnizam.bahari@petronas.com</x:v>
      </x:c>
      <x:c r="X137" t="str">
        <x:v>approved</x:v>
      </x:c>
      <x:c r="Y137" t="str">
        <x:v>Good to go</x:v>
      </x:c>
      <x:c r="Z137" t="n">
        <x:v>46136.42092960648</x:v>
      </x:c>
      <x:c r="AA137" t="str">
        <x:v>samsuddin.jumbri@petronas.com</x:v>
      </x:c>
      <x:c r="AB137" t="str">
        <x:v>approved</x:v>
      </x:c>
      <x:c r="AC137" t="str">
        <x:v>create ML compute.
workspace PTAZSG-1CA-COOL-WTR-PUMP</x:v>
      </x:c>
      <x:c r="AD137" t="n">
        <x:v>46141.32842100695</x:v>
      </x:c>
      <x:c r="AE137" t="str">
        <x:v>syazali.saad@petronas.com</x:v>
      </x:c>
      <x:c r="AF137" t="str">
        <x:v>approved</x:v>
      </x:c>
      <x:c r="AG137" t="str">
        <x:v>provision done. </x:v>
      </x:c>
      <x:c r="AH137" t="n">
        <x:v>46153.10953414352</x:v>
      </x:c>
      <x:c r="AI137" t="str">
        <x:v>azhan.shazeli@petronas.com</x:v>
      </x:c>
      <x:c r="AJ137" t="str">
        <x:v>approved</x:v>
      </x:c>
      <x:c r="AK137" t="str">
        <x:v>REQ000008019830</x:v>
      </x:c>
      <x:c r="AL137" t="str">
        <x:v>175979a6-0134-4d4e-b3f1-5ff77e1fdf7f</x:v>
      </x:c>
      <x:c r="AM137" s="23" t="str">
        <x:f>IF(E137="processing",IF(Z137="","",IF(ISNUMBER(Z137),INT(Z137),DATE(VALUE(LEFT(Z137,4)),VALUE(MID(Z137,6,2)),VALUE(MID(Z137,9,2))))),IF(OR(E137="executing",E137="pending"),IF(AD137="","",IF(ISNUMBER(AD137),INT(AD137),DATE(VALUE(LEFT(AD137,4)),VALUE(MID(AD137,6,2)),VALUE(MID(AD137,9,2))))),""))</x:f>
      </x:c>
      <x:c r="AN137" s="24" t="str">
        <x:f>IF(AM137="","",INT('Configuration'!$B$4)-AM137)</x:f>
      </x:c>
      <x:c r="AO137" s="25" t="str">
        <x:f>IF(AM137="","Missing Required Date",IF(AN137&lt;0,"Future Date",IF(AN137=0,"0 days",IF(AN137&lt;=2,"1-2 days",IF(AN137&lt;=7,"3-7 days",IF(AN137&lt;=14,"8-14 days",IF(AN137&lt;=30,"15-30 days",IF(AN137&lt;=60,"31-60 days",IF(AN137&lt;=70,"61-70 days","71+ days")))))))))</x:f>
        <x:v>Missing Required Date</x:v>
      </x:c>
      <x:c r="AP137" s="25" t="str">
        <x:f>IF(OR(E137="processing",E137="executing",E137="pending"),IF(AM137="","Required aging date missing",IF(AN137&gt;30,"Escalate &gt;30d",IF(AN137&gt;14,"Watch &gt;14d","Within 14d"))),"Out of scope")</x:f>
        <x:v>Out of scope</x:v>
      </x:c>
    </x:row>
    <x:row r="138" ht="24" customHeight="1">
      <x:c r="A138" t="str">
        <x:v>a58ff428-eda6-4919-8a1e-bbefb91806fe</x:v>
      </x:c>
      <x:c r="B138" t="str">
        <x:v>CSSP10893583</x:v>
      </x:c>
      <x:c r="C138" t="str">
        <x:v>amarsyafiq.azma@petronas.com</x:v>
      </x:c>
      <x:c r="D138" t="str">
        <x:v>provision-cloud-public</x:v>
      </x:c>
      <x:c r="E138" t="str">
        <x:v>rejected</x:v>
      </x:c>
      <x:c r="F138" t="n">
        <x:v>46138.6525341088</x:v>
      </x:c>
      <x:c r="G138" t="n">
        <x:v>46138.6525341088</x:v>
      </x:c>
      <x:c r="H138" t="n">
        <x:v>46147.16422601852</x:v>
      </x:c>
      <x:c r="I138" t="str">
        <x:v>A-000285</x:v>
      </x:c>
      <x:c r="J138" t="str">
        <x:v>Enterprise Application Observability</x:v>
      </x:c>
      <x:c r="K138" t="str">
        <x:v>PC-00002</x:v>
      </x:c>
      <x:c r="L138" t="str">
        <x:v>Enterprise Application Observability</x:v>
      </x:c>
      <x:c r="M138" t="str">
        <x:v>chewjian.shin@petronas.com</x:v>
      </x:c>
      <x:c r="N138" t="str">
        <x:v>Enterprise Observability</x:v>
      </x:c>
      <x:c r="O138" t="str">
        <x:v>Repat</x:v>
      </x:c>
      <x:c r="P138" t="str">
        <x:v>StagingUat</x:v>
      </x:c>
      <x:c r="Q138" t="str">
        <x:v>Enterprise Application Observability (Elastic Stack) Repatriation &amp; Modernization - Staging Environment</x:v>
      </x:c>
      <x:c r="R138"/>
      <x:c r="S138"/>
      <x:c r="T138"/>
      <x:c r="U138" t="str">
        <x:v>[System] Stage pre-approved for Cloud Repatriation project</x:v>
      </x:c>
      <x:c r="V138" t="n">
        <x:v>46138.6525341088</x:v>
      </x:c>
      <x:c r="W138" t="str">
        <x:v>chewjian.shin@petronas.com</x:v>
      </x:c>
      <x:c r="X138" t="str">
        <x:v>approved</x:v>
      </x:c>
      <x:c r="Y138" t="str">
        <x:v>[System] Stage pre-approved for Cloud Repatriation project</x:v>
      </x:c>
      <x:c r="Z138" t="n">
        <x:v>46138.6525341088</x:v>
      </x:c>
      <x:c r="AA138" t="str">
        <x:v>CCoE Demand</x:v>
      </x:c>
      <x:c r="AB138" t="str">
        <x:v>approved</x:v>
      </x:c>
      <x:c r="AC138" t="str">
        <x:v>This is not under Cloud Repartriation list, instead owned by Application team. please submit normal CSSP provisioning request as this form is used for record only of Cloud team's repartriation program.
https://cssp.petronas.com/request/provisioning/cloud/public/new
in addition,
kindly attach relevant opsr/memo/dac approval for confirming the compliance and chargeback for the additional resource cost for the new deployment.
i'm not able to approve both technical and commercial without these documents in place, especially since this application was originally deployed as POC tagged resources.</x:v>
      </x:c>
      <x:c r="AD138" t="n">
        <x:v>46147.164226030094</x:v>
      </x:c>
      <x:c r="AE138" t="str">
        <x:v>syazali.saad@petronas.com</x:v>
      </x:c>
      <x:c r="AF138" t="str">
        <x:v>rejected</x:v>
      </x:c>
      <x:c r="AG138"/>
      <x:c r="AH138"/>
      <x:c r="AI138" t="str">
        <x:v>CCoE Core Services (Public)</x:v>
      </x:c>
      <x:c r="AJ138"/>
      <x:c r="AK138"/>
      <x:c r="AL138" t="str">
        <x:v>66d4ebcb-ad48-4d93-a2d3-c759ef6af5c8</x:v>
      </x:c>
      <x:c r="AM138" s="23" t="str">
        <x:f>IF(E138="processing",IF(Z138="","",IF(ISNUMBER(Z138),INT(Z138),DATE(VALUE(LEFT(Z138,4)),VALUE(MID(Z138,6,2)),VALUE(MID(Z138,9,2))))),IF(OR(E138="executing",E138="pending"),IF(AD138="","",IF(ISNUMBER(AD138),INT(AD138),DATE(VALUE(LEFT(AD138,4)),VALUE(MID(AD138,6,2)),VALUE(MID(AD138,9,2))))),""))</x:f>
      </x:c>
      <x:c r="AN138" s="24" t="str">
        <x:f>IF(AM138="","",INT('Configuration'!$B$4)-AM138)</x:f>
      </x:c>
      <x:c r="AO138" s="25" t="str">
        <x:f>IF(AM138="","Missing Required Date",IF(AN138&lt;0,"Future Date",IF(AN138=0,"0 days",IF(AN138&lt;=2,"1-2 days",IF(AN138&lt;=7,"3-7 days",IF(AN138&lt;=14,"8-14 days",IF(AN138&lt;=30,"15-30 days",IF(AN138&lt;=60,"31-60 days",IF(AN138&lt;=70,"61-70 days","71+ days")))))))))</x:f>
        <x:v>Missing Required Date</x:v>
      </x:c>
      <x:c r="AP138" s="25" t="str">
        <x:f>IF(OR(E138="processing",E138="executing",E138="pending"),IF(AM138="","Required aging date missing",IF(AN138&gt;30,"Escalate &gt;30d",IF(AN138&gt;14,"Watch &gt;14d","Within 14d"))),"Out of scope")</x:f>
        <x:v>Out of scope</x:v>
      </x:c>
    </x:row>
    <x:row r="139" ht="24" customHeight="1">
      <x:c r="A139" t="str">
        <x:v>ff430273-3df7-4d39-9972-76ff3721e71e</x:v>
      </x:c>
      <x:c r="B139" t="str">
        <x:v>CSSP10407326</x:v>
      </x:c>
      <x:c r="C139" t="str">
        <x:v>suliza.sumari@petronas.com</x:v>
      </x:c>
      <x:c r="D139" t="str">
        <x:v>provision-cloud-public</x:v>
      </x:c>
      <x:c r="E139" t="str">
        <x:v>completed</x:v>
      </x:c>
      <x:c r="F139" t="n">
        <x:v>46139.954115381945</x:v>
      </x:c>
      <x:c r="G139" t="n">
        <x:v>46140.07003325231</x:v>
      </x:c>
      <x:c r="H139" t="n">
        <x:v>46167.07282755787</x:v>
      </x:c>
      <x:c r="I139" t="str">
        <x:v>A-000491</x:v>
      </x:c>
      <x:c r="J139" t="str">
        <x:v>MyPROData</x:v>
      </x:c>
      <x:c r="K139" t="n">
        <x:v>4583</x:v>
      </x:c>
      <x:c r="L139" t="str">
        <x:v>Shared Support Services (SecOps) myPROdata FY2025 for Malaysia Petroleum Management (MPM)</x:v>
      </x:c>
      <x:c r="M139" t="str">
        <x:v>wadiah.rusli@petronas.com.my</x:v>
      </x:c>
      <x:c r="N139" t="str">
        <x:v>myPROdata</x:v>
      </x:c>
      <x:c r="O139" t="str">
        <x:v>Modify</x:v>
      </x:c>
      <x:c r="P139" t="str">
        <x:v>StagingUat</x:v>
      </x:c>
      <x:c r="Q139" t="str">
        <x:v>Upgrading staging server for myPRODATA to a latest version (from PTAWSG-3COC-RHEL8.6-20230608 to
PTAWSG-3COC-RHEL9.0-20250428). Refer to file MBR-_AWS_EstimateCost_v32 for spec in staging. </x:v>
      </x:c>
      <x:c r="R139" t="str">
        <x:v>M</x:v>
      </x:c>
      <x:c r="S139"/>
      <x:c r="T139"/>
      <x:c r="U139" t="str">
        <x:v>Approved. Please expedite the provisioning.</x:v>
      </x:c>
      <x:c r="V139" t="n">
        <x:v>46140.070940578706</x:v>
      </x:c>
      <x:c r="W139" t="str">
        <x:v>wadiah.rusli@petronas.com</x:v>
      </x:c>
      <x:c r="X139" t="str">
        <x:v>approved</x:v>
      </x:c>
      <x:c r="Y139" t="str">
        <x:v>Approved. Server to upgrade is PTASWG-4MBRDB01 (10.84.47.252)</x:v>
      </x:c>
      <x:c r="Z139" t="n">
        <x:v>46140.10923364583</x:v>
      </x:c>
      <x:c r="AA139" t="str">
        <x:v>kianleng.geh@petronas.com</x:v>
      </x:c>
      <x:c r="AB139" t="str">
        <x:v>approved</x:v>
      </x:c>
      <x:c r="AC139" t="str">
        <x:v>just deploy new vm with new os.
if upgrade work only then backup and upgrade only but require RFC. 
looping in unix team to work on this.</x:v>
      </x:c>
      <x:c r="AD139" t="n">
        <x:v>46141.335422986114</x:v>
      </x:c>
      <x:c r="AE139" t="str">
        <x:v>syazali.saad@petronas.com</x:v>
      </x:c>
      <x:c r="AF139" t="str">
        <x:v>approved</x:v>
      </x:c>
      <x:c r="AG139" t="str">
        <x:v>Completed</x:v>
      </x:c>
      <x:c r="AH139" t="n">
        <x:v>46167.07282755787</x:v>
      </x:c>
      <x:c r="AI139" t="str">
        <x:v>badri.shaharudin@petronas.com</x:v>
      </x:c>
      <x:c r="AJ139" t="str">
        <x:v>approved</x:v>
      </x:c>
      <x:c r="AK139" t="str">
        <x:v>REQ000008019833</x:v>
      </x:c>
      <x:c r="AL139" t="str">
        <x:v>ebc92a57-efcb-4ea1-91f3-f2e35a11c936</x:v>
      </x:c>
      <x:c r="AM139" s="23" t="str">
        <x:f>IF(E139="processing",IF(Z139="","",IF(ISNUMBER(Z139),INT(Z139),DATE(VALUE(LEFT(Z139,4)),VALUE(MID(Z139,6,2)),VALUE(MID(Z139,9,2))))),IF(OR(E139="executing",E139="pending"),IF(AD139="","",IF(ISNUMBER(AD139),INT(AD139),DATE(VALUE(LEFT(AD139,4)),VALUE(MID(AD139,6,2)),VALUE(MID(AD139,9,2))))),""))</x:f>
      </x:c>
      <x:c r="AN139" s="24" t="str">
        <x:f>IF(AM139="","",INT('Configuration'!$B$4)-AM139)</x:f>
      </x:c>
      <x:c r="AO139" s="25" t="str">
        <x:f>IF(AM139="","Missing Required Date",IF(AN139&lt;0,"Future Date",IF(AN139=0,"0 days",IF(AN139&lt;=2,"1-2 days",IF(AN139&lt;=7,"3-7 days",IF(AN139&lt;=14,"8-14 days",IF(AN139&lt;=30,"15-30 days",IF(AN139&lt;=60,"31-60 days",IF(AN139&lt;=70,"61-70 days","71+ days")))))))))</x:f>
        <x:v>Missing Required Date</x:v>
      </x:c>
      <x:c r="AP139" s="25" t="str">
        <x:f>IF(OR(E139="processing",E139="executing",E139="pending"),IF(AM139="","Required aging date missing",IF(AN139&gt;30,"Escalate &gt;30d",IF(AN139&gt;14,"Watch &gt;14d","Within 14d"))),"Out of scope")</x:f>
        <x:v>Out of scope</x:v>
      </x:c>
    </x:row>
    <x:row r="140" ht="24" customHeight="1">
      <x:c r="A140" t="str">
        <x:v>cf7bcefb-51ff-41a3-93ab-18cf4f29b645</x:v>
      </x:c>
      <x:c r="B140" t="str">
        <x:v>CSSP10574214</x:v>
      </x:c>
      <x:c r="C140" t="str">
        <x:v>azad.johari@petronas.com</x:v>
      </x:c>
      <x:c r="D140" t="str">
        <x:v>provision-cloud-public</x:v>
      </x:c>
      <x:c r="E140" t="str">
        <x:v>completed</x:v>
      </x:c>
      <x:c r="F140" t="n">
        <x:v>46140.07837681713</x:v>
      </x:c>
      <x:c r="G140" t="n">
        <x:v>46140.07837681713</x:v>
      </x:c>
      <x:c r="H140" t="n">
        <x:v>46167.027652372686</x:v>
      </x:c>
      <x:c r="I140" t="str">
        <x:v>A-000775</x:v>
      </x:c>
      <x:c r="J140" t="str">
        <x:v>Sharing Knowledge Information and Lesson Learnt - SKILL</x:v>
      </x:c>
      <x:c r="K140" t="n">
        <x:v>617</x:v>
      </x:c>
      <x:c r="L140" t="str">
        <x:v>Enhancement of Sharing Knowledge Information &amp; Lessons Learnt (SKILL) System for PD&amp;T</x:v>
      </x:c>
      <x:c r="M140" t="str">
        <x:v>amirshazlan.mshah@petronas.com</x:v>
      </x:c>
      <x:c r="N140" t="str">
        <x:v>SKILL</x:v>
      </x:c>
      <x:c r="O140" t="str">
        <x:v>New</x:v>
      </x:c>
      <x:c r="P140" t="str">
        <x:v>Production</x:v>
      </x:c>
      <x:c r="Q140" t="str">
        <x:v>The new resource is for business to migrate their data to Sharepoint. The app going to be decom after the migration.</x:v>
      </x:c>
      <x:c r="R140" t="str">
        <x:v>L</x:v>
      </x:c>
      <x:c r="S140"/>
      <x:c r="T140"/>
      <x:c r="U140" t="str">
        <x:v>approved</x:v>
      </x:c>
      <x:c r="V140" t="n">
        <x:v>46140.24601982639</x:v>
      </x:c>
      <x:c r="W140" t="str">
        <x:v>amirshazlan.mshah@petronas.com</x:v>
      </x:c>
      <x:c r="X140" t="str">
        <x:v>approved</x:v>
      </x:c>
      <x:c r="Y140" t="str">
        <x:v>Good to go</x:v>
      </x:c>
      <x:c r="Z140" t="n">
        <x:v>46146.09180310185</x:v>
      </x:c>
      <x:c r="AA140" t="str">
        <x:v>samsuddin.jumbri@petronas.com</x:v>
      </x:c>
      <x:c r="AB140" t="str">
        <x:v>approved</x:v>
      </x:c>
      <x:c r="AC140" t="str">
        <x:v>OLZ, DF and Databricks.</x:v>
      </x:c>
      <x:c r="AD140" t="n">
        <x:v>46146.30136952546</x:v>
      </x:c>
      <x:c r="AE140" t="str">
        <x:v>syazali.saad@petronas.com</x:v>
      </x:c>
      <x:c r="AF140" t="str">
        <x:v>approved</x:v>
      </x:c>
      <x:c r="AG140" t="str">
        <x:v>Resource created in the below RG: 
RG: PTAZSG-PROD-SKILL-RG 
1) Azure data Factory created - ptsg1skilldf01
2) Azure Databricks - ptsg-1skilldbrick01</x:v>
      </x:c>
      <x:c r="AH140" t="n">
        <x:v>46167.02765238426</x:v>
      </x:c>
      <x:c r="AI140" t="str">
        <x:v>yeonghunn.ho@petronas.com</x:v>
      </x:c>
      <x:c r="AJ140" t="str">
        <x:v>approved</x:v>
      </x:c>
      <x:c r="AK140" t="str">
        <x:v>REQ000008026198</x:v>
      </x:c>
      <x:c r="AL140" t="str">
        <x:v>0f87d419-86fa-46c0-b215-d9598f824f7f</x:v>
      </x:c>
      <x:c r="AM140" s="23" t="str">
        <x:f>IF(E140="processing",IF(Z140="","",IF(ISNUMBER(Z140),INT(Z140),DATE(VALUE(LEFT(Z140,4)),VALUE(MID(Z140,6,2)),VALUE(MID(Z140,9,2))))),IF(OR(E140="executing",E140="pending"),IF(AD140="","",IF(ISNUMBER(AD140),INT(AD140),DATE(VALUE(LEFT(AD140,4)),VALUE(MID(AD140,6,2)),VALUE(MID(AD140,9,2))))),""))</x:f>
      </x:c>
      <x:c r="AN140" s="24" t="str">
        <x:f>IF(AM140="","",INT('Configuration'!$B$4)-AM140)</x:f>
      </x:c>
      <x:c r="AO140" s="25" t="str">
        <x:f>IF(AM140="","Missing Required Date",IF(AN140&lt;0,"Future Date",IF(AN140=0,"0 days",IF(AN140&lt;=2,"1-2 days",IF(AN140&lt;=7,"3-7 days",IF(AN140&lt;=14,"8-14 days",IF(AN140&lt;=30,"15-30 days",IF(AN140&lt;=60,"31-60 days",IF(AN140&lt;=70,"61-70 days","71+ days")))))))))</x:f>
        <x:v>Missing Required Date</x:v>
      </x:c>
      <x:c r="AP140" s="25" t="str">
        <x:f>IF(OR(E140="processing",E140="executing",E140="pending"),IF(AM140="","Required aging date missing",IF(AN140&gt;30,"Escalate &gt;30d",IF(AN140&gt;14,"Watch &gt;14d","Within 14d"))),"Out of scope")</x:f>
        <x:v>Out of scope</x:v>
      </x:c>
    </x:row>
    <x:row r="141" ht="24" customHeight="1">
      <x:c r="A141" t="str">
        <x:v>43438d06-9dec-4b14-a3a0-c9a99d8e9c0e</x:v>
      </x:c>
      <x:c r="B141" t="str">
        <x:v>CSSP10698884</x:v>
      </x:c>
      <x:c r="C141" t="str">
        <x:v>mariffirdaus.mkhaidz@petronas.com</x:v>
      </x:c>
      <x:c r="D141" t="str">
        <x:v>provision-cloud-public</x:v>
      </x:c>
      <x:c r="E141" t="str">
        <x:v>completed</x:v>
      </x:c>
      <x:c r="F141" t="n">
        <x:v>46140.2778531713</x:v>
      </x:c>
      <x:c r="G141" t="n">
        <x:v>46141.28870592592</x:v>
      </x:c>
      <x:c r="H141" t="n">
        <x:v>46219.10640052083</x:v>
      </x:c>
      <x:c r="I141" t="str">
        <x:v>A-001346</x:v>
      </x:c>
      <x:c r="J141" t="str">
        <x:v>GPE Digital Platform</x:v>
      </x:c>
      <x:c r="K141" t="str">
        <x:v>SR00331</x:v>
      </x:c>
      <x:c r="L141" t="str">
        <x:v>Quality Suite</x:v>
      </x:c>
      <x:c r="M141" t="str">
        <x:v>msufian.hussein@petronas.com</x:v>
      </x:c>
      <x:c r="N141" t="str">
        <x:v>Quality Suite</x:v>
      </x:c>
      <x:c r="O141" t="str">
        <x:v>New</x:v>
      </x:c>
      <x:c r="P141" t="str">
        <x:v>Development</x:v>
      </x:c>
      <x:c r="Q141" t="str">
        <x:v>The resources listed in the Excel document are crucial for the development team to initiate their work. Please reach out to me via Teams if you need any clarifications on the documents provided</x:v>
      </x:c>
      <x:c r="R141" t="str">
        <x:v>L</x:v>
      </x:c>
      <x:c r="S141"/>
      <x:c r="T141"/>
      <x:c r="U141" t="str">
        <x:v>Approved</x:v>
      </x:c>
      <x:c r="V141" t="n">
        <x:v>46141.31670783565</x:v>
      </x:c>
      <x:c r="W141" t="str">
        <x:v>msufian.hussein@petronas.com</x:v>
      </x:c>
      <x:c r="X141" t="str">
        <x:v>approved</x:v>
      </x:c>
      <x:c r="Y141" t="str">
        <x:v>Good to go for the Dev environment. For Prod and Stg, please raise separate SR.</x:v>
      </x:c>
      <x:c r="Z141" t="n">
        <x:v>46141.351565474535</x:v>
      </x:c>
      <x:c r="AA141" t="str">
        <x:v>samsuddin.jumbri@petronas.com</x:v>
      </x:c>
      <x:c r="AB141" t="str">
        <x:v>approved</x:v>
      </x:c>
      <x:c r="AC141" t="str">
        <x:v>EKS. deploy DEV resource only. Stg and Prod resource will require another CSSP</x:v>
      </x:c>
      <x:c r="AD141" t="n">
        <x:v>46142.321688958335</x:v>
      </x:c>
      <x:c r="AE141" t="str">
        <x:v>syazali.saad@petronas.com</x:v>
      </x:c>
      <x:c r="AF141" t="str">
        <x:v>approved</x:v>
      </x:c>
      <x:c r="AG141" t="str">
        <x:v>provisioning completed. user confirmation on the request</x:v>
      </x:c>
      <x:c r="AH141" t="n">
        <x:v>46219.10640053241</x:v>
      </x:c>
      <x:c r="AI141" t="str">
        <x:v>mhafizi.madnan@petronas.com</x:v>
      </x:c>
      <x:c r="AJ141" t="str">
        <x:v>approved</x:v>
      </x:c>
      <x:c r="AK141" t="str">
        <x:v>REQ000008021766</x:v>
      </x:c>
      <x:c r="AL141" t="str">
        <x:v>868b1bbc-b9be-43ba-8175-d6ca35843984</x:v>
      </x:c>
      <x:c r="AM141" s="23" t="str">
        <x:f>IF(E141="processing",IF(Z141="","",IF(ISNUMBER(Z141),INT(Z141),DATE(VALUE(LEFT(Z141,4)),VALUE(MID(Z141,6,2)),VALUE(MID(Z141,9,2))))),IF(OR(E141="executing",E141="pending"),IF(AD141="","",IF(ISNUMBER(AD141),INT(AD141),DATE(VALUE(LEFT(AD141,4)),VALUE(MID(AD141,6,2)),VALUE(MID(AD141,9,2))))),""))</x:f>
      </x:c>
      <x:c r="AN141" s="24" t="str">
        <x:f>IF(AM141="","",INT('Configuration'!$B$4)-AM141)</x:f>
      </x:c>
      <x:c r="AO141" s="25" t="str">
        <x:f>IF(AM141="","Missing Required Date",IF(AN141&lt;0,"Future Date",IF(AN141=0,"0 days",IF(AN141&lt;=2,"1-2 days",IF(AN141&lt;=7,"3-7 days",IF(AN141&lt;=14,"8-14 days",IF(AN141&lt;=30,"15-30 days",IF(AN141&lt;=60,"31-60 days",IF(AN141&lt;=70,"61-70 days","71+ days")))))))))</x:f>
        <x:v>Missing Required Date</x:v>
      </x:c>
      <x:c r="AP141" s="25" t="str">
        <x:f>IF(OR(E141="processing",E141="executing",E141="pending"),IF(AM141="","Required aging date missing",IF(AN141&gt;30,"Escalate &gt;30d",IF(AN141&gt;14,"Watch &gt;14d","Within 14d"))),"Out of scope")</x:f>
        <x:v>Out of scope</x:v>
      </x:c>
    </x:row>
    <x:row r="142" ht="24" customHeight="1">
      <x:c r="A142" t="str">
        <x:v>7b215cdb-7ad4-4167-9bf1-b1412d34f95f</x:v>
      </x:c>
      <x:c r="B142" t="str">
        <x:v>CSSP10673286</x:v>
      </x:c>
      <x:c r="C142" t="str">
        <x:v>norfazillah.awahab@petronas.com</x:v>
      </x:c>
      <x:c r="D142" t="str">
        <x:v>provision-cloud-public</x:v>
      </x:c>
      <x:c r="E142" t="str">
        <x:v>completed</x:v>
      </x:c>
      <x:c r="F142" t="n">
        <x:v>46142.28472123843</x:v>
      </x:c>
      <x:c r="G142" t="n">
        <x:v>46142.287063599535</x:v>
      </x:c>
      <x:c r="H142" t="n">
        <x:v>46150.09196381945</x:v>
      </x:c>
      <x:c r="I142" t="str">
        <x:v>A-001339</x:v>
      </x:c>
      <x:c r="J142" t="str">
        <x:v>Wells DROID for ENIGMA</x:v>
      </x:c>
      <x:c r="K142" t="str">
        <x:v>SR26947_DROID</x:v>
      </x:c>
      <x:c r="L142" t="str">
        <x:v>ENIGMA JV: Implementation of Wells System and Data for MacCo - DROIDS</x:v>
      </x:c>
      <x:c r="M142" t="str">
        <x:v>nurshida.czakaria@petronas.com.my</x:v>
      </x:c>
      <x:c r="N142" t="str">
        <x:v>ENIgma_DROID</x:v>
      </x:c>
      <x:c r="O142" t="str">
        <x:v>Modify</x:v>
      </x:c>
      <x:c r="P142" t="str">
        <x:v>Development</x:v>
      </x:c>
      <x:c r="Q142" t="str">
        <x:v>SR26947: ENIGMA JV: Implementation of Wells System and Data for MacCo
HLD link : https://myea.petronas.com/HLD/HLDDetails?StatusId=2&amp;LandscapePlatformId=2&amp;IsInfrastructureRequiredInput=true&amp;HLDTypeId=2&amp;LandscapeTypeId=1&amp;HLDId=1766
to increase the existing DROID DB storage + 770GB for enigma testing purposes
Server	ptmy-npupstrm-sqlmi01.2d150e86ba6e.database.windows.net
</x:v>
      </x:c>
      <x:c r="R142" t="str">
        <x:v>M</x:v>
      </x:c>
      <x:c r="S142"/>
      <x:c r="T142"/>
      <x:c r="U142" t="str">
        <x:v>Approved for Enigma implementation </x:v>
      </x:c>
      <x:c r="V142" t="n">
        <x:v>46142.33447068287</x:v>
      </x:c>
      <x:c r="W142" t="str">
        <x:v>nurshida.czakaria@petronas.com</x:v>
      </x:c>
      <x:c r="X142" t="str">
        <x:v>approved</x:v>
      </x:c>
      <x:c r="Y142" t="str">
        <x:v>Approved. Upgrade disk size by additional 768GB for ptmy-npupstrm-sqlmi01. PTAZMY-IAC-NONPROD-UPSTREAM-SQLMI-RG</x:v>
      </x:c>
      <x:c r="Z142" t="n">
        <x:v>46148.06999321759</x:v>
      </x:c>
      <x:c r="AA142" t="str">
        <x:v>kianleng.geh@petronas.com</x:v>
      </x:c>
      <x:c r="AB142" t="str">
        <x:v>approved</x:v>
      </x:c>
      <x:c r="AC142" t="str">
        <x:v>ENIGMA app.</x:v>
      </x:c>
      <x:c r="AD142" t="n">
        <x:v>46148.08325672454</x:v>
      </x:c>
      <x:c r="AE142" t="str">
        <x:v>syazali.saad@petronas.com</x:v>
      </x:c>
      <x:c r="AF142" t="str">
        <x:v>approved</x:v>
      </x:c>
      <x:c r="AG142" t="str">
        <x:v>Completed</x:v>
      </x:c>
      <x:c r="AH142" t="n">
        <x:v>46150.09196381945</x:v>
      </x:c>
      <x:c r="AI142" t="str">
        <x:v>badri.shaharudin@petronas.com</x:v>
      </x:c>
      <x:c r="AJ142" t="str">
        <x:v>approved</x:v>
      </x:c>
      <x:c r="AK142" t="str">
        <x:v>REQ000008031184</x:v>
      </x:c>
      <x:c r="AL142"/>
      <x:c r="AM142" s="23" t="str">
        <x:f>IF(E142="processing",IF(Z142="","",IF(ISNUMBER(Z142),INT(Z142),DATE(VALUE(LEFT(Z142,4)),VALUE(MID(Z142,6,2)),VALUE(MID(Z142,9,2))))),IF(OR(E142="executing",E142="pending"),IF(AD142="","",IF(ISNUMBER(AD142),INT(AD142),DATE(VALUE(LEFT(AD142,4)),VALUE(MID(AD142,6,2)),VALUE(MID(AD142,9,2))))),""))</x:f>
      </x:c>
      <x:c r="AN142" s="24" t="str">
        <x:f>IF(AM142="","",INT('Configuration'!$B$4)-AM142)</x:f>
      </x:c>
      <x:c r="AO142" s="25" t="str">
        <x:f>IF(AM142="","Missing Required Date",IF(AN142&lt;0,"Future Date",IF(AN142=0,"0 days",IF(AN142&lt;=2,"1-2 days",IF(AN142&lt;=7,"3-7 days",IF(AN142&lt;=14,"8-14 days",IF(AN142&lt;=30,"15-30 days",IF(AN142&lt;=60,"31-60 days",IF(AN142&lt;=70,"61-70 days","71+ days")))))))))</x:f>
        <x:v>Missing Required Date</x:v>
      </x:c>
      <x:c r="AP142" s="25" t="str">
        <x:f>IF(OR(E142="processing",E142="executing",E142="pending"),IF(AM142="","Required aging date missing",IF(AN142&gt;30,"Escalate &gt;30d",IF(AN142&gt;14,"Watch &gt;14d","Within 14d"))),"Out of scope")</x:f>
        <x:v>Out of scope</x:v>
      </x:c>
    </x:row>
    <x:row r="143" ht="24" customHeight="1">
      <x:c r="A143" t="str">
        <x:v>662ddf7f-7aa1-4f4c-8804-11c0855e9276</x:v>
      </x:c>
      <x:c r="B143" t="str">
        <x:v>CSSP10771558</x:v>
      </x:c>
      <x:c r="C143" t="str">
        <x:v>theebban.tamizarasu@petronas.com</x:v>
      </x:c>
      <x:c r="D143" t="str">
        <x:v>provision-cloud-public</x:v>
      </x:c>
      <x:c r="E143" t="str">
        <x:v>rejected</x:v>
      </x:c>
      <x:c r="F143" t="n">
        <x:v>46147.08069387732</x:v>
      </x:c>
      <x:c r="G143" t="n">
        <x:v>46147.08069387732</x:v>
      </x:c>
      <x:c r="H143" t="n">
        <x:v>46155.39030363426</x:v>
      </x:c>
      <x:c r="I143" t="str">
        <x:v>A-000491</x:v>
      </x:c>
      <x:c r="J143" t="str">
        <x:v>MyPROData</x:v>
      </x:c>
      <x:c r="K143" t="n">
        <x:v>4583</x:v>
      </x:c>
      <x:c r="L143" t="str">
        <x:v>Shared Support Services (SecOps) myPROdata FY2025 for Malaysia Petroleum Management (MPM)</x:v>
      </x:c>
      <x:c r="M143" t="str">
        <x:v>wadiah.rusli@petronas.com.my</x:v>
      </x:c>
      <x:c r="N143" t="str">
        <x:v>myPROdata</x:v>
      </x:c>
      <x:c r="O143" t="str">
        <x:v>Modify</x:v>
      </x:c>
      <x:c r="P143" t="str">
        <x:v>StagingUat</x:v>
      </x:c>
      <x:c r="Q143" t="str">
        <x:v>Request to provision private (Internal Facing) - IP for the following app services in PTAZSG-UAT-ARCGIS-RG - myPROdata Staging
</x:v>
      </x:c>
      <x:c r="R143"/>
      <x:c r="S143"/>
      <x:c r="T143"/>
      <x:c r="U143" t="str">
        <x:v>Approved. please expedite.</x:v>
      </x:c>
      <x:c r="V143" t="n">
        <x:v>46147.081335891206</x:v>
      </x:c>
      <x:c r="W143" t="str">
        <x:v>wadiah.rusli@petronas.com</x:v>
      </x:c>
      <x:c r="X143" t="str">
        <x:v>approved</x:v>
      </x:c>
      <x:c r="Y143" t="str">
        <x:v>There is no app service in PTAZSG-UAT-ARCGIS-RG. All VMs are running on private IPs</x:v>
      </x:c>
      <x:c r="Z143" t="n">
        <x:v>46155.39030363426</x:v>
      </x:c>
      <x:c r="AA143" t="str">
        <x:v>kianleng.geh@petronas.com</x:v>
      </x:c>
      <x:c r="AB143" t="str">
        <x:v>rejected</x:v>
      </x:c>
      <x:c r="AC143"/>
      <x:c r="AD143"/>
      <x:c r="AE143" t="str">
        <x:v>CCoE Business</x:v>
      </x:c>
      <x:c r="AF143"/>
      <x:c r="AG143"/>
      <x:c r="AH143"/>
      <x:c r="AI143" t="str">
        <x:v>CCoE Core Services (Public)</x:v>
      </x:c>
      <x:c r="AJ143"/>
      <x:c r="AK143"/>
      <x:c r="AL143" t="str">
        <x:v>ebc92a57-efcb-4ea1-91f3-f2e35a11c936</x:v>
      </x:c>
      <x:c r="AM143" s="23" t="str">
        <x:f>IF(E143="processing",IF(Z143="","",IF(ISNUMBER(Z143),INT(Z143),DATE(VALUE(LEFT(Z143,4)),VALUE(MID(Z143,6,2)),VALUE(MID(Z143,9,2))))),IF(OR(E143="executing",E143="pending"),IF(AD143="","",IF(ISNUMBER(AD143),INT(AD143),DATE(VALUE(LEFT(AD143,4)),VALUE(MID(AD143,6,2)),VALUE(MID(AD143,9,2))))),""))</x:f>
      </x:c>
      <x:c r="AN143" s="24" t="str">
        <x:f>IF(AM143="","",INT('Configuration'!$B$4)-AM143)</x:f>
      </x:c>
      <x:c r="AO143" s="25" t="str">
        <x:f>IF(AM143="","Missing Required Date",IF(AN143&lt;0,"Future Date",IF(AN143=0,"0 days",IF(AN143&lt;=2,"1-2 days",IF(AN143&lt;=7,"3-7 days",IF(AN143&lt;=14,"8-14 days",IF(AN143&lt;=30,"15-30 days",IF(AN143&lt;=60,"31-60 days",IF(AN143&lt;=70,"61-70 days","71+ days")))))))))</x:f>
        <x:v>Missing Required Date</x:v>
      </x:c>
      <x:c r="AP143" s="25" t="str">
        <x:f>IF(OR(E143="processing",E143="executing",E143="pending"),IF(AM143="","Required aging date missing",IF(AN143&gt;30,"Escalate &gt;30d",IF(AN143&gt;14,"Watch &gt;14d","Within 14d"))),"Out of scope")</x:f>
        <x:v>Out of scope</x:v>
      </x:c>
    </x:row>
    <x:row r="144" ht="24" customHeight="1">
      <x:c r="A144" t="str">
        <x:v>95a48abc-914c-40a4-8497-0356caac99ea</x:v>
      </x:c>
      <x:c r="B144" t="str">
        <x:v>CSSP10718591</x:v>
      </x:c>
      <x:c r="C144" t="str">
        <x:v>mibrahim.sulaima@petronas.com</x:v>
      </x:c>
      <x:c r="D144" t="str">
        <x:v>provision-cloud-public</x:v>
      </x:c>
      <x:c r="E144" t="str">
        <x:v>pending</x:v>
      </x:c>
      <x:c r="F144" t="n">
        <x:v>46147.12077461806</x:v>
      </x:c>
      <x:c r="G144" t="n">
        <x:v>46147.12077461806</x:v>
      </x:c>
      <x:c r="H144" t="n">
        <x:v>46147.12077461806</x:v>
      </x:c>
      <x:c r="I144" t="str">
        <x:v>A-000524</x:v>
      </x:c>
      <x:c r="J144" t="str">
        <x:v>Offshore Logistics Venture - OLV</x:v>
      </x:c>
      <x:c r="K144" t="n">
        <x:v>1808</x:v>
      </x:c>
      <x:c r="L144" t="str">
        <x:v>Offshore Logistics Venture (OLV) Incubation</x:v>
      </x:c>
      <x:c r="M144" t="str">
        <x:v>ghimyee.tang@petronas.com.my</x:v>
      </x:c>
      <x:c r="N144" t="str">
        <x:v>Petronas GP_ULCT</x:v>
      </x:c>
      <x:c r="O144" t="str">
        <x:v>New</x:v>
      </x:c>
      <x:c r="P144" t="str">
        <x:v>StagingUat</x:v>
      </x:c>
      <x:c r="Q144" t="str">
        <x:v>Request to provision private IP for the following Amazon S3 in PTAW-IAC-NonPROD-STAGING-STEAR-Environment-01. This is to follow Cybersecurity direction to remove external access for non production environment. Eventually staging.stear.co need to be remove from external dns</x:v>
      </x:c>
      <x:c r="R144"/>
      <x:c r="S144"/>
      <x:c r="T144"/>
      <x:c r="U144"/>
      <x:c r="V144"/>
      <x:c r="W144" t="str">
        <x:v>ghimyee.tang@petronas.com</x:v>
      </x:c>
      <x:c r="X144"/>
      <x:c r="Y144"/>
      <x:c r="Z144"/>
      <x:c r="AA144" t="str">
        <x:v>CCoE Demand</x:v>
      </x:c>
      <x:c r="AB144"/>
      <x:c r="AC144"/>
      <x:c r="AD144"/>
      <x:c r="AE144" t="str">
        <x:v>CCoE Business</x:v>
      </x:c>
      <x:c r="AF144"/>
      <x:c r="AG144"/>
      <x:c r="AH144"/>
      <x:c r="AI144" t="str">
        <x:v>CCoE Core Services (Public)</x:v>
      </x:c>
      <x:c r="AJ144"/>
      <x:c r="AK144"/>
      <x:c r="AL144" t="str">
        <x:v>8d2e855a-2ae6-49cd-856a-9f23a5e5ac86</x:v>
      </x:c>
      <x:c r="AM144" s="23" t="str">
        <x:f>IF(E144="processing",IF(Z144="","",IF(ISNUMBER(Z144),INT(Z144),DATE(VALUE(LEFT(Z144,4)),VALUE(MID(Z144,6,2)),VALUE(MID(Z144,9,2))))),IF(OR(E144="executing",E144="pending"),IF(AD144="","",IF(ISNUMBER(AD144),INT(AD144),DATE(VALUE(LEFT(AD144,4)),VALUE(MID(AD144,6,2)),VALUE(MID(AD144,9,2))))),""))</x:f>
      </x:c>
      <x:c r="AN144" s="24" t="str">
        <x:f>IF(AM144="","",INT('Configuration'!$B$4)-AM144)</x:f>
      </x:c>
      <x:c r="AO144" s="25" t="str">
        <x:f>IF(AM144="","Missing Required Date",IF(AN144&lt;0,"Future Date",IF(AN144=0,"0 days",IF(AN144&lt;=2,"1-2 days",IF(AN144&lt;=7,"3-7 days",IF(AN144&lt;=14,"8-14 days",IF(AN144&lt;=30,"15-30 days",IF(AN144&lt;=60,"31-60 days",IF(AN144&lt;=70,"61-70 days","71+ days")))))))))</x:f>
        <x:v>Missing Required Date</x:v>
      </x:c>
      <x:c r="AP144" s="25" t="str">
        <x:f>IF(OR(E144="processing",E144="executing",E144="pending"),IF(AM144="","Required aging date missing",IF(AN144&gt;30,"Escalate &gt;30d",IF(AN144&gt;14,"Watch &gt;14d","Within 14d"))),"Out of scope")</x:f>
        <x:v>Required aging date missing</x:v>
      </x:c>
    </x:row>
    <x:row r="145" ht="24" customHeight="1">
      <x:c r="A145" t="str">
        <x:v>f284b03b-9af1-47d5-bb4d-1cef28a2194d</x:v>
      </x:c>
      <x:c r="B145" t="str">
        <x:v>CSSP10206240</x:v>
      </x:c>
      <x:c r="C145" t="str">
        <x:v>ahmadaizuddin.badry@petronas.com</x:v>
      </x:c>
      <x:c r="D145" t="str">
        <x:v>provision-cloud-public</x:v>
      </x:c>
      <x:c r="E145" t="str">
        <x:v>rejected</x:v>
      </x:c>
      <x:c r="F145" t="n">
        <x:v>46147.192312928244</x:v>
      </x:c>
      <x:c r="G145" t="n">
        <x:v>46147.192312928244</x:v>
      </x:c>
      <x:c r="H145" t="n">
        <x:v>46162.06632479167</x:v>
      </x:c>
      <x:c r="I145" t="str">
        <x:v>A-000490</x:v>
      </x:c>
      <x:c r="J145" t="str">
        <x:v>MyProcure</x:v>
      </x:c>
      <x:c r="K145" t="n">
        <x:v>4343</x:v>
      </x:c>
      <x:c r="L145" t="str">
        <x:v>Procurement Innovation Through Automation And Procurement Marketplace</x:v>
      </x:c>
      <x:c r="M145" t="str">
        <x:v>amirshazlan.mshah@petronas.com.my</x:v>
      </x:c>
      <x:c r="N145" t="str">
        <x:v>Procurement AI</x:v>
      </x:c>
      <x:c r="O145" t="str">
        <x:v>New</x:v>
      </x:c>
      <x:c r="P145" t="str">
        <x:v>Development</x:v>
      </x:c>
      <x:c r="Q145" t="str">
        <x:v>Provisioning of Azure Fabric and Azure Function</x:v>
      </x:c>
      <x:c r="R145"/>
      <x:c r="S145"/>
      <x:c r="T145"/>
      <x:c r="U145" t="str">
        <x:v>approved</x:v>
      </x:c>
      <x:c r="V145" t="n">
        <x:v>46147.22252372685</x:v>
      </x:c>
      <x:c r="W145" t="str">
        <x:v>amirshazlan.mshah@petronas.com</x:v>
      </x:c>
      <x:c r="X145" t="str">
        <x:v>approved</x:v>
      </x:c>
      <x:c r="Y145" t="str">
        <x:v>To comply with the Cloud Service Request and Provisioning Guideline v4.0, kindly provide the approved CS BIA and SOW/HLD as supporting evidence. </x:v>
      </x:c>
      <x:c r="Z145" t="n">
        <x:v>46162.06632480324</x:v>
      </x:c>
      <x:c r="AA145" t="str">
        <x:v>samsuddin.jumbri@petronas.com</x:v>
      </x:c>
      <x:c r="AB145" t="str">
        <x:v>rejected</x:v>
      </x:c>
      <x:c r="AC145"/>
      <x:c r="AD145"/>
      <x:c r="AE145" t="str">
        <x:v>CCoE Business</x:v>
      </x:c>
      <x:c r="AF145"/>
      <x:c r="AG145"/>
      <x:c r="AH145"/>
      <x:c r="AI145" t="str">
        <x:v>CCoE Core Services (Public)</x:v>
      </x:c>
      <x:c r="AJ145"/>
      <x:c r="AK145"/>
      <x:c r="AL145" t="str">
        <x:v>e1827a6c-e18c-4500-94be-16de9cbb9e7c</x:v>
      </x:c>
      <x:c r="AM145" s="23" t="str">
        <x:f>IF(E145="processing",IF(Z145="","",IF(ISNUMBER(Z145),INT(Z145),DATE(VALUE(LEFT(Z145,4)),VALUE(MID(Z145,6,2)),VALUE(MID(Z145,9,2))))),IF(OR(E145="executing",E145="pending"),IF(AD145="","",IF(ISNUMBER(AD145),INT(AD145),DATE(VALUE(LEFT(AD145,4)),VALUE(MID(AD145,6,2)),VALUE(MID(AD145,9,2))))),""))</x:f>
      </x:c>
      <x:c r="AN145" s="24" t="str">
        <x:f>IF(AM145="","",INT('Configuration'!$B$4)-AM145)</x:f>
      </x:c>
      <x:c r="AO145" s="25" t="str">
        <x:f>IF(AM145="","Missing Required Date",IF(AN145&lt;0,"Future Date",IF(AN145=0,"0 days",IF(AN145&lt;=2,"1-2 days",IF(AN145&lt;=7,"3-7 days",IF(AN145&lt;=14,"8-14 days",IF(AN145&lt;=30,"15-30 days",IF(AN145&lt;=60,"31-60 days",IF(AN145&lt;=70,"61-70 days","71+ days")))))))))</x:f>
        <x:v>Missing Required Date</x:v>
      </x:c>
      <x:c r="AP145" s="25" t="str">
        <x:f>IF(OR(E145="processing",E145="executing",E145="pending"),IF(AM145="","Required aging date missing",IF(AN145&gt;30,"Escalate &gt;30d",IF(AN145&gt;14,"Watch &gt;14d","Within 14d"))),"Out of scope")</x:f>
        <x:v>Out of scope</x:v>
      </x:c>
    </x:row>
    <x:row r="146" ht="24" customHeight="1">
      <x:c r="A146" t="str">
        <x:v>c039eb44-3f65-40cb-8238-4f3f542caded</x:v>
      </x:c>
      <x:c r="B146" t="str">
        <x:v>CSSP10825599</x:v>
      </x:c>
      <x:c r="C146" t="str">
        <x:v>ahmadaizuddin.badry@petronas.com</x:v>
      </x:c>
      <x:c r="D146" t="str">
        <x:v>provision-cloud-public</x:v>
      </x:c>
      <x:c r="E146" t="str">
        <x:v>completed</x:v>
      </x:c>
      <x:c r="F146" t="n">
        <x:v>46147.1952871875</x:v>
      </x:c>
      <x:c r="G146" t="n">
        <x:v>46168.1992855787</x:v>
      </x:c>
      <x:c r="H146" t="n">
        <x:v>46230.12594078704</x:v>
      </x:c>
      <x:c r="I146" t="str">
        <x:v>A-000490</x:v>
      </x:c>
      <x:c r="J146" t="str">
        <x:v>MyProcure</x:v>
      </x:c>
      <x:c r="K146" t="n">
        <x:v>4343</x:v>
      </x:c>
      <x:c r="L146" t="str">
        <x:v>Procurement Innovation Through Automation And Procurement Marketplace</x:v>
      </x:c>
      <x:c r="M146" t="str">
        <x:v>amirshazlan.mshah@petronas.com.my</x:v>
      </x:c>
      <x:c r="N146" t="str">
        <x:v>myProcure DevOps - Support</x:v>
      </x:c>
      <x:c r="O146" t="str">
        <x:v>New</x:v>
      </x:c>
      <x:c r="P146" t="str">
        <x:v>Production</x:v>
      </x:c>
      <x:c r="Q146" t="str">
        <x:v>Provisioning new resources databrick for myProcure</x:v>
      </x:c>
      <x:c r="R146" t="str">
        <x:v>L</x:v>
      </x:c>
      <x:c r="S146"/>
      <x:c r="T146"/>
      <x:c r="U146" t="str">
        <x:v>approval</x:v>
      </x:c>
      <x:c r="V146" t="n">
        <x:v>46168.205742418984</x:v>
      </x:c>
      <x:c r="W146" t="str">
        <x:v>amirshazlan.mshah@petronas.com</x:v>
      </x:c>
      <x:c r="X146" t="str">
        <x:v>approved</x:v>
      </x:c>
      <x:c r="Y146" t="str">
        <x:v>Good to go</x:v>
      </x:c>
      <x:c r="Z146" t="n">
        <x:v>46178.37977452546</x:v>
      </x:c>
      <x:c r="AA146" t="str">
        <x:v>samsuddin.jumbri@petronas.com</x:v>
      </x:c>
      <x:c r="AB146" t="str">
        <x:v>approved</x:v>
      </x:c>
      <x:c r="AC146" t="str">
        <x:v>https://dev.azure.com/Digital-Delivery/Procurement%20AI
to reprovision Databricks instance with VNET configured in its initial setup (instead of using Managed VNET), and to upgrade the instance tier to Premium, instead of standard.
Production</x:v>
      </x:c>
      <x:c r="AD146" t="n">
        <x:v>46189.342141574074</x:v>
      </x:c>
      <x:c r="AE146" t="str">
        <x:v>syazali.saad@petronas.com</x:v>
      </x:c>
      <x:c r="AF146" t="str">
        <x:v>approved</x:v>
      </x:c>
      <x:c r="AG146" t="str">
        <x:v>closed</x:v>
      </x:c>
      <x:c r="AH146" t="n">
        <x:v>46230.12594078704</x:v>
      </x:c>
      <x:c r="AI146" t="str">
        <x:v>mhafizi.madnan@petronas.com</x:v>
      </x:c>
      <x:c r="AJ146" t="str">
        <x:v>approved</x:v>
      </x:c>
      <x:c r="AK146" t="str">
        <x:v>REQ000008104444</x:v>
      </x:c>
      <x:c r="AL146" t="str">
        <x:v>e1827a6c-e18c-4500-94be-16de9cbb9e7c</x:v>
      </x:c>
      <x:c r="AM146" s="23" t="str">
        <x:f>IF(E146="processing",IF(Z146="","",IF(ISNUMBER(Z146),INT(Z146),DATE(VALUE(LEFT(Z146,4)),VALUE(MID(Z146,6,2)),VALUE(MID(Z146,9,2))))),IF(OR(E146="executing",E146="pending"),IF(AD146="","",IF(ISNUMBER(AD146),INT(AD146),DATE(VALUE(LEFT(AD146,4)),VALUE(MID(AD146,6,2)),VALUE(MID(AD146,9,2))))),""))</x:f>
      </x:c>
      <x:c r="AN146" s="24" t="str">
        <x:f>IF(AM146="","",INT('Configuration'!$B$4)-AM146)</x:f>
      </x:c>
      <x:c r="AO146" s="25" t="str">
        <x:f>IF(AM146="","Missing Required Date",IF(AN146&lt;0,"Future Date",IF(AN146=0,"0 days",IF(AN146&lt;=2,"1-2 days",IF(AN146&lt;=7,"3-7 days",IF(AN146&lt;=14,"8-14 days",IF(AN146&lt;=30,"15-30 days",IF(AN146&lt;=60,"31-60 days",IF(AN146&lt;=70,"61-70 days","71+ days")))))))))</x:f>
        <x:v>Missing Required Date</x:v>
      </x:c>
      <x:c r="AP146" s="25" t="str">
        <x:f>IF(OR(E146="processing",E146="executing",E146="pending"),IF(AM146="","Required aging date missing",IF(AN146&gt;30,"Escalate &gt;30d",IF(AN146&gt;14,"Watch &gt;14d","Within 14d"))),"Out of scope")</x:f>
        <x:v>Out of scope</x:v>
      </x:c>
    </x:row>
    <x:row r="147" ht="24" customHeight="1">
      <x:c r="A147" t="str">
        <x:v>b35f57c0-f149-4c7b-9e4e-b2b20b7c64d9</x:v>
      </x:c>
      <x:c r="B147" t="str">
        <x:v>CSSP10903999</x:v>
      </x:c>
      <x:c r="C147" t="str">
        <x:v>ahmadaizuddin.badry@petronas.com</x:v>
      </x:c>
      <x:c r="D147" t="str">
        <x:v>provision-cloud-public</x:v>
      </x:c>
      <x:c r="E147" t="str">
        <x:v>completed</x:v>
      </x:c>
      <x:c r="F147" t="n">
        <x:v>46147.19608101852</x:v>
      </x:c>
      <x:c r="G147" t="n">
        <x:v>46168.199700300924</x:v>
      </x:c>
      <x:c r="H147" t="n">
        <x:v>46230.12553769676</x:v>
      </x:c>
      <x:c r="I147" t="str">
        <x:v>A-000490</x:v>
      </x:c>
      <x:c r="J147" t="str">
        <x:v>MyProcure</x:v>
      </x:c>
      <x:c r="K147" t="n">
        <x:v>4343</x:v>
      </x:c>
      <x:c r="L147" t="str">
        <x:v>Procurement Innovation Through Automation And Procurement Marketplace</x:v>
      </x:c>
      <x:c r="M147" t="str">
        <x:v>amirshazlan.mshah@petronas.com.my</x:v>
      </x:c>
      <x:c r="N147" t="str">
        <x:v>myProcure DevOps - Support</x:v>
      </x:c>
      <x:c r="O147" t="str">
        <x:v>New</x:v>
      </x:c>
      <x:c r="P147" t="str">
        <x:v>StagingUat</x:v>
      </x:c>
      <x:c r="Q147" t="str">
        <x:v>Provisioning databrick for Staging env myProcure</x:v>
      </x:c>
      <x:c r="R147" t="str">
        <x:v>L</x:v>
      </x:c>
      <x:c r="S147"/>
      <x:c r="T147"/>
      <x:c r="U147" t="str">
        <x:v>approved</x:v>
      </x:c>
      <x:c r="V147" t="n">
        <x:v>46168.20705001157</x:v>
      </x:c>
      <x:c r="W147" t="str">
        <x:v>amirshazlan.mshah@petronas.com</x:v>
      </x:c>
      <x:c r="X147" t="str">
        <x:v>approved</x:v>
      </x:c>
      <x:c r="Y147" t="str">
        <x:v>Good to go</x:v>
      </x:c>
      <x:c r="Z147" t="n">
        <x:v>46178.380208773146</x:v>
      </x:c>
      <x:c r="AA147" t="str">
        <x:v>samsuddin.jumbri@petronas.com</x:v>
      </x:c>
      <x:c r="AB147" t="str">
        <x:v>approved</x:v>
      </x:c>
      <x:c r="AC147" t="str">
        <x:v>https://dev.azure.com/Digital-Delivery/Procurement%20AI
to reprovision Databricks instance with VNET configured in its initial setup (instead of using Managed VNET), and to upgrade the instance tier to Premium, instead of standard.
Staging
</x:v>
      </x:c>
      <x:c r="AD147" t="n">
        <x:v>46189.342088854166</x:v>
      </x:c>
      <x:c r="AE147" t="str">
        <x:v>syazali.saad@petronas.com</x:v>
      </x:c>
      <x:c r="AF147" t="str">
        <x:v>approved</x:v>
      </x:c>
      <x:c r="AG147" t="str">
        <x:v>closed</x:v>
      </x:c>
      <x:c r="AH147" t="n">
        <x:v>46230.12553769676</x:v>
      </x:c>
      <x:c r="AI147" t="str">
        <x:v>mhafizi.madnan@petronas.com</x:v>
      </x:c>
      <x:c r="AJ147" t="str">
        <x:v>approved</x:v>
      </x:c>
      <x:c r="AK147" t="str">
        <x:v>REQ000008104340</x:v>
      </x:c>
      <x:c r="AL147" t="str">
        <x:v>e1827a6c-e18c-4500-94be-16de9cbb9e7c</x:v>
      </x:c>
      <x:c r="AM147" s="23" t="str">
        <x:f>IF(E147="processing",IF(Z147="","",IF(ISNUMBER(Z147),INT(Z147),DATE(VALUE(LEFT(Z147,4)),VALUE(MID(Z147,6,2)),VALUE(MID(Z147,9,2))))),IF(OR(E147="executing",E147="pending"),IF(AD147="","",IF(ISNUMBER(AD147),INT(AD147),DATE(VALUE(LEFT(AD147,4)),VALUE(MID(AD147,6,2)),VALUE(MID(AD147,9,2))))),""))</x:f>
      </x:c>
      <x:c r="AN147" s="24" t="str">
        <x:f>IF(AM147="","",INT('Configuration'!$B$4)-AM147)</x:f>
      </x:c>
      <x:c r="AO147" s="25" t="str">
        <x:f>IF(AM147="","Missing Required Date",IF(AN147&lt;0,"Future Date",IF(AN147=0,"0 days",IF(AN147&lt;=2,"1-2 days",IF(AN147&lt;=7,"3-7 days",IF(AN147&lt;=14,"8-14 days",IF(AN147&lt;=30,"15-30 days",IF(AN147&lt;=60,"31-60 days",IF(AN147&lt;=70,"61-70 days","71+ days")))))))))</x:f>
        <x:v>Missing Required Date</x:v>
      </x:c>
      <x:c r="AP147" s="25" t="str">
        <x:f>IF(OR(E147="processing",E147="executing",E147="pending"),IF(AM147="","Required aging date missing",IF(AN147&gt;30,"Escalate &gt;30d",IF(AN147&gt;14,"Watch &gt;14d","Within 14d"))),"Out of scope")</x:f>
        <x:v>Out of scope</x:v>
      </x:c>
    </x:row>
    <x:row r="148" ht="24" customHeight="1">
      <x:c r="A148" t="str">
        <x:v>808ee078-6567-4285-82a0-4811b167490a</x:v>
      </x:c>
      <x:c r="B148" t="str">
        <x:v>CSSP10807730</x:v>
      </x:c>
      <x:c r="C148" t="str">
        <x:v>ahmadaizuddin.badry@petronas.com</x:v>
      </x:c>
      <x:c r="D148" t="str">
        <x:v>provision-cloud-public</x:v>
      </x:c>
      <x:c r="E148" t="str">
        <x:v>completed</x:v>
      </x:c>
      <x:c r="F148" t="n">
        <x:v>46147.196865115744</x:v>
      </x:c>
      <x:c r="G148" t="n">
        <x:v>46168.19999758102</x:v>
      </x:c>
      <x:c r="H148" t="n">
        <x:v>46224.104881458334</x:v>
      </x:c>
      <x:c r="I148" t="str">
        <x:v>A-000490</x:v>
      </x:c>
      <x:c r="J148" t="str">
        <x:v>MyProcure</x:v>
      </x:c>
      <x:c r="K148" t="n">
        <x:v>4343</x:v>
      </x:c>
      <x:c r="L148" t="str">
        <x:v>Procurement Innovation Through Automation And Procurement Marketplace</x:v>
      </x:c>
      <x:c r="M148" t="str">
        <x:v>amirshazlan.mshah@petronas.com.my</x:v>
      </x:c>
      <x:c r="N148" t="str">
        <x:v>myProcure DevOps - Support</x:v>
      </x:c>
      <x:c r="O148" t="str">
        <x:v>New</x:v>
      </x:c>
      <x:c r="P148" t="str">
        <x:v>Development</x:v>
      </x:c>
      <x:c r="Q148" t="str">
        <x:v>Provisioning of Databrick for dev env myProcure</x:v>
      </x:c>
      <x:c r="R148" t="str">
        <x:v>L</x:v>
      </x:c>
      <x:c r="S148"/>
      <x:c r="T148"/>
      <x:c r="U148" t="str">
        <x:v>approval</x:v>
      </x:c>
      <x:c r="V148" t="n">
        <x:v>46168.2072652662</x:v>
      </x:c>
      <x:c r="W148" t="str">
        <x:v>amirshazlan.mshah@petronas.com</x:v>
      </x:c>
      <x:c r="X148" t="str">
        <x:v>approved</x:v>
      </x:c>
      <x:c r="Y148" t="str">
        <x:v>approved</x:v>
      </x:c>
      <x:c r="Z148" t="n">
        <x:v>46168.20769195602</x:v>
      </x:c>
      <x:c r="AA148" t="str">
        <x:v>amirshazlan.mshah@petronas.com</x:v>
      </x:c>
      <x:c r="AB148" t="str">
        <x:v>approved</x:v>
      </x:c>
      <x:c r="AC148" t="str">
        <x:v>https://dev.azure.com/Digital-Delivery/Procurement%20AI
to reprovision Databricks instance with VNET configured in its initial setup (instead of using Managed VNET), and to upgrade the instance tier to Premium, instead of standard.
Dev
</x:v>
      </x:c>
      <x:c r="AD148" t="n">
        <x:v>46189.34201101852</x:v>
      </x:c>
      <x:c r="AE148" t="str">
        <x:v>syazali.saad@petronas.com</x:v>
      </x:c>
      <x:c r="AF148" t="str">
        <x:v>approved</x:v>
      </x:c>
      <x:c r="AG148" t="str">
        <x:v>resource provisioned</x:v>
      </x:c>
      <x:c r="AH148" t="n">
        <x:v>46224.10488148148</x:v>
      </x:c>
      <x:c r="AI148" t="str">
        <x:v>mhafizi.madnan@petronas.com</x:v>
      </x:c>
      <x:c r="AJ148" t="str">
        <x:v>approved</x:v>
      </x:c>
      <x:c r="AK148" t="str">
        <x:v>REQ000008104339</x:v>
      </x:c>
      <x:c r="AL148" t="str">
        <x:v>e1827a6c-e18c-4500-94be-16de9cbb9e7c</x:v>
      </x:c>
      <x:c r="AM148" s="23" t="str">
        <x:f>IF(E148="processing",IF(Z148="","",IF(ISNUMBER(Z148),INT(Z148),DATE(VALUE(LEFT(Z148,4)),VALUE(MID(Z148,6,2)),VALUE(MID(Z148,9,2))))),IF(OR(E148="executing",E148="pending"),IF(AD148="","",IF(ISNUMBER(AD148),INT(AD148),DATE(VALUE(LEFT(AD148,4)),VALUE(MID(AD148,6,2)),VALUE(MID(AD148,9,2))))),""))</x:f>
      </x:c>
      <x:c r="AN148" s="24" t="str">
        <x:f>IF(AM148="","",INT('Configuration'!$B$4)-AM148)</x:f>
      </x:c>
      <x:c r="AO148" s="25" t="str">
        <x:f>IF(AM148="","Missing Required Date",IF(AN148&lt;0,"Future Date",IF(AN148=0,"0 days",IF(AN148&lt;=2,"1-2 days",IF(AN148&lt;=7,"3-7 days",IF(AN148&lt;=14,"8-14 days",IF(AN148&lt;=30,"15-30 days",IF(AN148&lt;=60,"31-60 days",IF(AN148&lt;=70,"61-70 days","71+ days")))))))))</x:f>
        <x:v>Missing Required Date</x:v>
      </x:c>
      <x:c r="AP148" s="25" t="str">
        <x:f>IF(OR(E148="processing",E148="executing",E148="pending"),IF(AM148="","Required aging date missing",IF(AN148&gt;30,"Escalate &gt;30d",IF(AN148&gt;14,"Watch &gt;14d","Within 14d"))),"Out of scope")</x:f>
        <x:v>Out of scope</x:v>
      </x:c>
    </x:row>
    <x:row r="149" ht="24" customHeight="1">
      <x:c r="A149" t="str">
        <x:v>9882c863-1079-40d3-a6a7-511fe1e9085b</x:v>
      </x:c>
      <x:c r="B149" t="str">
        <x:v>CSSP10229026</x:v>
      </x:c>
      <x:c r="C149" t="str">
        <x:v>nurulaida.ngadiso@petronas.com</x:v>
      </x:c>
      <x:c r="D149" t="str">
        <x:v>provision-cloud-public</x:v>
      </x:c>
      <x:c r="E149" t="str">
        <x:v>completed</x:v>
      </x:c>
      <x:c r="F149" t="n">
        <x:v>46148.071698900465</x:v>
      </x:c>
      <x:c r="G149" t="n">
        <x:v>46148.071698900465</x:v>
      </x:c>
      <x:c r="H149" t="n">
        <x:v>46197.10533356482</x:v>
      </x:c>
      <x:c r="I149" t="str">
        <x:v>A-001368</x:v>
      </x:c>
      <x:c r="J149" t="str">
        <x:v>myMesra</x:v>
      </x:c>
      <x:c r="K149" t="str">
        <x:v>SR26950</x:v>
      </x:c>
      <x:c r="L149" t="str">
        <x:v>MyMesra Platform Stabilisation &amp; Infrastructure Carve‑Out</x:v>
      </x:c>
      <x:c r="M149" t="str">
        <x:v>izayu.ismail@petronas.com</x:v>
      </x:c>
      <x:c r="N149" t="str">
        <x:v>MyMesra Platform Stabilisation and Infrastructure Carve‑Out</x:v>
      </x:c>
      <x:c r="O149" t="str">
        <x:v>New</x:v>
      </x:c>
      <x:c r="P149" t="str">
        <x:v>Development</x:v>
      </x:c>
      <x:c r="Q149" t="str">
        <x:v>Provisioning for development environment: myMesra Platform Stabilization &amp; Infra Carve Out</x:v>
      </x:c>
      <x:c r="R149" t="str">
        <x:v>M</x:v>
      </x:c>
      <x:c r="S149"/>
      <x:c r="T149"/>
      <x:c r="U149" t="str">
        <x:v>As per Project Scope &amp; Requirement.</x:v>
      </x:c>
      <x:c r="V149" t="n">
        <x:v>46148.382807662034</x:v>
      </x:c>
      <x:c r="W149" t="str">
        <x:v>izayu.ismail@petronas.com</x:v>
      </x:c>
      <x:c r="X149" t="str">
        <x:v>approved</x:v>
      </x:c>
      <x:c r="Y149" t="str">
        <x:v>Approved. Same infra setup as PETRONAS Global Website</x:v>
      </x:c>
      <x:c r="Z149" t="n">
        <x:v>46148.38892449074</x:v>
      </x:c>
      <x:c r="AA149" t="str">
        <x:v>kianleng.geh@petronas.com</x:v>
      </x:c>
      <x:c r="AB149" t="str">
        <x:v>approved</x:v>
      </x:c>
      <x:c r="AC149" t="str">
        <x:v>CSSP10470896 - Production
CSSP10229026 - Development
</x:v>
      </x:c>
      <x:c r="AD149" t="n">
        <x:v>46149.45693238426</x:v>
      </x:c>
      <x:c r="AE149" t="str">
        <x:v>syazali.saad@petronas.com</x:v>
      </x:c>
      <x:c r="AF149" t="str">
        <x:v>approved</x:v>
      </x:c>
      <x:c r="AG149" t="str">
        <x:v>done</x:v>
      </x:c>
      <x:c r="AH149" t="n">
        <x:v>46197.105333576386</x:v>
      </x:c>
      <x:c r="AI149" t="str">
        <x:v>izham.ajmaan@petronas.com</x:v>
      </x:c>
      <x:c r="AJ149" t="str">
        <x:v>approved</x:v>
      </x:c>
      <x:c r="AK149" t="str">
        <x:v>REQ000008035845</x:v>
      </x:c>
      <x:c r="AL149" t="str">
        <x:v>cf5e4ef3-b398-4879-84c9-3963537a4cdc</x:v>
      </x:c>
      <x:c r="AM149" s="23" t="str">
        <x:f>IF(E149="processing",IF(Z149="","",IF(ISNUMBER(Z149),INT(Z149),DATE(VALUE(LEFT(Z149,4)),VALUE(MID(Z149,6,2)),VALUE(MID(Z149,9,2))))),IF(OR(E149="executing",E149="pending"),IF(AD149="","",IF(ISNUMBER(AD149),INT(AD149),DATE(VALUE(LEFT(AD149,4)),VALUE(MID(AD149,6,2)),VALUE(MID(AD149,9,2))))),""))</x:f>
      </x:c>
      <x:c r="AN149" s="24" t="str">
        <x:f>IF(AM149="","",INT('Configuration'!$B$4)-AM149)</x:f>
      </x:c>
      <x:c r="AO149" s="25" t="str">
        <x:f>IF(AM149="","Missing Required Date",IF(AN149&lt;0,"Future Date",IF(AN149=0,"0 days",IF(AN149&lt;=2,"1-2 days",IF(AN149&lt;=7,"3-7 days",IF(AN149&lt;=14,"8-14 days",IF(AN149&lt;=30,"15-30 days",IF(AN149&lt;=60,"31-60 days",IF(AN149&lt;=70,"61-70 days","71+ days")))))))))</x:f>
        <x:v>Missing Required Date</x:v>
      </x:c>
      <x:c r="AP149" s="25" t="str">
        <x:f>IF(OR(E149="processing",E149="executing",E149="pending"),IF(AM149="","Required aging date missing",IF(AN149&gt;30,"Escalate &gt;30d",IF(AN149&gt;14,"Watch &gt;14d","Within 14d"))),"Out of scope")</x:f>
        <x:v>Out of scope</x:v>
      </x:c>
    </x:row>
    <x:row r="150" ht="24" customHeight="1">
      <x:c r="A150" t="str">
        <x:v>e1af4bf2-8927-47c0-baab-29d775491bc8</x:v>
      </x:c>
      <x:c r="B150" t="str">
        <x:v>CSSP10470896</x:v>
      </x:c>
      <x:c r="C150" t="str">
        <x:v>nurulaida.ngadiso@petronas.com</x:v>
      </x:c>
      <x:c r="D150" t="str">
        <x:v>provision-cloud-public</x:v>
      </x:c>
      <x:c r="E150" t="str">
        <x:v>completed</x:v>
      </x:c>
      <x:c r="F150" t="n">
        <x:v>46148.07356416667</x:v>
      </x:c>
      <x:c r="G150" t="n">
        <x:v>46148.07356416667</x:v>
      </x:c>
      <x:c r="H150" t="n">
        <x:v>46212.24296023148</x:v>
      </x:c>
      <x:c r="I150" t="str">
        <x:v>A-001368</x:v>
      </x:c>
      <x:c r="J150" t="str">
        <x:v>myMesra</x:v>
      </x:c>
      <x:c r="K150" t="str">
        <x:v>SR26950</x:v>
      </x:c>
      <x:c r="L150" t="str">
        <x:v>MyMesra Platform Stabilisation &amp; Infrastructure Carve‑Out</x:v>
      </x:c>
      <x:c r="M150" t="str">
        <x:v>izayu.ismail@petronas.com</x:v>
      </x:c>
      <x:c r="N150" t="str">
        <x:v>MyMesra Platform Stabilisation and Infrastructure Carve‑Out</x:v>
      </x:c>
      <x:c r="O150" t="str">
        <x:v>New</x:v>
      </x:c>
      <x:c r="P150" t="str">
        <x:v>Production</x:v>
      </x:c>
      <x:c r="Q150" t="str">
        <x:v>Provisioning for production environment: myMesra Platform Stabilization &amp; Infra Carve Out</x:v>
      </x:c>
      <x:c r="R150" t="str">
        <x:v>M</x:v>
      </x:c>
      <x:c r="S150"/>
      <x:c r="T150"/>
      <x:c r="U150" t="str">
        <x:v>As per Project Scope &amp; Requirement.</x:v>
      </x:c>
      <x:c r="V150" t="n">
        <x:v>46148.38241608796</x:v>
      </x:c>
      <x:c r="W150" t="str">
        <x:v>izayu.ismail@petronas.com</x:v>
      </x:c>
      <x:c r="X150" t="str">
        <x:v>approved</x:v>
      </x:c>
      <x:c r="Y150" t="str">
        <x:v>Approved. Same infra setup as PETRONAS Global Website</x:v>
      </x:c>
      <x:c r="Z150" t="n">
        <x:v>46148.38830057871</x:v>
      </x:c>
      <x:c r="AA150" t="str">
        <x:v>kianleng.geh@petronas.com</x:v>
      </x:c>
      <x:c r="AB150" t="str">
        <x:v>approved</x:v>
      </x:c>
      <x:c r="AC150" t="str">
        <x:v>CSSP10470896 - Production
CSSP10229026 - Development
</x:v>
      </x:c>
      <x:c r="AD150" t="n">
        <x:v>46149.456799583335</x:v>
      </x:c>
      <x:c r="AE150" t="str">
        <x:v>syazali.saad@petronas.com</x:v>
      </x:c>
      <x:c r="AF150" t="str">
        <x:v>approved</x:v>
      </x:c>
      <x:c r="AG150" t="str">
        <x:v>done</x:v>
      </x:c>
      <x:c r="AH150" t="n">
        <x:v>46212.24296024306</x:v>
      </x:c>
      <x:c r="AI150" t="str">
        <x:v>izham.ajmaan@petronas.com</x:v>
      </x:c>
      <x:c r="AJ150" t="str">
        <x:v>approved</x:v>
      </x:c>
      <x:c r="AK150" t="str">
        <x:v>REQ000008035749</x:v>
      </x:c>
      <x:c r="AL150" t="str">
        <x:v>cf5e4ef3-b398-4879-84c9-3963537a4cdc</x:v>
      </x:c>
      <x:c r="AM150" s="23" t="str">
        <x:f>IF(E150="processing",IF(Z150="","",IF(ISNUMBER(Z150),INT(Z150),DATE(VALUE(LEFT(Z150,4)),VALUE(MID(Z150,6,2)),VALUE(MID(Z150,9,2))))),IF(OR(E150="executing",E150="pending"),IF(AD150="","",IF(ISNUMBER(AD150),INT(AD150),DATE(VALUE(LEFT(AD150,4)),VALUE(MID(AD150,6,2)),VALUE(MID(AD150,9,2))))),""))</x:f>
      </x:c>
      <x:c r="AN150" s="24" t="str">
        <x:f>IF(AM150="","",INT('Configuration'!$B$4)-AM150)</x:f>
      </x:c>
      <x:c r="AO150" s="25" t="str">
        <x:f>IF(AM150="","Missing Required Date",IF(AN150&lt;0,"Future Date",IF(AN150=0,"0 days",IF(AN150&lt;=2,"1-2 days",IF(AN150&lt;=7,"3-7 days",IF(AN150&lt;=14,"8-14 days",IF(AN150&lt;=30,"15-30 days",IF(AN150&lt;=60,"31-60 days",IF(AN150&lt;=70,"61-70 days","71+ days")))))))))</x:f>
        <x:v>Missing Required Date</x:v>
      </x:c>
      <x:c r="AP150" s="25" t="str">
        <x:f>IF(OR(E150="processing",E150="executing",E150="pending"),IF(AM150="","Required aging date missing",IF(AN150&gt;30,"Escalate &gt;30d",IF(AN150&gt;14,"Watch &gt;14d","Within 14d"))),"Out of scope")</x:f>
        <x:v>Out of scope</x:v>
      </x:c>
    </x:row>
    <x:row r="151" ht="24" customHeight="1">
      <x:c r="A151" t="str">
        <x:v>888bd06c-5588-4511-9769-605a362cd255</x:v>
      </x:c>
      <x:c r="B151" t="str">
        <x:v>CSSP10941412</x:v>
      </x:c>
      <x:c r="C151" t="str">
        <x:v>mengsiang.ta@petronas.com</x:v>
      </x:c>
      <x:c r="D151" t="str">
        <x:v>provision-cloud-public</x:v>
      </x:c>
      <x:c r="E151" t="str">
        <x:v>completed</x:v>
      </x:c>
      <x:c r="F151" t="n">
        <x:v>46148.089793900464</x:v>
      </x:c>
      <x:c r="G151" t="n">
        <x:v>46148.089793900464</x:v>
      </x:c>
      <x:c r="H151" t="n">
        <x:v>46167.34860997685</x:v>
      </x:c>
      <x:c r="I151" t="str">
        <x:v>A-001245</x:v>
      </x:c>
      <x:c r="J151" t="str">
        <x:v>PETRONAS Unified Search and Personal Assistant - PUSPA for REAL</x:v>
      </x:c>
      <x:c r="K151" t="n">
        <x:v>1478</x:v>
      </x:c>
      <x:c r="L151" t="str">
        <x:v>PETRONAS Unified Search and Personal Assistant (PUSPA) EPIC 1 and EPIC 2 Development</x:v>
      </x:c>
      <x:c r="M151" t="str">
        <x:v>bryan.dewitt@petronas.com</x:v>
      </x:c>
      <x:c r="N151" t="str">
        <x:v>Harmonization of People Tracking Solution</x:v>
      </x:c>
      <x:c r="O151" t="str">
        <x:v>Modify</x:v>
      </x:c>
      <x:c r="P151" t="str">
        <x:v>Production</x:v>
      </x:c>
      <x:c r="Q151" t="str">
        <x:v> Request to provision private IP for the following app services in 
ptsg-1pusparealap01.azurewebsites.net
RG Name: ptazsg-prod-puspa-real-rg</x:v>
      </x:c>
      <x:c r="R151" t="str">
        <x:v>S</x:v>
      </x:c>
      <x:c r="S151" t="str">
        <x:v>ICT_RFC00222322</x:v>
      </x:c>
      <x:c r="T151"/>
      <x:c r="U151" t="str">
        <x:v>Dns change to private access. Cyber security compliance.</x:v>
      </x:c>
      <x:c r="V151" t="n">
        <x:v>46148.09656358796</x:v>
      </x:c>
      <x:c r="W151" t="str">
        <x:v>bryan.dewitt@petronas.com</x:v>
      </x:c>
      <x:c r="X151" t="str">
        <x:v>approved</x:v>
      </x:c>
      <x:c r="Y151" t="str">
        <x:v>Good to go</x:v>
      </x:c>
      <x:c r="Z151" t="n">
        <x:v>46162.06915405093</x:v>
      </x:c>
      <x:c r="AA151" t="str">
        <x:v>samsuddin.jumbri@petronas.com</x:v>
      </x:c>
      <x:c r="AB151" t="str">
        <x:v>approved</x:v>
      </x:c>
      <x:c r="AC151" t="str">
        <x:v>OLZ. please perform this from portal.</x:v>
      </x:c>
      <x:c r="AD151" t="n">
        <x:v>46162.29322284722</x:v>
      </x:c>
      <x:c r="AE151" t="str">
        <x:v>syazali.saad@petronas.com</x:v>
      </x:c>
      <x:c r="AF151" t="str">
        <x:v>approved</x:v>
      </x:c>
      <x:c r="AG151" t="str">
        <x:v>The private endpoint (ptsg-1pusparealap01-pep) has been provisioned</x:v>
      </x:c>
      <x:c r="AH151" t="n">
        <x:v>46167.348609988425</x:v>
      </x:c>
      <x:c r="AI151" t="str">
        <x:v>muhdfirdaus.muhamad@petronas.com</x:v>
      </x:c>
      <x:c r="AJ151" t="str">
        <x:v>approved</x:v>
      </x:c>
      <x:c r="AK151" t="str">
        <x:v>REQ000008059450</x:v>
      </x:c>
      <x:c r="AL151" t="str">
        <x:v>ef0ab3a4-3c9b-43f4-95d4-f94a0b719434</x:v>
      </x:c>
      <x:c r="AM151" s="23" t="str">
        <x:f>IF(E151="processing",IF(Z151="","",IF(ISNUMBER(Z151),INT(Z151),DATE(VALUE(LEFT(Z151,4)),VALUE(MID(Z151,6,2)),VALUE(MID(Z151,9,2))))),IF(OR(E151="executing",E151="pending"),IF(AD151="","",IF(ISNUMBER(AD151),INT(AD151),DATE(VALUE(LEFT(AD151,4)),VALUE(MID(AD151,6,2)),VALUE(MID(AD151,9,2))))),""))</x:f>
      </x:c>
      <x:c r="AN151" s="24" t="str">
        <x:f>IF(AM151="","",INT('Configuration'!$B$4)-AM151)</x:f>
      </x:c>
      <x:c r="AO151" s="25" t="str">
        <x:f>IF(AM151="","Missing Required Date",IF(AN151&lt;0,"Future Date",IF(AN151=0,"0 days",IF(AN151&lt;=2,"1-2 days",IF(AN151&lt;=7,"3-7 days",IF(AN151&lt;=14,"8-14 days",IF(AN151&lt;=30,"15-30 days",IF(AN151&lt;=60,"31-60 days",IF(AN151&lt;=70,"61-70 days","71+ days")))))))))</x:f>
        <x:v>Missing Required Date</x:v>
      </x:c>
      <x:c r="AP151" s="25" t="str">
        <x:f>IF(OR(E151="processing",E151="executing",E151="pending"),IF(AM151="","Required aging date missing",IF(AN151&gt;30,"Escalate &gt;30d",IF(AN151&gt;14,"Watch &gt;14d","Within 14d"))),"Out of scope")</x:f>
        <x:v>Out of scope</x:v>
      </x:c>
    </x:row>
    <x:row r="152" ht="24" customHeight="1">
      <x:c r="A152" t="str">
        <x:v>ba71dbc2-700f-4c14-acbc-79d1f2c8dfcc</x:v>
      </x:c>
      <x:c r="B152" t="str">
        <x:v>CSSP10759375</x:v>
      </x:c>
      <x:c r="C152" t="str">
        <x:v>shahrulrizal.said@petronas.com</x:v>
      </x:c>
      <x:c r="D152" t="str">
        <x:v>provision-cloud-public</x:v>
      </x:c>
      <x:c r="E152" t="str">
        <x:v>completed</x:v>
      </x:c>
      <x:c r="F152" t="n">
        <x:v>46148.29802596065</x:v>
      </x:c>
      <x:c r="G152" t="n">
        <x:v>46148.30408204861</x:v>
      </x:c>
      <x:c r="H152" t="n">
        <x:v>46188.33211322917</x:v>
      </x:c>
      <x:c r="I152" t="str">
        <x:v>A-000354</x:v>
      </x:c>
      <x:c r="J152" t="str">
        <x:v>HSE Intelligence Pod - Smart Advisor - HIP SA</x:v>
      </x:c>
      <x:c r="K152" t="n">
        <x:v>4007</x:v>
      </x:c>
      <x:c r="L152" t="str">
        <x:v>HSE Intelligence Pod - Smart Advisor</x:v>
      </x:c>
      <x:c r="M152" t="str">
        <x:v>bryan.dewitt@petronas.com</x:v>
      </x:c>
      <x:c r="N152" t="str">
        <x:v>HIP.AI</x:v>
      </x:c>
      <x:c r="O152" t="str">
        <x:v>New</x:v>
      </x:c>
      <x:c r="P152" t="str">
        <x:v>Production</x:v>
      </x:c>
      <x:c r="Q152" t="str">
        <x:v>Request to provision private IP for the following app services in PTAZSG-IAC-PROD-HIPAI-AIIRA-RG: ptsg-1hipsawb01, ptsg-1hipsawbapi01</x:v>
      </x:c>
      <x:c r="R152" t="str">
        <x:v>S</x:v>
      </x:c>
      <x:c r="S152"/>
      <x:c r="T152"/>
      <x:c r="U152" t="str">
        <x:v>approved</x:v>
      </x:c>
      <x:c r="V152" t="n">
        <x:v>46148.35187752315</x:v>
      </x:c>
      <x:c r="W152" t="str">
        <x:v>bryan.dewitt@petronas.com</x:v>
      </x:c>
      <x:c r="X152" t="str">
        <x:v>approved</x:v>
      </x:c>
      <x:c r="Y152" t="str">
        <x:v>Good to go</x:v>
      </x:c>
      <x:c r="Z152" t="n">
        <x:v>46162.070313425924</x:v>
      </x:c>
      <x:c r="AA152" t="str">
        <x:v>samsuddin.jumbri@petronas.com</x:v>
      </x:c>
      <x:c r="AB152" t="str">
        <x:v>approved</x:v>
      </x:c>
      <x:c r="AC152" t="str">
        <x:v>pep.</x:v>
      </x:c>
      <x:c r="AD152" t="n">
        <x:v>46162.368698935185</x:v>
      </x:c>
      <x:c r="AE152" t="str">
        <x:v>syazali.saad@petronas.com</x:v>
      </x:c>
      <x:c r="AF152" t="str">
        <x:v>approved</x:v>
      </x:c>
      <x:c r="AG152" t="str">
        <x:v>completed</x:v>
      </x:c>
      <x:c r="AH152" t="n">
        <x:v>46188.332113240744</x:v>
      </x:c>
      <x:c r="AI152" t="str">
        <x:v>akhmal.roslan@petronas.com</x:v>
      </x:c>
      <x:c r="AJ152" t="str">
        <x:v>approved</x:v>
      </x:c>
      <x:c r="AK152" t="str">
        <x:v>REQ000008059672</x:v>
      </x:c>
      <x:c r="AL152" t="str">
        <x:v>dffc798b-8629-447b-9c6c-13563df2b5ac</x:v>
      </x:c>
      <x:c r="AM152" s="23" t="str">
        <x:f>IF(E152="processing",IF(Z152="","",IF(ISNUMBER(Z152),INT(Z152),DATE(VALUE(LEFT(Z152,4)),VALUE(MID(Z152,6,2)),VALUE(MID(Z152,9,2))))),IF(OR(E152="executing",E152="pending"),IF(AD152="","",IF(ISNUMBER(AD152),INT(AD152),DATE(VALUE(LEFT(AD152,4)),VALUE(MID(AD152,6,2)),VALUE(MID(AD152,9,2))))),""))</x:f>
      </x:c>
      <x:c r="AN152" s="24" t="str">
        <x:f>IF(AM152="","",INT('Configuration'!$B$4)-AM152)</x:f>
      </x:c>
      <x:c r="AO152" s="25" t="str">
        <x:f>IF(AM152="","Missing Required Date",IF(AN152&lt;0,"Future Date",IF(AN152=0,"0 days",IF(AN152&lt;=2,"1-2 days",IF(AN152&lt;=7,"3-7 days",IF(AN152&lt;=14,"8-14 days",IF(AN152&lt;=30,"15-30 days",IF(AN152&lt;=60,"31-60 days",IF(AN152&lt;=70,"61-70 days","71+ days")))))))))</x:f>
        <x:v>Missing Required Date</x:v>
      </x:c>
      <x:c r="AP152" s="25" t="str">
        <x:f>IF(OR(E152="processing",E152="executing",E152="pending"),IF(AM152="","Required aging date missing",IF(AN152&gt;30,"Escalate &gt;30d",IF(AN152&gt;14,"Watch &gt;14d","Within 14d"))),"Out of scope")</x:f>
        <x:v>Out of scope</x:v>
      </x:c>
    </x:row>
    <x:row r="153" ht="24" customHeight="1">
      <x:c r="A153" t="str">
        <x:v>07f7434c-c661-4f1b-a140-aea98d7cacf0</x:v>
      </x:c>
      <x:c r="B153" t="str">
        <x:v>CSSP10455927</x:v>
      </x:c>
      <x:c r="C153" t="str">
        <x:v>theebban.tamizarasu@petronas.com</x:v>
      </x:c>
      <x:c r="D153" t="str">
        <x:v>provision-cloud-public</x:v>
      </x:c>
      <x:c r="E153" t="str">
        <x:v>rejected</x:v>
      </x:c>
      <x:c r="F153" t="n">
        <x:v>46149.07433380787</x:v>
      </x:c>
      <x:c r="G153" t="n">
        <x:v>46149.07433380787</x:v>
      </x:c>
      <x:c r="H153" t="n">
        <x:v>46155.39281039352</x:v>
      </x:c>
      <x:c r="I153" t="str">
        <x:v>A-000453</x:v>
      </x:c>
      <x:c r="J153" t="str">
        <x:v>Malaysia Bid Round Online Portal</x:v>
      </x:c>
      <x:c r="K153" t="n">
        <x:v>3559</x:v>
      </x:c>
      <x:c r="L153" t="str">
        <x:v>Malaysia Bid Round Online Portal</x:v>
      </x:c>
      <x:c r="M153" t="str">
        <x:v>wadiah.rusli@petronas.com.my</x:v>
      </x:c>
      <x:c r="N153" t="str">
        <x:v>Malaysia Bid Round Online Portal</x:v>
      </x:c>
      <x:c r="O153" t="str">
        <x:v>Modify</x:v>
      </x:c>
      <x:c r="P153" t="str">
        <x:v>Production</x:v>
      </x:c>
      <x:c r="Q153" t="str">
        <x:v>Require provisioning of External IP for new/upgrade server details below :
URL : ebid.malaysiabidround.com
Instance ID : i-0e037c5701cbc55e3
Hostname : PTAWSG-1MBRWB02
We already have Internal IP for this server,
Hence,  this CSSP is requested for provisioning of External IP for this server, as MBR Online Portal is for both internal/external facing users by business (MPM).
</x:v>
      </x:c>
      <x:c r="R153"/>
      <x:c r="S153" t="str">
        <x:v>RFC00222219</x:v>
      </x:c>
      <x:c r="T153"/>
      <x:c r="U153" t="str">
        <x:v>Approved. Please expedite this as business has requested that the application needs to be ready by next week.</x:v>
      </x:c>
      <x:c r="V153" t="n">
        <x:v>46149.097481550925</x:v>
      </x:c>
      <x:c r="W153" t="str">
        <x:v>wadiah.rusli@petronas.com</x:v>
      </x:c>
      <x:c r="X153" t="str">
        <x:v>approved</x:v>
      </x:c>
      <x:c r="Y153" t="str">
        <x:v>Requests for External IP is via AppCenter and not CSSP</x:v>
      </x:c>
      <x:c r="Z153" t="n">
        <x:v>46155.392810405094</x:v>
      </x:c>
      <x:c r="AA153" t="str">
        <x:v>kianleng.geh@petronas.com</x:v>
      </x:c>
      <x:c r="AB153" t="str">
        <x:v>rejected</x:v>
      </x:c>
      <x:c r="AC153"/>
      <x:c r="AD153"/>
      <x:c r="AE153" t="str">
        <x:v>CCoE Business</x:v>
      </x:c>
      <x:c r="AF153"/>
      <x:c r="AG153"/>
      <x:c r="AH153"/>
      <x:c r="AI153" t="str">
        <x:v>CCoE Core Services (Public)</x:v>
      </x:c>
      <x:c r="AJ153"/>
      <x:c r="AK153"/>
      <x:c r="AL153" t="str">
        <x:v>83f3493c-fdee-48cf-93b2-6fd9f419adde</x:v>
      </x:c>
      <x:c r="AM153" s="23" t="str">
        <x:f>IF(E153="processing",IF(Z153="","",IF(ISNUMBER(Z153),INT(Z153),DATE(VALUE(LEFT(Z153,4)),VALUE(MID(Z153,6,2)),VALUE(MID(Z153,9,2))))),IF(OR(E153="executing",E153="pending"),IF(AD153="","",IF(ISNUMBER(AD153),INT(AD153),DATE(VALUE(LEFT(AD153,4)),VALUE(MID(AD153,6,2)),VALUE(MID(AD153,9,2))))),""))</x:f>
      </x:c>
      <x:c r="AN153" s="24" t="str">
        <x:f>IF(AM153="","",INT('Configuration'!$B$4)-AM153)</x:f>
      </x:c>
      <x:c r="AO153" s="25" t="str">
        <x:f>IF(AM153="","Missing Required Date",IF(AN153&lt;0,"Future Date",IF(AN153=0,"0 days",IF(AN153&lt;=2,"1-2 days",IF(AN153&lt;=7,"3-7 days",IF(AN153&lt;=14,"8-14 days",IF(AN153&lt;=30,"15-30 days",IF(AN153&lt;=60,"31-60 days",IF(AN153&lt;=70,"61-70 days","71+ days")))))))))</x:f>
        <x:v>Missing Required Date</x:v>
      </x:c>
      <x:c r="AP153" s="25" t="str">
        <x:f>IF(OR(E153="processing",E153="executing",E153="pending"),IF(AM153="","Required aging date missing",IF(AN153&gt;30,"Escalate &gt;30d",IF(AN153&gt;14,"Watch &gt;14d","Within 14d"))),"Out of scope")</x:f>
        <x:v>Out of scope</x:v>
      </x:c>
    </x:row>
    <x:row r="154" ht="24" customHeight="1">
      <x:c r="A154" t="str">
        <x:v>dfdb9f50-3001-4dcd-b566-f0b92010ddc9</x:v>
      </x:c>
      <x:c r="B154" t="str">
        <x:v>CSSP10470481</x:v>
      </x:c>
      <x:c r="C154" t="str">
        <x:v>shilpakasture.joshi@petronas.com</x:v>
      </x:c>
      <x:c r="D154" t="str">
        <x:v>provision-cloud-public</x:v>
      </x:c>
      <x:c r="E154" t="str">
        <x:v>rejected</x:v>
      </x:c>
      <x:c r="F154" t="n">
        <x:v>46149.138175520835</x:v>
      </x:c>
      <x:c r="G154" t="n">
        <x:v>46149.138175520835</x:v>
      </x:c>
      <x:c r="H154" t="n">
        <x:v>46162.3536346875</x:v>
      </x:c>
      <x:c r="I154" t="str">
        <x:v>A-000045</x:v>
      </x:c>
      <x:c r="J154" t="str">
        <x:v>Alpha Oil</x:v>
      </x:c>
      <x:c r="K154" t="n">
        <x:v>3948</x:v>
      </x:c>
      <x:c r="L154" t="str">
        <x:v>Support Services of Alpha Oil – WS2 DevSecOps for Malaysia Petroleum Management (MPM)</x:v>
      </x:c>
      <x:c r="M154" t="str">
        <x:v>sharulazlan.ahmad@petronas.com</x:v>
      </x:c>
      <x:c r="N154" t="str">
        <x:v>Alpha Oil</x:v>
      </x:c>
      <x:c r="O154" t="str">
        <x:v>New</x:v>
      </x:c>
      <x:c r="P154" t="str">
        <x:v>Production</x:v>
      </x:c>
      <x:c r="Q154" t="str">
        <x:v>Need these resources for migrating existing Talent ETL to AlphaOil ADF</x:v>
      </x:c>
      <x:c r="R154"/>
      <x:c r="S154"/>
      <x:c r="T154"/>
      <x:c r="U154" t="str">
        <x:v>Approved</x:v>
      </x:c>
      <x:c r="V154" t="n">
        <x:v>46149.553193402775</x:v>
      </x:c>
      <x:c r="W154" t="str">
        <x:v>sharulazlan.ahmad@petronas.com</x:v>
      </x:c>
      <x:c r="X154" t="str">
        <x:v>approved</x:v>
      </x:c>
      <x:c r="Y154" t="str">
        <x:v>Good to go</x:v>
      </x:c>
      <x:c r="Z154" t="n">
        <x:v>46162.07098322917</x:v>
      </x:c>
      <x:c r="AA154" t="str">
        <x:v>samsuddin.jumbri@petronas.com</x:v>
      </x:c>
      <x:c r="AB154" t="str">
        <x:v>approved</x:v>
      </x:c>
      <x:c r="AC154" t="str">
        <x:v>please attach cost estimate for resources to be provisioned. the attached email trail did not include the estimate file.</x:v>
      </x:c>
      <x:c r="AD154" t="n">
        <x:v>46162.35363469907</x:v>
      </x:c>
      <x:c r="AE154" t="str">
        <x:v>syazali.saad@petronas.com</x:v>
      </x:c>
      <x:c r="AF154" t="str">
        <x:v>rejected</x:v>
      </x:c>
      <x:c r="AG154"/>
      <x:c r="AH154"/>
      <x:c r="AI154" t="str">
        <x:v>CCoE Core Services (Public)</x:v>
      </x:c>
      <x:c r="AJ154"/>
      <x:c r="AK154"/>
      <x:c r="AL154" t="str">
        <x:v>068bb9e2-7634-4ac4-b94c-0a9bb274301b</x:v>
      </x:c>
      <x:c r="AM154" s="23" t="str">
        <x:f>IF(E154="processing",IF(Z154="","",IF(ISNUMBER(Z154),INT(Z154),DATE(VALUE(LEFT(Z154,4)),VALUE(MID(Z154,6,2)),VALUE(MID(Z154,9,2))))),IF(OR(E154="executing",E154="pending"),IF(AD154="","",IF(ISNUMBER(AD154),INT(AD154),DATE(VALUE(LEFT(AD154,4)),VALUE(MID(AD154,6,2)),VALUE(MID(AD154,9,2))))),""))</x:f>
      </x:c>
      <x:c r="AN154" s="24" t="str">
        <x:f>IF(AM154="","",INT('Configuration'!$B$4)-AM154)</x:f>
      </x:c>
      <x:c r="AO154" s="25" t="str">
        <x:f>IF(AM154="","Missing Required Date",IF(AN154&lt;0,"Future Date",IF(AN154=0,"0 days",IF(AN154&lt;=2,"1-2 days",IF(AN154&lt;=7,"3-7 days",IF(AN154&lt;=14,"8-14 days",IF(AN154&lt;=30,"15-30 days",IF(AN154&lt;=60,"31-60 days",IF(AN154&lt;=70,"61-70 days","71+ days")))))))))</x:f>
        <x:v>Missing Required Date</x:v>
      </x:c>
      <x:c r="AP154" s="25" t="str">
        <x:f>IF(OR(E154="processing",E154="executing",E154="pending"),IF(AM154="","Required aging date missing",IF(AN154&gt;30,"Escalate &gt;30d",IF(AN154&gt;14,"Watch &gt;14d","Within 14d"))),"Out of scope")</x:f>
        <x:v>Out of scope</x:v>
      </x:c>
    </x:row>
    <x:row r="155" ht="24" customHeight="1">
      <x:c r="A155" t="str">
        <x:v>73658ccd-3a69-4e62-a958-2048745052d1</x:v>
      </x:c>
      <x:c r="B155" t="str">
        <x:v>CSSP10338172</x:v>
      </x:c>
      <x:c r="C155" t="str">
        <x:v>shilpakasture.joshi@petronas.com</x:v>
      </x:c>
      <x:c r="D155" t="str">
        <x:v>provision-cloud-public</x:v>
      </x:c>
      <x:c r="E155" t="str">
        <x:v>rejected</x:v>
      </x:c>
      <x:c r="F155" t="n">
        <x:v>46149.27571039352</x:v>
      </x:c>
      <x:c r="G155" t="n">
        <x:v>46149.27571039352</x:v>
      </x:c>
      <x:c r="H155" t="n">
        <x:v>46149.30199493055</x:v>
      </x:c>
      <x:c r="I155" t="str">
        <x:v>A-000045</x:v>
      </x:c>
      <x:c r="J155" t="str">
        <x:v>Alpha Oil</x:v>
      </x:c>
      <x:c r="K155" t="n">
        <x:v>3948</x:v>
      </x:c>
      <x:c r="L155" t="str">
        <x:v>Support Services of Alpha Oil – WS2 DevSecOps for Malaysia Petroleum Management (MPM)</x:v>
      </x:c>
      <x:c r="M155" t="str">
        <x:v>yngsheng.toh@petronas.com.my</x:v>
      </x:c>
      <x:c r="N155" t="str">
        <x:v>Alpha Oil</x:v>
      </x:c>
      <x:c r="O155" t="str">
        <x:v>New</x:v>
      </x:c>
      <x:c r="P155" t="str">
        <x:v>Production</x:v>
      </x:c>
      <x:c r="Q155" t="str">
        <x:v>Need these resources for migrating existing Talent ETL to AlphaOil ADF</x:v>
      </x:c>
      <x:c r="R155"/>
      <x:c r="S155"/>
      <x:c r="T155"/>
      <x:c r="U155" t="str">
        <x:v>Please attached the specifications of the requested resources.</x:v>
      </x:c>
      <x:c r="V155" t="n">
        <x:v>46149.30199494213</x:v>
      </x:c>
      <x:c r="W155" t="str">
        <x:v>yngsheng.toh@petronas.com</x:v>
      </x:c>
      <x:c r="X155" t="str">
        <x:v>rejected</x:v>
      </x:c>
      <x:c r="Y155"/>
      <x:c r="Z155"/>
      <x:c r="AA155" t="str">
        <x:v>CCoE Demand</x:v>
      </x:c>
      <x:c r="AB155"/>
      <x:c r="AC155"/>
      <x:c r="AD155"/>
      <x:c r="AE155" t="str">
        <x:v>CCoE Business</x:v>
      </x:c>
      <x:c r="AF155"/>
      <x:c r="AG155"/>
      <x:c r="AH155"/>
      <x:c r="AI155" t="str">
        <x:v>CCoE Core Services (Public)</x:v>
      </x:c>
      <x:c r="AJ155"/>
      <x:c r="AK155"/>
      <x:c r="AL155" t="str">
        <x:v>068bb9e2-7634-4ac4-b94c-0a9bb274301b</x:v>
      </x:c>
      <x:c r="AM155" s="23" t="str">
        <x:f>IF(E155="processing",IF(Z155="","",IF(ISNUMBER(Z155),INT(Z155),DATE(VALUE(LEFT(Z155,4)),VALUE(MID(Z155,6,2)),VALUE(MID(Z155,9,2))))),IF(OR(E155="executing",E155="pending"),IF(AD155="","",IF(ISNUMBER(AD155),INT(AD155),DATE(VALUE(LEFT(AD155,4)),VALUE(MID(AD155,6,2)),VALUE(MID(AD155,9,2))))),""))</x:f>
      </x:c>
      <x:c r="AN155" s="24" t="str">
        <x:f>IF(AM155="","",INT('Configuration'!$B$4)-AM155)</x:f>
      </x:c>
      <x:c r="AO155" s="25" t="str">
        <x:f>IF(AM155="","Missing Required Date",IF(AN155&lt;0,"Future Date",IF(AN155=0,"0 days",IF(AN155&lt;=2,"1-2 days",IF(AN155&lt;=7,"3-7 days",IF(AN155&lt;=14,"8-14 days",IF(AN155&lt;=30,"15-30 days",IF(AN155&lt;=60,"31-60 days",IF(AN155&lt;=70,"61-70 days","71+ days")))))))))</x:f>
        <x:v>Missing Required Date</x:v>
      </x:c>
      <x:c r="AP155" s="25" t="str">
        <x:f>IF(OR(E155="processing",E155="executing",E155="pending"),IF(AM155="","Required aging date missing",IF(AN155&gt;30,"Escalate &gt;30d",IF(AN155&gt;14,"Watch &gt;14d","Within 14d"))),"Out of scope")</x:f>
        <x:v>Out of scope</x:v>
      </x:c>
    </x:row>
    <x:row r="156" ht="24" customHeight="1">
      <x:c r="A156" t="str">
        <x:v>7aebf8a0-421a-4b6e-92ba-4d8e10531fbb</x:v>
      </x:c>
      <x:c r="B156" t="str">
        <x:v>CSSP10151727</x:v>
      </x:c>
      <x:c r="C156" t="str">
        <x:v>shilpakasture.joshi@petronas.com</x:v>
      </x:c>
      <x:c r="D156" t="str">
        <x:v>provision-cloud-public</x:v>
      </x:c>
      <x:c r="E156" t="str">
        <x:v>completed</x:v>
      </x:c>
      <x:c r="F156" t="n">
        <x:v>46149.32829445602</x:v>
      </x:c>
      <x:c r="G156" t="n">
        <x:v>46149.32829445602</x:v>
      </x:c>
      <x:c r="H156" t="n">
        <x:v>46176.03193304398</x:v>
      </x:c>
      <x:c r="I156" t="str">
        <x:v>A-000045</x:v>
      </x:c>
      <x:c r="J156" t="str">
        <x:v>Alpha Oil</x:v>
      </x:c>
      <x:c r="K156" t="n">
        <x:v>3948</x:v>
      </x:c>
      <x:c r="L156" t="str">
        <x:v>Support Services of Alpha Oil – WS2 DevSecOps for Malaysia Petroleum Management (MPM)</x:v>
      </x:c>
      <x:c r="M156" t="str">
        <x:v>yngsheng.toh@petronas.com.my</x:v>
      </x:c>
      <x:c r="N156" t="str">
        <x:v>Alpha Oil</x:v>
      </x:c>
      <x:c r="O156" t="str">
        <x:v>New</x:v>
      </x:c>
      <x:c r="P156" t="str">
        <x:v>Production</x:v>
      </x:c>
      <x:c r="Q156" t="str">
        <x:v>SR010707
Need these resources for migrating existing Talent ETL to AlphaOil ADF</x:v>
      </x:c>
      <x:c r="R156" t="str">
        <x:v>M</x:v>
      </x:c>
      <x:c r="S156"/>
      <x:c r="T156"/>
      <x:c r="U156" t="str">
        <x:v>Reviewed. </x:v>
      </x:c>
      <x:c r="V156" t="n">
        <x:v>46149.33131533565</x:v>
      </x:c>
      <x:c r="W156" t="str">
        <x:v>yngsheng.toh@petronas.com</x:v>
      </x:c>
      <x:c r="X156" t="str">
        <x:v>approved</x:v>
      </x:c>
      <x:c r="Y156" t="str">
        <x:v>Approved. User is in the midst of raising RFC for the upgrade</x:v>
      </x:c>
      <x:c r="Z156" t="n">
        <x:v>46154.13634513889</x:v>
      </x:c>
      <x:c r="AA156" t="str">
        <x:v>kianleng.geh@petronas.com</x:v>
      </x:c>
      <x:c r="AB156" t="str">
        <x:v>approved</x:v>
      </x:c>
      <x:c r="AC156" t="str">
        <x:v>DF and Azfunctions.</x:v>
      </x:c>
      <x:c r="AD156" t="n">
        <x:v>46154.28941424769</x:v>
      </x:c>
      <x:c r="AE156" t="str">
        <x:v>syazali.saad@petronas.com</x:v>
      </x:c>
      <x:c r="AF156" t="str">
        <x:v>approved</x:v>
      </x:c>
      <x:c r="AG156" t="str">
        <x:v>done</x:v>
      </x:c>
      <x:c r="AH156" t="n">
        <x:v>46176.03193306713</x:v>
      </x:c>
      <x:c r="AI156" t="str">
        <x:v>azhan.shazeli@petronas.com</x:v>
      </x:c>
      <x:c r="AJ156" t="str">
        <x:v>approved</x:v>
      </x:c>
      <x:c r="AK156" t="str">
        <x:v>REQ000008042697</x:v>
      </x:c>
      <x:c r="AL156" t="str">
        <x:v>068bb9e2-7634-4ac4-b94c-0a9bb274301b</x:v>
      </x:c>
      <x:c r="AM156" s="23" t="str">
        <x:f>IF(E156="processing",IF(Z156="","",IF(ISNUMBER(Z156),INT(Z156),DATE(VALUE(LEFT(Z156,4)),VALUE(MID(Z156,6,2)),VALUE(MID(Z156,9,2))))),IF(OR(E156="executing",E156="pending"),IF(AD156="","",IF(ISNUMBER(AD156),INT(AD156),DATE(VALUE(LEFT(AD156,4)),VALUE(MID(AD156,6,2)),VALUE(MID(AD156,9,2))))),""))</x:f>
      </x:c>
      <x:c r="AN156" s="24" t="str">
        <x:f>IF(AM156="","",INT('Configuration'!$B$4)-AM156)</x:f>
      </x:c>
      <x:c r="AO156" s="25" t="str">
        <x:f>IF(AM156="","Missing Required Date",IF(AN156&lt;0,"Future Date",IF(AN156=0,"0 days",IF(AN156&lt;=2,"1-2 days",IF(AN156&lt;=7,"3-7 days",IF(AN156&lt;=14,"8-14 days",IF(AN156&lt;=30,"15-30 days",IF(AN156&lt;=60,"31-60 days",IF(AN156&lt;=70,"61-70 days","71+ days")))))))))</x:f>
        <x:v>Missing Required Date</x:v>
      </x:c>
      <x:c r="AP156" s="25" t="str">
        <x:f>IF(OR(E156="processing",E156="executing",E156="pending"),IF(AM156="","Required aging date missing",IF(AN156&gt;30,"Escalate &gt;30d",IF(AN156&gt;14,"Watch &gt;14d","Within 14d"))),"Out of scope")</x:f>
        <x:v>Out of scope</x:v>
      </x:c>
    </x:row>
    <x:row r="157" ht="24" customHeight="1">
      <x:c r="A157" t="str">
        <x:v>15c89c49-98ab-4d09-b4b8-c15f562be311</x:v>
      </x:c>
      <x:c r="B157" t="str">
        <x:v>CSSP10591107</x:v>
      </x:c>
      <x:c r="C157" t="str">
        <x:v>amarsyafiq.azma@petronas.com</x:v>
      </x:c>
      <x:c r="D157" t="str">
        <x:v>provision-cloud-public</x:v>
      </x:c>
      <x:c r="E157" t="str">
        <x:v>completed</x:v>
      </x:c>
      <x:c r="F157" t="n">
        <x:v>46150.06564219907</x:v>
      </x:c>
      <x:c r="G157" t="n">
        <x:v>46150.06564219907</x:v>
      </x:c>
      <x:c r="H157" t="n">
        <x:v>46191.31970961805</x:v>
      </x:c>
      <x:c r="I157" t="str">
        <x:v>A-000285</x:v>
      </x:c>
      <x:c r="J157" t="str">
        <x:v>Enterprise Application Observability</x:v>
      </x:c>
      <x:c r="K157" t="str">
        <x:v>PC-00002</x:v>
      </x:c>
      <x:c r="L157" t="str">
        <x:v>Enterprise Application Observability</x:v>
      </x:c>
      <x:c r="M157" t="str">
        <x:v>chewjian.shin@petronas.com</x:v>
      </x:c>
      <x:c r="N157" t="str">
        <x:v>Enterprise Observability</x:v>
      </x:c>
      <x:c r="O157" t="str">
        <x:v>New</x:v>
      </x:c>
      <x:c r="P157" t="str">
        <x:v>StagingUat</x:v>
      </x:c>
      <x:c r="Q157" t="str">
        <x:v>Cost/Bill category = DISSC (formerly known as Indirect Cost)
Understand that this project is not considered as/not in the list of Repatriation program, how do we provision this into Malaysia West Region?
Appreciate the team to assist on this. We are happy to jump into a call/discussion if needed to. Thank you.</x:v>
      </x:c>
      <x:c r="R157" t="str">
        <x:v>L</x:v>
      </x:c>
      <x:c r="S157"/>
      <x:c r="T157"/>
      <x:c r="U157" t="str">
        <x:v>As part of the Elasticsearch platform modernization, we are rebuilding the existing deployment from an IaaS-based model to a Kubernetes-based architecture. This initiative is required to align the platform with PETRONAS 2.0 objectives, particularly in strengthening enterprise observability, improving platform scalability, and ensuring that the environment is designed with compliance and data governance requirements from the outset.
A key driver for deploying the new Kubernetes-based Elasticsearch cluster in Malaysia is to support PDPA compliance and data residency expectations. Elasticsearch is used to process and store observability data such as application logs, operational events, system telemetry, and compliance-related monitoring information. These datasets may contain sensitive information or data patterns that require proper governance, locality control, access control, and auditability. Hosting the target environment in Malaysia provides better alignment with local regulatory expectations and reduces the risk of sensitive operational data being processed or retained outside the intended jurisdiction.
This initiative is not related to any repatriation exercise. The deployment is driven by the need to modernize the Elasticsearch platform into a more secure, scalable, and compliance-ready architecture. The current IaaS-based setup has served its purpose, but it is less suitable for the future operating model required to support increasing observability demand, PDPA-driven controls, data residency requirements, and structured platform lifecycle management.
The new Kubernetes-based architecture will provide a more fit-for-purpose foundation for Elasticsearch by enabling improved resource orchestration, deployment consistency, resiliency, and operational control. More importantly, it allows the platform to be designed around compliance requirements from the beginning, including data locality, controlled access, secure operations, and better governance over how observability data is managed across the environment.
The new Malaysia-based Elasticsearch cluster will serve as the target-state environment for the modernized platform. It will allow the team to validate the architecture, security configuration, integration points, operational readiness, and migration approach in a controlled manner before production cutover. By designing the environment with production reuse in mind, the deployment avoids unnecessary duplication of infrastructure and supports a more efficient transition from validation to live operations.
Once the new Kubernetes-based environment has been validated, the team can proceed with a controlled data migration from the legacy IaaS servers. After successful migration and operational acceptance, the existing servers can be progressively decommissioned in a structured and auditable manner. This will reduce technical debt, simplify platform operations, and establish a cleaner foundation for future observability and compliance needs.
Overall, the deployment of new Kubernetes servers in Malaysia is necessary to support the Elasticsearch modernization roadmap. It is a platform modernization and compliance enablement initiative, not a repatriation exercise. The new environment will provide the required foundation to support PDPA compliance, Malaysia data residency, secure observability operations, controlled migration, and the eventual retirement of legacy IaaS-based infrastructure.</x:v>
      </x:c>
      <x:c r="V157" t="n">
        <x:v>46150.09734905093</x:v>
      </x:c>
      <x:c r="W157" t="str">
        <x:v>chewjian.shin@petronas.com</x:v>
      </x:c>
      <x:c r="X157" t="str">
        <x:v>approved</x:v>
      </x:c>
      <x:c r="Y157" t="str">
        <x:v>Good to go</x:v>
      </x:c>
      <x:c r="Z157" t="n">
        <x:v>46162.07477172454</x:v>
      </x:c>
      <x:c r="AA157" t="str">
        <x:v>samsuddin.jumbri@petronas.com</x:v>
      </x:c>
      <x:c r="AB157" t="str">
        <x:v>approved</x:v>
      </x:c>
      <x:c r="AC157" t="str">
        <x:v>OLZ</x:v>
      </x:c>
      <x:c r="AD157" t="n">
        <x:v>46162.28468052083</x:v>
      </x:c>
      <x:c r="AE157" t="str">
        <x:v>syazali.saad@petronas.com</x:v>
      </x:c>
      <x:c r="AF157" t="str">
        <x:v>approved</x:v>
      </x:c>
      <x:c r="AG157" t="str">
        <x:v>Will proceed offline.</x:v>
      </x:c>
      <x:c r="AH157" t="n">
        <x:v>46191.31970961805</x:v>
      </x:c>
      <x:c r="AI157" t="str">
        <x:v>badri.shaharudin@petronas.com</x:v>
      </x:c>
      <x:c r="AJ157" t="str">
        <x:v>approved</x:v>
      </x:c>
      <x:c r="AK157" t="str">
        <x:v>REQ000008059443</x:v>
      </x:c>
      <x:c r="AL157" t="str">
        <x:v>66d4ebcb-ad48-4d93-a2d3-c759ef6af5c8</x:v>
      </x:c>
      <x:c r="AM157" s="23" t="str">
        <x:f>IF(E157="processing",IF(Z157="","",IF(ISNUMBER(Z157),INT(Z157),DATE(VALUE(LEFT(Z157,4)),VALUE(MID(Z157,6,2)),VALUE(MID(Z157,9,2))))),IF(OR(E157="executing",E157="pending"),IF(AD157="","",IF(ISNUMBER(AD157),INT(AD157),DATE(VALUE(LEFT(AD157,4)),VALUE(MID(AD157,6,2)),VALUE(MID(AD157,9,2))))),""))</x:f>
      </x:c>
      <x:c r="AN157" s="24" t="str">
        <x:f>IF(AM157="","",INT('Configuration'!$B$4)-AM157)</x:f>
      </x:c>
      <x:c r="AO157" s="25" t="str">
        <x:f>IF(AM157="","Missing Required Date",IF(AN157&lt;0,"Future Date",IF(AN157=0,"0 days",IF(AN157&lt;=2,"1-2 days",IF(AN157&lt;=7,"3-7 days",IF(AN157&lt;=14,"8-14 days",IF(AN157&lt;=30,"15-30 days",IF(AN157&lt;=60,"31-60 days",IF(AN157&lt;=70,"61-70 days","71+ days")))))))))</x:f>
        <x:v>Missing Required Date</x:v>
      </x:c>
      <x:c r="AP157" s="25" t="str">
        <x:f>IF(OR(E157="processing",E157="executing",E157="pending"),IF(AM157="","Required aging date missing",IF(AN157&gt;30,"Escalate &gt;30d",IF(AN157&gt;14,"Watch &gt;14d","Within 14d"))),"Out of scope")</x:f>
        <x:v>Out of scope</x:v>
      </x:c>
    </x:row>
    <x:row r="158" ht="24" customHeight="1">
      <x:c r="A158" t="str">
        <x:v>f67b3f48-36c4-4596-8b77-b45d0d2d62e4</x:v>
      </x:c>
      <x:c r="B158" t="str">
        <x:v>CSSP10434143</x:v>
      </x:c>
      <x:c r="C158" t="str">
        <x:v>mkhairulazhar.jamil@petronas.com</x:v>
      </x:c>
      <x:c r="D158" t="str">
        <x:v>provision-cloud-public</x:v>
      </x:c>
      <x:c r="E158" t="str">
        <x:v>completed</x:v>
      </x:c>
      <x:c r="F158" t="n">
        <x:v>46153.28205913195</x:v>
      </x:c>
      <x:c r="G158" t="n">
        <x:v>46168.193916805554</x:v>
      </x:c>
      <x:c r="H158" t="n">
        <x:v>46182.321829560184</x:v>
      </x:c>
      <x:c r="I158" t="str">
        <x:v>A-000124</x:v>
      </x:c>
      <x:c r="J158" t="str">
        <x:v>COMPASS</x:v>
      </x:c>
      <x:c r="K158" t="n">
        <x:v>1709</x:v>
      </x:c>
      <x:c r="L158" t="str">
        <x:v>COMPASS Phase 2</x:v>
      </x:c>
      <x:c r="M158" t="str">
        <x:v>amirshazlan.mshah@petronas.com.my</x:v>
      </x:c>
      <x:c r="N158" t="str">
        <x:v>COMPASS</x:v>
      </x:c>
      <x:c r="O158" t="str">
        <x:v>New</x:v>
      </x:c>
      <x:c r="P158" t="str">
        <x:v>Production</x:v>
      </x:c>
      <x:c r="Q158" t="str">
        <x:v>Subscription Name: PTAZSG-IAC-PROD ENVIRONMENT
RG: PTAZSG-IAC-PROD-COMPASS-RG
To provision new Azure Cache for Redis in production environment</x:v>
      </x:c>
      <x:c r="R158" t="str">
        <x:v>S</x:v>
      </x:c>
      <x:c r="S158"/>
      <x:c r="T158"/>
      <x:c r="U158" t="str">
        <x:v>approved</x:v>
      </x:c>
      <x:c r="V158" t="n">
        <x:v>46168.20458564815</x:v>
      </x:c>
      <x:c r="W158" t="str">
        <x:v>amirshazlan.mshah@petronas.com</x:v>
      </x:c>
      <x:c r="X158" t="str">
        <x:v>approved</x:v>
      </x:c>
      <x:c r="Y158" t="str">
        <x:v>approval</x:v>
      </x:c>
      <x:c r="Z158" t="n">
        <x:v>46168.20501384259</x:v>
      </x:c>
      <x:c r="AA158" t="str">
        <x:v>amirshazlan.mshah@petronas.com</x:v>
      </x:c>
      <x:c r="AB158" t="str">
        <x:v>approved</x:v>
      </x:c>
      <x:c r="AC158" t="str">
        <x:v>small</x:v>
      </x:c>
      <x:c r="AD158" t="n">
        <x:v>46171.3133296875</x:v>
      </x:c>
      <x:c r="AE158" t="str">
        <x:v>syazali.saad@petronas.com</x:v>
      </x:c>
      <x:c r="AF158" t="str">
        <x:v>approved</x:v>
      </x:c>
      <x:c r="AG158" t="str">
        <x:v>completed</x:v>
      </x:c>
      <x:c r="AH158" t="n">
        <x:v>46182.32182957176</x:v>
      </x:c>
      <x:c r="AI158" t="str">
        <x:v>akhmal.roslan@petronas.com</x:v>
      </x:c>
      <x:c r="AJ158" t="str">
        <x:v>approved</x:v>
      </x:c>
      <x:c r="AK158" t="str">
        <x:v>REQ000008073332</x:v>
      </x:c>
      <x:c r="AL158" t="str">
        <x:v>90296959-c21f-48ac-8658-df869ee75354</x:v>
      </x:c>
      <x:c r="AM158" s="23" t="str">
        <x:f>IF(E158="processing",IF(Z158="","",IF(ISNUMBER(Z158),INT(Z158),DATE(VALUE(LEFT(Z158,4)),VALUE(MID(Z158,6,2)),VALUE(MID(Z158,9,2))))),IF(OR(E158="executing",E158="pending"),IF(AD158="","",IF(ISNUMBER(AD158),INT(AD158),DATE(VALUE(LEFT(AD158,4)),VALUE(MID(AD158,6,2)),VALUE(MID(AD158,9,2))))),""))</x:f>
      </x:c>
      <x:c r="AN158" s="24" t="str">
        <x:f>IF(AM158="","",INT('Configuration'!$B$4)-AM158)</x:f>
      </x:c>
      <x:c r="AO158" s="25" t="str">
        <x:f>IF(AM158="","Missing Required Date",IF(AN158&lt;0,"Future Date",IF(AN158=0,"0 days",IF(AN158&lt;=2,"1-2 days",IF(AN158&lt;=7,"3-7 days",IF(AN158&lt;=14,"8-14 days",IF(AN158&lt;=30,"15-30 days",IF(AN158&lt;=60,"31-60 days",IF(AN158&lt;=70,"61-70 days","71+ days")))))))))</x:f>
        <x:v>Missing Required Date</x:v>
      </x:c>
      <x:c r="AP158" s="25" t="str">
        <x:f>IF(OR(E158="processing",E158="executing",E158="pending"),IF(AM158="","Required aging date missing",IF(AN158&gt;30,"Escalate &gt;30d",IF(AN158&gt;14,"Watch &gt;14d","Within 14d"))),"Out of scope")</x:f>
        <x:v>Out of scope</x:v>
      </x:c>
    </x:row>
    <x:row r="159" ht="24" customHeight="1">
      <x:c r="A159" t="str">
        <x:v>cf7c1568-9465-478e-a212-1d033ab6fe72</x:v>
      </x:c>
      <x:c r="B159" t="str">
        <x:v>CSSP10714552</x:v>
      </x:c>
      <x:c r="C159" t="str">
        <x:v>ahmadaizuddin.badry@petronas.com</x:v>
      </x:c>
      <x:c r="D159" t="str">
        <x:v>provision-cloud-public</x:v>
      </x:c>
      <x:c r="E159" t="str">
        <x:v>completed</x:v>
      </x:c>
      <x:c r="F159" t="n">
        <x:v>46154.131849537036</x:v>
      </x:c>
      <x:c r="G159" t="n">
        <x:v>46154.131849537036</x:v>
      </x:c>
      <x:c r="H159" t="n">
        <x:v>46204.255536550925</x:v>
      </x:c>
      <x:c r="I159" t="str">
        <x:v>A-000490</x:v>
      </x:c>
      <x:c r="J159" t="str">
        <x:v>MyProcure</x:v>
      </x:c>
      <x:c r="K159" t="n">
        <x:v>4343</x:v>
      </x:c>
      <x:c r="L159" t="str">
        <x:v>Procurement Innovation Through Automation And Procurement Marketplace</x:v>
      </x:c>
      <x:c r="M159" t="str">
        <x:v>amirshazlan.mshah@petronas.com.my</x:v>
      </x:c>
      <x:c r="N159" t="str">
        <x:v>Procurement AI</x:v>
      </x:c>
      <x:c r="O159" t="str">
        <x:v>Modify</x:v>
      </x:c>
      <x:c r="P159" t="str">
        <x:v>Development</x:v>
      </x:c>
      <x:c r="Q159" t="str">
        <x:v>RG ptazsg-iac-dev-gpdata-rg, Procurement AI Azure Functions and Fabric Upgrade (F8 =&gt; F16)</x:v>
      </x:c>
      <x:c r="R159" t="str">
        <x:v>S</x:v>
      </x:c>
      <x:c r="S159"/>
      <x:c r="T159"/>
      <x:c r="U159" t="str">
        <x:v>approved</x:v>
      </x:c>
      <x:c r="V159" t="n">
        <x:v>46154.156020069444</x:v>
      </x:c>
      <x:c r="W159" t="str">
        <x:v>amirshazlan.mshah@petronas.com</x:v>
      </x:c>
      <x:c r="X159" t="str">
        <x:v>approved</x:v>
      </x:c>
      <x:c r="Y159" t="str">
        <x:v>Good to go</x:v>
      </x:c>
      <x:c r="Z159" t="n">
        <x:v>46162.07617756944</x:v>
      </x:c>
      <x:c r="AA159" t="str">
        <x:v>samsuddin.jumbri@petronas.com</x:v>
      </x:c>
      <x:c r="AB159" t="str">
        <x:v>approved</x:v>
      </x:c>
      <x:c r="AC159" t="str">
        <x:v>clickops</x:v>
      </x:c>
      <x:c r="AD159" t="n">
        <x:v>46162.35442686343</x:v>
      </x:c>
      <x:c r="AE159" t="str">
        <x:v>syazali.saad@petronas.com</x:v>
      </x:c>
      <x:c r="AF159" t="str">
        <x:v>approved</x:v>
      </x:c>
      <x:c r="AG159" t="str">
        <x:v>done.</x:v>
      </x:c>
      <x:c r="AH159" t="n">
        <x:v>46204.2555365625</x:v>
      </x:c>
      <x:c r="AI159" t="str">
        <x:v>izham.ajmaan@petronas.com</x:v>
      </x:c>
      <x:c r="AJ159" t="str">
        <x:v>approved</x:v>
      </x:c>
      <x:c r="AK159" t="str">
        <x:v>REQ000008059659</x:v>
      </x:c>
      <x:c r="AL159" t="str">
        <x:v>e1827a6c-e18c-4500-94be-16de9cbb9e7c</x:v>
      </x:c>
      <x:c r="AM159" s="23" t="str">
        <x:f>IF(E159="processing",IF(Z159="","",IF(ISNUMBER(Z159),INT(Z159),DATE(VALUE(LEFT(Z159,4)),VALUE(MID(Z159,6,2)),VALUE(MID(Z159,9,2))))),IF(OR(E159="executing",E159="pending"),IF(AD159="","",IF(ISNUMBER(AD159),INT(AD159),DATE(VALUE(LEFT(AD159,4)),VALUE(MID(AD159,6,2)),VALUE(MID(AD159,9,2))))),""))</x:f>
      </x:c>
      <x:c r="AN159" s="24" t="str">
        <x:f>IF(AM159="","",INT('Configuration'!$B$4)-AM159)</x:f>
      </x:c>
      <x:c r="AO159" s="25" t="str">
        <x:f>IF(AM159="","Missing Required Date",IF(AN159&lt;0,"Future Date",IF(AN159=0,"0 days",IF(AN159&lt;=2,"1-2 days",IF(AN159&lt;=7,"3-7 days",IF(AN159&lt;=14,"8-14 days",IF(AN159&lt;=30,"15-30 days",IF(AN159&lt;=60,"31-60 days",IF(AN159&lt;=70,"61-70 days","71+ days")))))))))</x:f>
        <x:v>Missing Required Date</x:v>
      </x:c>
      <x:c r="AP159" s="25" t="str">
        <x:f>IF(OR(E159="processing",E159="executing",E159="pending"),IF(AM159="","Required aging date missing",IF(AN159&gt;30,"Escalate &gt;30d",IF(AN159&gt;14,"Watch &gt;14d","Within 14d"))),"Out of scope")</x:f>
        <x:v>Out of scope</x:v>
      </x:c>
    </x:row>
    <x:row r="160" ht="24" customHeight="1">
      <x:c r="A160" t="str">
        <x:v>9d360c06-88c7-47e9-83ad-4911ecbaa9d1</x:v>
      </x:c>
      <x:c r="B160" t="str">
        <x:v>CSSP10825896</x:v>
      </x:c>
      <x:c r="C160" t="str">
        <x:v>ahmadaizuddin.badry@petronas.com</x:v>
      </x:c>
      <x:c r="D160" t="str">
        <x:v>provision-cloud-public</x:v>
      </x:c>
      <x:c r="E160" t="str">
        <x:v>completed</x:v>
      </x:c>
      <x:c r="F160" t="n">
        <x:v>46154.1345971875</x:v>
      </x:c>
      <x:c r="G160" t="n">
        <x:v>46168.197797789355</x:v>
      </x:c>
      <x:c r="H160" t="n">
        <x:v>46219.072681157406</x:v>
      </x:c>
      <x:c r="I160" t="str">
        <x:v>A-000490</x:v>
      </x:c>
      <x:c r="J160" t="str">
        <x:v>MyProcure</x:v>
      </x:c>
      <x:c r="K160" t="n">
        <x:v>4343</x:v>
      </x:c>
      <x:c r="L160" t="str">
        <x:v>Procurement Innovation Through Automation And Procurement Marketplace</x:v>
      </x:c>
      <x:c r="M160" t="str">
        <x:v>amirshazlan.mshah@petronas.com.my</x:v>
      </x:c>
      <x:c r="N160" t="str">
        <x:v>Procurement AI</x:v>
      </x:c>
      <x:c r="O160" t="str">
        <x:v>New</x:v>
      </x:c>
      <x:c r="P160" t="str">
        <x:v>Development</x:v>
      </x:c>
      <x:c r="Q160" t="str">
        <x:v>1. Azure Functions Premium EP2
2. App Service Free F1 - 4x
3. App Service Basic B1 - 1x
4. Storage Account Standard General Purpose V2 (Blob, Tables, Queues) - 1x
RG ptazsg-iac-dev-gpdata-rg
</x:v>
      </x:c>
      <x:c r="R160" t="str">
        <x:v>M</x:v>
      </x:c>
      <x:c r="S160"/>
      <x:c r="T160"/>
      <x:c r="U160" t="str">
        <x:v>approved</x:v>
      </x:c>
      <x:c r="V160" t="n">
        <x:v>46168.20543670139</x:v>
      </x:c>
      <x:c r="W160" t="str">
        <x:v>amirshazlan.mshah@petronas.com</x:v>
      </x:c>
      <x:c r="X160" t="str">
        <x:v>approved</x:v>
      </x:c>
      <x:c r="Y160" t="str">
        <x:v>Good to go</x:v>
      </x:c>
      <x:c r="Z160" t="n">
        <x:v>46178.37921600694</x:v>
      </x:c>
      <x:c r="AA160" t="str">
        <x:v>samsuddin.jumbri@petronas.com</x:v>
      </x:c>
      <x:c r="AB160" t="str">
        <x:v>approved</x:v>
      </x:c>
      <x:c r="AC160" t="str">
        <x:v>additional resources
https://dev.azure.com/Digital-Delivery/Group%20Procurement%20EDH%20Data%20Enablement/_git/app-iac-azure-gpdata</x:v>
      </x:c>
      <x:c r="AD160" t="n">
        <x:v>46189.29641688657</x:v>
      </x:c>
      <x:c r="AE160" t="str">
        <x:v>syazali.saad@petronas.com</x:v>
      </x:c>
      <x:c r="AF160" t="str">
        <x:v>approved</x:v>
      </x:c>
      <x:c r="AG160" t="str">
        <x:v>All resources have been provisioned. Detail resources name as below:
Azure Functions	ptazsg-5gpdatafunc02
App Service	ptazsg-5gpdatawb03
App Service	ptazsg-5gpdatawb04
Storage Accounts	ptazsg5gpdatastr03
Storage Accounts	ptazsg5gpdatastr04
App Service	ptazsg-5gpdatawb02
App Service	ptazsg-5gpdatawb05
App Service	ptazsg-5gpdatawb06
</x:v>
      </x:c>
      <x:c r="AH160" t="n">
        <x:v>46219.072681157406</x:v>
      </x:c>
      <x:c r="AI160" t="str">
        <x:v>muhdfirdaus.muhamad@petronas.com</x:v>
      </x:c>
      <x:c r="AJ160" t="str">
        <x:v>approved</x:v>
      </x:c>
      <x:c r="AK160" t="str">
        <x:v>REQ000008103506</x:v>
      </x:c>
      <x:c r="AL160" t="str">
        <x:v>e1827a6c-e18c-4500-94be-16de9cbb9e7c</x:v>
      </x:c>
      <x:c r="AM160" s="23" t="str">
        <x:f>IF(E160="processing",IF(Z160="","",IF(ISNUMBER(Z160),INT(Z160),DATE(VALUE(LEFT(Z160,4)),VALUE(MID(Z160,6,2)),VALUE(MID(Z160,9,2))))),IF(OR(E160="executing",E160="pending"),IF(AD160="","",IF(ISNUMBER(AD160),INT(AD160),DATE(VALUE(LEFT(AD160,4)),VALUE(MID(AD160,6,2)),VALUE(MID(AD160,9,2))))),""))</x:f>
      </x:c>
      <x:c r="AN160" s="24" t="str">
        <x:f>IF(AM160="","",INT('Configuration'!$B$4)-AM160)</x:f>
      </x:c>
      <x:c r="AO160" s="25" t="str">
        <x:f>IF(AM160="","Missing Required Date",IF(AN160&lt;0,"Future Date",IF(AN160=0,"0 days",IF(AN160&lt;=2,"1-2 days",IF(AN160&lt;=7,"3-7 days",IF(AN160&lt;=14,"8-14 days",IF(AN160&lt;=30,"15-30 days",IF(AN160&lt;=60,"31-60 days",IF(AN160&lt;=70,"61-70 days","71+ days")))))))))</x:f>
        <x:v>Missing Required Date</x:v>
      </x:c>
      <x:c r="AP160" s="25" t="str">
        <x:f>IF(OR(E160="processing",E160="executing",E160="pending"),IF(AM160="","Required aging date missing",IF(AN160&gt;30,"Escalate &gt;30d",IF(AN160&gt;14,"Watch &gt;14d","Within 14d"))),"Out of scope")</x:f>
        <x:v>Out of scope</x:v>
      </x:c>
    </x:row>
    <x:row r="161" ht="24" customHeight="1">
      <x:c r="A161" t="str">
        <x:v>d6180edd-9eee-4a81-afa8-3a8cdfc15074</x:v>
      </x:c>
      <x:c r="B161" t="str">
        <x:v>CSSP10600937</x:v>
      </x:c>
      <x:c r="C161" t="str">
        <x:v>amarsyafiq.azma@petronas.com</x:v>
      </x:c>
      <x:c r="D161" t="str">
        <x:v>provision-cloud-public</x:v>
      </x:c>
      <x:c r="E161" t="str">
        <x:v>completed</x:v>
      </x:c>
      <x:c r="F161" t="n">
        <x:v>46154.27303761574</x:v>
      </x:c>
      <x:c r="G161" t="n">
        <x:v>46154.27303761574</x:v>
      </x:c>
      <x:c r="H161" t="n">
        <x:v>46181.06187644676</x:v>
      </x:c>
      <x:c r="I161" t="str">
        <x:v>A-000285</x:v>
      </x:c>
      <x:c r="J161" t="str">
        <x:v>Enterprise Application Observability</x:v>
      </x:c>
      <x:c r="K161" t="str">
        <x:v>PC-00002</x:v>
      </x:c>
      <x:c r="L161" t="str">
        <x:v>Enterprise Application Observability</x:v>
      </x:c>
      <x:c r="M161" t="str">
        <x:v>chewjian.shin@petronas.com</x:v>
      </x:c>
      <x:c r="N161" t="str">
        <x:v>Enterprise Observability</x:v>
      </x:c>
      <x:c r="O161" t="str">
        <x:v>New</x:v>
      </x:c>
      <x:c r="P161" t="str">
        <x:v>Production</x:v>
      </x:c>
      <x:c r="Q161" t="str">
        <x:v>To upgrade current Production Elastic Stack (ELK) to support PII data detection for PDPA/GDPR data compliancy as well as to cater data growth in Elastic APM.</x:v>
      </x:c>
      <x:c r="R161" t="str">
        <x:v>L</x:v>
      </x:c>
      <x:c r="S161"/>
      <x:c r="T161"/>
      <x:c r="U161" t="str">
        <x:v>Yes we need this asap, already budgeted in OE</x:v>
      </x:c>
      <x:c r="V161" t="n">
        <x:v>46155.18993219907</x:v>
      </x:c>
      <x:c r="W161" t="str">
        <x:v>chewjian.shin@petronas.com</x:v>
      </x:c>
      <x:c r="X161" t="str">
        <x:v>approved</x:v>
      </x:c>
      <x:c r="Y161" t="str">
        <x:v>approve</x:v>
      </x:c>
      <x:c r="Z161" t="n">
        <x:v>46155.19467657407</x:v>
      </x:c>
      <x:c r="AA161" t="str">
        <x:v>chewjian.shin@petronas.com</x:v>
      </x:c>
      <x:c r="AB161" t="str">
        <x:v>approved</x:v>
      </x:c>
      <x:c r="AC161" t="str">
        <x:v>OLZ</x:v>
      </x:c>
      <x:c r="AD161" t="n">
        <x:v>46162.28482608796</x:v>
      </x:c>
      <x:c r="AE161" t="str">
        <x:v>syazali.saad@petronas.com</x:v>
      </x:c>
      <x:c r="AF161" t="str">
        <x:v>approved</x:v>
      </x:c>
      <x:c r="AG161" t="str">
        <x:v>Completed</x:v>
      </x:c>
      <x:c r="AH161" t="n">
        <x:v>46181.061876458334</x:v>
      </x:c>
      <x:c r="AI161" t="str">
        <x:v>badri.shaharudin@petronas.com</x:v>
      </x:c>
      <x:c r="AJ161" t="str">
        <x:v>approved</x:v>
      </x:c>
      <x:c r="AK161" t="str">
        <x:v>REQ000008059629</x:v>
      </x:c>
      <x:c r="AL161" t="str">
        <x:v>66d4ebcb-ad48-4d93-a2d3-c759ef6af5c8</x:v>
      </x:c>
      <x:c r="AM161" s="23" t="str">
        <x:f>IF(E161="processing",IF(Z161="","",IF(ISNUMBER(Z161),INT(Z161),DATE(VALUE(LEFT(Z161,4)),VALUE(MID(Z161,6,2)),VALUE(MID(Z161,9,2))))),IF(OR(E161="executing",E161="pending"),IF(AD161="","",IF(ISNUMBER(AD161),INT(AD161),DATE(VALUE(LEFT(AD161,4)),VALUE(MID(AD161,6,2)),VALUE(MID(AD161,9,2))))),""))</x:f>
      </x:c>
      <x:c r="AN161" s="24" t="str">
        <x:f>IF(AM161="","",INT('Configuration'!$B$4)-AM161)</x:f>
      </x:c>
      <x:c r="AO161" s="25" t="str">
        <x:f>IF(AM161="","Missing Required Date",IF(AN161&lt;0,"Future Date",IF(AN161=0,"0 days",IF(AN161&lt;=2,"1-2 days",IF(AN161&lt;=7,"3-7 days",IF(AN161&lt;=14,"8-14 days",IF(AN161&lt;=30,"15-30 days",IF(AN161&lt;=60,"31-60 days",IF(AN161&lt;=70,"61-70 days","71+ days")))))))))</x:f>
        <x:v>Missing Required Date</x:v>
      </x:c>
      <x:c r="AP161" s="25" t="str">
        <x:f>IF(OR(E161="processing",E161="executing",E161="pending"),IF(AM161="","Required aging date missing",IF(AN161&gt;30,"Escalate &gt;30d",IF(AN161&gt;14,"Watch &gt;14d","Within 14d"))),"Out of scope")</x:f>
        <x:v>Out of scope</x:v>
      </x:c>
    </x:row>
    <x:row r="162" ht="24" customHeight="1">
      <x:c r="A162" t="str">
        <x:v>d5452d0f-8e90-4728-9ffc-f7ff20529111</x:v>
      </x:c>
      <x:c r="B162" t="str">
        <x:v>CSSP10511275</x:v>
      </x:c>
      <x:c r="C162" t="str">
        <x:v>mfaizal.suriyat@petronas.com</x:v>
      </x:c>
      <x:c r="D162" t="str">
        <x:v>provision-cloud-public</x:v>
      </x:c>
      <x:c r="E162" t="str">
        <x:v>rejected</x:v>
      </x:c>
      <x:c r="F162" t="n">
        <x:v>46154.56921577546</x:v>
      </x:c>
      <x:c r="G162" t="n">
        <x:v>46154.56921577546</x:v>
      </x:c>
      <x:c r="H162" t="n">
        <x:v>46162.36776028935</x:v>
      </x:c>
      <x:c r="I162" t="str">
        <x:v>A-000396</x:v>
      </x:c>
      <x:c r="J162" t="str">
        <x:v>PETRONAS Integrated Pipeline Integrity Assurance Solutions - i-PIMS</x:v>
      </x:c>
      <x:c r="K162" t="n">
        <x:v>3421</x:v>
      </x:c>
      <x:c r="L162" t="str">
        <x:v>Implementation of PETRONAS Integrated Pipeline Integrity Assurance Solutions (i-PIMS) Open System at MPM for GTS</x:v>
      </x:c>
      <x:c r="M162" t="str">
        <x:v>sarkunan.tigarajan@petronas.com.my</x:v>
      </x:c>
      <x:c r="N162" t="str">
        <x:v>POTF Commercialization</x:v>
      </x:c>
      <x:c r="O162" t="str">
        <x:v>New</x:v>
      </x:c>
      <x:c r="P162" t="str">
        <x:v>Production</x:v>
      </x:c>
      <x:c r="Q162" t="str">
        <x:v>PostgreSQL obsolete, need to provision new DB Server</x:v>
      </x:c>
      <x:c r="R162" t="str">
        <x:v>M</x:v>
      </x:c>
      <x:c r="S162"/>
      <x:c r="T162"/>
      <x:c r="U162" t="str">
        <x:v>Reviewed &amp; Approved.</x:v>
      </x:c>
      <x:c r="V162" t="n">
        <x:v>46154.89312798611</x:v>
      </x:c>
      <x:c r="W162" t="str">
        <x:v>sarkunan.tigarajan@petronas.com</x:v>
      </x:c>
      <x:c r="X162" t="str">
        <x:v>approved</x:v>
      </x:c>
      <x:c r="Y162" t="str">
        <x:v>Good to go</x:v>
      </x:c>
      <x:c r="Z162" t="n">
        <x:v>46162.07843376158</x:v>
      </x:c>
      <x:c r="AA162" t="str">
        <x:v>samsuddin.jumbri@petronas.com</x:v>
      </x:c>
      <x:c r="AB162" t="str">
        <x:v>approved</x:v>
      </x:c>
      <x:c r="AC162" t="str">
        <x:v>.</x:v>
      </x:c>
      <x:c r="AD162" t="n">
        <x:v>46162.367532523145</x:v>
      </x:c>
      <x:c r="AE162" t="str">
        <x:v>syazali.saad@petronas.com</x:v>
      </x:c>
      <x:c r="AF162" t="str">
        <x:v>approved</x:v>
      </x:c>
      <x:c r="AG162" t="str">
        <x:v>requested cancel on 20th  May 2026 due to no team members not available (end of contract).</x:v>
      </x:c>
      <x:c r="AH162" t="n">
        <x:v>46162.36776030093</x:v>
      </x:c>
      <x:c r="AI162" t="str">
        <x:v>syazali.saad@petronas.com</x:v>
      </x:c>
      <x:c r="AJ162" t="str">
        <x:v>rejected</x:v>
      </x:c>
      <x:c r="AK162" t="str">
        <x:v>REQ000008059479</x:v>
      </x:c>
      <x:c r="AL162" t="str">
        <x:v>01f46ba0-6305-42ba-af71-4e5a242ff182</x:v>
      </x:c>
      <x:c r="AM162" s="23" t="str">
        <x:f>IF(E162="processing",IF(Z162="","",IF(ISNUMBER(Z162),INT(Z162),DATE(VALUE(LEFT(Z162,4)),VALUE(MID(Z162,6,2)),VALUE(MID(Z162,9,2))))),IF(OR(E162="executing",E162="pending"),IF(AD162="","",IF(ISNUMBER(AD162),INT(AD162),DATE(VALUE(LEFT(AD162,4)),VALUE(MID(AD162,6,2)),VALUE(MID(AD162,9,2))))),""))</x:f>
      </x:c>
      <x:c r="AN162" s="24" t="str">
        <x:f>IF(AM162="","",INT('Configuration'!$B$4)-AM162)</x:f>
      </x:c>
      <x:c r="AO162" s="25" t="str">
        <x:f>IF(AM162="","Missing Required Date",IF(AN162&lt;0,"Future Date",IF(AN162=0,"0 days",IF(AN162&lt;=2,"1-2 days",IF(AN162&lt;=7,"3-7 days",IF(AN162&lt;=14,"8-14 days",IF(AN162&lt;=30,"15-30 days",IF(AN162&lt;=60,"31-60 days",IF(AN162&lt;=70,"61-70 days","71+ days")))))))))</x:f>
        <x:v>Missing Required Date</x:v>
      </x:c>
      <x:c r="AP162" s="25" t="str">
        <x:f>IF(OR(E162="processing",E162="executing",E162="pending"),IF(AM162="","Required aging date missing",IF(AN162&gt;30,"Escalate &gt;30d",IF(AN162&gt;14,"Watch &gt;14d","Within 14d"))),"Out of scope")</x:f>
        <x:v>Out of scope</x:v>
      </x:c>
    </x:row>
    <x:row r="163" ht="24" customHeight="1">
      <x:c r="A163" t="str">
        <x:v>4efe5a2b-499a-4e07-a71a-a79946dc9495</x:v>
      </x:c>
      <x:c r="B163" t="str">
        <x:v>CSSP10328365</x:v>
      </x:c>
      <x:c r="C163" t="str">
        <x:v>mibrahim.sulaima@petronas.com</x:v>
      </x:c>
      <x:c r="D163" t="str">
        <x:v>provision-cloud-public</x:v>
      </x:c>
      <x:c r="E163" t="str">
        <x:v>completed</x:v>
      </x:c>
      <x:c r="F163" t="n">
        <x:v>46157.185893912036</x:v>
      </x:c>
      <x:c r="G163" t="n">
        <x:v>46157.185893912036</x:v>
      </x:c>
      <x:c r="H163" t="n">
        <x:v>46178.42855795139</x:v>
      </x:c>
      <x:c r="I163" t="str">
        <x:v>A-000303</x:v>
      </x:c>
      <x:c r="J163" t="str">
        <x:v>Enhancement of Enhanced Resource Monetization by Artificial Intelligence - ERMAI Phase 3 for Malaysia Petroleum Management - MPM</x:v>
      </x:c>
      <x:c r="K163" t="n">
        <x:v>100</x:v>
      </x:c>
      <x:c r="L163" t="str">
        <x:v>Enhancement of Enhanced Resource Monetization by Artificial Intelligence (ERMAI) Phase 4 </x:v>
      </x:c>
      <x:c r="M163" t="str">
        <x:v>limeng.tan@petronas.com.my</x:v>
      </x:c>
      <x:c r="N163" t="str">
        <x:v>ERMAI</x:v>
      </x:c>
      <x:c r="O163" t="str">
        <x:v>New</x:v>
      </x:c>
      <x:c r="P163" t="str">
        <x:v>Development</x:v>
      </x:c>
      <x:c r="Q163" t="str">
        <x:v>This request is to provision Azure API management &amp; App Service to host Rapid scale up module for ERMAI phase 4.
Both APIM and App Service will have their own Private End Point to secure access inbound. For outbound access, please use existing VNet for dev environment.
Please allow security group ERMAIDevTeam to access the resources/services.</x:v>
      </x:c>
      <x:c r="R163" t="str">
        <x:v>M</x:v>
      </x:c>
      <x:c r="S163"/>
      <x:c r="T163"/>
      <x:c r="U163" t="str">
        <x:v>required as part of project scope. </x:v>
      </x:c>
      <x:c r="V163" t="n">
        <x:v>46157.30229762731</x:v>
      </x:c>
      <x:c r="W163" t="str">
        <x:v>limeng.tan@petronas.com</x:v>
      </x:c>
      <x:c r="X163" t="str">
        <x:v>approved</x:v>
      </x:c>
      <x:c r="Y163" t="str">
        <x:v>Good to go</x:v>
      </x:c>
      <x:c r="Z163" t="n">
        <x:v>46164.40448246528</x:v>
      </x:c>
      <x:c r="AA163" t="str">
        <x:v>samsuddin.jumbri@petronas.com</x:v>
      </x:c>
      <x:c r="AB163" t="str">
        <x:v>approved</x:v>
      </x:c>
      <x:c r="AC163" t="str">
        <x:v>Proceed</x:v>
      </x:c>
      <x:c r="AD163" t="n">
        <x:v>46167.09831981482</x:v>
      </x:c>
      <x:c r="AE163" t="str">
        <x:v>azwan.badari@petronas.com</x:v>
      </x:c>
      <x:c r="AF163" t="str">
        <x:v>approved</x:v>
      </x:c>
      <x:c r="AG163" t="str">
        <x:v>completed</x:v>
      </x:c>
      <x:c r="AH163" t="n">
        <x:v>46178.42855795139</x:v>
      </x:c>
      <x:c r="AI163" t="str">
        <x:v>akhmal.roslan@petronas.com</x:v>
      </x:c>
      <x:c r="AJ163" t="str">
        <x:v>approved</x:v>
      </x:c>
      <x:c r="AK163" t="str">
        <x:v>REQ000008067221</x:v>
      </x:c>
      <x:c r="AL163" t="str">
        <x:v>5863a8c2-1f97-4aab-9158-0ada19ce8b61</x:v>
      </x:c>
      <x:c r="AM163" s="23" t="str">
        <x:f>IF(E163="processing",IF(Z163="","",IF(ISNUMBER(Z163),INT(Z163),DATE(VALUE(LEFT(Z163,4)),VALUE(MID(Z163,6,2)),VALUE(MID(Z163,9,2))))),IF(OR(E163="executing",E163="pending"),IF(AD163="","",IF(ISNUMBER(AD163),INT(AD163),DATE(VALUE(LEFT(AD163,4)),VALUE(MID(AD163,6,2)),VALUE(MID(AD163,9,2))))),""))</x:f>
      </x:c>
      <x:c r="AN163" s="24" t="str">
        <x:f>IF(AM163="","",INT('Configuration'!$B$4)-AM163)</x:f>
      </x:c>
      <x:c r="AO163" s="25" t="str">
        <x:f>IF(AM163="","Missing Required Date",IF(AN163&lt;0,"Future Date",IF(AN163=0,"0 days",IF(AN163&lt;=2,"1-2 days",IF(AN163&lt;=7,"3-7 days",IF(AN163&lt;=14,"8-14 days",IF(AN163&lt;=30,"15-30 days",IF(AN163&lt;=60,"31-60 days",IF(AN163&lt;=70,"61-70 days","71+ days")))))))))</x:f>
        <x:v>Missing Required Date</x:v>
      </x:c>
      <x:c r="AP163" s="25" t="str">
        <x:f>IF(OR(E163="processing",E163="executing",E163="pending"),IF(AM163="","Required aging date missing",IF(AN163&gt;30,"Escalate &gt;30d",IF(AN163&gt;14,"Watch &gt;14d","Within 14d"))),"Out of scope")</x:f>
        <x:v>Out of scope</x:v>
      </x:c>
    </x:row>
    <x:row r="164" ht="24" customHeight="1">
      <x:c r="A164" t="str">
        <x:v>4b2eade0-0dc5-4b2c-b02c-e3928b54a06b</x:v>
      </x:c>
      <x:c r="B164" t="str">
        <x:v>CSSP10330561</x:v>
      </x:c>
      <x:c r="C164" t="str">
        <x:v>ang.hooichen@petronas.com</x:v>
      </x:c>
      <x:c r="D164" t="str">
        <x:v>provision-cloud-public</x:v>
      </x:c>
      <x:c r="E164" t="str">
        <x:v>completed</x:v>
      </x:c>
      <x:c r="F164" t="n">
        <x:v>46157.340464444445</x:v>
      </x:c>
      <x:c r="G164" t="n">
        <x:v>46157.34726862269</x:v>
      </x:c>
      <x:c r="H164" t="n">
        <x:v>46188.060327569445</x:v>
      </x:c>
      <x:c r="I164" t="str">
        <x:v>A-000064</x:v>
      </x:c>
      <x:c r="J164" t="str">
        <x:v>Zidane OVC</x:v>
      </x:c>
      <x:c r="K164" t="n">
        <x:v>4569</x:v>
      </x:c>
      <x:c r="L164" t="str">
        <x:v>Provision of Professional Service, Software License and Infra for ArBiTra (OVC &amp; LVC) 2025 for PTLCL</x:v>
      </x:c>
      <x:c r="M164" t="str">
        <x:v>yap.winhong@petronas.com.my</x:v>
      </x:c>
      <x:c r="N164" t="str">
        <x:v>ArBiTra Phase 3 - IT Sub Modules</x:v>
      </x:c>
      <x:c r="O164" t="str">
        <x:v>New</x:v>
      </x:c>
      <x:c r="P164"/>
      <x:c r="Q164" t="str">
        <x:v>Provision new workspace for UAT and Prod. BOM please refer to datathon_infratemplate.xlsx.</x:v>
      </x:c>
      <x:c r="R164" t="str">
        <x:v>L</x:v>
      </x:c>
      <x:c r="S164"/>
      <x:c r="T164"/>
      <x:c r="U164" t="str">
        <x:v>Approve</x:v>
      </x:c>
      <x:c r="V164" t="n">
        <x:v>46157.35254876158</x:v>
      </x:c>
      <x:c r="W164" t="str">
        <x:v>yap.winhong@petronas.com</x:v>
      </x:c>
      <x:c r="X164" t="str">
        <x:v>approved</x:v>
      </x:c>
      <x:c r="Y164" t="str">
        <x:v>Good to go</x:v>
      </x:c>
      <x:c r="Z164" t="n">
        <x:v>46162.0802100463</x:v>
      </x:c>
      <x:c r="AA164" t="str">
        <x:v>samsuddin.jumbri@petronas.com</x:v>
      </x:c>
      <x:c r="AB164" t="str">
        <x:v>approved</x:v>
      </x:c>
      <x:c r="AC164" t="str">
        <x:v>need another CSSP for one more environment.</x:v>
      </x:c>
      <x:c r="AD164" t="n">
        <x:v>46162.53864284722</x:v>
      </x:c>
      <x:c r="AE164" t="str">
        <x:v>syazali.saad@petronas.com</x:v>
      </x:c>
      <x:c r="AF164" t="str">
        <x:v>approved</x:v>
      </x:c>
      <x:c r="AG164" t="str">
        <x:v>The DEV databricks is ready https://dbc-348a4064-1a0b.cloud.databricks.com</x:v>
      </x:c>
      <x:c r="AH164" t="n">
        <x:v>46188.06032758102</x:v>
      </x:c>
      <x:c r="AI164" t="str">
        <x:v>yeonghunn.ho@petronas.com</x:v>
      </x:c>
      <x:c r="AJ164" t="str">
        <x:v>approved</x:v>
      </x:c>
      <x:c r="AK164" t="str">
        <x:v>REQ000008060446</x:v>
      </x:c>
      <x:c r="AL164" t="str">
        <x:v>e843491d-275f-4046-ad6d-5830963ba204</x:v>
      </x:c>
      <x:c r="AM164" s="23" t="str">
        <x:f>IF(E164="processing",IF(Z164="","",IF(ISNUMBER(Z164),INT(Z164),DATE(VALUE(LEFT(Z164,4)),VALUE(MID(Z164,6,2)),VALUE(MID(Z164,9,2))))),IF(OR(E164="executing",E164="pending"),IF(AD164="","",IF(ISNUMBER(AD164),INT(AD164),DATE(VALUE(LEFT(AD164,4)),VALUE(MID(AD164,6,2)),VALUE(MID(AD164,9,2))))),""))</x:f>
      </x:c>
      <x:c r="AN164" s="24" t="str">
        <x:f>IF(AM164="","",INT('Configuration'!$B$4)-AM164)</x:f>
      </x:c>
      <x:c r="AO164" s="25" t="str">
        <x:f>IF(AM164="","Missing Required Date",IF(AN164&lt;0,"Future Date",IF(AN164=0,"0 days",IF(AN164&lt;=2,"1-2 days",IF(AN164&lt;=7,"3-7 days",IF(AN164&lt;=14,"8-14 days",IF(AN164&lt;=30,"15-30 days",IF(AN164&lt;=60,"31-60 days",IF(AN164&lt;=70,"61-70 days","71+ days")))))))))</x:f>
        <x:v>Missing Required Date</x:v>
      </x:c>
      <x:c r="AP164" s="25" t="str">
        <x:f>IF(OR(E164="processing",E164="executing",E164="pending"),IF(AM164="","Required aging date missing",IF(AN164&gt;30,"Escalate &gt;30d",IF(AN164&gt;14,"Watch &gt;14d","Within 14d"))),"Out of scope")</x:f>
        <x:v>Out of scope</x:v>
      </x:c>
    </x:row>
    <x:row r="165" ht="24" customHeight="1">
      <x:c r="A165" t="str">
        <x:v>babd5907-1c00-4297-9d58-87f5408c6776</x:v>
      </x:c>
      <x:c r="B165" t="str">
        <x:v>CSSP10350529</x:v>
      </x:c>
      <x:c r="C165" t="str">
        <x:v>mariffirdaus.mkhaidz@petronas.com</x:v>
      </x:c>
      <x:c r="D165" t="str">
        <x:v>provision-cloud-public</x:v>
      </x:c>
      <x:c r="E165" t="str">
        <x:v>completed</x:v>
      </x:c>
      <x:c r="F165" t="n">
        <x:v>46160.313517650466</x:v>
      </x:c>
      <x:c r="G165" t="n">
        <x:v>46160.313517650466</x:v>
      </x:c>
      <x:c r="H165" t="n">
        <x:v>46219.10674065972</x:v>
      </x:c>
      <x:c r="I165" t="str">
        <x:v>A-001346</x:v>
      </x:c>
      <x:c r="J165" t="str">
        <x:v>GPE Digital Platform</x:v>
      </x:c>
      <x:c r="K165" t="str">
        <x:v>SR00331</x:v>
      </x:c>
      <x:c r="L165" t="str">
        <x:v>Quality Suite</x:v>
      </x:c>
      <x:c r="M165" t="str">
        <x:v>msufian.hussein@petronas.com</x:v>
      </x:c>
      <x:c r="N165" t="str">
        <x:v>Quality Suite</x:v>
      </x:c>
      <x:c r="O165" t="str">
        <x:v>New</x:v>
      </x:c>
      <x:c r="P165" t="str">
        <x:v>StagingUat</x:v>
      </x:c>
      <x:c r="Q165" t="str">
        <x:v>Please proceed with the resources provisioning for Staging environment.</x:v>
      </x:c>
      <x:c r="R165" t="str">
        <x:v>L</x:v>
      </x:c>
      <x:c r="S165"/>
      <x:c r="T165"/>
      <x:c r="U165" t="str">
        <x:v>Approved.</x:v>
      </x:c>
      <x:c r="V165" t="n">
        <x:v>46160.321127222225</x:v>
      </x:c>
      <x:c r="W165" t="str">
        <x:v>msufian.hussein@petronas.com</x:v>
      </x:c>
      <x:c r="X165" t="str">
        <x:v>approved</x:v>
      </x:c>
      <x:c r="Y165" t="str">
        <x:v>Good to go</x:v>
      </x:c>
      <x:c r="Z165" t="n">
        <x:v>46162.07932163194</x:v>
      </x:c>
      <x:c r="AA165" t="str">
        <x:v>samsuddin.jumbri@petronas.com</x:v>
      </x:c>
      <x:c r="AB165" t="str">
        <x:v>approved</x:v>
      </x:c>
      <x:c r="AC165" t="str">
        <x:v>same ADO as CSSP10698884.</x:v>
      </x:c>
      <x:c r="AD165" t="n">
        <x:v>46162.3601008912</x:v>
      </x:c>
      <x:c r="AE165" t="str">
        <x:v>syazali.saad@petronas.com</x:v>
      </x:c>
      <x:c r="AF165" t="str">
        <x:v>approved</x:v>
      </x:c>
      <x:c r="AG165" t="str">
        <x:v>provisioning completed. </x:v>
      </x:c>
      <x:c r="AH165" t="n">
        <x:v>46219.1067406713</x:v>
      </x:c>
      <x:c r="AI165" t="str">
        <x:v>mhafizi.madnan@petronas.com</x:v>
      </x:c>
      <x:c r="AJ165" t="str">
        <x:v>approved</x:v>
      </x:c>
      <x:c r="AK165" t="str">
        <x:v>REQ000008059477</x:v>
      </x:c>
      <x:c r="AL165" t="str">
        <x:v>868b1bbc-b9be-43ba-8175-d6ca35843984</x:v>
      </x:c>
      <x:c r="AM165" s="23" t="str">
        <x:f>IF(E165="processing",IF(Z165="","",IF(ISNUMBER(Z165),INT(Z165),DATE(VALUE(LEFT(Z165,4)),VALUE(MID(Z165,6,2)),VALUE(MID(Z165,9,2))))),IF(OR(E165="executing",E165="pending"),IF(AD165="","",IF(ISNUMBER(AD165),INT(AD165),DATE(VALUE(LEFT(AD165,4)),VALUE(MID(AD165,6,2)),VALUE(MID(AD165,9,2))))),""))</x:f>
      </x:c>
      <x:c r="AN165" s="24" t="str">
        <x:f>IF(AM165="","",INT('Configuration'!$B$4)-AM165)</x:f>
      </x:c>
      <x:c r="AO165" s="25" t="str">
        <x:f>IF(AM165="","Missing Required Date",IF(AN165&lt;0,"Future Date",IF(AN165=0,"0 days",IF(AN165&lt;=2,"1-2 days",IF(AN165&lt;=7,"3-7 days",IF(AN165&lt;=14,"8-14 days",IF(AN165&lt;=30,"15-30 days",IF(AN165&lt;=60,"31-60 days",IF(AN165&lt;=70,"61-70 days","71+ days")))))))))</x:f>
        <x:v>Missing Required Date</x:v>
      </x:c>
      <x:c r="AP165" s="25" t="str">
        <x:f>IF(OR(E165="processing",E165="executing",E165="pending"),IF(AM165="","Required aging date missing",IF(AN165&gt;30,"Escalate &gt;30d",IF(AN165&gt;14,"Watch &gt;14d","Within 14d"))),"Out of scope")</x:f>
        <x:v>Out of scope</x:v>
      </x:c>
    </x:row>
    <x:row r="166" ht="24" customHeight="1">
      <x:c r="A166" t="str">
        <x:v>d6821929-4b9b-40d0-a464-da8275cbb72a</x:v>
      </x:c>
      <x:c r="B166" t="str">
        <x:v>CSSP10126897</x:v>
      </x:c>
      <x:c r="C166" t="str">
        <x:v>mariffirdaus.mkhaidz@petronas.com</x:v>
      </x:c>
      <x:c r="D166" t="str">
        <x:v>provision-cloud-public</x:v>
      </x:c>
      <x:c r="E166" t="str">
        <x:v>rejected</x:v>
      </x:c>
      <x:c r="F166" t="n">
        <x:v>46160.39625923611</x:v>
      </x:c>
      <x:c r="G166" t="n">
        <x:v>46160.39625923611</x:v>
      </x:c>
      <x:c r="H166" t="n">
        <x:v>46191.32429550926</x:v>
      </x:c>
      <x:c r="I166" t="str">
        <x:v>A-001346</x:v>
      </x:c>
      <x:c r="J166" t="str">
        <x:v>GPE Digital Platform</x:v>
      </x:c>
      <x:c r="K166" t="str">
        <x:v>SR00331</x:v>
      </x:c>
      <x:c r="L166" t="str">
        <x:v>Quality Suite</x:v>
      </x:c>
      <x:c r="M166" t="str">
        <x:v>msufian.hussein@petronas.com</x:v>
      </x:c>
      <x:c r="N166" t="str">
        <x:v>Quality Suite</x:v>
      </x:c>
      <x:c r="O166" t="str">
        <x:v>New</x:v>
      </x:c>
      <x:c r="P166" t="str">
        <x:v>Production</x:v>
      </x:c>
      <x:c r="Q166" t="str">
        <x:v>Please proceed with the resources provisioning for Production environment.</x:v>
      </x:c>
      <x:c r="R166"/>
      <x:c r="S166"/>
      <x:c r="T166"/>
      <x:c r="U166" t="str">
        <x:v>To include 2 additional RDS as requested for dev and staging.</x:v>
      </x:c>
      <x:c r="V166" t="n">
        <x:v>46191.32429550926</x:v>
      </x:c>
      <x:c r="W166" t="str">
        <x:v>msufian.hussein@petronas.com</x:v>
      </x:c>
      <x:c r="X166" t="str">
        <x:v>rejected</x:v>
      </x:c>
      <x:c r="Y166"/>
      <x:c r="Z166"/>
      <x:c r="AA166" t="str">
        <x:v>CCoE Demand</x:v>
      </x:c>
      <x:c r="AB166"/>
      <x:c r="AC166"/>
      <x:c r="AD166"/>
      <x:c r="AE166" t="str">
        <x:v>CCoE Business</x:v>
      </x:c>
      <x:c r="AF166"/>
      <x:c r="AG166"/>
      <x:c r="AH166"/>
      <x:c r="AI166" t="str">
        <x:v>CCoE Core Services (Public)</x:v>
      </x:c>
      <x:c r="AJ166"/>
      <x:c r="AK166"/>
      <x:c r="AL166" t="str">
        <x:v>868b1bbc-b9be-43ba-8175-d6ca35843984</x:v>
      </x:c>
      <x:c r="AM166" s="23" t="str">
        <x:f>IF(E166="processing",IF(Z166="","",IF(ISNUMBER(Z166),INT(Z166),DATE(VALUE(LEFT(Z166,4)),VALUE(MID(Z166,6,2)),VALUE(MID(Z166,9,2))))),IF(OR(E166="executing",E166="pending"),IF(AD166="","",IF(ISNUMBER(AD166),INT(AD166),DATE(VALUE(LEFT(AD166,4)),VALUE(MID(AD166,6,2)),VALUE(MID(AD166,9,2))))),""))</x:f>
      </x:c>
      <x:c r="AN166" s="24" t="str">
        <x:f>IF(AM166="","",INT('Configuration'!$B$4)-AM166)</x:f>
      </x:c>
      <x:c r="AO166" s="25" t="str">
        <x:f>IF(AM166="","Missing Required Date",IF(AN166&lt;0,"Future Date",IF(AN166=0,"0 days",IF(AN166&lt;=2,"1-2 days",IF(AN166&lt;=7,"3-7 days",IF(AN166&lt;=14,"8-14 days",IF(AN166&lt;=30,"15-30 days",IF(AN166&lt;=60,"31-60 days",IF(AN166&lt;=70,"61-70 days","71+ days")))))))))</x:f>
        <x:v>Missing Required Date</x:v>
      </x:c>
      <x:c r="AP166" s="25" t="str">
        <x:f>IF(OR(E166="processing",E166="executing",E166="pending"),IF(AM166="","Required aging date missing",IF(AN166&gt;30,"Escalate &gt;30d",IF(AN166&gt;14,"Watch &gt;14d","Within 14d"))),"Out of scope")</x:f>
        <x:v>Out of scope</x:v>
      </x:c>
    </x:row>
    <x:row r="167" ht="24" customHeight="1">
      <x:c r="A167" t="str">
        <x:v>279afb2e-4c74-4354-a0dd-310b35b2fd6f</x:v>
      </x:c>
      <x:c r="B167" t="str">
        <x:v>CSSP10318437</x:v>
      </x:c>
      <x:c r="C167" t="str">
        <x:v>mkhairulazhar.jamil@petronas.com</x:v>
      </x:c>
      <x:c r="D167" t="str">
        <x:v>provision-cloud-public</x:v>
      </x:c>
      <x:c r="E167" t="str">
        <x:v>completed</x:v>
      </x:c>
      <x:c r="F167" t="n">
        <x:v>46162.40427259259</x:v>
      </x:c>
      <x:c r="G167" t="n">
        <x:v>46164.35207018519</x:v>
      </x:c>
      <x:c r="H167" t="n">
        <x:v>46188.06188896991</x:v>
      </x:c>
      <x:c r="I167" t="str">
        <x:v>A-000124</x:v>
      </x:c>
      <x:c r="J167" t="str">
        <x:v>COMPASS</x:v>
      </x:c>
      <x:c r="K167" t="n">
        <x:v>1709</x:v>
      </x:c>
      <x:c r="L167" t="str">
        <x:v>COMPASS Phase 2</x:v>
      </x:c>
      <x:c r="M167" t="str">
        <x:v>amirshazlan.mshah@petronas.com.my</x:v>
      </x:c>
      <x:c r="N167" t="str">
        <x:v>COMPASS</x:v>
      </x:c>
      <x:c r="O167" t="str">
        <x:v>New</x:v>
      </x:c>
      <x:c r="P167" t="str">
        <x:v>StagingUat</x:v>
      </x:c>
      <x:c r="Q167" t="str">
        <x:v>We have mistakenly decommissioned three resources in STAGING:
1) ptsg-4compasspgsql02-flexi
2) ptsg-4compasspgsql02-flexi-pep
3) ptsg-4compasspgsql02-flexi-pep-nic
To fix the issue, we would like to request for reprovisioning by REPLICATING the following resources:
1) ptsg-4compasspgsql-flexi
2) ptsg-4compasspgsql-flexi-pep
3) ptsg-4compasspgsql-flexi-pep-nic</x:v>
      </x:c>
      <x:c r="R167" t="str">
        <x:v>M</x:v>
      </x:c>
      <x:c r="S167"/>
      <x:c r="T167"/>
      <x:c r="U167" t="str">
        <x:v>approved</x:v>
      </x:c>
      <x:c r="V167" t="n">
        <x:v>46164.36610449074</x:v>
      </x:c>
      <x:c r="W167" t="str">
        <x:v>amirshazlan.mshah@petronas.com</x:v>
      </x:c>
      <x:c r="X167" t="str">
        <x:v>approved</x:v>
      </x:c>
      <x:c r="Y167" t="str">
        <x:v>Good to go</x:v>
      </x:c>
      <x:c r="Z167" t="n">
        <x:v>46164.4031475</x:v>
      </x:c>
      <x:c r="AA167" t="str">
        <x:v>samsuddin.jumbri@petronas.com</x:v>
      </x:c>
      <x:c r="AB167" t="str">
        <x:v>approved</x:v>
      </x:c>
      <x:c r="AC167" t="str">
        <x:v>Proceed to re-provision</x:v>
      </x:c>
      <x:c r="AD167" t="n">
        <x:v>46167.093022650464</x:v>
      </x:c>
      <x:c r="AE167" t="str">
        <x:v>azwan.badari@petronas.com</x:v>
      </x:c>
      <x:c r="AF167" t="str">
        <x:v>approved</x:v>
      </x:c>
      <x:c r="AG167" t="str">
        <x:v>The resource ptsg-4compasspgsql02-flexi is ready</x:v>
      </x:c>
      <x:c r="AH167" t="n">
        <x:v>46188.06188898148</x:v>
      </x:c>
      <x:c r="AI167" t="str">
        <x:v>yeonghunn.ho@petronas.com</x:v>
      </x:c>
      <x:c r="AJ167" t="str">
        <x:v>approved</x:v>
      </x:c>
      <x:c r="AK167" t="str">
        <x:v>REQ000008066616</x:v>
      </x:c>
      <x:c r="AL167" t="str">
        <x:v>90296959-c21f-48ac-8658-df869ee75354</x:v>
      </x:c>
      <x:c r="AM167" s="23" t="str">
        <x:f>IF(E167="processing",IF(Z167="","",IF(ISNUMBER(Z167),INT(Z167),DATE(VALUE(LEFT(Z167,4)),VALUE(MID(Z167,6,2)),VALUE(MID(Z167,9,2))))),IF(OR(E167="executing",E167="pending"),IF(AD167="","",IF(ISNUMBER(AD167),INT(AD167),DATE(VALUE(LEFT(AD167,4)),VALUE(MID(AD167,6,2)),VALUE(MID(AD167,9,2))))),""))</x:f>
      </x:c>
      <x:c r="AN167" s="24" t="str">
        <x:f>IF(AM167="","",INT('Configuration'!$B$4)-AM167)</x:f>
      </x:c>
      <x:c r="AO167" s="25" t="str">
        <x:f>IF(AM167="","Missing Required Date",IF(AN167&lt;0,"Future Date",IF(AN167=0,"0 days",IF(AN167&lt;=2,"1-2 days",IF(AN167&lt;=7,"3-7 days",IF(AN167&lt;=14,"8-14 days",IF(AN167&lt;=30,"15-30 days",IF(AN167&lt;=60,"31-60 days",IF(AN167&lt;=70,"61-70 days","71+ days")))))))))</x:f>
        <x:v>Missing Required Date</x:v>
      </x:c>
      <x:c r="AP167" s="25" t="str">
        <x:f>IF(OR(E167="processing",E167="executing",E167="pending"),IF(AM167="","Required aging date missing",IF(AN167&gt;30,"Escalate &gt;30d",IF(AN167&gt;14,"Watch &gt;14d","Within 14d"))),"Out of scope")</x:f>
        <x:v>Out of scope</x:v>
      </x:c>
    </x:row>
    <x:row r="168" ht="24" customHeight="1">
      <x:c r="A168" t="str">
        <x:v>3ed671eb-a970-47ba-bf94-49d3c4cb576c</x:v>
      </x:c>
      <x:c r="B168" t="str">
        <x:v>CSSP10835252</x:v>
      </x:c>
      <x:c r="C168" t="str">
        <x:v>ang.hooichen@petronas.com</x:v>
      </x:c>
      <x:c r="D168" t="str">
        <x:v>provision-cloud-public</x:v>
      </x:c>
      <x:c r="E168" t="str">
        <x:v>completed</x:v>
      </x:c>
      <x:c r="F168" t="n">
        <x:v>46167.12409084491</x:v>
      </x:c>
      <x:c r="G168" t="n">
        <x:v>46167.12409084491</x:v>
      </x:c>
      <x:c r="H168" t="n">
        <x:v>46196.152440439815</x:v>
      </x:c>
      <x:c r="I168" t="str">
        <x:v>A-000064</x:v>
      </x:c>
      <x:c r="J168" t="str">
        <x:v>Zidane OVC</x:v>
      </x:c>
      <x:c r="K168" t="n">
        <x:v>4569</x:v>
      </x:c>
      <x:c r="L168" t="str">
        <x:v>Provision of Professional Service, Software License and Infra for ArBiTra (OVC &amp; LVC) 2025 for PTLCL</x:v>
      </x:c>
      <x:c r="M168" t="str">
        <x:v>yap.winhong@petronas.com.my</x:v>
      </x:c>
      <x:c r="N168" t="str">
        <x:v>ArBiTra Phase 3 - IT Sub Modules</x:v>
      </x:c>
      <x:c r="O168" t="str">
        <x:v>New</x:v>
      </x:c>
      <x:c r="P168" t="str">
        <x:v>Production</x:v>
      </x:c>
      <x:c r="Q168" t="str">
        <x:v>Provision new workspace for Prod. BOM please refer to datathon_infratemplate.xlsx.
BOM-PROD sheet and Network Design-PROD</x:v>
      </x:c>
      <x:c r="R168" t="str">
        <x:v>L</x:v>
      </x:c>
      <x:c r="S168"/>
      <x:c r="T168"/>
      <x:c r="U168" t="str">
        <x:v>Approve</x:v>
      </x:c>
      <x:c r="V168" t="n">
        <x:v>46167.34198793981</x:v>
      </x:c>
      <x:c r="W168" t="str">
        <x:v>yap.winhong@petronas.com</x:v>
      </x:c>
      <x:c r="X168" t="str">
        <x:v>approved</x:v>
      </x:c>
      <x:c r="Y168" t="str">
        <x:v>Good to go</x:v>
      </x:c>
      <x:c r="Z168" t="n">
        <x:v>46168.109302916666</x:v>
      </x:c>
      <x:c r="AA168" t="str">
        <x:v>samsuddin.jumbri@petronas.com</x:v>
      </x:c>
      <x:c r="AB168" t="str">
        <x:v>approved</x:v>
      </x:c>
      <x:c r="AC168" t="str">
        <x:v>previous request CSSP10330561.
new Prod env.</x:v>
      </x:c>
      <x:c r="AD168" t="n">
        <x:v>46170.28981502315</x:v>
      </x:c>
      <x:c r="AE168" t="str">
        <x:v>syazali.saad@petronas.com</x:v>
      </x:c>
      <x:c r="AF168" t="str">
        <x:v>approved</x:v>
      </x:c>
      <x:c r="AG168" t="str">
        <x:v>PROD databricks is ready https://dbc-0d2794f8-e80b.cloud.databricks.com</x:v>
      </x:c>
      <x:c r="AH168" t="n">
        <x:v>46196.152440439815</x:v>
      </x:c>
      <x:c r="AI168" t="str">
        <x:v>yeonghunn.ho@petronas.com</x:v>
      </x:c>
      <x:c r="AJ168" t="str">
        <x:v>approved</x:v>
      </x:c>
      <x:c r="AK168" t="str">
        <x:v>REQ000008071669</x:v>
      </x:c>
      <x:c r="AL168" t="str">
        <x:v>866cd81d-011e-424b-b696-e232f59deeb1</x:v>
      </x:c>
      <x:c r="AM168" s="23" t="str">
        <x:f>IF(E168="processing",IF(Z168="","",IF(ISNUMBER(Z168),INT(Z168),DATE(VALUE(LEFT(Z168,4)),VALUE(MID(Z168,6,2)),VALUE(MID(Z168,9,2))))),IF(OR(E168="executing",E168="pending"),IF(AD168="","",IF(ISNUMBER(AD168),INT(AD168),DATE(VALUE(LEFT(AD168,4)),VALUE(MID(AD168,6,2)),VALUE(MID(AD168,9,2))))),""))</x:f>
      </x:c>
      <x:c r="AN168" s="24" t="str">
        <x:f>IF(AM168="","",INT('Configuration'!$B$4)-AM168)</x:f>
      </x:c>
      <x:c r="AO168" s="25" t="str">
        <x:f>IF(AM168="","Missing Required Date",IF(AN168&lt;0,"Future Date",IF(AN168=0,"0 days",IF(AN168&lt;=2,"1-2 days",IF(AN168&lt;=7,"3-7 days",IF(AN168&lt;=14,"8-14 days",IF(AN168&lt;=30,"15-30 days",IF(AN168&lt;=60,"31-60 days",IF(AN168&lt;=70,"61-70 days","71+ days")))))))))</x:f>
        <x:v>Missing Required Date</x:v>
      </x:c>
      <x:c r="AP168" s="25" t="str">
        <x:f>IF(OR(E168="processing",E168="executing",E168="pending"),IF(AM168="","Required aging date missing",IF(AN168&gt;30,"Escalate &gt;30d",IF(AN168&gt;14,"Watch &gt;14d","Within 14d"))),"Out of scope")</x:f>
        <x:v>Out of scope</x:v>
      </x:c>
    </x:row>
    <x:row r="169" ht="24" customHeight="1">
      <x:c r="A169" t="str">
        <x:v>e595741f-5776-4394-8e4d-1fbc92952e4b</x:v>
      </x:c>
      <x:c r="B169" t="str">
        <x:v>CSSP10509113</x:v>
      </x:c>
      <x:c r="C169" t="str">
        <x:v>mkhairulazhar.jamil@petronas.com</x:v>
      </x:c>
      <x:c r="D169" t="str">
        <x:v>provision-cloud-public</x:v>
      </x:c>
      <x:c r="E169" t="str">
        <x:v>completed</x:v>
      </x:c>
      <x:c r="F169" t="n">
        <x:v>46168.14363744213</x:v>
      </x:c>
      <x:c r="G169" t="n">
        <x:v>46168.14363744213</x:v>
      </x:c>
      <x:c r="H169" t="n">
        <x:v>46191.31937320602</x:v>
      </x:c>
      <x:c r="I169" t="str">
        <x:v>A-000470</x:v>
      </x:c>
      <x:c r="J169" t="str">
        <x:v>MyApproval</x:v>
      </x:c>
      <x:c r="K169" t="n">
        <x:v>3323</x:v>
      </x:c>
      <x:c r="L169" t="str">
        <x:v>myAPPROVAL</x:v>
      </x:c>
      <x:c r="M169" t="str">
        <x:v>amirshazlan.mshah@petronas.com</x:v>
      </x:c>
      <x:c r="N169" t="str">
        <x:v>myApproval</x:v>
      </x:c>
      <x:c r="O169" t="str">
        <x:v>New</x:v>
      </x:c>
      <x:c r="P169" t="str">
        <x:v>Production</x:v>
      </x:c>
      <x:c r="Q169" t="str">
        <x:v>Please set up Azure Backup for the myApproval Azure Storage Account as below:
1) Resource Group: ptazsg-iac-prod-myapproval-rg
2) Storage Account: ptazsg1myapprovalstrzrs
3) Backup Policy: Daily (14 days), Weekly (4 weeks), Monthly (3 months), Yearly (0 year)</x:v>
      </x:c>
      <x:c r="R169" t="str">
        <x:v>S</x:v>
      </x:c>
      <x:c r="S169"/>
      <x:c r="T169"/>
      <x:c r="U169" t="str">
        <x:v>apprved</x:v>
      </x:c>
      <x:c r="V169" t="n">
        <x:v>46168.1455397338</x:v>
      </x:c>
      <x:c r="W169" t="str">
        <x:v>amirshazlan.mshah@petronas.com</x:v>
      </x:c>
      <x:c r="X169" t="str">
        <x:v>approved</x:v>
      </x:c>
      <x:c r="Y169" t="str">
        <x:v>Good to go</x:v>
      </x:c>
      <x:c r="Z169" t="n">
        <x:v>46178.37768564815</x:v>
      </x:c>
      <x:c r="AA169" t="str">
        <x:v>samsuddin.jumbri@petronas.com</x:v>
      </x:c>
      <x:c r="AB169" t="str">
        <x:v>approved</x:v>
      </x:c>
      <x:c r="AC169" t="str">
        <x:v>backup config</x:v>
      </x:c>
      <x:c r="AD169" t="n">
        <x:v>46189.34128945602</x:v>
      </x:c>
      <x:c r="AE169" t="str">
        <x:v>syazali.saad@petronas.com</x:v>
      </x:c>
      <x:c r="AF169" t="str">
        <x:v>approved</x:v>
      </x:c>
      <x:c r="AG169" t="str">
        <x:v>Completed</x:v>
      </x:c>
      <x:c r="AH169" t="n">
        <x:v>46191.31937320602</x:v>
      </x:c>
      <x:c r="AI169" t="str">
        <x:v>badri.shaharudin@petronas.com</x:v>
      </x:c>
      <x:c r="AJ169" t="str">
        <x:v>approved</x:v>
      </x:c>
      <x:c r="AK169" t="str">
        <x:v>REQ000008104442</x:v>
      </x:c>
      <x:c r="AL169" t="str">
        <x:v>4f1d0d5f-66ce-487e-88c1-e23e3ab9f818</x:v>
      </x:c>
      <x:c r="AM169" s="23" t="str">
        <x:f>IF(E169="processing",IF(Z169="","",IF(ISNUMBER(Z169),INT(Z169),DATE(VALUE(LEFT(Z169,4)),VALUE(MID(Z169,6,2)),VALUE(MID(Z169,9,2))))),IF(OR(E169="executing",E169="pending"),IF(AD169="","",IF(ISNUMBER(AD169),INT(AD169),DATE(VALUE(LEFT(AD169,4)),VALUE(MID(AD169,6,2)),VALUE(MID(AD169,9,2))))),""))</x:f>
      </x:c>
      <x:c r="AN169" s="24" t="str">
        <x:f>IF(AM169="","",INT('Configuration'!$B$4)-AM169)</x:f>
      </x:c>
      <x:c r="AO169" s="25" t="str">
        <x:f>IF(AM169="","Missing Required Date",IF(AN169&lt;0,"Future Date",IF(AN169=0,"0 days",IF(AN169&lt;=2,"1-2 days",IF(AN169&lt;=7,"3-7 days",IF(AN169&lt;=14,"8-14 days",IF(AN169&lt;=30,"15-30 days",IF(AN169&lt;=60,"31-60 days",IF(AN169&lt;=70,"61-70 days","71+ days")))))))))</x:f>
        <x:v>Missing Required Date</x:v>
      </x:c>
      <x:c r="AP169" s="25" t="str">
        <x:f>IF(OR(E169="processing",E169="executing",E169="pending"),IF(AM169="","Required aging date missing",IF(AN169&gt;30,"Escalate &gt;30d",IF(AN169&gt;14,"Watch &gt;14d","Within 14d"))),"Out of scope")</x:f>
        <x:v>Out of scope</x:v>
      </x:c>
    </x:row>
    <x:row r="170" ht="24" customHeight="1">
      <x:c r="A170" t="str">
        <x:v>b4376cc2-ec01-4ebf-98a7-0f3e3f9614c8</x:v>
      </x:c>
      <x:c r="B170" t="str">
        <x:v>CSSP10314804</x:v>
      </x:c>
      <x:c r="C170" t="str">
        <x:v>mohamadfaisal.maasah@petronas.com</x:v>
      </x:c>
      <x:c r="D170" t="str">
        <x:v>provision-cloud-public</x:v>
      </x:c>
      <x:c r="E170" t="str">
        <x:v>completed</x:v>
      </x:c>
      <x:c r="F170" t="n">
        <x:v>46171.028300439815</x:v>
      </x:c>
      <x:c r="G170" t="n">
        <x:v>46171.028300439815</x:v>
      </x:c>
      <x:c r="H170" t="n">
        <x:v>46196.16739190972</x:v>
      </x:c>
      <x:c r="I170" t="str">
        <x:v>A-001354</x:v>
      </x:c>
      <x:c r="J170" t="str">
        <x:v>Plant Information - PI Enterprise for ENIGMA SEARAH</x:v>
      </x:c>
      <x:c r="K170" t="str">
        <x:v>SR26937_PI</x:v>
      </x:c>
      <x:c r="L170" t="str">
        <x:v>ENIGMA JV (Production): Implementing New Subscriptions for MacCo_PI</x:v>
      </x:c>
      <x:c r="M170" t="str">
        <x:v>mhafiz.samsudin@petronas.com</x:v>
      </x:c>
      <x:c r="N170" t="str">
        <x:v>Enigma</x:v>
      </x:c>
      <x:c r="O170" t="str">
        <x:v>New</x:v>
      </x:c>
      <x:c r="P170" t="str">
        <x:v>Production</x:v>
      </x:c>
      <x:c r="Q170" t="str">
        <x:v>cloud provisioning for PI application for ENIGMA SEARAH</x:v>
      </x:c>
      <x:c r="R170" t="str">
        <x:v>M</x:v>
      </x:c>
      <x:c r="S170"/>
      <x:c r="T170"/>
      <x:c r="U170" t="str">
        <x:v>Reviewed and Approved. Kindly expedite in order to meet 1st July deadline for Searah Go-Live.</x:v>
      </x:c>
      <x:c r="V170" t="n">
        <x:v>46171.03457275463</x:v>
      </x:c>
      <x:c r="W170" t="str">
        <x:v>mhafiz.samsudin@petronas.com</x:v>
      </x:c>
      <x:c r="X170" t="str">
        <x:v>approved</x:v>
      </x:c>
      <x:c r="Y170" t="str">
        <x:v>Good to go</x:v>
      </x:c>
      <x:c r="Z170" t="n">
        <x:v>46178.38200319444</x:v>
      </x:c>
      <x:c r="AA170" t="str">
        <x:v>samsuddin.jumbri@petronas.com</x:v>
      </x:c>
      <x:c r="AB170" t="str">
        <x:v>approved</x:v>
      </x:c>
      <x:c r="AC170" t="str">
        <x:v>multi vm + sql</x:v>
      </x:c>
      <x:c r="AD170" t="n">
        <x:v>46195.349988738424</x:v>
      </x:c>
      <x:c r="AE170" t="str">
        <x:v>syazali.saad@petronas.com</x:v>
      </x:c>
      <x:c r="AF170" t="str">
        <x:v>approved</x:v>
      </x:c>
      <x:c r="AG170" t="str">
        <x:v>Complete</x:v>
      </x:c>
      <x:c r="AH170" t="n">
        <x:v>46196.16739193287</x:v>
      </x:c>
      <x:c r="AI170" t="str">
        <x:v>afnanfarhan.dzaharud@petronas.com</x:v>
      </x:c>
      <x:c r="AJ170" t="str">
        <x:v>approved</x:v>
      </x:c>
      <x:c r="AK170" t="str">
        <x:v>REQ000008112899</x:v>
      </x:c>
      <x:c r="AL170" t="str">
        <x:v>f4480009-8078-4a46-b9cd-cd9e643b37c5</x:v>
      </x:c>
      <x:c r="AM170" s="23" t="str">
        <x:f>IF(E170="processing",IF(Z170="","",IF(ISNUMBER(Z170),INT(Z170),DATE(VALUE(LEFT(Z170,4)),VALUE(MID(Z170,6,2)),VALUE(MID(Z170,9,2))))),IF(OR(E170="executing",E170="pending"),IF(AD170="","",IF(ISNUMBER(AD170),INT(AD170),DATE(VALUE(LEFT(AD170,4)),VALUE(MID(AD170,6,2)),VALUE(MID(AD170,9,2))))),""))</x:f>
      </x:c>
      <x:c r="AN170" s="24" t="str">
        <x:f>IF(AM170="","",INT('Configuration'!$B$4)-AM170)</x:f>
      </x:c>
      <x:c r="AO170" s="25" t="str">
        <x:f>IF(AM170="","Missing Required Date",IF(AN170&lt;0,"Future Date",IF(AN170=0,"0 days",IF(AN170&lt;=2,"1-2 days",IF(AN170&lt;=7,"3-7 days",IF(AN170&lt;=14,"8-14 days",IF(AN170&lt;=30,"15-30 days",IF(AN170&lt;=60,"31-60 days",IF(AN170&lt;=70,"61-70 days","71+ days")))))))))</x:f>
        <x:v>Missing Required Date</x:v>
      </x:c>
      <x:c r="AP170" s="25" t="str">
        <x:f>IF(OR(E170="processing",E170="executing",E170="pending"),IF(AM170="","Required aging date missing",IF(AN170&gt;30,"Escalate &gt;30d",IF(AN170&gt;14,"Watch &gt;14d","Within 14d"))),"Out of scope")</x:f>
        <x:v>Out of scope</x:v>
      </x:c>
    </x:row>
    <x:row r="171" ht="24" customHeight="1">
      <x:c r="A171" t="str">
        <x:v>ed217ea3-c5cf-45d2-ae95-8d26d5e1f847</x:v>
      </x:c>
      <x:c r="B171" t="str">
        <x:v>CSSP10906858</x:v>
      </x:c>
      <x:c r="C171" t="str">
        <x:v>soo.cheahchoon@petronas.com</x:v>
      </x:c>
      <x:c r="D171" t="str">
        <x:v>provision-cloud-public</x:v>
      </x:c>
      <x:c r="E171" t="str">
        <x:v>rejected</x:v>
      </x:c>
      <x:c r="F171" t="n">
        <x:v>46171.364378032406</x:v>
      </x:c>
      <x:c r="G171" t="n">
        <x:v>46171.364378032406</x:v>
      </x:c>
      <x:c r="H171" t="n">
        <x:v>46183.31247135417</x:v>
      </x:c>
      <x:c r="I171" t="str">
        <x:v>A-000298</x:v>
      </x:c>
      <x:c r="J171" t="str">
        <x:v>Electronic Permit To Work Plus - ePTW+ GHSSE</x:v>
      </x:c>
      <x:c r="K171" t="n">
        <x:v>2427</x:v>
      </x:c>
      <x:c r="L171" t="str">
        <x:v>Implementation of Enterprise e-Permit to Work (e-PTW+) for GHSSE</x:v>
      </x:c>
      <x:c r="M171" t="str">
        <x:v>bryan.dewitt@petronas.com</x:v>
      </x:c>
      <x:c r="N171" t="str">
        <x:v>ePTW GHSE</x:v>
      </x:c>
      <x:c r="O171" t="str">
        <x:v>New</x:v>
      </x:c>
      <x:c r="P171" t="str">
        <x:v>StagingUat</x:v>
      </x:c>
      <x:c r="Q171" t="str">
        <x:v>Request to provision private IP for the following app services in testeptw.petronas.com RG Name: PTAZSG-IAC-UAT-EPTWGHSE-RG</x:v>
      </x:c>
      <x:c r="R171"/>
      <x:c r="S171"/>
      <x:c r="T171"/>
      <x:c r="U171" t="str">
        <x:v>eptw cs findings</x:v>
      </x:c>
      <x:c r="V171" t="n">
        <x:v>46177.1533403588</x:v>
      </x:c>
      <x:c r="W171" t="str">
        <x:v>bryan.dewitt@petronas.com</x:v>
      </x:c>
      <x:c r="X171" t="str">
        <x:v>approved</x:v>
      </x:c>
      <x:c r="Y171" t="str">
        <x:v>Is this request for updating the IP address of an existing App Service or for provisioning a new App Service? </x:v>
      </x:c>
      <x:c r="Z171" t="n">
        <x:v>46183.31247136574</x:v>
      </x:c>
      <x:c r="AA171" t="str">
        <x:v>samsuddin.jumbri@petronas.com</x:v>
      </x:c>
      <x:c r="AB171" t="str">
        <x:v>rejected</x:v>
      </x:c>
      <x:c r="AC171"/>
      <x:c r="AD171"/>
      <x:c r="AE171" t="str">
        <x:v>CCoE Business</x:v>
      </x:c>
      <x:c r="AF171"/>
      <x:c r="AG171"/>
      <x:c r="AH171"/>
      <x:c r="AI171" t="str">
        <x:v>CCoE Core Services (Public)</x:v>
      </x:c>
      <x:c r="AJ171"/>
      <x:c r="AK171"/>
      <x:c r="AL171" t="str">
        <x:v>6d6eb070-7de5-4fb1-9f0e-f90530401fbb</x:v>
      </x:c>
      <x:c r="AM171" s="23" t="str">
        <x:f>IF(E171="processing",IF(Z171="","",IF(ISNUMBER(Z171),INT(Z171),DATE(VALUE(LEFT(Z171,4)),VALUE(MID(Z171,6,2)),VALUE(MID(Z171,9,2))))),IF(OR(E171="executing",E171="pending"),IF(AD171="","",IF(ISNUMBER(AD171),INT(AD171),DATE(VALUE(LEFT(AD171,4)),VALUE(MID(AD171,6,2)),VALUE(MID(AD171,9,2))))),""))</x:f>
      </x:c>
      <x:c r="AN171" s="24" t="str">
        <x:f>IF(AM171="","",INT('Configuration'!$B$4)-AM171)</x:f>
      </x:c>
      <x:c r="AO171" s="25" t="str">
        <x:f>IF(AM171="","Missing Required Date",IF(AN171&lt;0,"Future Date",IF(AN171=0,"0 days",IF(AN171&lt;=2,"1-2 days",IF(AN171&lt;=7,"3-7 days",IF(AN171&lt;=14,"8-14 days",IF(AN171&lt;=30,"15-30 days",IF(AN171&lt;=60,"31-60 days",IF(AN171&lt;=70,"61-70 days","71+ days")))))))))</x:f>
        <x:v>Missing Required Date</x:v>
      </x:c>
      <x:c r="AP171" s="25" t="str">
        <x:f>IF(OR(E171="processing",E171="executing",E171="pending"),IF(AM171="","Required aging date missing",IF(AN171&gt;30,"Escalate &gt;30d",IF(AN171&gt;14,"Watch &gt;14d","Within 14d"))),"Out of scope")</x:f>
        <x:v>Out of scope</x:v>
      </x:c>
    </x:row>
    <x:row r="172" ht="24" customHeight="1">
      <x:c r="A172" t="str">
        <x:v>f0c90161-6027-4884-b7ec-8e30d2798958</x:v>
      </x:c>
      <x:c r="B172" t="str">
        <x:v>CSSP10975801</x:v>
      </x:c>
      <x:c r="C172" t="str">
        <x:v>soo.cheahchoon@petronas.com</x:v>
      </x:c>
      <x:c r="D172" t="str">
        <x:v>provision-cloud-public</x:v>
      </x:c>
      <x:c r="E172" t="str">
        <x:v>completed</x:v>
      </x:c>
      <x:c r="F172" t="n">
        <x:v>46171.367260231484</x:v>
      </x:c>
      <x:c r="G172" t="n">
        <x:v>46171.367260231484</x:v>
      </x:c>
      <x:c r="H172" t="n">
        <x:v>46204.24573246528</x:v>
      </x:c>
      <x:c r="I172" t="str">
        <x:v>A-000298</x:v>
      </x:c>
      <x:c r="J172" t="str">
        <x:v>Electronic Permit To Work Plus - ePTW+ GHSSE</x:v>
      </x:c>
      <x:c r="K172" t="n">
        <x:v>2427</x:v>
      </x:c>
      <x:c r="L172" t="str">
        <x:v>Implementation of Enterprise e-Permit to Work (e-PTW+) for GHSSE</x:v>
      </x:c>
      <x:c r="M172" t="str">
        <x:v>bryan.dewitt@petronas.com</x:v>
      </x:c>
      <x:c r="N172" t="str">
        <x:v>ePTW GHSE</x:v>
      </x:c>
      <x:c r="O172" t="str">
        <x:v>New</x:v>
      </x:c>
      <x:c r="P172" t="str">
        <x:v>StagingUat</x:v>
      </x:c>
      <x:c r="Q172" t="str">
        <x:v>Request to provision private IP for the following app services in testeptwghse.petronas.com RG Name: PTAZSG-IAC-UAT-EPTWGHSE-RG</x:v>
      </x:c>
      <x:c r="R172" t="str">
        <x:v>S</x:v>
      </x:c>
      <x:c r="S172"/>
      <x:c r="T172"/>
      <x:c r="U172" t="str">
        <x:v>eptw cs findings</x:v>
      </x:c>
      <x:c r="V172" t="n">
        <x:v>46177.15234340278</x:v>
      </x:c>
      <x:c r="W172" t="str">
        <x:v>bryan.dewitt@petronas.com</x:v>
      </x:c>
      <x:c r="X172" t="str">
        <x:v>approved</x:v>
      </x:c>
      <x:c r="Y172" t="str">
        <x:v>eptw cs findings</x:v>
      </x:c>
      <x:c r="Z172" t="n">
        <x:v>46177.15257146991</x:v>
      </x:c>
      <x:c r="AA172" t="str">
        <x:v>bryan.dewitt@petronas.com</x:v>
      </x:c>
      <x:c r="AB172" t="str">
        <x:v>approved</x:v>
      </x:c>
      <x:c r="AC172" t="str">
        <x:v>enable pep/private IP address
ptazsg-4eptwghsev3-wb01
ptazsg-4eptwghsev3-wb02
</x:v>
      </x:c>
      <x:c r="AD172" t="n">
        <x:v>46195.379177222225</x:v>
      </x:c>
      <x:c r="AE172" t="str">
        <x:v>syazali.saad@petronas.com</x:v>
      </x:c>
      <x:c r="AF172" t="str">
        <x:v>approved</x:v>
      </x:c>
      <x:c r="AG172" t="str">
        <x:v>done</x:v>
      </x:c>
      <x:c r="AH172" t="n">
        <x:v>46204.24573246528</x:v>
      </x:c>
      <x:c r="AI172" t="str">
        <x:v>izham.ajmaan@petronas.com</x:v>
      </x:c>
      <x:c r="AJ172" t="str">
        <x:v>approved</x:v>
      </x:c>
      <x:c r="AK172" t="str">
        <x:v>REQ000008113457</x:v>
      </x:c>
      <x:c r="AL172" t="str">
        <x:v>6d6eb070-7de5-4fb1-9f0e-f90530401fbb</x:v>
      </x:c>
      <x:c r="AM172" s="23" t="str">
        <x:f>IF(E172="processing",IF(Z172="","",IF(ISNUMBER(Z172),INT(Z172),DATE(VALUE(LEFT(Z172,4)),VALUE(MID(Z172,6,2)),VALUE(MID(Z172,9,2))))),IF(OR(E172="executing",E172="pending"),IF(AD172="","",IF(ISNUMBER(AD172),INT(AD172),DATE(VALUE(LEFT(AD172,4)),VALUE(MID(AD172,6,2)),VALUE(MID(AD172,9,2))))),""))</x:f>
      </x:c>
      <x:c r="AN172" s="24" t="str">
        <x:f>IF(AM172="","",INT('Configuration'!$B$4)-AM172)</x:f>
      </x:c>
      <x:c r="AO172" s="25" t="str">
        <x:f>IF(AM172="","Missing Required Date",IF(AN172&lt;0,"Future Date",IF(AN172=0,"0 days",IF(AN172&lt;=2,"1-2 days",IF(AN172&lt;=7,"3-7 days",IF(AN172&lt;=14,"8-14 days",IF(AN172&lt;=30,"15-30 days",IF(AN172&lt;=60,"31-60 days",IF(AN172&lt;=70,"61-70 days","71+ days")))))))))</x:f>
        <x:v>Missing Required Date</x:v>
      </x:c>
      <x:c r="AP172" s="25" t="str">
        <x:f>IF(OR(E172="processing",E172="executing",E172="pending"),IF(AM172="","Required aging date missing",IF(AN172&gt;30,"Escalate &gt;30d",IF(AN172&gt;14,"Watch &gt;14d","Within 14d"))),"Out of scope")</x:f>
        <x:v>Out of scope</x:v>
      </x:c>
    </x:row>
    <x:row r="173" ht="24" customHeight="1">
      <x:c r="A173" t="str">
        <x:v>88756eb0-7cbf-4aaf-8a2d-27ca3afc72ad</x:v>
      </x:c>
      <x:c r="B173" t="str">
        <x:v>CSSP10682219</x:v>
      </x:c>
      <x:c r="C173" t="str">
        <x:v>idwal.wali@petronas.com</x:v>
      </x:c>
      <x:c r="D173" t="str">
        <x:v>provision-cloud-public</x:v>
      </x:c>
      <x:c r="E173" t="str">
        <x:v>rejected</x:v>
      </x:c>
      <x:c r="F173" t="n">
        <x:v>46177.06789320602</x:v>
      </x:c>
      <x:c r="G173" t="n">
        <x:v>46177.06789320602</x:v>
      </x:c>
      <x:c r="H173" t="n">
        <x:v>46183.29246056713</x:v>
      </x:c>
      <x:c r="I173" t="str">
        <x:v>A-000599</x:v>
      </x:c>
      <x:c r="J173" t="str">
        <x:v>PiriGIS</x:v>
      </x:c>
      <x:c r="K173" t="n">
        <x:v>1799</x:v>
      </x:c>
      <x:c r="L173" t="str">
        <x:v>Provision of Geographic Information System Infrastructure in PETRONAS Azure Cloud for Exploration</x:v>
      </x:c>
      <x:c r="M173" t="str">
        <x:v>kartinisuriati@petronas.com.my</x:v>
      </x:c>
      <x:c r="N173" t="str">
        <x:v>PiriGIS</x:v>
      </x:c>
      <x:c r="O173" t="str">
        <x:v>New</x:v>
      </x:c>
      <x:c r="P173" t="str">
        <x:v>Production</x:v>
      </x:c>
      <x:c r="Q173" t="str">
        <x:v>to request for additional MSSQL Managed Instance in PTSG-1GISDB01 (172.25.40.117) for ENIGMA initiative.</x:v>
      </x:c>
      <x:c r="R173"/>
      <x:c r="S173"/>
      <x:c r="T173"/>
      <x:c r="U173" t="str">
        <x:v>Approved for SEARAH Operationalize 1 July 2026</x:v>
      </x:c>
      <x:c r="V173" t="n">
        <x:v>46177.07125303241</x:v>
      </x:c>
      <x:c r="W173" t="str">
        <x:v>kartinisuriati@petronas.com</x:v>
      </x:c>
      <x:c r="X173" t="str">
        <x:v>approved</x:v>
      </x:c>
      <x:c r="Y173" t="str">
        <x:v>To comply with the Cloud Service Request and Provisioning Guideline v4.0, kindly provide the approved CS BIA and SOW/HLD as supporting evidence. </x:v>
      </x:c>
      <x:c r="Z173" t="n">
        <x:v>46183.292460578705</x:v>
      </x:c>
      <x:c r="AA173" t="str">
        <x:v>samsuddin.jumbri@petronas.com</x:v>
      </x:c>
      <x:c r="AB173" t="str">
        <x:v>rejected</x:v>
      </x:c>
      <x:c r="AC173"/>
      <x:c r="AD173"/>
      <x:c r="AE173" t="str">
        <x:v>CCoE Business</x:v>
      </x:c>
      <x:c r="AF173"/>
      <x:c r="AG173"/>
      <x:c r="AH173"/>
      <x:c r="AI173" t="str">
        <x:v>CCoE Core Services (Public)</x:v>
      </x:c>
      <x:c r="AJ173"/>
      <x:c r="AK173"/>
      <x:c r="AL173" t="str">
        <x:v>e92b0512-824f-476b-b163-edd30c189714</x:v>
      </x:c>
      <x:c r="AM173" s="23" t="str">
        <x:f>IF(E173="processing",IF(Z173="","",IF(ISNUMBER(Z173),INT(Z173),DATE(VALUE(LEFT(Z173,4)),VALUE(MID(Z173,6,2)),VALUE(MID(Z173,9,2))))),IF(OR(E173="executing",E173="pending"),IF(AD173="","",IF(ISNUMBER(AD173),INT(AD173),DATE(VALUE(LEFT(AD173,4)),VALUE(MID(AD173,6,2)),VALUE(MID(AD173,9,2))))),""))</x:f>
      </x:c>
      <x:c r="AN173" s="24" t="str">
        <x:f>IF(AM173="","",INT('Configuration'!$B$4)-AM173)</x:f>
      </x:c>
      <x:c r="AO173" s="25" t="str">
        <x:f>IF(AM173="","Missing Required Date",IF(AN173&lt;0,"Future Date",IF(AN173=0,"0 days",IF(AN173&lt;=2,"1-2 days",IF(AN173&lt;=7,"3-7 days",IF(AN173&lt;=14,"8-14 days",IF(AN173&lt;=30,"15-30 days",IF(AN173&lt;=60,"31-60 days",IF(AN173&lt;=70,"61-70 days","71+ days")))))))))</x:f>
        <x:v>Missing Required Date</x:v>
      </x:c>
      <x:c r="AP173" s="25" t="str">
        <x:f>IF(OR(E173="processing",E173="executing",E173="pending"),IF(AM173="","Required aging date missing",IF(AN173&gt;30,"Escalate &gt;30d",IF(AN173&gt;14,"Watch &gt;14d","Within 14d"))),"Out of scope")</x:f>
        <x:v>Out of scope</x:v>
      </x:c>
    </x:row>
    <x:row r="174" ht="24" customHeight="1">
      <x:c r="A174" t="str">
        <x:v>8f30cf74-aae2-4af0-9c3f-e6c4f16643fe</x:v>
      </x:c>
      <x:c r="B174" t="str">
        <x:v>CSSP10367612</x:v>
      </x:c>
      <x:c r="C174" t="str">
        <x:v>mohamadsyafiq.mnoor@petronas.com</x:v>
      </x:c>
      <x:c r="D174" t="str">
        <x:v>provision-cloud-public</x:v>
      </x:c>
      <x:c r="E174" t="str">
        <x:v>rejected</x:v>
      </x:c>
      <x:c r="F174" t="n">
        <x:v>46177.28576237269</x:v>
      </x:c>
      <x:c r="G174" t="n">
        <x:v>46177.28576237269</x:v>
      </x:c>
      <x:c r="H174" t="n">
        <x:v>46183.29744427084</x:v>
      </x:c>
      <x:c r="I174" t="str">
        <x:v>A-001307</x:v>
      </x:c>
      <x:c r="J174" t="str">
        <x:v>Azure Machine Learning - PRPC</x:v>
      </x:c>
      <x:c r="K174" t="n">
        <x:v>4739</x:v>
      </x:c>
      <x:c r="L174" t="str">
        <x:v>Run &amp; Maintain Citizen Analytics Use Cases for PRPC</x:v>
      </x:c>
      <x:c r="M174" t="str">
        <x:v>khairulnizam.bahari@petronas.com.my</x:v>
      </x:c>
      <x:c r="N174" t="str">
        <x:v>Citizen-Analytics</x:v>
      </x:c>
      <x:c r="O174" t="str">
        <x:v>New</x:v>
      </x:c>
      <x:c r="P174" t="str">
        <x:v>Production</x:v>
      </x:c>
      <x:c r="Q174" t="str">
        <x:v>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Shahkaizan Shahari (POCM/PRPC) - shahkaizan.shahari@petronas.com.my</x:v>
      </x:c>
      <x:c r="R174"/>
      <x:c r="S174"/>
      <x:c r="T174"/>
      <x:c r="U174" t="str">
        <x:v>To provision compute instance to the 4 new users from PRPC for all 3 workspaces under PRPC. T</x:v>
      </x:c>
      <x:c r="V174" t="n">
        <x:v>46177.34574563657</x:v>
      </x:c>
      <x:c r="W174" t="str">
        <x:v>khairulnizam.bahari@petronas.com</x:v>
      </x:c>
      <x:c r="X174" t="str">
        <x:v>approved</x:v>
      </x:c>
      <x:c r="Y174" t="str">
        <x:v>To comply with the Cloud Service Request and Provisioning Guideline v4.0, kindly provide the approved CS BIA, Estimated Cost (in excel format generated from AWS/Azure website) and SOW/HLD as supporting evidence. </x:v>
      </x:c>
      <x:c r="Z174" t="n">
        <x:v>46183.297444282405</x:v>
      </x:c>
      <x:c r="AA174" t="str">
        <x:v>samsuddin.jumbri@petronas.com</x:v>
      </x:c>
      <x:c r="AB174" t="str">
        <x:v>rejected</x:v>
      </x:c>
      <x:c r="AC174"/>
      <x:c r="AD174"/>
      <x:c r="AE174" t="str">
        <x:v>CCoE Business</x:v>
      </x:c>
      <x:c r="AF174"/>
      <x:c r="AG174"/>
      <x:c r="AH174"/>
      <x:c r="AI174" t="str">
        <x:v>CCoE Core Services (Public)</x:v>
      </x:c>
      <x:c r="AJ174"/>
      <x:c r="AK174"/>
      <x:c r="AL174" t="str">
        <x:v>175979a6-0134-4d4e-b3f1-5ff77e1fdf7f</x:v>
      </x:c>
      <x:c r="AM174" s="23" t="str">
        <x:f>IF(E174="processing",IF(Z174="","",IF(ISNUMBER(Z174),INT(Z174),DATE(VALUE(LEFT(Z174,4)),VALUE(MID(Z174,6,2)),VALUE(MID(Z174,9,2))))),IF(OR(E174="executing",E174="pending"),IF(AD174="","",IF(ISNUMBER(AD174),INT(AD174),DATE(VALUE(LEFT(AD174,4)),VALUE(MID(AD174,6,2)),VALUE(MID(AD174,9,2))))),""))</x:f>
      </x:c>
      <x:c r="AN174" s="24" t="str">
        <x:f>IF(AM174="","",INT('Configuration'!$B$4)-AM174)</x:f>
      </x:c>
      <x:c r="AO174" s="25" t="str">
        <x:f>IF(AM174="","Missing Required Date",IF(AN174&lt;0,"Future Date",IF(AN174=0,"0 days",IF(AN174&lt;=2,"1-2 days",IF(AN174&lt;=7,"3-7 days",IF(AN174&lt;=14,"8-14 days",IF(AN174&lt;=30,"15-30 days",IF(AN174&lt;=60,"31-60 days",IF(AN174&lt;=70,"61-70 days","71+ days")))))))))</x:f>
        <x:v>Missing Required Date</x:v>
      </x:c>
      <x:c r="AP174" s="25" t="str">
        <x:f>IF(OR(E174="processing",E174="executing",E174="pending"),IF(AM174="","Required aging date missing",IF(AN174&gt;30,"Escalate &gt;30d",IF(AN174&gt;14,"Watch &gt;14d","Within 14d"))),"Out of scope")</x:f>
        <x:v>Out of scope</x:v>
      </x:c>
    </x:row>
    <x:row r="175" ht="24" customHeight="1">
      <x:c r="A175" t="str">
        <x:v>c0261b47-98bc-4430-b18c-0f1d3937f0c7</x:v>
      </x:c>
      <x:c r="B175" t="str">
        <x:v>CSSP10765617</x:v>
      </x:c>
      <x:c r="C175" t="str">
        <x:v>hairol.zainul@petronas.com</x:v>
      </x:c>
      <x:c r="D175" t="str">
        <x:v>provision-cloud-public</x:v>
      </x:c>
      <x:c r="E175" t="str">
        <x:v>completed</x:v>
      </x:c>
      <x:c r="F175" t="n">
        <x:v>46177.306300034725</x:v>
      </x:c>
      <x:c r="G175" t="n">
        <x:v>46177.37987604167</x:v>
      </x:c>
      <x:c r="H175" t="n">
        <x:v>46196.34123990741</x:v>
      </x:c>
      <x:c r="I175" t="str">
        <x:v>A-001366</x:v>
      </x:c>
      <x:c r="J175" t="str">
        <x:v>Instruments Asset Management - IAMS for ENIGMA SEARAH</x:v>
      </x:c>
      <x:c r="K175" t="str">
        <x:v>SR26937_IAMS</x:v>
      </x:c>
      <x:c r="L175" t="str">
        <x:v>ENIGMA JV (Production): Implementing New Subscriptions for MacCo_IAMS</x:v>
      </x:c>
      <x:c r="M175" t="str">
        <x:v>mhafiz.samsudin@petronas.com.my</x:v>
      </x:c>
      <x:c r="N175" t="str">
        <x:v>Enigma</x:v>
      </x:c>
      <x:c r="O175" t="str">
        <x:v>New</x:v>
      </x:c>
      <x:c r="P175" t="str">
        <x:v>Production</x:v>
      </x:c>
      <x:c r="Q175" t="str">
        <x:v>The server should be same specification as PTSG-1PWOwb02 (172.25.200.22) at PETRONAS Cloud</x:v>
      </x:c>
      <x:c r="R175" t="str">
        <x:v>S</x:v>
      </x:c>
      <x:c r="S175"/>
      <x:c r="T175"/>
      <x:c r="U175" t="str">
        <x:v>Critical for Searah onboarding. Kindly expedite to meet 1st July cutover.</x:v>
      </x:c>
      <x:c r="V175" t="n">
        <x:v>46177.38507042824</x:v>
      </x:c>
      <x:c r="W175" t="str">
        <x:v>mhafiz.samsudin@petronas.com</x:v>
      </x:c>
      <x:c r="X175" t="str">
        <x:v>approved</x:v>
      </x:c>
      <x:c r="Y175" t="str">
        <x:v>Good to go</x:v>
      </x:c>
      <x:c r="Z175" t="n">
        <x:v>46183.301091678244</x:v>
      </x:c>
      <x:c r="AA175" t="str">
        <x:v>samsuddin.jumbri@petronas.com</x:v>
      </x:c>
      <x:c r="AB175" t="str">
        <x:v>approved</x:v>
      </x:c>
      <x:c r="AC175" t="str">
        <x:v>pre-assigned.</x:v>
      </x:c>
      <x:c r="AD175" t="n">
        <x:v>46195.342208483795</x:v>
      </x:c>
      <x:c r="AE175" t="str">
        <x:v>syazali.saad@petronas.com</x:v>
      </x:c>
      <x:c r="AF175" t="str">
        <x:v>approved</x:v>
      </x:c>
      <x:c r="AG175" t="str">
        <x:v>Completed</x:v>
      </x:c>
      <x:c r="AH175" t="n">
        <x:v>46196.341239918984</x:v>
      </x:c>
      <x:c r="AI175" t="str">
        <x:v>mfirdaus.fadlizam@petronas.com</x:v>
      </x:c>
      <x:c r="AJ175" t="str">
        <x:v>approved</x:v>
      </x:c>
      <x:c r="AK175" t="str">
        <x:v>REQ000008112895</x:v>
      </x:c>
      <x:c r="AL175" t="str">
        <x:v>e9adc685-ea5d-42bf-aacf-1d085a9b4704</x:v>
      </x:c>
      <x:c r="AM175" s="23" t="str">
        <x:f>IF(E175="processing",IF(Z175="","",IF(ISNUMBER(Z175),INT(Z175),DATE(VALUE(LEFT(Z175,4)),VALUE(MID(Z175,6,2)),VALUE(MID(Z175,9,2))))),IF(OR(E175="executing",E175="pending"),IF(AD175="","",IF(ISNUMBER(AD175),INT(AD175),DATE(VALUE(LEFT(AD175,4)),VALUE(MID(AD175,6,2)),VALUE(MID(AD175,9,2))))),""))</x:f>
      </x:c>
      <x:c r="AN175" s="24" t="str">
        <x:f>IF(AM175="","",INT('Configuration'!$B$4)-AM175)</x:f>
      </x:c>
      <x:c r="AO175" s="25" t="str">
        <x:f>IF(AM175="","Missing Required Date",IF(AN175&lt;0,"Future Date",IF(AN175=0,"0 days",IF(AN175&lt;=2,"1-2 days",IF(AN175&lt;=7,"3-7 days",IF(AN175&lt;=14,"8-14 days",IF(AN175&lt;=30,"15-30 days",IF(AN175&lt;=60,"31-60 days",IF(AN175&lt;=70,"61-70 days","71+ days")))))))))</x:f>
        <x:v>Missing Required Date</x:v>
      </x:c>
      <x:c r="AP175" s="25" t="str">
        <x:f>IF(OR(E175="processing",E175="executing",E175="pending"),IF(AM175="","Required aging date missing",IF(AN175&gt;30,"Escalate &gt;30d",IF(AN175&gt;14,"Watch &gt;14d","Within 14d"))),"Out of scope")</x:f>
        <x:v>Out of scope</x:v>
      </x:c>
    </x:row>
    <x:row r="176" ht="24" customHeight="1">
      <x:c r="A176" t="str">
        <x:v>490a22b7-0256-40ee-aa08-bbcb9d6f9e27</x:v>
      </x:c>
      <x:c r="B176" t="str">
        <x:v>CSSP10340554</x:v>
      </x:c>
      <x:c r="C176" t="str">
        <x:v>mhizami.norsuhaimi@petronas.com</x:v>
      </x:c>
      <x:c r="D176" t="str">
        <x:v>provision-cloud-public</x:v>
      </x:c>
      <x:c r="E176" t="str">
        <x:v>completed</x:v>
      </x:c>
      <x:c r="F176" t="n">
        <x:v>46177.36093238426</x:v>
      </x:c>
      <x:c r="G176" t="n">
        <x:v>46177.39008239583</x:v>
      </x:c>
      <x:c r="H176" t="n">
        <x:v>46196.167311875</x:v>
      </x:c>
      <x:c r="I176" t="str">
        <x:v>A-001358</x:v>
      </x:c>
      <x:c r="J176" t="str">
        <x:v>System 1 for ENIGMA SEARAH</x:v>
      </x:c>
      <x:c r="K176" t="str">
        <x:v>SR26937_System1 </x:v>
      </x:c>
      <x:c r="L176" t="str">
        <x:v>ENIGMA JV (Production): Implementing New Subscriptions for MacCo_System1 </x:v>
      </x:c>
      <x:c r="M176" t="str">
        <x:v>mhafiz.samsudin@petronas.com.my</x:v>
      </x:c>
      <x:c r="N176" t="str">
        <x:v>Enigma</x:v>
      </x:c>
      <x:c r="O176" t="str">
        <x:v>New</x:v>
      </x:c>
      <x:c r="P176" t="str">
        <x:v>Production</x:v>
      </x:c>
      <x:c r="Q176" t="str">
        <x:v>Provisioning of System 1 cloud server for Enigma SEARAH</x:v>
      </x:c>
      <x:c r="R176" t="str">
        <x:v>S</x:v>
      </x:c>
      <x:c r="S176"/>
      <x:c r="T176"/>
      <x:c r="U176" t="str">
        <x:v>Critical for Searah onboarding. Kindly expedite to meet 1st July cutover.</x:v>
      </x:c>
      <x:c r="V176" t="n">
        <x:v>46177.39129506944</x:v>
      </x:c>
      <x:c r="W176" t="str">
        <x:v>mhafiz.samsudin@petronas.com</x:v>
      </x:c>
      <x:c r="X176" t="str">
        <x:v>approved</x:v>
      </x:c>
      <x:c r="Y176" t="str">
        <x:v>Good to go</x:v>
      </x:c>
      <x:c r="Z176" t="n">
        <x:v>46183.30176866898</x:v>
      </x:c>
      <x:c r="AA176" t="str">
        <x:v>samsuddin.jumbri@petronas.com</x:v>
      </x:c>
      <x:c r="AB176" t="str">
        <x:v>approved</x:v>
      </x:c>
      <x:c r="AC176" t="str">
        <x:v>vm</x:v>
      </x:c>
      <x:c r="AD176" t="n">
        <x:v>46195.34374255787</x:v>
      </x:c>
      <x:c r="AE176" t="str">
        <x:v>syazali.saad@petronas.com</x:v>
      </x:c>
      <x:c r="AF176" t="str">
        <x:v>approved</x:v>
      </x:c>
      <x:c r="AG176" t="str">
        <x:v>Complete</x:v>
      </x:c>
      <x:c r="AH176" t="n">
        <x:v>46196.16731189815</x:v>
      </x:c>
      <x:c r="AI176" t="str">
        <x:v>afnanfarhan.dzaharud@petronas.com</x:v>
      </x:c>
      <x:c r="AJ176" t="str">
        <x:v>approved</x:v>
      </x:c>
      <x:c r="AK176" t="str">
        <x:v>REQ000008112896</x:v>
      </x:c>
      <x:c r="AL176" t="str">
        <x:v>c01f7b4e-08d2-40f6-aed0-5b1979da0b79</x:v>
      </x:c>
      <x:c r="AM176" s="23" t="str">
        <x:f>IF(E176="processing",IF(Z176="","",IF(ISNUMBER(Z176),INT(Z176),DATE(VALUE(LEFT(Z176,4)),VALUE(MID(Z176,6,2)),VALUE(MID(Z176,9,2))))),IF(OR(E176="executing",E176="pending"),IF(AD176="","",IF(ISNUMBER(AD176),INT(AD176),DATE(VALUE(LEFT(AD176,4)),VALUE(MID(AD176,6,2)),VALUE(MID(AD176,9,2))))),""))</x:f>
      </x:c>
      <x:c r="AN176" s="24" t="str">
        <x:f>IF(AM176="","",INT('Configuration'!$B$4)-AM176)</x:f>
      </x:c>
      <x:c r="AO176" s="25" t="str">
        <x:f>IF(AM176="","Missing Required Date",IF(AN176&lt;0,"Future Date",IF(AN176=0,"0 days",IF(AN176&lt;=2,"1-2 days",IF(AN176&lt;=7,"3-7 days",IF(AN176&lt;=14,"8-14 days",IF(AN176&lt;=30,"15-30 days",IF(AN176&lt;=60,"31-60 days",IF(AN176&lt;=70,"61-70 days","71+ days")))))))))</x:f>
        <x:v>Missing Required Date</x:v>
      </x:c>
      <x:c r="AP176" s="25" t="str">
        <x:f>IF(OR(E176="processing",E176="executing",E176="pending"),IF(AM176="","Required aging date missing",IF(AN176&gt;30,"Escalate &gt;30d",IF(AN176&gt;14,"Watch &gt;14d","Within 14d"))),"Out of scope")</x:f>
        <x:v>Out of scope</x:v>
      </x:c>
    </x:row>
    <x:row r="177" ht="24" customHeight="1">
      <x:c r="A177" t="str">
        <x:v>68be25ca-9627-4a6f-9c50-424d721f17e6</x:v>
      </x:c>
      <x:c r="B177" t="str">
        <x:v>CSSP10132938</x:v>
      </x:c>
      <x:c r="C177" t="str">
        <x:v>zulfahmi.ibrahim@petronas.com</x:v>
      </x:c>
      <x:c r="D177" t="str">
        <x:v>provision-cloud-public</x:v>
      </x:c>
      <x:c r="E177" t="str">
        <x:v>completed</x:v>
      </x:c>
      <x:c r="F177" t="n">
        <x:v>46177.36156622685</x:v>
      </x:c>
      <x:c r="G177" t="n">
        <x:v>46177.37820197917</x:v>
      </x:c>
      <x:c r="H177" t="n">
        <x:v>46196.340316828704</x:v>
      </x:c>
      <x:c r="I177" t="str">
        <x:v>A-001361</x:v>
      </x:c>
      <x:c r="J177" t="str">
        <x:v>Predictive Revitalization of Instrumentation to Maximize Efficiency - PRIME for ENIGMA SEARAH</x:v>
      </x:c>
      <x:c r="K177" t="str">
        <x:v>SR26937_PRIME</x:v>
      </x:c>
      <x:c r="L177" t="str">
        <x:v>ENIGMA JV (Production): Implementing New Subscriptions for MacCo_PRIME</x:v>
      </x:c>
      <x:c r="M177" t="str">
        <x:v>mhafiz.samsudin@petronas.com.my</x:v>
      </x:c>
      <x:c r="N177" t="str">
        <x:v>Enigma</x:v>
      </x:c>
      <x:c r="O177" t="str">
        <x:v>New</x:v>
      </x:c>
      <x:c r="P177" t="str">
        <x:v>Production</x:v>
      </x:c>
      <x:c r="Q177" t="str">
        <x:v>provisioning of PRIME cloud Server for ENIGMA Searah</x:v>
      </x:c>
      <x:c r="R177" t="str">
        <x:v>M</x:v>
      </x:c>
      <x:c r="S177"/>
      <x:c r="T177"/>
      <x:c r="U177" t="str">
        <x:v>Critical for Searah onboarding. Kindly expedite to meet 1st July cutover.</x:v>
      </x:c>
      <x:c r="V177" t="n">
        <x:v>46177.38485627315</x:v>
      </x:c>
      <x:c r="W177" t="str">
        <x:v>mhafiz.samsudin@petronas.com</x:v>
      </x:c>
      <x:c r="X177" t="str">
        <x:v>approved</x:v>
      </x:c>
      <x:c r="Y177" t="str">
        <x:v>Good to go</x:v>
      </x:c>
      <x:c r="Z177" t="n">
        <x:v>46183.2988371875</x:v>
      </x:c>
      <x:c r="AA177" t="str">
        <x:v>samsuddin.jumbri@petronas.com</x:v>
      </x:c>
      <x:c r="AB177" t="str">
        <x:v>approved</x:v>
      </x:c>
      <x:c r="AC177" t="str">
        <x:v>vm&amp;sql.</x:v>
      </x:c>
      <x:c r="AD177" t="n">
        <x:v>46195.34306153935</x:v>
      </x:c>
      <x:c r="AE177" t="str">
        <x:v>syazali.saad@petronas.com</x:v>
      </x:c>
      <x:c r="AF177" t="str">
        <x:v>approved</x:v>
      </x:c>
      <x:c r="AG177" t="str">
        <x:v>Completed</x:v>
      </x:c>
      <x:c r="AH177" t="n">
        <x:v>46196.34031684028</x:v>
      </x:c>
      <x:c r="AI177" t="str">
        <x:v>mfirdaus.fadlizam@petronas.com</x:v>
      </x:c>
      <x:c r="AJ177" t="str">
        <x:v>approved</x:v>
      </x:c>
      <x:c r="AK177" t="str">
        <x:v>REQ000008113432</x:v>
      </x:c>
      <x:c r="AL177" t="str">
        <x:v>02a376be-a31b-41f5-9343-6a84938060c3</x:v>
      </x:c>
      <x:c r="AM177" s="23" t="str">
        <x:f>IF(E177="processing",IF(Z177="","",IF(ISNUMBER(Z177),INT(Z177),DATE(VALUE(LEFT(Z177,4)),VALUE(MID(Z177,6,2)),VALUE(MID(Z177,9,2))))),IF(OR(E177="executing",E177="pending"),IF(AD177="","",IF(ISNUMBER(AD177),INT(AD177),DATE(VALUE(LEFT(AD177,4)),VALUE(MID(AD177,6,2)),VALUE(MID(AD177,9,2))))),""))</x:f>
      </x:c>
      <x:c r="AN177" s="24" t="str">
        <x:f>IF(AM177="","",INT('Configuration'!$B$4)-AM177)</x:f>
      </x:c>
      <x:c r="AO177" s="25" t="str">
        <x:f>IF(AM177="","Missing Required Date",IF(AN177&lt;0,"Future Date",IF(AN177=0,"0 days",IF(AN177&lt;=2,"1-2 days",IF(AN177&lt;=7,"3-7 days",IF(AN177&lt;=14,"8-14 days",IF(AN177&lt;=30,"15-30 days",IF(AN177&lt;=60,"31-60 days",IF(AN177&lt;=70,"61-70 days","71+ days")))))))))</x:f>
        <x:v>Missing Required Date</x:v>
      </x:c>
      <x:c r="AP177" s="25" t="str">
        <x:f>IF(OR(E177="processing",E177="executing",E177="pending"),IF(AM177="","Required aging date missing",IF(AN177&gt;30,"Escalate &gt;30d",IF(AN177&gt;14,"Watch &gt;14d","Within 14d"))),"Out of scope")</x:f>
        <x:v>Out of scope</x:v>
      </x:c>
    </x:row>
    <x:row r="178" ht="24" customHeight="1">
      <x:c r="A178" t="str">
        <x:v>7efa880b-53c2-4cf4-aeb1-f17c6223b17c</x:v>
      </x:c>
      <x:c r="B178" t="str">
        <x:v>CSSP10867439</x:v>
      </x:c>
      <x:c r="C178" t="str">
        <x:v>suliza.sumari@petronas.com</x:v>
      </x:c>
      <x:c r="D178" t="str">
        <x:v>provision-cloud-public</x:v>
      </x:c>
      <x:c r="E178" t="str">
        <x:v>completed</x:v>
      </x:c>
      <x:c r="F178" t="n">
        <x:v>46177.406961203706</x:v>
      </x:c>
      <x:c r="G178" t="n">
        <x:v>46177.406961203706</x:v>
      </x:c>
      <x:c r="H178" t="n">
        <x:v>46196.341319328705</x:v>
      </x:c>
      <x:c r="I178" t="str">
        <x:v>A-001372</x:v>
      </x:c>
      <x:c r="J178" t="str">
        <x:v>Enterprise Document Management System - Power BI for ENIGMA SEARAH</x:v>
      </x:c>
      <x:c r="K178" t="str">
        <x:v>SR26965_POWERBI</x:v>
      </x:c>
      <x:c r="L178" t="str">
        <x:v>ENIGMA JV: Enterprise-Document Management (PowerBI) for MacCo</x:v>
      </x:c>
      <x:c r="M178" t="str">
        <x:v>rafedah.mdtap@petronas.com</x:v>
      </x:c>
      <x:c r="N178" t="str">
        <x:v>ENIGMA JV Enterprise-Document Management</x:v>
      </x:c>
      <x:c r="O178" t="str">
        <x:v>New</x:v>
      </x:c>
      <x:c r="P178" t="str">
        <x:v>Production</x:v>
      </x:c>
      <x:c r="Q178" t="str">
        <x:v>Subscription Details for Microsoft Fabric license :
•	Microsoft Fabric – SKU F64 Capacity Unit
•	Usage: 264 hours/month (based on 12 hours active usage daily for 22 days)
•	Estimated Cost: ~RM210,536 per year
Justification for Microsoft Fabric Subscription
The Fabric license will enable the following key capabilities to support SEARAH’s data and reporting needs:
•	Wells Data Quality (Power BI module)
To enhance visibility and monitoring of data quality metrics.
•	Data Strategy and Assurance Control Tower for SEARAH, including:
o	Establishment of Data Governance and Compliance Dashboards to ensure data quality, consistency, and adherence to regulatory standards
o	Enablement of an integrated data ecosystem leveraging Fabric components, such as: 
	Data Factory
	Data Engineering
	Data Warehouse
	OneLake
	Copilot capabilities integrated with Power BI
</x:v>
      </x:c>
      <x:c r="R178" t="str">
        <x:v>M</x:v>
      </x:c>
      <x:c r="S178"/>
      <x:c r="T178"/>
      <x:c r="U178" t="str">
        <x:v>Approved as discussed</x:v>
      </x:c>
      <x:c r="V178" t="n">
        <x:v>46177.41057907407</x:v>
      </x:c>
      <x:c r="W178" t="str">
        <x:v>rafedah.mdtap@petronas.com</x:v>
      </x:c>
      <x:c r="X178" t="str">
        <x:v>approved</x:v>
      </x:c>
      <x:c r="Y178" t="str">
        <x:v>Good to go</x:v>
      </x:c>
      <x:c r="Z178" t="n">
        <x:v>46183.30227789352</x:v>
      </x:c>
      <x:c r="AA178" t="str">
        <x:v>samsuddin.jumbri@petronas.com</x:v>
      </x:c>
      <x:c r="AB178" t="str">
        <x:v>approved</x:v>
      </x:c>
      <x:c r="AC178" t="str">
        <x:v>fabric. assigned to medium to include post deployment configuration/access.</x:v>
      </x:c>
      <x:c r="AD178" t="n">
        <x:v>46195.34482748843</x:v>
      </x:c>
      <x:c r="AE178" t="str">
        <x:v>syazali.saad@petronas.com</x:v>
      </x:c>
      <x:c r="AF178" t="str">
        <x:v>approved</x:v>
      </x:c>
      <x:c r="AG178" t="str">
        <x:v>Completed</x:v>
      </x:c>
      <x:c r="AH178" t="n">
        <x:v>46196.34131935185</x:v>
      </x:c>
      <x:c r="AI178" t="str">
        <x:v>mfirdaus.fadlizam@petronas.com</x:v>
      </x:c>
      <x:c r="AJ178" t="str">
        <x:v>approved</x:v>
      </x:c>
      <x:c r="AK178" t="str">
        <x:v>REQ000008113433</x:v>
      </x:c>
      <x:c r="AL178" t="str">
        <x:v>8473eb18-b858-466f-b18d-da424602c277</x:v>
      </x:c>
      <x:c r="AM178" s="23" t="str">
        <x:f>IF(E178="processing",IF(Z178="","",IF(ISNUMBER(Z178),INT(Z178),DATE(VALUE(LEFT(Z178,4)),VALUE(MID(Z178,6,2)),VALUE(MID(Z178,9,2))))),IF(OR(E178="executing",E178="pending"),IF(AD178="","",IF(ISNUMBER(AD178),INT(AD178),DATE(VALUE(LEFT(AD178,4)),VALUE(MID(AD178,6,2)),VALUE(MID(AD178,9,2))))),""))</x:f>
      </x:c>
      <x:c r="AN178" s="24" t="str">
        <x:f>IF(AM178="","",INT('Configuration'!$B$4)-AM178)</x:f>
      </x:c>
      <x:c r="AO178" s="25" t="str">
        <x:f>IF(AM178="","Missing Required Date",IF(AN178&lt;0,"Future Date",IF(AN178=0,"0 days",IF(AN178&lt;=2,"1-2 days",IF(AN178&lt;=7,"3-7 days",IF(AN178&lt;=14,"8-14 days",IF(AN178&lt;=30,"15-30 days",IF(AN178&lt;=60,"31-60 days",IF(AN178&lt;=70,"61-70 days","71+ days")))))))))</x:f>
        <x:v>Missing Required Date</x:v>
      </x:c>
      <x:c r="AP178" s="25" t="str">
        <x:f>IF(OR(E178="processing",E178="executing",E178="pending"),IF(AM178="","Required aging date missing",IF(AN178&gt;30,"Escalate &gt;30d",IF(AN178&gt;14,"Watch &gt;14d","Within 14d"))),"Out of scope")</x:f>
        <x:v>Out of scope</x:v>
      </x:c>
    </x:row>
    <x:row r="179" ht="24" customHeight="1">
      <x:c r="A179" t="str">
        <x:v>f92479e1-5424-4c64-886c-9036443b2214</x:v>
      </x:c>
      <x:c r="B179" t="str">
        <x:v>CSSP10533757</x:v>
      </x:c>
      <x:c r="C179" t="str">
        <x:v>hazmanhadi.mkhirola@petronas.com</x:v>
      </x:c>
      <x:c r="D179" t="str">
        <x:v>provision-cloud-public</x:v>
      </x:c>
      <x:c r="E179" t="str">
        <x:v>completed</x:v>
      </x:c>
      <x:c r="F179" t="n">
        <x:v>46178.05528262731</x:v>
      </x:c>
      <x:c r="G179" t="n">
        <x:v>46178.05528262731</x:v>
      </x:c>
      <x:c r="H179" t="n">
        <x:v>46189.10373012732</x:v>
      </x:c>
      <x:c r="I179" t="str">
        <x:v>A-000083</x:v>
      </x:c>
      <x:c r="J179" t="str">
        <x:v>Aveva</x:v>
      </x:c>
      <x:c r="K179" t="str">
        <x:v>00915_244</x:v>
      </x:c>
      <x:c r="L179" t="str">
        <x:v>Cloud Migration Program - Aveva</x:v>
      </x:c>
      <x:c r="M179" t="str">
        <x:v>nurdoriah.sarim@petronas.com.my</x:v>
      </x:c>
      <x:c r="N179" t="str">
        <x:v>Aveva</x:v>
      </x:c>
      <x:c r="O179" t="str">
        <x:v>Modify</x:v>
      </x:c>
      <x:c r="P179" t="str">
        <x:v>Production</x:v>
      </x:c>
      <x:c r="Q179" t="str">
        <x:v>ICT_RFC00222233</x:v>
      </x:c>
      <x:c r="R179" t="str">
        <x:v>M</x:v>
      </x:c>
      <x:c r="S179" t="str">
        <x:v>ICT_RFC00222233</x:v>
      </x:c>
      <x:c r="T179"/>
      <x:c r="U179" t="str">
        <x:v>Approved, please proceed</x:v>
      </x:c>
      <x:c r="V179" t="n">
        <x:v>46178.08157155092</x:v>
      </x:c>
      <x:c r="W179" t="str">
        <x:v>nurdoriah.sarim@petronas.com</x:v>
      </x:c>
      <x:c r="X179" t="str">
        <x:v>approved</x:v>
      </x:c>
      <x:c r="Y179" t="str">
        <x:v>Good to go</x:v>
      </x:c>
      <x:c r="Z179" t="n">
        <x:v>46178.368402789354</x:v>
      </x:c>
      <x:c r="AA179" t="str">
        <x:v>samsuddin.jumbri@petronas.com</x:v>
      </x:c>
      <x:c r="AB179" t="str">
        <x:v>approved</x:v>
      </x:c>
      <x:c r="AC179" t="str">
        <x:v>Proceed as mentioned in the request</x:v>
      </x:c>
      <x:c r="AD179" t="n">
        <x:v>46182.279199282406</x:v>
      </x:c>
      <x:c r="AE179" t="str">
        <x:v>azwan.badari@petronas.com</x:v>
      </x:c>
      <x:c r="AF179" t="str">
        <x:v>approved</x:v>
      </x:c>
      <x:c r="AG179" t="str">
        <x:v>Done. </x:v>
      </x:c>
      <x:c r="AH179" t="n">
        <x:v>46189.10373016204</x:v>
      </x:c>
      <x:c r="AI179" t="str">
        <x:v>azhan.shazeli@petronas.com</x:v>
      </x:c>
      <x:c r="AJ179" t="str">
        <x:v>approved</x:v>
      </x:c>
      <x:c r="AK179" t="str">
        <x:v>REQ000008089397</x:v>
      </x:c>
      <x:c r="AL179" t="str">
        <x:v>f57e22a1-0676-40e0-9658-4f70fbe49c4e</x:v>
      </x:c>
      <x:c r="AM179" s="23" t="str">
        <x:f>IF(E179="processing",IF(Z179="","",IF(ISNUMBER(Z179),INT(Z179),DATE(VALUE(LEFT(Z179,4)),VALUE(MID(Z179,6,2)),VALUE(MID(Z179,9,2))))),IF(OR(E179="executing",E179="pending"),IF(AD179="","",IF(ISNUMBER(AD179),INT(AD179),DATE(VALUE(LEFT(AD179,4)),VALUE(MID(AD179,6,2)),VALUE(MID(AD179,9,2))))),""))</x:f>
      </x:c>
      <x:c r="AN179" s="24" t="str">
        <x:f>IF(AM179="","",INT('Configuration'!$B$4)-AM179)</x:f>
      </x:c>
      <x:c r="AO179" s="25" t="str">
        <x:f>IF(AM179="","Missing Required Date",IF(AN179&lt;0,"Future Date",IF(AN179=0,"0 days",IF(AN179&lt;=2,"1-2 days",IF(AN179&lt;=7,"3-7 days",IF(AN179&lt;=14,"8-14 days",IF(AN179&lt;=30,"15-30 days",IF(AN179&lt;=60,"31-60 days",IF(AN179&lt;=70,"61-70 days","71+ days")))))))))</x:f>
        <x:v>Missing Required Date</x:v>
      </x:c>
      <x:c r="AP179" s="25" t="str">
        <x:f>IF(OR(E179="processing",E179="executing",E179="pending"),IF(AM179="","Required aging date missing",IF(AN179&gt;30,"Escalate &gt;30d",IF(AN179&gt;14,"Watch &gt;14d","Within 14d"))),"Out of scope")</x:f>
        <x:v>Out of scope</x:v>
      </x:c>
    </x:row>
    <x:row r="180" ht="24" customHeight="1">
      <x:c r="A180" t="str">
        <x:v>34c90753-1002-40a3-a112-d510d55f6d3e</x:v>
      </x:c>
      <x:c r="B180" t="str">
        <x:v>CSSP10881379</x:v>
      </x:c>
      <x:c r="C180" t="str">
        <x:v>wanmiqbal.wanmhdnoor@petronas.com</x:v>
      </x:c>
      <x:c r="D180" t="str">
        <x:v>provision-cloud-public</x:v>
      </x:c>
      <x:c r="E180" t="str">
        <x:v>completed</x:v>
      </x:c>
      <x:c r="F180" t="n">
        <x:v>46178.17505909722</x:v>
      </x:c>
      <x:c r="G180" t="n">
        <x:v>46178.17505909722</x:v>
      </x:c>
      <x:c r="H180" t="n">
        <x:v>46204.219643032404</x:v>
      </x:c>
      <x:c r="I180" t="str">
        <x:v>A-001362</x:v>
      </x:c>
      <x:c r="J180" t="str">
        <x:v>Predictive Rotating Equipment Analytics - PROTEAN for ENIGMA SEARAH</x:v>
      </x:c>
      <x:c r="K180" t="str">
        <x:v>SR26937_PROTEAN</x:v>
      </x:c>
      <x:c r="L180" t="str">
        <x:v>ENIGMA JV (Production): Implementing New Subscriptions for MacCo_PROTEAN</x:v>
      </x:c>
      <x:c r="M180" t="str">
        <x:v>mhafiz.samsudin@petronas.com.my</x:v>
      </x:c>
      <x:c r="N180" t="str">
        <x:v>Enigma</x:v>
      </x:c>
      <x:c r="O180" t="str">
        <x:v>New</x:v>
      </x:c>
      <x:c r="P180" t="str">
        <x:v>Production</x:v>
      </x:c>
      <x:c r="Q180" t="str">
        <x:v>Cloud Provisioning for PROTEAN SEARAH</x:v>
      </x:c>
      <x:c r="R180" t="str">
        <x:v>M</x:v>
      </x:c>
      <x:c r="S180"/>
      <x:c r="T180"/>
      <x:c r="U180" t="str">
        <x:v>Critical for Searah onboarding. Kindly expedite to meet 1st July cutover.</x:v>
      </x:c>
      <x:c r="V180" t="n">
        <x:v>46178.17643548611</x:v>
      </x:c>
      <x:c r="W180" t="str">
        <x:v>mhafiz.samsudin@petronas.com</x:v>
      </x:c>
      <x:c r="X180" t="str">
        <x:v>approved</x:v>
      </x:c>
      <x:c r="Y180" t="str">
        <x:v>Critical for Searah onboarding. Kindly expedite to meet 1st July cutover.</x:v>
      </x:c>
      <x:c r="Z180" t="n">
        <x:v>46178.17755206019</x:v>
      </x:c>
      <x:c r="AA180" t="str">
        <x:v>mhafiz.samsudin@petronas.com</x:v>
      </x:c>
      <x:c r="AB180" t="str">
        <x:v>approved</x:v>
      </x:c>
      <x:c r="AC180" t="str">
        <x:v>multi vm &amp; sql</x:v>
      </x:c>
      <x:c r="AD180" t="n">
        <x:v>46195.34600932871</x:v>
      </x:c>
      <x:c r="AE180" t="str">
        <x:v>syazali.saad@petronas.com</x:v>
      </x:c>
      <x:c r="AF180" t="str">
        <x:v>approved</x:v>
      </x:c>
      <x:c r="AG180" t="str">
        <x:v>previously completed</x:v>
      </x:c>
      <x:c r="AH180" t="n">
        <x:v>46204.21964304398</x:v>
      </x:c>
      <x:c r="AI180" t="str">
        <x:v>ismail.azman@petronas.com</x:v>
      </x:c>
      <x:c r="AJ180" t="str">
        <x:v>approved</x:v>
      </x:c>
      <x:c r="AK180" t="str">
        <x:v>REQ000008113434</x:v>
      </x:c>
      <x:c r="AL180" t="str">
        <x:v>fe29589c-031c-4b56-80df-4dfedf3c1975</x:v>
      </x:c>
      <x:c r="AM180" s="23" t="str">
        <x:f>IF(E180="processing",IF(Z180="","",IF(ISNUMBER(Z180),INT(Z180),DATE(VALUE(LEFT(Z180,4)),VALUE(MID(Z180,6,2)),VALUE(MID(Z180,9,2))))),IF(OR(E180="executing",E180="pending"),IF(AD180="","",IF(ISNUMBER(AD180),INT(AD180),DATE(VALUE(LEFT(AD180,4)),VALUE(MID(AD180,6,2)),VALUE(MID(AD180,9,2))))),""))</x:f>
      </x:c>
      <x:c r="AN180" s="24" t="str">
        <x:f>IF(AM180="","",INT('Configuration'!$B$4)-AM180)</x:f>
      </x:c>
      <x:c r="AO180" s="25" t="str">
        <x:f>IF(AM180="","Missing Required Date",IF(AN180&lt;0,"Future Date",IF(AN180=0,"0 days",IF(AN180&lt;=2,"1-2 days",IF(AN180&lt;=7,"3-7 days",IF(AN180&lt;=14,"8-14 days",IF(AN180&lt;=30,"15-30 days",IF(AN180&lt;=60,"31-60 days",IF(AN180&lt;=70,"61-70 days","71+ days")))))))))</x:f>
        <x:v>Missing Required Date</x:v>
      </x:c>
      <x:c r="AP180" s="25" t="str">
        <x:f>IF(OR(E180="processing",E180="executing",E180="pending"),IF(AM180="","Required aging date missing",IF(AN180&gt;30,"Escalate &gt;30d",IF(AN180&gt;14,"Watch &gt;14d","Within 14d"))),"Out of scope")</x:f>
        <x:v>Out of scope</x:v>
      </x:c>
    </x:row>
    <x:row r="181" ht="24" customHeight="1">
      <x:c r="A181" t="str">
        <x:v>eef26968-6541-4853-8660-127eeb2fa3e6</x:v>
      </x:c>
      <x:c r="B181" t="str">
        <x:v>CSSP10258689</x:v>
      </x:c>
      <x:c r="C181" t="str">
        <x:v>norfazillah.awahab@petronas.com</x:v>
      </x:c>
      <x:c r="D181" t="str">
        <x:v>provision-cloud-public</x:v>
      </x:c>
      <x:c r="E181" t="str">
        <x:v>completed</x:v>
      </x:c>
      <x:c r="F181" t="n">
        <x:v>46178.302326261575</x:v>
      </x:c>
      <x:c r="G181" t="n">
        <x:v>46178.302326261575</x:v>
      </x:c>
      <x:c r="H181" t="n">
        <x:v>46196.16723219908</x:v>
      </x:c>
      <x:c r="I181" t="str">
        <x:v>A-001347</x:v>
      </x:c>
      <x:c r="J181" t="str">
        <x:v>NeTool for ENIGMA SEARAH</x:v>
      </x:c>
      <x:c r="K181" t="str">
        <x:v>SR26947_NeTool</x:v>
      </x:c>
      <x:c r="L181" t="str">
        <x:v>ENIGMA JV: Implementation of Wells System and Data for MacCo - NeTool</x:v>
      </x:c>
      <x:c r="M181" t="str">
        <x:v>nurshida.czakaria@petronas.com.my</x:v>
      </x:c>
      <x:c r="N181" t="str">
        <x:v>Enigma</x:v>
      </x:c>
      <x:c r="O181" t="str">
        <x:v>New</x:v>
      </x:c>
      <x:c r="P181" t="str">
        <x:v>Production</x:v>
      </x:c>
      <x:c r="Q181" t="str">
        <x:v>To provision the enigma license server for Searah</x:v>
      </x:c>
      <x:c r="R181" t="str">
        <x:v>S</x:v>
      </x:c>
      <x:c r="S181"/>
      <x:c r="T181"/>
      <x:c r="U181" t="str">
        <x:v>Supported and approved. </x:v>
      </x:c>
      <x:c r="V181" t="n">
        <x:v>46178.30785506944</x:v>
      </x:c>
      <x:c r="W181" t="str">
        <x:v>nurshida.czakaria@petronas.com</x:v>
      </x:c>
      <x:c r="X181" t="str">
        <x:v>approved</x:v>
      </x:c>
      <x:c r="Y181" t="str">
        <x:v>Kindly proceed with deploying the Storage Account (Managed Disk) in Malaysia West, aligned with the other services. It is good to go.</x:v>
      </x:c>
      <x:c r="Z181" t="n">
        <x:v>46183.305741689815</x:v>
      </x:c>
      <x:c r="AA181" t="str">
        <x:v>samsuddin.jumbri@petronas.com</x:v>
      </x:c>
      <x:c r="AB181" t="str">
        <x:v>approved</x:v>
      </x:c>
      <x:c r="AC181" t="str">
        <x:v>1x VM</x:v>
      </x:c>
      <x:c r="AD181" t="n">
        <x:v>46195.34891552083</x:v>
      </x:c>
      <x:c r="AE181" t="str">
        <x:v>syazali.saad@petronas.com</x:v>
      </x:c>
      <x:c r="AF181" t="str">
        <x:v>approved</x:v>
      </x:c>
      <x:c r="AG181" t="str">
        <x:v>Complete</x:v>
      </x:c>
      <x:c r="AH181" t="n">
        <x:v>46196.167232210646</x:v>
      </x:c>
      <x:c r="AI181" t="str">
        <x:v>afnanfarhan.dzaharud@petronas.com</x:v>
      </x:c>
      <x:c r="AJ181" t="str">
        <x:v>approved</x:v>
      </x:c>
      <x:c r="AK181" t="str">
        <x:v>REQ000008113441</x:v>
      </x:c>
      <x:c r="AL181" t="str">
        <x:v>1746e1a0-c7b0-49c0-b93c-c7e83491f828</x:v>
      </x:c>
      <x:c r="AM181" s="23" t="str">
        <x:f>IF(E181="processing",IF(Z181="","",IF(ISNUMBER(Z181),INT(Z181),DATE(VALUE(LEFT(Z181,4)),VALUE(MID(Z181,6,2)),VALUE(MID(Z181,9,2))))),IF(OR(E181="executing",E181="pending"),IF(AD181="","",IF(ISNUMBER(AD181),INT(AD181),DATE(VALUE(LEFT(AD181,4)),VALUE(MID(AD181,6,2)),VALUE(MID(AD181,9,2))))),""))</x:f>
      </x:c>
      <x:c r="AN181" s="24" t="str">
        <x:f>IF(AM181="","",INT('Configuration'!$B$4)-AM181)</x:f>
      </x:c>
      <x:c r="AO181" s="25" t="str">
        <x:f>IF(AM181="","Missing Required Date",IF(AN181&lt;0,"Future Date",IF(AN181=0,"0 days",IF(AN181&lt;=2,"1-2 days",IF(AN181&lt;=7,"3-7 days",IF(AN181&lt;=14,"8-14 days",IF(AN181&lt;=30,"15-30 days",IF(AN181&lt;=60,"31-60 days",IF(AN181&lt;=70,"61-70 days","71+ days")))))))))</x:f>
        <x:v>Missing Required Date</x:v>
      </x:c>
      <x:c r="AP181" s="25" t="str">
        <x:f>IF(OR(E181="processing",E181="executing",E181="pending"),IF(AM181="","Required aging date missing",IF(AN181&gt;30,"Escalate &gt;30d",IF(AN181&gt;14,"Watch &gt;14d","Within 14d"))),"Out of scope")</x:f>
        <x:v>Out of scope</x:v>
      </x:c>
    </x:row>
    <x:row r="182" ht="24" customHeight="1">
      <x:c r="A182" t="str">
        <x:v>918c0a31-b911-4707-9a6b-69bfdb2eb0e6</x:v>
      </x:c>
      <x:c r="B182" t="str">
        <x:v>CSSP10240410</x:v>
      </x:c>
      <x:c r="C182" t="str">
        <x:v>josephine.danielbav@petronas.com</x:v>
      </x:c>
      <x:c r="D182" t="str">
        <x:v>provision-cloud-public</x:v>
      </x:c>
      <x:c r="E182" t="str">
        <x:v>completed</x:v>
      </x:c>
      <x:c r="F182" t="n">
        <x:v>46182.32776907407</x:v>
      </x:c>
      <x:c r="G182" t="n">
        <x:v>46184.290564282404</x:v>
      </x:c>
      <x:c r="H182" t="n">
        <x:v>46199.23307775463</x:v>
      </x:c>
      <x:c r="I182" t="str">
        <x:v>A-001373</x:v>
      </x:c>
      <x:c r="J182" t="str">
        <x:v>Right Asset Right Player </x:v>
      </x:c>
      <x:c r="K182" t="str">
        <x:v>SR00563</x:v>
      </x:c>
      <x:c r="L182" t="str">
        <x:v>[2026] Technology Consulting for MPM Right Asset Right Player (RARP) Development</x:v>
      </x:c>
      <x:c r="M182" t="str">
        <x:v>aishah.suhaidi@petronas.com.my</x:v>
      </x:c>
      <x:c r="N182" t="str">
        <x:v>Right Asset Right Player</x:v>
      </x:c>
      <x:c r="O182" t="str">
        <x:v>New</x:v>
      </x:c>
      <x:c r="P182" t="str">
        <x:v>Development</x:v>
      </x:c>
      <x:c r="Q182" t="str">
        <x:v>Need to Provision a new DEV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2" t="str">
        <x:v>L</x:v>
      </x:c>
      <x:c r="S182"/>
      <x:c r="T182"/>
      <x:c r="U182" t="str">
        <x:v>requested for rarp</x:v>
      </x:c>
      <x:c r="V182" t="n">
        <x:v>46184.303156539354</x:v>
      </x:c>
      <x:c r="W182" t="str">
        <x:v>aishah.suhaidi@petronas.com</x:v>
      </x:c>
      <x:c r="X182" t="str">
        <x:v>approved</x:v>
      </x:c>
      <x:c r="Y182" t="str">
        <x:v>Good to go</x:v>
      </x:c>
      <x:c r="Z182" t="n">
        <x:v>46188.134317951386</x:v>
      </x:c>
      <x:c r="AA182" t="str">
        <x:v>samsuddin.jumbri@petronas.com</x:v>
      </x:c>
      <x:c r="AB182" t="str">
        <x:v>approved</x:v>
      </x:c>
      <x:c r="AC182" t="str">
        <x:v>DEV CSSP10240410, 
UAT CSSP10814753, 
PROD CSSP10126389
AKS</x:v>
      </x:c>
      <x:c r="AD182" t="n">
        <x:v>46189.1154852662</x:v>
      </x:c>
      <x:c r="AE182" t="str">
        <x:v>syazali.saad@petronas.com</x:v>
      </x:c>
      <x:c r="AF182" t="str">
        <x:v>approved</x:v>
      </x:c>
      <x:c r="AG182" t="str">
        <x:v>completed</x:v>
      </x:c>
      <x:c r="AH182" t="n">
        <x:v>46199.23307776621</x:v>
      </x:c>
      <x:c r="AI182" t="str">
        <x:v>akhmal.roslan@petronas.com</x:v>
      </x:c>
      <x:c r="AJ182" t="str">
        <x:v>approved</x:v>
      </x:c>
      <x:c r="AK182" t="str">
        <x:v>REQ000008102709</x:v>
      </x:c>
      <x:c r="AL182" t="str">
        <x:v>ece45929-4baa-4791-be4e-f8c3b759e5a7</x:v>
      </x:c>
      <x:c r="AM182" s="23" t="str">
        <x:f>IF(E182="processing",IF(Z182="","",IF(ISNUMBER(Z182),INT(Z182),DATE(VALUE(LEFT(Z182,4)),VALUE(MID(Z182,6,2)),VALUE(MID(Z182,9,2))))),IF(OR(E182="executing",E182="pending"),IF(AD182="","",IF(ISNUMBER(AD182),INT(AD182),DATE(VALUE(LEFT(AD182,4)),VALUE(MID(AD182,6,2)),VALUE(MID(AD182,9,2))))),""))</x:f>
      </x:c>
      <x:c r="AN182" s="24" t="str">
        <x:f>IF(AM182="","",INT('Configuration'!$B$4)-AM182)</x:f>
      </x:c>
      <x:c r="AO182" s="25" t="str">
        <x:f>IF(AM182="","Missing Required Date",IF(AN182&lt;0,"Future Date",IF(AN182=0,"0 days",IF(AN182&lt;=2,"1-2 days",IF(AN182&lt;=7,"3-7 days",IF(AN182&lt;=14,"8-14 days",IF(AN182&lt;=30,"15-30 days",IF(AN182&lt;=60,"31-60 days",IF(AN182&lt;=70,"61-70 days","71+ days")))))))))</x:f>
        <x:v>Missing Required Date</x:v>
      </x:c>
      <x:c r="AP182" s="25" t="str">
        <x:f>IF(OR(E182="processing",E182="executing",E182="pending"),IF(AM182="","Required aging date missing",IF(AN182&gt;30,"Escalate &gt;30d",IF(AN182&gt;14,"Watch &gt;14d","Within 14d"))),"Out of scope")</x:f>
        <x:v>Out of scope</x:v>
      </x:c>
    </x:row>
    <x:row r="183" ht="24" customHeight="1">
      <x:c r="A183" t="str">
        <x:v>2f0d6952-fc56-49af-94e6-67c685a03b9b</x:v>
      </x:c>
      <x:c r="B183" t="str">
        <x:v>CSSP10814753</x:v>
      </x:c>
      <x:c r="C183" t="str">
        <x:v>josephine.danielbav@petronas.com</x:v>
      </x:c>
      <x:c r="D183" t="str">
        <x:v>provision-cloud-public</x:v>
      </x:c>
      <x:c r="E183" t="str">
        <x:v>completed</x:v>
      </x:c>
      <x:c r="F183" t="n">
        <x:v>46182.33003168982</x:v>
      </x:c>
      <x:c r="G183" t="n">
        <x:v>46184.289465092595</x:v>
      </x:c>
      <x:c r="H183" t="n">
        <x:v>46199.23329621528</x:v>
      </x:c>
      <x:c r="I183" t="str">
        <x:v>A-001373</x:v>
      </x:c>
      <x:c r="J183" t="str">
        <x:v>Right Asset Right Player </x:v>
      </x:c>
      <x:c r="K183" t="str">
        <x:v>SR00563</x:v>
      </x:c>
      <x:c r="L183" t="str">
        <x:v>[2026] Technology Consulting for MPM Right Asset Right Player (RARP) Development</x:v>
      </x:c>
      <x:c r="M183" t="str">
        <x:v>aishah.suhaidi@petronas.com.my</x:v>
      </x:c>
      <x:c r="N183" t="str">
        <x:v>Right Asset Right Player</x:v>
      </x:c>
      <x:c r="O183" t="str">
        <x:v>New</x:v>
      </x:c>
      <x:c r="P183" t="str">
        <x:v>StagingUat</x:v>
      </x:c>
      <x:c r="Q183" t="str">
        <x:v>Need to Provision a new Staging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3" t="str">
        <x:v>L</x:v>
      </x:c>
      <x:c r="S183"/>
      <x:c r="T183"/>
      <x:c r="U183" t="str">
        <x:v>required for rarp</x:v>
      </x:c>
      <x:c r="V183" t="n">
        <x:v>46184.29277922454</x:v>
      </x:c>
      <x:c r="W183" t="str">
        <x:v>aishah.suhaidi@petronas.com</x:v>
      </x:c>
      <x:c r="X183" t="str">
        <x:v>approved</x:v>
      </x:c>
      <x:c r="Y183" t="str">
        <x:v>Good to go</x:v>
      </x:c>
      <x:c r="Z183" t="n">
        <x:v>46188.13380236111</x:v>
      </x:c>
      <x:c r="AA183" t="str">
        <x:v>samsuddin.jumbri@petronas.com</x:v>
      </x:c>
      <x:c r="AB183" t="str">
        <x:v>approved</x:v>
      </x:c>
      <x:c r="AC183" t="str">
        <x:v>DEV CSSP10240410, 
UAT CSSP10814753, 
PROD CSSP10126389
AKS</x:v>
      </x:c>
      <x:c r="AD183" t="n">
        <x:v>46189.11557945602</x:v>
      </x:c>
      <x:c r="AE183" t="str">
        <x:v>syazali.saad@petronas.com</x:v>
      </x:c>
      <x:c r="AF183" t="str">
        <x:v>approved</x:v>
      </x:c>
      <x:c r="AG183" t="str">
        <x:v>completed</x:v>
      </x:c>
      <x:c r="AH183" t="n">
        <x:v>46199.23329622685</x:v>
      </x:c>
      <x:c r="AI183" t="str">
        <x:v>akhmal.roslan@petronas.com</x:v>
      </x:c>
      <x:c r="AJ183" t="str">
        <x:v>approved</x:v>
      </x:c>
      <x:c r="AK183" t="str">
        <x:v>REQ000008102710</x:v>
      </x:c>
      <x:c r="AL183" t="str">
        <x:v>ece45929-4baa-4791-be4e-f8c3b759e5a7</x:v>
      </x:c>
      <x:c r="AM183" s="23" t="str">
        <x:f>IF(E183="processing",IF(Z183="","",IF(ISNUMBER(Z183),INT(Z183),DATE(VALUE(LEFT(Z183,4)),VALUE(MID(Z183,6,2)),VALUE(MID(Z183,9,2))))),IF(OR(E183="executing",E183="pending"),IF(AD183="","",IF(ISNUMBER(AD183),INT(AD183),DATE(VALUE(LEFT(AD183,4)),VALUE(MID(AD183,6,2)),VALUE(MID(AD183,9,2))))),""))</x:f>
      </x:c>
      <x:c r="AN183" s="24" t="str">
        <x:f>IF(AM183="","",INT('Configuration'!$B$4)-AM183)</x:f>
      </x:c>
      <x:c r="AO183" s="25" t="str">
        <x:f>IF(AM183="","Missing Required Date",IF(AN183&lt;0,"Future Date",IF(AN183=0,"0 days",IF(AN183&lt;=2,"1-2 days",IF(AN183&lt;=7,"3-7 days",IF(AN183&lt;=14,"8-14 days",IF(AN183&lt;=30,"15-30 days",IF(AN183&lt;=60,"31-60 days",IF(AN183&lt;=70,"61-70 days","71+ days")))))))))</x:f>
        <x:v>Missing Required Date</x:v>
      </x:c>
      <x:c r="AP183" s="25" t="str">
        <x:f>IF(OR(E183="processing",E183="executing",E183="pending"),IF(AM183="","Required aging date missing",IF(AN183&gt;30,"Escalate &gt;30d",IF(AN183&gt;14,"Watch &gt;14d","Within 14d"))),"Out of scope")</x:f>
        <x:v>Out of scope</x:v>
      </x:c>
    </x:row>
    <x:row r="184" ht="24" customHeight="1">
      <x:c r="A184" t="str">
        <x:v>7baf90ba-ad7f-4550-9f4c-68fce509825a</x:v>
      </x:c>
      <x:c r="B184" t="str">
        <x:v>CSSP10126389</x:v>
      </x:c>
      <x:c r="C184" t="str">
        <x:v>josephine.danielbav@petronas.com</x:v>
      </x:c>
      <x:c r="D184" t="str">
        <x:v>provision-cloud-public</x:v>
      </x:c>
      <x:c r="E184" t="str">
        <x:v>completed</x:v>
      </x:c>
      <x:c r="F184" t="n">
        <x:v>46182.33086958333</x:v>
      </x:c>
      <x:c r="G184" t="n">
        <x:v>46184.28830862269</x:v>
      </x:c>
      <x:c r="H184" t="n">
        <x:v>46199.23362236111</x:v>
      </x:c>
      <x:c r="I184" t="str">
        <x:v>A-001373</x:v>
      </x:c>
      <x:c r="J184" t="str">
        <x:v>Right Asset Right Player </x:v>
      </x:c>
      <x:c r="K184" t="str">
        <x:v>SR00563</x:v>
      </x:c>
      <x:c r="L184" t="str">
        <x:v>[2026] Technology Consulting for MPM Right Asset Right Player (RARP) Development</x:v>
      </x:c>
      <x:c r="M184" t="str">
        <x:v>aishah.suhaidi@petronas.com.my</x:v>
      </x:c>
      <x:c r="N184" t="str">
        <x:v>Right Asset Right Player</x:v>
      </x:c>
      <x:c r="O184" t="str">
        <x:v>New</x:v>
      </x:c>
      <x:c r="P184" t="str">
        <x:v>Production</x:v>
      </x:c>
      <x:c r="Q184" t="str">
        <x:v>Need to Provision a new Production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4" t="str">
        <x:v>L</x:v>
      </x:c>
      <x:c r="S184"/>
      <x:c r="T184"/>
      <x:c r="U184" t="str">
        <x:v>required for rarp</x:v>
      </x:c>
      <x:c r="V184" t="n">
        <x:v>46184.292292164355</x:v>
      </x:c>
      <x:c r="W184" t="str">
        <x:v>aishah.suhaidi@petronas.com</x:v>
      </x:c>
      <x:c r="X184" t="str">
        <x:v>approved</x:v>
      </x:c>
      <x:c r="Y184" t="str">
        <x:v>required for rarp</x:v>
      </x:c>
      <x:c r="Z184" t="n">
        <x:v>46184.2935841088</x:v>
      </x:c>
      <x:c r="AA184" t="str">
        <x:v>aishah.suhaidi@petronas.com</x:v>
      </x:c>
      <x:c r="AB184" t="str">
        <x:v>approved</x:v>
      </x:c>
      <x:c r="AC184" t="str">
        <x:v>DEV CSSP10240410, 
UAT CSSP10814753, 
PROD CSSP10126389
AKS</x:v>
      </x:c>
      <x:c r="AD184" t="n">
        <x:v>46189.115711875</x:v>
      </x:c>
      <x:c r="AE184" t="str">
        <x:v>syazali.saad@petronas.com</x:v>
      </x:c>
      <x:c r="AF184" t="str">
        <x:v>approved</x:v>
      </x:c>
      <x:c r="AG184" t="str">
        <x:v>completed</x:v>
      </x:c>
      <x:c r="AH184" t="n">
        <x:v>46199.23362237268</x:v>
      </x:c>
      <x:c r="AI184" t="str">
        <x:v>akhmal.roslan@petronas.com</x:v>
      </x:c>
      <x:c r="AJ184" t="str">
        <x:v>approved</x:v>
      </x:c>
      <x:c r="AK184" t="str">
        <x:v>REQ000008102711</x:v>
      </x:c>
      <x:c r="AL184" t="str">
        <x:v>ece45929-4baa-4791-be4e-f8c3b759e5a7</x:v>
      </x:c>
      <x:c r="AM184" s="23" t="str">
        <x:f>IF(E184="processing",IF(Z184="","",IF(ISNUMBER(Z184),INT(Z184),DATE(VALUE(LEFT(Z184,4)),VALUE(MID(Z184,6,2)),VALUE(MID(Z184,9,2))))),IF(OR(E184="executing",E184="pending"),IF(AD184="","",IF(ISNUMBER(AD184),INT(AD184),DATE(VALUE(LEFT(AD184,4)),VALUE(MID(AD184,6,2)),VALUE(MID(AD184,9,2))))),""))</x:f>
      </x:c>
      <x:c r="AN184" s="24" t="str">
        <x:f>IF(AM184="","",INT('Configuration'!$B$4)-AM184)</x:f>
      </x:c>
      <x:c r="AO184" s="25" t="str">
        <x:f>IF(AM184="","Missing Required Date",IF(AN184&lt;0,"Future Date",IF(AN184=0,"0 days",IF(AN184&lt;=2,"1-2 days",IF(AN184&lt;=7,"3-7 days",IF(AN184&lt;=14,"8-14 days",IF(AN184&lt;=30,"15-30 days",IF(AN184&lt;=60,"31-60 days",IF(AN184&lt;=70,"61-70 days","71+ days")))))))))</x:f>
        <x:v>Missing Required Date</x:v>
      </x:c>
      <x:c r="AP184" s="25" t="str">
        <x:f>IF(OR(E184="processing",E184="executing",E184="pending"),IF(AM184="","Required aging date missing",IF(AN184&gt;30,"Escalate &gt;30d",IF(AN184&gt;14,"Watch &gt;14d","Within 14d"))),"Out of scope")</x:f>
        <x:v>Out of scope</x:v>
      </x:c>
    </x:row>
    <x:row r="185" ht="24" customHeight="1">
      <x:c r="A185" t="str">
        <x:v>b84b5a36-28cb-4f6d-8738-368f5f1baafd</x:v>
      </x:c>
      <x:c r="B185" t="str">
        <x:v>CSSP10689195</x:v>
      </x:c>
      <x:c r="C185" t="str">
        <x:v>mahmad.abdsamad@petronas.com</x:v>
      </x:c>
      <x:c r="D185" t="str">
        <x:v>provision-cloud-public</x:v>
      </x:c>
      <x:c r="E185" t="str">
        <x:v>completed</x:v>
      </x:c>
      <x:c r="F185" t="n">
        <x:v>46183.3854475</x:v>
      </x:c>
      <x:c r="G185" t="n">
        <x:v>46184.28976458334</x:v>
      </x:c>
      <x:c r="H185" t="n">
        <x:v>46196.34088435185</x:v>
      </x:c>
      <x:c r="I185" t="str">
        <x:v>A-001357</x:v>
      </x:c>
      <x:c r="J185" t="str">
        <x:v>Integrated Asset Modelling - IAM for ENIGMA SEARAH</x:v>
      </x:c>
      <x:c r="K185" t="str">
        <x:v>SR26937_IAM</x:v>
      </x:c>
      <x:c r="L185" t="str">
        <x:v>ENIGMA JV (Production): Implementing New Subscriptions for MacCo_IAM</x:v>
      </x:c>
      <x:c r="M185" t="str">
        <x:v>mhafiz.samsudin@petronas.com</x:v>
      </x:c>
      <x:c r="N185" t="str">
        <x:v>Enigma</x:v>
      </x:c>
      <x:c r="O185" t="str">
        <x:v>New</x:v>
      </x:c>
      <x:c r="P185" t="str">
        <x:v>Production</x:v>
      </x:c>
      <x:c r="Q185" t="str">
        <x:v>provisioning of IAM-DOFcloud Server for ENIGMA Searah</x:v>
      </x:c>
      <x:c r="R185" t="str">
        <x:v>M</x:v>
      </x:c>
      <x:c r="S185"/>
      <x:c r="T185"/>
      <x:c r="U185" t="str">
        <x:v>Approved as it is critical for Searah application onboarding. Kindly expedite to meet 1st July Go-Live timeline.</x:v>
      </x:c>
      <x:c r="V185" t="n">
        <x:v>46184.30217472222</x:v>
      </x:c>
      <x:c r="W185" t="str">
        <x:v>mhafiz.samsudin@petronas.com</x:v>
      </x:c>
      <x:c r="X185" t="str">
        <x:v>approved</x:v>
      </x:c>
      <x:c r="Y185" t="str">
        <x:v>Good to go</x:v>
      </x:c>
      <x:c r="Z185" t="n">
        <x:v>46188.137115972226</x:v>
      </x:c>
      <x:c r="AA185" t="str">
        <x:v>samsuddin.jumbri@petronas.com</x:v>
      </x:c>
      <x:c r="AB185" t="str">
        <x:v>approved</x:v>
      </x:c>
      <x:c r="AC185" t="str">
        <x:v>6x VM</x:v>
      </x:c>
      <x:c r="AD185" t="n">
        <x:v>46195.34751175926</x:v>
      </x:c>
      <x:c r="AE185" t="str">
        <x:v>syazali.saad@petronas.com</x:v>
      </x:c>
      <x:c r="AF185" t="str">
        <x:v>approved</x:v>
      </x:c>
      <x:c r="AG185" t="str">
        <x:v>Completed</x:v>
      </x:c>
      <x:c r="AH185" t="n">
        <x:v>46196.340884363424</x:v>
      </x:c>
      <x:c r="AI185" t="str">
        <x:v>mfirdaus.fadlizam@petronas.com</x:v>
      </x:c>
      <x:c r="AJ185" t="str">
        <x:v>approved</x:v>
      </x:c>
      <x:c r="AK185" t="str">
        <x:v>REQ000008113436</x:v>
      </x:c>
      <x:c r="AL185" t="str">
        <x:v>48d9dba8-fbe9-47fc-b41e-8f4bcd178425</x:v>
      </x:c>
      <x:c r="AM185" s="23" t="str">
        <x:f>IF(E185="processing",IF(Z185="","",IF(ISNUMBER(Z185),INT(Z185),DATE(VALUE(LEFT(Z185,4)),VALUE(MID(Z185,6,2)),VALUE(MID(Z185,9,2))))),IF(OR(E185="executing",E185="pending"),IF(AD185="","",IF(ISNUMBER(AD185),INT(AD185),DATE(VALUE(LEFT(AD185,4)),VALUE(MID(AD185,6,2)),VALUE(MID(AD185,9,2))))),""))</x:f>
      </x:c>
      <x:c r="AN185" s="24" t="str">
        <x:f>IF(AM185="","",INT('Configuration'!$B$4)-AM185)</x:f>
      </x:c>
      <x:c r="AO185" s="25" t="str">
        <x:f>IF(AM185="","Missing Required Date",IF(AN185&lt;0,"Future Date",IF(AN185=0,"0 days",IF(AN185&lt;=2,"1-2 days",IF(AN185&lt;=7,"3-7 days",IF(AN185&lt;=14,"8-14 days",IF(AN185&lt;=30,"15-30 days",IF(AN185&lt;=60,"31-60 days",IF(AN185&lt;=70,"61-70 days","71+ days")))))))))</x:f>
        <x:v>Missing Required Date</x:v>
      </x:c>
      <x:c r="AP185" s="25" t="str">
        <x:f>IF(OR(E185="processing",E185="executing",E185="pending"),IF(AM185="","Required aging date missing",IF(AN185&gt;30,"Escalate &gt;30d",IF(AN185&gt;14,"Watch &gt;14d","Within 14d"))),"Out of scope")</x:f>
        <x:v>Out of scope</x:v>
      </x:c>
    </x:row>
    <x:row r="186" ht="24" customHeight="1">
      <x:c r="A186" t="str">
        <x:v>e2a4626b-dce7-4551-8909-c37544ce5e13</x:v>
      </x:c>
      <x:c r="B186" t="str">
        <x:v>CSSP10679364</x:v>
      </x:c>
      <x:c r="C186" t="str">
        <x:v>liyana.arif@petronas.com</x:v>
      </x:c>
      <x:c r="D186" t="str">
        <x:v>provision-cloud-public</x:v>
      </x:c>
      <x:c r="E186" t="str">
        <x:v>completed</x:v>
      </x:c>
      <x:c r="F186" t="n">
        <x:v>46184.093361770836</x:v>
      </x:c>
      <x:c r="G186" t="n">
        <x:v>46184.172722256946</x:v>
      </x:c>
      <x:c r="H186" t="n">
        <x:v>46196.167159143515</x:v>
      </x:c>
      <x:c r="I186" t="str">
        <x:v>A-001351</x:v>
      </x:c>
      <x:c r="J186" t="str">
        <x:v>Lab Information Management System - LIMS for ENIGMA SEARAH</x:v>
      </x:c>
      <x:c r="K186" t="str">
        <x:v>SR26937_LIMS</x:v>
      </x:c>
      <x:c r="L186" t="str">
        <x:v>ENIGMA JV (Production): Implementing New Subscriptions for MacCo_LIMS</x:v>
      </x:c>
      <x:c r="M186" t="str">
        <x:v>mhafiz.samsudin@petronas.com</x:v>
      </x:c>
      <x:c r="N186" t="str">
        <x:v>Enigma</x:v>
      </x:c>
      <x:c r="O186" t="str">
        <x:v>New</x:v>
      </x:c>
      <x:c r="P186" t="str">
        <x:v>Production</x:v>
      </x:c>
      <x:c r="Q186" t="str">
        <x:v>To provision production and development server for SEARAH LIMS</x:v>
      </x:c>
      <x:c r="R186" t="str">
        <x:v>M</x:v>
      </x:c>
      <x:c r="S186"/>
      <x:c r="T186"/>
      <x:c r="U186" t="str">
        <x:v>Approved as request is critical for Searah onboarding. Kindly expedite to meet 1st July Go-Live.</x:v>
      </x:c>
      <x:c r="V186" t="n">
        <x:v>46184.17847092592</x:v>
      </x:c>
      <x:c r="W186" t="str">
        <x:v>mhafiz.samsudin@petronas.com</x:v>
      </x:c>
      <x:c r="X186" t="str">
        <x:v>approved</x:v>
      </x:c>
      <x:c r="Y186" t="str">
        <x:v>Good to go but Azure Key Vault, Defender, Azure Monitor and VNet Peering must be included in the estimation cost.</x:v>
      </x:c>
      <x:c r="Z186" t="n">
        <x:v>46191.28840175926</x:v>
      </x:c>
      <x:c r="AA186" t="str">
        <x:v>samsuddin.jumbri@petronas.com</x:v>
      </x:c>
      <x:c r="AB186" t="str">
        <x:v>approved</x:v>
      </x:c>
      <x:c r="AC186" t="str">
        <x:v>VM + SQL</x:v>
      </x:c>
      <x:c r="AD186" t="n">
        <x:v>46195.348289953705</x:v>
      </x:c>
      <x:c r="AE186" t="str">
        <x:v>syazali.saad@petronas.com</x:v>
      </x:c>
      <x:c r="AF186" t="str">
        <x:v>approved</x:v>
      </x:c>
      <x:c r="AG186" t="str">
        <x:v>Complete</x:v>
      </x:c>
      <x:c r="AH186" t="n">
        <x:v>46196.16669304398</x:v>
      </x:c>
      <x:c r="AI186" t="str">
        <x:v>afnanfarhan.dzaharud@petronas.com</x:v>
      </x:c>
      <x:c r="AJ186" t="str">
        <x:v>approved</x:v>
      </x:c>
      <x:c r="AK186" t="str">
        <x:v>REQ000008113440</x:v>
      </x:c>
      <x:c r="AL186" t="str">
        <x:v>da7770e1-8755-414e-aae7-12d17670bbc9</x:v>
      </x:c>
      <x:c r="AM186" s="23" t="str">
        <x:f>IF(E186="processing",IF(Z186="","",IF(ISNUMBER(Z186),INT(Z186),DATE(VALUE(LEFT(Z186,4)),VALUE(MID(Z186,6,2)),VALUE(MID(Z186,9,2))))),IF(OR(E186="executing",E186="pending"),IF(AD186="","",IF(ISNUMBER(AD186),INT(AD186),DATE(VALUE(LEFT(AD186,4)),VALUE(MID(AD186,6,2)),VALUE(MID(AD186,9,2))))),""))</x:f>
      </x:c>
      <x:c r="AN186" s="24" t="str">
        <x:f>IF(AM186="","",INT('Configuration'!$B$4)-AM186)</x:f>
      </x:c>
      <x:c r="AO186" s="25" t="str">
        <x:f>IF(AM186="","Missing Required Date",IF(AN186&lt;0,"Future Date",IF(AN186=0,"0 days",IF(AN186&lt;=2,"1-2 days",IF(AN186&lt;=7,"3-7 days",IF(AN186&lt;=14,"8-14 days",IF(AN186&lt;=30,"15-30 days",IF(AN186&lt;=60,"31-60 days",IF(AN186&lt;=70,"61-70 days","71+ days")))))))))</x:f>
        <x:v>Missing Required Date</x:v>
      </x:c>
      <x:c r="AP186" s="25" t="str">
        <x:f>IF(OR(E186="processing",E186="executing",E186="pending"),IF(AM186="","Required aging date missing",IF(AN186&gt;30,"Escalate &gt;30d",IF(AN186&gt;14,"Watch &gt;14d","Within 14d"))),"Out of scope")</x:f>
        <x:v>Out of scope</x:v>
      </x:c>
    </x:row>
    <x:row r="187" ht="24" customHeight="1">
      <x:c r="A187" t="str">
        <x:v>80075c55-97f9-4614-8c93-05457e89f4dd</x:v>
      </x:c>
      <x:c r="B187" t="str">
        <x:v>CSSP10856107</x:v>
      </x:c>
      <x:c r="C187" t="str">
        <x:v>mariffirdaus.mkhaidz@petronas.com</x:v>
      </x:c>
      <x:c r="D187" t="str">
        <x:v>provision-cloud-public</x:v>
      </x:c>
      <x:c r="E187" t="str">
        <x:v>completed</x:v>
      </x:c>
      <x:c r="F187" t="n">
        <x:v>46191.31653087963</x:v>
      </x:c>
      <x:c r="G187" t="n">
        <x:v>46191.31653087963</x:v>
      </x:c>
      <x:c r="H187" t="n">
        <x:v>46204.112240856484</x:v>
      </x:c>
      <x:c r="I187" t="str">
        <x:v>A-001346</x:v>
      </x:c>
      <x:c r="J187" t="str">
        <x:v>GPE Digital Platform</x:v>
      </x:c>
      <x:c r="K187" t="str">
        <x:v>SR00331</x:v>
      </x:c>
      <x:c r="L187" t="str">
        <x:v>Quality Suite</x:v>
      </x:c>
      <x:c r="M187" t="str">
        <x:v>msufian.hussein@petronas.com</x:v>
      </x:c>
      <x:c r="N187" t="str">
        <x:v>Quality Suite</x:v>
      </x:c>
      <x:c r="O187" t="str">
        <x:v>Modify</x:v>
      </x:c>
      <x:c r="P187" t="str">
        <x:v>Development</x:v>
      </x:c>
      <x:c r="Q187" t="str">
        <x:v>Please assist us to provision additional RDS in AWS for our application in DEV environment.</x:v>
      </x:c>
      <x:c r="R187" t="str">
        <x:v>M</x:v>
      </x:c>
      <x:c r="S187"/>
      <x:c r="T187"/>
      <x:c r="U187" t="str">
        <x:v>Approved</x:v>
      </x:c>
      <x:c r="V187" t="n">
        <x:v>46191.32281537037</x:v>
      </x:c>
      <x:c r="W187" t="str">
        <x:v>msufian.hussein@petronas.com</x:v>
      </x:c>
      <x:c r="X187" t="str">
        <x:v>approved</x:v>
      </x:c>
      <x:c r="Y187" t="str">
        <x:v>Good to go</x:v>
      </x:c>
      <x:c r="Z187" t="n">
        <x:v>46192.14175277778</x:v>
      </x:c>
      <x:c r="AA187" t="str">
        <x:v>samsuddin.jumbri@petronas.com</x:v>
      </x:c>
      <x:c r="AB187" t="str">
        <x:v>approved</x:v>
      </x:c>
      <x:c r="AC187" t="str">
        <x:v>CSSP10846792 - STG CSSP10856107 - DEV
</x:v>
      </x:c>
      <x:c r="AD187" t="n">
        <x:v>46195.36287935185</x:v>
      </x:c>
      <x:c r="AE187" t="str">
        <x:v>syazali.saad@petronas.com</x:v>
      </x:c>
      <x:c r="AF187" t="str">
        <x:v>approved</x:v>
      </x:c>
      <x:c r="AG187" t="str">
        <x:v>done.</x:v>
      </x:c>
      <x:c r="AH187" t="n">
        <x:v>46204.11224086805</x:v>
      </x:c>
      <x:c r="AI187" t="str">
        <x:v>azhan.shazeli@petronas.com</x:v>
      </x:c>
      <x:c r="AJ187" t="str">
        <x:v>approved</x:v>
      </x:c>
      <x:c r="AK187" t="str">
        <x:v>REQ000008113450</x:v>
      </x:c>
      <x:c r="AL187" t="str">
        <x:v>868b1bbc-b9be-43ba-8175-d6ca35843984</x:v>
      </x:c>
      <x:c r="AM187" s="23" t="str">
        <x:f>IF(E187="processing",IF(Z187="","",IF(ISNUMBER(Z187),INT(Z187),DATE(VALUE(LEFT(Z187,4)),VALUE(MID(Z187,6,2)),VALUE(MID(Z187,9,2))))),IF(OR(E187="executing",E187="pending"),IF(AD187="","",IF(ISNUMBER(AD187),INT(AD187),DATE(VALUE(LEFT(AD187,4)),VALUE(MID(AD187,6,2)),VALUE(MID(AD187,9,2))))),""))</x:f>
      </x:c>
      <x:c r="AN187" s="24" t="str">
        <x:f>IF(AM187="","",INT('Configuration'!$B$4)-AM187)</x:f>
      </x:c>
      <x:c r="AO187" s="25" t="str">
        <x:f>IF(AM187="","Missing Required Date",IF(AN187&lt;0,"Future Date",IF(AN187=0,"0 days",IF(AN187&lt;=2,"1-2 days",IF(AN187&lt;=7,"3-7 days",IF(AN187&lt;=14,"8-14 days",IF(AN187&lt;=30,"15-30 days",IF(AN187&lt;=60,"31-60 days",IF(AN187&lt;=70,"61-70 days","71+ days")))))))))</x:f>
        <x:v>Missing Required Date</x:v>
      </x:c>
      <x:c r="AP187" s="25" t="str">
        <x:f>IF(OR(E187="processing",E187="executing",E187="pending"),IF(AM187="","Required aging date missing",IF(AN187&gt;30,"Escalate &gt;30d",IF(AN187&gt;14,"Watch &gt;14d","Within 14d"))),"Out of scope")</x:f>
        <x:v>Out of scope</x:v>
      </x:c>
    </x:row>
    <x:row r="188" ht="24" customHeight="1">
      <x:c r="A188" t="str">
        <x:v>1169cf3b-7429-4187-9769-407331a521c9</x:v>
      </x:c>
      <x:c r="B188" t="str">
        <x:v>CSSP10846792</x:v>
      </x:c>
      <x:c r="C188" t="str">
        <x:v>mariffirdaus.mkhaidz@petronas.com</x:v>
      </x:c>
      <x:c r="D188" t="str">
        <x:v>provision-cloud-public</x:v>
      </x:c>
      <x:c r="E188" t="str">
        <x:v>completed</x:v>
      </x:c>
      <x:c r="F188" t="n">
        <x:v>46191.32075788194</x:v>
      </x:c>
      <x:c r="G188" t="n">
        <x:v>46191.32075788194</x:v>
      </x:c>
      <x:c r="H188" t="n">
        <x:v>46204.112013784725</x:v>
      </x:c>
      <x:c r="I188" t="str">
        <x:v>A-001346</x:v>
      </x:c>
      <x:c r="J188" t="str">
        <x:v>GPE Digital Platform</x:v>
      </x:c>
      <x:c r="K188" t="str">
        <x:v>SR00331</x:v>
      </x:c>
      <x:c r="L188" t="str">
        <x:v>Quality Suite</x:v>
      </x:c>
      <x:c r="M188" t="str">
        <x:v>msufian.hussein@petronas.com</x:v>
      </x:c>
      <x:c r="N188" t="str">
        <x:v>Quality Suite</x:v>
      </x:c>
      <x:c r="O188" t="str">
        <x:v>Modify</x:v>
      </x:c>
      <x:c r="P188" t="str">
        <x:v>StagingUat</x:v>
      </x:c>
      <x:c r="Q188" t="str">
        <x:v>Please assist us to provision additional RDS in AWS for our application in STG environment.</x:v>
      </x:c>
      <x:c r="R188" t="str">
        <x:v>M</x:v>
      </x:c>
      <x:c r="S188"/>
      <x:c r="T188"/>
      <x:c r="U188" t="str">
        <x:v>Approved</x:v>
      </x:c>
      <x:c r="V188" t="n">
        <x:v>46191.32333637732</x:v>
      </x:c>
      <x:c r="W188" t="str">
        <x:v>msufian.hussein@petronas.com</x:v>
      </x:c>
      <x:c r="X188" t="str">
        <x:v>approved</x:v>
      </x:c>
      <x:c r="Y188" t="str">
        <x:v>Good to go</x:v>
      </x:c>
      <x:c r="Z188" t="n">
        <x:v>46192.142148125</x:v>
      </x:c>
      <x:c r="AA188" t="str">
        <x:v>samsuddin.jumbri@petronas.com</x:v>
      </x:c>
      <x:c r="AB188" t="str">
        <x:v>approved</x:v>
      </x:c>
      <x:c r="AC188" t="str">
        <x:v>CSSP10846792 - STG
CSSP10856107 - DEV</x:v>
      </x:c>
      <x:c r="AD188" t="n">
        <x:v>46195.36250378472</x:v>
      </x:c>
      <x:c r="AE188" t="str">
        <x:v>syazali.saad@petronas.com</x:v>
      </x:c>
      <x:c r="AF188" t="str">
        <x:v>approved</x:v>
      </x:c>
      <x:c r="AG188" t="str">
        <x:v>created</x:v>
      </x:c>
      <x:c r="AH188" t="n">
        <x:v>46204.11201379629</x:v>
      </x:c>
      <x:c r="AI188" t="str">
        <x:v>azhan.shazeli@petronas.com</x:v>
      </x:c>
      <x:c r="AJ188" t="str">
        <x:v>approved</x:v>
      </x:c>
      <x:c r="AK188" t="str">
        <x:v>REQ000008112904</x:v>
      </x:c>
      <x:c r="AL188" t="str">
        <x:v>868b1bbc-b9be-43ba-8175-d6ca35843984</x:v>
      </x:c>
      <x:c r="AM188" s="23" t="str">
        <x:f>IF(E188="processing",IF(Z188="","",IF(ISNUMBER(Z188),INT(Z188),DATE(VALUE(LEFT(Z188,4)),VALUE(MID(Z188,6,2)),VALUE(MID(Z188,9,2))))),IF(OR(E188="executing",E188="pending"),IF(AD188="","",IF(ISNUMBER(AD188),INT(AD188),DATE(VALUE(LEFT(AD188,4)),VALUE(MID(AD188,6,2)),VALUE(MID(AD188,9,2))))),""))</x:f>
      </x:c>
      <x:c r="AN188" s="24" t="str">
        <x:f>IF(AM188="","",INT('Configuration'!$B$4)-AM188)</x:f>
      </x:c>
      <x:c r="AO188" s="25" t="str">
        <x:f>IF(AM188="","Missing Required Date",IF(AN188&lt;0,"Future Date",IF(AN188=0,"0 days",IF(AN188&lt;=2,"1-2 days",IF(AN188&lt;=7,"3-7 days",IF(AN188&lt;=14,"8-14 days",IF(AN188&lt;=30,"15-30 days",IF(AN188&lt;=60,"31-60 days",IF(AN188&lt;=70,"61-70 days","71+ days")))))))))</x:f>
        <x:v>Missing Required Date</x:v>
      </x:c>
      <x:c r="AP188" s="25" t="str">
        <x:f>IF(OR(E188="processing",E188="executing",E188="pending"),IF(AM188="","Required aging date missing",IF(AN188&gt;30,"Escalate &gt;30d",IF(AN188&gt;14,"Watch &gt;14d","Within 14d"))),"Out of scope")</x:f>
        <x:v>Out of scope</x:v>
      </x:c>
    </x:row>
    <x:row r="189" ht="24" customHeight="1">
      <x:c r="A189" t="str">
        <x:v>b2b76083-a0d5-49ca-b371-e2308e7baff5</x:v>
      </x:c>
      <x:c r="B189" t="str">
        <x:v>CSSP10346689</x:v>
      </x:c>
      <x:c r="C189" t="str">
        <x:v>ang.hooichen@petronas.com</x:v>
      </x:c>
      <x:c r="D189" t="str">
        <x:v>provision-cloud-public</x:v>
      </x:c>
      <x:c r="E189" t="str">
        <x:v>completed</x:v>
      </x:c>
      <x:c r="F189" t="n">
        <x:v>46191.41466510417</x:v>
      </x:c>
      <x:c r="G189" t="n">
        <x:v>46191.41466510417</x:v>
      </x:c>
      <x:c r="H189" t="n">
        <x:v>46218.1341944213</x:v>
      </x:c>
      <x:c r="I189" t="str">
        <x:v>A-000064</x:v>
      </x:c>
      <x:c r="J189" t="str">
        <x:v>Zidane OVC</x:v>
      </x:c>
      <x:c r="K189" t="n">
        <x:v>4569</x:v>
      </x:c>
      <x:c r="L189" t="str">
        <x:v>Provision of Professional Service, Software License and Infra for ArBiTra (OVC &amp; LVC) 2025 for PTLCL</x:v>
      </x:c>
      <x:c r="M189" t="str">
        <x:v>yap.winhong@petronas.com.my</x:v>
      </x:c>
      <x:c r="N189" t="str">
        <x:v>ArBiTra Phase 3 - IT Sub Modules</x:v>
      </x:c>
      <x:c r="O189" t="str">
        <x:v>New</x:v>
      </x:c>
      <x:c r="P189" t="str">
        <x:v>Production</x:v>
      </x:c>
      <x:c r="Q189" t="str">
        <x:v>Provision new workspace for Prod. BOM please refer to datathon_infratemplate.xlsx. BOM-SANDBOX sheet and Network Design-SANDBOX</x:v>
      </x:c>
      <x:c r="R189" t="str">
        <x:v>L</x:v>
      </x:c>
      <x:c r="S189"/>
      <x:c r="T189"/>
      <x:c r="U189" t="str">
        <x:v>Approve</x:v>
      </x:c>
      <x:c r="V189" t="n">
        <x:v>46192.30220091435</x:v>
      </x:c>
      <x:c r="W189" t="str">
        <x:v>yap.winhong@petronas.com</x:v>
      </x:c>
      <x:c r="X189" t="str">
        <x:v>approved</x:v>
      </x:c>
      <x:c r="Y189" t="str">
        <x:v>Good to go</x:v>
      </x:c>
      <x:c r="Z189" t="n">
        <x:v>46202.11779364583</x:v>
      </x:c>
      <x:c r="AA189" t="str">
        <x:v>samsuddin.jumbri@petronas.com</x:v>
      </x:c>
      <x:c r="AB189" t="str">
        <x:v>approved</x:v>
      </x:c>
      <x:c r="AC189" t="str">
        <x:v>Databricks workspace</x:v>
      </x:c>
      <x:c r="AD189" t="n">
        <x:v>46203.286255555555</x:v>
      </x:c>
      <x:c r="AE189" t="str">
        <x:v>syazali.saad@petronas.com</x:v>
      </x:c>
      <x:c r="AF189" t="str">
        <x:v>approved</x:v>
      </x:c>
      <x:c r="AG189" t="str">
        <x:v>deployment completed and successfully passed to user for usage</x:v>
      </x:c>
      <x:c r="AH189" t="n">
        <x:v>46218.13419443287</x:v>
      </x:c>
      <x:c r="AI189" t="str">
        <x:v>izzat.romainor@petronas.com</x:v>
      </x:c>
      <x:c r="AJ189" t="str">
        <x:v>approved</x:v>
      </x:c>
      <x:c r="AK189" t="str">
        <x:v>REQ000008129311</x:v>
      </x:c>
      <x:c r="AL189" t="str">
        <x:v>866cd81d-011e-424b-b696-e232f59deeb1</x:v>
      </x:c>
      <x:c r="AM189" s="23" t="str">
        <x:f>IF(E189="processing",IF(Z189="","",IF(ISNUMBER(Z189),INT(Z189),DATE(VALUE(LEFT(Z189,4)),VALUE(MID(Z189,6,2)),VALUE(MID(Z189,9,2))))),IF(OR(E189="executing",E189="pending"),IF(AD189="","",IF(ISNUMBER(AD189),INT(AD189),DATE(VALUE(LEFT(AD189,4)),VALUE(MID(AD189,6,2)),VALUE(MID(AD189,9,2))))),""))</x:f>
      </x:c>
      <x:c r="AN189" s="24" t="str">
        <x:f>IF(AM189="","",INT('Configuration'!$B$4)-AM189)</x:f>
      </x:c>
      <x:c r="AO189" s="25" t="str">
        <x:f>IF(AM189="","Missing Required Date",IF(AN189&lt;0,"Future Date",IF(AN189=0,"0 days",IF(AN189&lt;=2,"1-2 days",IF(AN189&lt;=7,"3-7 days",IF(AN189&lt;=14,"8-14 days",IF(AN189&lt;=30,"15-30 days",IF(AN189&lt;=60,"31-60 days",IF(AN189&lt;=70,"61-70 days","71+ days")))))))))</x:f>
        <x:v>Missing Required Date</x:v>
      </x:c>
      <x:c r="AP189" s="25" t="str">
        <x:f>IF(OR(E189="processing",E189="executing",E189="pending"),IF(AM189="","Required aging date missing",IF(AN189&gt;30,"Escalate &gt;30d",IF(AN189&gt;14,"Watch &gt;14d","Within 14d"))),"Out of scope")</x:f>
        <x:v>Out of scope</x:v>
      </x:c>
    </x:row>
    <x:row r="190" ht="24" customHeight="1">
      <x:c r="A190" t="str">
        <x:v>07e7c5b9-b52e-4b9d-83b1-d0a0d04a9047</x:v>
      </x:c>
      <x:c r="B190" t="str">
        <x:v>CSSP10156823</x:v>
      </x:c>
      <x:c r="C190" t="str">
        <x:v>kavya.ramamurthy@petronas.com</x:v>
      </x:c>
      <x:c r="D190" t="str">
        <x:v>provision-cloud-public</x:v>
      </x:c>
      <x:c r="E190" t="str">
        <x:v>rejected</x:v>
      </x:c>
      <x:c r="F190" t="n">
        <x:v>46196.243857685186</x:v>
      </x:c>
      <x:c r="G190" t="n">
        <x:v>46197.1863349537</x:v>
      </x:c>
      <x:c r="H190" t="n">
        <x:v>46197.22141547454</x:v>
      </x:c>
      <x:c r="I190" t="str">
        <x:v>A-000152</x:v>
      </x:c>
      <x:c r="J190" t="str">
        <x:v>Cyber Security Application Security Testing - ASTFortify</x:v>
      </x:c>
      <x:c r="K190" t="n">
        <x:v>3055</x:v>
      </x:c>
      <x:c r="L190" t="str">
        <x:v>Fortify AST (Application Security Testing) Tool deployment and integration to DevSecOps framework</x:v>
      </x:c>
      <x:c r="M190" t="str">
        <x:v>nurainil.m@petronas.com.my</x:v>
      </x:c>
      <x:c r="N190" t="str">
        <x:v>Fortify AST Tool</x:v>
      </x:c>
      <x:c r="O190" t="str">
        <x:v>New</x:v>
      </x:c>
      <x:c r="P190" t="str">
        <x:v>Production</x:v>
      </x:c>
      <x:c r="Q190" t="str">
        <x:v>The previous self hosted cloud agent used for DAST scan from devsecops pipeline was compromised and isolated. So we need to spawn new agent to keep scan running. Please refer to this link "https://learn.microsoft.com/en-us/azure/devops/pipelines/agents/windows-agent?view=azure-devops&amp;tabs=IP-V4" for agent requirements. PFA firewall requirements and HLD.</x:v>
      </x:c>
      <x:c r="R190"/>
      <x:c r="S190"/>
      <x:c r="T190"/>
      <x:c r="U190" t="str">
        <x:v>please upload the Azure Calculator for 2 new servers</x:v>
      </x:c>
      <x:c r="V190" t="n">
        <x:v>46197.22141549768</x:v>
      </x:c>
      <x:c r="W190" t="str">
        <x:v>nurainil.m@petronas.com</x:v>
      </x:c>
      <x:c r="X190" t="str">
        <x:v>rejected</x:v>
      </x:c>
      <x:c r="Y190"/>
      <x:c r="Z190"/>
      <x:c r="AA190" t="str">
        <x:v>CCoE Demand</x:v>
      </x:c>
      <x:c r="AB190"/>
      <x:c r="AC190"/>
      <x:c r="AD190"/>
      <x:c r="AE190" t="str">
        <x:v>CCoE Business</x:v>
      </x:c>
      <x:c r="AF190"/>
      <x:c r="AG190"/>
      <x:c r="AH190"/>
      <x:c r="AI190" t="str">
        <x:v>CCoE Core Services (Public)</x:v>
      </x:c>
      <x:c r="AJ190"/>
      <x:c r="AK190"/>
      <x:c r="AL190" t="str">
        <x:v>018866d2-6805-4206-9278-19021eb0ef40</x:v>
      </x:c>
      <x:c r="AM190" s="23" t="str">
        <x:f>IF(E190="processing",IF(Z190="","",IF(ISNUMBER(Z190),INT(Z190),DATE(VALUE(LEFT(Z190,4)),VALUE(MID(Z190,6,2)),VALUE(MID(Z190,9,2))))),IF(OR(E190="executing",E190="pending"),IF(AD190="","",IF(ISNUMBER(AD190),INT(AD190),DATE(VALUE(LEFT(AD190,4)),VALUE(MID(AD190,6,2)),VALUE(MID(AD190,9,2))))),""))</x:f>
      </x:c>
      <x:c r="AN190" s="24" t="str">
        <x:f>IF(AM190="","",INT('Configuration'!$B$4)-AM190)</x:f>
      </x:c>
      <x:c r="AO190" s="25" t="str">
        <x:f>IF(AM190="","Missing Required Date",IF(AN190&lt;0,"Future Date",IF(AN190=0,"0 days",IF(AN190&lt;=2,"1-2 days",IF(AN190&lt;=7,"3-7 days",IF(AN190&lt;=14,"8-14 days",IF(AN190&lt;=30,"15-30 days",IF(AN190&lt;=60,"31-60 days",IF(AN190&lt;=70,"61-70 days","71+ days")))))))))</x:f>
        <x:v>Missing Required Date</x:v>
      </x:c>
      <x:c r="AP190" s="25" t="str">
        <x:f>IF(OR(E190="processing",E190="executing",E190="pending"),IF(AM190="","Required aging date missing",IF(AN190&gt;30,"Escalate &gt;30d",IF(AN190&gt;14,"Watch &gt;14d","Within 14d"))),"Out of scope")</x:f>
        <x:v>Out of scope</x:v>
      </x:c>
    </x:row>
    <x:row r="191" ht="24" customHeight="1">
      <x:c r="A191" t="str">
        <x:v>fe745c87-39fa-457e-a6e4-0ead307871b9</x:v>
      </x:c>
      <x:c r="B191" t="str">
        <x:v>CSSP10408302</x:v>
      </x:c>
      <x:c r="C191" t="str">
        <x:v>ermanfitri.myasin@petronas.com</x:v>
      </x:c>
      <x:c r="D191" t="str">
        <x:v>provision-cloud-public</x:v>
      </x:c>
      <x:c r="E191" t="str">
        <x:v>rejected</x:v>
      </x:c>
      <x:c r="F191" t="n">
        <x:v>46197.117995706016</x:v>
      </x:c>
      <x:c r="G191" t="n">
        <x:v>46197.117995706016</x:v>
      </x:c>
      <x:c r="H191" t="n">
        <x:v>46202.13216947917</x:v>
      </x:c>
      <x:c r="I191" t="str">
        <x:v>A-000026</x:v>
      </x:c>
      <x:c r="J191" t="str">
        <x:v>Ansible Enterprise Configuration Management - AECM</x:v>
      </x:c>
      <x:c r="K191" t="str">
        <x:v>PC-00019</x:v>
      </x:c>
      <x:c r="L191" t="str">
        <x:v>Ansible Enterprise Configuration Management</x:v>
      </x:c>
      <x:c r="M191" t="str">
        <x:v>mfaizal.sidek@petronas.com</x:v>
      </x:c>
      <x:c r="N191" t="str">
        <x:v>Configuration_Management</x:v>
      </x:c>
      <x:c r="O191" t="str">
        <x:v>New</x:v>
      </x:c>
      <x:c r="P191" t="str">
        <x:v>Production</x:v>
      </x:c>
      <x:c r="Q191" t="str">
        <x:v>We would like to upgrade our servers within the existing resource group (PTAZSG-CORE-AECM-RG) to support the upgrade of our Red Hat Ansible Automation Platform. Kindly assist in provisioning three (3) servers running RHEL 9, following the specifications of 'PTSG-3AECMap01'.
The new server names are as follows:
1. PTAZSG-3AECMap01
2. PTAZSG-3AECMap02
3. PTAZSG-3AECMap03</x:v>
      </x:c>
      <x:c r="R191"/>
      <x:c r="S191"/>
      <x:c r="T191"/>
      <x:c r="U191" t="str">
        <x:v>Proceed</x:v>
      </x:c>
      <x:c r="V191" t="n">
        <x:v>46197.11861528935</x:v>
      </x:c>
      <x:c r="W191" t="str">
        <x:v>mfaizal.sidek@petronas.com</x:v>
      </x:c>
      <x:c r="X191" t="str">
        <x:v>approved</x:v>
      </x:c>
      <x:c r="Y191" t="str">
        <x:v>Kindly update the Request Category from New to Upgrade. As the resources are currently running in a Production environment, please also provide the RFC number for tracking and governance purposes.</x:v>
      </x:c>
      <x:c r="Z191" t="n">
        <x:v>46202.13216949074</x:v>
      </x:c>
      <x:c r="AA191" t="str">
        <x:v>samsuddin.jumbri@petronas.com</x:v>
      </x:c>
      <x:c r="AB191" t="str">
        <x:v>rejected</x:v>
      </x:c>
      <x:c r="AC191"/>
      <x:c r="AD191"/>
      <x:c r="AE191" t="str">
        <x:v>CCoE Business</x:v>
      </x:c>
      <x:c r="AF191"/>
      <x:c r="AG191"/>
      <x:c r="AH191"/>
      <x:c r="AI191" t="str">
        <x:v>CCoE Core Services (Public)</x:v>
      </x:c>
      <x:c r="AJ191"/>
      <x:c r="AK191"/>
      <x:c r="AL191" t="str">
        <x:v>7abf948a-6b31-4746-8daf-2698ab161815</x:v>
      </x:c>
      <x:c r="AM191" s="23" t="str">
        <x:f>IF(E191="processing",IF(Z191="","",IF(ISNUMBER(Z191),INT(Z191),DATE(VALUE(LEFT(Z191,4)),VALUE(MID(Z191,6,2)),VALUE(MID(Z191,9,2))))),IF(OR(E191="executing",E191="pending"),IF(AD191="","",IF(ISNUMBER(AD191),INT(AD191),DATE(VALUE(LEFT(AD191,4)),VALUE(MID(AD191,6,2)),VALUE(MID(AD191,9,2))))),""))</x:f>
      </x:c>
      <x:c r="AN191" s="24" t="str">
        <x:f>IF(AM191="","",INT('Configuration'!$B$4)-AM191)</x:f>
      </x:c>
      <x:c r="AO191" s="25" t="str">
        <x:f>IF(AM191="","Missing Required Date",IF(AN191&lt;0,"Future Date",IF(AN191=0,"0 days",IF(AN191&lt;=2,"1-2 days",IF(AN191&lt;=7,"3-7 days",IF(AN191&lt;=14,"8-14 days",IF(AN191&lt;=30,"15-30 days",IF(AN191&lt;=60,"31-60 days",IF(AN191&lt;=70,"61-70 days","71+ days")))))))))</x:f>
        <x:v>Missing Required Date</x:v>
      </x:c>
      <x:c r="AP191" s="25" t="str">
        <x:f>IF(OR(E191="processing",E191="executing",E191="pending"),IF(AM191="","Required aging date missing",IF(AN191&gt;30,"Escalate &gt;30d",IF(AN191&gt;14,"Watch &gt;14d","Within 14d"))),"Out of scope")</x:f>
        <x:v>Out of scope</x:v>
      </x:c>
    </x:row>
    <x:row r="192" ht="24" customHeight="1">
      <x:c r="A192" t="str">
        <x:v>5b71c260-c058-4ff2-aac6-aebd7824a8fe</x:v>
      </x:c>
      <x:c r="B192" t="str">
        <x:v>CSSP10577126</x:v>
      </x:c>
      <x:c r="C192" t="str">
        <x:v>amalina.arahman@petronas.com</x:v>
      </x:c>
      <x:c r="D192" t="str">
        <x:v>provision-cloud-public</x:v>
      </x:c>
      <x:c r="E192" t="str">
        <x:v>completed</x:v>
      </x:c>
      <x:c r="F192" t="n">
        <x:v>46198.136387604165</x:v>
      </x:c>
      <x:c r="G192" t="n">
        <x:v>46223.08939244213</x:v>
      </x:c>
      <x:c r="H192" t="n">
        <x:v>46250.900932233795</x:v>
      </x:c>
      <x:c r="I192" t="str">
        <x:v>A-001376</x:v>
      </x:c>
      <x:c r="J192" t="str">
        <x:v>Regional Service Management Experience Level Agreement - RSM XLA</x:v>
      </x:c>
      <x:c r="K192" t="str">
        <x:v>PC-00091</x:v>
      </x:c>
      <x:c r="L192" t="str">
        <x:v>Vanguard</x:v>
      </x:c>
      <x:c r="M192" t="str">
        <x:v>ashri.ariffin@petronas.com.my</x:v>
      </x:c>
      <x:c r="N192" t="str">
        <x:v>HRA_eForms</x:v>
      </x:c>
      <x:c r="O192" t="str">
        <x:v>New</x:v>
      </x:c>
      <x:c r="P192" t="str">
        <x:v>Production</x:v>
      </x:c>
      <x:c r="Q192" t="str">
        <x:v>To establish a sustainable AI ecosystem within Regional Service Management (RSM), enabling us to optimise MSP deliverables while aligning with the PETRONAS 2.0 agenda and broader digital transformation objectives.</x:v>
      </x:c>
      <x:c r="R192" t="str">
        <x:v>M</x:v>
      </x:c>
      <x:c r="S192"/>
      <x:c r="T192"/>
      <x:c r="U192" t="str">
        <x:v>Approved as essential tools ecosystem within RSM to generate XLA Dashboard (Vanguard) to orchestrate FS services by MSP to regional business operations</x:v>
      </x:c>
      <x:c r="V192" t="n">
        <x:v>46223.12824190972</x:v>
      </x:c>
      <x:c r="W192" t="str">
        <x:v>ashri.ariffin@petronas.com</x:v>
      </x:c>
      <x:c r="X192" t="str">
        <x:v>approved</x:v>
      </x:c>
      <x:c r="Y192" t="str">
        <x:v>Good to go</x:v>
      </x:c>
      <x:c r="Z192" t="n">
        <x:v>46231.35507060185</x:v>
      </x:c>
      <x:c r="AA192" t="str">
        <x:v>samsuddin.jumbri@petronas.com</x:v>
      </x:c>
      <x:c r="AB192" t="str">
        <x:v>approved</x:v>
      </x:c>
      <x:c r="AC192" t="str">
        <x:v>Approved</x:v>
      </x:c>
      <x:c r="AD192" t="n">
        <x:v>46233.83137886574</x:v>
      </x:c>
      <x:c r="AE192" t="str">
        <x:v>abhishek.bhowate@petronas.com</x:v>
      </x:c>
      <x:c r="AF192" t="str">
        <x:v>approved</x:v>
      </x:c>
      <x:c r="AG192" t="str">
        <x:v>completed</x:v>
      </x:c>
      <x:c r="AH192" t="n">
        <x:v>46250.90093224537</x:v>
      </x:c>
      <x:c r="AI192" t="str">
        <x:v>mardiansyah.rayasa@petronas.com</x:v>
      </x:c>
      <x:c r="AJ192" t="str">
        <x:v>approved</x:v>
      </x:c>
      <x:c r="AK192" t="str">
        <x:v>REQ000008205947</x:v>
      </x:c>
      <x:c r="AL192" t="str">
        <x:v>66d834b6-2e20-4e08-afb9-86b6af4b74bf</x:v>
      </x:c>
      <x:c r="AM192" s="23" t="str">
        <x:f>IF(E192="processing",IF(Z192="","",IF(ISNUMBER(Z192),INT(Z192),DATE(VALUE(LEFT(Z192,4)),VALUE(MID(Z192,6,2)),VALUE(MID(Z192,9,2))))),IF(OR(E192="executing",E192="pending"),IF(AD192="","",IF(ISNUMBER(AD192),INT(AD192),DATE(VALUE(LEFT(AD192,4)),VALUE(MID(AD192,6,2)),VALUE(MID(AD192,9,2))))),""))</x:f>
      </x:c>
      <x:c r="AN192" s="24" t="str">
        <x:f>IF(AM192="","",INT('Configuration'!$B$4)-AM192)</x:f>
      </x:c>
      <x:c r="AO192" s="25" t="str">
        <x:f>IF(AM192="","Missing Required Date",IF(AN192&lt;0,"Future Date",IF(AN192=0,"0 days",IF(AN192&lt;=2,"1-2 days",IF(AN192&lt;=7,"3-7 days",IF(AN192&lt;=14,"8-14 days",IF(AN192&lt;=30,"15-30 days",IF(AN192&lt;=60,"31-60 days",IF(AN192&lt;=70,"61-70 days","71+ days")))))))))</x:f>
        <x:v>Missing Required Date</x:v>
      </x:c>
      <x:c r="AP192" s="25" t="str">
        <x:f>IF(OR(E192="processing",E192="executing",E192="pending"),IF(AM192="","Required aging date missing",IF(AN192&gt;30,"Escalate &gt;30d",IF(AN192&gt;14,"Watch &gt;14d","Within 14d"))),"Out of scope")</x:f>
        <x:v>Out of scope</x:v>
      </x:c>
    </x:row>
    <x:row r="193" ht="24" customHeight="1">
      <x:c r="A193" t="str">
        <x:v>ecdfec65-7f82-42cb-9aba-850595e4b416</x:v>
      </x:c>
      <x:c r="B193" t="str">
        <x:v>CSSP10760217</x:v>
      </x:c>
      <x:c r="C193" t="str">
        <x:v>ivanlim.choonkit@petronas.com</x:v>
      </x:c>
      <x:c r="D193" t="str">
        <x:v>provision-cloud-public</x:v>
      </x:c>
      <x:c r="E193" t="str">
        <x:v>executing</x:v>
      </x:c>
      <x:c r="F193" t="n">
        <x:v>46198.15172267361</x:v>
      </x:c>
      <x:c r="G193" t="n">
        <x:v>46198.15172267361</x:v>
      </x:c>
      <x:c r="H193" t="n">
        <x:v>46203.28580130787</x:v>
      </x:c>
      <x:c r="I193" t="str">
        <x:v>A-001241</x:v>
      </x:c>
      <x:c r="J193" t="str">
        <x:v>Digital Intelligence Center - DIC</x:v>
      </x:c>
      <x:c r="K193" t="n">
        <x:v>4712</x:v>
      </x:c>
      <x:c r="L193" t="str">
        <x:v>Deployment of Digital Intelligence Center (DIC) for Malaysia Petroleum Management (MPM)</x:v>
      </x:c>
      <x:c r="M193" t="str">
        <x:v>wadiah.rusli@petronas.com.my</x:v>
      </x:c>
      <x:c r="N193" t="str">
        <x:v>Deployment of Digital Intelligence Center (DIC) for MPM</x:v>
      </x:c>
      <x:c r="O193" t="str">
        <x:v>Modify</x:v>
      </x:c>
      <x:c r="P193" t="str">
        <x:v>StagingUat</x:v>
      </x:c>
      <x:c r="Q193"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x:v>
      </x:c>
      <x:c r="R193" t="str">
        <x:v>M</x:v>
      </x:c>
      <x:c r="S193"/>
      <x:c r="T193"/>
      <x:c r="U193" t="str">
        <x:v>Approved. This is for the DIC application.</x:v>
      </x:c>
      <x:c r="V193" t="n">
        <x:v>46198.15985538194</x:v>
      </x:c>
      <x:c r="W193" t="str">
        <x:v>wadiah.rusli@petronas.com</x:v>
      </x:c>
      <x:c r="X193" t="str">
        <x:v>approved</x:v>
      </x:c>
      <x:c r="Y193" t="str">
        <x:v>Good to go</x:v>
      </x:c>
      <x:c r="Z193" t="n">
        <x:v>46203.13441302083</x:v>
      </x:c>
      <x:c r="AA193" t="str">
        <x:v>samsuddin.jumbri@petronas.com</x:v>
      </x:c>
      <x:c r="AB193" t="str">
        <x:v>approved</x:v>
      </x:c>
      <x:c r="AC193" t="str">
        <x:v>1x EC2 with outbound port 5432 allowed.</x:v>
      </x:c>
      <x:c r="AD193" t="n">
        <x:v>46203.28580131944</x:v>
      </x:c>
      <x:c r="AE193" t="str">
        <x:v>syazali.saad@petronas.com</x:v>
      </x:c>
      <x:c r="AF193" t="str">
        <x:v>approved</x:v>
      </x:c>
      <x:c r="AG193"/>
      <x:c r="AH193"/>
      <x:c r="AI193" t="str">
        <x:v>abdul.khoir@petronas.com</x:v>
      </x:c>
      <x:c r="AJ193"/>
      <x:c r="AK193" t="str">
        <x:v>REQ000008129680</x:v>
      </x:c>
      <x:c r="AL193" t="str">
        <x:v>cc71964c-37e4-4a55-80e9-353ad3690f75</x:v>
      </x:c>
      <x:c r="AM193" s="23" t="n">
        <x:f>IF(E193="processing",IF(Z193="","",IF(ISNUMBER(Z193),INT(Z193),DATE(VALUE(LEFT(Z193,4)),VALUE(MID(Z193,6,2)),VALUE(MID(Z193,9,2))))),IF(OR(E193="executing",E193="pending"),IF(AD193="","",IF(ISNUMBER(AD193),INT(AD193),DATE(VALUE(LEFT(AD193,4)),VALUE(MID(AD193,6,2)),VALUE(MID(AD193,9,2))))),""))</x:f>
        <x:v>46203</x:v>
      </x:c>
      <x:c r="AN193" s="24" t="n">
        <x:f>IF(AM193="","",INT('Configuration'!$B$4)-AM193)</x:f>
        <x:v>48</x:v>
      </x:c>
      <x:c r="AO193" s="25" t="str">
        <x:f>IF(AM193="","Missing Required Date",IF(AN193&lt;0,"Future Date",IF(AN193=0,"0 days",IF(AN193&lt;=2,"1-2 days",IF(AN193&lt;=7,"3-7 days",IF(AN193&lt;=14,"8-14 days",IF(AN193&lt;=30,"15-30 days",IF(AN193&lt;=60,"31-60 days",IF(AN193&lt;=70,"61-70 days","71+ days")))))))))</x:f>
        <x:v>31-60 days</x:v>
      </x:c>
      <x:c r="AP193" s="25" t="str">
        <x:f>IF(OR(E193="processing",E193="executing",E193="pending"),IF(AM193="","Required aging date missing",IF(AN193&gt;30,"Escalate &gt;30d",IF(AN193&gt;14,"Watch &gt;14d","Within 14d"))),"Out of scope")</x:f>
        <x:v>Escalate &gt;30d</x:v>
      </x:c>
    </x:row>
    <x:row r="194" ht="24" customHeight="1">
      <x:c r="A194" t="str">
        <x:v>6d7d884e-652e-41a2-8609-572a05d927dc</x:v>
      </x:c>
      <x:c r="B194" t="str">
        <x:v>CSSP10980096</x:v>
      </x:c>
      <x:c r="C194" t="str">
        <x:v>mohamadsyafiq.mnoor@petronas.com</x:v>
      </x:c>
      <x:c r="D194" t="str">
        <x:v>provision-cloud-public</x:v>
      </x:c>
      <x:c r="E194" t="str">
        <x:v>completed</x:v>
      </x:c>
      <x:c r="F194" t="n">
        <x:v>46199.03912863426</x:v>
      </x:c>
      <x:c r="G194" t="n">
        <x:v>46199.03912863426</x:v>
      </x:c>
      <x:c r="H194" t="n">
        <x:v>46210.41980679398</x:v>
      </x:c>
      <x:c r="I194" t="str">
        <x:v>A-001307</x:v>
      </x:c>
      <x:c r="J194" t="str">
        <x:v>Azure Machine Learning - PRPC</x:v>
      </x:c>
      <x:c r="K194" t="n">
        <x:v>4739</x:v>
      </x:c>
      <x:c r="L194" t="str">
        <x:v>Run &amp; Maintain Citizen Analytics Use Cases for PRPC</x:v>
      </x:c>
      <x:c r="M194" t="str">
        <x:v>khairulnizam.bahari@petronas.com.my</x:v>
      </x:c>
      <x:c r="N194" t="str">
        <x:v>Citizen-Analytics</x:v>
      </x:c>
      <x:c r="O194" t="str">
        <x:v>New</x:v>
      </x:c>
      <x:c r="P194" t="str">
        <x:v>Production</x:v>
      </x:c>
      <x:c r="Q194" t="str">
        <x:v>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4. Shahkaizan Shahari (POCM/PRPC) - shahkaizan.shahari@petronas.com.my</x:v>
      </x:c>
      <x:c r="R194" t="str">
        <x:v>S</x:v>
      </x:c>
      <x:c r="S194"/>
      <x:c r="T194"/>
      <x:c r="U194" t="str">
        <x:v>provision compute instance (with virtual network enabled) </x:v>
      </x:c>
      <x:c r="V194" t="n">
        <x:v>46199.052101967594</x:v>
      </x:c>
      <x:c r="W194" t="str">
        <x:v>khairulnizam.bahari@petronas.com</x:v>
      </x:c>
      <x:c r="X194" t="str">
        <x:v>approved</x:v>
      </x:c>
      <x:c r="Y194" t="str">
        <x:v>Good to go</x:v>
      </x:c>
      <x:c r="Z194" t="n">
        <x:v>46203.132790752315</x:v>
      </x:c>
      <x:c r="AA194" t="str">
        <x:v>samsuddin.jumbri@petronas.com</x:v>
      </x:c>
      <x:c r="AB194" t="str">
        <x:v>approved</x:v>
      </x:c>
      <x:c r="AC194" t="str">
        <x:v>ok</x:v>
      </x:c>
      <x:c r="AD194" t="n">
        <x:v>46210.40659909722</x:v>
      </x:c>
      <x:c r="AE194" t="str">
        <x:v>abhishek.bhowate@petronas.com</x:v>
      </x:c>
      <x:c r="AF194" t="str">
        <x:v>approved</x:v>
      </x:c>
      <x:c r="AG194" t="str">
        <x:v>We have added three Azure Machine Learning environments and provisioned the required compute instances. I have verified this with Mohamad Syafiq, and the user is able to access them successfully. Hence, the request is being closed.</x:v>
      </x:c>
      <x:c r="AH194" t="n">
        <x:v>46210.419806805556</x:v>
      </x:c>
      <x:c r="AI194" t="str">
        <x:v>venkatesh.kalikivayi@petronas.com</x:v>
      </x:c>
      <x:c r="AJ194" t="str">
        <x:v>approved</x:v>
      </x:c>
      <x:c r="AK194" t="str">
        <x:v>REQ000008152355</x:v>
      </x:c>
      <x:c r="AL194" t="str">
        <x:v>175979a6-0134-4d4e-b3f1-5ff77e1fdf7f</x:v>
      </x:c>
      <x:c r="AM194" s="23" t="str">
        <x:f>IF(E194="processing",IF(Z194="","",IF(ISNUMBER(Z194),INT(Z194),DATE(VALUE(LEFT(Z194,4)),VALUE(MID(Z194,6,2)),VALUE(MID(Z194,9,2))))),IF(OR(E194="executing",E194="pending"),IF(AD194="","",IF(ISNUMBER(AD194),INT(AD194),DATE(VALUE(LEFT(AD194,4)),VALUE(MID(AD194,6,2)),VALUE(MID(AD194,9,2))))),""))</x:f>
      </x:c>
      <x:c r="AN194" s="24" t="str">
        <x:f>IF(AM194="","",INT('Configuration'!$B$4)-AM194)</x:f>
      </x:c>
      <x:c r="AO194" s="25" t="str">
        <x:f>IF(AM194="","Missing Required Date",IF(AN194&lt;0,"Future Date",IF(AN194=0,"0 days",IF(AN194&lt;=2,"1-2 days",IF(AN194&lt;=7,"3-7 days",IF(AN194&lt;=14,"8-14 days",IF(AN194&lt;=30,"15-30 days",IF(AN194&lt;=60,"31-60 days",IF(AN194&lt;=70,"61-70 days","71+ days")))))))))</x:f>
        <x:v>Missing Required Date</x:v>
      </x:c>
      <x:c r="AP194" s="25" t="str">
        <x:f>IF(OR(E194="processing",E194="executing",E194="pending"),IF(AM194="","Required aging date missing",IF(AN194&gt;30,"Escalate &gt;30d",IF(AN194&gt;14,"Watch &gt;14d","Within 14d"))),"Out of scope")</x:f>
        <x:v>Out of scope</x:v>
      </x:c>
    </x:row>
    <x:row r="195" ht="24" customHeight="1">
      <x:c r="A195" t="str">
        <x:v>bbd14bb4-2b8c-426b-857a-0e9599551029</x:v>
      </x:c>
      <x:c r="B195" t="str">
        <x:v>CSSP10650272</x:v>
      </x:c>
      <x:c r="C195" t="str">
        <x:v>rinaaniza.mnazri@petronas.com</x:v>
      </x:c>
      <x:c r="D195" t="str">
        <x:v>provision-cloud-public</x:v>
      </x:c>
      <x:c r="E195" t="str">
        <x:v>completed</x:v>
      </x:c>
      <x:c r="F195" t="n">
        <x:v>46199.09891605324</x:v>
      </x:c>
      <x:c r="G195" t="n">
        <x:v>46204.154440046295</x:v>
      </x:c>
      <x:c r="H195" t="n">
        <x:v>46222.85736018518</x:v>
      </x:c>
      <x:c r="I195" t="str">
        <x:v>A-001377</x:v>
      </x:c>
      <x:c r="J195" t="str">
        <x:v>KLCC Data Hub</x:v>
      </x:c>
      <x:c r="K195" t="str">
        <x:v>SR26952</x:v>
      </x:c>
      <x:c r="L195" t="str">
        <x:v>Subscription of PETRONAS Microsoft Fabric for KLCCH</x:v>
      </x:c>
      <x:c r="M195" t="str">
        <x:v>jamie.kee@petronas.com.my</x:v>
      </x:c>
      <x:c r="N195" t="str">
        <x:v>KLCC Digital</x:v>
      </x:c>
      <x:c r="O195" t="str">
        <x:v>New</x:v>
      </x:c>
      <x:c r="P195" t="str">
        <x:v>Development</x:v>
      </x:c>
      <x:c r="Q195" t="str">
        <x:v>To create for all 3 environment
Development
UAT
Production</x:v>
      </x:c>
      <x:c r="R195" t="str">
        <x:v>S</x:v>
      </x:c>
      <x:c r="S195"/>
      <x:c r="T195"/>
      <x:c r="U195" t="str">
        <x:v>Approved in line with the stated business requirements and SA's confirmation.</x:v>
      </x:c>
      <x:c r="V195" t="n">
        <x:v>46204.34073456019</x:v>
      </x:c>
      <x:c r="W195" t="str">
        <x:v>jamie.kee@petronas.com</x:v>
      </x:c>
      <x:c r="X195" t="str">
        <x:v>approved</x:v>
      </x:c>
      <x:c r="Y195" t="str">
        <x:v>Good to go. We will create the Resource Group (RG) for Fabric in the Production environment.</x:v>
      </x:c>
      <x:c r="Z195" t="n">
        <x:v>46205.07119425926</x:v>
      </x:c>
      <x:c r="AA195" t="str">
        <x:v>samsuddin.jumbri@petronas.com</x:v>
      </x:c>
      <x:c r="AB195" t="str">
        <x:v>approved</x:v>
      </x:c>
      <x:c r="AC195" t="str">
        <x:v>approve</x:v>
      </x:c>
      <x:c r="AD195" t="n">
        <x:v>46222.85589510416</x:v>
      </x:c>
      <x:c r="AE195" t="str">
        <x:v>abhishek.bhowate@petronas.com</x:v>
      </x:c>
      <x:c r="AF195" t="str">
        <x:v>approved</x:v>
      </x:c>
      <x:c r="AG195" t="str">
        <x:v>Okay</x:v>
      </x:c>
      <x:c r="AH195" t="n">
        <x:v>46222.85736018518</x:v>
      </x:c>
      <x:c r="AI195" t="str">
        <x:v>abhishek.bhowate@petronas.com</x:v>
      </x:c>
      <x:c r="AJ195" t="str">
        <x:v>approved</x:v>
      </x:c>
      <x:c r="AK195" t="str">
        <x:v>REQ000008178969</x:v>
      </x:c>
      <x:c r="AL195" t="str">
        <x:v>9f4eb72f-c950-40b7-ad2f-809c8c432953</x:v>
      </x:c>
      <x:c r="AM195" s="23" t="str">
        <x:f>IF(E195="processing",IF(Z195="","",IF(ISNUMBER(Z195),INT(Z195),DATE(VALUE(LEFT(Z195,4)),VALUE(MID(Z195,6,2)),VALUE(MID(Z195,9,2))))),IF(OR(E195="executing",E195="pending"),IF(AD195="","",IF(ISNUMBER(AD195),INT(AD195),DATE(VALUE(LEFT(AD195,4)),VALUE(MID(AD195,6,2)),VALUE(MID(AD195,9,2))))),""))</x:f>
      </x:c>
      <x:c r="AN195" s="24" t="str">
        <x:f>IF(AM195="","",INT('Configuration'!$B$4)-AM195)</x:f>
      </x:c>
      <x:c r="AO195" s="25" t="str">
        <x:f>IF(AM195="","Missing Required Date",IF(AN195&lt;0,"Future Date",IF(AN195=0,"0 days",IF(AN195&lt;=2,"1-2 days",IF(AN195&lt;=7,"3-7 days",IF(AN195&lt;=14,"8-14 days",IF(AN195&lt;=30,"15-30 days",IF(AN195&lt;=60,"31-60 days",IF(AN195&lt;=70,"61-70 days","71+ days")))))))))</x:f>
        <x:v>Missing Required Date</x:v>
      </x:c>
      <x:c r="AP195" s="25" t="str">
        <x:f>IF(OR(E195="processing",E195="executing",E195="pending"),IF(AM195="","Required aging date missing",IF(AN195&gt;30,"Escalate &gt;30d",IF(AN195&gt;14,"Watch &gt;14d","Within 14d"))),"Out of scope")</x:f>
        <x:v>Out of scope</x:v>
      </x:c>
    </x:row>
    <x:row r="196" ht="24" customHeight="1">
      <x:c r="A196" t="str">
        <x:v>e8e49670-a7a1-4765-bdfb-232b52ba2b1d</x:v>
      </x:c>
      <x:c r="B196" t="str">
        <x:v>CSSP10626091</x:v>
      </x:c>
      <x:c r="C196" t="str">
        <x:v>tommy.pang@pli-petronas.com</x:v>
      </x:c>
      <x:c r="D196" t="str">
        <x:v>provision-cloud-public</x:v>
      </x:c>
      <x:c r="E196" t="str">
        <x:v>completed</x:v>
      </x:c>
      <x:c r="F196" t="n">
        <x:v>46202.241150497684</x:v>
      </x:c>
      <x:c r="G196" t="n">
        <x:v>46202.27309236111</x:v>
      </x:c>
      <x:c r="H196" t="n">
        <x:v>46251.06481107639</x:v>
      </x:c>
      <x:c r="I196" t="str">
        <x:v>A-000207</x:v>
      </x:c>
      <x:c r="J196" t="str">
        <x:v>Data Fabric Capacity</x:v>
      </x:c>
      <x:c r="K196" t="n">
        <x:v>2258</x:v>
      </x:c>
      <x:c r="L196" t="str">
        <x:v>Migration of SharePoint Phase 2 for PLISB</x:v>
      </x:c>
      <x:c r="M196" t="str">
        <x:v>gary.low@pli-petronas.com</x:v>
      </x:c>
      <x:c r="N196" t="str">
        <x:v>Migration of SharePoint Phase 2 for PLISB</x:v>
      </x:c>
      <x:c r="O196" t="str">
        <x:v>New</x:v>
      </x:c>
      <x:c r="P196" t="str">
        <x:v>Production</x:v>
      </x:c>
      <x:c r="Q196" t="str">
        <x:v>To request that our Power BI Workspaces be upgraded to Fabric Capacity in order to overcome current Power BI Pro license limitations. Please assign to Resource Group PTAZSG-IAC-UAT-SPPLI-BT-RG</x:v>
      </x:c>
      <x:c r="R196" t="str">
        <x:v>S</x:v>
      </x:c>
      <x:c r="S196"/>
      <x:c r="T196"/>
      <x:c r="U196" t="str">
        <x:v>Hi Tommy, as discussed, pls proceed.</x:v>
      </x:c>
      <x:c r="V196" t="n">
        <x:v>46216.107962372684</x:v>
      </x:c>
      <x:c r="W196" t="str">
        <x:v>gary.low@PLI-PETRONAS.COM</x:v>
      </x:c>
      <x:c r="X196" t="str">
        <x:v>approved</x:v>
      </x:c>
      <x:c r="Y196" t="str">
        <x:v>Good to go. Please assign to Resource Group PTAZSG-IAC-UAT-SPPLI-BT-RG</x:v>
      </x:c>
      <x:c r="Z196" t="n">
        <x:v>46216.29557915509</x:v>
      </x:c>
      <x:c r="AA196" t="str">
        <x:v>samsuddin.jumbri@petronas.com</x:v>
      </x:c>
      <x:c r="AB196" t="str">
        <x:v>approved</x:v>
      </x:c>
      <x:c r="AC196" t="str">
        <x:v>Approve</x:v>
      </x:c>
      <x:c r="AD196" t="n">
        <x:v>46230.06039731482</x:v>
      </x:c>
      <x:c r="AE196" t="str">
        <x:v>abhishek.bhowate@petronas.com</x:v>
      </x:c>
      <x:c r="AF196" t="str">
        <x:v>approved</x:v>
      </x:c>
      <x:c r="AG196" t="str">
        <x:v>provisioning has been completed hence closing the request</x:v>
      </x:c>
      <x:c r="AH196" t="n">
        <x:v>46251.06481108796</x:v>
      </x:c>
      <x:c r="AI196" t="str">
        <x:v>venkatesh.kalikivayi@petronas.com</x:v>
      </x:c>
      <x:c r="AJ196" t="str">
        <x:v>approved</x:v>
      </x:c>
      <x:c r="AK196" t="str">
        <x:v>REQ000008194633</x:v>
      </x:c>
      <x:c r="AL196" t="str">
        <x:v>4ebe31aa-25e2-4a51-9cf5-bec60f933cb8</x:v>
      </x:c>
      <x:c r="AM196" s="23" t="str">
        <x:f>IF(E196="processing",IF(Z196="","",IF(ISNUMBER(Z196),INT(Z196),DATE(VALUE(LEFT(Z196,4)),VALUE(MID(Z196,6,2)),VALUE(MID(Z196,9,2))))),IF(OR(E196="executing",E196="pending"),IF(AD196="","",IF(ISNUMBER(AD196),INT(AD196),DATE(VALUE(LEFT(AD196,4)),VALUE(MID(AD196,6,2)),VALUE(MID(AD196,9,2))))),""))</x:f>
      </x:c>
      <x:c r="AN196" s="24" t="str">
        <x:f>IF(AM196="","",INT('Configuration'!$B$4)-AM196)</x:f>
      </x:c>
      <x:c r="AO196" s="25" t="str">
        <x:f>IF(AM196="","Missing Required Date",IF(AN196&lt;0,"Future Date",IF(AN196=0,"0 days",IF(AN196&lt;=2,"1-2 days",IF(AN196&lt;=7,"3-7 days",IF(AN196&lt;=14,"8-14 days",IF(AN196&lt;=30,"15-30 days",IF(AN196&lt;=60,"31-60 days",IF(AN196&lt;=70,"61-70 days","71+ days")))))))))</x:f>
        <x:v>Missing Required Date</x:v>
      </x:c>
      <x:c r="AP196" s="25" t="str">
        <x:f>IF(OR(E196="processing",E196="executing",E196="pending"),IF(AM196="","Required aging date missing",IF(AN196&gt;30,"Escalate &gt;30d",IF(AN196&gt;14,"Watch &gt;14d","Within 14d"))),"Out of scope")</x:f>
        <x:v>Out of scope</x:v>
      </x:c>
    </x:row>
    <x:row r="197" ht="24" customHeight="1">
      <x:c r="A197" t="str">
        <x:v>e6fde82f-4d1d-44b4-8a89-5bff5c39d45b</x:v>
      </x:c>
      <x:c r="B197" t="str">
        <x:v>CSSP10600017</x:v>
      </x:c>
      <x:c r="C197" t="str">
        <x:v>roslilawati.samsu@petronas.com</x:v>
      </x:c>
      <x:c r="D197" t="str">
        <x:v>provision-cloud-public</x:v>
      </x:c>
      <x:c r="E197" t="str">
        <x:v>completed</x:v>
      </x:c>
      <x:c r="F197" t="n">
        <x:v>46202.26720173611</x:v>
      </x:c>
      <x:c r="G197" t="n">
        <x:v>46202.26720173611</x:v>
      </x:c>
      <x:c r="H197" t="n">
        <x:v>46234.146164247686</x:v>
      </x:c>
      <x:c r="I197" t="str">
        <x:v>A-000177</x:v>
      </x:c>
      <x:c r="J197" t="str">
        <x:v>Cyber Security SENTINEL</x:v>
      </x:c>
      <x:c r="K197" t="str">
        <x:v>SR26951</x:v>
      </x:c>
      <x:c r="L197" t="str">
        <x:v>Onboarding of Centralised Log Collector and Security Information &amp; Event Management (SIEM) for SETEL</x:v>
      </x:c>
      <x:c r="M197" t="str">
        <x:v>izayu.ismail@petronas.com.my</x:v>
      </x:c>
      <x:c r="N197" t="str">
        <x:v>SIEM for SETEL</x:v>
      </x:c>
      <x:c r="O197" t="str">
        <x:v>New</x:v>
      </x:c>
      <x:c r="P197" t="str">
        <x:v>Production</x:v>
      </x:c>
      <x:c r="Q197" t="str">
        <x:v>Centralised SIEM onboarding for SETEL Admin Portal and MongoD 
</x:v>
      </x:c>
      <x:c r="R197" t="str">
        <x:v>M</x:v>
      </x:c>
      <x:c r="S197"/>
      <x:c r="T197"/>
      <x:c r="U197" t="str">
        <x:v>As per project scope.</x:v>
      </x:c>
      <x:c r="V197" t="n">
        <x:v>46202.37800069444</x:v>
      </x:c>
      <x:c r="W197" t="str">
        <x:v>izayu.ismail@petronas.com</x:v>
      </x:c>
      <x:c r="X197" t="str">
        <x:v>approved</x:v>
      </x:c>
      <x:c r="Y197" t="str">
        <x:v>Good to go</x:v>
      </x:c>
      <x:c r="Z197" t="n">
        <x:v>46203.07139091435</x:v>
      </x:c>
      <x:c r="AA197" t="str">
        <x:v>samsuddin.jumbri@petronas.com</x:v>
      </x:c>
      <x:c r="AB197" t="str">
        <x:v>approved</x:v>
      </x:c>
      <x:c r="AC197" t="str">
        <x:v>Approve</x:v>
      </x:c>
      <x:c r="AD197" t="n">
        <x:v>46231.20193780093</x:v>
      </x:c>
      <x:c r="AE197" t="str">
        <x:v>abhishek.bhowate@petronas.com</x:v>
      </x:c>
      <x:c r="AF197" t="str">
        <x:v>approved</x:v>
      </x:c>
      <x:c r="AG197" t="str">
        <x:v>this request already completed and already check the resource by user</x:v>
      </x:c>
      <x:c r="AH197" t="n">
        <x:v>46234.14616425926</x:v>
      </x:c>
      <x:c r="AI197" t="str">
        <x:v>abdul.khoir@petronas.com</x:v>
      </x:c>
      <x:c r="AJ197" t="str">
        <x:v>approved</x:v>
      </x:c>
      <x:c r="AK197" t="str">
        <x:v>REQ000008198551</x:v>
      </x:c>
      <x:c r="AL197" t="str">
        <x:v>fcc5dfe6-9dcc-40fe-b4d4-3860a3180dfc</x:v>
      </x:c>
      <x:c r="AM197" s="23" t="str">
        <x:f>IF(E197="processing",IF(Z197="","",IF(ISNUMBER(Z197),INT(Z197),DATE(VALUE(LEFT(Z197,4)),VALUE(MID(Z197,6,2)),VALUE(MID(Z197,9,2))))),IF(OR(E197="executing",E197="pending"),IF(AD197="","",IF(ISNUMBER(AD197),INT(AD197),DATE(VALUE(LEFT(AD197,4)),VALUE(MID(AD197,6,2)),VALUE(MID(AD197,9,2))))),""))</x:f>
      </x:c>
      <x:c r="AN197" s="24" t="str">
        <x:f>IF(AM197="","",INT('Configuration'!$B$4)-AM197)</x:f>
      </x:c>
      <x:c r="AO197" s="25" t="str">
        <x:f>IF(AM197="","Missing Required Date",IF(AN197&lt;0,"Future Date",IF(AN197=0,"0 days",IF(AN197&lt;=2,"1-2 days",IF(AN197&lt;=7,"3-7 days",IF(AN197&lt;=14,"8-14 days",IF(AN197&lt;=30,"15-30 days",IF(AN197&lt;=60,"31-60 days",IF(AN197&lt;=70,"61-70 days","71+ days")))))))))</x:f>
        <x:v>Missing Required Date</x:v>
      </x:c>
      <x:c r="AP197" s="25" t="str">
        <x:f>IF(OR(E197="processing",E197="executing",E197="pending"),IF(AM197="","Required aging date missing",IF(AN197&gt;30,"Escalate &gt;30d",IF(AN197&gt;14,"Watch &gt;14d","Within 14d"))),"Out of scope")</x:f>
        <x:v>Out of scope</x:v>
      </x:c>
    </x:row>
    <x:row r="198" ht="24" customHeight="1">
      <x:c r="A198" t="str">
        <x:v>12b5d34b-de42-48ce-aff0-ad41155bbc79</x:v>
      </x:c>
      <x:c r="B198" t="str">
        <x:v>CSSP10131317</x:v>
      </x:c>
      <x:c r="C198" t="str">
        <x:v>ermanfitri.myasin@petronas.com</x:v>
      </x:c>
      <x:c r="D198" t="str">
        <x:v>provision-cloud-public</x:v>
      </x:c>
      <x:c r="E198" t="str">
        <x:v>completed</x:v>
      </x:c>
      <x:c r="F198" t="n">
        <x:v>46203.07579394676</x:v>
      </x:c>
      <x:c r="G198" t="n">
        <x:v>46203.07579394676</x:v>
      </x:c>
      <x:c r="H198" t="n">
        <x:v>46233.58587310185</x:v>
      </x:c>
      <x:c r="I198" t="str">
        <x:v>A-000026</x:v>
      </x:c>
      <x:c r="J198" t="str">
        <x:v>Ansible Enterprise Configuration Management - AECM</x:v>
      </x:c>
      <x:c r="K198" t="str">
        <x:v>PC-00019</x:v>
      </x:c>
      <x:c r="L198" t="str">
        <x:v>Ansible Enterprise Configuration Management</x:v>
      </x:c>
      <x:c r="M198" t="str">
        <x:v>mfaizal.sidek@petronas.com</x:v>
      </x:c>
      <x:c r="N198" t="str">
        <x:v>Configuration_Management</x:v>
      </x:c>
      <x:c r="O198" t="str">
        <x:v>New</x:v>
      </x:c>
      <x:c r="P198" t="str">
        <x:v>Production</x:v>
      </x:c>
      <x:c r="Q198" t="str">
        <x:v>Please assist in provisioning three (3) servers running RHEL 9 in the existing resource group (PTAZSG-CORE-AECM-RG) following the specifications of 'PTSG-3AECMap01'. The new server names are as follows: 
1. PTAZSG-3AECMap01 
2. PTAZSG-3AECMap02 
3. PTAZSG-3AECMap03</x:v>
      </x:c>
      <x:c r="R198" t="str">
        <x:v>S</x:v>
      </x:c>
      <x:c r="S198"/>
      <x:c r="T198"/>
      <x:c r="U198" t="str">
        <x:v>Proceed</x:v>
      </x:c>
      <x:c r="V198" t="n">
        <x:v>46203.08154688658</x:v>
      </x:c>
      <x:c r="W198" t="str">
        <x:v>mfaizal.sidek@petronas.com</x:v>
      </x:c>
      <x:c r="X198" t="str">
        <x:v>approved</x:v>
      </x:c>
      <x:c r="Y198" t="str">
        <x:v>Good to go</x:v>
      </x:c>
      <x:c r="Z198" t="n">
        <x:v>46203.15421655092</x:v>
      </x:c>
      <x:c r="AA198" t="str">
        <x:v>samsuddin.jumbri@petronas.com</x:v>
      </x:c>
      <x:c r="AB198" t="str">
        <x:v>approved</x:v>
      </x:c>
      <x:c r="AC198" t="str">
        <x:v>Approve</x:v>
      </x:c>
      <x:c r="AD198" t="n">
        <x:v>46231.20131556713</x:v>
      </x:c>
      <x:c r="AE198" t="str">
        <x:v>abhishek.bhowate@petronas.com</x:v>
      </x:c>
      <x:c r="AF198" t="str">
        <x:v>approved</x:v>
      </x:c>
      <x:c r="AG198" t="str">
        <x:v> new provisioning has been completed hence closing the request</x:v>
      </x:c>
      <x:c r="AH198" t="n">
        <x:v>46233.58587311343</x:v>
      </x:c>
      <x:c r="AI198" t="str">
        <x:v>venkatesh.kalikivayi@petronas.com</x:v>
      </x:c>
      <x:c r="AJ198" t="str">
        <x:v>approved</x:v>
      </x:c>
      <x:c r="AK198" t="str">
        <x:v>REQ000008198634</x:v>
      </x:c>
      <x:c r="AL198" t="str">
        <x:v>7abf948a-6b31-4746-8daf-2698ab161815</x:v>
      </x:c>
      <x:c r="AM198" s="23" t="str">
        <x:f>IF(E198="processing",IF(Z198="","",IF(ISNUMBER(Z198),INT(Z198),DATE(VALUE(LEFT(Z198,4)),VALUE(MID(Z198,6,2)),VALUE(MID(Z198,9,2))))),IF(OR(E198="executing",E198="pending"),IF(AD198="","",IF(ISNUMBER(AD198),INT(AD198),DATE(VALUE(LEFT(AD198,4)),VALUE(MID(AD198,6,2)),VALUE(MID(AD198,9,2))))),""))</x:f>
      </x:c>
      <x:c r="AN198" s="24" t="str">
        <x:f>IF(AM198="","",INT('Configuration'!$B$4)-AM198)</x:f>
      </x:c>
      <x:c r="AO198" s="25" t="str">
        <x:f>IF(AM198="","Missing Required Date",IF(AN198&lt;0,"Future Date",IF(AN198=0,"0 days",IF(AN198&lt;=2,"1-2 days",IF(AN198&lt;=7,"3-7 days",IF(AN198&lt;=14,"8-14 days",IF(AN198&lt;=30,"15-30 days",IF(AN198&lt;=60,"31-60 days",IF(AN198&lt;=70,"61-70 days","71+ days")))))))))</x:f>
        <x:v>Missing Required Date</x:v>
      </x:c>
      <x:c r="AP198" s="25" t="str">
        <x:f>IF(OR(E198="processing",E198="executing",E198="pending"),IF(AM198="","Required aging date missing",IF(AN198&gt;30,"Escalate &gt;30d",IF(AN198&gt;14,"Watch &gt;14d","Within 14d"))),"Out of scope")</x:f>
        <x:v>Out of scope</x:v>
      </x:c>
    </x:row>
    <x:row r="199" ht="24" customHeight="1">
      <x:c r="A199" t="str">
        <x:v>c2761cba-39e3-47ab-8992-8a7ba9972288</x:v>
      </x:c>
      <x:c r="B199" t="str">
        <x:v>CSSP10771930</x:v>
      </x:c>
      <x:c r="C199" t="str">
        <x:v>rinaaniza.mnazri@petronas.com</x:v>
      </x:c>
      <x:c r="D199" t="str">
        <x:v>provision-cloud-public</x:v>
      </x:c>
      <x:c r="E199" t="str">
        <x:v>executing</x:v>
      </x:c>
      <x:c r="F199" t="n">
        <x:v>46204.16299113426</x:v>
      </x:c>
      <x:c r="G199" t="n">
        <x:v>46204.16299113426</x:v>
      </x:c>
      <x:c r="H199" t="n">
        <x:v>46222.85543998842</x:v>
      </x:c>
      <x:c r="I199" t="str">
        <x:v>A-001377</x:v>
      </x:c>
      <x:c r="J199" t="str">
        <x:v>KLCC Data Hub</x:v>
      </x:c>
      <x:c r="K199" t="str">
        <x:v>SR26952</x:v>
      </x:c>
      <x:c r="L199" t="str">
        <x:v>Subscription of PETRONAS Microsoft Fabric for KLCCH</x:v>
      </x:c>
      <x:c r="M199" t="str">
        <x:v>jamie.kee@petronas.com.my</x:v>
      </x:c>
      <x:c r="N199" t="str">
        <x:v>KLCC Digital</x:v>
      </x:c>
      <x:c r="O199" t="str">
        <x:v>New</x:v>
      </x:c>
      <x:c r="P199" t="str">
        <x:v>Production</x:v>
      </x:c>
      <x:c r="Q199" t="str">
        <x:v>To create for all 3 environment Development UAT Production</x:v>
      </x:c>
      <x:c r="R199" t="str">
        <x:v>S</x:v>
      </x:c>
      <x:c r="S199"/>
      <x:c r="T199"/>
      <x:c r="U199" t="str">
        <x:v>Approved in line with the stated business requirements and SA's confirmation.</x:v>
      </x:c>
      <x:c r="V199" t="n">
        <x:v>46204.34100039352</x:v>
      </x:c>
      <x:c r="W199" t="str">
        <x:v>jamie.kee@petronas.com</x:v>
      </x:c>
      <x:c r="X199" t="str">
        <x:v>approved</x:v>
      </x:c>
      <x:c r="Y199" t="str">
        <x:v>Good to go. We will create the Resource Group (RG) for Fabric in the Production environment.</x:v>
      </x:c>
      <x:c r="Z199" t="n">
        <x:v>46205.066938888885</x:v>
      </x:c>
      <x:c r="AA199" t="str">
        <x:v>samsuddin.jumbri@petronas.com</x:v>
      </x:c>
      <x:c r="AB199" t="str">
        <x:v>approved</x:v>
      </x:c>
      <x:c r="AC199" t="str">
        <x:v>Approve</x:v>
      </x:c>
      <x:c r="AD199" t="n">
        <x:v>46222.855440011575</x:v>
      </x:c>
      <x:c r="AE199" t="str">
        <x:v>abhishek.bhowate@petronas.com</x:v>
      </x:c>
      <x:c r="AF199" t="str">
        <x:v>approved</x:v>
      </x:c>
      <x:c r="AG199"/>
      <x:c r="AH199"/>
      <x:c r="AI199" t="str">
        <x:v>K.saktivelu@petronas.com</x:v>
      </x:c>
      <x:c r="AJ199"/>
      <x:c r="AK199" t="str">
        <x:v>REQ000008178702</x:v>
      </x:c>
      <x:c r="AL199" t="str">
        <x:v>9f4eb72f-c950-40b7-ad2f-809c8c432953</x:v>
      </x:c>
      <x:c r="AM199" s="23" t="n">
        <x:f>IF(E199="processing",IF(Z199="","",IF(ISNUMBER(Z199),INT(Z199),DATE(VALUE(LEFT(Z199,4)),VALUE(MID(Z199,6,2)),VALUE(MID(Z199,9,2))))),IF(OR(E199="executing",E199="pending"),IF(AD199="","",IF(ISNUMBER(AD199),INT(AD199),DATE(VALUE(LEFT(AD199,4)),VALUE(MID(AD199,6,2)),VALUE(MID(AD199,9,2))))),""))</x:f>
        <x:v>46222</x:v>
      </x:c>
      <x:c r="AN199" s="24" t="n">
        <x:f>IF(AM199="","",INT('Configuration'!$B$4)-AM199)</x:f>
        <x:v>29</x:v>
      </x:c>
      <x:c r="AO199" s="25" t="str">
        <x:f>IF(AM199="","Missing Required Date",IF(AN199&lt;0,"Future Date",IF(AN199=0,"0 days",IF(AN199&lt;=2,"1-2 days",IF(AN199&lt;=7,"3-7 days",IF(AN199&lt;=14,"8-14 days",IF(AN199&lt;=30,"15-30 days",IF(AN199&lt;=60,"31-60 days",IF(AN199&lt;=70,"61-70 days","71+ days")))))))))</x:f>
        <x:v>15-30 days</x:v>
      </x:c>
      <x:c r="AP199" s="25" t="str">
        <x:f>IF(OR(E199="processing",E199="executing",E199="pending"),IF(AM199="","Required aging date missing",IF(AN199&gt;30,"Escalate &gt;30d",IF(AN199&gt;14,"Watch &gt;14d","Within 14d"))),"Out of scope")</x:f>
        <x:v>Watch &gt;14d</x:v>
      </x:c>
    </x:row>
    <x:row r="200" ht="24" customHeight="1">
      <x:c r="A200" t="str">
        <x:v>63bbf4a4-4fc1-44be-b52c-95c8e9dd50ea</x:v>
      </x:c>
      <x:c r="B200" t="str">
        <x:v>CSSP10166697</x:v>
      </x:c>
      <x:c r="C200" t="str">
        <x:v>rinaaniza.mnazri@petronas.com</x:v>
      </x:c>
      <x:c r="D200" t="str">
        <x:v>provision-cloud-public</x:v>
      </x:c>
      <x:c r="E200" t="str">
        <x:v>executing</x:v>
      </x:c>
      <x:c r="F200" t="n">
        <x:v>46204.16397262731</x:v>
      </x:c>
      <x:c r="G200" t="n">
        <x:v>46204.16397262731</x:v>
      </x:c>
      <x:c r="H200" t="n">
        <x:v>46222.85478372685</x:v>
      </x:c>
      <x:c r="I200" t="str">
        <x:v>A-001377</x:v>
      </x:c>
      <x:c r="J200" t="str">
        <x:v>KLCC Data Hub</x:v>
      </x:c>
      <x:c r="K200" t="str">
        <x:v>SR26952</x:v>
      </x:c>
      <x:c r="L200" t="str">
        <x:v>Subscription of PETRONAS Microsoft Fabric for KLCCH</x:v>
      </x:c>
      <x:c r="M200" t="str">
        <x:v>jamie.kee@petronas.com.my</x:v>
      </x:c>
      <x:c r="N200" t="str">
        <x:v>KLCC Digital</x:v>
      </x:c>
      <x:c r="O200" t="str">
        <x:v>New</x:v>
      </x:c>
      <x:c r="P200" t="str">
        <x:v>StagingUat</x:v>
      </x:c>
      <x:c r="Q200" t="str">
        <x:v>To create for all 3 environment Development UAT Production</x:v>
      </x:c>
      <x:c r="R200" t="str">
        <x:v>S</x:v>
      </x:c>
      <x:c r="S200"/>
      <x:c r="T200"/>
      <x:c r="U200" t="str">
        <x:v>Approved in line with the stated business requirements and SA's confirmation.</x:v>
      </x:c>
      <x:c r="V200" t="n">
        <x:v>46204.34119348379</x:v>
      </x:c>
      <x:c r="W200" t="str">
        <x:v>jamie.kee@petronas.com</x:v>
      </x:c>
      <x:c r="X200" t="str">
        <x:v>approved</x:v>
      </x:c>
      <x:c r="Y200" t="str">
        <x:v>Good to go. We will create the Resource Group (RG) for Fabric in the Production environment.</x:v>
      </x:c>
      <x:c r="Z200" t="n">
        <x:v>46205.07151015046</x:v>
      </x:c>
      <x:c r="AA200" t="str">
        <x:v>samsuddin.jumbri@petronas.com</x:v>
      </x:c>
      <x:c r="AB200" t="str">
        <x:v>approved</x:v>
      </x:c>
      <x:c r="AC200" t="str">
        <x:v>Okay</x:v>
      </x:c>
      <x:c r="AD200" t="n">
        <x:v>46222.854783738425</x:v>
      </x:c>
      <x:c r="AE200" t="str">
        <x:v>abhishek.bhowate@petronas.com</x:v>
      </x:c>
      <x:c r="AF200" t="str">
        <x:v>approved</x:v>
      </x:c>
      <x:c r="AG200"/>
      <x:c r="AH200"/>
      <x:c r="AI200" t="str">
        <x:v>K.saktivelu@petronas.com</x:v>
      </x:c>
      <x:c r="AJ200"/>
      <x:c r="AK200" t="str">
        <x:v>REQ000008178968</x:v>
      </x:c>
      <x:c r="AL200" t="str">
        <x:v>9f4eb72f-c950-40b7-ad2f-809c8c432953</x:v>
      </x:c>
      <x:c r="AM200" s="23" t="n">
        <x:f>IF(E200="processing",IF(Z200="","",IF(ISNUMBER(Z200),INT(Z200),DATE(VALUE(LEFT(Z200,4)),VALUE(MID(Z200,6,2)),VALUE(MID(Z200,9,2))))),IF(OR(E200="executing",E200="pending"),IF(AD200="","",IF(ISNUMBER(AD200),INT(AD200),DATE(VALUE(LEFT(AD200,4)),VALUE(MID(AD200,6,2)),VALUE(MID(AD200,9,2))))),""))</x:f>
        <x:v>46222</x:v>
      </x:c>
      <x:c r="AN200" s="24" t="n">
        <x:f>IF(AM200="","",INT('Configuration'!$B$4)-AM200)</x:f>
        <x:v>29</x:v>
      </x:c>
      <x:c r="AO200" s="25" t="str">
        <x:f>IF(AM200="","Missing Required Date",IF(AN200&lt;0,"Future Date",IF(AN200=0,"0 days",IF(AN200&lt;=2,"1-2 days",IF(AN200&lt;=7,"3-7 days",IF(AN200&lt;=14,"8-14 days",IF(AN200&lt;=30,"15-30 days",IF(AN200&lt;=60,"31-60 days",IF(AN200&lt;=70,"61-70 days","71+ days")))))))))</x:f>
        <x:v>15-30 days</x:v>
      </x:c>
      <x:c r="AP200" s="25" t="str">
        <x:f>IF(OR(E200="processing",E200="executing",E200="pending"),IF(AM200="","Required aging date missing",IF(AN200&gt;30,"Escalate &gt;30d",IF(AN200&gt;14,"Watch &gt;14d","Within 14d"))),"Out of scope")</x:f>
        <x:v>Watch &gt;14d</x:v>
      </x:c>
    </x:row>
    <x:row r="201" ht="24" customHeight="1">
      <x:c r="A201" t="str">
        <x:v>09ff0ec9-7c77-445c-bb90-fdea8f766cee</x:v>
      </x:c>
      <x:c r="B201" t="str">
        <x:v>CSSP10268716</x:v>
      </x:c>
      <x:c r="C201" t="str">
        <x:v>hadi.hairi@petronas.com</x:v>
      </x:c>
      <x:c r="D201" t="str">
        <x:v>provision-cloud-public</x:v>
      </x:c>
      <x:c r="E201" t="str">
        <x:v>completed</x:v>
      </x:c>
      <x:c r="F201" t="n">
        <x:v>46204.29265425926</x:v>
      </x:c>
      <x:c r="G201" t="n">
        <x:v>46204.29265425926</x:v>
      </x:c>
      <x:c r="H201" t="n">
        <x:v>46246.08997</x:v>
      </x:c>
      <x:c r="I201" t="str">
        <x:v>A-001374</x:v>
      </x:c>
      <x:c r="J201" t="str">
        <x:v>Frontier Firm</x:v>
      </x:c>
      <x:c r="K201" t="str">
        <x:v>SR26854</x:v>
      </x:c>
      <x:c r="L201" t="str">
        <x:v>PDSB Frontier Firm</x:v>
      </x:c>
      <x:c r="M201" t="str">
        <x:v>mazahari.ahmad@petronas.com.my</x:v>
      </x:c>
      <x:c r="N201" t="str">
        <x:v>PDSB Frontier Firm</x:v>
      </x:c>
      <x:c r="O201" t="str">
        <x:v>New</x:v>
      </x:c>
      <x:c r="P201" t="str">
        <x:v>Development</x:v>
      </x:c>
      <x:c r="Q201" t="str">
        <x:v>1) The naming conventions under the label of "Custom Name" as per discussion with sujay.pillai@petronas.com.my.
2) This solution will use spoke-hub model.
3) The Hub resources will be as listed in "AI Foundry Shared (Non-Prod)" in BoM and will be provisioned in "PTAZSG-IAC-DEV-CORP-AIF-RG" located in "PTAZSG-IAC-DEV ENVIRONMENT".
4) The Spoke resources will be as listed in the rest of Sheets and will be provisioned in "PTAZSG-IAC-DEV-FF-RG" located in "PTAZMY-IAC-NONPROD-CORPORATE ENVIRONMENT".
5) Please prioritize the following resources in the Sheets:
"UC1-Billing Variance"
"UC2-OC2"
"UC3-AI Compliance"
"UC7-Work Order Strategy".</x:v>
      </x:c>
      <x:c r="R201" t="str">
        <x:v>L</x:v>
      </x:c>
      <x:c r="S201"/>
      <x:c r="T201"/>
      <x:c r="U201" t="str">
        <x:v>Approved as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x:v>
      </x:c>
      <x:c r="V201" t="n">
        <x:v>46204.31270310185</x:v>
      </x:c>
      <x:c r="W201" t="str">
        <x:v>mazahari.ahmad@petronas.com</x:v>
      </x:c>
      <x:c r="X201" t="str">
        <x:v>approved</x:v>
      </x:c>
      <x:c r="Y201" t="str">
        <x:v>Good to go</x:v>
      </x:c>
      <x:c r="Z201" t="n">
        <x:v>46205.1192106713</x:v>
      </x:c>
      <x:c r="AA201" t="str">
        <x:v>samsuddin.jumbri@petronas.com</x:v>
      </x:c>
      <x:c r="AB201" t="str">
        <x:v>approved</x:v>
      </x:c>
      <x:c r="AC201" t="str">
        <x:v>Large due to container app and connectivity/environment config.</x:v>
      </x:c>
      <x:c r="AD201" t="n">
        <x:v>46206.33211234953</x:v>
      </x:c>
      <x:c r="AE201" t="str">
        <x:v>syazali.saad@petronas.com</x:v>
      </x:c>
      <x:c r="AF201" t="str">
        <x:v>approved</x:v>
      </x:c>
      <x:c r="AG201" t="str">
        <x:v>ticket has been completed. hence closing the request </x:v>
      </x:c>
      <x:c r="AH201" t="n">
        <x:v>46246.08997001158</x:v>
      </x:c>
      <x:c r="AI201" t="str">
        <x:v>venkatesh.kalikivayi@petronas.com</x:v>
      </x:c>
      <x:c r="AJ201" t="str">
        <x:v>approved</x:v>
      </x:c>
      <x:c r="AK201" t="str">
        <x:v>REQ000008143314</x:v>
      </x:c>
      <x:c r="AL201" t="str">
        <x:v>6a3ea0b2-21a7-451c-a21d-3278b4fc6e80</x:v>
      </x:c>
      <x:c r="AM201" s="23" t="str">
        <x:f>IF(E201="processing",IF(Z201="","",IF(ISNUMBER(Z201),INT(Z201),DATE(VALUE(LEFT(Z201,4)),VALUE(MID(Z201,6,2)),VALUE(MID(Z201,9,2))))),IF(OR(E201="executing",E201="pending"),IF(AD201="","",IF(ISNUMBER(AD201),INT(AD201),DATE(VALUE(LEFT(AD201,4)),VALUE(MID(AD201,6,2)),VALUE(MID(AD201,9,2))))),""))</x:f>
      </x:c>
      <x:c r="AN201" s="24" t="str">
        <x:f>IF(AM201="","",INT('Configuration'!$B$4)-AM201)</x:f>
      </x:c>
      <x:c r="AO201" s="25" t="str">
        <x:f>IF(AM201="","Missing Required Date",IF(AN201&lt;0,"Future Date",IF(AN201=0,"0 days",IF(AN201&lt;=2,"1-2 days",IF(AN201&lt;=7,"3-7 days",IF(AN201&lt;=14,"8-14 days",IF(AN201&lt;=30,"15-30 days",IF(AN201&lt;=60,"31-60 days",IF(AN201&lt;=70,"61-70 days","71+ days")))))))))</x:f>
        <x:v>Missing Required Date</x:v>
      </x:c>
      <x:c r="AP201" s="25" t="str">
        <x:f>IF(OR(E201="processing",E201="executing",E201="pending"),IF(AM201="","Required aging date missing",IF(AN201&gt;30,"Escalate &gt;30d",IF(AN201&gt;14,"Watch &gt;14d","Within 14d"))),"Out of scope")</x:f>
        <x:v>Out of scope</x:v>
      </x:c>
    </x:row>
    <x:row r="202" ht="24" customHeight="1">
      <x:c r="A202" t="str">
        <x:v>df038705-b8ec-475a-ae96-e8885b8af39f</x:v>
      </x:c>
      <x:c r="B202" t="str">
        <x:v>CSSP10927046</x:v>
      </x:c>
      <x:c r="C202" t="str">
        <x:v>mkhairulazhar.jamil@petronas.com</x:v>
      </x:c>
      <x:c r="D202" t="str">
        <x:v>provision-cloud-public</x:v>
      </x:c>
      <x:c r="E202" t="str">
        <x:v>completed</x:v>
      </x:c>
      <x:c r="F202" t="n">
        <x:v>46205.13069259259</x:v>
      </x:c>
      <x:c r="G202" t="n">
        <x:v>46205.13069259259</x:v>
      </x:c>
      <x:c r="H202" t="n">
        <x:v>46243.642616840276</x:v>
      </x:c>
      <x:c r="I202" t="str">
        <x:v>A-000124</x:v>
      </x:c>
      <x:c r="J202" t="str">
        <x:v>COMPASS</x:v>
      </x:c>
      <x:c r="K202" t="n">
        <x:v>1709</x:v>
      </x:c>
      <x:c r="L202" t="str">
        <x:v>COMPASS Phase 2</x:v>
      </x:c>
      <x:c r="M202" t="str">
        <x:v>amirshazlan.mshah@petronas.com.my</x:v>
      </x:c>
      <x:c r="N202" t="str">
        <x:v>COMPASS</x:v>
      </x:c>
      <x:c r="O202" t="str">
        <x:v>Modify</x:v>
      </x:c>
      <x:c r="P202" t="str">
        <x:v>StagingUat</x:v>
      </x:c>
      <x:c r="Q202" t="str">
        <x:v>During DAST scanning of COMPASS QA, a security issue was identified related to the reverse proxy configuration.
Affected Application:
- COMPASS QA Frontend
- Resource: ptsg-4compassp2wb02/stg
- URL: compassqa.petronas.com
Issue: The reverse proxy is not properly handling ambiguous HTTP requests containing both Content-Length and Transfer-Encoding headers. This has been reported as a security finding in SSC.
Required fix: Configure the reverse proxy to:
- Reject requests containing both Content-Length and Transfer-Encoding headers
- Close the connection when such requests are detected</x:v>
      </x:c>
      <x:c r="R202" t="str">
        <x:v>S</x:v>
      </x:c>
      <x:c r="S202"/>
      <x:c r="T202"/>
      <x:c r="U202" t="str">
        <x:v>approved fro compass</x:v>
      </x:c>
      <x:c r="V202" t="n">
        <x:v>46205.14049722222</x:v>
      </x:c>
      <x:c r="W202" t="str">
        <x:v>amirshazlan.mshah@petronas.com</x:v>
      </x:c>
      <x:c r="X202" t="str">
        <x:v>approved</x:v>
      </x:c>
      <x:c r="Y202" t="str">
        <x:v>Security enhancement/configuration update on existing reverse proxy to address DAST finding. No new resources or complex infrastructure deployment required.</x:v>
      </x:c>
      <x:c r="Z202" t="n">
        <x:v>46210.12896938658</x:v>
      </x:c>
      <x:c r="AA202" t="str">
        <x:v>samsuddin.jumbri@petronas.com</x:v>
      </x:c>
      <x:c r="AB202" t="str">
        <x:v>approved</x:v>
      </x:c>
      <x:c r="AC202" t="str">
        <x:v>Approved for further processing</x:v>
      </x:c>
      <x:c r="AD202" t="n">
        <x:v>46219.15202304398</x:v>
      </x:c>
      <x:c r="AE202" t="str">
        <x:v>nilesh.sankpal@petronas.com</x:v>
      </x:c>
      <x:c r="AF202" t="str">
        <x:v>approved</x:v>
      </x:c>
      <x:c r="AG202" t="str">
        <x:v>Based on our assessment, the affected resource appears to be an Azure App Service (ptsg-4compassp2wb02/stg). We do not have a platform-level configuration available within App Service to enforce rejection of requests containing both headers and to close the connection upon detection. Hence closing the request</x:v>
      </x:c>
      <x:c r="AH202" t="n">
        <x:v>46243.642616840276</x:v>
      </x:c>
      <x:c r="AI202" t="str">
        <x:v>amarja.kawade@petronas.com</x:v>
      </x:c>
      <x:c r="AJ202" t="str">
        <x:v>approved</x:v>
      </x:c>
      <x:c r="AK202" t="str">
        <x:v>REQ000008172904</x:v>
      </x:c>
      <x:c r="AL202" t="str">
        <x:v>90296959-c21f-48ac-8658-df869ee75354</x:v>
      </x:c>
      <x:c r="AM202" s="23" t="str">
        <x:f>IF(E202="processing",IF(Z202="","",IF(ISNUMBER(Z202),INT(Z202),DATE(VALUE(LEFT(Z202,4)),VALUE(MID(Z202,6,2)),VALUE(MID(Z202,9,2))))),IF(OR(E202="executing",E202="pending"),IF(AD202="","",IF(ISNUMBER(AD202),INT(AD202),DATE(VALUE(LEFT(AD202,4)),VALUE(MID(AD202,6,2)),VALUE(MID(AD202,9,2))))),""))</x:f>
      </x:c>
      <x:c r="AN202" s="24" t="str">
        <x:f>IF(AM202="","",INT('Configuration'!$B$4)-AM202)</x:f>
      </x:c>
      <x:c r="AO202" s="25" t="str">
        <x:f>IF(AM202="","Missing Required Date",IF(AN202&lt;0,"Future Date",IF(AN202=0,"0 days",IF(AN202&lt;=2,"1-2 days",IF(AN202&lt;=7,"3-7 days",IF(AN202&lt;=14,"8-14 days",IF(AN202&lt;=30,"15-30 days",IF(AN202&lt;=60,"31-60 days",IF(AN202&lt;=70,"61-70 days","71+ days")))))))))</x:f>
        <x:v>Missing Required Date</x:v>
      </x:c>
      <x:c r="AP202" s="25" t="str">
        <x:f>IF(OR(E202="processing",E202="executing",E202="pending"),IF(AM202="","Required aging date missing",IF(AN202&gt;30,"Escalate &gt;30d",IF(AN202&gt;14,"Watch &gt;14d","Within 14d"))),"Out of scope")</x:f>
        <x:v>Out of scope</x:v>
      </x:c>
    </x:row>
    <x:row r="203" ht="24" customHeight="1">
      <x:c r="A203" t="str">
        <x:v>7ef25ccc-462c-4838-8845-ab48370f5353</x:v>
      </x:c>
      <x:c r="B203" t="str">
        <x:v>CSSP10514376</x:v>
      </x:c>
      <x:c r="C203" t="str">
        <x:v>ahmadaizuddin.badry@petronas.com</x:v>
      </x:c>
      <x:c r="D203" t="str">
        <x:v>provision-cloud-public</x:v>
      </x:c>
      <x:c r="E203" t="str">
        <x:v>rejected</x:v>
      </x:c>
      <x:c r="F203" t="n">
        <x:v>46205.24749351852</x:v>
      </x:c>
      <x:c r="G203" t="n">
        <x:v>46205.24749351852</x:v>
      </x:c>
      <x:c r="H203" t="n">
        <x:v>46210.27548509259</x:v>
      </x:c>
      <x:c r="I203" t="str">
        <x:v>A-000490</x:v>
      </x:c>
      <x:c r="J203" t="str">
        <x:v>MyProcure</x:v>
      </x:c>
      <x:c r="K203" t="n">
        <x:v>4343</x:v>
      </x:c>
      <x:c r="L203" t="str">
        <x:v>Procurement Innovation Through Automation And Procurement Marketplace</x:v>
      </x:c>
      <x:c r="M203" t="str">
        <x:v>zulfakar.mohd@petronas.com.my</x:v>
      </x:c>
      <x:c r="N203" t="str">
        <x:v>Procurement AI</x:v>
      </x:c>
      <x:c r="O203" t="str">
        <x:v>New</x:v>
      </x:c>
      <x:c r="P203" t="str">
        <x:v>Production</x:v>
      </x:c>
      <x:c r="Q203" t="str">
        <x:v>Provision of PostgreSQL in Azure myProcure</x:v>
      </x:c>
      <x:c r="R203" t="str">
        <x:v>M</x:v>
      </x:c>
      <x:c r="S203"/>
      <x:c r="T203"/>
      <x:c r="U203" t="str">
        <x:v>all good</x:v>
      </x:c>
      <x:c r="V203" t="n">
        <x:v>46205.25332859954</x:v>
      </x:c>
      <x:c r="W203" t="str">
        <x:v>zulfakar.mohd@petronas.com</x:v>
      </x:c>
      <x:c r="X203" t="str">
        <x:v>approved</x:v>
      </x:c>
      <x:c r="Y203" t="str">
        <x:v>This request does not match the associated Project SR number (04343). Kindly provide the correct Project SR number, together with the approved CS BIA, SOW and approved HLD, as supporting evidence for the review.</x:v>
      </x:c>
      <x:c r="Z203" t="n">
        <x:v>46210.275485115744</x:v>
      </x:c>
      <x:c r="AA203" t="str">
        <x:v>samsuddin.jumbri@petronas.com</x:v>
      </x:c>
      <x:c r="AB203" t="str">
        <x:v>rejected</x:v>
      </x:c>
      <x:c r="AC203"/>
      <x:c r="AD203"/>
      <x:c r="AE203" t="str">
        <x:v>IMS - CLOUD CSSP REVIEWER</x:v>
      </x:c>
      <x:c r="AF203"/>
      <x:c r="AG203"/>
      <x:c r="AH203"/>
      <x:c r="AI203" t="str">
        <x:v>IMS - CLOUD CSSP EXECUTOR</x:v>
      </x:c>
      <x:c r="AJ203"/>
      <x:c r="AK203"/>
      <x:c r="AL203" t="str">
        <x:v>e1827a6c-e18c-4500-94be-16de9cbb9e7c</x:v>
      </x:c>
      <x:c r="AM203" s="23" t="str">
        <x:f>IF(E203="processing",IF(Z203="","",IF(ISNUMBER(Z203),INT(Z203),DATE(VALUE(LEFT(Z203,4)),VALUE(MID(Z203,6,2)),VALUE(MID(Z203,9,2))))),IF(OR(E203="executing",E203="pending"),IF(AD203="","",IF(ISNUMBER(AD203),INT(AD203),DATE(VALUE(LEFT(AD203,4)),VALUE(MID(AD203,6,2)),VALUE(MID(AD203,9,2))))),""))</x:f>
      </x:c>
      <x:c r="AN203" s="24" t="str">
        <x:f>IF(AM203="","",INT('Configuration'!$B$4)-AM203)</x:f>
      </x:c>
      <x:c r="AO203" s="25" t="str">
        <x:f>IF(AM203="","Missing Required Date",IF(AN203&lt;0,"Future Date",IF(AN203=0,"0 days",IF(AN203&lt;=2,"1-2 days",IF(AN203&lt;=7,"3-7 days",IF(AN203&lt;=14,"8-14 days",IF(AN203&lt;=30,"15-30 days",IF(AN203&lt;=60,"31-60 days",IF(AN203&lt;=70,"61-70 days","71+ days")))))))))</x:f>
        <x:v>Missing Required Date</x:v>
      </x:c>
      <x:c r="AP203" s="25" t="str">
        <x:f>IF(OR(E203="processing",E203="executing",E203="pending"),IF(AM203="","Required aging date missing",IF(AN203&gt;30,"Escalate &gt;30d",IF(AN203&gt;14,"Watch &gt;14d","Within 14d"))),"Out of scope")</x:f>
        <x:v>Out of scope</x:v>
      </x:c>
    </x:row>
    <x:row r="204" ht="24" customHeight="1">
      <x:c r="A204" t="str">
        <x:v>301fbed9-00e3-4a60-bc88-0ad69be24b98</x:v>
      </x:c>
      <x:c r="B204" t="str">
        <x:v>CSSP10225257</x:v>
      </x:c>
      <x:c r="C204" t="str">
        <x:v>ivanlim.choonkit@petronas.com</x:v>
      </x:c>
      <x:c r="D204" t="str">
        <x:v>provision-cloud-public</x:v>
      </x:c>
      <x:c r="E204" t="str">
        <x:v>rejected</x:v>
      </x:c>
      <x:c r="F204" t="n">
        <x:v>46205.27383733796</x:v>
      </x:c>
      <x:c r="G204" t="n">
        <x:v>46205.27383733796</x:v>
      </x:c>
      <x:c r="H204" t="n">
        <x:v>46210.31215957176</x:v>
      </x:c>
      <x:c r="I204" t="str">
        <x:v>A-001241</x:v>
      </x:c>
      <x:c r="J204" t="str">
        <x:v>Digital Intelligence Center - DIC</x:v>
      </x:c>
      <x:c r="K204" t="n">
        <x:v>4712</x:v>
      </x:c>
      <x:c r="L204" t="str">
        <x:v>Deployment of Digital Intelligence Center (DIC) for Malaysia Petroleum Management (MPM)</x:v>
      </x:c>
      <x:c r="M204" t="str">
        <x:v>wadiah.rusli@petronas.com.my</x:v>
      </x:c>
      <x:c r="N204" t="str">
        <x:v>Deployment of Digital Intelligence Center (DIC) for MPM</x:v>
      </x:c>
      <x:c r="O204" t="str">
        <x:v>New</x:v>
      </x:c>
      <x:c r="P204" t="str">
        <x:v>Production</x:v>
      </x:c>
      <x:c r="Q204"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x:v>
      </x:c>
      <x:c r="R204" t="str">
        <x:v>S</x:v>
      </x:c>
      <x:c r="S204"/>
      <x:c r="T204"/>
      <x:c r="U204" t="str">
        <x:v>Approved. Please expedite.</x:v>
      </x:c>
      <x:c r="V204" t="n">
        <x:v>46206.03507974537</x:v>
      </x:c>
      <x:c r="W204" t="str">
        <x:v>wadiah.rusli@petronas.com</x:v>
      </x:c>
      <x:c r="X204" t="str">
        <x:v>approved</x:v>
      </x:c>
      <x:c r="Y204" t="str">
        <x:v>Please provide the approved CS BIA, Memo Approval (Business Approval), and the amended HLD with an updated architecture diagram incorporating the newly introduced EC2 instance, as supporting evidence to comply with the Cloud Service Request and Provisioning Guideline v4.0.</x:v>
      </x:c>
      <x:c r="Z204" t="n">
        <x:v>46210.312159583336</x:v>
      </x:c>
      <x:c r="AA204" t="str">
        <x:v>samsuddin.jumbri@petronas.com</x:v>
      </x:c>
      <x:c r="AB204" t="str">
        <x:v>rejected</x:v>
      </x:c>
      <x:c r="AC204"/>
      <x:c r="AD204"/>
      <x:c r="AE204" t="str">
        <x:v>IMS - CLOUD CSSP REVIEWER</x:v>
      </x:c>
      <x:c r="AF204"/>
      <x:c r="AG204"/>
      <x:c r="AH204"/>
      <x:c r="AI204" t="str">
        <x:v>IMS - CLOUD CSSP EXECUTOR</x:v>
      </x:c>
      <x:c r="AJ204"/>
      <x:c r="AK204"/>
      <x:c r="AL204" t="str">
        <x:v>cc71964c-37e4-4a55-80e9-353ad3690f75</x:v>
      </x:c>
      <x:c r="AM204" s="23" t="str">
        <x:f>IF(E204="processing",IF(Z204="","",IF(ISNUMBER(Z204),INT(Z204),DATE(VALUE(LEFT(Z204,4)),VALUE(MID(Z204,6,2)),VALUE(MID(Z204,9,2))))),IF(OR(E204="executing",E204="pending"),IF(AD204="","",IF(ISNUMBER(AD204),INT(AD204),DATE(VALUE(LEFT(AD204,4)),VALUE(MID(AD204,6,2)),VALUE(MID(AD204,9,2))))),""))</x:f>
      </x:c>
      <x:c r="AN204" s="24" t="str">
        <x:f>IF(AM204="","",INT('Configuration'!$B$4)-AM204)</x:f>
      </x:c>
      <x:c r="AO204" s="25" t="str">
        <x:f>IF(AM204="","Missing Required Date",IF(AN204&lt;0,"Future Date",IF(AN204=0,"0 days",IF(AN204&lt;=2,"1-2 days",IF(AN204&lt;=7,"3-7 days",IF(AN204&lt;=14,"8-14 days",IF(AN204&lt;=30,"15-30 days",IF(AN204&lt;=60,"31-60 days",IF(AN204&lt;=70,"61-70 days","71+ days")))))))))</x:f>
        <x:v>Missing Required Date</x:v>
      </x:c>
      <x:c r="AP204" s="25" t="str">
        <x:f>IF(OR(E204="processing",E204="executing",E204="pending"),IF(AM204="","Required aging date missing",IF(AN204&gt;30,"Escalate &gt;30d",IF(AN204&gt;14,"Watch &gt;14d","Within 14d"))),"Out of scope")</x:f>
        <x:v>Out of scope</x:v>
      </x:c>
    </x:row>
    <x:row r="205" ht="24" customHeight="1">
      <x:c r="A205" t="str">
        <x:v>399de0c7-8131-4207-a1e8-f3d205848502</x:v>
      </x:c>
      <x:c r="B205" t="str">
        <x:v>CSSP10301150</x:v>
      </x:c>
      <x:c r="C205" t="str">
        <x:v>ismail.azman@petronas.com</x:v>
      </x:c>
      <x:c r="D205" t="str">
        <x:v>provision-cloud-public</x:v>
      </x:c>
      <x:c r="E205" t="str">
        <x:v>rejected</x:v>
      </x:c>
      <x:c r="F205" t="n">
        <x:v>46208.780881886574</x:v>
      </x:c>
      <x:c r="G205" t="n">
        <x:v>46208.780881886574</x:v>
      </x:c>
      <x:c r="H205" t="n">
        <x:v>46209.07677895833</x:v>
      </x:c>
      <x:c r="I205" t="str">
        <x:v>C-000040</x:v>
      </x:c>
      <x:c r="J205" t="str">
        <x:v>Cloud Self Service Portal - CSSP</x:v>
      </x:c>
      <x:c r="K205" t="n">
        <x:v>1824</x:v>
      </x:c>
      <x:c r="L205" t="str">
        <x:v>Cloud Digitization - Cloud Self Service Portal</x:v>
      </x:c>
      <x:c r="M205" t="str">
        <x:v>ahmadfajar.faeiz@petronas.com</x:v>
      </x:c>
      <x:c r="N205" t="str">
        <x:v>CloudSSP</x:v>
      </x:c>
      <x:c r="O205" t="str">
        <x:v>New</x:v>
      </x:c>
      <x:c r="P205" t="str">
        <x:v>Development</x:v>
      </x:c>
      <x:c r="Q205" t="str">
        <x:v>Workflow update testing..</x:v>
      </x:c>
      <x:c r="R205"/>
      <x:c r="S205"/>
      <x:c r="T205"/>
      <x:c r="U205" t="str">
        <x:v>..</x:v>
      </x:c>
      <x:c r="V205" t="n">
        <x:v>46209.07677895833</x:v>
      </x:c>
      <x:c r="W205" t="str">
        <x:v>ismail.azman@petronas.com</x:v>
      </x:c>
      <x:c r="X205" t="str">
        <x:v>rejected</x:v>
      </x:c>
      <x:c r="Y205"/>
      <x:c r="Z205"/>
      <x:c r="AA205" t="str">
        <x:v>CCoE SA</x:v>
      </x:c>
      <x:c r="AB205"/>
      <x:c r="AC205"/>
      <x:c r="AD205"/>
      <x:c r="AE205" t="str">
        <x:v>IMS - CLOUD CSSP REVIEWER</x:v>
      </x:c>
      <x:c r="AF205"/>
      <x:c r="AG205"/>
      <x:c r="AH205"/>
      <x:c r="AI205" t="str">
        <x:v>IMS - CLOUD CSSP EXECUTOR</x:v>
      </x:c>
      <x:c r="AJ205"/>
      <x:c r="AK205"/>
      <x:c r="AL205" t="str">
        <x:v>ff15772f-f5d5-4613-a878-a022487e89aa</x:v>
      </x:c>
      <x:c r="AM205" s="23" t="str">
        <x:f>IF(E205="processing",IF(Z205="","",IF(ISNUMBER(Z205),INT(Z205),DATE(VALUE(LEFT(Z205,4)),VALUE(MID(Z205,6,2)),VALUE(MID(Z205,9,2))))),IF(OR(E205="executing",E205="pending"),IF(AD205="","",IF(ISNUMBER(AD205),INT(AD205),DATE(VALUE(LEFT(AD205,4)),VALUE(MID(AD205,6,2)),VALUE(MID(AD205,9,2))))),""))</x:f>
      </x:c>
      <x:c r="AN205" s="24" t="str">
        <x:f>IF(AM205="","",INT('Configuration'!$B$4)-AM205)</x:f>
      </x:c>
      <x:c r="AO205" s="25" t="str">
        <x:f>IF(AM205="","Missing Required Date",IF(AN205&lt;0,"Future Date",IF(AN205=0,"0 days",IF(AN205&lt;=2,"1-2 days",IF(AN205&lt;=7,"3-7 days",IF(AN205&lt;=14,"8-14 days",IF(AN205&lt;=30,"15-30 days",IF(AN205&lt;=60,"31-60 days",IF(AN205&lt;=70,"61-70 days","71+ days")))))))))</x:f>
        <x:v>Missing Required Date</x:v>
      </x:c>
      <x:c r="AP205" s="25" t="str">
        <x:f>IF(OR(E205="processing",E205="executing",E205="pending"),IF(AM205="","Required aging date missing",IF(AN205&gt;30,"Escalate &gt;30d",IF(AN205&gt;14,"Watch &gt;14d","Within 14d"))),"Out of scope")</x:f>
        <x:v>Out of scope</x:v>
      </x:c>
    </x:row>
    <x:row r="206" ht="24" customHeight="1">
      <x:c r="A206" t="str">
        <x:v>fa77b7d8-0475-40a0-a3b2-96871420e862</x:v>
      </x:c>
      <x:c r="B206" t="str">
        <x:v>CSSP10868450</x:v>
      </x:c>
      <x:c r="C206" t="str">
        <x:v>ismail.azman@petronas.com</x:v>
      </x:c>
      <x:c r="D206" t="str">
        <x:v>provision-cloud-public</x:v>
      </x:c>
      <x:c r="E206" t="str">
        <x:v>completed</x:v>
      </x:c>
      <x:c r="F206" t="n">
        <x:v>46209.139780983794</x:v>
      </x:c>
      <x:c r="G206" t="n">
        <x:v>46209.139780983794</x:v>
      </x:c>
      <x:c r="H206" t="n">
        <x:v>46231.28135295139</x:v>
      </x:c>
      <x:c r="I206" t="str">
        <x:v>C-000040</x:v>
      </x:c>
      <x:c r="J206" t="str">
        <x:v>Cloud Self Service Portal - CSSP</x:v>
      </x:c>
      <x:c r="K206" t="n">
        <x:v>1824</x:v>
      </x:c>
      <x:c r="L206" t="str">
        <x:v>Cloud Digitization - Cloud Self Service Portal</x:v>
      </x:c>
      <x:c r="M206" t="str">
        <x:v>ahmadfajar.faeiz@petronas.com</x:v>
      </x:c>
      <x:c r="N206" t="str">
        <x:v>CloudSSP</x:v>
      </x:c>
      <x:c r="O206" t="str">
        <x:v>New</x:v>
      </x:c>
      <x:c r="P206" t="str">
        <x:v>Development</x:v>
      </x:c>
      <x:c r="Q206" t="str">
        <x:v>sample testing ticket simulation</x:v>
      </x:c>
      <x:c r="R206" t="str">
        <x:v>S</x:v>
      </x:c>
      <x:c r="S206"/>
      <x:c r="T206"/>
      <x:c r="U206" t="str">
        <x:v>approved</x:v>
      </x:c>
      <x:c r="V206" t="n">
        <x:v>46209.140441539355</x:v>
      </x:c>
      <x:c r="W206" t="str">
        <x:v>ismail.azman@petronas.com</x:v>
      </x:c>
      <x:c r="X206" t="str">
        <x:v>approved</x:v>
      </x:c>
      <x:c r="Y206" t="str">
        <x:v>Good to go</x:v>
      </x:c>
      <x:c r="Z206" t="n">
        <x:v>46209.14385521991</x:v>
      </x:c>
      <x:c r="AA206" t="str">
        <x:v>samsuddin.jumbri@petronas.com</x:v>
      </x:c>
      <x:c r="AB206" t="str">
        <x:v>approved</x:v>
      </x:c>
      <x:c r="AC206" t="str">
        <x:v>Ready for provisioning</x:v>
      </x:c>
      <x:c r="AD206" t="n">
        <x:v>46209.14689827546</x:v>
      </x:c>
      <x:c r="AE206" t="str">
        <x:v>nilesh.sankpal@petronas.com</x:v>
      </x:c>
      <x:c r="AF206" t="str">
        <x:v>approved</x:v>
      </x:c>
      <x:c r="AG206" t="str">
        <x:v>testing ticket. no need to execute.</x:v>
      </x:c>
      <x:c r="AH206" t="n">
        <x:v>46231.28135295139</x:v>
      </x:c>
      <x:c r="AI206" t="str">
        <x:v>ismail.azman@petronas.com</x:v>
      </x:c>
      <x:c r="AJ206" t="str">
        <x:v>approved</x:v>
      </x:c>
      <x:c r="AK206" t="str">
        <x:v>REQ000008147456</x:v>
      </x:c>
      <x:c r="AL206" t="str">
        <x:v>ff15772f-f5d5-4613-a878-a022487e89aa</x:v>
      </x:c>
      <x:c r="AM206" s="23" t="str">
        <x:f>IF(E206="processing",IF(Z206="","",IF(ISNUMBER(Z206),INT(Z206),DATE(VALUE(LEFT(Z206,4)),VALUE(MID(Z206,6,2)),VALUE(MID(Z206,9,2))))),IF(OR(E206="executing",E206="pending"),IF(AD206="","",IF(ISNUMBER(AD206),INT(AD206),DATE(VALUE(LEFT(AD206,4)),VALUE(MID(AD206,6,2)),VALUE(MID(AD206,9,2))))),""))</x:f>
      </x:c>
      <x:c r="AN206" s="24" t="str">
        <x:f>IF(AM206="","",INT('Configuration'!$B$4)-AM206)</x:f>
      </x:c>
      <x:c r="AO206" s="25" t="str">
        <x:f>IF(AM206="","Missing Required Date",IF(AN206&lt;0,"Future Date",IF(AN206=0,"0 days",IF(AN206&lt;=2,"1-2 days",IF(AN206&lt;=7,"3-7 days",IF(AN206&lt;=14,"8-14 days",IF(AN206&lt;=30,"15-30 days",IF(AN206&lt;=60,"31-60 days",IF(AN206&lt;=70,"61-70 days","71+ days")))))))))</x:f>
        <x:v>Missing Required Date</x:v>
      </x:c>
      <x:c r="AP206" s="25" t="str">
        <x:f>IF(OR(E206="processing",E206="executing",E206="pending"),IF(AM206="","Required aging date missing",IF(AN206&gt;30,"Escalate &gt;30d",IF(AN206&gt;14,"Watch &gt;14d","Within 14d"))),"Out of scope")</x:f>
        <x:v>Out of scope</x:v>
      </x:c>
    </x:row>
    <x:row r="207" ht="24" customHeight="1">
      <x:c r="A207" t="str">
        <x:v>0fda9f98-a951-4a38-8059-66da8c1366ac</x:v>
      </x:c>
      <x:c r="B207" t="str">
        <x:v>CSSP10838332</x:v>
      </x:c>
      <x:c r="C207" t="str">
        <x:v>sengchin.leong@petronas.com</x:v>
      </x:c>
      <x:c r="D207" t="str">
        <x:v>provision-cloud-public</x:v>
      </x:c>
      <x:c r="E207" t="str">
        <x:v>completed</x:v>
      </x:c>
      <x:c r="F207" t="n">
        <x:v>46211.11866677083</x:v>
      </x:c>
      <x:c r="G207" t="n">
        <x:v>46211.11866677083</x:v>
      </x:c>
      <x:c r="H207" t="n">
        <x:v>46243.349771643516</x:v>
      </x:c>
      <x:c r="I207" t="str">
        <x:v>A-000170</x:v>
      </x:c>
      <x:c r="J207" t="str">
        <x:v>Cyber Security Mandiant Security Validation - MSV BFDC</x:v>
      </x:c>
      <x:c r="K207" t="str">
        <x:v>OSR00165_10</x:v>
      </x:c>
      <x:c r="L207" t="str">
        <x:v>OSR00165: Procurement and Infrastructure Deployment for Cyber Defense (Pilot Phase) - Mandiant Security Validation (MSV)</x:v>
      </x:c>
      <x:c r="M207" t="str">
        <x:v>mshafri.hatta@petronas.com</x:v>
      </x:c>
      <x:c r="N207" t="str">
        <x:v>Mandiant Security Validation (MSV)</x:v>
      </x:c>
      <x:c r="O207" t="str">
        <x:v>Repat</x:v>
      </x:c>
      <x:c r="P207" t="str">
        <x:v>Production</x:v>
      </x:c>
      <x:c r="Q207" t="str">
        <x:v>to migrate the MSV instance from AWS SG to AWS MY .
existing IP:
10.85.33.153
10.85.33.150</x:v>
      </x:c>
      <x:c r="R207" t="str">
        <x:v>M</x:v>
      </x:c>
      <x:c r="S207"/>
      <x:c r="T207"/>
      <x:c r="U207" t="str">
        <x:v>[System] Stage pre-approved for Cloud Repatriation project</x:v>
      </x:c>
      <x:c r="V207" t="n">
        <x:v>46211.11866677083</x:v>
      </x:c>
      <x:c r="W207" t="str">
        <x:v>mshafri.hatta@petronas.com</x:v>
      </x:c>
      <x:c r="X207" t="str">
        <x:v>approved</x:v>
      </x:c>
      <x:c r="Y207" t="str">
        <x:v>[System] Stage pre-approved for Cloud Repatriation project</x:v>
      </x:c>
      <x:c r="Z207" t="n">
        <x:v>46211.11866677083</x:v>
      </x:c>
      <x:c r="AA207" t="str">
        <x:v>CCoE Demand</x:v>
      </x:c>
      <x:c r="AB207" t="str">
        <x:v>approved</x:v>
      </x:c>
      <x:c r="AC207" t="str">
        <x:v>Approve</x:v>
      </x:c>
      <x:c r="AD207" t="n">
        <x:v>46222.85110743056</x:v>
      </x:c>
      <x:c r="AE207" t="str">
        <x:v>abhishek.bhowate@petronas.com</x:v>
      </x:c>
      <x:c r="AF207" t="str">
        <x:v>approved</x:v>
      </x:c>
      <x:c r="AG207" t="str">
        <x:v>done by amarja.</x:v>
      </x:c>
      <x:c r="AH207" t="n">
        <x:v>46243.349771678244</x:v>
      </x:c>
      <x:c r="AI207" t="str">
        <x:v>abdul.khoir@petronas.com</x:v>
      </x:c>
      <x:c r="AJ207" t="str">
        <x:v>approved</x:v>
      </x:c>
      <x:c r="AK207" t="str">
        <x:v>REQ000008200697</x:v>
      </x:c>
      <x:c r="AL207" t="str">
        <x:v>5c84ae07-84ce-404c-abe7-df8dfc5d5162</x:v>
      </x:c>
      <x:c r="AM207" s="23" t="str">
        <x:f>IF(E207="processing",IF(Z207="","",IF(ISNUMBER(Z207),INT(Z207),DATE(VALUE(LEFT(Z207,4)),VALUE(MID(Z207,6,2)),VALUE(MID(Z207,9,2))))),IF(OR(E207="executing",E207="pending"),IF(AD207="","",IF(ISNUMBER(AD207),INT(AD207),DATE(VALUE(LEFT(AD207,4)),VALUE(MID(AD207,6,2)),VALUE(MID(AD207,9,2))))),""))</x:f>
      </x:c>
      <x:c r="AN207" s="24" t="str">
        <x:f>IF(AM207="","",INT('Configuration'!$B$4)-AM207)</x:f>
      </x:c>
      <x:c r="AO207" s="25" t="str">
        <x:f>IF(AM207="","Missing Required Date",IF(AN207&lt;0,"Future Date",IF(AN207=0,"0 days",IF(AN207&lt;=2,"1-2 days",IF(AN207&lt;=7,"3-7 days",IF(AN207&lt;=14,"8-14 days",IF(AN207&lt;=30,"15-30 days",IF(AN207&lt;=60,"31-60 days",IF(AN207&lt;=70,"61-70 days","71+ days")))))))))</x:f>
        <x:v>Missing Required Date</x:v>
      </x:c>
      <x:c r="AP207" s="25" t="str">
        <x:f>IF(OR(E207="processing",E207="executing",E207="pending"),IF(AM207="","Required aging date missing",IF(AN207&gt;30,"Escalate &gt;30d",IF(AN207&gt;14,"Watch &gt;14d","Within 14d"))),"Out of scope")</x:f>
        <x:v>Out of scope</x:v>
      </x:c>
    </x:row>
    <x:row r="208" ht="24" customHeight="1">
      <x:c r="A208" t="str">
        <x:v>5b31886a-f4d6-40ec-ab00-11a357226ae0</x:v>
      </x:c>
      <x:c r="B208" t="str">
        <x:v>CSSP10686696</x:v>
      </x:c>
      <x:c r="C208" t="str">
        <x:v>hadi.hairi@petronas.com</x:v>
      </x:c>
      <x:c r="D208" t="str">
        <x:v>provision-cloud-public</x:v>
      </x:c>
      <x:c r="E208" t="str">
        <x:v>completed</x:v>
      </x:c>
      <x:c r="F208" t="n">
        <x:v>46211.369382627316</x:v>
      </x:c>
      <x:c r="G208" t="n">
        <x:v>46211.369382627316</x:v>
      </x:c>
      <x:c r="H208" t="n">
        <x:v>46237.20543516204</x:v>
      </x:c>
      <x:c r="I208" t="str">
        <x:v>A-001374</x:v>
      </x:c>
      <x:c r="J208" t="str">
        <x:v>Frontier Firm</x:v>
      </x:c>
      <x:c r="K208" t="str">
        <x:v>SR26854</x:v>
      </x:c>
      <x:c r="L208" t="str">
        <x:v>PDSB Frontier Firm</x:v>
      </x:c>
      <x:c r="M208" t="str">
        <x:v>mfarhan.kamaludin@petronas.com.my</x:v>
      </x:c>
      <x:c r="N208" t="str">
        <x:v>PDSB_Frontier_Firm</x:v>
      </x:c>
      <x:c r="O208" t="str">
        <x:v>New</x:v>
      </x:c>
      <x:c r="P208" t="str">
        <x:v>Development</x:v>
      </x:c>
      <x:c r="Q208" t="str">
        <x:v>1) The naming conventions under the label of "Custom Name" as per discussion with sujay.pillai@petronas.com.my
2) This solution will use spoke-hub model
3) The Spoke resources will be as listed in the Sheets will be provisioned in "PTAZSG-IAC-DEV-FF-RG" located in "PTAZMY-IAC-NONPROD-CORPORATE ENVIRONMENT".
4) Related CSSP request: CSSP10268716. Refer email 'RE: Frontier Firm LLD and Hub and Spoke Discussion' as well. </x:v>
      </x:c>
      <x:c r="R208" t="str">
        <x:v>L</x:v>
      </x:c>
      <x:c r="S208"/>
      <x:c r="T208"/>
      <x:c r="U208" t="str">
        <x:v>Approved as (in-lieu)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x:v>
      </x:c>
      <x:c r="V208" t="n">
        <x:v>46211.3886774537</x:v>
      </x:c>
      <x:c r="W208" t="str">
        <x:v>mfarhan.kamaludin@petronas.com</x:v>
      </x:c>
      <x:c r="X208" t="str">
        <x:v>approved</x:v>
      </x:c>
      <x:c r="Y208" t="str">
        <x:v>The infrastructure provisioning is good to proceed and will be implemented based on 5 use cases (UC). Kindly refer to the requestor's remarks for further details.</x:v>
      </x:c>
      <x:c r="Z208" t="n">
        <x:v>46218.277658935185</x:v>
      </x:c>
      <x:c r="AA208" t="str">
        <x:v>samsuddin.jumbri@petronas.com</x:v>
      </x:c>
      <x:c r="AB208" t="str">
        <x:v>approved</x:v>
      </x:c>
      <x:c r="AC208" t="str">
        <x:v>ok</x:v>
      </x:c>
      <x:c r="AD208" t="n">
        <x:v>46218.40987270833</x:v>
      </x:c>
      <x:c r="AE208" t="str">
        <x:v>abhishek.bhowate@petronas.com</x:v>
      </x:c>
      <x:c r="AF208" t="str">
        <x:v>approved</x:v>
      </x:c>
      <x:c r="AG208" t="str">
        <x:v>new provisioning has been completed hence closing the request</x:v>
      </x:c>
      <x:c r="AH208" t="n">
        <x:v>46237.20543517361</x:v>
      </x:c>
      <x:c r="AI208" t="str">
        <x:v>venkatesh.kalikivayi@petronas.com</x:v>
      </x:c>
      <x:c r="AJ208" t="str">
        <x:v>approved</x:v>
      </x:c>
      <x:c r="AK208" t="str">
        <x:v>REQ000008171474</x:v>
      </x:c>
      <x:c r="AL208" t="str">
        <x:v>6a3ea0b2-21a7-451c-a21d-3278b4fc6e80</x:v>
      </x:c>
      <x:c r="AM208" s="23" t="str">
        <x:f>IF(E208="processing",IF(Z208="","",IF(ISNUMBER(Z208),INT(Z208),DATE(VALUE(LEFT(Z208,4)),VALUE(MID(Z208,6,2)),VALUE(MID(Z208,9,2))))),IF(OR(E208="executing",E208="pending"),IF(AD208="","",IF(ISNUMBER(AD208),INT(AD208),DATE(VALUE(LEFT(AD208,4)),VALUE(MID(AD208,6,2)),VALUE(MID(AD208,9,2))))),""))</x:f>
      </x:c>
      <x:c r="AN208" s="24" t="str">
        <x:f>IF(AM208="","",INT('Configuration'!$B$4)-AM208)</x:f>
      </x:c>
      <x:c r="AO208" s="25" t="str">
        <x:f>IF(AM208="","Missing Required Date",IF(AN208&lt;0,"Future Date",IF(AN208=0,"0 days",IF(AN208&lt;=2,"1-2 days",IF(AN208&lt;=7,"3-7 days",IF(AN208&lt;=14,"8-14 days",IF(AN208&lt;=30,"15-30 days",IF(AN208&lt;=60,"31-60 days",IF(AN208&lt;=70,"61-70 days","71+ days")))))))))</x:f>
        <x:v>Missing Required Date</x:v>
      </x:c>
      <x:c r="AP208" s="25" t="str">
        <x:f>IF(OR(E208="processing",E208="executing",E208="pending"),IF(AM208="","Required aging date missing",IF(AN208&gt;30,"Escalate &gt;30d",IF(AN208&gt;14,"Watch &gt;14d","Within 14d"))),"Out of scope")</x:f>
        <x:v>Out of scope</x:v>
      </x:c>
    </x:row>
    <x:row r="209" ht="24" customHeight="1">
      <x:c r="A209" t="str">
        <x:v>c01be255-74c1-4aa7-8613-bfff57aa74df</x:v>
      </x:c>
      <x:c r="B209" t="str">
        <x:v>CSSP10692885</x:v>
      </x:c>
      <x:c r="C209" t="str">
        <x:v>mkhairulazhar.jamil@petronas.com</x:v>
      </x:c>
      <x:c r="D209" t="str">
        <x:v>provision-cloud-public</x:v>
      </x:c>
      <x:c r="E209" t="str">
        <x:v>completed</x:v>
      </x:c>
      <x:c r="F209" t="n">
        <x:v>46212.067548391205</x:v>
      </x:c>
      <x:c r="G209" t="n">
        <x:v>46212.067548391205</x:v>
      </x:c>
      <x:c r="H209" t="n">
        <x:v>46228.27258326389</x:v>
      </x:c>
      <x:c r="I209" t="str">
        <x:v>A-000124</x:v>
      </x:c>
      <x:c r="J209" t="str">
        <x:v>COMPASS</x:v>
      </x:c>
      <x:c r="K209" t="n">
        <x:v>1709</x:v>
      </x:c>
      <x:c r="L209" t="str">
        <x:v>COMPASS Phase 2</x:v>
      </x:c>
      <x:c r="M209" t="str">
        <x:v>amirshazlan.mshah@petronas.com</x:v>
      </x:c>
      <x:c r="N209" t="str">
        <x:v>COMPASS</x:v>
      </x:c>
      <x:c r="O209" t="str">
        <x:v>Modify</x:v>
      </x:c>
      <x:c r="P209" t="str">
        <x:v>StagingUat</x:v>
      </x:c>
      <x:c r="Q209" t="str">
        <x:v>To change the version of Stack selection for App Service (slot) from Node 20 LTS (Deprecated) to Node 22 LTS. 
1) ptsg-4compassp2wb02/stg
2) ptsg-4compassp2wb02/dev
We have tried to manually change it from Azure portal, but after some time, it automatically changed back to Node 20 LTS (Deprecated) 
</x:v>
      </x:c>
      <x:c r="R209" t="str">
        <x:v>M</x:v>
      </x:c>
      <x:c r="S209"/>
      <x:c r="T209"/>
      <x:c r="U209" t="str">
        <x:v>approved</x:v>
      </x:c>
      <x:c r="V209" t="n">
        <x:v>46212.06999364583</x:v>
      </x:c>
      <x:c r="W209" t="str">
        <x:v>amirshazlan.mshah@petronas.com</x:v>
      </x:c>
      <x:c r="X209" t="str">
        <x:v>approved</x:v>
      </x:c>
      <x:c r="Y209" t="str">
        <x:v>Reviewed and approved. The infrastructure provisioning/change request is justified to migrate the App Service slot runtime from Node.js 20 LTS (Deprecated) to Node.js 22 LTS for the identified environments. Please proceed with implementation in accordance with the requestor's remarks.</x:v>
      </x:c>
      <x:c r="Z209" t="n">
        <x:v>46218.29093434028</x:v>
      </x:c>
      <x:c r="AA209" t="str">
        <x:v>samsuddin.jumbri@petronas.com</x:v>
      </x:c>
      <x:c r="AB209" t="str">
        <x:v>approved</x:v>
      </x:c>
      <x:c r="AC209" t="str">
        <x:v>okay</x:v>
      </x:c>
      <x:c r="AD209" t="n">
        <x:v>46219.0394418287</x:v>
      </x:c>
      <x:c r="AE209" t="str">
        <x:v>abhishek.bhowate@petronas.com</x:v>
      </x:c>
      <x:c r="AF209" t="str">
        <x:v>approved</x:v>
      </x:c>
      <x:c r="AG209" t="str">
        <x:v>I have received confirmation from Mohd. No issues are observed on his end. hence closing the tickets </x:v>
      </x:c>
      <x:c r="AH209" t="n">
        <x:v>46228.272583275466</x:v>
      </x:c>
      <x:c r="AI209" t="str">
        <x:v>venkatesh.kalikivayi@petronas.com</x:v>
      </x:c>
      <x:c r="AJ209" t="str">
        <x:v>approved</x:v>
      </x:c>
      <x:c r="AK209" t="str">
        <x:v>REQ000008172529</x:v>
      </x:c>
      <x:c r="AL209" t="str">
        <x:v>90296959-c21f-48ac-8658-df869ee75354</x:v>
      </x:c>
      <x:c r="AM209" s="23" t="str">
        <x:f>IF(E209="processing",IF(Z209="","",IF(ISNUMBER(Z209),INT(Z209),DATE(VALUE(LEFT(Z209,4)),VALUE(MID(Z209,6,2)),VALUE(MID(Z209,9,2))))),IF(OR(E209="executing",E209="pending"),IF(AD209="","",IF(ISNUMBER(AD209),INT(AD209),DATE(VALUE(LEFT(AD209,4)),VALUE(MID(AD209,6,2)),VALUE(MID(AD209,9,2))))),""))</x:f>
      </x:c>
      <x:c r="AN209" s="24" t="str">
        <x:f>IF(AM209="","",INT('Configuration'!$B$4)-AM209)</x:f>
      </x:c>
      <x:c r="AO209" s="25" t="str">
        <x:f>IF(AM209="","Missing Required Date",IF(AN209&lt;0,"Future Date",IF(AN209=0,"0 days",IF(AN209&lt;=2,"1-2 days",IF(AN209&lt;=7,"3-7 days",IF(AN209&lt;=14,"8-14 days",IF(AN209&lt;=30,"15-30 days",IF(AN209&lt;=60,"31-60 days",IF(AN209&lt;=70,"61-70 days","71+ days")))))))))</x:f>
        <x:v>Missing Required Date</x:v>
      </x:c>
      <x:c r="AP209" s="25" t="str">
        <x:f>IF(OR(E209="processing",E209="executing",E209="pending"),IF(AM209="","Required aging date missing",IF(AN209&gt;30,"Escalate &gt;30d",IF(AN209&gt;14,"Watch &gt;14d","Within 14d"))),"Out of scope")</x:f>
        <x:v>Out of scope</x:v>
      </x:c>
    </x:row>
    <x:row r="210" ht="24" customHeight="1">
      <x:c r="A210" t="str">
        <x:v>632f682d-9b59-40a8-881e-23bdd630268d</x:v>
      </x:c>
      <x:c r="B210" t="str">
        <x:v>CSSP10141118</x:v>
      </x:c>
      <x:c r="C210" t="str">
        <x:v>mwafiy.omar@petronas.com</x:v>
      </x:c>
      <x:c r="D210" t="str">
        <x:v>provision-cloud-public</x:v>
      </x:c>
      <x:c r="E210" t="str">
        <x:v>executing</x:v>
      </x:c>
      <x:c r="F210" t="n">
        <x:v>46212.14192833333</x:v>
      </x:c>
      <x:c r="G210" t="n">
        <x:v>46212.14192833333</x:v>
      </x:c>
      <x:c r="H210" t="n">
        <x:v>46219.03734480324</x:v>
      </x:c>
      <x:c r="I210" t="str">
        <x:v>A-000285</x:v>
      </x:c>
      <x:c r="J210" t="str">
        <x:v>Enterprise Application Observability</x:v>
      </x:c>
      <x:c r="K210" t="str">
        <x:v>PC-00002</x:v>
      </x:c>
      <x:c r="L210" t="str">
        <x:v>Enterprise Application Observability</x:v>
      </x:c>
      <x:c r="M210" t="str">
        <x:v>chewjian.shin@petronas.com</x:v>
      </x:c>
      <x:c r="N210" t="str">
        <x:v>Enterprise Observability</x:v>
      </x:c>
      <x:c r="O210" t="str">
        <x:v>New</x:v>
      </x:c>
      <x:c r="P210" t="str">
        <x:v>Production</x:v>
      </x:c>
      <x:c r="Q210" t="str">
        <x:v>Requirement to add additional VMs for Enterprise Observability. Nodes added are covered under Indirect cost as per DISSC.</x:v>
      </x:c>
      <x:c r="R210" t="str">
        <x:v>L</x:v>
      </x:c>
      <x:c r="S210"/>
      <x:c r="T210"/>
      <x:c r="U210" t="str">
        <x:v>Approved.</x:v>
      </x:c>
      <x:c r="V210" t="n">
        <x:v>46212.14534962963</x:v>
      </x:c>
      <x:c r="W210" t="str">
        <x:v>chewjian.shin@petronas.com</x:v>
      </x:c>
      <x:c r="X210" t="str">
        <x:v>approved</x:v>
      </x:c>
      <x:c r="Y210" t="str">
        <x:v>Requester is asking for 21 VM although provisioning is through click ops, this is considered as large request.</x:v>
      </x:c>
      <x:c r="Z210" t="n">
        <x:v>46212.147386666664</x:v>
      </x:c>
      <x:c r="AA210" t="str">
        <x:v>chewjian.shin@petronas.com</x:v>
      </x:c>
      <x:c r="AB210" t="str">
        <x:v>approved</x:v>
      </x:c>
      <x:c r="AC210" t="str">
        <x:v>ok</x:v>
      </x:c>
      <x:c r="AD210" t="n">
        <x:v>46219.03734481482</x:v>
      </x:c>
      <x:c r="AE210" t="str">
        <x:v>abhishek.bhowate@petronas.com</x:v>
      </x:c>
      <x:c r="AF210" t="str">
        <x:v>approved</x:v>
      </x:c>
      <x:c r="AG210"/>
      <x:c r="AH210"/>
      <x:c r="AI210" t="str">
        <x:v>abdul.khoir@petronas.com</x:v>
      </x:c>
      <x:c r="AJ210"/>
      <x:c r="AK210" t="str">
        <x:v>REQ000008172527</x:v>
      </x:c>
      <x:c r="AL210" t="str">
        <x:v>66d4ebcb-ad48-4d93-a2d3-c759ef6af5c8</x:v>
      </x:c>
      <x:c r="AM210" s="23" t="n">
        <x:f>IF(E210="processing",IF(Z210="","",IF(ISNUMBER(Z210),INT(Z210),DATE(VALUE(LEFT(Z210,4)),VALUE(MID(Z210,6,2)),VALUE(MID(Z210,9,2))))),IF(OR(E210="executing",E210="pending"),IF(AD210="","",IF(ISNUMBER(AD210),INT(AD210),DATE(VALUE(LEFT(AD210,4)),VALUE(MID(AD210,6,2)),VALUE(MID(AD210,9,2))))),""))</x:f>
        <x:v>46219</x:v>
      </x:c>
      <x:c r="AN210" s="24" t="n">
        <x:f>IF(AM210="","",INT('Configuration'!$B$4)-AM210)</x:f>
        <x:v>32</x:v>
      </x:c>
      <x:c r="AO210" s="25" t="str">
        <x:f>IF(AM210="","Missing Required Date",IF(AN210&lt;0,"Future Date",IF(AN210=0,"0 days",IF(AN210&lt;=2,"1-2 days",IF(AN210&lt;=7,"3-7 days",IF(AN210&lt;=14,"8-14 days",IF(AN210&lt;=30,"15-30 days",IF(AN210&lt;=60,"31-60 days",IF(AN210&lt;=70,"61-70 days","71+ days")))))))))</x:f>
        <x:v>31-60 days</x:v>
      </x:c>
      <x:c r="AP210" s="25" t="str">
        <x:f>IF(OR(E210="processing",E210="executing",E210="pending"),IF(AM210="","Required aging date missing",IF(AN210&gt;30,"Escalate &gt;30d",IF(AN210&gt;14,"Watch &gt;14d","Within 14d"))),"Out of scope")</x:f>
        <x:v>Escalate &gt;30d</x:v>
      </x:c>
    </x:row>
    <x:row r="211" ht="24" customHeight="1">
      <x:c r="A211" t="str">
        <x:v>d44418db-a8d7-4ebf-ab37-42a1626348c9</x:v>
      </x:c>
      <x:c r="B211" t="str">
        <x:v>CSSP10863248</x:v>
      </x:c>
      <x:c r="C211" t="str">
        <x:v>mariffirdaus.mkhaidz@petronas.com</x:v>
      </x:c>
      <x:c r="D211" t="str">
        <x:v>provision-cloud-public</x:v>
      </x:c>
      <x:c r="E211" t="str">
        <x:v>rejected</x:v>
      </x:c>
      <x:c r="F211" t="n">
        <x:v>46216.13366177084</x:v>
      </x:c>
      <x:c r="G211" t="n">
        <x:v>46216.13366177084</x:v>
      </x:c>
      <x:c r="H211" t="n">
        <x:v>46216.331451273145</x:v>
      </x:c>
      <x:c r="I211" t="str">
        <x:v>A-001346</x:v>
      </x:c>
      <x:c r="J211" t="str">
        <x:v>GPE Digital Platform</x:v>
      </x:c>
      <x:c r="K211" t="str">
        <x:v>SR00331</x:v>
      </x:c>
      <x:c r="L211" t="str">
        <x:v>Quality Suite</x:v>
      </x:c>
      <x:c r="M211" t="str">
        <x:v>msufian.hussein@petronas.com</x:v>
      </x:c>
      <x:c r="N211" t="str">
        <x:v>Quality Suite</x:v>
      </x:c>
      <x:c r="O211" t="str">
        <x:v>New</x:v>
      </x:c>
      <x:c r="P211" t="str">
        <x:v>Production</x:v>
      </x:c>
      <x:c r="Q211" t="str">
        <x:v>Appreciate your assistance to provision these resources in the Production environment. The configurations and settings should be similar to our existing resources in STG environment.</x:v>
      </x:c>
      <x:c r="R211"/>
      <x:c r="S211"/>
      <x:c r="T211"/>
      <x:c r="U211"/>
      <x:c r="V211" t="n">
        <x:v>46216.33145128472</x:v>
      </x:c>
      <x:c r="W211" t="str">
        <x:v>msufian.hussein@petronas.com</x:v>
      </x:c>
      <x:c r="X211" t="str">
        <x:v>rejected</x:v>
      </x:c>
      <x:c r="Y211"/>
      <x:c r="Z211"/>
      <x:c r="AA211" t="str">
        <x:v>CCoE SA</x:v>
      </x:c>
      <x:c r="AB211"/>
      <x:c r="AC211"/>
      <x:c r="AD211"/>
      <x:c r="AE211" t="str">
        <x:v>IMS - CLOUD CSSP REVIEWER</x:v>
      </x:c>
      <x:c r="AF211"/>
      <x:c r="AG211"/>
      <x:c r="AH211"/>
      <x:c r="AI211" t="str">
        <x:v>IMS - CLOUD CSSP EXECUTOR</x:v>
      </x:c>
      <x:c r="AJ211"/>
      <x:c r="AK211"/>
      <x:c r="AL211" t="str">
        <x:v>868b1bbc-b9be-43ba-8175-d6ca35843984</x:v>
      </x:c>
      <x:c r="AM211" s="23" t="str">
        <x:f>IF(E211="processing",IF(Z211="","",IF(ISNUMBER(Z211),INT(Z211),DATE(VALUE(LEFT(Z211,4)),VALUE(MID(Z211,6,2)),VALUE(MID(Z211,9,2))))),IF(OR(E211="executing",E211="pending"),IF(AD211="","",IF(ISNUMBER(AD211),INT(AD211),DATE(VALUE(LEFT(AD211,4)),VALUE(MID(AD211,6,2)),VALUE(MID(AD211,9,2))))),""))</x:f>
      </x:c>
      <x:c r="AN211" s="24" t="str">
        <x:f>IF(AM211="","",INT('Configuration'!$B$4)-AM211)</x:f>
      </x:c>
      <x:c r="AO211" s="25" t="str">
        <x:f>IF(AM211="","Missing Required Date",IF(AN211&lt;0,"Future Date",IF(AN211=0,"0 days",IF(AN211&lt;=2,"1-2 days",IF(AN211&lt;=7,"3-7 days",IF(AN211&lt;=14,"8-14 days",IF(AN211&lt;=30,"15-30 days",IF(AN211&lt;=60,"31-60 days",IF(AN211&lt;=70,"61-70 days","71+ days")))))))))</x:f>
        <x:v>Missing Required Date</x:v>
      </x:c>
      <x:c r="AP211" s="25" t="str">
        <x:f>IF(OR(E211="processing",E211="executing",E211="pending"),IF(AM211="","Required aging date missing",IF(AN211&gt;30,"Escalate &gt;30d",IF(AN211&gt;14,"Watch &gt;14d","Within 14d"))),"Out of scope")</x:f>
        <x:v>Out of scope</x:v>
      </x:c>
    </x:row>
    <x:row r="212" ht="24" customHeight="1">
      <x:c r="A212" t="str">
        <x:v>0c335b48-5e96-4b98-a06a-e443f1da680e</x:v>
      </x:c>
      <x:c r="B212" t="str">
        <x:v>CSSP10858459</x:v>
      </x:c>
      <x:c r="C212" t="str">
        <x:v>mariffirdaus.mkhaidz@petronas.com</x:v>
      </x:c>
      <x:c r="D212" t="str">
        <x:v>provision-cloud-public</x:v>
      </x:c>
      <x:c r="E212" t="str">
        <x:v>rejected</x:v>
      </x:c>
      <x:c r="F212" t="n">
        <x:v>46216.326334861114</x:v>
      </x:c>
      <x:c r="G212" t="n">
        <x:v>46216.326334861114</x:v>
      </x:c>
      <x:c r="H212" t="n">
        <x:v>46222.844187002316</x:v>
      </x:c>
      <x:c r="I212" t="str">
        <x:v>A-001346</x:v>
      </x:c>
      <x:c r="J212" t="str">
        <x:v>GPE Digital Platform</x:v>
      </x:c>
      <x:c r="K212" t="str">
        <x:v>SR00331</x:v>
      </x:c>
      <x:c r="L212" t="str">
        <x:v>Quality Suite</x:v>
      </x:c>
      <x:c r="M212" t="str">
        <x:v>msufian.hussein@petronas.com</x:v>
      </x:c>
      <x:c r="N212" t="str">
        <x:v>Quality Suite</x:v>
      </x:c>
      <x:c r="O212" t="str">
        <x:v>New</x:v>
      </x:c>
      <x:c r="P212" t="str">
        <x:v>Production</x:v>
      </x:c>
      <x:c r="Q212" t="str">
        <x:v>Appreciate your assistance to provision these resources in the Production environment. The configurations and settings should be similar to our existing resources in NonPROD environment. 
Please note that for AWS Glue, the jobs will be temporary and will be used for data migration.</x:v>
      </x:c>
      <x:c r="R212" t="str">
        <x:v>M</x:v>
      </x:c>
      <x:c r="S212"/>
      <x:c r="T212"/>
      <x:c r="U212" t="str">
        <x:v>Approved.</x:v>
      </x:c>
      <x:c r="V212" t="n">
        <x:v>46216.33188362268</x:v>
      </x:c>
      <x:c r="W212" t="str">
        <x:v>msufian.hussein@petronas.com</x:v>
      </x:c>
      <x:c r="X212" t="str">
        <x:v>approved</x:v>
      </x:c>
      <x:c r="Y212" t="str">
        <x:v>Proceed and good to go</x:v>
      </x:c>
      <x:c r="Z212" t="n">
        <x:v>46220.630814606484</x:v>
      </x:c>
      <x:c r="AA212" t="str">
        <x:v>samsuddin.jumbri@petronas.com</x:v>
      </x:c>
      <x:c r="AB212" t="str">
        <x:v>approved</x:v>
      </x:c>
      <x:c r="AC212" t="str">
        <x:v>The request has been referred back to the requester for further clarification. Please provide the following details to proceed:
ElastiCache: Confirm the required cache size and provide an updated cost estimate.
Lambda: Provide runtime, memory, timeout, concurrency, and trigger source details for each function.
SNS/SQS: Provide SNS topics, subscriptions, queue names, queue type (Standard/FIFO), and DLQ configuration.
Step Functions: Provide the state machine definition and confirm whether it is Standard or Express.
Glue: Provide the complete job configuration and the decommission plan for temporary migration jobs.
CloudFront: Confirm the distribution configuration, origins, data transfer requirements, and domain details.
WAF: Confirm the required WAF rules and configuration.</x:v>
      </x:c>
      <x:c r="AD212" t="n">
        <x:v>46222.84418701389</x:v>
      </x:c>
      <x:c r="AE212" t="str">
        <x:v>abhishek.bhowate@petronas.com</x:v>
      </x:c>
      <x:c r="AF212" t="str">
        <x:v>rejected</x:v>
      </x:c>
      <x:c r="AG212"/>
      <x:c r="AH212"/>
      <x:c r="AI212" t="str">
        <x:v>venkatesh.kalikivayi@petronas.com</x:v>
      </x:c>
      <x:c r="AJ212"/>
      <x:c r="AK212" t="str">
        <x:v>REQ000008178967</x:v>
      </x:c>
      <x:c r="AL212" t="str">
        <x:v>868b1bbc-b9be-43ba-8175-d6ca35843984</x:v>
      </x:c>
      <x:c r="AM212" s="23" t="str">
        <x:f>IF(E212="processing",IF(Z212="","",IF(ISNUMBER(Z212),INT(Z212),DATE(VALUE(LEFT(Z212,4)),VALUE(MID(Z212,6,2)),VALUE(MID(Z212,9,2))))),IF(OR(E212="executing",E212="pending"),IF(AD212="","",IF(ISNUMBER(AD212),INT(AD212),DATE(VALUE(LEFT(AD212,4)),VALUE(MID(AD212,6,2)),VALUE(MID(AD212,9,2))))),""))</x:f>
      </x:c>
      <x:c r="AN212" s="24" t="str">
        <x:f>IF(AM212="","",INT('Configuration'!$B$4)-AM212)</x:f>
      </x:c>
      <x:c r="AO212" s="25" t="str">
        <x:f>IF(AM212="","Missing Required Date",IF(AN212&lt;0,"Future Date",IF(AN212=0,"0 days",IF(AN212&lt;=2,"1-2 days",IF(AN212&lt;=7,"3-7 days",IF(AN212&lt;=14,"8-14 days",IF(AN212&lt;=30,"15-30 days",IF(AN212&lt;=60,"31-60 days",IF(AN212&lt;=70,"61-70 days","71+ days")))))))))</x:f>
        <x:v>Missing Required Date</x:v>
      </x:c>
      <x:c r="AP212" s="25" t="str">
        <x:f>IF(OR(E212="processing",E212="executing",E212="pending"),IF(AM212="","Required aging date missing",IF(AN212&gt;30,"Escalate &gt;30d",IF(AN212&gt;14,"Watch &gt;14d","Within 14d"))),"Out of scope")</x:f>
        <x:v>Out of scope</x:v>
      </x:c>
    </x:row>
    <x:row r="213" ht="24" customHeight="1">
      <x:c r="A213" t="str">
        <x:v>c566327c-bb69-48c7-a486-a1888f478e12</x:v>
      </x:c>
      <x:c r="B213" t="str">
        <x:v>CSSP10656960</x:v>
      </x:c>
      <x:c r="C213" t="str">
        <x:v>ahmadaizuddin.badry@petronas.com</x:v>
      </x:c>
      <x:c r="D213" t="str">
        <x:v>provision-cloud-public</x:v>
      </x:c>
      <x:c r="E213" t="str">
        <x:v>rejected</x:v>
      </x:c>
      <x:c r="F213" t="n">
        <x:v>46217.062814861114</x:v>
      </x:c>
      <x:c r="G213" t="n">
        <x:v>46217.062814861114</x:v>
      </x:c>
      <x:c r="H213" t="n">
        <x:v>46226.165743032405</x:v>
      </x:c>
      <x:c r="I213" t="str">
        <x:v>A-000490</x:v>
      </x:c>
      <x:c r="J213" t="str">
        <x:v>MyProcure</x:v>
      </x:c>
      <x:c r="K213" t="n">
        <x:v>4343</x:v>
      </x:c>
      <x:c r="L213" t="str">
        <x:v>Procurement Innovation Through Automation And Procurement Marketplace</x:v>
      </x:c>
      <x:c r="M213" t="str">
        <x:v>zulfakar.mohd@petronas.com.my</x:v>
      </x:c>
      <x:c r="N213" t="str">
        <x:v>Procurement AI</x:v>
      </x:c>
      <x:c r="O213" t="str">
        <x:v>New</x:v>
      </x:c>
      <x:c r="P213" t="str">
        <x:v>StagingUat</x:v>
      </x:c>
      <x:c r="Q213" t="str">
        <x:v>Create new RG for Copilot
PTAZSG-COPILOT-DEV-DPPROC-RG
PTAZSG-COPILOT-UAT-DPPROC-RG
PTAZSG-COPILOT-PROD-DPPROC-RG</x:v>
      </x:c>
      <x:c r="R213" t="str">
        <x:v>S</x:v>
      </x:c>
      <x:c r="S213"/>
      <x:c r="T213"/>
      <x:c r="U213" t="str">
        <x:v>reviewed</x:v>
      </x:c>
      <x:c r="V213" t="n">
        <x:v>46224.261606319444</x:v>
      </x:c>
      <x:c r="W213" t="str">
        <x:v>zulfakar.mohd@petronas.com</x:v>
      </x:c>
      <x:c r="X213" t="str">
        <x:v>approved</x:v>
      </x:c>
      <x:c r="Y213" t="str">
        <x:v>This request does not match the associated Project SR number. Kindly provide the correct Project SR number, together with the approved SOW &amp; HLD, as supporting evidence for the review. Based on our review, the submitted SR number is related to the AWS platform; however, the current request is for provisioning resources in Microsoft Azure. Furthermore, DEV, UAT, and PROD environments must be requested via separate SRs. Kindly raise dedicated SRs for each environment.</x:v>
      </x:c>
      <x:c r="Z213" t="n">
        <x:v>46226.16574304398</x:v>
      </x:c>
      <x:c r="AA213" t="str">
        <x:v>samsuddin.jumbri@petronas.com</x:v>
      </x:c>
      <x:c r="AB213" t="str">
        <x:v>rejected</x:v>
      </x:c>
      <x:c r="AC213"/>
      <x:c r="AD213"/>
      <x:c r="AE213" t="str">
        <x:v>IMS - CLOUD CSSP REVIEWER</x:v>
      </x:c>
      <x:c r="AF213"/>
      <x:c r="AG213"/>
      <x:c r="AH213"/>
      <x:c r="AI213" t="str">
        <x:v>IMS - CLOUD CSSP EXECUTOR</x:v>
      </x:c>
      <x:c r="AJ213"/>
      <x:c r="AK213"/>
      <x:c r="AL213" t="str">
        <x:v>e1827a6c-e18c-4500-94be-16de9cbb9e7c</x:v>
      </x:c>
      <x:c r="AM213" s="23" t="str">
        <x:f>IF(E213="processing",IF(Z213="","",IF(ISNUMBER(Z213),INT(Z213),DATE(VALUE(LEFT(Z213,4)),VALUE(MID(Z213,6,2)),VALUE(MID(Z213,9,2))))),IF(OR(E213="executing",E213="pending"),IF(AD213="","",IF(ISNUMBER(AD213),INT(AD213),DATE(VALUE(LEFT(AD213,4)),VALUE(MID(AD213,6,2)),VALUE(MID(AD213,9,2))))),""))</x:f>
      </x:c>
      <x:c r="AN213" s="24" t="str">
        <x:f>IF(AM213="","",INT('Configuration'!$B$4)-AM213)</x:f>
      </x:c>
      <x:c r="AO213" s="25" t="str">
        <x:f>IF(AM213="","Missing Required Date",IF(AN213&lt;0,"Future Date",IF(AN213=0,"0 days",IF(AN213&lt;=2,"1-2 days",IF(AN213&lt;=7,"3-7 days",IF(AN213&lt;=14,"8-14 days",IF(AN213&lt;=30,"15-30 days",IF(AN213&lt;=60,"31-60 days",IF(AN213&lt;=70,"61-70 days","71+ days")))))))))</x:f>
        <x:v>Missing Required Date</x:v>
      </x:c>
      <x:c r="AP213" s="25" t="str">
        <x:f>IF(OR(E213="processing",E213="executing",E213="pending"),IF(AM213="","Required aging date missing",IF(AN213&gt;30,"Escalate &gt;30d",IF(AN213&gt;14,"Watch &gt;14d","Within 14d"))),"Out of scope")</x:f>
        <x:v>Out of scope</x:v>
      </x:c>
    </x:row>
    <x:row r="214" ht="24" customHeight="1">
      <x:c r="A214" t="str">
        <x:v>2805da8e-fd96-47d4-8bbe-23583d6951e3</x:v>
      </x:c>
      <x:c r="B214" t="str">
        <x:v>CSSP10523151</x:v>
      </x:c>
      <x:c r="C214" t="str">
        <x:v>hafidzh.zakaria@petronas.com</x:v>
      </x:c>
      <x:c r="D214" t="str">
        <x:v>provision-cloud-public</x:v>
      </x:c>
      <x:c r="E214" t="str">
        <x:v>rejected</x:v>
      </x:c>
      <x:c r="F214" t="n">
        <x:v>46217.26251277778</x:v>
      </x:c>
      <x:c r="G214" t="n">
        <x:v>46217.27895037037</x:v>
      </x:c>
      <x:c r="H214" t="n">
        <x:v>46226.178674490744</x:v>
      </x:c>
      <x:c r="I214" t="str">
        <x:v>P-000050</x:v>
      </x:c>
      <x:c r="J214" t="str">
        <x:v>VMware vCenter RDMZ RTOT</x:v>
      </x:c>
      <x:c r="K214" t="str">
        <x:v>10188_10</x:v>
      </x:c>
      <x:c r="L214" t="str">
        <x:v>VMware vCenter RDMZ RTOT created for PRIVATECLOUD project record</x:v>
      </x:c>
      <x:c r="M214" t="str">
        <x:v>raihan_ahmad@petronas.com.my</x:v>
      </x:c>
      <x:c r="N214" t="str">
        <x:v>CS RTOT</x:v>
      </x:c>
      <x:c r="O214" t="str">
        <x:v>New</x:v>
      </x:c>
      <x:c r="P214" t="str">
        <x:v>Production</x:v>
      </x:c>
      <x:c r="Q214" t="str">
        <x:v>Request to provision new server at L4 KVDC for ABB SRP Wicket. </x:v>
      </x:c>
      <x:c r="R214" t="str">
        <x:v>L</x:v>
      </x:c>
      <x:c r="S214"/>
      <x:c r="T214"/>
      <x:c r="U214" t="str">
        <x:v>Approve</x:v>
      </x:c>
      <x:c r="V214" t="n">
        <x:v>46218.0095822338</x:v>
      </x:c>
      <x:c r="W214" t="str">
        <x:v>raihan_ahmad@petronas.com</x:v>
      </x:c>
      <x:c r="X214" t="str">
        <x:v>approved</x:v>
      </x:c>
      <x:c r="Y214" t="str">
        <x:v>As part of the current infrastructure strategy, new infrastructure provisioning on on-premises platforms is generally not permitted, with cloud-first adoption being the preferred direction. Kindly review the requirement and assess deployment on the approved cloud platform instead. For further clarification, please consult with "Ridzuan B A Majid (IS/DIGITAL)".</x:v>
      </x:c>
      <x:c r="Z214" t="n">
        <x:v>46226.17867450231</x:v>
      </x:c>
      <x:c r="AA214" t="str">
        <x:v>samsuddin.jumbri@petronas.com</x:v>
      </x:c>
      <x:c r="AB214" t="str">
        <x:v>rejected</x:v>
      </x:c>
      <x:c r="AC214"/>
      <x:c r="AD214"/>
      <x:c r="AE214" t="str">
        <x:v>IMS - CLOUD CSSP REVIEWER</x:v>
      </x:c>
      <x:c r="AF214"/>
      <x:c r="AG214"/>
      <x:c r="AH214"/>
      <x:c r="AI214" t="str">
        <x:v>IMS - CLOUD CSSP EXECUTOR</x:v>
      </x:c>
      <x:c r="AJ214"/>
      <x:c r="AK214"/>
      <x:c r="AL214" t="str">
        <x:v>105fd04d-e288-4aa4-9271-ae2da8917315</x:v>
      </x:c>
      <x:c r="AM214" s="23" t="str">
        <x:f>IF(E214="processing",IF(Z214="","",IF(ISNUMBER(Z214),INT(Z214),DATE(VALUE(LEFT(Z214,4)),VALUE(MID(Z214,6,2)),VALUE(MID(Z214,9,2))))),IF(OR(E214="executing",E214="pending"),IF(AD214="","",IF(ISNUMBER(AD214),INT(AD214),DATE(VALUE(LEFT(AD214,4)),VALUE(MID(AD214,6,2)),VALUE(MID(AD214,9,2))))),""))</x:f>
      </x:c>
      <x:c r="AN214" s="24" t="str">
        <x:f>IF(AM214="","",INT('Configuration'!$B$4)-AM214)</x:f>
      </x:c>
      <x:c r="AO214" s="25" t="str">
        <x:f>IF(AM214="","Missing Required Date",IF(AN214&lt;0,"Future Date",IF(AN214=0,"0 days",IF(AN214&lt;=2,"1-2 days",IF(AN214&lt;=7,"3-7 days",IF(AN214&lt;=14,"8-14 days",IF(AN214&lt;=30,"15-30 days",IF(AN214&lt;=60,"31-60 days",IF(AN214&lt;=70,"61-70 days","71+ days")))))))))</x:f>
        <x:v>Missing Required Date</x:v>
      </x:c>
      <x:c r="AP214" s="25" t="str">
        <x:f>IF(OR(E214="processing",E214="executing",E214="pending"),IF(AM214="","Required aging date missing",IF(AN214&gt;30,"Escalate &gt;30d",IF(AN214&gt;14,"Watch &gt;14d","Within 14d"))),"Out of scope")</x:f>
        <x:v>Out of scope</x:v>
      </x:c>
    </x:row>
    <x:row r="215" ht="24" customHeight="1">
      <x:c r="A215" t="str">
        <x:v>929f57f0-42bd-4d90-baa3-c9a3c07ab2a4</x:v>
      </x:c>
      <x:c r="B215" t="str">
        <x:v>CSSP10313811</x:v>
      </x:c>
      <x:c r="C215" t="str">
        <x:v>hazmanhadi.mkhirola@petronas.com</x:v>
      </x:c>
      <x:c r="D215" t="str">
        <x:v>provision-cloud-public</x:v>
      </x:c>
      <x:c r="E215" t="str">
        <x:v>executing</x:v>
      </x:c>
      <x:c r="F215" t="n">
        <x:v>46217.442103761576</x:v>
      </x:c>
      <x:c r="G215" t="n">
        <x:v>46227.09271931713</x:v>
      </x:c>
      <x:c r="H215" t="n">
        <x:v>46233.103235925926</x:v>
      </x:c>
      <x:c r="I215" t="str">
        <x:v>A-000083</x:v>
      </x:c>
      <x:c r="J215" t="str">
        <x:v>Aveva</x:v>
      </x:c>
      <x:c r="K215" t="str">
        <x:v>00915_244</x:v>
      </x:c>
      <x:c r="L215" t="str">
        <x:v>Cloud Migration Program - Aveva</x:v>
      </x:c>
      <x:c r="M215" t="str">
        <x:v>nurdoriah.sarim@petronas.com</x:v>
      </x:c>
      <x:c r="N215" t="str">
        <x:v>Aveva</x:v>
      </x:c>
      <x:c r="O215" t="str">
        <x:v>New</x:v>
      </x:c>
      <x:c r="P215" t="str">
        <x:v>Production</x:v>
      </x:c>
      <x:c r="Q215" t="str">
        <x:v>To subscribe AI search, Bing Search, Logic Apps and Cold Storage.</x:v>
      </x:c>
      <x:c r="R215" t="str">
        <x:v>L</x:v>
      </x:c>
      <x:c r="S215"/>
      <x:c r="T215"/>
      <x:c r="U215" t="str">
        <x:v>Approved.</x:v>
      </x:c>
      <x:c r="V215" t="n">
        <x:v>46227.16271534722</x:v>
      </x:c>
      <x:c r="W215" t="str">
        <x:v>nurdoriah.sarim@petronas.com</x:v>
      </x:c>
      <x:c r="X215" t="str">
        <x:v>approved</x:v>
      </x:c>
      <x:c r="Y215" t="str">
        <x:v>Good to go</x:v>
      </x:c>
      <x:c r="Z215" t="n">
        <x:v>46231.35095645834</x:v>
      </x:c>
      <x:c r="AA215" t="str">
        <x:v>samsuddin.jumbri@petronas.com</x:v>
      </x:c>
      <x:c r="AB215" t="str">
        <x:v>approved</x:v>
      </x:c>
      <x:c r="AC215" t="str">
        <x:v>approve</x:v>
      </x:c>
      <x:c r="AD215" t="n">
        <x:v>46233.1032359375</x:v>
      </x:c>
      <x:c r="AE215" t="str">
        <x:v>abhishek.bhowate@petronas.com</x:v>
      </x:c>
      <x:c r="AF215" t="str">
        <x:v>approved</x:v>
      </x:c>
      <x:c r="AG215"/>
      <x:c r="AH215"/>
      <x:c r="AI215" t="str">
        <x:v>venkatesh.kalikivayi@petronas.com</x:v>
      </x:c>
      <x:c r="AJ215"/>
      <x:c r="AK215" t="str">
        <x:v>REQ000008203405</x:v>
      </x:c>
      <x:c r="AL215" t="str">
        <x:v>f57e22a1-0676-40e0-9658-4f70fbe49c4e</x:v>
      </x:c>
      <x:c r="AM215" s="23" t="n">
        <x:f>IF(E215="processing",IF(Z215="","",IF(ISNUMBER(Z215),INT(Z215),DATE(VALUE(LEFT(Z215,4)),VALUE(MID(Z215,6,2)),VALUE(MID(Z215,9,2))))),IF(OR(E215="executing",E215="pending"),IF(AD215="","",IF(ISNUMBER(AD215),INT(AD215),DATE(VALUE(LEFT(AD215,4)),VALUE(MID(AD215,6,2)),VALUE(MID(AD215,9,2))))),""))</x:f>
        <x:v>46233</x:v>
      </x:c>
      <x:c r="AN215" s="24" t="n">
        <x:f>IF(AM215="","",INT('Configuration'!$B$4)-AM215)</x:f>
        <x:v>18</x:v>
      </x:c>
      <x:c r="AO215" s="25" t="str">
        <x:f>IF(AM215="","Missing Required Date",IF(AN215&lt;0,"Future Date",IF(AN215=0,"0 days",IF(AN215&lt;=2,"1-2 days",IF(AN215&lt;=7,"3-7 days",IF(AN215&lt;=14,"8-14 days",IF(AN215&lt;=30,"15-30 days",IF(AN215&lt;=60,"31-60 days",IF(AN215&lt;=70,"61-70 days","71+ days")))))))))</x:f>
        <x:v>15-30 days</x:v>
      </x:c>
      <x:c r="AP215" s="25" t="str">
        <x:f>IF(OR(E215="processing",E215="executing",E215="pending"),IF(AM215="","Required aging date missing",IF(AN215&gt;30,"Escalate &gt;30d",IF(AN215&gt;14,"Watch &gt;14d","Within 14d"))),"Out of scope")</x:f>
        <x:v>Watch &gt;14d</x:v>
      </x:c>
    </x:row>
    <x:row r="216" ht="24" customHeight="1">
      <x:c r="A216" t="str">
        <x:v>265579c6-6c87-412e-8ccf-424cbf8eaec1</x:v>
      </x:c>
      <x:c r="B216" t="str">
        <x:v>CSSP10605623</x:v>
      </x:c>
      <x:c r="C216" t="str">
        <x:v>ahmadkamal.aziz@petronas.com</x:v>
      </x:c>
      <x:c r="D216" t="str">
        <x:v>provision-cloud-public</x:v>
      </x:c>
      <x:c r="E216" t="str">
        <x:v>executing</x:v>
      </x:c>
      <x:c r="F216" t="n">
        <x:v>46218.14130096065</x:v>
      </x:c>
      <x:c r="G216" t="n">
        <x:v>46220.55562508102</x:v>
      </x:c>
      <x:c r="H216" t="n">
        <x:v>46225.36828070602</x:v>
      </x:c>
      <x:c r="I216" t="str">
        <x:v>A-001385</x:v>
      </x:c>
      <x:c r="J216" t="str">
        <x:v>DevOps Portal</x:v>
      </x:c>
      <x:c r="K216" t="str">
        <x:v>BY26OPX-23374</x:v>
      </x:c>
      <x:c r="L216" t="str">
        <x:v>DevOps Portal</x:v>
      </x:c>
      <x:c r="M216" t="str">
        <x:v>syafiqaizat.mohd@petronas.com.my</x:v>
      </x:c>
      <x:c r="N216" t="str">
        <x:v>DevOps Project Portal</x:v>
      </x:c>
      <x:c r="O216" t="str">
        <x:v>New</x:v>
      </x:c>
      <x:c r="P216" t="str">
        <x:v>StagingUat</x:v>
      </x:c>
      <x:c r="Q216" t="str">
        <x:v>This is to provision staging environment for DevOps Portal</x:v>
      </x:c>
      <x:c r="R216" t="str">
        <x:v>L</x:v>
      </x:c>
      <x:c r="S216"/>
      <x:c r="T216"/>
      <x:c r="U216" t="str">
        <x:v>Reviewed</x:v>
      </x:c>
      <x:c r="V216" t="n">
        <x:v>46220.61309309028</x:v>
      </x:c>
      <x:c r="W216" t="str">
        <x:v>syafiqaizat.mohd@petronas.com</x:v>
      </x:c>
      <x:c r="X216" t="str">
        <x:v>approved</x:v>
      </x:c>
      <x:c r="Y216" t="str">
        <x:v>Good to go</x:v>
      </x:c>
      <x:c r="Z216" t="n">
        <x:v>46220.623469895836</x:v>
      </x:c>
      <x:c r="AA216" t="str">
        <x:v>samsuddin.jumbri@petronas.com</x:v>
      </x:c>
      <x:c r="AB216" t="str">
        <x:v>approved</x:v>
      </x:c>
      <x:c r="AC216" t="str">
        <x:v>approve</x:v>
      </x:c>
      <x:c r="AD216" t="n">
        <x:v>46225.36828070602</x:v>
      </x:c>
      <x:c r="AE216" t="str">
        <x:v>abhishek.bhowate@petronas.com</x:v>
      </x:c>
      <x:c r="AF216" t="str">
        <x:v>approved</x:v>
      </x:c>
      <x:c r="AG216"/>
      <x:c r="AH216"/>
      <x:c r="AI216" t="str">
        <x:v>abdul.khoir@petronas.com</x:v>
      </x:c>
      <x:c r="AJ216"/>
      <x:c r="AK216" t="str">
        <x:v>REQ000008186662</x:v>
      </x:c>
      <x:c r="AL216" t="str">
        <x:v>7d519f16-0fa4-4732-a7d8-5e7fba0106a0</x:v>
      </x:c>
      <x:c r="AM216" s="23" t="n">
        <x:f>IF(E216="processing",IF(Z216="","",IF(ISNUMBER(Z216),INT(Z216),DATE(VALUE(LEFT(Z216,4)),VALUE(MID(Z216,6,2)),VALUE(MID(Z216,9,2))))),IF(OR(E216="executing",E216="pending"),IF(AD216="","",IF(ISNUMBER(AD216),INT(AD216),DATE(VALUE(LEFT(AD216,4)),VALUE(MID(AD216,6,2)),VALUE(MID(AD216,9,2))))),""))</x:f>
        <x:v>46225</x:v>
      </x:c>
      <x:c r="AN216" s="24" t="n">
        <x:f>IF(AM216="","",INT('Configuration'!$B$4)-AM216)</x:f>
        <x:v>26</x:v>
      </x:c>
      <x:c r="AO216" s="25" t="str">
        <x:f>IF(AM216="","Missing Required Date",IF(AN216&lt;0,"Future Date",IF(AN216=0,"0 days",IF(AN216&lt;=2,"1-2 days",IF(AN216&lt;=7,"3-7 days",IF(AN216&lt;=14,"8-14 days",IF(AN216&lt;=30,"15-30 days",IF(AN216&lt;=60,"31-60 days",IF(AN216&lt;=70,"61-70 days","71+ days")))))))))</x:f>
        <x:v>15-30 days</x:v>
      </x:c>
      <x:c r="AP216" s="25" t="str">
        <x:f>IF(OR(E216="processing",E216="executing",E216="pending"),IF(AM216="","Required aging date missing",IF(AN216&gt;30,"Escalate &gt;30d",IF(AN216&gt;14,"Watch &gt;14d","Within 14d"))),"Out of scope")</x:f>
        <x:v>Watch &gt;14d</x:v>
      </x:c>
    </x:row>
    <x:row r="217" ht="24" customHeight="1">
      <x:c r="A217" t="str">
        <x:v>9bbf5aca-fa9e-4e30-9718-40189bd45b68</x:v>
      </x:c>
      <x:c r="B217" t="str">
        <x:v>CSSP10694706</x:v>
      </x:c>
      <x:c r="C217" t="str">
        <x:v>mshahrilfikri.alias@petronas.com</x:v>
      </x:c>
      <x:c r="D217" t="str">
        <x:v>provision-cloud-public</x:v>
      </x:c>
      <x:c r="E217" t="str">
        <x:v>rejected</x:v>
      </x:c>
      <x:c r="F217" t="n">
        <x:v>46219.06047244213</x:v>
      </x:c>
      <x:c r="G217" t="n">
        <x:v>46219.06047244213</x:v>
      </x:c>
      <x:c r="H217" t="n">
        <x:v>46222.80298237268</x:v>
      </x:c>
      <x:c r="I217" t="str">
        <x:v>A-000794</x:v>
      </x:c>
      <x:c r="J217" t="str">
        <x:v>STEPS Database Migration</x:v>
      </x:c>
      <x:c r="K217" t="str">
        <x:v>PC-00043</x:v>
      </x:c>
      <x:c r="L217" t="str">
        <x:v>SQL Server Test Site for STEPS Database Migration</x:v>
      </x:c>
      <x:c r="M217" t="str">
        <x:v>fatinayusoff@petronas.com</x:v>
      </x:c>
      <x:c r="N217" t="str">
        <x:v>STEPS Database Migration</x:v>
      </x:c>
      <x:c r="O217" t="str">
        <x:v>New</x:v>
      </x:c>
      <x:c r="P217" t="str">
        <x:v>StagingUat</x:v>
      </x:c>
      <x:c r="Q217" t="str">
        <x:v>Azure blob storage account for dev environment</x:v>
      </x:c>
      <x:c r="R217" t="str">
        <x:v>S</x:v>
      </x:c>
      <x:c r="S217"/>
      <x:c r="T217"/>
      <x:c r="U217" t="str">
        <x:v>Required to improve digital TA execution implementation specifically on storing evidence (testing for development environment)</x:v>
      </x:c>
      <x:c r="V217" t="n">
        <x:v>46219.15668673611</x:v>
      </x:c>
      <x:c r="W217" t="str">
        <x:v>fatinayusoff@petronas.com</x:v>
      </x:c>
      <x:c r="X217" t="str">
        <x:v>approved</x:v>
      </x:c>
      <x:c r="Y217" t="str">
        <x:v>Provision storage account in "PTAZSG-IAC-DEV-STEPS-PCG-RG" RG.</x:v>
      </x:c>
      <x:c r="Z217" t="n">
        <x:v>46219.29005700231</x:v>
      </x:c>
      <x:c r="AA217" t="str">
        <x:v>izham.ajmaan@petronas.com</x:v>
      </x:c>
      <x:c r="AB217" t="str">
        <x:v>approved</x:v>
      </x:c>
      <x:c r="AC217" t="str">
        <x:v>Need more clarification on resource provision. Please set up the call with IMS-Cloud operation to understand the requirement.</x:v>
      </x:c>
      <x:c r="AD217" t="n">
        <x:v>46222.80298238426</x:v>
      </x:c>
      <x:c r="AE217" t="str">
        <x:v>abhishek.bhowate@petronas.com</x:v>
      </x:c>
      <x:c r="AF217" t="str">
        <x:v>rejected</x:v>
      </x:c>
      <x:c r="AG217"/>
      <x:c r="AH217"/>
      <x:c r="AI217" t="str">
        <x:v>IMS - CLOUD CSSP EXECUTOR</x:v>
      </x:c>
      <x:c r="AJ217"/>
      <x:c r="AK217"/>
      <x:c r="AL217" t="str">
        <x:v>07c30938-4140-42e5-b08c-5429131afe98</x:v>
      </x:c>
      <x:c r="AM217" s="23" t="str">
        <x:f>IF(E217="processing",IF(Z217="","",IF(ISNUMBER(Z217),INT(Z217),DATE(VALUE(LEFT(Z217,4)),VALUE(MID(Z217,6,2)),VALUE(MID(Z217,9,2))))),IF(OR(E217="executing",E217="pending"),IF(AD217="","",IF(ISNUMBER(AD217),INT(AD217),DATE(VALUE(LEFT(AD217,4)),VALUE(MID(AD217,6,2)),VALUE(MID(AD217,9,2))))),""))</x:f>
      </x:c>
      <x:c r="AN217" s="24" t="str">
        <x:f>IF(AM217="","",INT('Configuration'!$B$4)-AM217)</x:f>
      </x:c>
      <x:c r="AO217" s="25" t="str">
        <x:f>IF(AM217="","Missing Required Date",IF(AN217&lt;0,"Future Date",IF(AN217=0,"0 days",IF(AN217&lt;=2,"1-2 days",IF(AN217&lt;=7,"3-7 days",IF(AN217&lt;=14,"8-14 days",IF(AN217&lt;=30,"15-30 days",IF(AN217&lt;=60,"31-60 days",IF(AN217&lt;=70,"61-70 days","71+ days")))))))))</x:f>
        <x:v>Missing Required Date</x:v>
      </x:c>
      <x:c r="AP217" s="25" t="str">
        <x:f>IF(OR(E217="processing",E217="executing",E217="pending"),IF(AM217="","Required aging date missing",IF(AN217&gt;30,"Escalate &gt;30d",IF(AN217&gt;14,"Watch &gt;14d","Within 14d"))),"Out of scope")</x:f>
        <x:v>Out of scope</x:v>
      </x:c>
    </x:row>
    <x:row r="218" ht="24" customHeight="1">
      <x:c r="A218" t="str">
        <x:v>7085e9c9-538a-4dd9-b20a-01f26c3a882d</x:v>
      </x:c>
      <x:c r="B218" t="str">
        <x:v>CSSP10152302</x:v>
      </x:c>
      <x:c r="C218" t="str">
        <x:v>azad.johari@petronas.com</x:v>
      </x:c>
      <x:c r="D218" t="str">
        <x:v>provision-cloud-public</x:v>
      </x:c>
      <x:c r="E218" t="str">
        <x:v>completed</x:v>
      </x:c>
      <x:c r="F218" t="n">
        <x:v>46220.07367790509</x:v>
      </x:c>
      <x:c r="G218" t="n">
        <x:v>46220.08964300926</x:v>
      </x:c>
      <x:c r="H218" t="n">
        <x:v>46244.06015922454</x:v>
      </x:c>
      <x:c r="I218" t="str">
        <x:v>A-000693</x:v>
      </x:c>
      <x:c r="J218" t="str">
        <x:v>RNETTS/Frontliner Assessment System FAST</x:v>
      </x:c>
      <x:c r="K218" t="n">
        <x:v>1814</x:v>
      </x:c>
      <x:c r="L218" t="str">
        <x:v>RNETTS interim platform Frontliner Assessment System FAST</x:v>
      </x:c>
      <x:c r="M218" t="str">
        <x:v>amirshazlan.mshah@petronas.com</x:v>
      </x:c>
      <x:c r="N218" t="str">
        <x:v>RNETTS FAST</x:v>
      </x:c>
      <x:c r="O218" t="str">
        <x:v>New</x:v>
      </x:c>
      <x:c r="P218" t="str">
        <x:v>Production</x:v>
      </x:c>
      <x:c r="Q218" t="str">
        <x:v>To add a new DB named "EPECAS" in current Azure SQL Elastic Pool "ptsg-1rnettfast-ep02". Redundancy set to "Locally-redundant backup storage". </x:v>
      </x:c>
      <x:c r="R218" t="str">
        <x:v>S</x:v>
      </x:c>
      <x:c r="S218"/>
      <x:c r="T218"/>
      <x:c r="U218" t="str">
        <x:v>approved for CE team review</x:v>
      </x:c>
      <x:c r="V218" t="n">
        <x:v>46220.11874019676</x:v>
      </x:c>
      <x:c r="W218" t="str">
        <x:v>amirshazlan.mshah@petronas.com</x:v>
      </x:c>
      <x:c r="X218" t="str">
        <x:v>approved</x:v>
      </x:c>
      <x:c r="Y218" t="str">
        <x:v>A request to create a new Azure SQL Database called EPECAS inside the existing Elastic Pool "ptsg-1rnettfast-ep02" with backup redundancy set to LRS</x:v>
      </x:c>
      <x:c r="Z218" t="n">
        <x:v>46220.3134428125</x:v>
      </x:c>
      <x:c r="AA218" t="str">
        <x:v>samsuddin.jumbri@petronas.com</x:v>
      </x:c>
      <x:c r="AB218" t="str">
        <x:v>approved</x:v>
      </x:c>
      <x:c r="AC218" t="str">
        <x:v>approve</x:v>
      </x:c>
      <x:c r="AD218" t="n">
        <x:v>46225.37270680555</x:v>
      </x:c>
      <x:c r="AE218" t="str">
        <x:v>abhishek.bhowate@petronas.com</x:v>
      </x:c>
      <x:c r="AF218" t="str">
        <x:v>approved</x:v>
      </x:c>
      <x:c r="AG218" t="str">
        <x:v>we have successfully created new DB &amp;azure SQL elastic pool hence closing the ticket</x:v>
      </x:c>
      <x:c r="AH218" t="n">
        <x:v>46244.06015923611</x:v>
      </x:c>
      <x:c r="AI218" t="str">
        <x:v>venkatesh.kalikivayi@petronas.com</x:v>
      </x:c>
      <x:c r="AJ218" t="str">
        <x:v>approved</x:v>
      </x:c>
      <x:c r="AK218" t="str">
        <x:v>REQ000008186664</x:v>
      </x:c>
      <x:c r="AL218" t="str">
        <x:v>4d34fdb7-60d7-4af1-9d63-91d40496e12d</x:v>
      </x:c>
      <x:c r="AM218" s="23" t="str">
        <x:f>IF(E218="processing",IF(Z218="","",IF(ISNUMBER(Z218),INT(Z218),DATE(VALUE(LEFT(Z218,4)),VALUE(MID(Z218,6,2)),VALUE(MID(Z218,9,2))))),IF(OR(E218="executing",E218="pending"),IF(AD218="","",IF(ISNUMBER(AD218),INT(AD218),DATE(VALUE(LEFT(AD218,4)),VALUE(MID(AD218,6,2)),VALUE(MID(AD218,9,2))))),""))</x:f>
      </x:c>
      <x:c r="AN218" s="24" t="str">
        <x:f>IF(AM218="","",INT('Configuration'!$B$4)-AM218)</x:f>
      </x:c>
      <x:c r="AO218" s="25" t="str">
        <x:f>IF(AM218="","Missing Required Date",IF(AN218&lt;0,"Future Date",IF(AN218=0,"0 days",IF(AN218&lt;=2,"1-2 days",IF(AN218&lt;=7,"3-7 days",IF(AN218&lt;=14,"8-14 days",IF(AN218&lt;=30,"15-30 days",IF(AN218&lt;=60,"31-60 days",IF(AN218&lt;=70,"61-70 days","71+ days")))))))))</x:f>
        <x:v>Missing Required Date</x:v>
      </x:c>
      <x:c r="AP218" s="25" t="str">
        <x:f>IF(OR(E218="processing",E218="executing",E218="pending"),IF(AM218="","Required aging date missing",IF(AN218&gt;30,"Escalate &gt;30d",IF(AN218&gt;14,"Watch &gt;14d","Within 14d"))),"Out of scope")</x:f>
        <x:v>Out of scope</x:v>
      </x:c>
    </x:row>
    <x:row r="219" ht="24" customHeight="1">
      <x:c r="A219" t="str">
        <x:v>f4e26687-790a-488b-891b-3efd713ec1cb</x:v>
      </x:c>
      <x:c r="B219" t="str">
        <x:v>CSSP10834193</x:v>
      </x:c>
      <x:c r="C219" t="str">
        <x:v>abdhatta.mtalib@petronas.com</x:v>
      </x:c>
      <x:c r="D219" t="str">
        <x:v>provision-cloud-public</x:v>
      </x:c>
      <x:c r="E219" t="str">
        <x:v>completed</x:v>
      </x:c>
      <x:c r="F219" t="n">
        <x:v>46223.30781104167</x:v>
      </x:c>
      <x:c r="G219" t="n">
        <x:v>46230.150496145834</x:v>
      </x:c>
      <x:c r="H219" t="n">
        <x:v>46245.62178033565</x:v>
      </x:c>
      <x:c r="I219" t="str">
        <x:v>A-001387</x:v>
      </x:c>
      <x:c r="J219" t="str">
        <x:v>Resource Management System - RMS</x:v>
      </x:c>
      <x:c r="K219" t="n">
        <x:v>3784</x:v>
      </x:c>
      <x:c r="L219" t="str">
        <x:v>Resource Management System (RMS) for PDSB</x:v>
      </x:c>
      <x:c r="M219" t="str">
        <x:v>sarkunan.tigarajan@petronas.com.my</x:v>
      </x:c>
      <x:c r="N219" t="str">
        <x:v>PDCR (PETRONAS Digital Centralized Reporting)</x:v>
      </x:c>
      <x:c r="O219" t="str">
        <x:v>New</x:v>
      </x:c>
      <x:c r="P219" t="str">
        <x:v>Development</x:v>
      </x:c>
      <x:c r="Q219" t="str">
        <x:v>Request for provisioning development environment
Updated BOM document privacy </x:v>
      </x:c>
      <x:c r="R219" t="str">
        <x:v>L</x:v>
      </x:c>
      <x:c r="S219"/>
      <x:c r="T219"/>
      <x:c r="U219" t="str">
        <x:v>Approved</x:v>
      </x:c>
      <x:c r="V219" t="n">
        <x:v>46224.27084909722</x:v>
      </x:c>
      <x:c r="W219" t="str">
        <x:v>sarkunan.tigarajan@petronas.com</x:v>
      </x:c>
      <x:c r="X219" t="str">
        <x:v>approved</x:v>
      </x:c>
      <x:c r="Y219" t="str">
        <x:v>Good to go</x:v>
      </x:c>
      <x:c r="Z219" t="n">
        <x:v>46226.406443912034</x:v>
      </x:c>
      <x:c r="AA219" t="str">
        <x:v>samsuddin.jumbri@petronas.com</x:v>
      </x:c>
      <x:c r="AB219" t="str">
        <x:v>approved</x:v>
      </x:c>
      <x:c r="AC219" t="str">
        <x:v>Approve</x:v>
      </x:c>
      <x:c r="AD219" t="n">
        <x:v>46231.19995699074</x:v>
      </x:c>
      <x:c r="AE219" t="str">
        <x:v>abhishek.bhowate@petronas.com</x:v>
      </x:c>
      <x:c r="AF219" t="str">
        <x:v>approved</x:v>
      </x:c>
      <x:c r="AG219" t="str">
        <x:v>already worked for this request.</x:v>
      </x:c>
      <x:c r="AH219" t="n">
        <x:v>46245.621780347225</x:v>
      </x:c>
      <x:c r="AI219" t="str">
        <x:v>abdul.khoir@petronas.com</x:v>
      </x:c>
      <x:c r="AJ219" t="str">
        <x:v>approved</x:v>
      </x:c>
      <x:c r="AK219" t="str">
        <x:v>REQ000008198546</x:v>
      </x:c>
      <x:c r="AL219" t="str">
        <x:v>efe3e234-b5d9-4b52-ba4e-6bf4ab77fa1e</x:v>
      </x:c>
      <x:c r="AM219" s="23" t="str">
        <x:f>IF(E219="processing",IF(Z219="","",IF(ISNUMBER(Z219),INT(Z219),DATE(VALUE(LEFT(Z219,4)),VALUE(MID(Z219,6,2)),VALUE(MID(Z219,9,2))))),IF(OR(E219="executing",E219="pending"),IF(AD219="","",IF(ISNUMBER(AD219),INT(AD219),DATE(VALUE(LEFT(AD219,4)),VALUE(MID(AD219,6,2)),VALUE(MID(AD219,9,2))))),""))</x:f>
      </x:c>
      <x:c r="AN219" s="24" t="str">
        <x:f>IF(AM219="","",INT('Configuration'!$B$4)-AM219)</x:f>
      </x:c>
      <x:c r="AO219" s="25" t="str">
        <x:f>IF(AM219="","Missing Required Date",IF(AN219&lt;0,"Future Date",IF(AN219=0,"0 days",IF(AN219&lt;=2,"1-2 days",IF(AN219&lt;=7,"3-7 days",IF(AN219&lt;=14,"8-14 days",IF(AN219&lt;=30,"15-30 days",IF(AN219&lt;=60,"31-60 days",IF(AN219&lt;=70,"61-70 days","71+ days")))))))))</x:f>
        <x:v>Missing Required Date</x:v>
      </x:c>
      <x:c r="AP219" s="25" t="str">
        <x:f>IF(OR(E219="processing",E219="executing",E219="pending"),IF(AM219="","Required aging date missing",IF(AN219&gt;30,"Escalate &gt;30d",IF(AN219&gt;14,"Watch &gt;14d","Within 14d"))),"Out of scope")</x:f>
        <x:v>Out of scope</x:v>
      </x:c>
    </x:row>
    <x:row r="220" ht="24" customHeight="1">
      <x:c r="A220" t="str">
        <x:v>9ba462ef-a033-4733-b7ba-625e8ec22a20</x:v>
      </x:c>
      <x:c r="B220" t="str">
        <x:v>CSSP10444708</x:v>
      </x:c>
      <x:c r="C220" t="str">
        <x:v>abdhatta.mtalib@petronas.com</x:v>
      </x:c>
      <x:c r="D220" t="str">
        <x:v>provision-cloud-public</x:v>
      </x:c>
      <x:c r="E220" t="str">
        <x:v>executing</x:v>
      </x:c>
      <x:c r="F220" t="n">
        <x:v>46223.31097395833</x:v>
      </x:c>
      <x:c r="G220" t="n">
        <x:v>46230.14966824074</x:v>
      </x:c>
      <x:c r="H220" t="n">
        <x:v>46231.20019405093</x:v>
      </x:c>
      <x:c r="I220" t="str">
        <x:v>A-001387</x:v>
      </x:c>
      <x:c r="J220" t="str">
        <x:v>Resource Management System - RMS</x:v>
      </x:c>
      <x:c r="K220" t="n">
        <x:v>3784</x:v>
      </x:c>
      <x:c r="L220" t="str">
        <x:v>Resource Management System (RMS) for PDSB</x:v>
      </x:c>
      <x:c r="M220" t="str">
        <x:v>sarkunan.tigarajan@petronas.com.my</x:v>
      </x:c>
      <x:c r="N220" t="str">
        <x:v>Resource Management System (RMS)</x:v>
      </x:c>
      <x:c r="O220" t="str">
        <x:v>New</x:v>
      </x:c>
      <x:c r="P220" t="str">
        <x:v>StagingUat</x:v>
      </x:c>
      <x:c r="Q220" t="str">
        <x:v>Request for provisioning staging/UAT environment
Updated Bill of Material privacy setting to open</x:v>
      </x:c>
      <x:c r="R220" t="str">
        <x:v>L</x:v>
      </x:c>
      <x:c r="S220"/>
      <x:c r="T220"/>
      <x:c r="U220" t="str">
        <x:v>Approved</x:v>
      </x:c>
      <x:c r="V220" t="n">
        <x:v>46224.27526461805</x:v>
      </x:c>
      <x:c r="W220" t="str">
        <x:v>sarkunan.tigarajan@petronas.com</x:v>
      </x:c>
      <x:c r="X220" t="str">
        <x:v>approved</x:v>
      </x:c>
      <x:c r="Y220" t="str">
        <x:v>Good to go</x:v>
      </x:c>
      <x:c r="Z220" t="n">
        <x:v>46226.40610689815</x:v>
      </x:c>
      <x:c r="AA220" t="str">
        <x:v>samsuddin.jumbri@petronas.com</x:v>
      </x:c>
      <x:c r="AB220" t="str">
        <x:v>approved</x:v>
      </x:c>
      <x:c r="AC220" t="str">
        <x:v>Approve</x:v>
      </x:c>
      <x:c r="AD220" t="n">
        <x:v>46231.2001940625</x:v>
      </x:c>
      <x:c r="AE220" t="str">
        <x:v>abhishek.bhowate@petronas.com</x:v>
      </x:c>
      <x:c r="AF220" t="str">
        <x:v>approved</x:v>
      </x:c>
      <x:c r="AG220"/>
      <x:c r="AH220"/>
      <x:c r="AI220" t="str">
        <x:v>abdul.khoir@petronas.com</x:v>
      </x:c>
      <x:c r="AJ220"/>
      <x:c r="AK220" t="str">
        <x:v>REQ000008198547</x:v>
      </x:c>
      <x:c r="AL220" t="str">
        <x:v>efe3e234-b5d9-4b52-ba4e-6bf4ab77fa1e</x:v>
      </x:c>
      <x:c r="AM220" s="23" t="n">
        <x:f>IF(E220="processing",IF(Z220="","",IF(ISNUMBER(Z220),INT(Z220),DATE(VALUE(LEFT(Z220,4)),VALUE(MID(Z220,6,2)),VALUE(MID(Z220,9,2))))),IF(OR(E220="executing",E220="pending"),IF(AD220="","",IF(ISNUMBER(AD220),INT(AD220),DATE(VALUE(LEFT(AD220,4)),VALUE(MID(AD220,6,2)),VALUE(MID(AD220,9,2))))),""))</x:f>
        <x:v>46231</x:v>
      </x:c>
      <x:c r="AN220" s="24" t="n">
        <x:f>IF(AM220="","",INT('Configuration'!$B$4)-AM220)</x:f>
        <x:v>20</x:v>
      </x:c>
      <x:c r="AO220" s="25" t="str">
        <x:f>IF(AM220="","Missing Required Date",IF(AN220&lt;0,"Future Date",IF(AN220=0,"0 days",IF(AN220&lt;=2,"1-2 days",IF(AN220&lt;=7,"3-7 days",IF(AN220&lt;=14,"8-14 days",IF(AN220&lt;=30,"15-30 days",IF(AN220&lt;=60,"31-60 days",IF(AN220&lt;=70,"61-70 days","71+ days")))))))))</x:f>
        <x:v>15-30 days</x:v>
      </x:c>
      <x:c r="AP220" s="25" t="str">
        <x:f>IF(OR(E220="processing",E220="executing",E220="pending"),IF(AM220="","Required aging date missing",IF(AN220&gt;30,"Escalate &gt;30d",IF(AN220&gt;14,"Watch &gt;14d","Within 14d"))),"Out of scope")</x:f>
        <x:v>Watch &gt;14d</x:v>
      </x:c>
    </x:row>
    <x:row r="221" ht="24" customHeight="1">
      <x:c r="A221" t="str">
        <x:v>2fd51979-66ee-4102-be2c-ed1f134ab45b</x:v>
      </x:c>
      <x:c r="B221" t="str">
        <x:v>CSSP10113283</x:v>
      </x:c>
      <x:c r="C221" t="str">
        <x:v>abdhatta.mtalib@petronas.com</x:v>
      </x:c>
      <x:c r="D221" t="str">
        <x:v>provision-cloud-public</x:v>
      </x:c>
      <x:c r="E221" t="str">
        <x:v>executing</x:v>
      </x:c>
      <x:c r="F221" t="n">
        <x:v>46223.31209334491</x:v>
      </x:c>
      <x:c r="G221" t="n">
        <x:v>46230.14839824074</x:v>
      </x:c>
      <x:c r="H221" t="n">
        <x:v>46231.200593657406</x:v>
      </x:c>
      <x:c r="I221" t="str">
        <x:v>A-001387</x:v>
      </x:c>
      <x:c r="J221" t="str">
        <x:v>Resource Management System - RMS</x:v>
      </x:c>
      <x:c r="K221" t="n">
        <x:v>3784</x:v>
      </x:c>
      <x:c r="L221" t="str">
        <x:v>Resource Management System (RMS) for PDSB</x:v>
      </x:c>
      <x:c r="M221" t="str">
        <x:v>sarkunan.tigarajan@petronas.com.my</x:v>
      </x:c>
      <x:c r="N221" t="str">
        <x:v>Resource Management System (RMS)</x:v>
      </x:c>
      <x:c r="O221" t="str">
        <x:v>New</x:v>
      </x:c>
      <x:c r="P221" t="str">
        <x:v>Production</x:v>
      </x:c>
      <x:c r="Q221" t="str">
        <x:v>Request for provisioning Production environment
Have removed privacy for BOM documents</x:v>
      </x:c>
      <x:c r="R221" t="str">
        <x:v>L</x:v>
      </x:c>
      <x:c r="S221"/>
      <x:c r="T221"/>
      <x:c r="U221" t="str">
        <x:v>Approved</x:v>
      </x:c>
      <x:c r="V221" t="n">
        <x:v>46224.27526461805</x:v>
      </x:c>
      <x:c r="W221" t="str">
        <x:v>sarkunan.tigarajan@petronas.com</x:v>
      </x:c>
      <x:c r="X221" t="str">
        <x:v>approved</x:v>
      </x:c>
      <x:c r="Y221" t="str">
        <x:v>Good to go</x:v>
      </x:c>
      <x:c r="Z221" t="n">
        <x:v>46226.40610689815</x:v>
      </x:c>
      <x:c r="AA221" t="str">
        <x:v>samsuddin.jumbri@petronas.com</x:v>
      </x:c>
      <x:c r="AB221" t="str">
        <x:v>approved</x:v>
      </x:c>
      <x:c r="AC221" t="str">
        <x:v>Approve</x:v>
      </x:c>
      <x:c r="AD221" t="n">
        <x:v>46231.200593657406</x:v>
      </x:c>
      <x:c r="AE221" t="str">
        <x:v>abhishek.bhowate@petronas.com</x:v>
      </x:c>
      <x:c r="AF221" t="str">
        <x:v>approved</x:v>
      </x:c>
      <x:c r="AG221"/>
      <x:c r="AH221"/>
      <x:c r="AI221" t="str">
        <x:v>abdul.khoir@petronas.com</x:v>
      </x:c>
      <x:c r="AJ221"/>
      <x:c r="AK221" t="str">
        <x:v>REQ000008198548</x:v>
      </x:c>
      <x:c r="AL221" t="str">
        <x:v>efe3e234-b5d9-4b52-ba4e-6bf4ab77fa1e</x:v>
      </x:c>
      <x:c r="AM221" s="23" t="n">
        <x:f>IF(E221="processing",IF(Z221="","",IF(ISNUMBER(Z221),INT(Z221),DATE(VALUE(LEFT(Z221,4)),VALUE(MID(Z221,6,2)),VALUE(MID(Z221,9,2))))),IF(OR(E221="executing",E221="pending"),IF(AD221="","",IF(ISNUMBER(AD221),INT(AD221),DATE(VALUE(LEFT(AD221,4)),VALUE(MID(AD221,6,2)),VALUE(MID(AD221,9,2))))),""))</x:f>
        <x:v>46231</x:v>
      </x:c>
      <x:c r="AN221" s="24" t="n">
        <x:f>IF(AM221="","",INT('Configuration'!$B$4)-AM221)</x:f>
        <x:v>20</x:v>
      </x:c>
      <x:c r="AO221" s="25" t="str">
        <x:f>IF(AM221="","Missing Required Date",IF(AN221&lt;0,"Future Date",IF(AN221=0,"0 days",IF(AN221&lt;=2,"1-2 days",IF(AN221&lt;=7,"3-7 days",IF(AN221&lt;=14,"8-14 days",IF(AN221&lt;=30,"15-30 days",IF(AN221&lt;=60,"31-60 days",IF(AN221&lt;=70,"61-70 days","71+ days")))))))))</x:f>
        <x:v>15-30 days</x:v>
      </x:c>
      <x:c r="AP221" s="25" t="str">
        <x:f>IF(OR(E221="processing",E221="executing",E221="pending"),IF(AM221="","Required aging date missing",IF(AN221&gt;30,"Escalate &gt;30d",IF(AN221&gt;14,"Watch &gt;14d","Within 14d"))),"Out of scope")</x:f>
        <x:v>Watch &gt;14d</x:v>
      </x:c>
    </x:row>
    <x:row r="222" ht="24" customHeight="1">
      <x:c r="A222" t="str">
        <x:v>5098e45f-f471-4a90-bebd-4154672bf929</x:v>
      </x:c>
      <x:c r="B222" t="str">
        <x:v>CSSP10916540</x:v>
      </x:c>
      <x:c r="C222" t="str">
        <x:v>mnizam_ahmad@petronas.com</x:v>
      </x:c>
      <x:c r="D222" t="str">
        <x:v>provision-cloud-public</x:v>
      </x:c>
      <x:c r="E222" t="str">
        <x:v>completed</x:v>
      </x:c>
      <x:c r="F222" t="n">
        <x:v>46224.205672731485</x:v>
      </x:c>
      <x:c r="G222" t="n">
        <x:v>46224.205672731485</x:v>
      </x:c>
      <x:c r="H222" t="n">
        <x:v>46232.186743356484</x:v>
      </x:c>
      <x:c r="I222" t="str">
        <x:v>A-001389</x:v>
      </x:c>
      <x:c r="J222" t="str">
        <x:v>IGA for ENIGMA SEARAH</x:v>
      </x:c>
      <x:c r="K222" t="str">
        <x:v>SR26939_IGA</x:v>
      </x:c>
      <x:c r="L222" t="str">
        <x:v>ENIGMA JV (Infra): ENIgma Cloud Landing Zone Implementation</x:v>
      </x:c>
      <x:c r="M222" t="str">
        <x:v>azizul.a@petronas.com</x:v>
      </x:c>
      <x:c r="N222" t="str">
        <x:v>CS - IAM</x:v>
      </x:c>
      <x:c r="O222" t="str">
        <x:v>New</x:v>
      </x:c>
      <x:c r="P222" t="str">
        <x:v>Production</x:v>
      </x:c>
      <x:c r="Q222" t="str">
        <x:v>For Searah IGA On Premise Gateway</x:v>
      </x:c>
      <x:c r="R222" t="str">
        <x:v>S</x:v>
      </x:c>
      <x:c r="S222"/>
      <x:c r="T222"/>
      <x:c r="U222" t="str">
        <x:v>Approved for Searah's IGA deployment</x:v>
      </x:c>
      <x:c r="V222" t="n">
        <x:v>46224.20678555556</x:v>
      </x:c>
      <x:c r="W222" t="str">
        <x:v>azizul.a@petronas.com</x:v>
      </x:c>
      <x:c r="X222" t="str">
        <x:v>approved</x:v>
      </x:c>
      <x:c r="Y222" t="str">
        <x:v>To expedite</x:v>
      </x:c>
      <x:c r="Z222" t="n">
        <x:v>46224.426074814815</x:v>
      </x:c>
      <x:c r="AA222" t="str">
        <x:v>fathulrahman.misba@petronas.com</x:v>
      </x:c>
      <x:c r="AB222" t="str">
        <x:v>approved</x:v>
      </x:c>
      <x:c r="AC222" t="str">
        <x:v>approve</x:v>
      </x:c>
      <x:c r="AD222" t="n">
        <x:v>46225.367471516205</x:v>
      </x:c>
      <x:c r="AE222" t="str">
        <x:v>abhishek.bhowate@petronas.com</x:v>
      </x:c>
      <x:c r="AF222" t="str">
        <x:v>approved</x:v>
      </x:c>
      <x:c r="AG222" t="str">
        <x:v>VM provisioning has been completed.</x:v>
      </x:c>
      <x:c r="AH222" t="n">
        <x:v>46232.186743356484</x:v>
      </x:c>
      <x:c r="AI222" t="str">
        <x:v>amarja.kawade@petronas.com</x:v>
      </x:c>
      <x:c r="AJ222" t="str">
        <x:v>approved</x:v>
      </x:c>
      <x:c r="AK222" t="str">
        <x:v>REQ000008186660</x:v>
      </x:c>
      <x:c r="AL222" t="str">
        <x:v>e5f5c370-bdf0-4787-9302-7d2594db0562</x:v>
      </x:c>
      <x:c r="AM222" s="23" t="str">
        <x:f>IF(E222="processing",IF(Z222="","",IF(ISNUMBER(Z222),INT(Z222),DATE(VALUE(LEFT(Z222,4)),VALUE(MID(Z222,6,2)),VALUE(MID(Z222,9,2))))),IF(OR(E222="executing",E222="pending"),IF(AD222="","",IF(ISNUMBER(AD222),INT(AD222),DATE(VALUE(LEFT(AD222,4)),VALUE(MID(AD222,6,2)),VALUE(MID(AD222,9,2))))),""))</x:f>
      </x:c>
      <x:c r="AN222" s="24" t="str">
        <x:f>IF(AM222="","",INT('Configuration'!$B$4)-AM222)</x:f>
      </x:c>
      <x:c r="AO222" s="25" t="str">
        <x:f>IF(AM222="","Missing Required Date",IF(AN222&lt;0,"Future Date",IF(AN222=0,"0 days",IF(AN222&lt;=2,"1-2 days",IF(AN222&lt;=7,"3-7 days",IF(AN222&lt;=14,"8-14 days",IF(AN222&lt;=30,"15-30 days",IF(AN222&lt;=60,"31-60 days",IF(AN222&lt;=70,"61-70 days","71+ days")))))))))</x:f>
        <x:v>Missing Required Date</x:v>
      </x:c>
      <x:c r="AP222" s="25" t="str">
        <x:f>IF(OR(E222="processing",E222="executing",E222="pending"),IF(AM222="","Required aging date missing",IF(AN222&gt;30,"Escalate &gt;30d",IF(AN222&gt;14,"Watch &gt;14d","Within 14d"))),"Out of scope")</x:f>
        <x:v>Out of scope</x:v>
      </x:c>
    </x:row>
    <x:row r="223" ht="24" customHeight="1">
      <x:c r="A223" t="str">
        <x:v>4cc4bd0e-6207-4f6d-9877-cdaa4d931d7f</x:v>
      </x:c>
      <x:c r="B223" t="str">
        <x:v>CSSP10388990</x:v>
      </x:c>
      <x:c r="C223" t="str">
        <x:v>mnizam_ahmad@petronas.com</x:v>
      </x:c>
      <x:c r="D223" t="str">
        <x:v>provision-cloud-public</x:v>
      </x:c>
      <x:c r="E223" t="str">
        <x:v>completed</x:v>
      </x:c>
      <x:c r="F223" t="n">
        <x:v>46224.20725625</x:v>
      </x:c>
      <x:c r="G223" t="n">
        <x:v>46224.20725625</x:v>
      </x:c>
      <x:c r="H223" t="n">
        <x:v>46232.18623261574</x:v>
      </x:c>
      <x:c r="I223" t="str">
        <x:v>A-001389</x:v>
      </x:c>
      <x:c r="J223" t="str">
        <x:v>IGA for ENIGMA SEARAH</x:v>
      </x:c>
      <x:c r="K223" t="str">
        <x:v>SR26939_IGA</x:v>
      </x:c>
      <x:c r="L223" t="str">
        <x:v>ENIGMA JV (Infra): ENIgma Cloud Landing Zone Implementation</x:v>
      </x:c>
      <x:c r="M223" t="str">
        <x:v>azizul.a@petronas.com</x:v>
      </x:c>
      <x:c r="N223" t="str">
        <x:v>CS - IAM</x:v>
      </x:c>
      <x:c r="O223" t="str">
        <x:v>New</x:v>
      </x:c>
      <x:c r="P223" t="str">
        <x:v>StagingUat</x:v>
      </x:c>
      <x:c r="Q223" t="str">
        <x:v>Searah IGA Gateway for Non-Prod</x:v>
      </x:c>
      <x:c r="R223" t="str">
        <x:v>S</x:v>
      </x:c>
      <x:c r="S223"/>
      <x:c r="T223"/>
      <x:c r="U223" t="str">
        <x:v>Approved for Searah's IGA deployment</x:v>
      </x:c>
      <x:c r="V223" t="n">
        <x:v>46224.209344710645</x:v>
      </x:c>
      <x:c r="W223" t="str">
        <x:v>azizul.a@petronas.com</x:v>
      </x:c>
      <x:c r="X223" t="str">
        <x:v>approved</x:v>
      </x:c>
      <x:c r="Y223" t="str">
        <x:v>To expedite</x:v>
      </x:c>
      <x:c r="Z223" t="n">
        <x:v>46224.42559259259</x:v>
      </x:c>
      <x:c r="AA223" t="str">
        <x:v>fathulrahman.misba@petronas.com</x:v>
      </x:c>
      <x:c r="AB223" t="str">
        <x:v>approved</x:v>
      </x:c>
      <x:c r="AC223" t="str">
        <x:v>approve</x:v>
      </x:c>
      <x:c r="AD223" t="n">
        <x:v>46225.36703025463</x:v>
      </x:c>
      <x:c r="AE223" t="str">
        <x:v>abhishek.bhowate@petronas.com</x:v>
      </x:c>
      <x:c r="AF223" t="str">
        <x:v>approved</x:v>
      </x:c>
      <x:c r="AG223" t="str">
        <x:v>VM provisioning has been done.</x:v>
      </x:c>
      <x:c r="AH223" t="n">
        <x:v>46232.18623261574</x:v>
      </x:c>
      <x:c r="AI223" t="str">
        <x:v>amarja.kawade@petronas.com</x:v>
      </x:c>
      <x:c r="AJ223" t="str">
        <x:v>approved</x:v>
      </x:c>
      <x:c r="AK223" t="str">
        <x:v>REQ000008186285</x:v>
      </x:c>
      <x:c r="AL223" t="str">
        <x:v>e5f5c370-bdf0-4787-9302-7d2594db0562</x:v>
      </x:c>
      <x:c r="AM223" s="23" t="str">
        <x:f>IF(E223="processing",IF(Z223="","",IF(ISNUMBER(Z223),INT(Z223),DATE(VALUE(LEFT(Z223,4)),VALUE(MID(Z223,6,2)),VALUE(MID(Z223,9,2))))),IF(OR(E223="executing",E223="pending"),IF(AD223="","",IF(ISNUMBER(AD223),INT(AD223),DATE(VALUE(LEFT(AD223,4)),VALUE(MID(AD223,6,2)),VALUE(MID(AD223,9,2))))),""))</x:f>
      </x:c>
      <x:c r="AN223" s="24" t="str">
        <x:f>IF(AM223="","",INT('Configuration'!$B$4)-AM223)</x:f>
      </x:c>
      <x:c r="AO223" s="25" t="str">
        <x:f>IF(AM223="","Missing Required Date",IF(AN223&lt;0,"Future Date",IF(AN223=0,"0 days",IF(AN223&lt;=2,"1-2 days",IF(AN223&lt;=7,"3-7 days",IF(AN223&lt;=14,"8-14 days",IF(AN223&lt;=30,"15-30 days",IF(AN223&lt;=60,"31-60 days",IF(AN223&lt;=70,"61-70 days","71+ days")))))))))</x:f>
        <x:v>Missing Required Date</x:v>
      </x:c>
      <x:c r="AP223" s="25" t="str">
        <x:f>IF(OR(E223="processing",E223="executing",E223="pending"),IF(AM223="","Required aging date missing",IF(AN223&gt;30,"Escalate &gt;30d",IF(AN223&gt;14,"Watch &gt;14d","Within 14d"))),"Out of scope")</x:f>
        <x:v>Out of scope</x:v>
      </x:c>
    </x:row>
    <x:row r="224" ht="24" customHeight="1">
      <x:c r="A224" t="str">
        <x:v>8da54fc0-26f9-42e2-a16b-5c25e6e5bdfe</x:v>
      </x:c>
      <x:c r="B224" t="str">
        <x:v>CSSP10792747</x:v>
      </x:c>
      <x:c r="C224" t="str">
        <x:v>ahmadaizuddin.badry@petronas.com</x:v>
      </x:c>
      <x:c r="D224" t="str">
        <x:v>provision-cloud-public</x:v>
      </x:c>
      <x:c r="E224" t="str">
        <x:v>rejected</x:v>
      </x:c>
      <x:c r="F224" t="n">
        <x:v>46224.31845791667</x:v>
      </x:c>
      <x:c r="G224" t="n">
        <x:v>46224.31845791667</x:v>
      </x:c>
      <x:c r="H224" t="n">
        <x:v>46232.30806391204</x:v>
      </x:c>
      <x:c r="I224" t="str">
        <x:v>A-000301</x:v>
      </x:c>
      <x:c r="J224" t="str">
        <x:v>Equipment Reliability Based Stocking - ERBS Analyzers</x:v>
      </x:c>
      <x:c r="K224" t="n">
        <x:v>1841</x:v>
      </x:c>
      <x:c r="L224" t="str">
        <x:v>Development and Deployment of Equipment Reliability Based Stocking (ERBS) Analyzers</x:v>
      </x:c>
      <x:c r="M224" t="str">
        <x:v>zulfakar.mohd@petronas.com.my</x:v>
      </x:c>
      <x:c r="N224" t="str">
        <x:v>ERBS</x:v>
      </x:c>
      <x:c r="O224" t="str">
        <x:v>New</x:v>
      </x:c>
      <x:c r="P224" t="str">
        <x:v>StagingUat</x:v>
      </x:c>
      <x:c r="Q224" t="str">
        <x:v>Provision PostgreSQL Database RDS in PTAWSG-STG-ENVIRONMENT-01 for ERBS</x:v>
      </x:c>
      <x:c r="R224" t="str">
        <x:v>L</x:v>
      </x:c>
      <x:c r="S224"/>
      <x:c r="T224"/>
      <x:c r="U224" t="str">
        <x:v>reviewed</x:v>
      </x:c>
      <x:c r="V224" t="n">
        <x:v>46224.33215233796</x:v>
      </x:c>
      <x:c r="W224" t="str">
        <x:v>zulfakar.mohd@petronas.com</x:v>
      </x:c>
      <x:c r="X224" t="str">
        <x:v>approved</x:v>
      </x:c>
      <x:c r="Y224" t="str">
        <x:v>To comply with the Cloud Service Request and Provisioning Guideline v4.0, kindly provide the approved memo/approved email from the Business owner as supporting evidence.</x:v>
      </x:c>
      <x:c r="Z224" t="n">
        <x:v>46232.30806391204</x:v>
      </x:c>
      <x:c r="AA224" t="str">
        <x:v>samsuddin.jumbri@petronas.com</x:v>
      </x:c>
      <x:c r="AB224" t="str">
        <x:v>rejected</x:v>
      </x:c>
      <x:c r="AC224"/>
      <x:c r="AD224"/>
      <x:c r="AE224" t="str">
        <x:v>IMS - CLOUD CSSP REVIEWER</x:v>
      </x:c>
      <x:c r="AF224"/>
      <x:c r="AG224"/>
      <x:c r="AH224"/>
      <x:c r="AI224" t="str">
        <x:v>IMS - CLOUD CSSP EXECUTOR</x:v>
      </x:c>
      <x:c r="AJ224"/>
      <x:c r="AK224"/>
      <x:c r="AL224" t="str">
        <x:v>ab16ae25-12e5-4bbb-af55-30df8723eb3a</x:v>
      </x:c>
      <x:c r="AM224" s="23" t="str">
        <x:f>IF(E224="processing",IF(Z224="","",IF(ISNUMBER(Z224),INT(Z224),DATE(VALUE(LEFT(Z224,4)),VALUE(MID(Z224,6,2)),VALUE(MID(Z224,9,2))))),IF(OR(E224="executing",E224="pending"),IF(AD224="","",IF(ISNUMBER(AD224),INT(AD224),DATE(VALUE(LEFT(AD224,4)),VALUE(MID(AD224,6,2)),VALUE(MID(AD224,9,2))))),""))</x:f>
      </x:c>
      <x:c r="AN224" s="24" t="str">
        <x:f>IF(AM224="","",INT('Configuration'!$B$4)-AM224)</x:f>
      </x:c>
      <x:c r="AO224" s="25" t="str">
        <x:f>IF(AM224="","Missing Required Date",IF(AN224&lt;0,"Future Date",IF(AN224=0,"0 days",IF(AN224&lt;=2,"1-2 days",IF(AN224&lt;=7,"3-7 days",IF(AN224&lt;=14,"8-14 days",IF(AN224&lt;=30,"15-30 days",IF(AN224&lt;=60,"31-60 days",IF(AN224&lt;=70,"61-70 days","71+ days")))))))))</x:f>
        <x:v>Missing Required Date</x:v>
      </x:c>
      <x:c r="AP224" s="25" t="str">
        <x:f>IF(OR(E224="processing",E224="executing",E224="pending"),IF(AM224="","Required aging date missing",IF(AN224&gt;30,"Escalate &gt;30d",IF(AN224&gt;14,"Watch &gt;14d","Within 14d"))),"Out of scope")</x:f>
        <x:v>Out of scope</x:v>
      </x:c>
    </x:row>
    <x:row r="225" ht="24" customHeight="1">
      <x:c r="A225" t="str">
        <x:v>01f60275-5dc6-4b2c-af19-3c69ca7fbfda</x:v>
      </x:c>
      <x:c r="B225" t="str">
        <x:v>CSSP10583023</x:v>
      </x:c>
      <x:c r="C225" t="str">
        <x:v>ahmadaizuddin.badry@petronas.com</x:v>
      </x:c>
      <x:c r="D225" t="str">
        <x:v>provision-cloud-public</x:v>
      </x:c>
      <x:c r="E225" t="str">
        <x:v>rejected</x:v>
      </x:c>
      <x:c r="F225" t="n">
        <x:v>46224.326280810186</x:v>
      </x:c>
      <x:c r="G225" t="n">
        <x:v>46224.326280810186</x:v>
      </x:c>
      <x:c r="H225" t="n">
        <x:v>46232.30649826389</x:v>
      </x:c>
      <x:c r="I225" t="str">
        <x:v>A-000629</x:v>
      </x:c>
      <x:c r="J225" t="str">
        <x:v>PETRONAS Licensing and Management System - PLMS</x:v>
      </x:c>
      <x:c r="K225" t="n">
        <x:v>3763</x:v>
      </x:c>
      <x:c r="L225" t="str">
        <x:v>PETRONAS License Management System (PLMS) DevOps FY2024</x:v>
      </x:c>
      <x:c r="M225" t="str">
        <x:v>zulfakar.mohd@petronas.com.my</x:v>
      </x:c>
      <x:c r="N225" t="str">
        <x:v>PLMS</x:v>
      </x:c>
      <x:c r="O225" t="str">
        <x:v>New</x:v>
      </x:c>
      <x:c r="P225" t="str">
        <x:v>Development</x:v>
      </x:c>
      <x:c r="Q225" t="str">
        <x:v>Provision of App service and Azure Cosmos</x:v>
      </x:c>
      <x:c r="R225" t="str">
        <x:v>M</x:v>
      </x:c>
      <x:c r="S225"/>
      <x:c r="T225"/>
      <x:c r="U225" t="str">
        <x:v>reviewed</x:v>
      </x:c>
      <x:c r="V225" t="n">
        <x:v>46224.331812372686</x:v>
      </x:c>
      <x:c r="W225" t="str">
        <x:v>zulfakar.mohd@petronas.com</x:v>
      </x:c>
      <x:c r="X225" t="str">
        <x:v>approved</x:v>
      </x:c>
      <x:c r="Y225" t="str">
        <x:v>The requestor has confirmed that this SR should be cancelled because the service was already deployed last year.</x:v>
      </x:c>
      <x:c r="Z225" t="n">
        <x:v>46232.306498275466</x:v>
      </x:c>
      <x:c r="AA225" t="str">
        <x:v>samsuddin.jumbri@petronas.com</x:v>
      </x:c>
      <x:c r="AB225" t="str">
        <x:v>rejected</x:v>
      </x:c>
      <x:c r="AC225"/>
      <x:c r="AD225"/>
      <x:c r="AE225" t="str">
        <x:v>IMS - CLOUD CSSP REVIEWER</x:v>
      </x:c>
      <x:c r="AF225"/>
      <x:c r="AG225"/>
      <x:c r="AH225"/>
      <x:c r="AI225" t="str">
        <x:v>IMS - CLOUD CSSP EXECUTOR</x:v>
      </x:c>
      <x:c r="AJ225"/>
      <x:c r="AK225"/>
      <x:c r="AL225" t="str">
        <x:v>df6bcae8-9975-406a-9138-f1854e624893</x:v>
      </x:c>
      <x:c r="AM225" s="23" t="str">
        <x:f>IF(E225="processing",IF(Z225="","",IF(ISNUMBER(Z225),INT(Z225),DATE(VALUE(LEFT(Z225,4)),VALUE(MID(Z225,6,2)),VALUE(MID(Z225,9,2))))),IF(OR(E225="executing",E225="pending"),IF(AD225="","",IF(ISNUMBER(AD225),INT(AD225),DATE(VALUE(LEFT(AD225,4)),VALUE(MID(AD225,6,2)),VALUE(MID(AD225,9,2))))),""))</x:f>
      </x:c>
      <x:c r="AN225" s="24" t="str">
        <x:f>IF(AM225="","",INT('Configuration'!$B$4)-AM225)</x:f>
      </x:c>
      <x:c r="AO225" s="25" t="str">
        <x:f>IF(AM225="","Missing Required Date",IF(AN225&lt;0,"Future Date",IF(AN225=0,"0 days",IF(AN225&lt;=2,"1-2 days",IF(AN225&lt;=7,"3-7 days",IF(AN225&lt;=14,"8-14 days",IF(AN225&lt;=30,"15-30 days",IF(AN225&lt;=60,"31-60 days",IF(AN225&lt;=70,"61-70 days","71+ days")))))))))</x:f>
        <x:v>Missing Required Date</x:v>
      </x:c>
      <x:c r="AP225" s="25" t="str">
        <x:f>IF(OR(E225="processing",E225="executing",E225="pending"),IF(AM225="","Required aging date missing",IF(AN225&gt;30,"Escalate &gt;30d",IF(AN225&gt;14,"Watch &gt;14d","Within 14d"))),"Out of scope")</x:f>
        <x:v>Out of scope</x:v>
      </x:c>
    </x:row>
    <x:row r="226" ht="24" customHeight="1">
      <x:c r="A226" t="str">
        <x:v>30913d0f-5423-461a-8436-242eda73c507</x:v>
      </x:c>
      <x:c r="B226" t="str">
        <x:v>CSSP10379301</x:v>
      </x:c>
      <x:c r="C226" t="str">
        <x:v>ahmadaizuddin.badry@petronas.com</x:v>
      </x:c>
      <x:c r="D226" t="str">
        <x:v>provision-cloud-public</x:v>
      </x:c>
      <x:c r="E226" t="str">
        <x:v>rejected</x:v>
      </x:c>
      <x:c r="F226" t="n">
        <x:v>46224.32781190972</x:v>
      </x:c>
      <x:c r="G226" t="n">
        <x:v>46224.32781190972</x:v>
      </x:c>
      <x:c r="H226" t="n">
        <x:v>46232.30693460648</x:v>
      </x:c>
      <x:c r="I226" t="str">
        <x:v>A-000629</x:v>
      </x:c>
      <x:c r="J226" t="str">
        <x:v>PETRONAS Licensing and Management System - PLMS</x:v>
      </x:c>
      <x:c r="K226" t="n">
        <x:v>3763</x:v>
      </x:c>
      <x:c r="L226" t="str">
        <x:v>PETRONAS License Management System (PLMS) DevOps FY2024</x:v>
      </x:c>
      <x:c r="M226" t="str">
        <x:v>zulfakar.mohd@petronas.com.my</x:v>
      </x:c>
      <x:c r="N226" t="str">
        <x:v>PLMS</x:v>
      </x:c>
      <x:c r="O226" t="str">
        <x:v>New</x:v>
      </x:c>
      <x:c r="P226" t="str">
        <x:v>StagingUat</x:v>
      </x:c>
      <x:c r="Q226" t="str">
        <x:v>Appservice and CosmosDB gremelin provision for Staging PLMS</x:v>
      </x:c>
      <x:c r="R226" t="str">
        <x:v>M</x:v>
      </x:c>
      <x:c r="S226"/>
      <x:c r="T226"/>
      <x:c r="U226" t="str">
        <x:v>reviewed</x:v>
      </x:c>
      <x:c r="V226" t="n">
        <x:v>46224.33150421296</x:v>
      </x:c>
      <x:c r="W226" t="str">
        <x:v>zulfakar.mohd@petronas.com</x:v>
      </x:c>
      <x:c r="X226" t="str">
        <x:v>approved</x:v>
      </x:c>
      <x:c r="Y226" t="str">
        <x:v>The requestor has confirmed that this SR should be cancelled because the service was already deployed last year.</x:v>
      </x:c>
      <x:c r="Z226" t="n">
        <x:v>46232.30693461806</x:v>
      </x:c>
      <x:c r="AA226" t="str">
        <x:v>samsuddin.jumbri@petronas.com</x:v>
      </x:c>
      <x:c r="AB226" t="str">
        <x:v>rejected</x:v>
      </x:c>
      <x:c r="AC226"/>
      <x:c r="AD226"/>
      <x:c r="AE226" t="str">
        <x:v>IMS - CLOUD CSSP REVIEWER</x:v>
      </x:c>
      <x:c r="AF226"/>
      <x:c r="AG226"/>
      <x:c r="AH226"/>
      <x:c r="AI226" t="str">
        <x:v>IMS - CLOUD CSSP EXECUTOR</x:v>
      </x:c>
      <x:c r="AJ226"/>
      <x:c r="AK226"/>
      <x:c r="AL226" t="str">
        <x:v>df6bcae8-9975-406a-9138-f1854e624893</x:v>
      </x:c>
      <x:c r="AM226" s="23" t="str">
        <x:f>IF(E226="processing",IF(Z226="","",IF(ISNUMBER(Z226),INT(Z226),DATE(VALUE(LEFT(Z226,4)),VALUE(MID(Z226,6,2)),VALUE(MID(Z226,9,2))))),IF(OR(E226="executing",E226="pending"),IF(AD226="","",IF(ISNUMBER(AD226),INT(AD226),DATE(VALUE(LEFT(AD226,4)),VALUE(MID(AD226,6,2)),VALUE(MID(AD226,9,2))))),""))</x:f>
      </x:c>
      <x:c r="AN226" s="24" t="str">
        <x:f>IF(AM226="","",INT('Configuration'!$B$4)-AM226)</x:f>
      </x:c>
      <x:c r="AO226" s="25" t="str">
        <x:f>IF(AM226="","Missing Required Date",IF(AN226&lt;0,"Future Date",IF(AN226=0,"0 days",IF(AN226&lt;=2,"1-2 days",IF(AN226&lt;=7,"3-7 days",IF(AN226&lt;=14,"8-14 days",IF(AN226&lt;=30,"15-30 days",IF(AN226&lt;=60,"31-60 days",IF(AN226&lt;=70,"61-70 days","71+ days")))))))))</x:f>
        <x:v>Missing Required Date</x:v>
      </x:c>
      <x:c r="AP226" s="25" t="str">
        <x:f>IF(OR(E226="processing",E226="executing",E226="pending"),IF(AM226="","Required aging date missing",IF(AN226&gt;30,"Escalate &gt;30d",IF(AN226&gt;14,"Watch &gt;14d","Within 14d"))),"Out of scope")</x:f>
        <x:v>Out of scope</x:v>
      </x:c>
    </x:row>
    <x:row r="227" ht="24" customHeight="1">
      <x:c r="A227" t="str">
        <x:v>e77a4c8d-7178-4f01-b286-b5c6688c02aa</x:v>
      </x:c>
      <x:c r="B227" t="str">
        <x:v>CSSP10564575</x:v>
      </x:c>
      <x:c r="C227" t="str">
        <x:v>ahmadaizuddin.badry@petronas.com</x:v>
      </x:c>
      <x:c r="D227" t="str">
        <x:v>provision-cloud-public</x:v>
      </x:c>
      <x:c r="E227" t="str">
        <x:v>rejected</x:v>
      </x:c>
      <x:c r="F227" t="n">
        <x:v>46224.32899363426</x:v>
      </x:c>
      <x:c r="G227" t="n">
        <x:v>46224.32899363426</x:v>
      </x:c>
      <x:c r="H227" t="n">
        <x:v>46232.30718851852</x:v>
      </x:c>
      <x:c r="I227" t="str">
        <x:v>A-000629</x:v>
      </x:c>
      <x:c r="J227" t="str">
        <x:v>PETRONAS Licensing and Management System - PLMS</x:v>
      </x:c>
      <x:c r="K227" t="n">
        <x:v>3763</x:v>
      </x:c>
      <x:c r="L227" t="str">
        <x:v>PETRONAS License Management System (PLMS) DevOps FY2024</x:v>
      </x:c>
      <x:c r="M227" t="str">
        <x:v>zulfakar.mohd@petronas.com.my</x:v>
      </x:c>
      <x:c r="N227" t="str">
        <x:v>PLMS</x:v>
      </x:c>
      <x:c r="O227" t="str">
        <x:v>New</x:v>
      </x:c>
      <x:c r="P227" t="str">
        <x:v>Production</x:v>
      </x:c>
      <x:c r="Q227" t="str">
        <x:v>Appservice &amp; CosmosDB gremilin provision for PLMS prod. Please ensure firewall is being able to expose connection to Security group</x:v>
      </x:c>
      <x:c r="R227" t="str">
        <x:v>M</x:v>
      </x:c>
      <x:c r="S227"/>
      <x:c r="T227"/>
      <x:c r="U227" t="str">
        <x:v>reviewed</x:v>
      </x:c>
      <x:c r="V227" t="n">
        <x:v>46224.33110069444</x:v>
      </x:c>
      <x:c r="W227" t="str">
        <x:v>zulfakar.mohd@petronas.com</x:v>
      </x:c>
      <x:c r="X227" t="str">
        <x:v>approved</x:v>
      </x:c>
      <x:c r="Y227" t="str">
        <x:v>The requestor has confirmed that this SR should be cancelled because the service was already deployed last year.</x:v>
      </x:c>
      <x:c r="Z227" t="n">
        <x:v>46232.307188530096</x:v>
      </x:c>
      <x:c r="AA227" t="str">
        <x:v>samsuddin.jumbri@petronas.com</x:v>
      </x:c>
      <x:c r="AB227" t="str">
        <x:v>rejected</x:v>
      </x:c>
      <x:c r="AC227"/>
      <x:c r="AD227"/>
      <x:c r="AE227" t="str">
        <x:v>IMS - CLOUD CSSP REVIEWER</x:v>
      </x:c>
      <x:c r="AF227"/>
      <x:c r="AG227"/>
      <x:c r="AH227"/>
      <x:c r="AI227" t="str">
        <x:v>IMS - CLOUD CSSP EXECUTOR</x:v>
      </x:c>
      <x:c r="AJ227"/>
      <x:c r="AK227"/>
      <x:c r="AL227" t="str">
        <x:v>df6bcae8-9975-406a-9138-f1854e624893</x:v>
      </x:c>
      <x:c r="AM227" s="23" t="str">
        <x:f>IF(E227="processing",IF(Z227="","",IF(ISNUMBER(Z227),INT(Z227),DATE(VALUE(LEFT(Z227,4)),VALUE(MID(Z227,6,2)),VALUE(MID(Z227,9,2))))),IF(OR(E227="executing",E227="pending"),IF(AD227="","",IF(ISNUMBER(AD227),INT(AD227),DATE(VALUE(LEFT(AD227,4)),VALUE(MID(AD227,6,2)),VALUE(MID(AD227,9,2))))),""))</x:f>
      </x:c>
      <x:c r="AN227" s="24" t="str">
        <x:f>IF(AM227="","",INT('Configuration'!$B$4)-AM227)</x:f>
      </x:c>
      <x:c r="AO227" s="25" t="str">
        <x:f>IF(AM227="","Missing Required Date",IF(AN227&lt;0,"Future Date",IF(AN227=0,"0 days",IF(AN227&lt;=2,"1-2 days",IF(AN227&lt;=7,"3-7 days",IF(AN227&lt;=14,"8-14 days",IF(AN227&lt;=30,"15-30 days",IF(AN227&lt;=60,"31-60 days",IF(AN227&lt;=70,"61-70 days","71+ days")))))))))</x:f>
        <x:v>Missing Required Date</x:v>
      </x:c>
      <x:c r="AP227" s="25" t="str">
        <x:f>IF(OR(E227="processing",E227="executing",E227="pending"),IF(AM227="","Required aging date missing",IF(AN227&gt;30,"Escalate &gt;30d",IF(AN227&gt;14,"Watch &gt;14d","Within 14d"))),"Out of scope")</x:f>
        <x:v>Out of scope</x:v>
      </x:c>
    </x:row>
    <x:row r="228" ht="24" customHeight="1">
      <x:c r="A228" t="str">
        <x:v>873a1b46-a826-4d26-82bb-b8b5ebba8919</x:v>
      </x:c>
      <x:c r="B228" t="str">
        <x:v>CSSP10895954</x:v>
      </x:c>
      <x:c r="C228" t="str">
        <x:v>amirulzakuan.azmey@petronas.com</x:v>
      </x:c>
      <x:c r="D228" t="str">
        <x:v>provision-cloud-public</x:v>
      </x:c>
      <x:c r="E228" t="str">
        <x:v>executing</x:v>
      </x:c>
      <x:c r="F228" t="n">
        <x:v>46225.00747636574</x:v>
      </x:c>
      <x:c r="G228" t="n">
        <x:v>46227.13538332176</x:v>
      </x:c>
      <x:c r="H228" t="n">
        <x:v>46233.10291584491</x:v>
      </x:c>
      <x:c r="I228" t="str">
        <x:v>A-000064</x:v>
      </x:c>
      <x:c r="J228" t="str">
        <x:v>Zidane OVC</x:v>
      </x:c>
      <x:c r="K228" t="n">
        <x:v>4569</x:v>
      </x:c>
      <x:c r="L228" t="str">
        <x:v>Provision of Professional Service, Software License and Infra for ArBiTra (OVC &amp; LVC) 2025 for PTLCL</x:v>
      </x:c>
      <x:c r="M228" t="str">
        <x:v>yap.winhong@petronas.com.my</x:v>
      </x:c>
      <x:c r="N228" t="str">
        <x:v>Unified Platform - Trading Digital</x:v>
      </x:c>
      <x:c r="O228" t="str">
        <x:v>New</x:v>
      </x:c>
      <x:c r="P228" t="str">
        <x:v>Development</x:v>
      </x:c>
      <x:c r="Q228" t="str">
        <x:v>Cost: SR25077: ArBitra Software Licenses and Infra 2026
HLD:
https://myea.petronas.com/HLD/HLDDetails?StatusId=2&amp;LandscapePlatformId=2&amp;IsInfrastructureRequiredInput=true&amp;HLDTypeId=2&amp;LandscapeTypeId=1&amp;HLDId=282</x:v>
      </x:c>
      <x:c r="R228" t="str">
        <x:v>L</x:v>
      </x:c>
      <x:c r="S228"/>
      <x:c r="T228"/>
      <x:c r="U228" t="str">
        <x:v>Approve</x:v>
      </x:c>
      <x:c r="V228" t="n">
        <x:v>46227.14261116898</x:v>
      </x:c>
      <x:c r="W228" t="str">
        <x:v>yap.winhong@petronas.com</x:v>
      </x:c>
      <x:c r="X228" t="str">
        <x:v>approved</x:v>
      </x:c>
      <x:c r="Y228" t="str">
        <x:v>Good to go</x:v>
      </x:c>
      <x:c r="Z228" t="n">
        <x:v>46231.35198568287</x:v>
      </x:c>
      <x:c r="AA228" t="str">
        <x:v>samsuddin.jumbri@petronas.com</x:v>
      </x:c>
      <x:c r="AB228" t="str">
        <x:v>approved</x:v>
      </x:c>
      <x:c r="AC228" t="str">
        <x:v>approve</x:v>
      </x:c>
      <x:c r="AD228" t="n">
        <x:v>46233.10291585648</x:v>
      </x:c>
      <x:c r="AE228" t="str">
        <x:v>abhishek.bhowate@petronas.com</x:v>
      </x:c>
      <x:c r="AF228" t="str">
        <x:v>approved</x:v>
      </x:c>
      <x:c r="AG228"/>
      <x:c r="AH228"/>
      <x:c r="AI228" t="str">
        <x:v>abhishek.bhowate@petronas.com</x:v>
      </x:c>
      <x:c r="AJ228"/>
      <x:c r="AK228" t="str">
        <x:v>REQ000008203404</x:v>
      </x:c>
      <x:c r="AL228" t="str">
        <x:v>e843491d-275f-4046-ad6d-5830963ba204</x:v>
      </x:c>
      <x:c r="AM228" s="23" t="n">
        <x:f>IF(E228="processing",IF(Z228="","",IF(ISNUMBER(Z228),INT(Z228),DATE(VALUE(LEFT(Z228,4)),VALUE(MID(Z228,6,2)),VALUE(MID(Z228,9,2))))),IF(OR(E228="executing",E228="pending"),IF(AD228="","",IF(ISNUMBER(AD228),INT(AD228),DATE(VALUE(LEFT(AD228,4)),VALUE(MID(AD228,6,2)),VALUE(MID(AD228,9,2))))),""))</x:f>
        <x:v>46233</x:v>
      </x:c>
      <x:c r="AN228" s="24" t="n">
        <x:f>IF(AM228="","",INT('Configuration'!$B$4)-AM228)</x:f>
        <x:v>18</x:v>
      </x:c>
      <x:c r="AO228" s="25" t="str">
        <x:f>IF(AM228="","Missing Required Date",IF(AN228&lt;0,"Future Date",IF(AN228=0,"0 days",IF(AN228&lt;=2,"1-2 days",IF(AN228&lt;=7,"3-7 days",IF(AN228&lt;=14,"8-14 days",IF(AN228&lt;=30,"15-30 days",IF(AN228&lt;=60,"31-60 days",IF(AN228&lt;=70,"61-70 days","71+ days")))))))))</x:f>
        <x:v>15-30 days</x:v>
      </x:c>
      <x:c r="AP228" s="25" t="str">
        <x:f>IF(OR(E228="processing",E228="executing",E228="pending"),IF(AM228="","Required aging date missing",IF(AN228&gt;30,"Escalate &gt;30d",IF(AN228&gt;14,"Watch &gt;14d","Within 14d"))),"Out of scope")</x:f>
        <x:v>Watch &gt;14d</x:v>
      </x:c>
    </x:row>
    <x:row r="229" ht="24" customHeight="1">
      <x:c r="A229" t="str">
        <x:v>5a3d5dba-0bf4-4ece-a83c-9f097a769c64</x:v>
      </x:c>
      <x:c r="B229" t="str">
        <x:v>CSSP10883625</x:v>
      </x:c>
      <x:c r="C229" t="str">
        <x:v>mizzudin.manuar@petronas.com</x:v>
      </x:c>
      <x:c r="D229" t="str">
        <x:v>provision-cloud-public</x:v>
      </x:c>
      <x:c r="E229" t="str">
        <x:v>completed</x:v>
      </x:c>
      <x:c r="F229" t="n">
        <x:v>46225.07229872685</x:v>
      </x:c>
      <x:c r="G229" t="n">
        <x:v>46225.13028363426</x:v>
      </x:c>
      <x:c r="H229" t="n">
        <x:v>46230.22187790509</x:v>
      </x:c>
      <x:c r="I229" t="str">
        <x:v>A-000605</x:v>
      </x:c>
      <x:c r="J229" t="str">
        <x:v>Plant Information - PI Vestigo</x:v>
      </x:c>
      <x:c r="K229" t="str">
        <x:v>02421_64</x:v>
      </x:c>
      <x:c r="L229" t="str">
        <x:v>Cloud Migration Program - PI Vestigo</x:v>
      </x:c>
      <x:c r="M229" t="str">
        <x:v>mohammadsani.johari@petronas.com.my</x:v>
      </x:c>
      <x:c r="N229" t="str">
        <x:v>Migration of PI System for Vestigo Operatorship Transfer</x:v>
      </x:c>
      <x:c r="O229" t="str">
        <x:v>Modify</x:v>
      </x:c>
      <x:c r="P229" t="str">
        <x:v>Production</x:v>
      </x:c>
      <x:c r="Q229" t="str">
        <x:v>ESTRELLA: Migration of Plant Information (PI) System for Vestigo Operatorship Transfer, PI Server Hard Disk Upgrade
RFC planned date/time: 24 July 2026  @  10pm MYT
Server Hostname: PTAWMY-1VTGAP1</x:v>
      </x:c>
      <x:c r="R229" t="str">
        <x:v>S</x:v>
      </x:c>
      <x:c r="S229" t="str">
        <x:v>ICT_RFC00220622</x:v>
      </x:c>
      <x:c r="T229"/>
      <x:c r="U229" t="str">
        <x:v>as per required and approval by Business.</x:v>
      </x:c>
      <x:c r="V229" t="n">
        <x:v>46225.136044907405</x:v>
      </x:c>
      <x:c r="W229" t="str">
        <x:v>mohammadsani.johari@petronas.com</x:v>
      </x:c>
      <x:c r="X229" t="str">
        <x:v>approved</x:v>
      </x:c>
      <x:c r="Y229" t="str">
        <x:v>Approved. Noted that this SR is to upgrade the existing storage for the ESTRELLA PI System.</x:v>
      </x:c>
      <x:c r="Z229" t="n">
        <x:v>46227.0800209838</x:v>
      </x:c>
      <x:c r="AA229" t="str">
        <x:v>samsuddin.jumbri@petronas.com</x:v>
      </x:c>
      <x:c r="AB229" t="str">
        <x:v>approved</x:v>
      </x:c>
      <x:c r="AC229" t="str">
        <x:v>Approve</x:v>
      </x:c>
      <x:c r="AD229" t="n">
        <x:v>46229.6344641088</x:v>
      </x:c>
      <x:c r="AE229" t="str">
        <x:v>abhishek.bhowate@petronas.com</x:v>
      </x:c>
      <x:c r="AF229" t="str">
        <x:v>approved</x:v>
      </x:c>
      <x:c r="AG229" t="str">
        <x:v>The Data Archive and PI Backup storage for the PTAWMY-1VTGAP1 server was successfully expanded to 2 TB on 24 July 2026, in accordance with ICT_RFC00220622.</x:v>
      </x:c>
      <x:c r="AH229" t="n">
        <x:v>46230.221877916665</x:v>
      </x:c>
      <x:c r="AI229" t="str">
        <x:v>swaminadh.chirakala@petronas.com</x:v>
      </x:c>
      <x:c r="AJ229" t="str">
        <x:v>approved</x:v>
      </x:c>
      <x:c r="AK229" t="str">
        <x:v>REQ000008194339</x:v>
      </x:c>
      <x:c r="AL229" t="str">
        <x:v>5d3fb87b-9d92-4201-8beb-3a6b20d59907</x:v>
      </x:c>
      <x:c r="AM229" s="23" t="str">
        <x:f>IF(E229="processing",IF(Z229="","",IF(ISNUMBER(Z229),INT(Z229),DATE(VALUE(LEFT(Z229,4)),VALUE(MID(Z229,6,2)),VALUE(MID(Z229,9,2))))),IF(OR(E229="executing",E229="pending"),IF(AD229="","",IF(ISNUMBER(AD229),INT(AD229),DATE(VALUE(LEFT(AD229,4)),VALUE(MID(AD229,6,2)),VALUE(MID(AD229,9,2))))),""))</x:f>
      </x:c>
      <x:c r="AN229" s="24" t="str">
        <x:f>IF(AM229="","",INT('Configuration'!$B$4)-AM229)</x:f>
      </x:c>
      <x:c r="AO229" s="25" t="str">
        <x:f>IF(AM229="","Missing Required Date",IF(AN229&lt;0,"Future Date",IF(AN229=0,"0 days",IF(AN229&lt;=2,"1-2 days",IF(AN229&lt;=7,"3-7 days",IF(AN229&lt;=14,"8-14 days",IF(AN229&lt;=30,"15-30 days",IF(AN229&lt;=60,"31-60 days",IF(AN229&lt;=70,"61-70 days","71+ days")))))))))</x:f>
        <x:v>Missing Required Date</x:v>
      </x:c>
      <x:c r="AP229" s="25" t="str">
        <x:f>IF(OR(E229="processing",E229="executing",E229="pending"),IF(AM229="","Required aging date missing",IF(AN229&gt;30,"Escalate &gt;30d",IF(AN229&gt;14,"Watch &gt;14d","Within 14d"))),"Out of scope")</x:f>
        <x:v>Out of scope</x:v>
      </x:c>
    </x:row>
    <x:row r="230" ht="24" customHeight="1">
      <x:c r="A230" t="str">
        <x:v>9f389eda-35f1-4103-94cf-2b2ed511ce74</x:v>
      </x:c>
      <x:c r="B230" t="str">
        <x:v>CSSP10984683</x:v>
      </x:c>
      <x:c r="C230" t="str">
        <x:v>idwal.wali@petronas.com</x:v>
      </x:c>
      <x:c r="D230" t="str">
        <x:v>provision-cloud-public</x:v>
      </x:c>
      <x:c r="E230" t="str">
        <x:v>executing</x:v>
      </x:c>
      <x:c r="F230" t="n">
        <x:v>46225.1004572338</x:v>
      </x:c>
      <x:c r="G230" t="n">
        <x:v>46225.1004572338</x:v>
      </x:c>
      <x:c r="H230" t="n">
        <x:v>46233.10364482639</x:v>
      </x:c>
      <x:c r="I230" t="str">
        <x:v>A-000599</x:v>
      </x:c>
      <x:c r="J230" t="str">
        <x:v>PiriGIS</x:v>
      </x:c>
      <x:c r="K230" t="n">
        <x:v>1799</x:v>
      </x:c>
      <x:c r="L230" t="str">
        <x:v>Provision of Geographic Information System Infrastructure in PETRONAS Azure Cloud for Exploration</x:v>
      </x:c>
      <x:c r="M230" t="str">
        <x:v>mfakarrudin.abdgani@petronas.com</x:v>
      </x:c>
      <x:c r="N230" t="str">
        <x:v>PiriGIS</x:v>
      </x:c>
      <x:c r="O230" t="str">
        <x:v>Modify</x:v>
      </x:c>
      <x:c r="P230" t="str">
        <x:v>Production</x:v>
      </x:c>
      <x:c r="Q230" t="str">
        <x:v>requesting increase of storage for our GISPRJ instance by 2TB. currently, all system linked to this instance failed to work including ArcGIS Desktop and PiriGIS
IP : 172.25.40.117 ; 
HOSTNAME:PTSG-1GISdb01
Instance : GISPRJ</x:v>
      </x:c>
      <x:c r="R230" t="str">
        <x:v>M</x:v>
      </x:c>
      <x:c r="S230" t="n">
        <x:v>1799</x:v>
      </x:c>
      <x:c r="T230"/>
      <x:c r="U230" t="str">
        <x:v>Approved. Pls proceed the upgrade.TQ</x:v>
      </x:c>
      <x:c r="V230" t="n">
        <x:v>46225.1016752662</x:v>
      </x:c>
      <x:c r="W230" t="str">
        <x:v>mfakarrudin.abdgani@petronas.com</x:v>
      </x:c>
      <x:c r="X230" t="str">
        <x:v>approved</x:v>
      </x:c>
      <x:c r="Y230" t="str">
        <x:v>Good to go</x:v>
      </x:c>
      <x:c r="Z230" t="n">
        <x:v>46231.33871616898</x:v>
      </x:c>
      <x:c r="AA230" t="str">
        <x:v>samsuddin.jumbri@petronas.com</x:v>
      </x:c>
      <x:c r="AB230" t="str">
        <x:v>approved</x:v>
      </x:c>
      <x:c r="AC230" t="str">
        <x:v>approve</x:v>
      </x:c>
      <x:c r="AD230" t="n">
        <x:v>46233.10364483796</x:v>
      </x:c>
      <x:c r="AE230" t="str">
        <x:v>abhishek.bhowate@petronas.com</x:v>
      </x:c>
      <x:c r="AF230" t="str">
        <x:v>approved</x:v>
      </x:c>
      <x:c r="AG230"/>
      <x:c r="AH230"/>
      <x:c r="AI230" t="str">
        <x:v>venkatesh.kalikivayi@petronas.com</x:v>
      </x:c>
      <x:c r="AJ230"/>
      <x:c r="AK230" t="str">
        <x:v>REQ000008203311</x:v>
      </x:c>
      <x:c r="AL230" t="str">
        <x:v>e92b0512-824f-476b-b163-edd30c189714</x:v>
      </x:c>
      <x:c r="AM230" s="23" t="n">
        <x:f>IF(E230="processing",IF(Z230="","",IF(ISNUMBER(Z230),INT(Z230),DATE(VALUE(LEFT(Z230,4)),VALUE(MID(Z230,6,2)),VALUE(MID(Z230,9,2))))),IF(OR(E230="executing",E230="pending"),IF(AD230="","",IF(ISNUMBER(AD230),INT(AD230),DATE(VALUE(LEFT(AD230,4)),VALUE(MID(AD230,6,2)),VALUE(MID(AD230,9,2))))),""))</x:f>
        <x:v>46233</x:v>
      </x:c>
      <x:c r="AN230" s="24" t="n">
        <x:f>IF(AM230="","",INT('Configuration'!$B$4)-AM230)</x:f>
        <x:v>18</x:v>
      </x:c>
      <x:c r="AO230" s="25" t="str">
        <x:f>IF(AM230="","Missing Required Date",IF(AN230&lt;0,"Future Date",IF(AN230=0,"0 days",IF(AN230&lt;=2,"1-2 days",IF(AN230&lt;=7,"3-7 days",IF(AN230&lt;=14,"8-14 days",IF(AN230&lt;=30,"15-30 days",IF(AN230&lt;=60,"31-60 days",IF(AN230&lt;=70,"61-70 days","71+ days")))))))))</x:f>
        <x:v>15-30 days</x:v>
      </x:c>
      <x:c r="AP230" s="25" t="str">
        <x:f>IF(OR(E230="processing",E230="executing",E230="pending"),IF(AM230="","Required aging date missing",IF(AN230&gt;30,"Escalate &gt;30d",IF(AN230&gt;14,"Watch &gt;14d","Within 14d"))),"Out of scope")</x:f>
        <x:v>Watch &gt;14d</x:v>
      </x:c>
    </x:row>
    <x:row r="231" ht="24" customHeight="1">
      <x:c r="A231" t="str">
        <x:v>0930da21-f4d3-4b86-b9fa-71f75d6e328d</x:v>
      </x:c>
      <x:c r="B231" t="str">
        <x:v>CSSP10825398</x:v>
      </x:c>
      <x:c r="C231" t="str">
        <x:v>kavya.ramamurthy@petronas.com</x:v>
      </x:c>
      <x:c r="D231" t="str">
        <x:v>provision-cloud-public</x:v>
      </x:c>
      <x:c r="E231" t="str">
        <x:v>executing</x:v>
      </x:c>
      <x:c r="F231" t="n">
        <x:v>46225.15786769676</x:v>
      </x:c>
      <x:c r="G231" t="n">
        <x:v>46225.15786769676</x:v>
      </x:c>
      <x:c r="H231" t="n">
        <x:v>46225.366409664355</x:v>
      </x:c>
      <x:c r="I231" t="str">
        <x:v>A-000152</x:v>
      </x:c>
      <x:c r="J231" t="str">
        <x:v>Cyber Security Application Security Testing - ASTFortify</x:v>
      </x:c>
      <x:c r="K231" t="n">
        <x:v>3055</x:v>
      </x:c>
      <x:c r="L231" t="str">
        <x:v>Fortify AST (Application Security Testing) Tool deployment and integration to DevSecOps framework</x:v>
      </x:c>
      <x:c r="M231" t="str">
        <x:v>nurainil.m@petronas.com.my</x:v>
      </x:c>
      <x:c r="N231" t="str">
        <x:v>Fortify AST Tool</x:v>
      </x:c>
      <x:c r="O231" t="str">
        <x:v>Repat</x:v>
      </x:c>
      <x:c r="P231" t="str">
        <x:v>Production</x:v>
      </x:c>
      <x:c r="Q231" t="str">
        <x:v>To lift and shift following applications resources to Malaysia region
RDS:
ptawsg-1sonadb01
ptawsg-5sonadb01
EC2:
PTAWSG-5SONAap1
PTAWSG-1SONAap1
ALB: 
PTAWSG-PROD-FORTIFY-FrontEnd-ALB</x:v>
      </x:c>
      <x:c r="R231" t="str">
        <x:v>M</x:v>
      </x:c>
      <x:c r="S231"/>
      <x:c r="T231"/>
      <x:c r="U231" t="str">
        <x:v>[System] Stage pre-approved for Cloud Repatriation project</x:v>
      </x:c>
      <x:c r="V231" t="n">
        <x:v>46225.15786769676</x:v>
      </x:c>
      <x:c r="W231" t="str">
        <x:v>nurainil.m@petronas.com</x:v>
      </x:c>
      <x:c r="X231" t="str">
        <x:v>approved</x:v>
      </x:c>
      <x:c r="Y231" t="str">
        <x:v>[System] Stage pre-approved for Cloud Repatriation project</x:v>
      </x:c>
      <x:c r="Z231" t="n">
        <x:v>46225.15786769676</x:v>
      </x:c>
      <x:c r="AA231" t="str">
        <x:v>CCoE Demand</x:v>
      </x:c>
      <x:c r="AB231" t="str">
        <x:v>approved</x:v>
      </x:c>
      <x:c r="AC231" t="str">
        <x:v>approve</x:v>
      </x:c>
      <x:c r="AD231" t="n">
        <x:v>46225.366409675924</x:v>
      </x:c>
      <x:c r="AE231" t="str">
        <x:v>abhishek.bhowate@petronas.com</x:v>
      </x:c>
      <x:c r="AF231" t="str">
        <x:v>approved</x:v>
      </x:c>
      <x:c r="AG231"/>
      <x:c r="AH231"/>
      <x:c r="AI231" t="str">
        <x:v>abdul.khoir@petronas.com</x:v>
      </x:c>
      <x:c r="AJ231"/>
      <x:c r="AK231" t="str">
        <x:v>REQ000008200695</x:v>
      </x:c>
      <x:c r="AL231" t="str">
        <x:v>018866d2-6805-4206-9278-19021eb0ef40</x:v>
      </x:c>
      <x:c r="AM231" s="23" t="n">
        <x:f>IF(E231="processing",IF(Z231="","",IF(ISNUMBER(Z231),INT(Z231),DATE(VALUE(LEFT(Z231,4)),VALUE(MID(Z231,6,2)),VALUE(MID(Z231,9,2))))),IF(OR(E231="executing",E231="pending"),IF(AD231="","",IF(ISNUMBER(AD231),INT(AD231),DATE(VALUE(LEFT(AD231,4)),VALUE(MID(AD231,6,2)),VALUE(MID(AD231,9,2))))),""))</x:f>
        <x:v>46225</x:v>
      </x:c>
      <x:c r="AN231" s="24" t="n">
        <x:f>IF(AM231="","",INT('Configuration'!$B$4)-AM231)</x:f>
        <x:v>26</x:v>
      </x:c>
      <x:c r="AO231" s="25" t="str">
        <x:f>IF(AM231="","Missing Required Date",IF(AN231&lt;0,"Future Date",IF(AN231=0,"0 days",IF(AN231&lt;=2,"1-2 days",IF(AN231&lt;=7,"3-7 days",IF(AN231&lt;=14,"8-14 days",IF(AN231&lt;=30,"15-30 days",IF(AN231&lt;=60,"31-60 days",IF(AN231&lt;=70,"61-70 days","71+ days")))))))))</x:f>
        <x:v>15-30 days</x:v>
      </x:c>
      <x:c r="AP231" s="25" t="str">
        <x:f>IF(OR(E231="processing",E231="executing",E231="pending"),IF(AM231="","Required aging date missing",IF(AN231&gt;30,"Escalate &gt;30d",IF(AN231&gt;14,"Watch &gt;14d","Within 14d"))),"Out of scope")</x:f>
        <x:v>Watch &gt;14d</x:v>
      </x:c>
    </x:row>
    <x:row r="232" ht="24" customHeight="1">
      <x:c r="A232" t="str">
        <x:v>60ee25a9-cc6b-4d99-90cf-4c4fffb0aa48</x:v>
      </x:c>
      <x:c r="B232" t="str">
        <x:v>CSSP10162770</x:v>
      </x:c>
      <x:c r="C232" t="str">
        <x:v>ahmadfirdaus.adnan@petronas.com</x:v>
      </x:c>
      <x:c r="D232" t="str">
        <x:v>provision-cloud-public</x:v>
      </x:c>
      <x:c r="E232" t="str">
        <x:v>pending</x:v>
      </x:c>
      <x:c r="F232" t="n">
        <x:v>46225.32844002315</x:v>
      </x:c>
      <x:c r="G232" t="n">
        <x:v>46225.32844002315</x:v>
      </x:c>
      <x:c r="H232" t="n">
        <x:v>46225.32844002315</x:v>
      </x:c>
      <x:c r="I232" t="str">
        <x:v>A-001386</x:v>
      </x:c>
      <x:c r="J232" t="str">
        <x:v>GSA Nozomi CMC and Guardian System</x:v>
      </x:c>
      <x:c r="K232" t="str">
        <x:v>PC-00092</x:v>
      </x:c>
      <x:c r="L232" t="str">
        <x:v>GSA Nozomi CMC and Guardian System</x:v>
      </x:c>
      <x:c r="M232" t="str">
        <x:v>hasmaniza.mjasni@petronas.com.my</x:v>
      </x:c>
      <x:c r="N232" t="str">
        <x:v>Cyber-Security</x:v>
      </x:c>
      <x:c r="O232" t="str">
        <x:v>New</x:v>
      </x:c>
      <x:c r="P232" t="str">
        <x:v>Production</x:v>
      </x:c>
      <x:c r="Q232" t="str">
        <x:v>to provision below resources for GSA Nozomi CMC and Guardian System into Petronas SOC
- dedicated RG for VMSS, Azure Monitor, Load Balancer &amp; Microsoft Sentinel</x:v>
      </x:c>
      <x:c r="R232"/>
      <x:c r="S232"/>
      <x:c r="T232"/>
      <x:c r="U232"/>
      <x:c r="V232"/>
      <x:c r="W232" t="str">
        <x:v>hasmaniza.mjasni@petronas.com</x:v>
      </x:c>
      <x:c r="X232"/>
      <x:c r="Y232"/>
      <x:c r="Z232"/>
      <x:c r="AA232" t="str">
        <x:v>CCoE SA</x:v>
      </x:c>
      <x:c r="AB232"/>
      <x:c r="AC232"/>
      <x:c r="AD232"/>
      <x:c r="AE232" t="str">
        <x:v>IMS - CLOUD CSSP REVIEWER</x:v>
      </x:c>
      <x:c r="AF232"/>
      <x:c r="AG232"/>
      <x:c r="AH232"/>
      <x:c r="AI232" t="str">
        <x:v>IMS - CLOUD CSSP EXECUTOR</x:v>
      </x:c>
      <x:c r="AJ232"/>
      <x:c r="AK232"/>
      <x:c r="AL232" t="str">
        <x:v>12aaeea2-09ae-4290-91dc-16e0b67b87c6</x:v>
      </x:c>
      <x:c r="AM232" s="23" t="str">
        <x:f>IF(E232="processing",IF(Z232="","",IF(ISNUMBER(Z232),INT(Z232),DATE(VALUE(LEFT(Z232,4)),VALUE(MID(Z232,6,2)),VALUE(MID(Z232,9,2))))),IF(OR(E232="executing",E232="pending"),IF(AD232="","",IF(ISNUMBER(AD232),INT(AD232),DATE(VALUE(LEFT(AD232,4)),VALUE(MID(AD232,6,2)),VALUE(MID(AD232,9,2))))),""))</x:f>
      </x:c>
      <x:c r="AN232" s="24" t="str">
        <x:f>IF(AM232="","",INT('Configuration'!$B$4)-AM232)</x:f>
      </x:c>
      <x:c r="AO232" s="25" t="str">
        <x:f>IF(AM232="","Missing Required Date",IF(AN232&lt;0,"Future Date",IF(AN232=0,"0 days",IF(AN232&lt;=2,"1-2 days",IF(AN232&lt;=7,"3-7 days",IF(AN232&lt;=14,"8-14 days",IF(AN232&lt;=30,"15-30 days",IF(AN232&lt;=60,"31-60 days",IF(AN232&lt;=70,"61-70 days","71+ days")))))))))</x:f>
        <x:v>Missing Required Date</x:v>
      </x:c>
      <x:c r="AP232" s="25" t="str">
        <x:f>IF(OR(E232="processing",E232="executing",E232="pending"),IF(AM232="","Required aging date missing",IF(AN232&gt;30,"Escalate &gt;30d",IF(AN232&gt;14,"Watch &gt;14d","Within 14d"))),"Out of scope")</x:f>
        <x:v>Required aging date missing</x:v>
      </x:c>
    </x:row>
    <x:row r="233" ht="24" customHeight="1">
      <x:c r="A233" t="str">
        <x:v>7be4e61e-bbc0-456f-a7c0-650f7cdc261c</x:v>
      </x:c>
      <x:c r="B233" t="str">
        <x:v>CSSP10567299</x:v>
      </x:c>
      <x:c r="C233" t="str">
        <x:v>kumaresan.chandran@petronas.com</x:v>
      </x:c>
      <x:c r="D233" t="str">
        <x:v>provision-cloud-public</x:v>
      </x:c>
      <x:c r="E233" t="str">
        <x:v>pending</x:v>
      </x:c>
      <x:c r="F233" t="n">
        <x:v>46226.06059244213</x:v>
      </x:c>
      <x:c r="G233" t="n">
        <x:v>46231.35033059028</x:v>
      </x:c>
      <x:c r="H233" t="n">
        <x:v>46231.35033059028</x:v>
      </x:c>
      <x:c r="I233" t="str">
        <x:v>A-001390</x:v>
      </x:c>
      <x:c r="J233" t="str">
        <x:v>SenseArco - CACS Inner Layer </x:v>
      </x:c>
      <x:c r="K233" t="str">
        <x:v>SR26848</x:v>
      </x:c>
      <x:c r="L233" t="str">
        <x:v>Tower 3 CACS Technology Refresh for GS</x:v>
      </x:c>
      <x:c r="M233" t="str">
        <x:v>sulaiman.tawil@petronas.com.my</x:v>
      </x:c>
      <x:c r="N233" t="str">
        <x:v>REAL - Implementation of Facial Recognition Server for PETRONAS</x:v>
      </x:c>
      <x:c r="O233" t="str">
        <x:v>New</x:v>
      </x:c>
      <x:c r="P233" t="str">
        <x:v>StagingUat</x:v>
      </x:c>
      <x:c r="Q233" t="str">
        <x:v>Staging for Inner Layer CACS 
HLD link - https://myea.petronas.com/HLD/HLDDetails?StatusId=2&amp;LandscapePlatformId=0&amp;IsInfrastructureRequiredInput=true&amp;HLDTypeId=1&amp;LandscapeTypeId=0&amp;HLDId=1893</x:v>
      </x:c>
      <x:c r="R233" t="str">
        <x:v>M</x:v>
      </x:c>
      <x:c r="S233"/>
      <x:c r="T233"/>
      <x:c r="U233"/>
      <x:c r="V233"/>
      <x:c r="W233" t="str">
        <x:v>sulaiman.tawil@petronas.com</x:v>
      </x:c>
      <x:c r="X233"/>
      <x:c r="Y233"/>
      <x:c r="Z233"/>
      <x:c r="AA233" t="str">
        <x:v>CCoE SA</x:v>
      </x:c>
      <x:c r="AB233"/>
      <x:c r="AC233"/>
      <x:c r="AD233"/>
      <x:c r="AE233" t="str">
        <x:v>IMS - CLOUD CSSP REVIEWER</x:v>
      </x:c>
      <x:c r="AF233"/>
      <x:c r="AG233"/>
      <x:c r="AH233"/>
      <x:c r="AI233" t="str">
        <x:v>IMS - CLOUD CSSP EXECUTOR</x:v>
      </x:c>
      <x:c r="AJ233"/>
      <x:c r="AK233"/>
      <x:c r="AL233" t="str">
        <x:v>2737c234-5256-4c02-88d4-55b6f40253d1</x:v>
      </x:c>
      <x:c r="AM233" s="23" t="str">
        <x:f>IF(E233="processing",IF(Z233="","",IF(ISNUMBER(Z233),INT(Z233),DATE(VALUE(LEFT(Z233,4)),VALUE(MID(Z233,6,2)),VALUE(MID(Z233,9,2))))),IF(OR(E233="executing",E233="pending"),IF(AD233="","",IF(ISNUMBER(AD233),INT(AD233),DATE(VALUE(LEFT(AD233,4)),VALUE(MID(AD233,6,2)),VALUE(MID(AD233,9,2))))),""))</x:f>
      </x:c>
      <x:c r="AN233" s="24" t="str">
        <x:f>IF(AM233="","",INT('Configuration'!$B$4)-AM233)</x:f>
      </x:c>
      <x:c r="AO233" s="25" t="str">
        <x:f>IF(AM233="","Missing Required Date",IF(AN233&lt;0,"Future Date",IF(AN233=0,"0 days",IF(AN233&lt;=2,"1-2 days",IF(AN233&lt;=7,"3-7 days",IF(AN233&lt;=14,"8-14 days",IF(AN233&lt;=30,"15-30 days",IF(AN233&lt;=60,"31-60 days",IF(AN233&lt;=70,"61-70 days","71+ days")))))))))</x:f>
        <x:v>Missing Required Date</x:v>
      </x:c>
      <x:c r="AP233" s="25" t="str">
        <x:f>IF(OR(E233="processing",E233="executing",E233="pending"),IF(AM233="","Required aging date missing",IF(AN233&gt;30,"Escalate &gt;30d",IF(AN233&gt;14,"Watch &gt;14d","Within 14d"))),"Out of scope")</x:f>
        <x:v>Required aging date missing</x:v>
      </x:c>
    </x:row>
    <x:row r="234" ht="24" customHeight="1">
      <x:c r="A234" t="str">
        <x:v>c6b218ea-62aa-4f03-8adf-b00dafd3dc09</x:v>
      </x:c>
      <x:c r="B234" t="str">
        <x:v>CSSP10697905</x:v>
      </x:c>
      <x:c r="C234" t="str">
        <x:v>hazlin.rahmat@petronas.com</x:v>
      </x:c>
      <x:c r="D234" t="str">
        <x:v>provision-cloud-public</x:v>
      </x:c>
      <x:c r="E234" t="str">
        <x:v>rejected</x:v>
      </x:c>
      <x:c r="F234" t="n">
        <x:v>46226.14383378472</x:v>
      </x:c>
      <x:c r="G234" t="n">
        <x:v>46226.15496121528</x:v>
      </x:c>
      <x:c r="H234" t="n">
        <x:v>46231.34883914352</x:v>
      </x:c>
      <x:c r="I234" t="str">
        <x:v>A-001269</x:v>
      </x:c>
      <x:c r="J234" t="str">
        <x:v>Copilot Studio PAYG</x:v>
      </x:c>
      <x:c r="K234" t="str">
        <x:v>PC-00082</x:v>
      </x:c>
      <x:c r="L234" t="str">
        <x:v>Enterprise AI Agent Program: 007 License to Transform</x:v>
      </x:c>
      <x:c r="M234" t="str">
        <x:v>mradzuan.abdrahim@petronas.com.my</x:v>
      </x:c>
      <x:c r="N234" t="str">
        <x:v>PLT</x:v>
      </x:c>
      <x:c r="O234" t="str">
        <x:v>New</x:v>
      </x:c>
      <x:c r="P234" t="str">
        <x:v>Production</x:v>
      </x:c>
      <x:c r="Q234" t="str">
        <x:v>Please attach this newly Azure resource group to the subscription: PTAZSG-PROD-COPILOT-ENVIRONMENT</x:v>
      </x:c>
      <x:c r="R234" t="str">
        <x:v>M</x:v>
      </x:c>
      <x:c r="S234"/>
      <x:c r="T234"/>
      <x:c r="U234" t="str">
        <x:v>Approved</x:v>
      </x:c>
      <x:c r="V234" t="n">
        <x:v>46226.25775939815</x:v>
      </x:c>
      <x:c r="W234" t="str">
        <x:v>mradzuan.abdrahim@petronas.com</x:v>
      </x:c>
      <x:c r="X234" t="str">
        <x:v>approved</x:v>
      </x:c>
      <x:c r="Y234" t="str">
        <x:v>To comply with the Cloud Service Request and Provisioning Guideline v4.0, kindly provide the approved memo/approved email from the Business Owner or Cost-Center Owner as supporting evidence.</x:v>
      </x:c>
      <x:c r="Z234" t="n">
        <x:v>46231.34883915509</x:v>
      </x:c>
      <x:c r="AA234" t="str">
        <x:v>samsuddin.jumbri@petronas.com</x:v>
      </x:c>
      <x:c r="AB234" t="str">
        <x:v>rejected</x:v>
      </x:c>
      <x:c r="AC234"/>
      <x:c r="AD234"/>
      <x:c r="AE234" t="str">
        <x:v>IMS - CLOUD CSSP REVIEWER</x:v>
      </x:c>
      <x:c r="AF234"/>
      <x:c r="AG234"/>
      <x:c r="AH234"/>
      <x:c r="AI234" t="str">
        <x:v>IMS - CLOUD CSSP EXECUTOR</x:v>
      </x:c>
      <x:c r="AJ234"/>
      <x:c r="AK234"/>
      <x:c r="AL234" t="str">
        <x:v>c2f76174-bf7c-4d5d-9fa5-47109be4c48d</x:v>
      </x:c>
      <x:c r="AM234" s="23" t="str">
        <x:f>IF(E234="processing",IF(Z234="","",IF(ISNUMBER(Z234),INT(Z234),DATE(VALUE(LEFT(Z234,4)),VALUE(MID(Z234,6,2)),VALUE(MID(Z234,9,2))))),IF(OR(E234="executing",E234="pending"),IF(AD234="","",IF(ISNUMBER(AD234),INT(AD234),DATE(VALUE(LEFT(AD234,4)),VALUE(MID(AD234,6,2)),VALUE(MID(AD234,9,2))))),""))</x:f>
      </x:c>
      <x:c r="AN234" s="24" t="str">
        <x:f>IF(AM234="","",INT('Configuration'!$B$4)-AM234)</x:f>
      </x:c>
      <x:c r="AO234" s="25" t="str">
        <x:f>IF(AM234="","Missing Required Date",IF(AN234&lt;0,"Future Date",IF(AN234=0,"0 days",IF(AN234&lt;=2,"1-2 days",IF(AN234&lt;=7,"3-7 days",IF(AN234&lt;=14,"8-14 days",IF(AN234&lt;=30,"15-30 days",IF(AN234&lt;=60,"31-60 days",IF(AN234&lt;=70,"61-70 days","71+ days")))))))))</x:f>
        <x:v>Missing Required Date</x:v>
      </x:c>
      <x:c r="AP234" s="25" t="str">
        <x:f>IF(OR(E234="processing",E234="executing",E234="pending"),IF(AM234="","Required aging date missing",IF(AN234&gt;30,"Escalate &gt;30d",IF(AN234&gt;14,"Watch &gt;14d","Within 14d"))),"Out of scope")</x:f>
        <x:v>Out of scope</x:v>
      </x:c>
    </x:row>
    <x:row r="235" ht="24" customHeight="1">
      <x:c r="A235" t="str">
        <x:v>1f8442a0-ced3-4d43-ad5b-882aa3032e8d</x:v>
      </x:c>
      <x:c r="B235" t="str">
        <x:v>CSSP10233187</x:v>
      </x:c>
      <x:c r="C235" t="str">
        <x:v>amirulzakuan.azmey@petronas.com</x:v>
      </x:c>
      <x:c r="D235" t="str">
        <x:v>provision-cloud-public</x:v>
      </x:c>
      <x:c r="E235" t="str">
        <x:v>executing</x:v>
      </x:c>
      <x:c r="F235" t="n">
        <x:v>46227.13684907407</x:v>
      </x:c>
      <x:c r="G235" t="n">
        <x:v>46227.13684907407</x:v>
      </x:c>
      <x:c r="H235" t="n">
        <x:v>46233.102639467594</x:v>
      </x:c>
      <x:c r="I235" t="str">
        <x:v>A-000064</x:v>
      </x:c>
      <x:c r="J235" t="str">
        <x:v>Zidane OVC</x:v>
      </x:c>
      <x:c r="K235" t="n">
        <x:v>4569</x:v>
      </x:c>
      <x:c r="L235" t="str">
        <x:v>Provision of Professional Service, Software License and Infra for ArBiTra (OVC &amp; LVC) 2025 for PTLCL</x:v>
      </x:c>
      <x:c r="M235" t="str">
        <x:v>yap.winhong@petronas.com.my</x:v>
      </x:c>
      <x:c r="N235" t="str">
        <x:v>Unified Platform - Trading Digital</x:v>
      </x:c>
      <x:c r="O235" t="str">
        <x:v>New</x:v>
      </x:c>
      <x:c r="P235" t="str">
        <x:v>Production</x:v>
      </x:c>
      <x:c r="Q235" t="str">
        <x:v>Cost: SR25077: ArBitra Software Licenses and Infra 2026 HLD: https://myea.petronas.com/HLD/HLDDetails?StatusId=2&amp;LandscapePlatformId=2&amp;IsInfrastructureRequiredInput=true&amp;HLDTypeId=2&amp;LandscapeTypeId=1&amp;HLDId=282</x:v>
      </x:c>
      <x:c r="R235" t="str">
        <x:v>L</x:v>
      </x:c>
      <x:c r="S235"/>
      <x:c r="T235"/>
      <x:c r="U235" t="str">
        <x:v>Approve</x:v>
      </x:c>
      <x:c r="V235" t="n">
        <x:v>46227.137818333336</x:v>
      </x:c>
      <x:c r="W235" t="str">
        <x:v>yap.winhong@petronas.com</x:v>
      </x:c>
      <x:c r="X235" t="str">
        <x:v>approved</x:v>
      </x:c>
      <x:c r="Y235" t="str">
        <x:v>Good to go</x:v>
      </x:c>
      <x:c r="Z235" t="n">
        <x:v>46231.33656607639</x:v>
      </x:c>
      <x:c r="AA235" t="str">
        <x:v>samsuddin.jumbri@petronas.com</x:v>
      </x:c>
      <x:c r="AB235" t="str">
        <x:v>approved</x:v>
      </x:c>
      <x:c r="AC235" t="str">
        <x:v>approve</x:v>
      </x:c>
      <x:c r="AD235" t="n">
        <x:v>46233.10263947917</x:v>
      </x:c>
      <x:c r="AE235" t="str">
        <x:v>abhishek.bhowate@petronas.com</x:v>
      </x:c>
      <x:c r="AF235" t="str">
        <x:v>approved</x:v>
      </x:c>
      <x:c r="AG235"/>
      <x:c r="AH235"/>
      <x:c r="AI235" t="str">
        <x:v>abhishek.bhowate@petronas.com</x:v>
      </x:c>
      <x:c r="AJ235"/>
      <x:c r="AK235" t="str">
        <x:v>REQ000008203403</x:v>
      </x:c>
      <x:c r="AL235" t="str">
        <x:v>866cd81d-011e-424b-b696-e232f59deeb1</x:v>
      </x:c>
      <x:c r="AM235" s="23" t="n">
        <x:f>IF(E235="processing",IF(Z235="","",IF(ISNUMBER(Z235),INT(Z235),DATE(VALUE(LEFT(Z235,4)),VALUE(MID(Z235,6,2)),VALUE(MID(Z235,9,2))))),IF(OR(E235="executing",E235="pending"),IF(AD235="","",IF(ISNUMBER(AD235),INT(AD235),DATE(VALUE(LEFT(AD235,4)),VALUE(MID(AD235,6,2)),VALUE(MID(AD235,9,2))))),""))</x:f>
        <x:v>46233</x:v>
      </x:c>
      <x:c r="AN235" s="24" t="n">
        <x:f>IF(AM235="","",INT('Configuration'!$B$4)-AM235)</x:f>
        <x:v>18</x:v>
      </x:c>
      <x:c r="AO235" s="25" t="str">
        <x:f>IF(AM235="","Missing Required Date",IF(AN235&lt;0,"Future Date",IF(AN235=0,"0 days",IF(AN235&lt;=2,"1-2 days",IF(AN235&lt;=7,"3-7 days",IF(AN235&lt;=14,"8-14 days",IF(AN235&lt;=30,"15-30 days",IF(AN235&lt;=60,"31-60 days",IF(AN235&lt;=70,"61-70 days","71+ days")))))))))</x:f>
        <x:v>15-30 days</x:v>
      </x:c>
      <x:c r="AP235" s="25" t="str">
        <x:f>IF(OR(E235="processing",E235="executing",E235="pending"),IF(AM235="","Required aging date missing",IF(AN235&gt;30,"Escalate &gt;30d",IF(AN235&gt;14,"Watch &gt;14d","Within 14d"))),"Out of scope")</x:f>
        <x:v>Watch &gt;14d</x:v>
      </x:c>
    </x:row>
    <x:row r="236" ht="24" customHeight="1">
      <x:c r="A236" t="str">
        <x:v>40bdc468-07ca-441f-a388-da52b33b580a</x:v>
      </x:c>
      <x:c r="B236" t="str">
        <x:v>CSSP10245235</x:v>
      </x:c>
      <x:c r="C236" t="str">
        <x:v>mibrahim.sulaima@petronas.com</x:v>
      </x:c>
      <x:c r="D236" t="str">
        <x:v>provision-cloud-public</x:v>
      </x:c>
      <x:c r="E236" t="str">
        <x:v>executing</x:v>
      </x:c>
      <x:c r="F236" t="n">
        <x:v>46227.353034155094</x:v>
      </x:c>
      <x:c r="G236" t="n">
        <x:v>46227.353034155094</x:v>
      </x:c>
      <x:c r="H236" t="n">
        <x:v>46233.10234542824</x:v>
      </x:c>
      <x:c r="I236" t="str">
        <x:v>A-000303</x:v>
      </x:c>
      <x:c r="J236" t="str">
        <x:v>Enhancement of Enhanced Resource Monetization by Artificial Intelligence - ERMAI Phase 3 for Malaysia Petroleum Management - MPM</x:v>
      </x:c>
      <x:c r="K236" t="n">
        <x:v>100</x:v>
      </x:c>
      <x:c r="L236" t="str">
        <x:v>Enhancement of Enhanced Resource Monetization by Artificial Intelligence (ERMAI) Phase 4 </x:v>
      </x:c>
      <x:c r="M236" t="str">
        <x:v>limeng.tan@petronas.com.my</x:v>
      </x:c>
      <x:c r="N236" t="str">
        <x:v>ERMAI</x:v>
      </x:c>
      <x:c r="O236" t="str">
        <x:v>New</x:v>
      </x:c>
      <x:c r="P236" t="str">
        <x:v>StagingUat</x:v>
      </x:c>
      <x:c r="Q236" t="str">
        <x:v>This request is to provision Azure API management &amp; App Service to host Rapid scale up module for ERMAI phase 4. Both APIM and App Service will have their own Private End Point to secure access inbound. For outbound access, please use existing VNet for staging environment. Please allow security group ERMAIDevTeam to access the resources/services.</x:v>
      </x:c>
      <x:c r="R236" t="str">
        <x:v>M</x:v>
      </x:c>
      <x:c r="S236"/>
      <x:c r="T236"/>
      <x:c r="U236" t="str">
        <x:v>Approved as required for RSU</x:v>
      </x:c>
      <x:c r="V236" t="n">
        <x:v>46227.35843302083</x:v>
      </x:c>
      <x:c r="W236" t="str">
        <x:v>limeng.tan@petronas.com</x:v>
      </x:c>
      <x:c r="X236" t="str">
        <x:v>approved</x:v>
      </x:c>
      <x:c r="Y236" t="str">
        <x:v>Good to go</x:v>
      </x:c>
      <x:c r="Z236" t="n">
        <x:v>46231.327960347226</x:v>
      </x:c>
      <x:c r="AA236" t="str">
        <x:v>samsuddin.jumbri@petronas.com</x:v>
      </x:c>
      <x:c r="AB236" t="str">
        <x:v>approved</x:v>
      </x:c>
      <x:c r="AC236" t="str">
        <x:v>approve</x:v>
      </x:c>
      <x:c r="AD236" t="n">
        <x:v>46233.10234543982</x:v>
      </x:c>
      <x:c r="AE236" t="str">
        <x:v>abhishek.bhowate@petronas.com</x:v>
      </x:c>
      <x:c r="AF236" t="str">
        <x:v>approved</x:v>
      </x:c>
      <x:c r="AG236"/>
      <x:c r="AH236"/>
      <x:c r="AI236" t="str">
        <x:v>K.saktivelu@petronas.com</x:v>
      </x:c>
      <x:c r="AJ236"/>
      <x:c r="AK236" t="str">
        <x:v>REQ000008203402</x:v>
      </x:c>
      <x:c r="AL236" t="str">
        <x:v>5863a8c2-1f97-4aab-9158-0ada19ce8b61</x:v>
      </x:c>
      <x:c r="AM236" s="23" t="n">
        <x:f>IF(E236="processing",IF(Z236="","",IF(ISNUMBER(Z236),INT(Z236),DATE(VALUE(LEFT(Z236,4)),VALUE(MID(Z236,6,2)),VALUE(MID(Z236,9,2))))),IF(OR(E236="executing",E236="pending"),IF(AD236="","",IF(ISNUMBER(AD236),INT(AD236),DATE(VALUE(LEFT(AD236,4)),VALUE(MID(AD236,6,2)),VALUE(MID(AD236,9,2))))),""))</x:f>
        <x:v>46233</x:v>
      </x:c>
      <x:c r="AN236" s="24" t="n">
        <x:f>IF(AM236="","",INT('Configuration'!$B$4)-AM236)</x:f>
        <x:v>18</x:v>
      </x:c>
      <x:c r="AO236" s="25" t="str">
        <x:f>IF(AM236="","Missing Required Date",IF(AN236&lt;0,"Future Date",IF(AN236=0,"0 days",IF(AN236&lt;=2,"1-2 days",IF(AN236&lt;=7,"3-7 days",IF(AN236&lt;=14,"8-14 days",IF(AN236&lt;=30,"15-30 days",IF(AN236&lt;=60,"31-60 days",IF(AN236&lt;=70,"61-70 days","71+ days")))))))))</x:f>
        <x:v>15-30 days</x:v>
      </x:c>
      <x:c r="AP236" s="25" t="str">
        <x:f>IF(OR(E236="processing",E236="executing",E236="pending"),IF(AM236="","Required aging date missing",IF(AN236&gt;30,"Escalate &gt;30d",IF(AN236&gt;14,"Watch &gt;14d","Within 14d"))),"Out of scope")</x:f>
        <x:v>Watch &gt;14d</x:v>
      </x:c>
    </x:row>
    <x:row r="237" ht="24" customHeight="1">
      <x:c r="A237" t="str">
        <x:v>c6f76a57-d97b-474b-b446-01c65381b1b3</x:v>
      </x:c>
      <x:c r="B237" t="str">
        <x:v>CSSP10865009</x:v>
      </x:c>
      <x:c r="C237" t="str">
        <x:v>mibrahim.sulaima@petronas.com</x:v>
      </x:c>
      <x:c r="D237" t="str">
        <x:v>provision-cloud-public</x:v>
      </x:c>
      <x:c r="E237" t="str">
        <x:v>executing</x:v>
      </x:c>
      <x:c r="F237" t="n">
        <x:v>46227.355753564814</x:v>
      </x:c>
      <x:c r="G237" t="n">
        <x:v>46227.355753564814</x:v>
      </x:c>
      <x:c r="H237" t="n">
        <x:v>46233.10205086805</x:v>
      </x:c>
      <x:c r="I237" t="str">
        <x:v>A-000303</x:v>
      </x:c>
      <x:c r="J237" t="str">
        <x:v>Enhancement of Enhanced Resource Monetization by Artificial Intelligence - ERMAI Phase 3 for Malaysia Petroleum Management - MPM</x:v>
      </x:c>
      <x:c r="K237" t="n">
        <x:v>100</x:v>
      </x:c>
      <x:c r="L237" t="str">
        <x:v>Enhancement of Enhanced Resource Monetization by Artificial Intelligence (ERMAI) Phase 4 </x:v>
      </x:c>
      <x:c r="M237" t="str">
        <x:v>limeng.tan@petronas.com.my</x:v>
      </x:c>
      <x:c r="N237" t="str">
        <x:v>ERMAI</x:v>
      </x:c>
      <x:c r="O237" t="str">
        <x:v>New</x:v>
      </x:c>
      <x:c r="P237" t="str">
        <x:v>Production</x:v>
      </x:c>
      <x:c r="Q237" t="str">
        <x:v>This request is to provision Azure API management &amp; App Service to host Rapid scale up module for ERMAI phase 4. Both APIM and App Service will have their own Private End Point to secure access inbound. For outbound access, please use existing VNet for production environment. Please allow security group ERMAIDevTeam to access the resources/services.</x:v>
      </x:c>
      <x:c r="R237" t="str">
        <x:v>M</x:v>
      </x:c>
      <x:c r="S237"/>
      <x:c r="T237"/>
      <x:c r="U237" t="str">
        <x:v>Approved as required for completion of RSU</x:v>
      </x:c>
      <x:c r="V237" t="n">
        <x:v>46227.35889</x:v>
      </x:c>
      <x:c r="W237" t="str">
        <x:v>limeng.tan@petronas.com</x:v>
      </x:c>
      <x:c r="X237" t="str">
        <x:v>approved</x:v>
      </x:c>
      <x:c r="Y237" t="str">
        <x:v>Good to go</x:v>
      </x:c>
      <x:c r="Z237" t="n">
        <x:v>46231.32361103009</x:v>
      </x:c>
      <x:c r="AA237" t="str">
        <x:v>samsuddin.jumbri@petronas.com</x:v>
      </x:c>
      <x:c r="AB237" t="str">
        <x:v>approved</x:v>
      </x:c>
      <x:c r="AC237" t="str">
        <x:v>approve</x:v>
      </x:c>
      <x:c r="AD237" t="n">
        <x:v>46233.10205087963</x:v>
      </x:c>
      <x:c r="AE237" t="str">
        <x:v>abhishek.bhowate@petronas.com</x:v>
      </x:c>
      <x:c r="AF237" t="str">
        <x:v>approved</x:v>
      </x:c>
      <x:c r="AG237"/>
      <x:c r="AH237"/>
      <x:c r="AI237" t="str">
        <x:v>K.saktivelu@petronas.com</x:v>
      </x:c>
      <x:c r="AJ237"/>
      <x:c r="AK237" t="str">
        <x:v>REQ000008203401</x:v>
      </x:c>
      <x:c r="AL237" t="str">
        <x:v>5863a8c2-1f97-4aab-9158-0ada19ce8b61</x:v>
      </x:c>
      <x:c r="AM237" s="23" t="n">
        <x:f>IF(E237="processing",IF(Z237="","",IF(ISNUMBER(Z237),INT(Z237),DATE(VALUE(LEFT(Z237,4)),VALUE(MID(Z237,6,2)),VALUE(MID(Z237,9,2))))),IF(OR(E237="executing",E237="pending"),IF(AD237="","",IF(ISNUMBER(AD237),INT(AD237),DATE(VALUE(LEFT(AD237,4)),VALUE(MID(AD237,6,2)),VALUE(MID(AD237,9,2))))),""))</x:f>
        <x:v>46233</x:v>
      </x:c>
      <x:c r="AN237" s="24" t="n">
        <x:f>IF(AM237="","",INT('Configuration'!$B$4)-AM237)</x:f>
        <x:v>18</x:v>
      </x:c>
      <x:c r="AO237" s="25" t="str">
        <x:f>IF(AM237="","Missing Required Date",IF(AN237&lt;0,"Future Date",IF(AN237=0,"0 days",IF(AN237&lt;=2,"1-2 days",IF(AN237&lt;=7,"3-7 days",IF(AN237&lt;=14,"8-14 days",IF(AN237&lt;=30,"15-30 days",IF(AN237&lt;=60,"31-60 days",IF(AN237&lt;=70,"61-70 days","71+ days")))))))))</x:f>
        <x:v>15-30 days</x:v>
      </x:c>
      <x:c r="AP237" s="25" t="str">
        <x:f>IF(OR(E237="processing",E237="executing",E237="pending"),IF(AM237="","Required aging date missing",IF(AN237&gt;30,"Escalate &gt;30d",IF(AN237&gt;14,"Watch &gt;14d","Within 14d"))),"Out of scope")</x:f>
        <x:v>Watch &gt;14d</x:v>
      </x:c>
    </x:row>
    <x:row r="238" ht="24" customHeight="1">
      <x:c r="A238" t="str">
        <x:v>293fafd6-7465-4a5f-9c4e-d9c28fc446d6</x:v>
      </x:c>
      <x:c r="B238" t="str">
        <x:v>CSSP10990776</x:v>
      </x:c>
      <x:c r="C238" t="str">
        <x:v>mhaslan.abuhassan@petronas.com</x:v>
      </x:c>
      <x:c r="D238" t="str">
        <x:v>provision-cloud-public</x:v>
      </x:c>
      <x:c r="E238" t="str">
        <x:v>completed</x:v>
      </x:c>
      <x:c r="F238" t="n">
        <x:v>46231.1506853588</x:v>
      </x:c>
      <x:c r="G238" t="n">
        <x:v>46231.1506853588</x:v>
      </x:c>
      <x:c r="H238" t="n">
        <x:v>46232.18898341435</x:v>
      </x:c>
      <x:c r="I238" t="str">
        <x:v>A-001391</x:v>
      </x:c>
      <x:c r="J238" t="str">
        <x:v>Cyber Security MDASH Security Exposure Management</x:v>
      </x:c>
      <x:c r="K238" t="str">
        <x:v>PC-00093</x:v>
      </x:c>
      <x:c r="L238" t="str">
        <x:v>MDash Implementation</x:v>
      </x:c>
      <x:c r="M238" t="str">
        <x:v>ahmedjamal.khan@petronas.com</x:v>
      </x:c>
      <x:c r="N238" t="str">
        <x:v>MDash_Implementation</x:v>
      </x:c>
      <x:c r="O238" t="str">
        <x:v>New</x:v>
      </x:c>
      <x:c r="P238" t="str">
        <x:v>SandboxPocIsolated</x:v>
      </x:c>
      <x:c r="Q238" t="str">
        <x:v>MDASH POC deployment</x:v>
      </x:c>
      <x:c r="R238" t="str">
        <x:v>S</x:v>
      </x:c>
      <x:c r="S238"/>
      <x:c r="T238"/>
      <x:c r="U238" t="str">
        <x:v>Approved</x:v>
      </x:c>
      <x:c r="V238" t="n">
        <x:v>46231.15728724537</x:v>
      </x:c>
      <x:c r="W238" t="str">
        <x:v>ahmedjamal.khan@petronas.com</x:v>
      </x:c>
      <x:c r="X238" t="str">
        <x:v>approved</x:v>
      </x:c>
      <x:c r="Y238" t="str">
        <x:v>To proceed</x:v>
      </x:c>
      <x:c r="Z238" t="n">
        <x:v>46231.158680347224</x:v>
      </x:c>
      <x:c r="AA238" t="str">
        <x:v>fathulrahman.misba@petronas.com</x:v>
      </x:c>
      <x:c r="AB238" t="str">
        <x:v>approved</x:v>
      </x:c>
      <x:c r="AC238" t="str">
        <x:v>Approved</x:v>
      </x:c>
      <x:c r="AD238" t="n">
        <x:v>46231.18136125</x:v>
      </x:c>
      <x:c r="AE238" t="str">
        <x:v>abhishek.bhowate@petronas.com</x:v>
      </x:c>
      <x:c r="AF238" t="str">
        <x:v>approved</x:v>
      </x:c>
      <x:c r="AG238" t="str">
        <x:v>As Discussed with M Haslan Abu Hassan (IS/DIGITAL), he will proceed with the deployment for this request, hence closing the request. 
</x:v>
      </x:c>
      <x:c r="AH238" t="n">
        <x:v>46232.18898342593</x:v>
      </x:c>
      <x:c r="AI238" t="str">
        <x:v>amarja.kawade@petronas.com</x:v>
      </x:c>
      <x:c r="AJ238" t="str">
        <x:v>approved</x:v>
      </x:c>
      <x:c r="AK238" t="str">
        <x:v>REQ000008198538</x:v>
      </x:c>
      <x:c r="AL238" t="str">
        <x:v>434595d8-a399-427d-ab35-d2864d6fa25a</x:v>
      </x:c>
      <x:c r="AM238" s="23" t="str">
        <x:f>IF(E238="processing",IF(Z238="","",IF(ISNUMBER(Z238),INT(Z238),DATE(VALUE(LEFT(Z238,4)),VALUE(MID(Z238,6,2)),VALUE(MID(Z238,9,2))))),IF(OR(E238="executing",E238="pending"),IF(AD238="","",IF(ISNUMBER(AD238),INT(AD238),DATE(VALUE(LEFT(AD238,4)),VALUE(MID(AD238,6,2)),VALUE(MID(AD238,9,2))))),""))</x:f>
      </x:c>
      <x:c r="AN238" s="24" t="str">
        <x:f>IF(AM238="","",INT('Configuration'!$B$4)-AM238)</x:f>
      </x:c>
      <x:c r="AO238" s="25" t="str">
        <x:f>IF(AM238="","Missing Required Date",IF(AN238&lt;0,"Future Date",IF(AN238=0,"0 days",IF(AN238&lt;=2,"1-2 days",IF(AN238&lt;=7,"3-7 days",IF(AN238&lt;=14,"8-14 days",IF(AN238&lt;=30,"15-30 days",IF(AN238&lt;=60,"31-60 days",IF(AN238&lt;=70,"61-70 days","71+ days")))))))))</x:f>
        <x:v>Missing Required Date</x:v>
      </x:c>
      <x:c r="AP238" s="25" t="str">
        <x:f>IF(OR(E238="processing",E238="executing",E238="pending"),IF(AM238="","Required aging date missing",IF(AN238&gt;30,"Escalate &gt;30d",IF(AN238&gt;14,"Watch &gt;14d","Within 14d"))),"Out of scope")</x:f>
        <x:v>Out of scope</x:v>
      </x:c>
    </x:row>
    <x:row r="239" ht="24" customHeight="1">
      <x:c r="A239" t="str">
        <x:v>b4b92a67-3619-4867-a01b-61ac70e565e0</x:v>
      </x:c>
      <x:c r="B239" t="str">
        <x:v>CSSP10530003</x:v>
      </x:c>
      <x:c r="C239" t="str">
        <x:v>faiz.khairuddin@petronas.com</x:v>
      </x:c>
      <x:c r="D239" t="str">
        <x:v>provision-cloud-public</x:v>
      </x:c>
      <x:c r="E239" t="str">
        <x:v>executing</x:v>
      </x:c>
      <x:c r="F239" t="n">
        <x:v>46231.39152858796</x:v>
      </x:c>
      <x:c r="G239" t="n">
        <x:v>46231.39152858796</x:v>
      </x:c>
      <x:c r="H239" t="n">
        <x:v>46233.10129234954</x:v>
      </x:c>
      <x:c r="I239" t="str">
        <x:v>A-000198</x:v>
      </x:c>
      <x:c r="J239" t="str">
        <x:v>Data Centre Automation - DCA</x:v>
      </x:c>
      <x:c r="K239" t="str">
        <x:v>PC-00050</x:v>
      </x:c>
      <x:c r="L239" t="str">
        <x:v>DCA v2 Implementation at Cloud</x:v>
      </x:c>
      <x:c r="M239" t="str">
        <x:v>vivek.yadav@petronas.com</x:v>
      </x:c>
      <x:c r="N239" t="str">
        <x:v>Data Centre Automation - DCA</x:v>
      </x:c>
      <x:c r="O239" t="str">
        <x:v>New</x:v>
      </x:c>
      <x:c r="P239" t="str">
        <x:v>Production</x:v>
      </x:c>
      <x:c r="Q239" t="str">
        <x:v>DCA new resources at Malaysia (Repat)</x:v>
      </x:c>
      <x:c r="R239" t="str">
        <x:v>M</x:v>
      </x:c>
      <x:c r="S239"/>
      <x:c r="T239"/>
      <x:c r="U239" t="str">
        <x:v>Proceed with infra provisioning in Malaysia region.</x:v>
      </x:c>
      <x:c r="V239" t="n">
        <x:v>46231.40433111111</x:v>
      </x:c>
      <x:c r="W239" t="str">
        <x:v>vivek.yadav@petronas.com</x:v>
      </x:c>
      <x:c r="X239" t="str">
        <x:v>approved</x:v>
      </x:c>
      <x:c r="Y239" t="str">
        <x:v>To proceed with the provisioning for repat and confirm with requestor.</x:v>
      </x:c>
      <x:c r="Z239" t="n">
        <x:v>46232.09807042824</x:v>
      </x:c>
      <x:c r="AA239" t="str">
        <x:v>fathulrahman.misba@petronas.com</x:v>
      </x:c>
      <x:c r="AB239" t="str">
        <x:v>approved</x:v>
      </x:c>
      <x:c r="AC239" t="str">
        <x:v>Approve</x:v>
      </x:c>
      <x:c r="AD239" t="n">
        <x:v>46233.10129236111</x:v>
      </x:c>
      <x:c r="AE239" t="str">
        <x:v>abhishek.bhowate@petronas.com</x:v>
      </x:c>
      <x:c r="AF239" t="str">
        <x:v>approved</x:v>
      </x:c>
      <x:c r="AG239"/>
      <x:c r="AH239"/>
      <x:c r="AI239" t="str">
        <x:v>abhishek.bhowate@petronas.com</x:v>
      </x:c>
      <x:c r="AJ239"/>
      <x:c r="AK239" t="str">
        <x:v>REQ000008203309</x:v>
      </x:c>
      <x:c r="AL239" t="str">
        <x:v>c7339977-1f3d-45c7-a188-5496081d7513</x:v>
      </x:c>
      <x:c r="AM239" s="23" t="n">
        <x:f>IF(E239="processing",IF(Z239="","",IF(ISNUMBER(Z239),INT(Z239),DATE(VALUE(LEFT(Z239,4)),VALUE(MID(Z239,6,2)),VALUE(MID(Z239,9,2))))),IF(OR(E239="executing",E239="pending"),IF(AD239="","",IF(ISNUMBER(AD239),INT(AD239),DATE(VALUE(LEFT(AD239,4)),VALUE(MID(AD239,6,2)),VALUE(MID(AD239,9,2))))),""))</x:f>
        <x:v>46233</x:v>
      </x:c>
      <x:c r="AN239" s="24" t="n">
        <x:f>IF(AM239="","",INT('Configuration'!$B$4)-AM239)</x:f>
        <x:v>18</x:v>
      </x:c>
      <x:c r="AO239" s="25" t="str">
        <x:f>IF(AM239="","Missing Required Date",IF(AN239&lt;0,"Future Date",IF(AN239=0,"0 days",IF(AN239&lt;=2,"1-2 days",IF(AN239&lt;=7,"3-7 days",IF(AN239&lt;=14,"8-14 days",IF(AN239&lt;=30,"15-30 days",IF(AN239&lt;=60,"31-60 days",IF(AN239&lt;=70,"61-70 days","71+ days")))))))))</x:f>
        <x:v>15-30 days</x:v>
      </x:c>
      <x:c r="AP239" s="25" t="str">
        <x:f>IF(OR(E239="processing",E239="executing",E239="pending"),IF(AM239="","Required aging date missing",IF(AN239&gt;30,"Escalate &gt;30d",IF(AN239&gt;14,"Watch &gt;14d","Within 14d"))),"Out of scope")</x:f>
        <x:v>Watch &gt;14d</x:v>
      </x:c>
    </x:row>
    <x:row r="240" ht="24" customHeight="1">
      <x:c r="A240" t="str">
        <x:v>fd156c81-7a2a-4a42-b7cd-bf5867e8cc62</x:v>
      </x:c>
      <x:c r="B240" t="str">
        <x:v>CSSP10635363</x:v>
      </x:c>
      <x:c r="C240" t="str">
        <x:v>faiz.khairuddin@petronas.com</x:v>
      </x:c>
      <x:c r="D240" t="str">
        <x:v>provision-cloud-public</x:v>
      </x:c>
      <x:c r="E240" t="str">
        <x:v>executing</x:v>
      </x:c>
      <x:c r="F240" t="n">
        <x:v>46231.39786943287</x:v>
      </x:c>
      <x:c r="G240" t="n">
        <x:v>46231.39786943287</x:v>
      </x:c>
      <x:c r="H240" t="n">
        <x:v>46233.09974637732</x:v>
      </x:c>
      <x:c r="I240" t="str">
        <x:v>A-000587</x:v>
      </x:c>
      <x:c r="J240" t="str">
        <x:v>Plant Information - PI PCMTBE</x:v>
      </x:c>
      <x:c r="K240" t="n">
        <x:v>3940</x:v>
      </x:c>
      <x:c r="L240" t="str">
        <x:v>Plant Information - PI PCMTBE created for AWS KVDC migration project</x:v>
      </x:c>
      <x:c r="M240" t="str">
        <x:v>vivek.yadav@petronas.com</x:v>
      </x:c>
      <x:c r="N240" t="str">
        <x:v>Plant Information PI Initiative</x:v>
      </x:c>
      <x:c r="O240" t="str">
        <x:v>Repat</x:v>
      </x:c>
      <x:c r="P240" t="str">
        <x:v>Production</x:v>
      </x:c>
      <x:c r="Q240" t="str">
        <x:v>AWS resources that will be carry from KVDC</x:v>
      </x:c>
      <x:c r="R240" t="str">
        <x:v>M</x:v>
      </x:c>
      <x:c r="S240"/>
      <x:c r="T240"/>
      <x:c r="U240" t="str">
        <x:v>[System] Stage pre-approved for Cloud Repatriation project</x:v>
      </x:c>
      <x:c r="V240" t="n">
        <x:v>46231.39786943287</x:v>
      </x:c>
      <x:c r="W240" t="str">
        <x:v>vivek.yadav@petronas.com</x:v>
      </x:c>
      <x:c r="X240" t="str">
        <x:v>approved</x:v>
      </x:c>
      <x:c r="Y240" t="str">
        <x:v>[System] Stage pre-approved for Cloud Repatriation project</x:v>
      </x:c>
      <x:c r="Z240" t="n">
        <x:v>46231.39786943287</x:v>
      </x:c>
      <x:c r="AA240" t="str">
        <x:v>CCoE Demand</x:v>
      </x:c>
      <x:c r="AB240" t="str">
        <x:v>approved</x:v>
      </x:c>
      <x:c r="AC240" t="str">
        <x:v>approve</x:v>
      </x:c>
      <x:c r="AD240" t="n">
        <x:v>46233.09974638889</x:v>
      </x:c>
      <x:c r="AE240" t="str">
        <x:v>abhishek.bhowate@petronas.com</x:v>
      </x:c>
      <x:c r="AF240" t="str">
        <x:v>approved</x:v>
      </x:c>
      <x:c r="AG240"/>
      <x:c r="AH240"/>
      <x:c r="AI240" t="str">
        <x:v>amarja.kawade@petronas.com</x:v>
      </x:c>
      <x:c r="AJ240"/>
      <x:c r="AK240" t="str">
        <x:v>REQ000008203305</x:v>
      </x:c>
      <x:c r="AL240" t="str">
        <x:v>9bf3695d-29d7-48d3-ac48-229e6dbc88b3</x:v>
      </x:c>
      <x:c r="AM240" s="23" t="n">
        <x:f>IF(E240="processing",IF(Z240="","",IF(ISNUMBER(Z240),INT(Z240),DATE(VALUE(LEFT(Z240,4)),VALUE(MID(Z240,6,2)),VALUE(MID(Z240,9,2))))),IF(OR(E240="executing",E240="pending"),IF(AD240="","",IF(ISNUMBER(AD240),INT(AD240),DATE(VALUE(LEFT(AD240,4)),VALUE(MID(AD240,6,2)),VALUE(MID(AD240,9,2))))),""))</x:f>
        <x:v>46233</x:v>
      </x:c>
      <x:c r="AN240" s="24" t="n">
        <x:f>IF(AM240="","",INT('Configuration'!$B$4)-AM240)</x:f>
        <x:v>18</x:v>
      </x:c>
      <x:c r="AO240" s="25" t="str">
        <x:f>IF(AM240="","Missing Required Date",IF(AN240&lt;0,"Future Date",IF(AN240=0,"0 days",IF(AN240&lt;=2,"1-2 days",IF(AN240&lt;=7,"3-7 days",IF(AN240&lt;=14,"8-14 days",IF(AN240&lt;=30,"15-30 days",IF(AN240&lt;=60,"31-60 days",IF(AN240&lt;=70,"61-70 days","71+ days")))))))))</x:f>
        <x:v>15-30 days</x:v>
      </x:c>
      <x:c r="AP240" s="25" t="str">
        <x:f>IF(OR(E240="processing",E240="executing",E240="pending"),IF(AM240="","Required aging date missing",IF(AN240&gt;30,"Escalate &gt;30d",IF(AN240&gt;14,"Watch &gt;14d","Within 14d"))),"Out of scope")</x:f>
        <x:v>Watch &gt;14d</x:v>
      </x:c>
    </x:row>
    <x:row r="241" ht="24" customHeight="1">
      <x:c r="A241" t="str">
        <x:v>682922ab-c9d8-4d11-8419-75e780aefc23</x:v>
      </x:c>
      <x:c r="B241" t="str">
        <x:v>CSSP10432260</x:v>
      </x:c>
      <x:c r="C241" t="str">
        <x:v>ainasyakirah.jamil@petronas.com</x:v>
      </x:c>
      <x:c r="D241" t="str">
        <x:v>provision-cloud-public</x:v>
      </x:c>
      <x:c r="E241" t="str">
        <x:v>rejected</x:v>
      </x:c>
      <x:c r="F241" t="n">
        <x:v>46232.09775111111</x:v>
      </x:c>
      <x:c r="G241" t="n">
        <x:v>46232.09775111111</x:v>
      </x:c>
      <x:c r="H241" t="n">
        <x:v>46240.07901934028</x:v>
      </x:c>
      <x:c r="I241" t="str">
        <x:v>A-001388</x:v>
      </x:c>
      <x:c r="J241" t="str">
        <x:v>Operational Excellence Incident​ Management - OEIM​</x:v>
      </x:c>
      <x:c r="K241" t="str">
        <x:v>SR26927</x:v>
      </x:c>
      <x:c r="L241" t="str">
        <x:v>Operational Excellence Incident​ Management (OEIM)</x:v>
      </x:c>
      <x:c r="M241" t="str">
        <x:v>aressany.bohari@petronas.com.my</x:v>
      </x:c>
      <x:c r="N241" t="str">
        <x:v>Operational Excellence Incident Management (OEIM)</x:v>
      </x:c>
      <x:c r="O241" t="str">
        <x:v>New</x:v>
      </x:c>
      <x:c r="P241" t="str">
        <x:v>Development</x:v>
      </x:c>
      <x:c r="Q241" t="str">
        <x:v>New Azure cloud provision for SR 26927 OEIM</x:v>
      </x:c>
      <x:c r="R241"/>
      <x:c r="S241"/>
      <x:c r="T241"/>
      <x:c r="U241" t="str">
        <x:v>cancelled as per requested by requestor</x:v>
      </x:c>
      <x:c r="V241" t="n">
        <x:v>46240.079019351855</x:v>
      </x:c>
      <x:c r="W241" t="str">
        <x:v>ismail.azman@petronas.com</x:v>
      </x:c>
      <x:c r="X241" t="str">
        <x:v>rejected</x:v>
      </x:c>
      <x:c r="Y241"/>
      <x:c r="Z241"/>
      <x:c r="AA241" t="str">
        <x:v>CCoE SA</x:v>
      </x:c>
      <x:c r="AB241"/>
      <x:c r="AC241"/>
      <x:c r="AD241"/>
      <x:c r="AE241" t="str">
        <x:v>IMS - CLOUD CSSP REVIEWER</x:v>
      </x:c>
      <x:c r="AF241"/>
      <x:c r="AG241"/>
      <x:c r="AH241"/>
      <x:c r="AI241" t="str">
        <x:v>IMS - CLOUD CSSP EXECUTOR</x:v>
      </x:c>
      <x:c r="AJ241"/>
      <x:c r="AK241"/>
      <x:c r="AL241" t="str">
        <x:v>a91e1e5c-5f8d-4d83-ad0d-b7ef787ec94e</x:v>
      </x:c>
      <x:c r="AM241" s="23" t="str">
        <x:f>IF(E241="processing",IF(Z241="","",IF(ISNUMBER(Z241),INT(Z241),DATE(VALUE(LEFT(Z241,4)),VALUE(MID(Z241,6,2)),VALUE(MID(Z241,9,2))))),IF(OR(E241="executing",E241="pending"),IF(AD241="","",IF(ISNUMBER(AD241),INT(AD241),DATE(VALUE(LEFT(AD241,4)),VALUE(MID(AD241,6,2)),VALUE(MID(AD241,9,2))))),""))</x:f>
      </x:c>
      <x:c r="AN241" s="24" t="str">
        <x:f>IF(AM241="","",INT('Configuration'!$B$4)-AM241)</x:f>
      </x:c>
      <x:c r="AO241" s="25" t="str">
        <x:f>IF(AM241="","Missing Required Date",IF(AN241&lt;0,"Future Date",IF(AN241=0,"0 days",IF(AN241&lt;=2,"1-2 days",IF(AN241&lt;=7,"3-7 days",IF(AN241&lt;=14,"8-14 days",IF(AN241&lt;=30,"15-30 days",IF(AN241&lt;=60,"31-60 days",IF(AN241&lt;=70,"61-70 days","71+ days")))))))))</x:f>
        <x:v>Missing Required Date</x:v>
      </x:c>
      <x:c r="AP241" s="25" t="str">
        <x:f>IF(OR(E241="processing",E241="executing",E241="pending"),IF(AM241="","Required aging date missing",IF(AN241&gt;30,"Escalate &gt;30d",IF(AN241&gt;14,"Watch &gt;14d","Within 14d"))),"Out of scope")</x:f>
        <x:v>Out of scope</x:v>
      </x:c>
    </x:row>
    <x:row r="242" ht="24" customHeight="1">
      <x:c r="A242" t="str">
        <x:v>7ad81e20-5df2-4449-8503-dfe7410aa3cd</x:v>
      </x:c>
      <x:c r="B242" t="str">
        <x:v>CSSP10848695</x:v>
      </x:c>
      <x:c r="C242" t="str">
        <x:v>kumaresan.chandran@petronas.com</x:v>
      </x:c>
      <x:c r="D242" t="str">
        <x:v>provision-cloud-public</x:v>
      </x:c>
      <x:c r="E242" t="str">
        <x:v>completed</x:v>
      </x:c>
      <x:c r="F242" t="n">
        <x:v>46232.140511805555</x:v>
      </x:c>
      <x:c r="G242" t="n">
        <x:v>46232.140511805555</x:v>
      </x:c>
      <x:c r="H242" t="n">
        <x:v>46242.14545480324</x:v>
      </x:c>
      <x:c r="I242" t="str">
        <x:v>A-001390</x:v>
      </x:c>
      <x:c r="J242" t="str">
        <x:v>SenseArco - CACS Inner Layer </x:v>
      </x:c>
      <x:c r="K242" t="str">
        <x:v>SR26848</x:v>
      </x:c>
      <x:c r="L242" t="str">
        <x:v>Tower 3 CACS Technology Refresh for GS</x:v>
      </x:c>
      <x:c r="M242" t="str">
        <x:v>sulaiman.tawil@petronas.com</x:v>
      </x:c>
      <x:c r="N242" t="str">
        <x:v>REAL - Implementation of Facial Recognition Server for PETRONAS</x:v>
      </x:c>
      <x:c r="O242" t="str">
        <x:v>New</x:v>
      </x:c>
      <x:c r="P242" t="str">
        <x:v>StagingUat</x:v>
      </x:c>
      <x:c r="Q242" t="str">
        <x:v>Staging for Inner Layer CACS 
HLD link - https://myea.petronas.com/HLD/HLDDetails?StatusId=2&amp;LandscapePlatformId=0&amp;IsInfrastructureRequiredInput=true&amp;HLDTypeId=1&amp;LandscapeTypeId=0&amp;HLDId=1893</x:v>
      </x:c>
      <x:c r="R242" t="str">
        <x:v>L</x:v>
      </x:c>
      <x:c r="S242"/>
      <x:c r="T242"/>
      <x:c r="U242" t="str">
        <x:v>Approve</x:v>
      </x:c>
      <x:c r="V242" t="n">
        <x:v>46232.1535737963</x:v>
      </x:c>
      <x:c r="W242" t="str">
        <x:v>sulaiman.tawil@petronas.com</x:v>
      </x:c>
      <x:c r="X242" t="str">
        <x:v>approved</x:v>
      </x:c>
      <x:c r="Y242" t="str">
        <x:v>Good to go</x:v>
      </x:c>
      <x:c r="Z242" t="n">
        <x:v>46232.28235234954</x:v>
      </x:c>
      <x:c r="AA242" t="str">
        <x:v>samsuddin.jumbri@petronas.com</x:v>
      </x:c>
      <x:c r="AB242" t="str">
        <x:v>approved</x:v>
      </x:c>
      <x:c r="AC242" t="str">
        <x:v>Approve</x:v>
      </x:c>
      <x:c r="AD242" t="n">
        <x:v>46232.322585104164</x:v>
      </x:c>
      <x:c r="AE242" t="str">
        <x:v>abhishek.bhowate@petronas.com</x:v>
      </x:c>
      <x:c r="AF242" t="str">
        <x:v>approved</x:v>
      </x:c>
      <x:c r="AG242" t="str">
        <x:v>Completed by rasaya</x:v>
      </x:c>
      <x:c r="AH242" t="n">
        <x:v>46242.14545480324</x:v>
      </x:c>
      <x:c r="AI242" t="str">
        <x:v>abdul.khoir@petronas.com</x:v>
      </x:c>
      <x:c r="AJ242" t="str">
        <x:v>approved</x:v>
      </x:c>
      <x:c r="AK242" t="str">
        <x:v>REQ000008201676</x:v>
      </x:c>
      <x:c r="AL242" t="str">
        <x:v>2737c234-5256-4c02-88d4-55b6f40253d1</x:v>
      </x:c>
      <x:c r="AM242" s="23" t="str">
        <x:f>IF(E242="processing",IF(Z242="","",IF(ISNUMBER(Z242),INT(Z242),DATE(VALUE(LEFT(Z242,4)),VALUE(MID(Z242,6,2)),VALUE(MID(Z242,9,2))))),IF(OR(E242="executing",E242="pending"),IF(AD242="","",IF(ISNUMBER(AD242),INT(AD242),DATE(VALUE(LEFT(AD242,4)),VALUE(MID(AD242,6,2)),VALUE(MID(AD242,9,2))))),""))</x:f>
      </x:c>
      <x:c r="AN242" s="24" t="str">
        <x:f>IF(AM242="","",INT('Configuration'!$B$4)-AM242)</x:f>
      </x:c>
      <x:c r="AO242" s="25" t="str">
        <x:f>IF(AM242="","Missing Required Date",IF(AN242&lt;0,"Future Date",IF(AN242=0,"0 days",IF(AN242&lt;=2,"1-2 days",IF(AN242&lt;=7,"3-7 days",IF(AN242&lt;=14,"8-14 days",IF(AN242&lt;=30,"15-30 days",IF(AN242&lt;=60,"31-60 days",IF(AN242&lt;=70,"61-70 days","71+ days")))))))))</x:f>
        <x:v>Missing Required Date</x:v>
      </x:c>
      <x:c r="AP242" s="25" t="str">
        <x:f>IF(OR(E242="processing",E242="executing",E242="pending"),IF(AM242="","Required aging date missing",IF(AN242&gt;30,"Escalate &gt;30d",IF(AN242&gt;14,"Watch &gt;14d","Within 14d"))),"Out of scope")</x:f>
        <x:v>Out of scope</x:v>
      </x:c>
    </x:row>
    <x:row r="243" ht="24" customHeight="1">
      <x:c r="A243" t="str">
        <x:v>7c58810c-339b-491f-8c68-cd4743b7d320</x:v>
      </x:c>
      <x:c r="B243" t="str">
        <x:v>CSSP10755207</x:v>
      </x:c>
      <x:c r="C243" t="str">
        <x:v>ainasyakirah.jamil@petronas.com</x:v>
      </x:c>
      <x:c r="D243" t="str">
        <x:v>provision-cloud-public</x:v>
      </x:c>
      <x:c r="E243" t="str">
        <x:v>executing</x:v>
      </x:c>
      <x:c r="F243" t="n">
        <x:v>46233.07481909722</x:v>
      </x:c>
      <x:c r="G243" t="n">
        <x:v>46233.07481909722</x:v>
      </x:c>
      <x:c r="H243" t="n">
        <x:v>46233.100357083335</x:v>
      </x:c>
      <x:c r="I243" t="str">
        <x:v>A-001388</x:v>
      </x:c>
      <x:c r="J243" t="str">
        <x:v>Operational Excellence Incident​ Management - OEIM​</x:v>
      </x:c>
      <x:c r="K243" t="str">
        <x:v>SR26927</x:v>
      </x:c>
      <x:c r="L243" t="str">
        <x:v>Operational Excellence Incident​ Management (OEIM)</x:v>
      </x:c>
      <x:c r="M243" t="str">
        <x:v>aressany.bohari@petronas.com</x:v>
      </x:c>
      <x:c r="N243" t="str">
        <x:v>Operational Excellence Incident Management (OEIM)</x:v>
      </x:c>
      <x:c r="O243" t="str">
        <x:v>New</x:v>
      </x:c>
      <x:c r="P243" t="str">
        <x:v>StagingUat</x:v>
      </x:c>
      <x:c r="Q243" t="str">
        <x:v>New Azure cloud provision for SR 26927 OEIM</x:v>
      </x:c>
      <x:c r="R243" t="str">
        <x:v>L</x:v>
      </x:c>
      <x:c r="S243"/>
      <x:c r="T243"/>
      <x:c r="U243" t="str">
        <x:v>Provisioning new Azure server as a part of project requirement under Service Request 26927 -  Operational Excellence Incident Management (OEIM)</x:v>
      </x:c>
      <x:c r="V243" t="n">
        <x:v>46233.07705885416</x:v>
      </x:c>
      <x:c r="W243" t="str">
        <x:v>aressany.bohari@petronas.com</x:v>
      </x:c>
      <x:c r="X243" t="str">
        <x:v>approved</x:v>
      </x:c>
      <x:c r="Y243" t="str">
        <x:v>Good to go</x:v>
      </x:c>
      <x:c r="Z243" t="n">
        <x:v>46233.09080017361</x:v>
      </x:c>
      <x:c r="AA243" t="str">
        <x:v>samsuddin.jumbri@petronas.com</x:v>
      </x:c>
      <x:c r="AB243" t="str">
        <x:v>approved</x:v>
      </x:c>
      <x:c r="AC243" t="str">
        <x:v>Approve</x:v>
      </x:c>
      <x:c r="AD243" t="n">
        <x:v>46233.10035709491</x:v>
      </x:c>
      <x:c r="AE243" t="str">
        <x:v>abhishek.bhowate@petronas.com</x:v>
      </x:c>
      <x:c r="AF243" t="str">
        <x:v>approved</x:v>
      </x:c>
      <x:c r="AG243"/>
      <x:c r="AH243"/>
      <x:c r="AI243" t="str">
        <x:v>venkatesh.kalikivayi@petronas.com</x:v>
      </x:c>
      <x:c r="AJ243"/>
      <x:c r="AK243" t="str">
        <x:v>REQ000008203308</x:v>
      </x:c>
      <x:c r="AL243" t="str">
        <x:v>a91e1e5c-5f8d-4d83-ad0d-b7ef787ec94e</x:v>
      </x:c>
      <x:c r="AM243" s="23" t="n">
        <x:f>IF(E243="processing",IF(Z243="","",IF(ISNUMBER(Z243),INT(Z243),DATE(VALUE(LEFT(Z243,4)),VALUE(MID(Z243,6,2)),VALUE(MID(Z243,9,2))))),IF(OR(E243="executing",E243="pending"),IF(AD243="","",IF(ISNUMBER(AD243),INT(AD243),DATE(VALUE(LEFT(AD243,4)),VALUE(MID(AD243,6,2)),VALUE(MID(AD243,9,2))))),""))</x:f>
        <x:v>46233</x:v>
      </x:c>
      <x:c r="AN243" s="24" t="n">
        <x:f>IF(AM243="","",INT('Configuration'!$B$4)-AM243)</x:f>
        <x:v>18</x:v>
      </x:c>
      <x:c r="AO243" s="25" t="str">
        <x:f>IF(AM243="","Missing Required Date",IF(AN243&lt;0,"Future Date",IF(AN243=0,"0 days",IF(AN243&lt;=2,"1-2 days",IF(AN243&lt;=7,"3-7 days",IF(AN243&lt;=14,"8-14 days",IF(AN243&lt;=30,"15-30 days",IF(AN243&lt;=60,"31-60 days",IF(AN243&lt;=70,"61-70 days","71+ days")))))))))</x:f>
        <x:v>15-30 days</x:v>
      </x:c>
      <x:c r="AP243" s="25" t="str">
        <x:f>IF(OR(E243="processing",E243="executing",E243="pending"),IF(AM243="","Required aging date missing",IF(AN243&gt;30,"Escalate &gt;30d",IF(AN243&gt;14,"Watch &gt;14d","Within 14d"))),"Out of scope")</x:f>
        <x:v>Watch &gt;14d</x:v>
      </x:c>
    </x:row>
    <x:row r="244" ht="24" customHeight="1">
      <x:c r="A244" t="str">
        <x:v>00868ed2-4e97-4b53-9872-832e5c46714c</x:v>
      </x:c>
      <x:c r="B244" t="str">
        <x:v>CSSP10939855</x:v>
      </x:c>
      <x:c r="C244" t="str">
        <x:v>ainasyakirah.jamil@petronas.com</x:v>
      </x:c>
      <x:c r="D244" t="str">
        <x:v>provision-cloud-public</x:v>
      </x:c>
      <x:c r="E244" t="str">
        <x:v>executing</x:v>
      </x:c>
      <x:c r="F244" t="n">
        <x:v>46233.11043271991</x:v>
      </x:c>
      <x:c r="G244" t="n">
        <x:v>46233.11043271991</x:v>
      </x:c>
      <x:c r="H244" t="n">
        <x:v>46238.16621505787</x:v>
      </x:c>
      <x:c r="I244" t="str">
        <x:v>A-001388</x:v>
      </x:c>
      <x:c r="J244" t="str">
        <x:v>Operational Excellence Incident​ Management - OEIM​</x:v>
      </x:c>
      <x:c r="K244" t="str">
        <x:v>SR26927</x:v>
      </x:c>
      <x:c r="L244" t="str">
        <x:v>Operational Excellence Incident​ Management (OEIM)</x:v>
      </x:c>
      <x:c r="M244" t="str">
        <x:v>aressany.bohari@petronas.com</x:v>
      </x:c>
      <x:c r="N244" t="str">
        <x:v>Operational Excellence Incident Management (OEIM)</x:v>
      </x:c>
      <x:c r="O244" t="str">
        <x:v>New</x:v>
      </x:c>
      <x:c r="P244" t="str">
        <x:v>Development</x:v>
      </x:c>
      <x:c r="Q244" t="str">
        <x:v>New Azure cloud provision for SR 26927 OEIM</x:v>
      </x:c>
      <x:c r="R244" t="str">
        <x:v>L</x:v>
      </x:c>
      <x:c r="S244"/>
      <x:c r="T244"/>
      <x:c r="U244" t="str">
        <x:v>provision for OEIM Dev server under SR026927 OEIM</x:v>
      </x:c>
      <x:c r="V244" t="n">
        <x:v>46233.14138210648</x:v>
      </x:c>
      <x:c r="W244" t="str">
        <x:v>aressany.bohari@petronas.com</x:v>
      </x:c>
      <x:c r="X244" t="str">
        <x:v>approved</x:v>
      </x:c>
      <x:c r="Y244" t="str">
        <x:v>Good to go</x:v>
      </x:c>
      <x:c r="Z244" t="n">
        <x:v>46234.345401087965</x:v>
      </x:c>
      <x:c r="AA244" t="str">
        <x:v>samsuddin.jumbri@petronas.com</x:v>
      </x:c>
      <x:c r="AB244" t="str">
        <x:v>approved</x:v>
      </x:c>
      <x:c r="AC244" t="str">
        <x:v>Approved</x:v>
      </x:c>
      <x:c r="AD244" t="n">
        <x:v>46238.16621506945</x:v>
      </x:c>
      <x:c r="AE244" t="str">
        <x:v>abhishek.bhowate@petronas.com</x:v>
      </x:c>
      <x:c r="AF244" t="str">
        <x:v>approved</x:v>
      </x:c>
      <x:c r="AG244"/>
      <x:c r="AH244"/>
      <x:c r="AI244" t="str">
        <x:v>mardiansyah.rayasa@petronas.com</x:v>
      </x:c>
      <x:c r="AJ244"/>
      <x:c r="AK244" t="str">
        <x:v>REQ000008216414</x:v>
      </x:c>
      <x:c r="AL244" t="str">
        <x:v>a91e1e5c-5f8d-4d83-ad0d-b7ef787ec94e</x:v>
      </x:c>
      <x:c r="AM244" s="23" t="n">
        <x:f>IF(E244="processing",IF(Z244="","",IF(ISNUMBER(Z244),INT(Z244),DATE(VALUE(LEFT(Z244,4)),VALUE(MID(Z244,6,2)),VALUE(MID(Z244,9,2))))),IF(OR(E244="executing",E244="pending"),IF(AD244="","",IF(ISNUMBER(AD244),INT(AD244),DATE(VALUE(LEFT(AD244,4)),VALUE(MID(AD244,6,2)),VALUE(MID(AD244,9,2))))),""))</x:f>
        <x:v>46238</x:v>
      </x:c>
      <x:c r="AN244" s="24" t="n">
        <x:f>IF(AM244="","",INT('Configuration'!$B$4)-AM244)</x:f>
        <x:v>13</x:v>
      </x:c>
      <x:c r="AO244" s="25" t="str">
        <x:f>IF(AM244="","Missing Required Date",IF(AN244&lt;0,"Future Date",IF(AN244=0,"0 days",IF(AN244&lt;=2,"1-2 days",IF(AN244&lt;=7,"3-7 days",IF(AN244&lt;=14,"8-14 days",IF(AN244&lt;=30,"15-30 days",IF(AN244&lt;=60,"31-60 days",IF(AN244&lt;=70,"61-70 days","71+ days")))))))))</x:f>
        <x:v>8-14 days</x:v>
      </x:c>
      <x:c r="AP244" s="25" t="str">
        <x:f>IF(OR(E244="processing",E244="executing",E244="pending"),IF(AM244="","Required aging date missing",IF(AN244&gt;30,"Escalate &gt;30d",IF(AN244&gt;14,"Watch &gt;14d","Within 14d"))),"Out of scope")</x:f>
        <x:v>Within 14d</x:v>
      </x:c>
    </x:row>
    <x:row r="245" ht="24" customHeight="1">
      <x:c r="A245" t="str">
        <x:v>6c667586-5d49-46f6-b361-3270239682ee</x:v>
      </x:c>
      <x:c r="B245" t="str">
        <x:v>CSSP10983109</x:v>
      </x:c>
      <x:c r="C245" t="str">
        <x:v>hadi.hairi@petronas.com</x:v>
      </x:c>
      <x:c r="D245" t="str">
        <x:v>provision-cloud-public</x:v>
      </x:c>
      <x:c r="E245" t="str">
        <x:v>pending</x:v>
      </x:c>
      <x:c r="F245" t="n">
        <x:v>46233.362619618056</x:v>
      </x:c>
      <x:c r="G245" t="n">
        <x:v>46233.362619618056</x:v>
      </x:c>
      <x:c r="H245" t="n">
        <x:v>46233.362619618056</x:v>
      </x:c>
      <x:c r="I245" t="str">
        <x:v>A-001374</x:v>
      </x:c>
      <x:c r="J245" t="str">
        <x:v>Frontier Firm</x:v>
      </x:c>
      <x:c r="K245" t="str">
        <x:v>SR26854</x:v>
      </x:c>
      <x:c r="L245" t="str">
        <x:v>PDSB Frontier Firm</x:v>
      </x:c>
      <x:c r="M245" t="str">
        <x:v>mazahari.ahmad@petronas.com.my</x:v>
      </x:c>
      <x:c r="N245" t="str">
        <x:v>PDSB Frontier Firm</x:v>
      </x:c>
      <x:c r="O245" t="str">
        <x:v>New</x:v>
      </x:c>
      <x:c r="P245" t="str">
        <x:v>Development</x:v>
      </x:c>
      <x:c r="Q245" t="str">
        <x:v>1) The JumpBox will be provisioned in
Subscription :PTAZMY-IAC-NONPROD-CORPORATE ENVIRONMENT
SubID: 7010bdd1-9b56-4c70-9c3b-07f5898d5e70 
2) A total of 6 JumpBox will be provisioned.</x:v>
      </x:c>
      <x:c r="R245"/>
      <x:c r="S245"/>
      <x:c r="T245"/>
      <x:c r="U245"/>
      <x:c r="V245"/>
      <x:c r="W245" t="str">
        <x:v>mazahari.ahmad@petronas.com</x:v>
      </x:c>
      <x:c r="X245"/>
      <x:c r="Y245"/>
      <x:c r="Z245"/>
      <x:c r="AA245" t="str">
        <x:v>CCoE SA</x:v>
      </x:c>
      <x:c r="AB245"/>
      <x:c r="AC245"/>
      <x:c r="AD245"/>
      <x:c r="AE245" t="str">
        <x:v>IMS - CLOUD CSSP REVIEWER</x:v>
      </x:c>
      <x:c r="AF245"/>
      <x:c r="AG245"/>
      <x:c r="AH245"/>
      <x:c r="AI245" t="str">
        <x:v>IMS - CLOUD CSSP EXECUTOR</x:v>
      </x:c>
      <x:c r="AJ245"/>
      <x:c r="AK245"/>
      <x:c r="AL245" t="str">
        <x:v>6a3ea0b2-21a7-451c-a21d-3278b4fc6e80</x:v>
      </x:c>
      <x:c r="AM245" s="23" t="str">
        <x:f>IF(E245="processing",IF(Z245="","",IF(ISNUMBER(Z245),INT(Z245),DATE(VALUE(LEFT(Z245,4)),VALUE(MID(Z245,6,2)),VALUE(MID(Z245,9,2))))),IF(OR(E245="executing",E245="pending"),IF(AD245="","",IF(ISNUMBER(AD245),INT(AD245),DATE(VALUE(LEFT(AD245,4)),VALUE(MID(AD245,6,2)),VALUE(MID(AD245,9,2))))),""))</x:f>
      </x:c>
      <x:c r="AN245" s="24" t="str">
        <x:f>IF(AM245="","",INT('Configuration'!$B$4)-AM245)</x:f>
      </x:c>
      <x:c r="AO245" s="25" t="str">
        <x:f>IF(AM245="","Missing Required Date",IF(AN245&lt;0,"Future Date",IF(AN245=0,"0 days",IF(AN245&lt;=2,"1-2 days",IF(AN245&lt;=7,"3-7 days",IF(AN245&lt;=14,"8-14 days",IF(AN245&lt;=30,"15-30 days",IF(AN245&lt;=60,"31-60 days",IF(AN245&lt;=70,"61-70 days","71+ days")))))))))</x:f>
        <x:v>Missing Required Date</x:v>
      </x:c>
      <x:c r="AP245" s="25" t="str">
        <x:f>IF(OR(E245="processing",E245="executing",E245="pending"),IF(AM245="","Required aging date missing",IF(AN245&gt;30,"Escalate &gt;30d",IF(AN245&gt;14,"Watch &gt;14d","Within 14d"))),"Out of scope")</x:f>
        <x:v>Required aging date missing</x:v>
      </x:c>
    </x:row>
    <x:row r="246" ht="24" customHeight="1">
      <x:c r="A246" t="str">
        <x:v>9bb2bbb2-6784-4d7b-a74f-af4cff6df78b</x:v>
      </x:c>
      <x:c r="B246" t="str">
        <x:v>CSSP10466644</x:v>
      </x:c>
      <x:c r="C246" t="str">
        <x:v>hadi.hairi@petronas.com</x:v>
      </x:c>
      <x:c r="D246" t="str">
        <x:v>provision-cloud-public</x:v>
      </x:c>
      <x:c r="E246" t="str">
        <x:v>completed</x:v>
      </x:c>
      <x:c r="F246" t="n">
        <x:v>46234.28855106481</x:v>
      </x:c>
      <x:c r="G246" t="n">
        <x:v>46234.28855106481</x:v>
      </x:c>
      <x:c r="H246" t="n">
        <x:v>46249.373761828705</x:v>
      </x:c>
      <x:c r="I246" t="str">
        <x:v>A-001374</x:v>
      </x:c>
      <x:c r="J246" t="str">
        <x:v>Frontier Firm</x:v>
      </x:c>
      <x:c r="K246" t="str">
        <x:v>SR26854</x:v>
      </x:c>
      <x:c r="L246" t="str">
        <x:v>PDSB Frontier Firm</x:v>
      </x:c>
      <x:c r="M246" t="str">
        <x:v>mazahari.ahmad@petronas.com</x:v>
      </x:c>
      <x:c r="N246" t="str">
        <x:v>PDSB Frontier Firm</x:v>
      </x:c>
      <x:c r="O246" t="str">
        <x:v>New</x:v>
      </x:c>
      <x:c r="P246" t="str">
        <x:v>Development</x:v>
      </x:c>
      <x:c r="Q246" t="str">
        <x:v>1) The JumpBox will be provisioned in Subscription :PTAZMY-IAC-NONPROD-CORPORATE ENVIRONMENT SubID: 7010bdd1-9b56-4c70-9c3b-07f5898d5e70 2) A total of 6 JumpBox will be provisioned.</x:v>
      </x:c>
      <x:c r="R246" t="str">
        <x:v>L</x:v>
      </x:c>
      <x:c r="S246"/>
      <x:c r="T246"/>
      <x:c r="U246" t="str">
        <x:v>Approved as required for Frontier Firm Deployment to DEV. 6 Total Vm needs to be procured</x:v>
      </x:c>
      <x:c r="V246" t="n">
        <x:v>46234.28952909722</x:v>
      </x:c>
      <x:c r="W246" t="str">
        <x:v>mazahari.ahmad@petronas.com</x:v>
      </x:c>
      <x:c r="X246" t="str">
        <x:v>approved</x:v>
      </x:c>
      <x:c r="Y246" t="str">
        <x:v>Kindly note that the following services are mandatory for all new infrastructure deployments within the PETRONAS environment (Azure Backup, Ms Defender, Key Vault, Azure Monitor, VNet Peering). These services are required to ensure compliance with PETRONAS security, monitoring, and operational standards.</x:v>
      </x:c>
      <x:c r="Z246" t="n">
        <x:v>46234.35438391204</x:v>
      </x:c>
      <x:c r="AA246" t="str">
        <x:v>samsuddin.jumbri@petronas.com</x:v>
      </x:c>
      <x:c r="AB246" t="str">
        <x:v>approved</x:v>
      </x:c>
      <x:c r="AC246" t="str">
        <x:v>approve</x:v>
      </x:c>
      <x:c r="AD246" t="n">
        <x:v>46239.34137207176</x:v>
      </x:c>
      <x:c r="AE246" t="str">
        <x:v>abhishek.bhowate@petronas.com</x:v>
      </x:c>
      <x:c r="AF246" t="str">
        <x:v>approved</x:v>
      </x:c>
      <x:c r="AG246" t="str">
        <x:v>completed</x:v>
      </x:c>
      <x:c r="AH246" t="n">
        <x:v>46249.37376185185</x:v>
      </x:c>
      <x:c r="AI246" t="str">
        <x:v>mardiansyah.rayasa@petronas.com</x:v>
      </x:c>
      <x:c r="AJ246" t="str">
        <x:v>approved</x:v>
      </x:c>
      <x:c r="AK246" t="str">
        <x:v>REQ000008220895</x:v>
      </x:c>
      <x:c r="AL246" t="str">
        <x:v>6a3ea0b2-21a7-451c-a21d-3278b4fc6e80</x:v>
      </x:c>
      <x:c r="AM246" s="23" t="str">
        <x:f>IF(E246="processing",IF(Z246="","",IF(ISNUMBER(Z246),INT(Z246),DATE(VALUE(LEFT(Z246,4)),VALUE(MID(Z246,6,2)),VALUE(MID(Z246,9,2))))),IF(OR(E246="executing",E246="pending"),IF(AD246="","",IF(ISNUMBER(AD246),INT(AD246),DATE(VALUE(LEFT(AD246,4)),VALUE(MID(AD246,6,2)),VALUE(MID(AD246,9,2))))),""))</x:f>
      </x:c>
      <x:c r="AN246" s="24" t="str">
        <x:f>IF(AM246="","",INT('Configuration'!$B$4)-AM246)</x:f>
      </x:c>
      <x:c r="AO246" s="25" t="str">
        <x:f>IF(AM246="","Missing Required Date",IF(AN246&lt;0,"Future Date",IF(AN246=0,"0 days",IF(AN246&lt;=2,"1-2 days",IF(AN246&lt;=7,"3-7 days",IF(AN246&lt;=14,"8-14 days",IF(AN246&lt;=30,"15-30 days",IF(AN246&lt;=60,"31-60 days",IF(AN246&lt;=70,"61-70 days","71+ days")))))))))</x:f>
        <x:v>Missing Required Date</x:v>
      </x:c>
      <x:c r="AP246" s="25" t="str">
        <x:f>IF(OR(E246="processing",E246="executing",E246="pending"),IF(AM246="","Required aging date missing",IF(AN246&gt;30,"Escalate &gt;30d",IF(AN246&gt;14,"Watch &gt;14d","Within 14d"))),"Out of scope")</x:f>
        <x:v>Out of scope</x:v>
      </x:c>
    </x:row>
    <x:row r="247" ht="24" customHeight="1">
      <x:c r="A247" t="str">
        <x:v>31771bc8-56f0-4bdf-86cf-3aff83a3a8b1</x:v>
      </x:c>
      <x:c r="B247" t="str">
        <x:v>CSSP10678891</x:v>
      </x:c>
      <x:c r="C247" t="str">
        <x:v>santhosh.gopal@petronas.com</x:v>
      </x:c>
      <x:c r="D247" t="str">
        <x:v>provision-cloud-public</x:v>
      </x:c>
      <x:c r="E247" t="str">
        <x:v>pending</x:v>
      </x:c>
      <x:c r="F247" t="n">
        <x:v>46235.60730638889</x:v>
      </x:c>
      <x:c r="G247" t="n">
        <x:v>46235.60730638889</x:v>
      </x:c>
      <x:c r="H247" t="n">
        <x:v>46235.60730638889</x:v>
      </x:c>
      <x:c r="I247" t="str">
        <x:v>A-000354</x:v>
      </x:c>
      <x:c r="J247" t="str">
        <x:v>HSE Intelligence Pod - Smart Advisor - HIP SA</x:v>
      </x:c>
      <x:c r="K247" t="n">
        <x:v>4007</x:v>
      </x:c>
      <x:c r="L247" t="str">
        <x:v>HSE Intelligence Pod - Smart Advisor</x:v>
      </x:c>
      <x:c r="M247" t="str">
        <x:v>shahrulrizal.said@petronas.com.my</x:v>
      </x:c>
      <x:c r="N247" t="str">
        <x:v>HIP Smart Advisor</x:v>
      </x:c>
      <x:c r="O247" t="str">
        <x:v>New</x:v>
      </x:c>
      <x:c r="P247" t="str">
        <x:v>Development</x:v>
      </x:c>
      <x:c r="Q247" t="str">
        <x:v>This request is to provision Azure Container apps in development environment for existing resource group
PTAZSG-DEV-HIPVISION-SA-RG</x:v>
      </x:c>
      <x:c r="R247"/>
      <x:c r="S247"/>
      <x:c r="T247"/>
      <x:c r="U247"/>
      <x:c r="V247"/>
      <x:c r="W247" t="str">
        <x:v>shahrulrizal.said@petronas.com</x:v>
      </x:c>
      <x:c r="X247"/>
      <x:c r="Y247"/>
      <x:c r="Z247"/>
      <x:c r="AA247" t="str">
        <x:v>CCoE SA</x:v>
      </x:c>
      <x:c r="AB247"/>
      <x:c r="AC247"/>
      <x:c r="AD247"/>
      <x:c r="AE247" t="str">
        <x:v>IMS - CLOUD CSSP REVIEWER</x:v>
      </x:c>
      <x:c r="AF247"/>
      <x:c r="AG247"/>
      <x:c r="AH247"/>
      <x:c r="AI247" t="str">
        <x:v>IMS - CLOUD CSSP EXECUTOR</x:v>
      </x:c>
      <x:c r="AJ247"/>
      <x:c r="AK247"/>
      <x:c r="AL247" t="str">
        <x:v>dffc798b-8629-447b-9c6c-13563df2b5ac</x:v>
      </x:c>
      <x:c r="AM247" s="23" t="str">
        <x:f>IF(E247="processing",IF(Z247="","",IF(ISNUMBER(Z247),INT(Z247),DATE(VALUE(LEFT(Z247,4)),VALUE(MID(Z247,6,2)),VALUE(MID(Z247,9,2))))),IF(OR(E247="executing",E247="pending"),IF(AD247="","",IF(ISNUMBER(AD247),INT(AD247),DATE(VALUE(LEFT(AD247,4)),VALUE(MID(AD247,6,2)),VALUE(MID(AD247,9,2))))),""))</x:f>
      </x:c>
      <x:c r="AN247" s="24" t="str">
        <x:f>IF(AM247="","",INT('Configuration'!$B$4)-AM247)</x:f>
      </x:c>
      <x:c r="AO247" s="25" t="str">
        <x:f>IF(AM247="","Missing Required Date",IF(AN247&lt;0,"Future Date",IF(AN247=0,"0 days",IF(AN247&lt;=2,"1-2 days",IF(AN247&lt;=7,"3-7 days",IF(AN247&lt;=14,"8-14 days",IF(AN247&lt;=30,"15-30 days",IF(AN247&lt;=60,"31-60 days",IF(AN247&lt;=70,"61-70 days","71+ days")))))))))</x:f>
        <x:v>Missing Required Date</x:v>
      </x:c>
      <x:c r="AP247" s="25" t="str">
        <x:f>IF(OR(E247="processing",E247="executing",E247="pending"),IF(AM247="","Required aging date missing",IF(AN247&gt;30,"Escalate &gt;30d",IF(AN247&gt;14,"Watch &gt;14d","Within 14d"))),"Out of scope")</x:f>
        <x:v>Required aging date missing</x:v>
      </x:c>
    </x:row>
    <x:row r="248" ht="24" customHeight="1">
      <x:c r="A248" t="str">
        <x:v>135d78c1-109d-4294-817b-27796c2306fa</x:v>
      </x:c>
      <x:c r="B248" t="str">
        <x:v>CSSP10836507</x:v>
      </x:c>
      <x:c r="C248" t="str">
        <x:v>hafidzh.zakaria@petronas.com</x:v>
      </x:c>
      <x:c r="D248" t="str">
        <x:v>provision-cloud-public</x:v>
      </x:c>
      <x:c r="E248" t="str">
        <x:v>pending</x:v>
      </x:c>
      <x:c r="F248" t="n">
        <x:v>46237.08127880787</x:v>
      </x:c>
      <x:c r="G248" t="n">
        <x:v>46237.08127880787</x:v>
      </x:c>
      <x:c r="H248" t="n">
        <x:v>46237.08127880787</x:v>
      </x:c>
      <x:c r="I248" t="str">
        <x:v>P-000050</x:v>
      </x:c>
      <x:c r="J248" t="str">
        <x:v>VMware vCenter RDMZ RTOT</x:v>
      </x:c>
      <x:c r="K248" t="str">
        <x:v>10188_10</x:v>
      </x:c>
      <x:c r="L248" t="str">
        <x:v>VMware vCenter RDMZ RTOT created for PRIVATECLOUD project record</x:v>
      </x:c>
      <x:c r="M248" t="str">
        <x:v>raihan_ahmad@petronas.com.my</x:v>
      </x:c>
      <x:c r="N248" t="str">
        <x:v>CS RTOT</x:v>
      </x:c>
      <x:c r="O248" t="str">
        <x:v>New</x:v>
      </x:c>
      <x:c r="P248" t="str">
        <x:v>Production</x:v>
      </x:c>
      <x:c r="Q248" t="str">
        <x:v>To provision new server at L4 Cloud. LLD has been approved but previous request has been rejected due to request to provision new server at KVDC.
Therefore, need to provision at Cloud. Will amend the LLD once got the IP Cloud. </x:v>
      </x:c>
      <x:c r="R248"/>
      <x:c r="S248"/>
      <x:c r="T248"/>
      <x:c r="U248"/>
      <x:c r="V248"/>
      <x:c r="W248" t="str">
        <x:v>raihan_ahmad@petronas.com</x:v>
      </x:c>
      <x:c r="X248"/>
      <x:c r="Y248"/>
      <x:c r="Z248"/>
      <x:c r="AA248" t="str">
        <x:v>CCoE SA</x:v>
      </x:c>
      <x:c r="AB248"/>
      <x:c r="AC248"/>
      <x:c r="AD248"/>
      <x:c r="AE248" t="str">
        <x:v>IMS - CLOUD CSSP REVIEWER</x:v>
      </x:c>
      <x:c r="AF248"/>
      <x:c r="AG248"/>
      <x:c r="AH248"/>
      <x:c r="AI248" t="str">
        <x:v>IMS - CLOUD CSSP EXECUTOR</x:v>
      </x:c>
      <x:c r="AJ248"/>
      <x:c r="AK248"/>
      <x:c r="AL248" t="str">
        <x:v>105fd04d-e288-4aa4-9271-ae2da8917315</x:v>
      </x:c>
      <x:c r="AM248" s="23" t="str">
        <x:f>IF(E248="processing",IF(Z248="","",IF(ISNUMBER(Z248),INT(Z248),DATE(VALUE(LEFT(Z248,4)),VALUE(MID(Z248,6,2)),VALUE(MID(Z248,9,2))))),IF(OR(E248="executing",E248="pending"),IF(AD248="","",IF(ISNUMBER(AD248),INT(AD248),DATE(VALUE(LEFT(AD248,4)),VALUE(MID(AD248,6,2)),VALUE(MID(AD248,9,2))))),""))</x:f>
      </x:c>
      <x:c r="AN248" s="24" t="str">
        <x:f>IF(AM248="","",INT('Configuration'!$B$4)-AM248)</x:f>
      </x:c>
      <x:c r="AO248" s="25" t="str">
        <x:f>IF(AM248="","Missing Required Date",IF(AN248&lt;0,"Future Date",IF(AN248=0,"0 days",IF(AN248&lt;=2,"1-2 days",IF(AN248&lt;=7,"3-7 days",IF(AN248&lt;=14,"8-14 days",IF(AN248&lt;=30,"15-30 days",IF(AN248&lt;=60,"31-60 days",IF(AN248&lt;=70,"61-70 days","71+ days")))))))))</x:f>
        <x:v>Missing Required Date</x:v>
      </x:c>
      <x:c r="AP248" s="25" t="str">
        <x:f>IF(OR(E248="processing",E248="executing",E248="pending"),IF(AM248="","Required aging date missing",IF(AN248&gt;30,"Escalate &gt;30d",IF(AN248&gt;14,"Watch &gt;14d","Within 14d"))),"Out of scope")</x:f>
        <x:v>Required aging date missing</x:v>
      </x:c>
    </x:row>
    <x:row r="249" ht="24" customHeight="1">
      <x:c r="A249" t="str">
        <x:v>3673ac55-ee65-4068-b254-29d8ef9615c2</x:v>
      </x:c>
      <x:c r="B249" t="str">
        <x:v>CSSP10753669</x:v>
      </x:c>
      <x:c r="C249" t="str">
        <x:v>mfaizal.salleh@petronas.com</x:v>
      </x:c>
      <x:c r="D249" t="str">
        <x:v>provision-cloud-public</x:v>
      </x:c>
      <x:c r="E249" t="str">
        <x:v>executing</x:v>
      </x:c>
      <x:c r="F249" t="n">
        <x:v>46237.21106059028</x:v>
      </x:c>
      <x:c r="G249" t="n">
        <x:v>46237.21106059028</x:v>
      </x:c>
      <x:c r="H249" t="n">
        <x:v>46243.274711018516</x:v>
      </x:c>
      <x:c r="I249" t="str">
        <x:v>M-000032</x:v>
      </x:c>
      <x:c r="J249" t="str">
        <x:v>Serviceware Financial</x:v>
      </x:c>
      <x:c r="K249" t="str">
        <x:v>03736_MP</x:v>
      </x:c>
      <x:c r="L249" t="str">
        <x:v>BG2B: Project Genesis Phase 2 Implementation for PDSB (Marketplace)</x:v>
      </x:c>
      <x:c r="M249" t="str">
        <x:v>amirshazlan.mshah@petronas.com</x:v>
      </x:c>
      <x:c r="N249" t="str">
        <x:v>ITFM</x:v>
      </x:c>
      <x:c r="O249" t="str">
        <x:v>New</x:v>
      </x:c>
      <x:c r="P249" t="str">
        <x:v>Production</x:v>
      </x:c>
      <x:c r="Q249" t="str">
        <x:v>To provision a new Azure SQL , Please create a new RG. </x:v>
      </x:c>
      <x:c r="R249" t="str">
        <x:v>M</x:v>
      </x:c>
      <x:c r="S249"/>
      <x:c r="T249"/>
      <x:c r="U249" t="str">
        <x:v>approved</x:v>
      </x:c>
      <x:c r="V249" t="n">
        <x:v>46237.261783761576</x:v>
      </x:c>
      <x:c r="W249" t="str">
        <x:v>amirshazlan.mshah@petronas.com</x:v>
      </x:c>
      <x:c r="X249" t="str">
        <x:v>approved</x:v>
      </x:c>
      <x:c r="Y249" t="str">
        <x:v>Azure SQL acts as the central data repository, while Power BI consumes and visualizes the data from Azure SQL for reporting and analytics purposes.</x:v>
      </x:c>
      <x:c r="Z249" t="n">
        <x:v>46238.12003978009</x:v>
      </x:c>
      <x:c r="AA249" t="str">
        <x:v>samsuddin.jumbri@petronas.com</x:v>
      </x:c>
      <x:c r="AB249" t="str">
        <x:v>approved</x:v>
      </x:c>
      <x:c r="AC249" t="str">
        <x:v>Approve</x:v>
      </x:c>
      <x:c r="AD249" t="n">
        <x:v>46243.27471104167</x:v>
      </x:c>
      <x:c r="AE249" t="str">
        <x:v>abhishek.bhowate@petronas.com</x:v>
      </x:c>
      <x:c r="AF249" t="str">
        <x:v>approved</x:v>
      </x:c>
      <x:c r="AG249"/>
      <x:c r="AH249"/>
      <x:c r="AI249" t="str">
        <x:v>amarja.kawade@petronas.com</x:v>
      </x:c>
      <x:c r="AJ249"/>
      <x:c r="AK249" t="str">
        <x:v>REQ000008229245</x:v>
      </x:c>
      <x:c r="AL249" t="str">
        <x:v>897ca5be-dbdf-48f3-bc62-80f8470c1492</x:v>
      </x:c>
      <x:c r="AM249" s="23" t="n">
        <x:f>IF(E249="processing",IF(Z249="","",IF(ISNUMBER(Z249),INT(Z249),DATE(VALUE(LEFT(Z249,4)),VALUE(MID(Z249,6,2)),VALUE(MID(Z249,9,2))))),IF(OR(E249="executing",E249="pending"),IF(AD249="","",IF(ISNUMBER(AD249),INT(AD249),DATE(VALUE(LEFT(AD249,4)),VALUE(MID(AD249,6,2)),VALUE(MID(AD249,9,2))))),""))</x:f>
        <x:v>46243</x:v>
      </x:c>
      <x:c r="AN249" s="24" t="n">
        <x:f>IF(AM249="","",INT('Configuration'!$B$4)-AM249)</x:f>
        <x:v>8</x:v>
      </x:c>
      <x:c r="AO249" s="25" t="str">
        <x:f>IF(AM249="","Missing Required Date",IF(AN249&lt;0,"Future Date",IF(AN249=0,"0 days",IF(AN249&lt;=2,"1-2 days",IF(AN249&lt;=7,"3-7 days",IF(AN249&lt;=14,"8-14 days",IF(AN249&lt;=30,"15-30 days",IF(AN249&lt;=60,"31-60 days",IF(AN249&lt;=70,"61-70 days","71+ days")))))))))</x:f>
        <x:v>8-14 days</x:v>
      </x:c>
      <x:c r="AP249" s="25" t="str">
        <x:f>IF(OR(E249="processing",E249="executing",E249="pending"),IF(AM249="","Required aging date missing",IF(AN249&gt;30,"Escalate &gt;30d",IF(AN249&gt;14,"Watch &gt;14d","Within 14d"))),"Out of scope")</x:f>
        <x:v>Within 14d</x:v>
      </x:c>
    </x:row>
    <x:row r="250" ht="24" customHeight="1">
      <x:c r="A250" t="str">
        <x:v>6920df5a-97a4-40d8-89c3-47a0395aec91</x:v>
      </x:c>
      <x:c r="B250" t="str">
        <x:v>CSSP10466348</x:v>
      </x:c>
      <x:c r="C250" t="str">
        <x:v>santhosh.gopal@petronas.com</x:v>
      </x:c>
      <x:c r="D250" t="str">
        <x:v>provision-cloud-public</x:v>
      </x:c>
      <x:c r="E250" t="str">
        <x:v>executing</x:v>
      </x:c>
      <x:c r="F250" t="n">
        <x:v>46237.502958680554</x:v>
      </x:c>
      <x:c r="G250" t="n">
        <x:v>46237.502958680554</x:v>
      </x:c>
      <x:c r="H250" t="n">
        <x:v>46243.27404701389</x:v>
      </x:c>
      <x:c r="I250" t="str">
        <x:v>A-000354</x:v>
      </x:c>
      <x:c r="J250" t="str">
        <x:v>HSE Intelligence Pod - Smart Advisor - HIP SA</x:v>
      </x:c>
      <x:c r="K250" t="n">
        <x:v>4007</x:v>
      </x:c>
      <x:c r="L250" t="str">
        <x:v>HSE Intelligence Pod - Smart Advisor</x:v>
      </x:c>
      <x:c r="M250" t="str">
        <x:v>shahrulrizal.said@petronas.com</x:v>
      </x:c>
      <x:c r="N250" t="str">
        <x:v>HIP Smart Advisor</x:v>
      </x:c>
      <x:c r="O250" t="str">
        <x:v>New</x:v>
      </x:c>
      <x:c r="P250" t="str">
        <x:v>Development</x:v>
      </x:c>
      <x:c r="Q250" t="str">
        <x:v>This request is to provision Azure container apps in development environment for existing resource group
PTAZSG-DEV-HIPVISION-SA-RG
</x:v>
      </x:c>
      <x:c r="R250" t="str">
        <x:v>M</x:v>
      </x:c>
      <x:c r="S250"/>
      <x:c r="T250"/>
      <x:c r="U250" t="str">
        <x:v>Approved</x:v>
      </x:c>
      <x:c r="V250" t="n">
        <x:v>46237.58340619213</x:v>
      </x:c>
      <x:c r="W250" t="str">
        <x:v>shahrulrizal.said@petronas.com</x:v>
      </x:c>
      <x:c r="X250" t="str">
        <x:v>approved</x:v>
      </x:c>
      <x:c r="Y250" t="str">
        <x:v>Provision and deploy Azure Container Apps in the Development environment under the existing resource group PTAZSG-DEV-HIPVISION-SA-RG.</x:v>
      </x:c>
      <x:c r="Z250" t="n">
        <x:v>46238.12239408565</x:v>
      </x:c>
      <x:c r="AA250" t="str">
        <x:v>samsuddin.jumbri@petronas.com</x:v>
      </x:c>
      <x:c r="AB250" t="str">
        <x:v>approved</x:v>
      </x:c>
      <x:c r="AC250" t="str">
        <x:v>Approve</x:v>
      </x:c>
      <x:c r="AD250" t="n">
        <x:v>46243.274047025465</x:v>
      </x:c>
      <x:c r="AE250" t="str">
        <x:v>abhishek.bhowate@petronas.com</x:v>
      </x:c>
      <x:c r="AF250" t="str">
        <x:v>approved</x:v>
      </x:c>
      <x:c r="AG250"/>
      <x:c r="AH250"/>
      <x:c r="AI250" t="str">
        <x:v>amarja.kawade@petronas.com</x:v>
      </x:c>
      <x:c r="AJ250"/>
      <x:c r="AK250" t="str">
        <x:v>REQ000008229244</x:v>
      </x:c>
      <x:c r="AL250" t="str">
        <x:v>dffc798b-8629-447b-9c6c-13563df2b5ac</x:v>
      </x:c>
      <x:c r="AM250" s="23" t="n">
        <x:f>IF(E250="processing",IF(Z250="","",IF(ISNUMBER(Z250),INT(Z250),DATE(VALUE(LEFT(Z250,4)),VALUE(MID(Z250,6,2)),VALUE(MID(Z250,9,2))))),IF(OR(E250="executing",E250="pending"),IF(AD250="","",IF(ISNUMBER(AD250),INT(AD250),DATE(VALUE(LEFT(AD250,4)),VALUE(MID(AD250,6,2)),VALUE(MID(AD250,9,2))))),""))</x:f>
        <x:v>46243</x:v>
      </x:c>
      <x:c r="AN250" s="24" t="n">
        <x:f>IF(AM250="","",INT('Configuration'!$B$4)-AM250)</x:f>
        <x:v>8</x:v>
      </x:c>
      <x:c r="AO250" s="25" t="str">
        <x:f>IF(AM250="","Missing Required Date",IF(AN250&lt;0,"Future Date",IF(AN250=0,"0 days",IF(AN250&lt;=2,"1-2 days",IF(AN250&lt;=7,"3-7 days",IF(AN250&lt;=14,"8-14 days",IF(AN250&lt;=30,"15-30 days",IF(AN250&lt;=60,"31-60 days",IF(AN250&lt;=70,"61-70 days","71+ days")))))))))</x:f>
        <x:v>8-14 days</x:v>
      </x:c>
      <x:c r="AP250" s="25" t="str">
        <x:f>IF(OR(E250="processing",E250="executing",E250="pending"),IF(AM250="","Required aging date missing",IF(AN250&gt;30,"Escalate &gt;30d",IF(AN250&gt;14,"Watch &gt;14d","Within 14d"))),"Out of scope")</x:f>
        <x:v>Within 14d</x:v>
      </x:c>
    </x:row>
    <x:row r="251" ht="24" customHeight="1">
      <x:c r="A251" t="str">
        <x:v>3be6544f-585a-4fda-a75a-4ee303bb1281</x:v>
      </x:c>
      <x:c r="B251" t="str">
        <x:v>CSSP10760755</x:v>
      </x:c>
      <x:c r="C251" t="str">
        <x:v>hafidzh.zakaria@petronas.com</x:v>
      </x:c>
      <x:c r="D251" t="str">
        <x:v>provision-cloud-public</x:v>
      </x:c>
      <x:c r="E251" t="str">
        <x:v>pending</x:v>
      </x:c>
      <x:c r="F251" t="n">
        <x:v>46238.17587684028</x:v>
      </x:c>
      <x:c r="G251" t="n">
        <x:v>46238.17587684028</x:v>
      </x:c>
      <x:c r="H251" t="n">
        <x:v>46238.17587684028</x:v>
      </x:c>
      <x:c r="I251" t="str">
        <x:v>P-000050</x:v>
      </x:c>
      <x:c r="J251" t="str">
        <x:v>VMware vCenter RDMZ RTOT</x:v>
      </x:c>
      <x:c r="K251" t="str">
        <x:v>10188_10</x:v>
      </x:c>
      <x:c r="L251" t="str">
        <x:v>VMware vCenter RDMZ RTOT created for PRIVATECLOUD project record</x:v>
      </x:c>
      <x:c r="M251" t="str">
        <x:v>raihan_ahmad@petronas.com</x:v>
      </x:c>
      <x:c r="N251" t="str">
        <x:v>CS RTOT</x:v>
      </x:c>
      <x:c r="O251" t="str">
        <x:v>New</x:v>
      </x:c>
      <x:c r="P251" t="str">
        <x:v>Production</x:v>
      </x:c>
      <x:c r="Q251" t="str">
        <x:v>To provision new server at L4 Cloud. LLD has been approved but previous request has been rejected due to request to provision new server at KVDC. Therefore, need to provision at Cloud. Will amend the LLD once got the IP Cloud.
</x:v>
      </x:c>
      <x:c r="R251"/>
      <x:c r="S251"/>
      <x:c r="T251"/>
      <x:c r="U251"/>
      <x:c r="V251"/>
      <x:c r="W251" t="str">
        <x:v>raihan_ahmad@petronas.com</x:v>
      </x:c>
      <x:c r="X251"/>
      <x:c r="Y251"/>
      <x:c r="Z251"/>
      <x:c r="AA251" t="str">
        <x:v>CCoE SA</x:v>
      </x:c>
      <x:c r="AB251"/>
      <x:c r="AC251"/>
      <x:c r="AD251"/>
      <x:c r="AE251" t="str">
        <x:v>IMS - CLOUD CSSP REVIEWER</x:v>
      </x:c>
      <x:c r="AF251"/>
      <x:c r="AG251"/>
      <x:c r="AH251"/>
      <x:c r="AI251" t="str">
        <x:v>IMS - CLOUD CSSP EXECUTOR</x:v>
      </x:c>
      <x:c r="AJ251"/>
      <x:c r="AK251"/>
      <x:c r="AL251" t="str">
        <x:v>105fd04d-e288-4aa4-9271-ae2da8917315</x:v>
      </x:c>
      <x:c r="AM251" s="23" t="str">
        <x:f>IF(E251="processing",IF(Z251="","",IF(ISNUMBER(Z251),INT(Z251),DATE(VALUE(LEFT(Z251,4)),VALUE(MID(Z251,6,2)),VALUE(MID(Z251,9,2))))),IF(OR(E251="executing",E251="pending"),IF(AD251="","",IF(ISNUMBER(AD251),INT(AD251),DATE(VALUE(LEFT(AD251,4)),VALUE(MID(AD251,6,2)),VALUE(MID(AD251,9,2))))),""))</x:f>
      </x:c>
      <x:c r="AN251" s="24" t="str">
        <x:f>IF(AM251="","",INT('Configuration'!$B$4)-AM251)</x:f>
      </x:c>
      <x:c r="AO251" s="25" t="str">
        <x:f>IF(AM251="","Missing Required Date",IF(AN251&lt;0,"Future Date",IF(AN251=0,"0 days",IF(AN251&lt;=2,"1-2 days",IF(AN251&lt;=7,"3-7 days",IF(AN251&lt;=14,"8-14 days",IF(AN251&lt;=30,"15-30 days",IF(AN251&lt;=60,"31-60 days",IF(AN251&lt;=70,"61-70 days","71+ days")))))))))</x:f>
        <x:v>Missing Required Date</x:v>
      </x:c>
      <x:c r="AP251" s="25" t="str">
        <x:f>IF(OR(E251="processing",E251="executing",E251="pending"),IF(AM251="","Required aging date missing",IF(AN251&gt;30,"Escalate &gt;30d",IF(AN251&gt;14,"Watch &gt;14d","Within 14d"))),"Out of scope")</x:f>
        <x:v>Required aging date missing</x:v>
      </x:c>
    </x:row>
    <x:row r="252" ht="24" customHeight="1">
      <x:c r="A252" t="str">
        <x:v>87604950-6318-4086-9581-1519b93b1deb</x:v>
      </x:c>
      <x:c r="B252" t="str">
        <x:v>CSSP10474210</x:v>
      </x:c>
      <x:c r="C252" t="str">
        <x:v>nurulain.mmahamad@petronas.com</x:v>
      </x:c>
      <x:c r="D252" t="str">
        <x:v>provision-cloud-public</x:v>
      </x:c>
      <x:c r="E252" t="str">
        <x:v>rejected</x:v>
      </x:c>
      <x:c r="F252" t="n">
        <x:v>46240.37880346065</x:v>
      </x:c>
      <x:c r="G252" t="n">
        <x:v>46240.37880346065</x:v>
      </x:c>
      <x:c r="H252" t="n">
        <x:v>46245.19472811343</x:v>
      </x:c>
      <x:c r="I252" t="str">
        <x:v>A-000031</x:v>
      </x:c>
      <x:c r="J252" t="str">
        <x:v>Augmented Gas Nomination Ecosystem - AGNES</x:v>
      </x:c>
      <x:c r="K252" t="str">
        <x:v>SR26593</x:v>
      </x:c>
      <x:c r="L252" t="str">
        <x:v>Procurement for Deployment of Augmented Gas Nomination Ecosystem (AGNES) at PMA</x:v>
      </x:c>
      <x:c r="M252" t="str">
        <x:v>rabiatul.mohamad@petronas.com</x:v>
      </x:c>
      <x:c r="N252" t="str">
        <x:v>AGNES</x:v>
      </x:c>
      <x:c r="O252" t="str">
        <x:v>Modify</x:v>
      </x:c>
      <x:c r="P252" t="str">
        <x:v>StagingUat</x:v>
      </x:c>
      <x:c r="Q252" t="str">
        <x:v>1. To Increase Disk F from 1 TB to 2-3 TB. Disk F is used for storing historical data for the PMS application, and the storage requirement is expected to grow over time. If additional disk space allocation is a concern, we can consider removing Disk I and Disk J.
2. Server Details:
•	Staging Server: 10.176.48.6</x:v>
      </x:c>
      <x:c r="R252" t="str">
        <x:v>S</x:v>
      </x:c>
      <x:c r="S252"/>
      <x:c r="T252"/>
      <x:c r="U252" t="str">
        <x:v>Approved, please proceed.</x:v>
      </x:c>
      <x:c r="V252" t="n">
        <x:v>46240.38173197916</x:v>
      </x:c>
      <x:c r="W252" t="str">
        <x:v>rabiatul.mohamad@petronas.com</x:v>
      </x:c>
      <x:c r="X252" t="str">
        <x:v>approved</x:v>
      </x:c>
      <x:c r="Y252" t="str">
        <x:v>As discussed, please amend the estimated cost and include the affected servers (ptmy-4agnespma1 - 10.176.48.6) in the request details.</x:v>
      </x:c>
      <x:c r="Z252" t="n">
        <x:v>46245.19472813657</x:v>
      </x:c>
      <x:c r="AA252" t="str">
        <x:v>samsuddin.jumbri@petronas.com</x:v>
      </x:c>
      <x:c r="AB252" t="str">
        <x:v>rejected</x:v>
      </x:c>
      <x:c r="AC252"/>
      <x:c r="AD252"/>
      <x:c r="AE252" t="str">
        <x:v>IMS - CLOUD CSSP REVIEWER</x:v>
      </x:c>
      <x:c r="AF252"/>
      <x:c r="AG252"/>
      <x:c r="AH252"/>
      <x:c r="AI252" t="str">
        <x:v>IMS - CLOUD CSSP EXECUTOR</x:v>
      </x:c>
      <x:c r="AJ252"/>
      <x:c r="AK252"/>
      <x:c r="AL252" t="str">
        <x:v>ce102e4f-11e3-4336-af66-3c380cafe022</x:v>
      </x:c>
      <x:c r="AM252" s="23" t="str">
        <x:f>IF(E252="processing",IF(Z252="","",IF(ISNUMBER(Z252),INT(Z252),DATE(VALUE(LEFT(Z252,4)),VALUE(MID(Z252,6,2)),VALUE(MID(Z252,9,2))))),IF(OR(E252="executing",E252="pending"),IF(AD252="","",IF(ISNUMBER(AD252),INT(AD252),DATE(VALUE(LEFT(AD252,4)),VALUE(MID(AD252,6,2)),VALUE(MID(AD252,9,2))))),""))</x:f>
      </x:c>
      <x:c r="AN252" s="24" t="str">
        <x:f>IF(AM252="","",INT('Configuration'!$B$4)-AM252)</x:f>
      </x:c>
      <x:c r="AO252" s="25" t="str">
        <x:f>IF(AM252="","Missing Required Date",IF(AN252&lt;0,"Future Date",IF(AN252=0,"0 days",IF(AN252&lt;=2,"1-2 days",IF(AN252&lt;=7,"3-7 days",IF(AN252&lt;=14,"8-14 days",IF(AN252&lt;=30,"15-30 days",IF(AN252&lt;=60,"31-60 days",IF(AN252&lt;=70,"61-70 days","71+ days")))))))))</x:f>
        <x:v>Missing Required Date</x:v>
      </x:c>
      <x:c r="AP252" s="25" t="str">
        <x:f>IF(OR(E252="processing",E252="executing",E252="pending"),IF(AM252="","Required aging date missing",IF(AN252&gt;30,"Escalate &gt;30d",IF(AN252&gt;14,"Watch &gt;14d","Within 14d"))),"Out of scope")</x:f>
        <x:v>Out of scope</x:v>
      </x:c>
    </x:row>
    <x:row r="253" ht="24" customHeight="1">
      <x:c r="A253" t="str">
        <x:v>3937c261-cba8-48b1-a709-a2fc329dc613</x:v>
      </x:c>
      <x:c r="B253" t="str">
        <x:v>CSSP10184564</x:v>
      </x:c>
      <x:c r="C253" t="str">
        <x:v>norsuriawani.m@petronas.com</x:v>
      </x:c>
      <x:c r="D253" t="str">
        <x:v>provision-cloud-public</x:v>
      </x:c>
      <x:c r="E253" t="str">
        <x:v>rejected</x:v>
      </x:c>
      <x:c r="F253" t="n">
        <x:v>46244.125039502316</x:v>
      </x:c>
      <x:c r="G253" t="n">
        <x:v>46244.33595216435</x:v>
      </x:c>
      <x:c r="H253" t="n">
        <x:v>46244.33835722222</x:v>
      </x:c>
      <x:c r="I253" t="str">
        <x:v>A-000696</x:v>
      </x:c>
      <x:c r="J253" t="str">
        <x:v>Robotic Process Automation - RPA GHRM</x:v>
      </x:c>
      <x:c r="K253" t="str">
        <x:v>00669_GHRS</x:v>
      </x:c>
      <x:c r="L253" t="str">
        <x:v>Implementation of Robotic Process Automation (RPA) (Wave 1) for GHRS</x:v>
      </x:c>
      <x:c r="M253" t="str">
        <x:v>mtariq.tahreb@petronas.com</x:v>
      </x:c>
      <x:c r="N253" t="str">
        <x:v>Implementation of RPA (Wave 4) for GHRS</x:v>
      </x:c>
      <x:c r="O253" t="str">
        <x:v>Modify</x:v>
      </x:c>
      <x:c r="P253" t="str">
        <x:v>Production</x:v>
      </x:c>
      <x:c r="Q253" t="str">
        <x:v>ICT_RFC00224898
Data Disk expansion about 1TB (Total Targeted F drive is 4TB) .
1.  172.25.40.60 (PTSG-1RPAdb1)
2.  172.25.40.61 (PTSG-1RPAdb2)</x:v>
      </x:c>
      <x:c r="R253" t="str">
        <x:v>M</x:v>
      </x:c>
      <x:c r="S253" t="str">
        <x:v>ICT_RFC00224898</x:v>
      </x:c>
      <x:c r="T253"/>
      <x:c r="U253"/>
      <x:c r="V253" t="n">
        <x:v>46244.3383572338</x:v>
      </x:c>
      <x:c r="W253" t="str">
        <x:v>mtariq.tahreb@petronas.com</x:v>
      </x:c>
      <x:c r="X253" t="str">
        <x:v>rejected</x:v>
      </x:c>
      <x:c r="Y253"/>
      <x:c r="Z253"/>
      <x:c r="AA253" t="str">
        <x:v>CCoE SA</x:v>
      </x:c>
      <x:c r="AB253"/>
      <x:c r="AC253"/>
      <x:c r="AD253"/>
      <x:c r="AE253" t="str">
        <x:v>IMS - CLOUD CSSP REVIEWER</x:v>
      </x:c>
      <x:c r="AF253"/>
      <x:c r="AG253"/>
      <x:c r="AH253"/>
      <x:c r="AI253" t="str">
        <x:v>IMS - CLOUD CSSP EXECUTOR</x:v>
      </x:c>
      <x:c r="AJ253"/>
      <x:c r="AK253"/>
      <x:c r="AL253" t="str">
        <x:v>1f65692d-ab91-42ae-9d20-07359793931e</x:v>
      </x:c>
      <x:c r="AM253" s="23" t="str">
        <x:f>IF(E253="processing",IF(Z253="","",IF(ISNUMBER(Z253),INT(Z253),DATE(VALUE(LEFT(Z253,4)),VALUE(MID(Z253,6,2)),VALUE(MID(Z253,9,2))))),IF(OR(E253="executing",E253="pending"),IF(AD253="","",IF(ISNUMBER(AD253),INT(AD253),DATE(VALUE(LEFT(AD253,4)),VALUE(MID(AD253,6,2)),VALUE(MID(AD253,9,2))))),""))</x:f>
      </x:c>
      <x:c r="AN253" s="24" t="str">
        <x:f>IF(AM253="","",INT('Configuration'!$B$4)-AM253)</x:f>
      </x:c>
      <x:c r="AO253" s="25" t="str">
        <x:f>IF(AM253="","Missing Required Date",IF(AN253&lt;0,"Future Date",IF(AN253=0,"0 days",IF(AN253&lt;=2,"1-2 days",IF(AN253&lt;=7,"3-7 days",IF(AN253&lt;=14,"8-14 days",IF(AN253&lt;=30,"15-30 days",IF(AN253&lt;=60,"31-60 days",IF(AN253&lt;=70,"61-70 days","71+ days")))))))))</x:f>
        <x:v>Missing Required Date</x:v>
      </x:c>
      <x:c r="AP253" s="25" t="str">
        <x:f>IF(OR(E253="processing",E253="executing",E253="pending"),IF(AM253="","Required aging date missing",IF(AN253&gt;30,"Escalate &gt;30d",IF(AN253&gt;14,"Watch &gt;14d","Within 14d"))),"Out of scope")</x:f>
        <x:v>Out of scope</x:v>
      </x:c>
    </x:row>
    <x:row r="254" ht="24" customHeight="1">
      <x:c r="A254" t="str">
        <x:v>1848779f-7cff-4757-bda2-32c4b343c8f1</x:v>
      </x:c>
      <x:c r="B254" t="str">
        <x:v>CSSP10965023</x:v>
      </x:c>
      <x:c r="C254" t="str">
        <x:v>norsuriawani.m@petronas.com</x:v>
      </x:c>
      <x:c r="D254" t="str">
        <x:v>provision-cloud-public</x:v>
      </x:c>
      <x:c r="E254" t="str">
        <x:v>executing</x:v>
      </x:c>
      <x:c r="F254" t="n">
        <x:v>46244.34321291667</x:v>
      </x:c>
      <x:c r="G254" t="n">
        <x:v>46244.34321291667</x:v>
      </x:c>
      <x:c r="H254" t="n">
        <x:v>46247.304909398146</x:v>
      </x:c>
      <x:c r="I254" t="str">
        <x:v>A-000696</x:v>
      </x:c>
      <x:c r="J254" t="str">
        <x:v>Robotic Process Automation - RPA GHRM</x:v>
      </x:c>
      <x:c r="K254" t="str">
        <x:v>00669_GHRS</x:v>
      </x:c>
      <x:c r="L254" t="str">
        <x:v>Implementation of Robotic Process Automation (RPA) (Wave 1) for GHRS</x:v>
      </x:c>
      <x:c r="M254" t="str">
        <x:v>mtariq.tahreb@petronas.com</x:v>
      </x:c>
      <x:c r="N254" t="str">
        <x:v>Implementation of RPA (Wave 4) for GHRS</x:v>
      </x:c>
      <x:c r="O254" t="str">
        <x:v>Modify</x:v>
      </x:c>
      <x:c r="P254" t="str">
        <x:v>Production</x:v>
      </x:c>
      <x:c r="Q254" t="str">
        <x:v>ICT_RFC00224898 Data Disk expansion about 1TB (Total Targeted F drive is 4TB)
Server: 
1. 172.25.40.60 (PTSG-1RPAdb1)
2. 172.25.40.61 (PTSG-1RPAdb2)</x:v>
      </x:c>
      <x:c r="R254" t="str">
        <x:v>S</x:v>
      </x:c>
      <x:c r="S254" t="str">
        <x:v>ICT_RFC00224898</x:v>
      </x:c>
      <x:c r="T254"/>
      <x:c r="U254" t="str">
        <x:v>approve</x:v>
      </x:c>
      <x:c r="V254" t="n">
        <x:v>46244.36919172454</x:v>
      </x:c>
      <x:c r="W254" t="str">
        <x:v>mtariq.tahreb@petronas.com</x:v>
      </x:c>
      <x:c r="X254" t="str">
        <x:v>approved</x:v>
      </x:c>
      <x:c r="Y254" t="str">
        <x:v>Good to go</x:v>
      </x:c>
      <x:c r="Z254" t="n">
        <x:v>46244.37327023148</x:v>
      </x:c>
      <x:c r="AA254" t="str">
        <x:v>samsuddin.jumbri@petronas.com</x:v>
      </x:c>
      <x:c r="AB254" t="str">
        <x:v>approved</x:v>
      </x:c>
      <x:c r="AC254" t="str">
        <x:v>approve</x:v>
      </x:c>
      <x:c r="AD254" t="n">
        <x:v>46247.30490940972</x:v>
      </x:c>
      <x:c r="AE254" t="str">
        <x:v>abhishek.bhowate@petronas.com</x:v>
      </x:c>
      <x:c r="AF254" t="str">
        <x:v>approved</x:v>
      </x:c>
      <x:c r="AG254"/>
      <x:c r="AH254"/>
      <x:c r="AI254" t="str">
        <x:v>mardiansyah.rayasa@petronas.com</x:v>
      </x:c>
      <x:c r="AJ254"/>
      <x:c r="AK254" t="str">
        <x:v>REQ000008239681</x:v>
      </x:c>
      <x:c r="AL254" t="str">
        <x:v>1f65692d-ab91-42ae-9d20-07359793931e</x:v>
      </x:c>
      <x:c r="AM254" s="23" t="n">
        <x:f>IF(E254="processing",IF(Z254="","",IF(ISNUMBER(Z254),INT(Z254),DATE(VALUE(LEFT(Z254,4)),VALUE(MID(Z254,6,2)),VALUE(MID(Z254,9,2))))),IF(OR(E254="executing",E254="pending"),IF(AD254="","",IF(ISNUMBER(AD254),INT(AD254),DATE(VALUE(LEFT(AD254,4)),VALUE(MID(AD254,6,2)),VALUE(MID(AD254,9,2))))),""))</x:f>
        <x:v>46247</x:v>
      </x:c>
      <x:c r="AN254" s="24" t="n">
        <x:f>IF(AM254="","",INT('Configuration'!$B$4)-AM254)</x:f>
        <x:v>4</x:v>
      </x:c>
      <x:c r="AO254" s="25" t="str">
        <x:f>IF(AM254="","Missing Required Date",IF(AN254&lt;0,"Future Date",IF(AN254=0,"0 days",IF(AN254&lt;=2,"1-2 days",IF(AN254&lt;=7,"3-7 days",IF(AN254&lt;=14,"8-14 days",IF(AN254&lt;=30,"15-30 days",IF(AN254&lt;=60,"31-60 days",IF(AN254&lt;=70,"61-70 days","71+ days")))))))))</x:f>
        <x:v>3-7 days</x:v>
      </x:c>
      <x:c r="AP254" s="25" t="str">
        <x:f>IF(OR(E254="processing",E254="executing",E254="pending"),IF(AM254="","Required aging date missing",IF(AN254&gt;30,"Escalate &gt;30d",IF(AN254&gt;14,"Watch &gt;14d","Within 14d"))),"Out of scope")</x:f>
        <x:v>Within 14d</x:v>
      </x:c>
    </x:row>
    <x:row r="255" ht="24" customHeight="1">
      <x:c r="A255" t="str">
        <x:v>e06f558c-2c68-4fb8-afcd-86e412e61954</x:v>
      </x:c>
      <x:c r="B255" t="str">
        <x:v>CSSP10156093</x:v>
      </x:c>
      <x:c r="C255" t="str">
        <x:v>mariffirdaus.mkhaidz@petronas.com</x:v>
      </x:c>
      <x:c r="D255" t="str">
        <x:v>provision-cloud-public</x:v>
      </x:c>
      <x:c r="E255" t="str">
        <x:v>rejected</x:v>
      </x:c>
      <x:c r="F255" t="n">
        <x:v>46244.35461164352</x:v>
      </x:c>
      <x:c r="G255" t="n">
        <x:v>46244.35461164352</x:v>
      </x:c>
      <x:c r="H255" t="n">
        <x:v>46244.361857372685</x:v>
      </x:c>
      <x:c r="I255" t="str">
        <x:v>A-001346</x:v>
      </x:c>
      <x:c r="J255" t="str">
        <x:v>GPE Digital Platform</x:v>
      </x:c>
      <x:c r="K255" t="str">
        <x:v>SR00331</x:v>
      </x:c>
      <x:c r="L255" t="str">
        <x:v>Quality Suite</x:v>
      </x:c>
      <x:c r="M255" t="str">
        <x:v>msufian.hussein@petronas.com</x:v>
      </x:c>
      <x:c r="N255" t="str">
        <x:v>Quality Suite</x:v>
      </x:c>
      <x:c r="O255" t="str">
        <x:v>New</x:v>
      </x:c>
      <x:c r="P255" t="str">
        <x:v>Development</x:v>
      </x:c>
      <x:c r="Q255" t="str">
        <x:v>Please assist us to provision additional RDS instances in AWS for our application in DEV environment.</x:v>
      </x:c>
      <x:c r="R255"/>
      <x:c r="S255"/>
      <x:c r="T255"/>
      <x:c r="U255" t="str">
        <x:v>Reuse existing RDS.</x:v>
      </x:c>
      <x:c r="V255" t="n">
        <x:v>46244.36185738426</x:v>
      </x:c>
      <x:c r="W255" t="str">
        <x:v>msufian.hussein@petronas.com</x:v>
      </x:c>
      <x:c r="X255" t="str">
        <x:v>rejected</x:v>
      </x:c>
      <x:c r="Y255"/>
      <x:c r="Z255"/>
      <x:c r="AA255" t="str">
        <x:v>CCoE SA</x:v>
      </x:c>
      <x:c r="AB255"/>
      <x:c r="AC255"/>
      <x:c r="AD255"/>
      <x:c r="AE255" t="str">
        <x:v>IMS - CLOUD CSSP REVIEWER</x:v>
      </x:c>
      <x:c r="AF255"/>
      <x:c r="AG255"/>
      <x:c r="AH255"/>
      <x:c r="AI255" t="str">
        <x:v>IMS - CLOUD CSSP EXECUTOR</x:v>
      </x:c>
      <x:c r="AJ255"/>
      <x:c r="AK255"/>
      <x:c r="AL255" t="str">
        <x:v>868b1bbc-b9be-43ba-8175-d6ca35843984</x:v>
      </x:c>
      <x:c r="AM255" s="23" t="str">
        <x:f>IF(E255="processing",IF(Z255="","",IF(ISNUMBER(Z255),INT(Z255),DATE(VALUE(LEFT(Z255,4)),VALUE(MID(Z255,6,2)),VALUE(MID(Z255,9,2))))),IF(OR(E255="executing",E255="pending"),IF(AD255="","",IF(ISNUMBER(AD255),INT(AD255),DATE(VALUE(LEFT(AD255,4)),VALUE(MID(AD255,6,2)),VALUE(MID(AD255,9,2))))),""))</x:f>
      </x:c>
      <x:c r="AN255" s="24" t="str">
        <x:f>IF(AM255="","",INT('Configuration'!$B$4)-AM255)</x:f>
      </x:c>
      <x:c r="AO255" s="25" t="str">
        <x:f>IF(AM255="","Missing Required Date",IF(AN255&lt;0,"Future Date",IF(AN255=0,"0 days",IF(AN255&lt;=2,"1-2 days",IF(AN255&lt;=7,"3-7 days",IF(AN255&lt;=14,"8-14 days",IF(AN255&lt;=30,"15-30 days",IF(AN255&lt;=60,"31-60 days",IF(AN255&lt;=70,"61-70 days","71+ days")))))))))</x:f>
        <x:v>Missing Required Date</x:v>
      </x:c>
      <x:c r="AP255" s="25" t="str">
        <x:f>IF(OR(E255="processing",E255="executing",E255="pending"),IF(AM255="","Required aging date missing",IF(AN255&gt;30,"Escalate &gt;30d",IF(AN255&gt;14,"Watch &gt;14d","Within 14d"))),"Out of scope")</x:f>
        <x:v>Out of scope</x:v>
      </x:c>
    </x:row>
    <x:row r="256" ht="24" customHeight="1">
      <x:c r="A256" t="str">
        <x:v>04977570-7bc2-4af2-870e-e64f5399604d</x:v>
      </x:c>
      <x:c r="B256" t="str">
        <x:v>CSSP10338229</x:v>
      </x:c>
      <x:c r="C256" t="str">
        <x:v>mariffirdaus.mkhaidz@petronas.com</x:v>
      </x:c>
      <x:c r="D256" t="str">
        <x:v>provision-cloud-public</x:v>
      </x:c>
      <x:c r="E256" t="str">
        <x:v>rejected</x:v>
      </x:c>
      <x:c r="F256" t="n">
        <x:v>46244.35588722222</x:v>
      </x:c>
      <x:c r="G256" t="n">
        <x:v>46244.35588722222</x:v>
      </x:c>
      <x:c r="H256" t="n">
        <x:v>46244.89826170139</x:v>
      </x:c>
      <x:c r="I256" t="str">
        <x:v>A-001346</x:v>
      </x:c>
      <x:c r="J256" t="str">
        <x:v>GPE Digital Platform</x:v>
      </x:c>
      <x:c r="K256" t="str">
        <x:v>SR00331</x:v>
      </x:c>
      <x:c r="L256" t="str">
        <x:v>Quality Suite</x:v>
      </x:c>
      <x:c r="M256" t="str">
        <x:v>msufian.hussein@petronas.com</x:v>
      </x:c>
      <x:c r="N256" t="str">
        <x:v>Quality Suite</x:v>
      </x:c>
      <x:c r="O256" t="str">
        <x:v>New</x:v>
      </x:c>
      <x:c r="P256" t="str">
        <x:v>StagingUat</x:v>
      </x:c>
      <x:c r="Q256" t="str">
        <x:v>Please assist us to provision additional RDS instances in AWS for our application in Staging/UAT environment.</x:v>
      </x:c>
      <x:c r="R256"/>
      <x:c r="S256"/>
      <x:c r="T256"/>
      <x:c r="U256" t="str">
        <x:v>Use existing provisioned RDS</x:v>
      </x:c>
      <x:c r="V256" t="n">
        <x:v>46244.89826170139</x:v>
      </x:c>
      <x:c r="W256" t="str">
        <x:v>msufian.hussein@petronas.com</x:v>
      </x:c>
      <x:c r="X256" t="str">
        <x:v>rejected</x:v>
      </x:c>
      <x:c r="Y256"/>
      <x:c r="Z256"/>
      <x:c r="AA256" t="str">
        <x:v>CCoE SA</x:v>
      </x:c>
      <x:c r="AB256"/>
      <x:c r="AC256"/>
      <x:c r="AD256"/>
      <x:c r="AE256" t="str">
        <x:v>IMS - CLOUD CSSP REVIEWER</x:v>
      </x:c>
      <x:c r="AF256"/>
      <x:c r="AG256"/>
      <x:c r="AH256"/>
      <x:c r="AI256" t="str">
        <x:v>IMS - CLOUD CSSP EXECUTOR</x:v>
      </x:c>
      <x:c r="AJ256"/>
      <x:c r="AK256"/>
      <x:c r="AL256" t="str">
        <x:v>868b1bbc-b9be-43ba-8175-d6ca35843984</x:v>
      </x:c>
      <x:c r="AM256" s="23" t="str">
        <x:f>IF(E256="processing",IF(Z256="","",IF(ISNUMBER(Z256),INT(Z256),DATE(VALUE(LEFT(Z256,4)),VALUE(MID(Z256,6,2)),VALUE(MID(Z256,9,2))))),IF(OR(E256="executing",E256="pending"),IF(AD256="","",IF(ISNUMBER(AD256),INT(AD256),DATE(VALUE(LEFT(AD256,4)),VALUE(MID(AD256,6,2)),VALUE(MID(AD256,9,2))))),""))</x:f>
      </x:c>
      <x:c r="AN256" s="24" t="str">
        <x:f>IF(AM256="","",INT('Configuration'!$B$4)-AM256)</x:f>
      </x:c>
      <x:c r="AO256" s="25" t="str">
        <x:f>IF(AM256="","Missing Required Date",IF(AN256&lt;0,"Future Date",IF(AN256=0,"0 days",IF(AN256&lt;=2,"1-2 days",IF(AN256&lt;=7,"3-7 days",IF(AN256&lt;=14,"8-14 days",IF(AN256&lt;=30,"15-30 days",IF(AN256&lt;=60,"31-60 days",IF(AN256&lt;=70,"61-70 days","71+ days")))))))))</x:f>
        <x:v>Missing Required Date</x:v>
      </x:c>
      <x:c r="AP256" s="25" t="str">
        <x:f>IF(OR(E256="processing",E256="executing",E256="pending"),IF(AM256="","Required aging date missing",IF(AN256&gt;30,"Escalate &gt;30d",IF(AN256&gt;14,"Watch &gt;14d","Within 14d"))),"Out of scope")</x:f>
        <x:v>Out of scope</x:v>
      </x:c>
    </x:row>
    <x:row r="257" ht="24" customHeight="1">
      <x:c r="A257" t="str">
        <x:v>72c8850a-6fb0-498f-aea9-abb665ecba13</x:v>
      </x:c>
      <x:c r="B257" t="str">
        <x:v>CSSP10970274</x:v>
      </x:c>
      <x:c r="C257" t="str">
        <x:v>izwan.othman@petronas.com</x:v>
      </x:c>
      <x:c r="D257" t="str">
        <x:v>provision-cloud-public</x:v>
      </x:c>
      <x:c r="E257" t="str">
        <x:v>rejected</x:v>
      </x:c>
      <x:c r="F257" t="n">
        <x:v>46244.59955607639</x:v>
      </x:c>
      <x:c r="G257" t="n">
        <x:v>46244.59955607639</x:v>
      </x:c>
      <x:c r="H257" t="n">
        <x:v>46246.14264895833</x:v>
      </x:c>
      <x:c r="I257" t="str">
        <x:v>A-001394</x:v>
      </x:c>
      <x:c r="J257" t="str">
        <x:v>Zentory+</x:v>
      </x:c>
      <x:c r="K257" t="str">
        <x:v>PC-00095</x:v>
      </x:c>
      <x:c r="L257" t="str">
        <x:v>Zentory+ Integration Layer</x:v>
      </x:c>
      <x:c r="M257" t="str">
        <x:v>che.nurhashimah@petronas.com</x:v>
      </x:c>
      <x:c r="N257" t="str">
        <x:v>ZentoryPlus Support Team</x:v>
      </x:c>
      <x:c r="O257" t="str">
        <x:v>New</x:v>
      </x:c>
      <x:c r="P257" t="str">
        <x:v>StagingUat</x:v>
      </x:c>
      <x:c r="Q257" t="str">
        <x:v>New enhancement to provision for azure cloud integration layer between SAP SFTP and Zentory+ in IBM Cloud</x:v>
      </x:c>
      <x:c r="R257"/>
      <x:c r="S257"/>
      <x:c r="T257"/>
      <x:c r="U257"/>
      <x:c r="V257" t="n">
        <x:v>46246.142648981484</x:v>
      </x:c>
      <x:c r="W257" t="str">
        <x:v>che.nurhashimah@petronas.com</x:v>
      </x:c>
      <x:c r="X257" t="str">
        <x:v>rejected</x:v>
      </x:c>
      <x:c r="Y257"/>
      <x:c r="Z257"/>
      <x:c r="AA257" t="str">
        <x:v>CCoE SA</x:v>
      </x:c>
      <x:c r="AB257"/>
      <x:c r="AC257"/>
      <x:c r="AD257"/>
      <x:c r="AE257" t="str">
        <x:v>IMS - CLOUD CSSP REVIEWER</x:v>
      </x:c>
      <x:c r="AF257"/>
      <x:c r="AG257"/>
      <x:c r="AH257"/>
      <x:c r="AI257" t="str">
        <x:v>IMS - CLOUD CSSP EXECUTOR</x:v>
      </x:c>
      <x:c r="AJ257"/>
      <x:c r="AK257"/>
      <x:c r="AL257" t="str">
        <x:v>d2978604-92f0-4f18-8379-bde968933cf3</x:v>
      </x:c>
      <x:c r="AM257" s="23" t="str">
        <x:f>IF(E257="processing",IF(Z257="","",IF(ISNUMBER(Z257),INT(Z257),DATE(VALUE(LEFT(Z257,4)),VALUE(MID(Z257,6,2)),VALUE(MID(Z257,9,2))))),IF(OR(E257="executing",E257="pending"),IF(AD257="","",IF(ISNUMBER(AD257),INT(AD257),DATE(VALUE(LEFT(AD257,4)),VALUE(MID(AD257,6,2)),VALUE(MID(AD257,9,2))))),""))</x:f>
      </x:c>
      <x:c r="AN257" s="24" t="str">
        <x:f>IF(AM257="","",INT('Configuration'!$B$4)-AM257)</x:f>
      </x:c>
      <x:c r="AO257" s="25" t="str">
        <x:f>IF(AM257="","Missing Required Date",IF(AN257&lt;0,"Future Date",IF(AN257=0,"0 days",IF(AN257&lt;=2,"1-2 days",IF(AN257&lt;=7,"3-7 days",IF(AN257&lt;=14,"8-14 days",IF(AN257&lt;=30,"15-30 days",IF(AN257&lt;=60,"31-60 days",IF(AN257&lt;=70,"61-70 days","71+ days")))))))))</x:f>
        <x:v>Missing Required Date</x:v>
      </x:c>
      <x:c r="AP257" s="25" t="str">
        <x:f>IF(OR(E257="processing",E257="executing",E257="pending"),IF(AM257="","Required aging date missing",IF(AN257&gt;30,"Escalate &gt;30d",IF(AN257&gt;14,"Watch &gt;14d","Within 14d"))),"Out of scope")</x:f>
        <x:v>Out of scope</x:v>
      </x:c>
    </x:row>
    <x:row r="258" ht="24" customHeight="1">
      <x:c r="A258" t="str">
        <x:v>04ffe0cb-4e2c-4705-8ffe-0732e09732e7</x:v>
      </x:c>
      <x:c r="B258" t="str">
        <x:v>CSSP10390950</x:v>
      </x:c>
      <x:c r="C258" t="str">
        <x:v>hasrol.yusop@petronas.com</x:v>
      </x:c>
      <x:c r="D258" t="str">
        <x:v>provision-cloud-public</x:v>
      </x:c>
      <x:c r="E258" t="str">
        <x:v>executing</x:v>
      </x:c>
      <x:c r="F258" t="n">
        <x:v>46245.38285111111</x:v>
      </x:c>
      <x:c r="G258" t="n">
        <x:v>46245.38285111111</x:v>
      </x:c>
      <x:c r="H258" t="n">
        <x:v>46249.352948148146</x:v>
      </x:c>
      <x:c r="I258" t="str">
        <x:v>A-000663</x:v>
      </x:c>
      <x:c r="J258" t="str">
        <x:v>ProSource</x:v>
      </x:c>
      <x:c r="K258" t="str">
        <x:v>SR00620</x:v>
      </x:c>
      <x:c r="L258" t="str">
        <x:v>Provisioning of Infrastructure for Prosource and Qumulo Storage Management System for UTDI</x:v>
      </x:c>
      <x:c r="M258" t="str">
        <x:v>hoongkum.chan@petronas.com.my</x:v>
      </x:c>
      <x:c r="N258" t="str">
        <x:v>Provisioning of Infrastructure for Prosource and Qumulo for UTDI</x:v>
      </x:c>
      <x:c r="O258" t="str">
        <x:v>New</x:v>
      </x:c>
      <x:c r="P258" t="str">
        <x:v>StagingUat</x:v>
      </x:c>
      <x:c r="Q258" t="str">
        <x:v>To request for temporary Azure VM to support the post stack data migration from Azure SG to Azure MW.
Provisioning Basis: Temporary migration scale-up to increase throughput and reduce overall migration lead time</x:v>
      </x:c>
      <x:c r="R258" t="str">
        <x:v>M</x:v>
      </x:c>
      <x:c r="S258"/>
      <x:c r="T258"/>
      <x:c r="U258" t="str">
        <x:v>Approved as per project requirements</x:v>
      </x:c>
      <x:c r="V258" t="n">
        <x:v>46246.02524131945</x:v>
      </x:c>
      <x:c r="W258" t="str">
        <x:v>hoongkum.chan@petronas.com</x:v>
      </x:c>
      <x:c r="X258" t="str">
        <x:v>approved</x:v>
      </x:c>
      <x:c r="Y258" t="str">
        <x:v>Provision 3-units of Azure VM in PTAZMY-IAC-PROD-PROSOURCE-RG</x:v>
      </x:c>
      <x:c r="Z258" t="n">
        <x:v>46246.11003256944</x:v>
      </x:c>
      <x:c r="AA258" t="str">
        <x:v>samsuddin.jumbri@petronas.com</x:v>
      </x:c>
      <x:c r="AB258" t="str">
        <x:v>approved</x:v>
      </x:c>
      <x:c r="AC258" t="str">
        <x:v>Approve</x:v>
      </x:c>
      <x:c r="AD258" t="n">
        <x:v>46249.35294815972</x:v>
      </x:c>
      <x:c r="AE258" t="str">
        <x:v>raditya.nugraha@petronas.com</x:v>
      </x:c>
      <x:c r="AF258" t="str">
        <x:v>approved</x:v>
      </x:c>
      <x:c r="AG258"/>
      <x:c r="AH258"/>
      <x:c r="AI258" t="str">
        <x:v>raditya.nugraha@petronas.com</x:v>
      </x:c>
      <x:c r="AJ258"/>
      <x:c r="AK258" t="str">
        <x:v>REQ000008244218</x:v>
      </x:c>
      <x:c r="AL258" t="str">
        <x:v>1f46f82f-3716-4404-aa90-fc69f4af663f</x:v>
      </x:c>
      <x:c r="AM258" s="23" t="n">
        <x:f>IF(E258="processing",IF(Z258="","",IF(ISNUMBER(Z258),INT(Z258),DATE(VALUE(LEFT(Z258,4)),VALUE(MID(Z258,6,2)),VALUE(MID(Z258,9,2))))),IF(OR(E258="executing",E258="pending"),IF(AD258="","",IF(ISNUMBER(AD258),INT(AD258),DATE(VALUE(LEFT(AD258,4)),VALUE(MID(AD258,6,2)),VALUE(MID(AD258,9,2))))),""))</x:f>
        <x:v>46249</x:v>
      </x:c>
      <x:c r="AN258" s="24" t="n">
        <x:f>IF(AM258="","",INT('Configuration'!$B$4)-AM258)</x:f>
        <x:v>2</x:v>
      </x:c>
      <x:c r="AO258" s="25" t="str">
        <x:f>IF(AM258="","Missing Required Date",IF(AN258&lt;0,"Future Date",IF(AN258=0,"0 days",IF(AN258&lt;=2,"1-2 days",IF(AN258&lt;=7,"3-7 days",IF(AN258&lt;=14,"8-14 days",IF(AN258&lt;=30,"15-30 days",IF(AN258&lt;=60,"31-60 days",IF(AN258&lt;=70,"61-70 days","71+ days")))))))))</x:f>
        <x:v>1-2 days</x:v>
      </x:c>
      <x:c r="AP258" s="25" t="str">
        <x:f>IF(OR(E258="processing",E258="executing",E258="pending"),IF(AM258="","Required aging date missing",IF(AN258&gt;30,"Escalate &gt;30d",IF(AN258&gt;14,"Watch &gt;14d","Within 14d"))),"Out of scope")</x:f>
        <x:v>Within 14d</x:v>
      </x:c>
    </x:row>
    <x:row r="259" ht="24" customHeight="1">
      <x:c r="A259" t="str">
        <x:v>178db113-a318-43c0-928c-317540c300ec</x:v>
      </x:c>
      <x:c r="B259" t="str">
        <x:v>CSSP10201868</x:v>
      </x:c>
      <x:c r="C259" t="str">
        <x:v>nurulain.mmahamad@petronas.com</x:v>
      </x:c>
      <x:c r="D259" t="str">
        <x:v>provision-cloud-public</x:v>
      </x:c>
      <x:c r="E259" t="str">
        <x:v>executing</x:v>
      </x:c>
      <x:c r="F259" t="n">
        <x:v>46246.17335074074</x:v>
      </x:c>
      <x:c r="G259" t="n">
        <x:v>46246.17335074074</x:v>
      </x:c>
      <x:c r="H259" t="n">
        <x:v>46249.226012465275</x:v>
      </x:c>
      <x:c r="I259" t="str">
        <x:v>A-000031</x:v>
      </x:c>
      <x:c r="J259" t="str">
        <x:v>Augmented Gas Nomination Ecosystem - AGNES</x:v>
      </x:c>
      <x:c r="K259" t="str">
        <x:v>SR26593</x:v>
      </x:c>
      <x:c r="L259" t="str">
        <x:v>Procurement for Deployment of Augmented Gas Nomination Ecosystem (AGNES) at PMA</x:v>
      </x:c>
      <x:c r="M259" t="str">
        <x:v>rabiatul.mohamad@petronas.com.my</x:v>
      </x:c>
      <x:c r="N259" t="str">
        <x:v>AGNES</x:v>
      </x:c>
      <x:c r="O259" t="str">
        <x:v>Modify</x:v>
      </x:c>
      <x:c r="P259" t="str">
        <x:v>StagingUat</x:v>
      </x:c>
      <x:c r="Q259" t="str">
        <x:v>To Increase Disk F from 1 TB to 2-3 TB. Disk F is used for storing historical data for the PMS application, and the storage requirement is expected to grow over time. If additional disk space allocation is a concern, we can consider removing Disk I and Disk J.
Server Details: • Staging Server (ptmy-4agnespma1): 10.176.48.6</x:v>
      </x:c>
      <x:c r="R259" t="str">
        <x:v>S</x:v>
      </x:c>
      <x:c r="S259"/>
      <x:c r="T259"/>
      <x:c r="U259" t="str">
        <x:v>Agreed as per discussed with the team to increase the server size.</x:v>
      </x:c>
      <x:c r="V259" t="n">
        <x:v>46246.24824364583</x:v>
      </x:c>
      <x:c r="W259" t="str">
        <x:v>rabiatul.mohamad@petronas.com</x:v>
      </x:c>
      <x:c r="X259" t="str">
        <x:v>approved</x:v>
      </x:c>
      <x:c r="Y259" t="str">
        <x:v>Good to go</x:v>
      </x:c>
      <x:c r="Z259" t="n">
        <x:v>46246.29756077546</x:v>
      </x:c>
      <x:c r="AA259" t="str">
        <x:v>samsuddin.jumbri@petronas.com</x:v>
      </x:c>
      <x:c r="AB259" t="str">
        <x:v>approved</x:v>
      </x:c>
      <x:c r="AC259" t="str">
        <x:v>Approve</x:v>
      </x:c>
      <x:c r="AD259" t="n">
        <x:v>46249.226012465275</x:v>
      </x:c>
      <x:c r="AE259" t="str">
        <x:v>abhishek.bhowate@petronas.com</x:v>
      </x:c>
      <x:c r="AF259" t="str">
        <x:v>approved</x:v>
      </x:c>
      <x:c r="AG259"/>
      <x:c r="AH259"/>
      <x:c r="AI259" t="str">
        <x:v>mardiansyah.rayasa@petronas.com</x:v>
      </x:c>
      <x:c r="AJ259"/>
      <x:c r="AK259" t="str">
        <x:v>REQ000008243606</x:v>
      </x:c>
      <x:c r="AL259" t="str">
        <x:v>ce102e4f-11e3-4336-af66-3c380cafe022</x:v>
      </x:c>
      <x:c r="AM259" s="23" t="n">
        <x:f>IF(E259="processing",IF(Z259="","",IF(ISNUMBER(Z259),INT(Z259),DATE(VALUE(LEFT(Z259,4)),VALUE(MID(Z259,6,2)),VALUE(MID(Z259,9,2))))),IF(OR(E259="executing",E259="pending"),IF(AD259="","",IF(ISNUMBER(AD259),INT(AD259),DATE(VALUE(LEFT(AD259,4)),VALUE(MID(AD259,6,2)),VALUE(MID(AD259,9,2))))),""))</x:f>
        <x:v>46249</x:v>
      </x:c>
      <x:c r="AN259" s="24" t="n">
        <x:f>IF(AM259="","",INT('Configuration'!$B$4)-AM259)</x:f>
        <x:v>2</x:v>
      </x:c>
      <x:c r="AO259" s="25" t="str">
        <x:f>IF(AM259="","Missing Required Date",IF(AN259&lt;0,"Future Date",IF(AN259=0,"0 days",IF(AN259&lt;=2,"1-2 days",IF(AN259&lt;=7,"3-7 days",IF(AN259&lt;=14,"8-14 days",IF(AN259&lt;=30,"15-30 days",IF(AN259&lt;=60,"31-60 days",IF(AN259&lt;=70,"61-70 days","71+ days")))))))))</x:f>
        <x:v>1-2 days</x:v>
      </x:c>
      <x:c r="AP259" s="25" t="str">
        <x:f>IF(OR(E259="processing",E259="executing",E259="pending"),IF(AM259="","Required aging date missing",IF(AN259&gt;30,"Escalate &gt;30d",IF(AN259&gt;14,"Watch &gt;14d","Within 14d"))),"Out of scope")</x:f>
        <x:v>Within 14d</x:v>
      </x:c>
    </x:row>
    <x:row r="260" ht="24" customHeight="1">
      <x:c r="A260" t="str">
        <x:v>b7800796-bb8c-4f92-87f5-a61bd10d3d6d</x:v>
      </x:c>
      <x:c r="B260" t="str">
        <x:v>CSSP10538665</x:v>
      </x:c>
      <x:c r="C260" t="str">
        <x:v>nurshazareena.zait@petronas.com</x:v>
      </x:c>
      <x:c r="D260" t="str">
        <x:v>provision-cloud-public</x:v>
      </x:c>
      <x:c r="E260" t="str">
        <x:v>executing</x:v>
      </x:c>
      <x:c r="F260" t="n">
        <x:v>46246.63568141204</x:v>
      </x:c>
      <x:c r="G260" t="n">
        <x:v>46246.63568141204</x:v>
      </x:c>
      <x:c r="H260" t="n">
        <x:v>46249.3559096875</x:v>
      </x:c>
      <x:c r="I260" t="str">
        <x:v>A-001375</x:v>
      </x:c>
      <x:c r="J260" t="str">
        <x:v>PETRONAS Data Fabric</x:v>
      </x:c>
      <x:c r="K260" t="str">
        <x:v>PC-00090</x:v>
      </x:c>
      <x:c r="L260" t="str">
        <x:v>PETRONAS Data Governance</x:v>
      </x:c>
      <x:c r="M260" t="str">
        <x:v>azmir.ghazali@petronas.com.my</x:v>
      </x:c>
      <x:c r="N260" t="str">
        <x:v>PETRONAS Data Portal</x:v>
      </x:c>
      <x:c r="O260" t="str">
        <x:v>New</x:v>
      </x:c>
      <x:c r="P260" t="str">
        <x:v>Production</x:v>
      </x:c>
      <x:c r="Q260" t="str">
        <x:v>The estimated amount is based on a 12-month calculation.</x:v>
      </x:c>
      <x:c r="R260" t="str">
        <x:v>S</x:v>
      </x:c>
      <x:c r="S260"/>
      <x:c r="T260"/>
      <x:c r="U260" t="str">
        <x:v>Approved as per discussed</x:v>
      </x:c>
      <x:c r="V260" t="n">
        <x:v>46246.980111689816</x:v>
      </x:c>
      <x:c r="W260" t="str">
        <x:v>azmir.ghazali@petronas.com</x:v>
      </x:c>
      <x:c r="X260" t="str">
        <x:v>approved</x:v>
      </x:c>
      <x:c r="Y260" t="str">
        <x:v>Fabric SKU F64</x:v>
      </x:c>
      <x:c r="Z260" t="n">
        <x:v>46247.1369053588</x:v>
      </x:c>
      <x:c r="AA260" t="str">
        <x:v>samsuddin.jumbri@petronas.com</x:v>
      </x:c>
      <x:c r="AB260" t="str">
        <x:v>approved</x:v>
      </x:c>
      <x:c r="AC260" t="str">
        <x:v>Approve</x:v>
      </x:c>
      <x:c r="AD260" t="n">
        <x:v>46249.3559096875</x:v>
      </x:c>
      <x:c r="AE260" t="str">
        <x:v>raditya.nugraha@petronas.com</x:v>
      </x:c>
      <x:c r="AF260" t="str">
        <x:v>approved</x:v>
      </x:c>
      <x:c r="AG260"/>
      <x:c r="AH260"/>
      <x:c r="AI260" t="str">
        <x:v>arun.karuppiah@petronas.com</x:v>
      </x:c>
      <x:c r="AJ260"/>
      <x:c r="AK260" t="str">
        <x:v>REQ000008244220</x:v>
      </x:c>
      <x:c r="AL260" t="str">
        <x:v>677e41e4-47ef-4ca3-b902-47051af01af6</x:v>
      </x:c>
      <x:c r="AM260" s="23" t="n">
        <x:f>IF(E260="processing",IF(Z260="","",IF(ISNUMBER(Z260),INT(Z260),DATE(VALUE(LEFT(Z260,4)),VALUE(MID(Z260,6,2)),VALUE(MID(Z260,9,2))))),IF(OR(E260="executing",E260="pending"),IF(AD260="","",IF(ISNUMBER(AD260),INT(AD260),DATE(VALUE(LEFT(AD260,4)),VALUE(MID(AD260,6,2)),VALUE(MID(AD260,9,2))))),""))</x:f>
        <x:v>46249</x:v>
      </x:c>
      <x:c r="AN260" s="24" t="n">
        <x:f>IF(AM260="","",INT('Configuration'!$B$4)-AM260)</x:f>
        <x:v>2</x:v>
      </x:c>
      <x:c r="AO260" s="25" t="str">
        <x:f>IF(AM260="","Missing Required Date",IF(AN260&lt;0,"Future Date",IF(AN260=0,"0 days",IF(AN260&lt;=2,"1-2 days",IF(AN260&lt;=7,"3-7 days",IF(AN260&lt;=14,"8-14 days",IF(AN260&lt;=30,"15-30 days",IF(AN260&lt;=60,"31-60 days",IF(AN260&lt;=70,"61-70 days","71+ days")))))))))</x:f>
        <x:v>1-2 days</x:v>
      </x:c>
      <x:c r="AP260" s="25" t="str">
        <x:f>IF(OR(E260="processing",E260="executing",E260="pending"),IF(AM260="","Required aging date missing",IF(AN260&gt;30,"Escalate &gt;30d",IF(AN260&gt;14,"Watch &gt;14d","Within 14d"))),"Out of scope")</x:f>
        <x:v>Within 14d</x:v>
      </x:c>
    </x:row>
    <x:row r="261" ht="24" customHeight="1">
      <x:c r="A261" t="str">
        <x:v>c23768f0-bd18-4c87-b327-ae84e153bb75</x:v>
      </x:c>
      <x:c r="B261" t="str">
        <x:v>CSSP10953253</x:v>
      </x:c>
      <x:c r="C261" t="str">
        <x:v>izwan.othman@petronas.com</x:v>
      </x:c>
      <x:c r="D261" t="str">
        <x:v>provision-cloud-public</x:v>
      </x:c>
      <x:c r="E261" t="str">
        <x:v>executing</x:v>
      </x:c>
      <x:c r="F261" t="n">
        <x:v>46247.04923334491</x:v>
      </x:c>
      <x:c r="G261" t="n">
        <x:v>46247.04923334491</x:v>
      </x:c>
      <x:c r="H261" t="n">
        <x:v>46249.19338509259</x:v>
      </x:c>
      <x:c r="I261" t="str">
        <x:v>A-001394</x:v>
      </x:c>
      <x:c r="J261" t="str">
        <x:v>Zentory+</x:v>
      </x:c>
      <x:c r="K261" t="str">
        <x:v>PC-00095</x:v>
      </x:c>
      <x:c r="L261" t="str">
        <x:v>Zentory+ Integration Layer</x:v>
      </x:c>
      <x:c r="M261" t="str">
        <x:v>che.nurhashimah@petronas.com</x:v>
      </x:c>
      <x:c r="N261" t="str">
        <x:v>ZentoryPlus Support Team</x:v>
      </x:c>
      <x:c r="O261" t="str">
        <x:v>New</x:v>
      </x:c>
      <x:c r="P261" t="str">
        <x:v>StagingUat</x:v>
      </x:c>
      <x:c r="Q261" t="str">
        <x:v>New enhancement to provision for azure cloud integration layer between SAP SFTP and Zentory+ in IBM Cloud</x:v>
      </x:c>
      <x:c r="R261" t="str">
        <x:v>M</x:v>
      </x:c>
      <x:c r="S261"/>
      <x:c r="T261"/>
      <x:c r="U261" t="str">
        <x:v>Reviewed, as discussed with the team, please proceed.</x:v>
      </x:c>
      <x:c r="V261" t="n">
        <x:v>46247.193422268516</x:v>
      </x:c>
      <x:c r="W261" t="str">
        <x:v>che.nurhashimah@petronas.com</x:v>
      </x:c>
      <x:c r="X261" t="str">
        <x:v>approved</x:v>
      </x:c>
      <x:c r="Y261" t="str">
        <x:v>Good to go</x:v>
      </x:c>
      <x:c r="Z261" t="n">
        <x:v>46247.28426579861</x:v>
      </x:c>
      <x:c r="AA261" t="str">
        <x:v>samsuddin.jumbri@petronas.com</x:v>
      </x:c>
      <x:c r="AB261" t="str">
        <x:v>approved</x:v>
      </x:c>
      <x:c r="AC261" t="str">
        <x:v>Approve</x:v>
      </x:c>
      <x:c r="AD261" t="n">
        <x:v>46249.19338510417</x:v>
      </x:c>
      <x:c r="AE261" t="str">
        <x:v>abhishek.bhowate@petronas.com</x:v>
      </x:c>
      <x:c r="AF261" t="str">
        <x:v>approved</x:v>
      </x:c>
      <x:c r="AG261"/>
      <x:c r="AH261"/>
      <x:c r="AI261" t="str">
        <x:v>arun.karuppiah@petronas.com</x:v>
      </x:c>
      <x:c r="AJ261"/>
      <x:c r="AK261" t="str">
        <x:v>REQ000008243784</x:v>
      </x:c>
      <x:c r="AL261" t="str">
        <x:v>d2978604-92f0-4f18-8379-bde968933cf3</x:v>
      </x:c>
      <x:c r="AM261" s="23" t="n">
        <x:f>IF(E261="processing",IF(Z261="","",IF(ISNUMBER(Z261),INT(Z261),DATE(VALUE(LEFT(Z261,4)),VALUE(MID(Z261,6,2)),VALUE(MID(Z261,9,2))))),IF(OR(E261="executing",E261="pending"),IF(AD261="","",IF(ISNUMBER(AD261),INT(AD261),DATE(VALUE(LEFT(AD261,4)),VALUE(MID(AD261,6,2)),VALUE(MID(AD261,9,2))))),""))</x:f>
        <x:v>46249</x:v>
      </x:c>
      <x:c r="AN261" s="24" t="n">
        <x:f>IF(AM261="","",INT('Configuration'!$B$4)-AM261)</x:f>
        <x:v>2</x:v>
      </x:c>
      <x:c r="AO261" s="25" t="str">
        <x:f>IF(AM261="","Missing Required Date",IF(AN261&lt;0,"Future Date",IF(AN261=0,"0 days",IF(AN261&lt;=2,"1-2 days",IF(AN261&lt;=7,"3-7 days",IF(AN261&lt;=14,"8-14 days",IF(AN261&lt;=30,"15-30 days",IF(AN261&lt;=60,"31-60 days",IF(AN261&lt;=70,"61-70 days","71+ days")))))))))</x:f>
        <x:v>1-2 days</x:v>
      </x:c>
      <x:c r="AP261" s="25" t="str">
        <x:f>IF(OR(E261="processing",E261="executing",E261="pending"),IF(AM261="","Required aging date missing",IF(AN261&gt;30,"Escalate &gt;30d",IF(AN261&gt;14,"Watch &gt;14d","Within 14d"))),"Out of scope")</x:f>
        <x:v>Within 14d</x:v>
      </x:c>
    </x:row>
    <x:row r="262" ht="24" customHeight="1">
      <x:c r="A262" t="str">
        <x:v>c200d204-88c4-42c5-8654-d4d1ac6bcc8e</x:v>
      </x:c>
      <x:c r="B262" t="str">
        <x:v>CSSP10506137</x:v>
      </x:c>
      <x:c r="C262" t="str">
        <x:v>ermanfitri.myasin@petronas.com</x:v>
      </x:c>
      <x:c r="D262" t="str">
        <x:v>provision-cloud-public</x:v>
      </x:c>
      <x:c r="E262" t="str">
        <x:v>processing</x:v>
      </x:c>
      <x:c r="F262" t="n">
        <x:v>46247.25359472222</x:v>
      </x:c>
      <x:c r="G262" t="n">
        <x:v>46247.25359472222</x:v>
      </x:c>
      <x:c r="H262" t="n">
        <x:v>46247.25706004629</x:v>
      </x:c>
      <x:c r="I262" t="str">
        <x:v>A-000026</x:v>
      </x:c>
      <x:c r="J262" t="str">
        <x:v>Ansible Enterprise Configuration Management - AECM</x:v>
      </x:c>
      <x:c r="K262" t="str">
        <x:v>PC-00019</x:v>
      </x:c>
      <x:c r="L262" t="str">
        <x:v>Ansible Enterprise Configuration Management</x:v>
      </x:c>
      <x:c r="M262" t="str">
        <x:v>mfaizal.sidek@petronas.com</x:v>
      </x:c>
      <x:c r="N262" t="str">
        <x:v>Configuration_Management</x:v>
      </x:c>
      <x:c r="O262" t="str">
        <x:v>New</x:v>
      </x:c>
      <x:c r="P262" t="str">
        <x:v>Production</x:v>
      </x:c>
      <x:c r="Q262" t="str">
        <x:v>We would like to repatriate one of the AECM servers, PTAWSG-1AECMap02, to the Malaysia region to support the ongoing repatriation initiative. This server is used for creating base images and is a critical component of the process.
Currently, PTAWSG-1AECMap02 is hosted in the 'PTAWSG-DEV-ENVIRONMENT-01' account. As part of this activity, the server will be moved to the 'PTAW-IAC-PROD-PEnT-Environment-01' account. We would appreciate your assistance in repatriating this server and ensuring that all configurations, settings, and access permissions remain consistent with the existing setup.
If possible, please deploy the server using the latest RHEL 9 image.
Attached is the request from the Cloud Team regarding the repatriation of this server.</x:v>
      </x:c>
      <x:c r="R262"/>
      <x:c r="S262"/>
      <x:c r="T262"/>
      <x:c r="U262" t="str">
        <x:v>Proceed</x:v>
      </x:c>
      <x:c r="V262" t="n">
        <x:v>46247.25706005787</x:v>
      </x:c>
      <x:c r="W262" t="str">
        <x:v>mfaizal.sidek@petronas.com</x:v>
      </x:c>
      <x:c r="X262" t="str">
        <x:v>approved</x:v>
      </x:c>
      <x:c r="Y262"/>
      <x:c r="Z262"/>
      <x:c r="AA262" t="str">
        <x:v>CCoE SA</x:v>
      </x:c>
      <x:c r="AB262"/>
      <x:c r="AC262"/>
      <x:c r="AD262"/>
      <x:c r="AE262" t="str">
        <x:v>IMS - CLOUD CSSP REVIEWER</x:v>
      </x:c>
      <x:c r="AF262"/>
      <x:c r="AG262"/>
      <x:c r="AH262"/>
      <x:c r="AI262" t="str">
        <x:v>IMS - CLOUD CSSP EXECUTOR</x:v>
      </x:c>
      <x:c r="AJ262"/>
      <x:c r="AK262"/>
      <x:c r="AL262" t="str">
        <x:v>7abf948a-6b31-4746-8daf-2698ab161815</x:v>
      </x:c>
      <x:c r="AM262" s="23" t="str">
        <x:f>IF(E262="processing",IF(Z262="","",IF(ISNUMBER(Z262),INT(Z262),DATE(VALUE(LEFT(Z262,4)),VALUE(MID(Z262,6,2)),VALUE(MID(Z262,9,2))))),IF(OR(E262="executing",E262="pending"),IF(AD262="","",IF(ISNUMBER(AD262),INT(AD262),DATE(VALUE(LEFT(AD262,4)),VALUE(MID(AD262,6,2)),VALUE(MID(AD262,9,2))))),""))</x:f>
      </x:c>
      <x:c r="AN262" s="24" t="str">
        <x:f>IF(AM262="","",INT('Configuration'!$B$4)-AM262)</x:f>
      </x:c>
      <x:c r="AO262" s="25" t="str">
        <x:f>IF(AM262="","Missing Required Date",IF(AN262&lt;0,"Future Date",IF(AN262=0,"0 days",IF(AN262&lt;=2,"1-2 days",IF(AN262&lt;=7,"3-7 days",IF(AN262&lt;=14,"8-14 days",IF(AN262&lt;=30,"15-30 days",IF(AN262&lt;=60,"31-60 days",IF(AN262&lt;=70,"61-70 days","71+ days")))))))))</x:f>
        <x:v>Missing Required Date</x:v>
      </x:c>
      <x:c r="AP262" s="25" t="str">
        <x:f>IF(OR(E262="processing",E262="executing",E262="pending"),IF(AM262="","Required aging date missing",IF(AN262&gt;30,"Escalate &gt;30d",IF(AN262&gt;14,"Watch &gt;14d","Within 14d"))),"Out of scope")</x:f>
        <x:v>Required aging date missing</x:v>
      </x:c>
    </x:row>
    <x:row r="263" ht="24" customHeight="1">
      <x:c r="A263" t="str">
        <x:v>087dda70-79d1-4464-8c19-a6298767d607</x:v>
      </x:c>
      <x:c r="B263" t="str">
        <x:v>CSSP10675946</x:v>
      </x:c>
      <x:c r="C263" t="str">
        <x:v>izwan.othman@petronas.com</x:v>
      </x:c>
      <x:c r="D263" t="str">
        <x:v>provision-cloud-public</x:v>
      </x:c>
      <x:c r="E263" t="str">
        <x:v>processing</x:v>
      </x:c>
      <x:c r="F263" t="n">
        <x:v>46247.26036521991</x:v>
      </x:c>
      <x:c r="G263" t="n">
        <x:v>46247.26036521991</x:v>
      </x:c>
      <x:c r="H263" t="n">
        <x:v>46251.17083613426</x:v>
      </x:c>
      <x:c r="I263" t="str">
        <x:v>A-001394</x:v>
      </x:c>
      <x:c r="J263" t="str">
        <x:v>Zentory+</x:v>
      </x:c>
      <x:c r="K263" t="str">
        <x:v>PC-00095</x:v>
      </x:c>
      <x:c r="L263" t="str">
        <x:v>Zentory+ Integration Layer</x:v>
      </x:c>
      <x:c r="M263" t="str">
        <x:v>che.nurhashimah@petronas.com</x:v>
      </x:c>
      <x:c r="N263" t="str">
        <x:v>ZentoryPlus Support Team</x:v>
      </x:c>
      <x:c r="O263" t="str">
        <x:v>New</x:v>
      </x:c>
      <x:c r="P263" t="str">
        <x:v>Production</x:v>
      </x:c>
      <x:c r="Q263" t="str">
        <x:v>New enhancement to provision for azure cloud integration layer between SAP SFTP and Zentory+ in IBM Cloud</x:v>
      </x:c>
      <x:c r="R263" t="str">
        <x:v>M</x:v>
      </x:c>
      <x:c r="S263"/>
      <x:c r="T263"/>
      <x:c r="U263" t="str">
        <x:v>Reviewed, please proceed.</x:v>
      </x:c>
      <x:c r="V263" t="n">
        <x:v>46248.26983347222</x:v>
      </x:c>
      <x:c r="W263" t="str">
        <x:v>che.nurhashimah@petronas.com</x:v>
      </x:c>
      <x:c r="X263" t="str">
        <x:v>approved</x:v>
      </x:c>
      <x:c r="Y263" t="str">
        <x:v>Good to go</x:v>
      </x:c>
      <x:c r="Z263" t="n">
        <x:v>46251.17083614584</x:v>
      </x:c>
      <x:c r="AA263" t="str">
        <x:v>samsuddin.jumbri@petronas.com</x:v>
      </x:c>
      <x:c r="AB263" t="str">
        <x:v>approved</x:v>
      </x:c>
      <x:c r="AC263"/>
      <x:c r="AD263"/>
      <x:c r="AE263" t="str">
        <x:v>IMS - CLOUD CSSP REVIEWER</x:v>
      </x:c>
      <x:c r="AF263"/>
      <x:c r="AG263"/>
      <x:c r="AH263"/>
      <x:c r="AI263" t="str">
        <x:v>IMS - CLOUD CSSP EXECUTOR</x:v>
      </x:c>
      <x:c r="AJ263"/>
      <x:c r="AK263"/>
      <x:c r="AL263" t="str">
        <x:v>d2978604-92f0-4f18-8379-bde968933cf3</x:v>
      </x:c>
      <x:c r="AM263" s="23" t="n">
        <x:f>IF(E263="processing",IF(Z263="","",IF(ISNUMBER(Z263),INT(Z263),DATE(VALUE(LEFT(Z263,4)),VALUE(MID(Z263,6,2)),VALUE(MID(Z263,9,2))))),IF(OR(E263="executing",E263="pending"),IF(AD263="","",IF(ISNUMBER(AD263),INT(AD263),DATE(VALUE(LEFT(AD263,4)),VALUE(MID(AD263,6,2)),VALUE(MID(AD263,9,2))))),""))</x:f>
        <x:v>46251</x:v>
      </x:c>
      <x:c r="AN263" s="24" t="n">
        <x:f>IF(AM263="","",INT('Configuration'!$B$4)-AM263)</x:f>
        <x:v>0</x:v>
      </x:c>
      <x:c r="AO263" s="25" t="str">
        <x:f>IF(AM263="","Missing Required Date",IF(AN263&lt;0,"Future Date",IF(AN263=0,"0 days",IF(AN263&lt;=2,"1-2 days",IF(AN263&lt;=7,"3-7 days",IF(AN263&lt;=14,"8-14 days",IF(AN263&lt;=30,"15-30 days",IF(AN263&lt;=60,"31-60 days",IF(AN263&lt;=70,"61-70 days","71+ days")))))))))</x:f>
        <x:v>0 days</x:v>
      </x:c>
      <x:c r="AP263" s="25" t="str">
        <x:f>IF(OR(E263="processing",E263="executing",E263="pending"),IF(AM263="","Required aging date missing",IF(AN263&gt;30,"Escalate &gt;30d",IF(AN263&gt;14,"Watch &gt;14d","Within 14d"))),"Out of scope")</x:f>
        <x:v>Within 14d</x:v>
      </x:c>
    </x:row>
    <x:row r="264" ht="24" customHeight="1">
      <x:c r="A264" t="str">
        <x:v>1d3292b5-fbec-4dcc-8ac9-7d1128280796</x:v>
      </x:c>
      <x:c r="B264" t="str">
        <x:v>CSSP10690264</x:v>
      </x:c>
      <x:c r="C264" t="str">
        <x:v>hannizatherina@petronas.com</x:v>
      </x:c>
      <x:c r="D264" t="str">
        <x:v>provision-cloud-public</x:v>
      </x:c>
      <x:c r="E264" t="str">
        <x:v>rejected</x:v>
      </x:c>
      <x:c r="F264" t="n">
        <x:v>46248.09834311342</x:v>
      </x:c>
      <x:c r="G264" t="n">
        <x:v>46248.09834311342</x:v>
      </x:c>
      <x:c r="H264" t="n">
        <x:v>46251.16482626157</x:v>
      </x:c>
      <x:c r="I264" t="str">
        <x:v>A-001396</x:v>
      </x:c>
      <x:c r="J264" t="str">
        <x:v>Downstream AI Innovation Sandbox</x:v>
      </x:c>
      <x:c r="K264" t="str">
        <x:v>PC-00096</x:v>
      </x:c>
      <x:c r="L264" t="str">
        <x:v>Downstream Technology, Innovation &amp; Digital</x:v>
      </x:c>
      <x:c r="M264" t="str">
        <x:v>hafidah_yazam@petronas.com</x:v>
      </x:c>
      <x:c r="N264" t="str">
        <x:v>DownstreamEVP</x:v>
      </x:c>
      <x:c r="O264" t="str">
        <x:v>New</x:v>
      </x:c>
      <x:c r="P264" t="str">
        <x:v>SandboxPocIsolated</x:v>
      </x:c>
      <x:c r="Q264" t="str">
        <x:v>Sandbox environment for Downstream </x:v>
      </x:c>
      <x:c r="R264" t="str">
        <x:v>M</x:v>
      </x:c>
      <x:c r="S264"/>
      <x:c r="T264"/>
      <x:c r="U264" t="str">
        <x:v>Approved for Downstream usage.</x:v>
      </x:c>
      <x:c r="V264" t="n">
        <x:v>46248.10008804398</x:v>
      </x:c>
      <x:c r="W264" t="str">
        <x:v>hafidah_yazam@petronas.com</x:v>
      </x:c>
      <x:c r="X264" t="str">
        <x:v>approved</x:v>
      </x:c>
      <x:c r="Y264" t="str">
        <x:v>To comply with the Cloud Service Request and Provisioning Guideline v4.0, kindly provide the approved memo/approved email from the Business owner as supporting evidence.</x:v>
      </x:c>
      <x:c r="Z264" t="n">
        <x:v>46251.16482627315</x:v>
      </x:c>
      <x:c r="AA264" t="str">
        <x:v>samsuddin.jumbri@petronas.com</x:v>
      </x:c>
      <x:c r="AB264" t="str">
        <x:v>rejected</x:v>
      </x:c>
      <x:c r="AC264"/>
      <x:c r="AD264"/>
      <x:c r="AE264" t="str">
        <x:v>IMS - CLOUD CSSP REVIEWER</x:v>
      </x:c>
      <x:c r="AF264"/>
      <x:c r="AG264"/>
      <x:c r="AH264"/>
      <x:c r="AI264" t="str">
        <x:v>IMS - CLOUD CSSP EXECUTOR</x:v>
      </x:c>
      <x:c r="AJ264"/>
      <x:c r="AK264"/>
      <x:c r="AL264" t="str">
        <x:v>2f9598e5-fcd4-47e6-8380-a1fae67c87bb</x:v>
      </x:c>
      <x:c r="AM264" s="23" t="str">
        <x:f>IF(E264="processing",IF(Z264="","",IF(ISNUMBER(Z264),INT(Z264),DATE(VALUE(LEFT(Z264,4)),VALUE(MID(Z264,6,2)),VALUE(MID(Z264,9,2))))),IF(OR(E264="executing",E264="pending"),IF(AD264="","",IF(ISNUMBER(AD264),INT(AD264),DATE(VALUE(LEFT(AD264,4)),VALUE(MID(AD264,6,2)),VALUE(MID(AD264,9,2))))),""))</x:f>
      </x:c>
      <x:c r="AN264" s="24" t="str">
        <x:f>IF(AM264="","",INT('Configuration'!$B$4)-AM264)</x:f>
      </x:c>
      <x:c r="AO264" s="25" t="str">
        <x:f>IF(AM264="","Missing Required Date",IF(AN264&lt;0,"Future Date",IF(AN264=0,"0 days",IF(AN264&lt;=2,"1-2 days",IF(AN264&lt;=7,"3-7 days",IF(AN264&lt;=14,"8-14 days",IF(AN264&lt;=30,"15-30 days",IF(AN264&lt;=60,"31-60 days",IF(AN264&lt;=70,"61-70 days","71+ days")))))))))</x:f>
        <x:v>Missing Required Date</x:v>
      </x:c>
      <x:c r="AP264" s="25" t="str">
        <x:f>IF(OR(E264="processing",E264="executing",E264="pending"),IF(AM264="","Required aging date missing",IF(AN264&gt;30,"Escalate &gt;30d",IF(AN264&gt;14,"Watch &gt;14d","Within 14d"))),"Out of scope")</x:f>
        <x:v>Out of scope</x:v>
      </x:c>
    </x:row>
    <x:row r="265" ht="24" customHeight="1">
      <x:c r="A265" t="str">
        <x:v>a767aecf-2fb6-400d-980b-2583fb70ec7f</x:v>
      </x:c>
      <x:c r="B265" t="str">
        <x:v>CSSP10933294</x:v>
      </x:c>
      <x:c r="C265" t="str">
        <x:v>roslilawati.samsu@petronas.com</x:v>
      </x:c>
      <x:c r="D265" t="str">
        <x:v>provision-cloud-public</x:v>
      </x:c>
      <x:c r="E265" t="str">
        <x:v>processing</x:v>
      </x:c>
      <x:c r="F265" t="n">
        <x:v>46248.33679112269</x:v>
      </x:c>
      <x:c r="G265" t="n">
        <x:v>46248.33679112269</x:v>
      </x:c>
      <x:c r="H265" t="n">
        <x:v>46251.157290625</x:v>
      </x:c>
      <x:c r="I265" t="str">
        <x:v>A-000177</x:v>
      </x:c>
      <x:c r="J265" t="str">
        <x:v>Cyber Security SENTINEL</x:v>
      </x:c>
      <x:c r="K265" t="str">
        <x:v>SR26951</x:v>
      </x:c>
      <x:c r="L265" t="str">
        <x:v>Onboarding of Centralised Log Collector and Security Information &amp; Event Management (SIEM) for SETEL</x:v>
      </x:c>
      <x:c r="M265" t="str">
        <x:v>izayu.ismail@petronas.com.my</x:v>
      </x:c>
      <x:c r="N265" t="str">
        <x:v>SIEM for SETEL</x:v>
      </x:c>
      <x:c r="O265" t="str">
        <x:v>New</x:v>
      </x:c>
      <x:c r="P265" t="str">
        <x:v>Production</x:v>
      </x:c>
      <x:c r="Q265" t="str">
        <x:v>Centralised SIEM onboarding for SETEL Admin Portal and MongoDB -reprovisioning.</x:v>
      </x:c>
      <x:c r="R265" t="str">
        <x:v>S</x:v>
      </x:c>
      <x:c r="S265"/>
      <x:c r="T265"/>
      <x:c r="U265" t="str">
        <x:v>Project Initial Provisioning Request</x:v>
      </x:c>
      <x:c r="V265" t="n">
        <x:v>46251.09199498843</x:v>
      </x:c>
      <x:c r="W265" t="str">
        <x:v>izayu.ismail@petronas.com</x:v>
      </x:c>
      <x:c r="X265" t="str">
        <x:v>approved</x:v>
      </x:c>
      <x:c r="Y265" t="str">
        <x:v>Please consult Jismi Jesmani (CS/DIGITAL) for further clarification.</x:v>
      </x:c>
      <x:c r="Z265" t="n">
        <x:v>46251.15729063658</x:v>
      </x:c>
      <x:c r="AA265" t="str">
        <x:v>samsuddin.jumbri@petronas.com</x:v>
      </x:c>
      <x:c r="AB265" t="str">
        <x:v>approved</x:v>
      </x:c>
      <x:c r="AC265"/>
      <x:c r="AD265"/>
      <x:c r="AE265" t="str">
        <x:v>IMS - CLOUD CSSP REVIEWER</x:v>
      </x:c>
      <x:c r="AF265"/>
      <x:c r="AG265"/>
      <x:c r="AH265"/>
      <x:c r="AI265" t="str">
        <x:v>IMS - CLOUD CSSP EXECUTOR</x:v>
      </x:c>
      <x:c r="AJ265"/>
      <x:c r="AK265"/>
      <x:c r="AL265" t="str">
        <x:v>fcc5dfe6-9dcc-40fe-b4d4-3860a3180dfc</x:v>
      </x:c>
      <x:c r="AM265" s="23" t="n">
        <x:f>IF(E265="processing",IF(Z265="","",IF(ISNUMBER(Z265),INT(Z265),DATE(VALUE(LEFT(Z265,4)),VALUE(MID(Z265,6,2)),VALUE(MID(Z265,9,2))))),IF(OR(E265="executing",E265="pending"),IF(AD265="","",IF(ISNUMBER(AD265),INT(AD265),DATE(VALUE(LEFT(AD265,4)),VALUE(MID(AD265,6,2)),VALUE(MID(AD265,9,2))))),""))</x:f>
        <x:v>46251</x:v>
      </x:c>
      <x:c r="AN265" s="24" t="n">
        <x:f>IF(AM265="","",INT('Configuration'!$B$4)-AM265)</x:f>
        <x:v>0</x:v>
      </x:c>
      <x:c r="AO265" s="25" t="str">
        <x:f>IF(AM265="","Missing Required Date",IF(AN265&lt;0,"Future Date",IF(AN265=0,"0 days",IF(AN265&lt;=2,"1-2 days",IF(AN265&lt;=7,"3-7 days",IF(AN265&lt;=14,"8-14 days",IF(AN265&lt;=30,"15-30 days",IF(AN265&lt;=60,"31-60 days",IF(AN265&lt;=70,"61-70 days","71+ days")))))))))</x:f>
        <x:v>0 days</x:v>
      </x:c>
      <x:c r="AP265" s="25" t="str">
        <x:f>IF(OR(E265="processing",E265="executing",E265="pending"),IF(AM265="","Required aging date missing",IF(AN265&gt;30,"Escalate &gt;30d",IF(AN265&gt;14,"Watch &gt;14d","Within 14d"))),"Out of scope")</x:f>
        <x:v>Within 14d</x:v>
      </x:c>
    </x:row>
  </x:sheetData>
  <x:mergeCells>
    <x:mergeCell ref="A1:L1"/>
    <x:mergeCell ref="A2:L2"/>
    <x:mergeCell ref="A3:L3"/>
  </x:mergeCells>
  <x:conditionalFormatting sqref="AP5:AP265">
    <x:cfRule type="containsText" dxfId="9" priority="1" operator="containsText" text="Escalate"/>
    <x:cfRule type="containsText" dxfId="10" priority="2" operator="containsText" text="Watch"/>
    <x:cfRule type="containsText" dxfId="11" priority="3" operator="containsText" text="required"/>
  </x:conditionalFormatting>
  <x:pageMargins left="0.7" right="0.7" top="0.75" bottom="0.75" header="0.3" footer="0.3"/>
  <x:tableParts count="1">
    <x:tablePart xmlns:r="http://schemas.openxmlformats.org/officeDocument/2006/relationships" r:id="Rea9abb71113645a0"/>
  </x:tableParts>
</x:worksheet>
</file>