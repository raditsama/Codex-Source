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5.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github-hop\"/>
    </mc:Choice>
  </mc:AlternateContent>
  <xr:revisionPtr revIDLastSave="0" documentId="13_ncr:1_{D6BD67AB-DAD6-4A28-AA01-D20CA9E71980}" xr6:coauthVersionLast="47" xr6:coauthVersionMax="47" xr10:uidLastSave="{00000000-0000-0000-0000-000000000000}"/>
  <bookViews>
    <workbookView xWindow="-108" yWindow="-108" windowWidth="23256" windowHeight="12456" tabRatio="898" firstSheet="2" activeTab="4" xr2:uid="{00000000-000D-0000-FFFF-FFFF00000000}"/>
  </bookViews>
  <sheets>
    <sheet name="Read Me" sheetId="1" r:id="rId1"/>
    <sheet name="Dashboard" sheetId="2" r:id="rId2"/>
    <sheet name="Task Master" sheetId="3" r:id="rId3"/>
    <sheet name="Daily Targets" sheetId="4" r:id="rId4"/>
    <sheet name="Engineer Updates" sheetId="5" r:id="rId5"/>
    <sheet name="Assignment History" sheetId="6" r:id="rId6"/>
    <sheet name="Scope Review" sheetId="7" r:id="rId7"/>
    <sheet name="Engineer Capacity" sheetId="8" r:id="rId8"/>
    <sheet name="Configuration" sheetId="9" r:id="rId9"/>
    <sheet name="Raw Decommissioning" sheetId="10" r:id="rId10"/>
    <sheet name="Raw Provisioning"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5" i="4" l="1"/>
  <c r="O64" i="4"/>
  <c r="O63" i="4"/>
  <c r="O62" i="4"/>
  <c r="O61" i="4"/>
  <c r="O60" i="4"/>
  <c r="O59" i="4"/>
  <c r="O58" i="4"/>
  <c r="O57" i="4"/>
  <c r="O56" i="4"/>
  <c r="O55" i="4"/>
  <c r="O54" i="4"/>
  <c r="O53" i="4"/>
  <c r="O52" i="4"/>
  <c r="O51" i="4"/>
  <c r="O50" i="4"/>
  <c r="O49" i="4"/>
  <c r="O48" i="4"/>
  <c r="O47" i="4"/>
  <c r="D10" i="4"/>
  <c r="F15" i="8"/>
  <c r="E15" i="8"/>
  <c r="F14" i="8"/>
  <c r="E14" i="8"/>
  <c r="E13" i="8"/>
  <c r="F13" i="8" s="1"/>
  <c r="C27" i="2" s="1"/>
  <c r="F12" i="8"/>
  <c r="E12" i="8"/>
  <c r="F11" i="8"/>
  <c r="E11" i="8"/>
  <c r="F10" i="8"/>
  <c r="E10" i="8"/>
  <c r="E9" i="8"/>
  <c r="F9" i="8" s="1"/>
  <c r="F8" i="8"/>
  <c r="E8" i="8"/>
  <c r="F7" i="8"/>
  <c r="E7" i="8"/>
  <c r="F6" i="8"/>
  <c r="E6" i="8"/>
  <c r="E5" i="8"/>
  <c r="F5" i="8" s="1"/>
  <c r="K204" i="7"/>
  <c r="K203" i="7"/>
  <c r="K202" i="7"/>
  <c r="K201" i="7"/>
  <c r="K200" i="7"/>
  <c r="K199" i="7"/>
  <c r="K198" i="7"/>
  <c r="K197" i="7"/>
  <c r="K196" i="7"/>
  <c r="K195" i="7"/>
  <c r="K194" i="7"/>
  <c r="K193" i="7"/>
  <c r="K192" i="7"/>
  <c r="K191" i="7"/>
  <c r="K190" i="7"/>
  <c r="K189" i="7"/>
  <c r="K188" i="7"/>
  <c r="K187" i="7"/>
  <c r="K186" i="7"/>
  <c r="K185" i="7"/>
  <c r="K184" i="7"/>
  <c r="K183" i="7"/>
  <c r="K182" i="7"/>
  <c r="K181" i="7"/>
  <c r="K180" i="7"/>
  <c r="K179" i="7"/>
  <c r="K178" i="7"/>
  <c r="K177" i="7"/>
  <c r="K176" i="7"/>
  <c r="K175" i="7"/>
  <c r="K174" i="7"/>
  <c r="K173" i="7"/>
  <c r="K172" i="7"/>
  <c r="K171" i="7"/>
  <c r="K170" i="7"/>
  <c r="K169" i="7"/>
  <c r="K168" i="7"/>
  <c r="K167" i="7"/>
  <c r="K166" i="7"/>
  <c r="K165" i="7"/>
  <c r="K164" i="7"/>
  <c r="K163" i="7"/>
  <c r="K162" i="7"/>
  <c r="K161" i="7"/>
  <c r="K160" i="7"/>
  <c r="K159" i="7"/>
  <c r="K158" i="7"/>
  <c r="K157" i="7"/>
  <c r="K156" i="7"/>
  <c r="K155" i="7"/>
  <c r="K154" i="7"/>
  <c r="K153" i="7"/>
  <c r="K152" i="7"/>
  <c r="K151" i="7"/>
  <c r="K150" i="7"/>
  <c r="K149" i="7"/>
  <c r="K148" i="7"/>
  <c r="K147" i="7"/>
  <c r="K146" i="7"/>
  <c r="K145" i="7"/>
  <c r="K144" i="7"/>
  <c r="K143" i="7"/>
  <c r="K142" i="7"/>
  <c r="K141" i="7"/>
  <c r="K140" i="7"/>
  <c r="K139" i="7"/>
  <c r="K138" i="7"/>
  <c r="K137" i="7"/>
  <c r="K136" i="7"/>
  <c r="K135" i="7"/>
  <c r="K134" i="7"/>
  <c r="K133" i="7"/>
  <c r="K132" i="7"/>
  <c r="K131" i="7"/>
  <c r="K130" i="7"/>
  <c r="K129" i="7"/>
  <c r="K128" i="7"/>
  <c r="K127" i="7"/>
  <c r="K126" i="7"/>
  <c r="K125" i="7"/>
  <c r="K124" i="7"/>
  <c r="K123" i="7"/>
  <c r="K122" i="7"/>
  <c r="K121" i="7"/>
  <c r="K120" i="7"/>
  <c r="K119" i="7"/>
  <c r="K118" i="7"/>
  <c r="K117" i="7"/>
  <c r="K116" i="7"/>
  <c r="K115" i="7"/>
  <c r="K114" i="7"/>
  <c r="K113" i="7"/>
  <c r="K112" i="7"/>
  <c r="K111" i="7"/>
  <c r="K110" i="7"/>
  <c r="K109" i="7"/>
  <c r="K108" i="7"/>
  <c r="K107" i="7"/>
  <c r="K106" i="7"/>
  <c r="K105" i="7"/>
  <c r="K104" i="7"/>
  <c r="K103" i="7"/>
  <c r="K102" i="7"/>
  <c r="K101" i="7"/>
  <c r="K100" i="7"/>
  <c r="K99" i="7"/>
  <c r="K98" i="7"/>
  <c r="K97" i="7"/>
  <c r="K96" i="7"/>
  <c r="K95" i="7"/>
  <c r="K94" i="7"/>
  <c r="K93" i="7"/>
  <c r="K92" i="7"/>
  <c r="K91" i="7"/>
  <c r="K90" i="7"/>
  <c r="K89" i="7"/>
  <c r="K88" i="7"/>
  <c r="K87" i="7"/>
  <c r="K86" i="7"/>
  <c r="K85" i="7"/>
  <c r="K84" i="7"/>
  <c r="K83" i="7"/>
  <c r="K82" i="7"/>
  <c r="K81" i="7"/>
  <c r="K80" i="7"/>
  <c r="K79" i="7"/>
  <c r="K78" i="7"/>
  <c r="K77" i="7"/>
  <c r="K76" i="7"/>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K6" i="7"/>
  <c r="K5" i="7"/>
  <c r="N304" i="5"/>
  <c r="C304" i="5"/>
  <c r="N303" i="5"/>
  <c r="C303" i="5"/>
  <c r="N302" i="5"/>
  <c r="C302" i="5"/>
  <c r="N301" i="5"/>
  <c r="C301" i="5"/>
  <c r="N300" i="5"/>
  <c r="C300" i="5"/>
  <c r="N299" i="5"/>
  <c r="C299" i="5"/>
  <c r="N298" i="5"/>
  <c r="C298" i="5"/>
  <c r="N297" i="5"/>
  <c r="C297" i="5"/>
  <c r="N296" i="5"/>
  <c r="C296" i="5"/>
  <c r="N295" i="5"/>
  <c r="C295" i="5"/>
  <c r="N294" i="5"/>
  <c r="C294" i="5"/>
  <c r="N293" i="5"/>
  <c r="C293" i="5"/>
  <c r="N292" i="5"/>
  <c r="C292" i="5"/>
  <c r="N291" i="5"/>
  <c r="C291" i="5"/>
  <c r="N290" i="5"/>
  <c r="C290" i="5"/>
  <c r="N289" i="5"/>
  <c r="C289" i="5"/>
  <c r="N288" i="5"/>
  <c r="C288" i="5"/>
  <c r="N287" i="5"/>
  <c r="C287" i="5"/>
  <c r="N286" i="5"/>
  <c r="C286" i="5"/>
  <c r="N285" i="5"/>
  <c r="C285" i="5"/>
  <c r="N284" i="5"/>
  <c r="C284" i="5"/>
  <c r="N283" i="5"/>
  <c r="C283" i="5"/>
  <c r="N282" i="5"/>
  <c r="C282" i="5"/>
  <c r="N281" i="5"/>
  <c r="C281" i="5"/>
  <c r="N280" i="5"/>
  <c r="C280" i="5"/>
  <c r="N279" i="5"/>
  <c r="C279" i="5"/>
  <c r="N278" i="5"/>
  <c r="C278" i="5"/>
  <c r="N277" i="5"/>
  <c r="C277" i="5"/>
  <c r="N276" i="5"/>
  <c r="C276" i="5"/>
  <c r="N275" i="5"/>
  <c r="C275" i="5"/>
  <c r="N274" i="5"/>
  <c r="C274" i="5"/>
  <c r="N273" i="5"/>
  <c r="C273" i="5"/>
  <c r="N272" i="5"/>
  <c r="C272" i="5"/>
  <c r="N271" i="5"/>
  <c r="C271" i="5"/>
  <c r="N270" i="5"/>
  <c r="C270" i="5"/>
  <c r="N269" i="5"/>
  <c r="C269" i="5"/>
  <c r="N268" i="5"/>
  <c r="C268" i="5"/>
  <c r="N267" i="5"/>
  <c r="C267" i="5"/>
  <c r="N266" i="5"/>
  <c r="C266" i="5"/>
  <c r="N265" i="5"/>
  <c r="C265" i="5"/>
  <c r="N264" i="5"/>
  <c r="C264" i="5"/>
  <c r="N263" i="5"/>
  <c r="C263" i="5"/>
  <c r="N262" i="5"/>
  <c r="C262" i="5"/>
  <c r="N261" i="5"/>
  <c r="C261" i="5"/>
  <c r="N260" i="5"/>
  <c r="C260" i="5"/>
  <c r="N259" i="5"/>
  <c r="C259" i="5"/>
  <c r="N258" i="5"/>
  <c r="C258" i="5"/>
  <c r="N257" i="5"/>
  <c r="C257" i="5"/>
  <c r="N256" i="5"/>
  <c r="C256" i="5"/>
  <c r="N255" i="5"/>
  <c r="C255" i="5"/>
  <c r="N254" i="5"/>
  <c r="C254" i="5"/>
  <c r="N253" i="5"/>
  <c r="C253" i="5"/>
  <c r="N252" i="5"/>
  <c r="C252" i="5"/>
  <c r="N251" i="5"/>
  <c r="C251" i="5"/>
  <c r="N250" i="5"/>
  <c r="C250" i="5"/>
  <c r="N249" i="5"/>
  <c r="C249" i="5"/>
  <c r="N248" i="5"/>
  <c r="C248" i="5"/>
  <c r="N247" i="5"/>
  <c r="C247" i="5"/>
  <c r="N246" i="5"/>
  <c r="C246" i="5"/>
  <c r="N245" i="5"/>
  <c r="C245" i="5"/>
  <c r="N244" i="5"/>
  <c r="C244" i="5"/>
  <c r="N243" i="5"/>
  <c r="C243" i="5"/>
  <c r="N242" i="5"/>
  <c r="C242" i="5"/>
  <c r="N241" i="5"/>
  <c r="C241" i="5"/>
  <c r="N240" i="5"/>
  <c r="C240" i="5"/>
  <c r="N239" i="5"/>
  <c r="C239" i="5"/>
  <c r="N238" i="5"/>
  <c r="C238" i="5"/>
  <c r="N237" i="5"/>
  <c r="C237" i="5"/>
  <c r="N236" i="5"/>
  <c r="C236" i="5"/>
  <c r="N235" i="5"/>
  <c r="C235" i="5"/>
  <c r="N234" i="5"/>
  <c r="C234" i="5"/>
  <c r="N233" i="5"/>
  <c r="C233" i="5"/>
  <c r="N232" i="5"/>
  <c r="C232" i="5"/>
  <c r="N231" i="5"/>
  <c r="C231" i="5"/>
  <c r="N230" i="5"/>
  <c r="C230" i="5"/>
  <c r="N229" i="5"/>
  <c r="C229" i="5"/>
  <c r="N228" i="5"/>
  <c r="C228" i="5"/>
  <c r="N227" i="5"/>
  <c r="C227" i="5"/>
  <c r="N226" i="5"/>
  <c r="C226" i="5"/>
  <c r="N225" i="5"/>
  <c r="C225" i="5"/>
  <c r="N224" i="5"/>
  <c r="C224" i="5"/>
  <c r="N223" i="5"/>
  <c r="C223" i="5"/>
  <c r="N222" i="5"/>
  <c r="C222" i="5"/>
  <c r="N221" i="5"/>
  <c r="C221" i="5"/>
  <c r="N220" i="5"/>
  <c r="C220" i="5"/>
  <c r="N219" i="5"/>
  <c r="C219" i="5"/>
  <c r="N218" i="5"/>
  <c r="C218" i="5"/>
  <c r="N217" i="5"/>
  <c r="C217" i="5"/>
  <c r="N216" i="5"/>
  <c r="C216" i="5"/>
  <c r="N215" i="5"/>
  <c r="C215" i="5"/>
  <c r="N214" i="5"/>
  <c r="C214" i="5"/>
  <c r="N213" i="5"/>
  <c r="C213" i="5"/>
  <c r="N212" i="5"/>
  <c r="C212" i="5"/>
  <c r="N211" i="5"/>
  <c r="C211" i="5"/>
  <c r="N210" i="5"/>
  <c r="C210" i="5"/>
  <c r="N209" i="5"/>
  <c r="C209" i="5"/>
  <c r="N208" i="5"/>
  <c r="C208" i="5"/>
  <c r="N207" i="5"/>
  <c r="C207" i="5"/>
  <c r="N206" i="5"/>
  <c r="C206" i="5"/>
  <c r="N205" i="5"/>
  <c r="C205" i="5"/>
  <c r="N204" i="5"/>
  <c r="C204" i="5"/>
  <c r="N203" i="5"/>
  <c r="C203" i="5"/>
  <c r="N202" i="5"/>
  <c r="C202" i="5"/>
  <c r="N201" i="5"/>
  <c r="C201" i="5"/>
  <c r="N200" i="5"/>
  <c r="C200" i="5"/>
  <c r="N199" i="5"/>
  <c r="C199" i="5"/>
  <c r="N198" i="5"/>
  <c r="C198" i="5"/>
  <c r="N197" i="5"/>
  <c r="C197" i="5"/>
  <c r="N196" i="5"/>
  <c r="C196" i="5"/>
  <c r="N195" i="5"/>
  <c r="C195" i="5"/>
  <c r="N194" i="5"/>
  <c r="C194" i="5"/>
  <c r="N193" i="5"/>
  <c r="C193" i="5"/>
  <c r="N192" i="5"/>
  <c r="C192" i="5"/>
  <c r="N191" i="5"/>
  <c r="C191" i="5"/>
  <c r="N190" i="5"/>
  <c r="C190" i="5"/>
  <c r="N189" i="5"/>
  <c r="C189" i="5"/>
  <c r="N188" i="5"/>
  <c r="C188" i="5"/>
  <c r="N187" i="5"/>
  <c r="C187" i="5"/>
  <c r="N186" i="5"/>
  <c r="C186" i="5"/>
  <c r="N185" i="5"/>
  <c r="C185" i="5"/>
  <c r="N184" i="5"/>
  <c r="C184" i="5"/>
  <c r="N183" i="5"/>
  <c r="C183" i="5"/>
  <c r="N182" i="5"/>
  <c r="C182" i="5"/>
  <c r="N181" i="5"/>
  <c r="C181" i="5"/>
  <c r="N180" i="5"/>
  <c r="C180" i="5"/>
  <c r="N179" i="5"/>
  <c r="C179" i="5"/>
  <c r="N178" i="5"/>
  <c r="C178" i="5"/>
  <c r="N177" i="5"/>
  <c r="C177" i="5"/>
  <c r="N176" i="5"/>
  <c r="C176" i="5"/>
  <c r="N175" i="5"/>
  <c r="C175" i="5"/>
  <c r="N174" i="5"/>
  <c r="C174" i="5"/>
  <c r="N173" i="5"/>
  <c r="C173" i="5"/>
  <c r="N172" i="5"/>
  <c r="C172" i="5"/>
  <c r="N171" i="5"/>
  <c r="C171" i="5"/>
  <c r="N170" i="5"/>
  <c r="C170" i="5"/>
  <c r="N169" i="5"/>
  <c r="C169" i="5"/>
  <c r="N168" i="5"/>
  <c r="C168" i="5"/>
  <c r="N167" i="5"/>
  <c r="C167" i="5"/>
  <c r="N166" i="5"/>
  <c r="C166" i="5"/>
  <c r="N165" i="5"/>
  <c r="C165" i="5"/>
  <c r="N164" i="5"/>
  <c r="C164" i="5"/>
  <c r="N163" i="5"/>
  <c r="C163" i="5"/>
  <c r="N162" i="5"/>
  <c r="C162" i="5"/>
  <c r="N161" i="5"/>
  <c r="C161" i="5"/>
  <c r="N160" i="5"/>
  <c r="C160" i="5"/>
  <c r="N159" i="5"/>
  <c r="C159" i="5"/>
  <c r="N158" i="5"/>
  <c r="C158" i="5"/>
  <c r="N157" i="5"/>
  <c r="C157" i="5"/>
  <c r="N156" i="5"/>
  <c r="C156" i="5"/>
  <c r="N155" i="5"/>
  <c r="C155" i="5"/>
  <c r="N154" i="5"/>
  <c r="C154" i="5"/>
  <c r="N153" i="5"/>
  <c r="C153" i="5"/>
  <c r="N152" i="5"/>
  <c r="C152" i="5"/>
  <c r="N151" i="5"/>
  <c r="C151" i="5"/>
  <c r="N150" i="5"/>
  <c r="C150" i="5"/>
  <c r="N149" i="5"/>
  <c r="C149" i="5"/>
  <c r="N148" i="5"/>
  <c r="C148" i="5"/>
  <c r="N147" i="5"/>
  <c r="C147" i="5"/>
  <c r="N146" i="5"/>
  <c r="C146" i="5"/>
  <c r="N145" i="5"/>
  <c r="C145" i="5"/>
  <c r="N144" i="5"/>
  <c r="C144" i="5"/>
  <c r="N143" i="5"/>
  <c r="C143" i="5"/>
  <c r="N142" i="5"/>
  <c r="C142" i="5"/>
  <c r="N141" i="5"/>
  <c r="C141" i="5"/>
  <c r="N140" i="5"/>
  <c r="C140" i="5"/>
  <c r="N139" i="5"/>
  <c r="C139" i="5"/>
  <c r="N138" i="5"/>
  <c r="C138" i="5"/>
  <c r="N137" i="5"/>
  <c r="C137" i="5"/>
  <c r="N136" i="5"/>
  <c r="C136" i="5"/>
  <c r="N135" i="5"/>
  <c r="C135" i="5"/>
  <c r="N134" i="5"/>
  <c r="C134" i="5"/>
  <c r="N133" i="5"/>
  <c r="C133" i="5"/>
  <c r="N132" i="5"/>
  <c r="C132" i="5"/>
  <c r="N131" i="5"/>
  <c r="C131" i="5"/>
  <c r="N130" i="5"/>
  <c r="C130" i="5"/>
  <c r="N129" i="5"/>
  <c r="C129" i="5"/>
  <c r="N128" i="5"/>
  <c r="C128" i="5"/>
  <c r="N127" i="5"/>
  <c r="C127" i="5"/>
  <c r="N126" i="5"/>
  <c r="C126" i="5"/>
  <c r="N125" i="5"/>
  <c r="C125" i="5"/>
  <c r="N124" i="5"/>
  <c r="C124" i="5"/>
  <c r="N123" i="5"/>
  <c r="C123" i="5"/>
  <c r="N122" i="5"/>
  <c r="C122" i="5"/>
  <c r="N121" i="5"/>
  <c r="C121" i="5"/>
  <c r="N120" i="5"/>
  <c r="C120" i="5"/>
  <c r="N119" i="5"/>
  <c r="C119" i="5"/>
  <c r="N118" i="5"/>
  <c r="C118" i="5"/>
  <c r="N117" i="5"/>
  <c r="C117" i="5"/>
  <c r="N116" i="5"/>
  <c r="C116" i="5"/>
  <c r="N115" i="5"/>
  <c r="C115" i="5"/>
  <c r="N114" i="5"/>
  <c r="C114" i="5"/>
  <c r="N113" i="5"/>
  <c r="C113" i="5"/>
  <c r="N112" i="5"/>
  <c r="C112" i="5"/>
  <c r="N111" i="5"/>
  <c r="C111" i="5"/>
  <c r="N110" i="5"/>
  <c r="C110" i="5"/>
  <c r="N109" i="5"/>
  <c r="C109" i="5"/>
  <c r="N108" i="5"/>
  <c r="C108" i="5"/>
  <c r="N107" i="5"/>
  <c r="C107" i="5"/>
  <c r="N106" i="5"/>
  <c r="C106" i="5"/>
  <c r="N105" i="5"/>
  <c r="C105" i="5"/>
  <c r="N104" i="5"/>
  <c r="C104" i="5"/>
  <c r="N103" i="5"/>
  <c r="C103" i="5"/>
  <c r="N102" i="5"/>
  <c r="C102" i="5"/>
  <c r="N101" i="5"/>
  <c r="C101" i="5"/>
  <c r="N100" i="5"/>
  <c r="C100" i="5"/>
  <c r="N99" i="5"/>
  <c r="C99" i="5"/>
  <c r="N98" i="5"/>
  <c r="C98" i="5"/>
  <c r="N97" i="5"/>
  <c r="C97" i="5"/>
  <c r="N96" i="5"/>
  <c r="C96" i="5"/>
  <c r="N95" i="5"/>
  <c r="C95" i="5"/>
  <c r="N94" i="5"/>
  <c r="C94" i="5"/>
  <c r="N93" i="5"/>
  <c r="C93" i="5"/>
  <c r="N92" i="5"/>
  <c r="C92" i="5"/>
  <c r="N91" i="5"/>
  <c r="C91" i="5"/>
  <c r="N90" i="5"/>
  <c r="C90" i="5"/>
  <c r="N89" i="5"/>
  <c r="C89" i="5"/>
  <c r="N88" i="5"/>
  <c r="C88" i="5"/>
  <c r="N87" i="5"/>
  <c r="C87" i="5"/>
  <c r="N86" i="5"/>
  <c r="C86" i="5"/>
  <c r="N85" i="5"/>
  <c r="N84" i="5"/>
  <c r="N83" i="5"/>
  <c r="N82" i="5"/>
  <c r="N81" i="5"/>
  <c r="N80" i="5"/>
  <c r="N79" i="5"/>
  <c r="N78" i="5"/>
  <c r="N77" i="5"/>
  <c r="N76" i="5"/>
  <c r="N75" i="5"/>
  <c r="N74" i="5"/>
  <c r="N73" i="5"/>
  <c r="N72" i="5"/>
  <c r="N71" i="5"/>
  <c r="N70" i="5"/>
  <c r="N69" i="5"/>
  <c r="N68" i="5"/>
  <c r="N67" i="5"/>
  <c r="N66" i="5"/>
  <c r="N65" i="5"/>
  <c r="N64" i="5"/>
  <c r="N63" i="5"/>
  <c r="N62" i="5"/>
  <c r="N61" i="5"/>
  <c r="N60" i="5"/>
  <c r="N59" i="5"/>
  <c r="N58" i="5"/>
  <c r="N57" i="5"/>
  <c r="N56" i="5"/>
  <c r="N55" i="5"/>
  <c r="N54" i="5"/>
  <c r="N53" i="5"/>
  <c r="N52" i="5"/>
  <c r="N51" i="5"/>
  <c r="N50" i="5"/>
  <c r="N49" i="5"/>
  <c r="N48" i="5"/>
  <c r="N47" i="5"/>
  <c r="N46" i="5"/>
  <c r="N45" i="5"/>
  <c r="N44" i="5"/>
  <c r="N43" i="5"/>
  <c r="N42" i="5"/>
  <c r="N41" i="5"/>
  <c r="N40"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N8" i="5"/>
  <c r="N7" i="5"/>
  <c r="N6" i="5"/>
  <c r="N5" i="5"/>
  <c r="O204" i="4"/>
  <c r="E204" i="4"/>
  <c r="D204" i="4"/>
  <c r="C204" i="4"/>
  <c r="O203" i="4"/>
  <c r="E203" i="4"/>
  <c r="D203" i="4"/>
  <c r="C203" i="4"/>
  <c r="O202" i="4"/>
  <c r="E202" i="4"/>
  <c r="D202" i="4"/>
  <c r="C202" i="4"/>
  <c r="O201" i="4"/>
  <c r="E201" i="4"/>
  <c r="D201" i="4"/>
  <c r="C201" i="4"/>
  <c r="O200" i="4"/>
  <c r="E200" i="4"/>
  <c r="D200" i="4"/>
  <c r="C200" i="4"/>
  <c r="O199" i="4"/>
  <c r="E199" i="4"/>
  <c r="D199" i="4"/>
  <c r="C199" i="4"/>
  <c r="O198" i="4"/>
  <c r="E198" i="4"/>
  <c r="D198" i="4"/>
  <c r="C198" i="4"/>
  <c r="O197" i="4"/>
  <c r="E197" i="4"/>
  <c r="D197" i="4"/>
  <c r="C197" i="4"/>
  <c r="O196" i="4"/>
  <c r="E196" i="4"/>
  <c r="D196" i="4"/>
  <c r="C196" i="4"/>
  <c r="O195" i="4"/>
  <c r="E195" i="4"/>
  <c r="D195" i="4"/>
  <c r="C195" i="4"/>
  <c r="O194" i="4"/>
  <c r="E194" i="4"/>
  <c r="D194" i="4"/>
  <c r="C194" i="4"/>
  <c r="O193" i="4"/>
  <c r="E193" i="4"/>
  <c r="D193" i="4"/>
  <c r="C193" i="4"/>
  <c r="O192" i="4"/>
  <c r="E192" i="4"/>
  <c r="D192" i="4"/>
  <c r="C192" i="4"/>
  <c r="O191" i="4"/>
  <c r="E191" i="4"/>
  <c r="D191" i="4"/>
  <c r="C191" i="4"/>
  <c r="O190" i="4"/>
  <c r="E190" i="4"/>
  <c r="D190" i="4"/>
  <c r="C190" i="4"/>
  <c r="O189" i="4"/>
  <c r="E189" i="4"/>
  <c r="D189" i="4"/>
  <c r="C189" i="4"/>
  <c r="O188" i="4"/>
  <c r="E188" i="4"/>
  <c r="D188" i="4"/>
  <c r="C188" i="4"/>
  <c r="O187" i="4"/>
  <c r="E187" i="4"/>
  <c r="D187" i="4"/>
  <c r="C187" i="4"/>
  <c r="O186" i="4"/>
  <c r="E186" i="4"/>
  <c r="D186" i="4"/>
  <c r="C186" i="4"/>
  <c r="O185" i="4"/>
  <c r="E185" i="4"/>
  <c r="D185" i="4"/>
  <c r="C185" i="4"/>
  <c r="O184" i="4"/>
  <c r="E184" i="4"/>
  <c r="D184" i="4"/>
  <c r="C184" i="4"/>
  <c r="O183" i="4"/>
  <c r="E183" i="4"/>
  <c r="D183" i="4"/>
  <c r="C183" i="4"/>
  <c r="O182" i="4"/>
  <c r="E182" i="4"/>
  <c r="D182" i="4"/>
  <c r="C182" i="4"/>
  <c r="O181" i="4"/>
  <c r="E181" i="4"/>
  <c r="D181" i="4"/>
  <c r="C181" i="4"/>
  <c r="O180" i="4"/>
  <c r="E180" i="4"/>
  <c r="D180" i="4"/>
  <c r="C180" i="4"/>
  <c r="O179" i="4"/>
  <c r="E179" i="4"/>
  <c r="D179" i="4"/>
  <c r="C179" i="4"/>
  <c r="O178" i="4"/>
  <c r="E178" i="4"/>
  <c r="D178" i="4"/>
  <c r="C178" i="4"/>
  <c r="O177" i="4"/>
  <c r="E177" i="4"/>
  <c r="D177" i="4"/>
  <c r="C177" i="4"/>
  <c r="O176" i="4"/>
  <c r="E176" i="4"/>
  <c r="D176" i="4"/>
  <c r="C176" i="4"/>
  <c r="O175" i="4"/>
  <c r="E175" i="4"/>
  <c r="D175" i="4"/>
  <c r="C175" i="4"/>
  <c r="O174" i="4"/>
  <c r="E174" i="4"/>
  <c r="D174" i="4"/>
  <c r="C174" i="4"/>
  <c r="O173" i="4"/>
  <c r="E173" i="4"/>
  <c r="D173" i="4"/>
  <c r="C173" i="4"/>
  <c r="O172" i="4"/>
  <c r="E172" i="4"/>
  <c r="D172" i="4"/>
  <c r="C172" i="4"/>
  <c r="O171" i="4"/>
  <c r="E171" i="4"/>
  <c r="D171" i="4"/>
  <c r="C171" i="4"/>
  <c r="O170" i="4"/>
  <c r="E170" i="4"/>
  <c r="D170" i="4"/>
  <c r="C170" i="4"/>
  <c r="O169" i="4"/>
  <c r="E169" i="4"/>
  <c r="D169" i="4"/>
  <c r="C169" i="4"/>
  <c r="O168" i="4"/>
  <c r="E168" i="4"/>
  <c r="D168" i="4"/>
  <c r="C168" i="4"/>
  <c r="O167" i="4"/>
  <c r="E167" i="4"/>
  <c r="D167" i="4"/>
  <c r="C167" i="4"/>
  <c r="O166" i="4"/>
  <c r="E166" i="4"/>
  <c r="D166" i="4"/>
  <c r="C166" i="4"/>
  <c r="O165" i="4"/>
  <c r="E165" i="4"/>
  <c r="D165" i="4"/>
  <c r="C165" i="4"/>
  <c r="O164" i="4"/>
  <c r="E164" i="4"/>
  <c r="D164" i="4"/>
  <c r="C164" i="4"/>
  <c r="O163" i="4"/>
  <c r="E163" i="4"/>
  <c r="D163" i="4"/>
  <c r="C163" i="4"/>
  <c r="O162" i="4"/>
  <c r="E162" i="4"/>
  <c r="D162" i="4"/>
  <c r="C162" i="4"/>
  <c r="O161" i="4"/>
  <c r="E161" i="4"/>
  <c r="D161" i="4"/>
  <c r="C161" i="4"/>
  <c r="O160" i="4"/>
  <c r="E160" i="4"/>
  <c r="D160" i="4"/>
  <c r="C160" i="4"/>
  <c r="O159" i="4"/>
  <c r="E159" i="4"/>
  <c r="D159" i="4"/>
  <c r="C159" i="4"/>
  <c r="O158" i="4"/>
  <c r="E158" i="4"/>
  <c r="D158" i="4"/>
  <c r="C158" i="4"/>
  <c r="O157" i="4"/>
  <c r="E157" i="4"/>
  <c r="D157" i="4"/>
  <c r="C157" i="4"/>
  <c r="O156" i="4"/>
  <c r="E156" i="4"/>
  <c r="D156" i="4"/>
  <c r="C156" i="4"/>
  <c r="O155" i="4"/>
  <c r="E155" i="4"/>
  <c r="D155" i="4"/>
  <c r="C155" i="4"/>
  <c r="O154" i="4"/>
  <c r="E154" i="4"/>
  <c r="D154" i="4"/>
  <c r="C154" i="4"/>
  <c r="O153" i="4"/>
  <c r="E153" i="4"/>
  <c r="D153" i="4"/>
  <c r="C153" i="4"/>
  <c r="O152" i="4"/>
  <c r="E152" i="4"/>
  <c r="D152" i="4"/>
  <c r="C152" i="4"/>
  <c r="O151" i="4"/>
  <c r="E151" i="4"/>
  <c r="D151" i="4"/>
  <c r="C151" i="4"/>
  <c r="O150" i="4"/>
  <c r="E150" i="4"/>
  <c r="D150" i="4"/>
  <c r="C150" i="4"/>
  <c r="O149" i="4"/>
  <c r="E149" i="4"/>
  <c r="D149" i="4"/>
  <c r="C149" i="4"/>
  <c r="O148" i="4"/>
  <c r="E148" i="4"/>
  <c r="D148" i="4"/>
  <c r="C148" i="4"/>
  <c r="O147" i="4"/>
  <c r="E147" i="4"/>
  <c r="D147" i="4"/>
  <c r="C147" i="4"/>
  <c r="O146" i="4"/>
  <c r="E146" i="4"/>
  <c r="D146" i="4"/>
  <c r="C146" i="4"/>
  <c r="O145" i="4"/>
  <c r="E145" i="4"/>
  <c r="D145" i="4"/>
  <c r="C145" i="4"/>
  <c r="O144" i="4"/>
  <c r="E144" i="4"/>
  <c r="D144" i="4"/>
  <c r="C144" i="4"/>
  <c r="O143" i="4"/>
  <c r="E143" i="4"/>
  <c r="D143" i="4"/>
  <c r="C143" i="4"/>
  <c r="O142" i="4"/>
  <c r="E142" i="4"/>
  <c r="D142" i="4"/>
  <c r="C142" i="4"/>
  <c r="O141" i="4"/>
  <c r="E141" i="4"/>
  <c r="D141" i="4"/>
  <c r="C141" i="4"/>
  <c r="O140" i="4"/>
  <c r="E140" i="4"/>
  <c r="D140" i="4"/>
  <c r="C140" i="4"/>
  <c r="O139" i="4"/>
  <c r="E139" i="4"/>
  <c r="D139" i="4"/>
  <c r="C139" i="4"/>
  <c r="O138" i="4"/>
  <c r="E138" i="4"/>
  <c r="D138" i="4"/>
  <c r="C138" i="4"/>
  <c r="O137" i="4"/>
  <c r="E137" i="4"/>
  <c r="D137" i="4"/>
  <c r="C137" i="4"/>
  <c r="O136" i="4"/>
  <c r="E136" i="4"/>
  <c r="D136" i="4"/>
  <c r="C136" i="4"/>
  <c r="O135" i="4"/>
  <c r="E135" i="4"/>
  <c r="D135" i="4"/>
  <c r="C135" i="4"/>
  <c r="O134" i="4"/>
  <c r="E134" i="4"/>
  <c r="D134" i="4"/>
  <c r="C134" i="4"/>
  <c r="O133" i="4"/>
  <c r="E133" i="4"/>
  <c r="D133" i="4"/>
  <c r="C133" i="4"/>
  <c r="O132" i="4"/>
  <c r="E132" i="4"/>
  <c r="D132" i="4"/>
  <c r="C132" i="4"/>
  <c r="O131" i="4"/>
  <c r="E131" i="4"/>
  <c r="D131" i="4"/>
  <c r="C131" i="4"/>
  <c r="O130" i="4"/>
  <c r="E130" i="4"/>
  <c r="D130" i="4"/>
  <c r="C130" i="4"/>
  <c r="O129" i="4"/>
  <c r="E129" i="4"/>
  <c r="D129" i="4"/>
  <c r="C129" i="4"/>
  <c r="O128" i="4"/>
  <c r="E128" i="4"/>
  <c r="D128" i="4"/>
  <c r="C128" i="4"/>
  <c r="O127" i="4"/>
  <c r="E127" i="4"/>
  <c r="D127" i="4"/>
  <c r="C127" i="4"/>
  <c r="O126" i="4"/>
  <c r="E126" i="4"/>
  <c r="D126" i="4"/>
  <c r="C126" i="4"/>
  <c r="O125" i="4"/>
  <c r="E125" i="4"/>
  <c r="D125" i="4"/>
  <c r="C125" i="4"/>
  <c r="O124" i="4"/>
  <c r="E124" i="4"/>
  <c r="D124" i="4"/>
  <c r="C124" i="4"/>
  <c r="O123" i="4"/>
  <c r="E123" i="4"/>
  <c r="D123" i="4"/>
  <c r="C123" i="4"/>
  <c r="O122" i="4"/>
  <c r="E122" i="4"/>
  <c r="D122" i="4"/>
  <c r="C122" i="4"/>
  <c r="O121" i="4"/>
  <c r="E121" i="4"/>
  <c r="D121" i="4"/>
  <c r="C121" i="4"/>
  <c r="O120" i="4"/>
  <c r="E120" i="4"/>
  <c r="D120" i="4"/>
  <c r="C120" i="4"/>
  <c r="O119" i="4"/>
  <c r="E119" i="4"/>
  <c r="D119" i="4"/>
  <c r="C119" i="4"/>
  <c r="O118" i="4"/>
  <c r="E118" i="4"/>
  <c r="D118" i="4"/>
  <c r="C118" i="4"/>
  <c r="O117" i="4"/>
  <c r="E117" i="4"/>
  <c r="D117" i="4"/>
  <c r="C117" i="4"/>
  <c r="O116" i="4"/>
  <c r="E116" i="4"/>
  <c r="D116" i="4"/>
  <c r="C116" i="4"/>
  <c r="O115" i="4"/>
  <c r="E115" i="4"/>
  <c r="D115" i="4"/>
  <c r="C115" i="4"/>
  <c r="O114" i="4"/>
  <c r="E114" i="4"/>
  <c r="D114" i="4"/>
  <c r="C114" i="4"/>
  <c r="O113" i="4"/>
  <c r="E113" i="4"/>
  <c r="D113" i="4"/>
  <c r="C113" i="4"/>
  <c r="O112" i="4"/>
  <c r="E112" i="4"/>
  <c r="D112" i="4"/>
  <c r="C112" i="4"/>
  <c r="O111" i="4"/>
  <c r="E111" i="4"/>
  <c r="D111" i="4"/>
  <c r="C111" i="4"/>
  <c r="O110" i="4"/>
  <c r="E110" i="4"/>
  <c r="D110" i="4"/>
  <c r="C110" i="4"/>
  <c r="O109" i="4"/>
  <c r="E109" i="4"/>
  <c r="D109" i="4"/>
  <c r="C109" i="4"/>
  <c r="O108" i="4"/>
  <c r="E108" i="4"/>
  <c r="D108" i="4"/>
  <c r="C108" i="4"/>
  <c r="O107" i="4"/>
  <c r="E107" i="4"/>
  <c r="D107" i="4"/>
  <c r="C107" i="4"/>
  <c r="O106" i="4"/>
  <c r="E106" i="4"/>
  <c r="D106" i="4"/>
  <c r="C106" i="4"/>
  <c r="O105" i="4"/>
  <c r="E105" i="4"/>
  <c r="D105" i="4"/>
  <c r="C105" i="4"/>
  <c r="O104" i="4"/>
  <c r="E104" i="4"/>
  <c r="D104" i="4"/>
  <c r="C104" i="4"/>
  <c r="O103" i="4"/>
  <c r="E103" i="4"/>
  <c r="D103" i="4"/>
  <c r="C103" i="4"/>
  <c r="O102" i="4"/>
  <c r="E102" i="4"/>
  <c r="D102" i="4"/>
  <c r="C102" i="4"/>
  <c r="O101" i="4"/>
  <c r="E101" i="4"/>
  <c r="D101" i="4"/>
  <c r="C101" i="4"/>
  <c r="O100" i="4"/>
  <c r="E100" i="4"/>
  <c r="D100" i="4"/>
  <c r="C100" i="4"/>
  <c r="O99" i="4"/>
  <c r="E99" i="4"/>
  <c r="D99" i="4"/>
  <c r="C99" i="4"/>
  <c r="O98" i="4"/>
  <c r="E98" i="4"/>
  <c r="D98" i="4"/>
  <c r="C98" i="4"/>
  <c r="O97" i="4"/>
  <c r="E97" i="4"/>
  <c r="D97" i="4"/>
  <c r="C97" i="4"/>
  <c r="O96" i="4"/>
  <c r="E96" i="4"/>
  <c r="D96" i="4"/>
  <c r="C96" i="4"/>
  <c r="O95" i="4"/>
  <c r="E95" i="4"/>
  <c r="D95" i="4"/>
  <c r="C95" i="4"/>
  <c r="O94" i="4"/>
  <c r="E94" i="4"/>
  <c r="D94" i="4"/>
  <c r="C94" i="4"/>
  <c r="O93" i="4"/>
  <c r="E93" i="4"/>
  <c r="D93" i="4"/>
  <c r="C93" i="4"/>
  <c r="O92" i="4"/>
  <c r="E92" i="4"/>
  <c r="D92" i="4"/>
  <c r="C92" i="4"/>
  <c r="O91" i="4"/>
  <c r="E91" i="4"/>
  <c r="D91" i="4"/>
  <c r="C91" i="4"/>
  <c r="O90" i="4"/>
  <c r="E90" i="4"/>
  <c r="D90" i="4"/>
  <c r="C90" i="4"/>
  <c r="O89" i="4"/>
  <c r="E89" i="4"/>
  <c r="D89" i="4"/>
  <c r="C89" i="4"/>
  <c r="O88" i="4"/>
  <c r="E88" i="4"/>
  <c r="D88" i="4"/>
  <c r="C88" i="4"/>
  <c r="O87" i="4"/>
  <c r="E87" i="4"/>
  <c r="D87" i="4"/>
  <c r="C87" i="4"/>
  <c r="O86" i="4"/>
  <c r="E86" i="4"/>
  <c r="D86" i="4"/>
  <c r="C86" i="4"/>
  <c r="O85" i="4"/>
  <c r="E85" i="4"/>
  <c r="D85" i="4"/>
  <c r="C85" i="4"/>
  <c r="O84" i="4"/>
  <c r="E84" i="4"/>
  <c r="D84" i="4"/>
  <c r="C84" i="4"/>
  <c r="O83" i="4"/>
  <c r="E83" i="4"/>
  <c r="D83" i="4"/>
  <c r="C83" i="4"/>
  <c r="O82" i="4"/>
  <c r="E82" i="4"/>
  <c r="D82" i="4"/>
  <c r="C82" i="4"/>
  <c r="O81" i="4"/>
  <c r="E81" i="4"/>
  <c r="D81" i="4"/>
  <c r="C81" i="4"/>
  <c r="O80" i="4"/>
  <c r="E80" i="4"/>
  <c r="D80" i="4"/>
  <c r="C80" i="4"/>
  <c r="O79" i="4"/>
  <c r="E79" i="4"/>
  <c r="D79" i="4"/>
  <c r="C79" i="4"/>
  <c r="O78" i="4"/>
  <c r="E78" i="4"/>
  <c r="D78" i="4"/>
  <c r="C78" i="4"/>
  <c r="O77" i="4"/>
  <c r="E77" i="4"/>
  <c r="D77" i="4"/>
  <c r="C77" i="4"/>
  <c r="O76" i="4"/>
  <c r="E76" i="4"/>
  <c r="D76" i="4"/>
  <c r="C76" i="4"/>
  <c r="O75" i="4"/>
  <c r="E75" i="4"/>
  <c r="D75" i="4"/>
  <c r="C75" i="4"/>
  <c r="O74" i="4"/>
  <c r="E74" i="4"/>
  <c r="D74" i="4"/>
  <c r="C74" i="4"/>
  <c r="O73" i="4"/>
  <c r="E73" i="4"/>
  <c r="D73" i="4"/>
  <c r="C73" i="4"/>
  <c r="O72" i="4"/>
  <c r="E72" i="4"/>
  <c r="D72" i="4"/>
  <c r="C72" i="4"/>
  <c r="O71" i="4"/>
  <c r="E71" i="4"/>
  <c r="D71" i="4"/>
  <c r="C71" i="4"/>
  <c r="O70" i="4"/>
  <c r="E70" i="4"/>
  <c r="D70" i="4"/>
  <c r="C70" i="4"/>
  <c r="O69" i="4"/>
  <c r="E69" i="4"/>
  <c r="D69" i="4"/>
  <c r="C69" i="4"/>
  <c r="O68" i="4"/>
  <c r="E68" i="4"/>
  <c r="D68" i="4"/>
  <c r="C68" i="4"/>
  <c r="O67" i="4"/>
  <c r="E67" i="4"/>
  <c r="D67" i="4"/>
  <c r="C67" i="4"/>
  <c r="O66" i="4"/>
  <c r="E66" i="4"/>
  <c r="D66" i="4"/>
  <c r="C66" i="4"/>
  <c r="D65" i="4"/>
  <c r="C65" i="4"/>
  <c r="D64" i="4"/>
  <c r="C64" i="4"/>
  <c r="D63" i="4"/>
  <c r="C63" i="4"/>
  <c r="D62" i="4"/>
  <c r="C62" i="4"/>
  <c r="D61" i="4"/>
  <c r="C61" i="4"/>
  <c r="D60" i="4"/>
  <c r="C60" i="4"/>
  <c r="D59" i="4"/>
  <c r="C59" i="4"/>
  <c r="D58" i="4"/>
  <c r="C58" i="4"/>
  <c r="D57" i="4"/>
  <c r="C57" i="4"/>
  <c r="D56" i="4"/>
  <c r="C56" i="4"/>
  <c r="D55" i="4"/>
  <c r="C55" i="4"/>
  <c r="D54" i="4"/>
  <c r="C54" i="4"/>
  <c r="D53" i="4"/>
  <c r="C53" i="4"/>
  <c r="D52" i="4"/>
  <c r="C52" i="4"/>
  <c r="D51" i="4"/>
  <c r="C51" i="4"/>
  <c r="D50" i="4"/>
  <c r="C50" i="4"/>
  <c r="D49" i="4"/>
  <c r="C49" i="4"/>
  <c r="D48" i="4"/>
  <c r="C48" i="4"/>
  <c r="D47" i="4"/>
  <c r="C47" i="4"/>
  <c r="O46" i="4"/>
  <c r="D46" i="4"/>
  <c r="C46" i="4"/>
  <c r="O45" i="4"/>
  <c r="D45" i="4"/>
  <c r="C45" i="4"/>
  <c r="O44" i="4"/>
  <c r="D44" i="4"/>
  <c r="C44" i="4"/>
  <c r="O43" i="4"/>
  <c r="D43" i="4"/>
  <c r="C43" i="4"/>
  <c r="O42" i="4"/>
  <c r="D42" i="4"/>
  <c r="C42" i="4"/>
  <c r="O41" i="4"/>
  <c r="D41" i="4"/>
  <c r="C41" i="4"/>
  <c r="O40" i="4"/>
  <c r="D40" i="4"/>
  <c r="C40" i="4"/>
  <c r="O39" i="4"/>
  <c r="D39" i="4"/>
  <c r="C39" i="4"/>
  <c r="O38" i="4"/>
  <c r="D38" i="4"/>
  <c r="C38" i="4"/>
  <c r="O37" i="4"/>
  <c r="D37" i="4"/>
  <c r="C37" i="4"/>
  <c r="O36" i="4"/>
  <c r="D36" i="4"/>
  <c r="C36" i="4"/>
  <c r="O35" i="4"/>
  <c r="D35" i="4"/>
  <c r="C35" i="4"/>
  <c r="O34" i="4"/>
  <c r="D34" i="4"/>
  <c r="C34" i="4"/>
  <c r="O33" i="4"/>
  <c r="D33" i="4"/>
  <c r="C33" i="4"/>
  <c r="O32" i="4"/>
  <c r="D32" i="4"/>
  <c r="C32" i="4"/>
  <c r="O31" i="4"/>
  <c r="D31" i="4"/>
  <c r="C31" i="4"/>
  <c r="O30" i="4"/>
  <c r="D30" i="4"/>
  <c r="C30" i="4"/>
  <c r="O29" i="4"/>
  <c r="D29" i="4"/>
  <c r="C29" i="4"/>
  <c r="O28" i="4"/>
  <c r="D28" i="4"/>
  <c r="C28" i="4"/>
  <c r="O27" i="4"/>
  <c r="D27" i="4"/>
  <c r="C27" i="4"/>
  <c r="O26" i="4"/>
  <c r="D26" i="4"/>
  <c r="C26" i="4"/>
  <c r="O25" i="4"/>
  <c r="D25" i="4"/>
  <c r="C25" i="4"/>
  <c r="O24" i="4"/>
  <c r="D24" i="4"/>
  <c r="C24" i="4"/>
  <c r="O23" i="4"/>
  <c r="D23" i="4"/>
  <c r="C23" i="4"/>
  <c r="O22" i="4"/>
  <c r="D22" i="4"/>
  <c r="C22" i="4"/>
  <c r="O21" i="4"/>
  <c r="D21" i="4"/>
  <c r="C21" i="4"/>
  <c r="O20" i="4"/>
  <c r="D20" i="4"/>
  <c r="C20" i="4"/>
  <c r="O19" i="4"/>
  <c r="D19" i="4"/>
  <c r="C19" i="4"/>
  <c r="O18" i="4"/>
  <c r="D18" i="4"/>
  <c r="C18" i="4"/>
  <c r="O17" i="4"/>
  <c r="D17" i="4"/>
  <c r="C17" i="4"/>
  <c r="O16" i="4"/>
  <c r="D16" i="4"/>
  <c r="C16" i="4"/>
  <c r="O15" i="4"/>
  <c r="D15" i="4"/>
  <c r="C15" i="4"/>
  <c r="O14" i="4"/>
  <c r="D14" i="4"/>
  <c r="C14" i="4"/>
  <c r="O13" i="4"/>
  <c r="D13" i="4"/>
  <c r="C13" i="4"/>
  <c r="O12" i="4"/>
  <c r="D12" i="4"/>
  <c r="C12" i="4"/>
  <c r="O11" i="4"/>
  <c r="D11" i="4"/>
  <c r="C11" i="4"/>
  <c r="O10" i="4"/>
  <c r="C10" i="4"/>
  <c r="O9" i="4"/>
  <c r="D9" i="4"/>
  <c r="C9" i="4"/>
  <c r="O8" i="4"/>
  <c r="D8" i="4"/>
  <c r="C8" i="4"/>
  <c r="O7" i="4"/>
  <c r="D7" i="4"/>
  <c r="C7" i="4"/>
  <c r="O6" i="4"/>
  <c r="D6" i="4"/>
  <c r="C6" i="4"/>
  <c r="O5" i="4"/>
  <c r="D5" i="4"/>
  <c r="C5" i="4"/>
  <c r="W100" i="3"/>
  <c r="V100" i="3"/>
  <c r="U100" i="3"/>
  <c r="T100" i="3"/>
  <c r="S100" i="3"/>
  <c r="R100" i="3"/>
  <c r="Q100" i="3"/>
  <c r="O100" i="3"/>
  <c r="N100" i="3"/>
  <c r="M100" i="3"/>
  <c r="P100" i="3" s="1"/>
  <c r="K100" i="3"/>
  <c r="C85" i="5" s="1"/>
  <c r="W99" i="3"/>
  <c r="V99" i="3"/>
  <c r="U99" i="3"/>
  <c r="T99" i="3"/>
  <c r="S99" i="3"/>
  <c r="R99" i="3"/>
  <c r="Q99" i="3"/>
  <c r="O99" i="3"/>
  <c r="N99" i="3"/>
  <c r="P99" i="3" s="1"/>
  <c r="M99" i="3"/>
  <c r="K99" i="3"/>
  <c r="W98" i="3"/>
  <c r="V98" i="3"/>
  <c r="U98" i="3"/>
  <c r="T98" i="3"/>
  <c r="S98" i="3"/>
  <c r="R98" i="3"/>
  <c r="Q98" i="3"/>
  <c r="O98" i="3"/>
  <c r="N98" i="3"/>
  <c r="M98" i="3"/>
  <c r="P98" i="3" s="1"/>
  <c r="K98" i="3"/>
  <c r="C83" i="5" s="1"/>
  <c r="W97" i="3"/>
  <c r="V97" i="3"/>
  <c r="U97" i="3"/>
  <c r="T97" i="3"/>
  <c r="S97" i="3"/>
  <c r="R97" i="3"/>
  <c r="Q97" i="3"/>
  <c r="O97" i="3"/>
  <c r="N97" i="3"/>
  <c r="P97" i="3" s="1"/>
  <c r="M97" i="3"/>
  <c r="K97" i="3"/>
  <c r="W96" i="3"/>
  <c r="V96" i="3"/>
  <c r="U96" i="3"/>
  <c r="T96" i="3"/>
  <c r="S96" i="3"/>
  <c r="R96" i="3"/>
  <c r="Q96" i="3"/>
  <c r="O96" i="3"/>
  <c r="N96" i="3"/>
  <c r="M96" i="3"/>
  <c r="P96" i="3" s="1"/>
  <c r="K96" i="3"/>
  <c r="X96" i="3" s="1"/>
  <c r="W95" i="3"/>
  <c r="V95" i="3"/>
  <c r="U95" i="3"/>
  <c r="T95" i="3"/>
  <c r="S95" i="3"/>
  <c r="R95" i="3"/>
  <c r="Q95" i="3"/>
  <c r="O95" i="3"/>
  <c r="N95" i="3"/>
  <c r="P95" i="3" s="1"/>
  <c r="M95" i="3"/>
  <c r="K95" i="3"/>
  <c r="W94" i="3"/>
  <c r="V94" i="3"/>
  <c r="U94" i="3"/>
  <c r="T94" i="3"/>
  <c r="S94" i="3"/>
  <c r="R94" i="3"/>
  <c r="Q94" i="3"/>
  <c r="O94" i="3"/>
  <c r="N94" i="3"/>
  <c r="M94" i="3"/>
  <c r="P94" i="3" s="1"/>
  <c r="K94" i="3"/>
  <c r="C79" i="5" s="1"/>
  <c r="W93" i="3"/>
  <c r="V93" i="3"/>
  <c r="U93" i="3"/>
  <c r="T93" i="3"/>
  <c r="S93" i="3"/>
  <c r="R93" i="3"/>
  <c r="Q93" i="3"/>
  <c r="O93" i="3"/>
  <c r="N93" i="3"/>
  <c r="P93" i="3" s="1"/>
  <c r="M93" i="3"/>
  <c r="K93" i="3"/>
  <c r="W92" i="3"/>
  <c r="V92" i="3"/>
  <c r="U92" i="3"/>
  <c r="T92" i="3"/>
  <c r="S92" i="3"/>
  <c r="R92" i="3"/>
  <c r="Q92" i="3"/>
  <c r="O92" i="3"/>
  <c r="N92" i="3"/>
  <c r="M92" i="3"/>
  <c r="P92" i="3" s="1"/>
  <c r="K92" i="3"/>
  <c r="X92" i="3" s="1"/>
  <c r="W91" i="3"/>
  <c r="V91" i="3"/>
  <c r="U91" i="3"/>
  <c r="T91" i="3"/>
  <c r="S91" i="3"/>
  <c r="R91" i="3"/>
  <c r="Q91" i="3"/>
  <c r="O91" i="3"/>
  <c r="N91" i="3"/>
  <c r="P91" i="3" s="1"/>
  <c r="M91" i="3"/>
  <c r="K91" i="3"/>
  <c r="W90" i="3"/>
  <c r="V90" i="3"/>
  <c r="U90" i="3"/>
  <c r="T90" i="3"/>
  <c r="S90" i="3"/>
  <c r="R90" i="3"/>
  <c r="Q90" i="3"/>
  <c r="O90" i="3"/>
  <c r="N90" i="3"/>
  <c r="M90" i="3"/>
  <c r="P90" i="3" s="1"/>
  <c r="K90" i="3"/>
  <c r="X90" i="3" s="1"/>
  <c r="W89" i="3"/>
  <c r="V89" i="3"/>
  <c r="U89" i="3"/>
  <c r="T89" i="3"/>
  <c r="S89" i="3"/>
  <c r="R89" i="3"/>
  <c r="Q89" i="3"/>
  <c r="O89" i="3"/>
  <c r="N89" i="3"/>
  <c r="P89" i="3" s="1"/>
  <c r="M89" i="3"/>
  <c r="K89" i="3"/>
  <c r="W88" i="3"/>
  <c r="V88" i="3"/>
  <c r="U88" i="3"/>
  <c r="T88" i="3"/>
  <c r="S88" i="3"/>
  <c r="R88" i="3"/>
  <c r="Q88" i="3"/>
  <c r="O88" i="3"/>
  <c r="N88" i="3"/>
  <c r="M88" i="3"/>
  <c r="P88" i="3" s="1"/>
  <c r="K88" i="3"/>
  <c r="C73" i="5" s="1"/>
  <c r="W87" i="3"/>
  <c r="V87" i="3"/>
  <c r="U87" i="3"/>
  <c r="T87" i="3"/>
  <c r="S87" i="3"/>
  <c r="R87" i="3"/>
  <c r="Q87" i="3"/>
  <c r="O87" i="3"/>
  <c r="N87" i="3"/>
  <c r="P87" i="3" s="1"/>
  <c r="M87" i="3"/>
  <c r="K87" i="3"/>
  <c r="W86" i="3"/>
  <c r="V86" i="3"/>
  <c r="U86" i="3"/>
  <c r="T86" i="3"/>
  <c r="S86" i="3"/>
  <c r="R86" i="3"/>
  <c r="Q86" i="3"/>
  <c r="O86" i="3"/>
  <c r="N86" i="3"/>
  <c r="M86" i="3"/>
  <c r="P86" i="3" s="1"/>
  <c r="K86" i="3"/>
  <c r="X86" i="3" s="1"/>
  <c r="W85" i="3"/>
  <c r="V85" i="3"/>
  <c r="U85" i="3"/>
  <c r="T85" i="3"/>
  <c r="S85" i="3"/>
  <c r="R85" i="3"/>
  <c r="Q85" i="3"/>
  <c r="O85" i="3"/>
  <c r="N85" i="3"/>
  <c r="P85" i="3" s="1"/>
  <c r="M85" i="3"/>
  <c r="K85" i="3"/>
  <c r="W84" i="3"/>
  <c r="V84" i="3"/>
  <c r="U84" i="3"/>
  <c r="T84" i="3"/>
  <c r="S84" i="3"/>
  <c r="R84" i="3"/>
  <c r="Q84" i="3"/>
  <c r="O84" i="3"/>
  <c r="N84" i="3"/>
  <c r="M84" i="3"/>
  <c r="P84" i="3" s="1"/>
  <c r="K84" i="3"/>
  <c r="C69" i="5" s="1"/>
  <c r="W83" i="3"/>
  <c r="V83" i="3"/>
  <c r="U83" i="3"/>
  <c r="T83" i="3"/>
  <c r="S83" i="3"/>
  <c r="R83" i="3"/>
  <c r="Q83" i="3"/>
  <c r="O83" i="3"/>
  <c r="N83" i="3"/>
  <c r="P83" i="3" s="1"/>
  <c r="M83" i="3"/>
  <c r="K83" i="3"/>
  <c r="W82" i="3"/>
  <c r="V82" i="3"/>
  <c r="U82" i="3"/>
  <c r="T82" i="3"/>
  <c r="S82" i="3"/>
  <c r="R82" i="3"/>
  <c r="Q82" i="3"/>
  <c r="O82" i="3"/>
  <c r="N82" i="3"/>
  <c r="M82" i="3"/>
  <c r="P82" i="3" s="1"/>
  <c r="K82" i="3"/>
  <c r="C67" i="5" s="1"/>
  <c r="W81" i="3"/>
  <c r="V81" i="3"/>
  <c r="U81" i="3"/>
  <c r="T81" i="3"/>
  <c r="S81" i="3"/>
  <c r="R81" i="3"/>
  <c r="Q81" i="3"/>
  <c r="O81" i="3"/>
  <c r="N81" i="3"/>
  <c r="P81" i="3" s="1"/>
  <c r="M81" i="3"/>
  <c r="K81" i="3"/>
  <c r="W80" i="3"/>
  <c r="V80" i="3"/>
  <c r="U80" i="3"/>
  <c r="T80" i="3"/>
  <c r="S80" i="3"/>
  <c r="R80" i="3"/>
  <c r="Q80" i="3"/>
  <c r="O80" i="3"/>
  <c r="N80" i="3"/>
  <c r="M80" i="3"/>
  <c r="P80" i="3" s="1"/>
  <c r="K80" i="3"/>
  <c r="X80" i="3" s="1"/>
  <c r="W79" i="3"/>
  <c r="V79" i="3"/>
  <c r="U79" i="3"/>
  <c r="T79" i="3"/>
  <c r="S79" i="3"/>
  <c r="R79" i="3"/>
  <c r="Q79" i="3"/>
  <c r="O79" i="3"/>
  <c r="N79" i="3"/>
  <c r="P79" i="3" s="1"/>
  <c r="M79" i="3"/>
  <c r="K79" i="3"/>
  <c r="W78" i="3"/>
  <c r="V78" i="3"/>
  <c r="U78" i="3"/>
  <c r="T78" i="3"/>
  <c r="S78" i="3"/>
  <c r="R78" i="3"/>
  <c r="Q78" i="3"/>
  <c r="P78" i="3"/>
  <c r="O78" i="3"/>
  <c r="N78" i="3"/>
  <c r="M78" i="3"/>
  <c r="K78" i="3"/>
  <c r="C63" i="5" s="1"/>
  <c r="W77" i="3"/>
  <c r="V77" i="3"/>
  <c r="U77" i="3"/>
  <c r="T77" i="3"/>
  <c r="S77" i="3"/>
  <c r="R77" i="3"/>
  <c r="Q77" i="3"/>
  <c r="O77" i="3"/>
  <c r="N77" i="3"/>
  <c r="P77" i="3" s="1"/>
  <c r="M77" i="3"/>
  <c r="K77" i="3"/>
  <c r="W76" i="3"/>
  <c r="V76" i="3"/>
  <c r="U76" i="3"/>
  <c r="T76" i="3"/>
  <c r="S76" i="3"/>
  <c r="R76" i="3"/>
  <c r="Q76" i="3"/>
  <c r="O76" i="3"/>
  <c r="N76" i="3"/>
  <c r="M76" i="3"/>
  <c r="P76" i="3" s="1"/>
  <c r="K76" i="3"/>
  <c r="W75" i="3"/>
  <c r="V75" i="3"/>
  <c r="U75" i="3"/>
  <c r="T75" i="3"/>
  <c r="S75" i="3"/>
  <c r="R75" i="3"/>
  <c r="Q75" i="3"/>
  <c r="O75" i="3"/>
  <c r="N75" i="3"/>
  <c r="M75" i="3"/>
  <c r="K75" i="3"/>
  <c r="E57" i="4" s="1"/>
  <c r="W74" i="3"/>
  <c r="V74" i="3"/>
  <c r="U74" i="3"/>
  <c r="T74" i="3"/>
  <c r="S74" i="3"/>
  <c r="R74" i="3"/>
  <c r="Q74" i="3"/>
  <c r="P74" i="3"/>
  <c r="O74" i="3"/>
  <c r="N74" i="3"/>
  <c r="M74" i="3"/>
  <c r="K74" i="3"/>
  <c r="C59" i="5" s="1"/>
  <c r="W73" i="3"/>
  <c r="V73" i="3"/>
  <c r="U73" i="3"/>
  <c r="T73" i="3"/>
  <c r="S73" i="3"/>
  <c r="R73" i="3"/>
  <c r="Q73" i="3"/>
  <c r="O73" i="3"/>
  <c r="N73" i="3"/>
  <c r="P73" i="3" s="1"/>
  <c r="M73" i="3"/>
  <c r="K73" i="3"/>
  <c r="E58" i="4" s="1"/>
  <c r="W72" i="3"/>
  <c r="V72" i="3"/>
  <c r="U72" i="3"/>
  <c r="T72" i="3"/>
  <c r="S72" i="3"/>
  <c r="R72" i="3"/>
  <c r="Q72" i="3"/>
  <c r="O72" i="3"/>
  <c r="N72" i="3"/>
  <c r="M72" i="3"/>
  <c r="P72" i="3" s="1"/>
  <c r="K72" i="3"/>
  <c r="X72" i="3" s="1"/>
  <c r="W71" i="3"/>
  <c r="V71" i="3"/>
  <c r="U71" i="3"/>
  <c r="T71" i="3"/>
  <c r="S71" i="3"/>
  <c r="R71" i="3"/>
  <c r="Q71" i="3"/>
  <c r="O71" i="3"/>
  <c r="N71" i="3"/>
  <c r="M71" i="3"/>
  <c r="K71" i="3"/>
  <c r="E60" i="4" s="1"/>
  <c r="W70" i="3"/>
  <c r="V70" i="3"/>
  <c r="U70" i="3"/>
  <c r="T70" i="3"/>
  <c r="S70" i="3"/>
  <c r="R70" i="3"/>
  <c r="Q70" i="3"/>
  <c r="P70" i="3"/>
  <c r="O70" i="3"/>
  <c r="N70" i="3"/>
  <c r="M70" i="3"/>
  <c r="K70" i="3"/>
  <c r="C55" i="5" s="1"/>
  <c r="W69" i="3"/>
  <c r="V69" i="3"/>
  <c r="U69" i="3"/>
  <c r="T69" i="3"/>
  <c r="S69" i="3"/>
  <c r="R69" i="3"/>
  <c r="Q69" i="3"/>
  <c r="O69" i="3"/>
  <c r="N69" i="3"/>
  <c r="P69" i="3" s="1"/>
  <c r="M69" i="3"/>
  <c r="K69" i="3"/>
  <c r="E43" i="4" s="1"/>
  <c r="W68" i="3"/>
  <c r="V68" i="3"/>
  <c r="U68" i="3"/>
  <c r="T68" i="3"/>
  <c r="S68" i="3"/>
  <c r="R68" i="3"/>
  <c r="Q68" i="3"/>
  <c r="O68" i="3"/>
  <c r="N68" i="3"/>
  <c r="M68" i="3"/>
  <c r="P68" i="3" s="1"/>
  <c r="K68" i="3"/>
  <c r="E41" i="4" s="1"/>
  <c r="W67" i="3"/>
  <c r="V67" i="3"/>
  <c r="U67" i="3"/>
  <c r="T67" i="3"/>
  <c r="S67" i="3"/>
  <c r="R67" i="3"/>
  <c r="Q67" i="3"/>
  <c r="O67" i="3"/>
  <c r="N67" i="3"/>
  <c r="M67" i="3"/>
  <c r="K67" i="3"/>
  <c r="E45" i="4" s="1"/>
  <c r="W66" i="3"/>
  <c r="V66" i="3"/>
  <c r="U66" i="3"/>
  <c r="T66" i="3"/>
  <c r="S66" i="3"/>
  <c r="R66" i="3"/>
  <c r="Q66" i="3"/>
  <c r="P66" i="3"/>
  <c r="O66" i="3"/>
  <c r="N66" i="3"/>
  <c r="M66" i="3"/>
  <c r="K66" i="3"/>
  <c r="C51" i="5" s="1"/>
  <c r="W65" i="3"/>
  <c r="V65" i="3"/>
  <c r="U65" i="3"/>
  <c r="T65" i="3"/>
  <c r="S65" i="3"/>
  <c r="R65" i="3"/>
  <c r="Q65" i="3"/>
  <c r="O65" i="3"/>
  <c r="N65" i="3"/>
  <c r="P65" i="3" s="1"/>
  <c r="M65" i="3"/>
  <c r="K65" i="3"/>
  <c r="E44" i="4" s="1"/>
  <c r="W64" i="3"/>
  <c r="V64" i="3"/>
  <c r="U64" i="3"/>
  <c r="T64" i="3"/>
  <c r="S64" i="3"/>
  <c r="R64" i="3"/>
  <c r="Q64" i="3"/>
  <c r="O64" i="3"/>
  <c r="N64" i="3"/>
  <c r="M64" i="3"/>
  <c r="P64" i="3" s="1"/>
  <c r="K64" i="3"/>
  <c r="X64" i="3" s="1"/>
  <c r="W63" i="3"/>
  <c r="V63" i="3"/>
  <c r="U63" i="3"/>
  <c r="T63" i="3"/>
  <c r="S63" i="3"/>
  <c r="R63" i="3"/>
  <c r="Q63" i="3"/>
  <c r="O63" i="3"/>
  <c r="N63" i="3"/>
  <c r="M63" i="3"/>
  <c r="K63" i="3"/>
  <c r="E36" i="4" s="1"/>
  <c r="W62" i="3"/>
  <c r="V62" i="3"/>
  <c r="U62" i="3"/>
  <c r="T62" i="3"/>
  <c r="S62" i="3"/>
  <c r="R62" i="3"/>
  <c r="Q62" i="3"/>
  <c r="P62" i="3"/>
  <c r="O62" i="3"/>
  <c r="N62" i="3"/>
  <c r="M62" i="3"/>
  <c r="K62" i="3"/>
  <c r="C47" i="5" s="1"/>
  <c r="W61" i="3"/>
  <c r="V61" i="3"/>
  <c r="U61" i="3"/>
  <c r="T61" i="3"/>
  <c r="S61" i="3"/>
  <c r="R61" i="3"/>
  <c r="Q61" i="3"/>
  <c r="O61" i="3"/>
  <c r="N61" i="3"/>
  <c r="P61" i="3" s="1"/>
  <c r="M61" i="3"/>
  <c r="K61" i="3"/>
  <c r="E38" i="4" s="1"/>
  <c r="W60" i="3"/>
  <c r="V60" i="3"/>
  <c r="U60" i="3"/>
  <c r="T60" i="3"/>
  <c r="S60" i="3"/>
  <c r="R60" i="3"/>
  <c r="Q60" i="3"/>
  <c r="O60" i="3"/>
  <c r="N60" i="3"/>
  <c r="M60" i="3"/>
  <c r="P60" i="3" s="1"/>
  <c r="K60" i="3"/>
  <c r="C45" i="5" s="1"/>
  <c r="W59" i="3"/>
  <c r="V59" i="3"/>
  <c r="U59" i="3"/>
  <c r="T59" i="3"/>
  <c r="S59" i="3"/>
  <c r="R59" i="3"/>
  <c r="Q59" i="3"/>
  <c r="O59" i="3"/>
  <c r="N59" i="3"/>
  <c r="M59" i="3"/>
  <c r="K59" i="3"/>
  <c r="E34" i="4" s="1"/>
  <c r="W58" i="3"/>
  <c r="V58" i="3"/>
  <c r="U58" i="3"/>
  <c r="T58" i="3"/>
  <c r="S58" i="3"/>
  <c r="R58" i="3"/>
  <c r="Q58" i="3"/>
  <c r="O58" i="3"/>
  <c r="N58" i="3"/>
  <c r="M58" i="3"/>
  <c r="P58" i="3" s="1"/>
  <c r="K58" i="3"/>
  <c r="X58" i="3" s="1"/>
  <c r="W57" i="3"/>
  <c r="V57" i="3"/>
  <c r="U57" i="3"/>
  <c r="T57" i="3"/>
  <c r="S57" i="3"/>
  <c r="R57" i="3"/>
  <c r="Q57" i="3"/>
  <c r="O57" i="3"/>
  <c r="N57" i="3"/>
  <c r="P57" i="3" s="1"/>
  <c r="M57" i="3"/>
  <c r="K57" i="3"/>
  <c r="E31" i="4" s="1"/>
  <c r="W56" i="3"/>
  <c r="V56" i="3"/>
  <c r="U56" i="3"/>
  <c r="T56" i="3"/>
  <c r="S56" i="3"/>
  <c r="R56" i="3"/>
  <c r="Q56" i="3"/>
  <c r="O56" i="3"/>
  <c r="N56" i="3"/>
  <c r="M56" i="3"/>
  <c r="P56" i="3" s="1"/>
  <c r="K56" i="3"/>
  <c r="C41" i="5" s="1"/>
  <c r="W55" i="3"/>
  <c r="V55" i="3"/>
  <c r="U55" i="3"/>
  <c r="T55" i="3"/>
  <c r="S55" i="3"/>
  <c r="R55" i="3"/>
  <c r="Q55" i="3"/>
  <c r="O55" i="3"/>
  <c r="N55" i="3"/>
  <c r="P55" i="3" s="1"/>
  <c r="M55" i="3"/>
  <c r="K55" i="3"/>
  <c r="E32" i="4" s="1"/>
  <c r="W54" i="3"/>
  <c r="V54" i="3"/>
  <c r="U54" i="3"/>
  <c r="T54" i="3"/>
  <c r="S54" i="3"/>
  <c r="R54" i="3"/>
  <c r="Q54" i="3"/>
  <c r="O54" i="3"/>
  <c r="N54" i="3"/>
  <c r="M54" i="3"/>
  <c r="P54" i="3" s="1"/>
  <c r="K54" i="3"/>
  <c r="C39" i="5" s="1"/>
  <c r="W53" i="3"/>
  <c r="V53" i="3"/>
  <c r="U53" i="3"/>
  <c r="T53" i="3"/>
  <c r="S53" i="3"/>
  <c r="R53" i="3"/>
  <c r="Q53" i="3"/>
  <c r="O53" i="3"/>
  <c r="N53" i="3"/>
  <c r="P53" i="3" s="1"/>
  <c r="M53" i="3"/>
  <c r="K53" i="3"/>
  <c r="E55" i="4" s="1"/>
  <c r="W52" i="3"/>
  <c r="V52" i="3"/>
  <c r="U52" i="3"/>
  <c r="T52" i="3"/>
  <c r="S52" i="3"/>
  <c r="R52" i="3"/>
  <c r="Q52" i="3"/>
  <c r="O52" i="3"/>
  <c r="N52" i="3"/>
  <c r="M52" i="3"/>
  <c r="P52" i="3" s="1"/>
  <c r="K52" i="3"/>
  <c r="L52" i="3" s="1"/>
  <c r="W51" i="3"/>
  <c r="V51" i="3"/>
  <c r="U51" i="3"/>
  <c r="T51" i="3"/>
  <c r="S51" i="3"/>
  <c r="R51" i="3"/>
  <c r="Q51" i="3"/>
  <c r="O51" i="3"/>
  <c r="N51" i="3"/>
  <c r="P51" i="3" s="1"/>
  <c r="M51" i="3"/>
  <c r="K51" i="3"/>
  <c r="E9" i="4" s="1"/>
  <c r="W50" i="3"/>
  <c r="V50" i="3"/>
  <c r="U50" i="3"/>
  <c r="T50" i="3"/>
  <c r="S50" i="3"/>
  <c r="R50" i="3"/>
  <c r="Q50" i="3"/>
  <c r="O50" i="3"/>
  <c r="N50" i="3"/>
  <c r="M50" i="3"/>
  <c r="P50" i="3" s="1"/>
  <c r="K50" i="3"/>
  <c r="C35" i="5" s="1"/>
  <c r="W49" i="3"/>
  <c r="V49" i="3"/>
  <c r="U49" i="3"/>
  <c r="T49" i="3"/>
  <c r="S49" i="3"/>
  <c r="R49" i="3"/>
  <c r="Q49" i="3"/>
  <c r="O49" i="3"/>
  <c r="N49" i="3"/>
  <c r="P49" i="3" s="1"/>
  <c r="M49" i="3"/>
  <c r="K49" i="3"/>
  <c r="E49" i="4" s="1"/>
  <c r="W48" i="3"/>
  <c r="V48" i="3"/>
  <c r="U48" i="3"/>
  <c r="T48" i="3"/>
  <c r="S48" i="3"/>
  <c r="R48" i="3"/>
  <c r="Q48" i="3"/>
  <c r="O48" i="3"/>
  <c r="N48" i="3"/>
  <c r="M48" i="3"/>
  <c r="P48" i="3" s="1"/>
  <c r="K48" i="3"/>
  <c r="C33" i="5" s="1"/>
  <c r="W47" i="3"/>
  <c r="V47" i="3"/>
  <c r="U47" i="3"/>
  <c r="T47" i="3"/>
  <c r="S47" i="3"/>
  <c r="R47" i="3"/>
  <c r="Q47" i="3"/>
  <c r="O47" i="3"/>
  <c r="N47" i="3"/>
  <c r="P47" i="3" s="1"/>
  <c r="M47" i="3"/>
  <c r="K47" i="3"/>
  <c r="E47" i="4" s="1"/>
  <c r="W46" i="3"/>
  <c r="V46" i="3"/>
  <c r="U46" i="3"/>
  <c r="T46" i="3"/>
  <c r="S46" i="3"/>
  <c r="R46" i="3"/>
  <c r="Q46" i="3"/>
  <c r="O46" i="3"/>
  <c r="N46" i="3"/>
  <c r="M46" i="3"/>
  <c r="P46" i="3" s="1"/>
  <c r="K46" i="3"/>
  <c r="C31" i="5" s="1"/>
  <c r="W45" i="3"/>
  <c r="V45" i="3"/>
  <c r="U45" i="3"/>
  <c r="T45" i="3"/>
  <c r="S45" i="3"/>
  <c r="R45" i="3"/>
  <c r="Q45" i="3"/>
  <c r="O45" i="3"/>
  <c r="N45" i="3"/>
  <c r="P45" i="3" s="1"/>
  <c r="M45" i="3"/>
  <c r="K45" i="3"/>
  <c r="E5" i="4" s="1"/>
  <c r="W44" i="3"/>
  <c r="V44" i="3"/>
  <c r="U44" i="3"/>
  <c r="T44" i="3"/>
  <c r="S44" i="3"/>
  <c r="R44" i="3"/>
  <c r="Q44" i="3"/>
  <c r="O44" i="3"/>
  <c r="N44" i="3"/>
  <c r="M44" i="3"/>
  <c r="P44" i="3" s="1"/>
  <c r="K44" i="3"/>
  <c r="X44" i="3" s="1"/>
  <c r="W43" i="3"/>
  <c r="V43" i="3"/>
  <c r="U43" i="3"/>
  <c r="T43" i="3"/>
  <c r="S43" i="3"/>
  <c r="R43" i="3"/>
  <c r="Q43" i="3"/>
  <c r="O43" i="3"/>
  <c r="N43" i="3"/>
  <c r="P43" i="3" s="1"/>
  <c r="M43" i="3"/>
  <c r="K43" i="3"/>
  <c r="E53" i="4" s="1"/>
  <c r="W42" i="3"/>
  <c r="V42" i="3"/>
  <c r="U42" i="3"/>
  <c r="T42" i="3"/>
  <c r="S42" i="3"/>
  <c r="R42" i="3"/>
  <c r="Q42" i="3"/>
  <c r="O42" i="3"/>
  <c r="N42" i="3"/>
  <c r="M42" i="3"/>
  <c r="P42" i="3" s="1"/>
  <c r="K42" i="3"/>
  <c r="X42" i="3" s="1"/>
  <c r="W41" i="3"/>
  <c r="V41" i="3"/>
  <c r="U41" i="3"/>
  <c r="T41" i="3"/>
  <c r="S41" i="3"/>
  <c r="R41" i="3"/>
  <c r="Q41" i="3"/>
  <c r="O41" i="3"/>
  <c r="N41" i="3"/>
  <c r="P41" i="3" s="1"/>
  <c r="M41" i="3"/>
  <c r="K41" i="3"/>
  <c r="E15" i="4" s="1"/>
  <c r="W40" i="3"/>
  <c r="V40" i="3"/>
  <c r="U40" i="3"/>
  <c r="T40" i="3"/>
  <c r="S40" i="3"/>
  <c r="R40" i="3"/>
  <c r="Q40" i="3"/>
  <c r="O40" i="3"/>
  <c r="N40" i="3"/>
  <c r="M40" i="3"/>
  <c r="P40" i="3" s="1"/>
  <c r="K40" i="3"/>
  <c r="X40" i="3" s="1"/>
  <c r="W39" i="3"/>
  <c r="V39" i="3"/>
  <c r="U39" i="3"/>
  <c r="T39" i="3"/>
  <c r="S39" i="3"/>
  <c r="R39" i="3"/>
  <c r="Q39" i="3"/>
  <c r="O39" i="3"/>
  <c r="N39" i="3"/>
  <c r="P39" i="3" s="1"/>
  <c r="M39" i="3"/>
  <c r="K39" i="3"/>
  <c r="E14" i="4" s="1"/>
  <c r="W38" i="3"/>
  <c r="V38" i="3"/>
  <c r="U38" i="3"/>
  <c r="T38" i="3"/>
  <c r="S38" i="3"/>
  <c r="R38" i="3"/>
  <c r="Q38" i="3"/>
  <c r="O38" i="3"/>
  <c r="N38" i="3"/>
  <c r="M38" i="3"/>
  <c r="P38" i="3" s="1"/>
  <c r="K38" i="3"/>
  <c r="C23" i="5" s="1"/>
  <c r="W37" i="3"/>
  <c r="V37" i="3"/>
  <c r="U37" i="3"/>
  <c r="T37" i="3"/>
  <c r="S37" i="3"/>
  <c r="R37" i="3"/>
  <c r="Q37" i="3"/>
  <c r="O37" i="3"/>
  <c r="N37" i="3"/>
  <c r="P37" i="3" s="1"/>
  <c r="M37" i="3"/>
  <c r="K37" i="3"/>
  <c r="E24" i="4" s="1"/>
  <c r="W36" i="3"/>
  <c r="V36" i="3"/>
  <c r="U36" i="3"/>
  <c r="T36" i="3"/>
  <c r="S36" i="3"/>
  <c r="R36" i="3"/>
  <c r="Q36" i="3"/>
  <c r="O36" i="3"/>
  <c r="N36" i="3"/>
  <c r="M36" i="3"/>
  <c r="P36" i="3" s="1"/>
  <c r="K36" i="3"/>
  <c r="E20" i="4" s="1"/>
  <c r="W35" i="3"/>
  <c r="V35" i="3"/>
  <c r="U35" i="3"/>
  <c r="T35" i="3"/>
  <c r="S35" i="3"/>
  <c r="R35" i="3"/>
  <c r="Q35" i="3"/>
  <c r="O35" i="3"/>
  <c r="N35" i="3"/>
  <c r="M35" i="3"/>
  <c r="K35" i="3"/>
  <c r="E25" i="4" s="1"/>
  <c r="W34" i="3"/>
  <c r="V34" i="3"/>
  <c r="U34" i="3"/>
  <c r="T34" i="3"/>
  <c r="S34" i="3"/>
  <c r="R34" i="3"/>
  <c r="Q34" i="3"/>
  <c r="O34" i="3"/>
  <c r="N34" i="3"/>
  <c r="M34" i="3"/>
  <c r="P34" i="3" s="1"/>
  <c r="K34" i="3"/>
  <c r="E22" i="4" s="1"/>
  <c r="W33" i="3"/>
  <c r="V33" i="3"/>
  <c r="U33" i="3"/>
  <c r="T33" i="3"/>
  <c r="S33" i="3"/>
  <c r="R33" i="3"/>
  <c r="Q33" i="3"/>
  <c r="O33" i="3"/>
  <c r="N33" i="3"/>
  <c r="M33" i="3"/>
  <c r="K33" i="3"/>
  <c r="E16" i="4" s="1"/>
  <c r="W32" i="3"/>
  <c r="V32" i="3"/>
  <c r="U32" i="3"/>
  <c r="T32" i="3"/>
  <c r="S32" i="3"/>
  <c r="R32" i="3"/>
  <c r="Q32" i="3"/>
  <c r="P32" i="3"/>
  <c r="O32" i="3"/>
  <c r="N32" i="3"/>
  <c r="M32" i="3"/>
  <c r="K32" i="3"/>
  <c r="C17" i="5" s="1"/>
  <c r="W31" i="3"/>
  <c r="V31" i="3"/>
  <c r="U31" i="3"/>
  <c r="T31" i="3"/>
  <c r="S31" i="3"/>
  <c r="R31" i="3"/>
  <c r="Q31" i="3"/>
  <c r="O31" i="3"/>
  <c r="N31" i="3"/>
  <c r="P31" i="3" s="1"/>
  <c r="M31" i="3"/>
  <c r="K31" i="3"/>
  <c r="E26" i="4" s="1"/>
  <c r="W30" i="3"/>
  <c r="V30" i="3"/>
  <c r="U30" i="3"/>
  <c r="T30" i="3"/>
  <c r="S30" i="3"/>
  <c r="R30" i="3"/>
  <c r="Q30" i="3"/>
  <c r="O30" i="3"/>
  <c r="N30" i="3"/>
  <c r="M30" i="3"/>
  <c r="P30" i="3" s="1"/>
  <c r="K30" i="3"/>
  <c r="C15" i="5" s="1"/>
  <c r="W29" i="3"/>
  <c r="V29" i="3"/>
  <c r="U29" i="3"/>
  <c r="T29" i="3"/>
  <c r="S29" i="3"/>
  <c r="R29" i="3"/>
  <c r="Q29" i="3"/>
  <c r="O29" i="3"/>
  <c r="N29" i="3"/>
  <c r="M29" i="3"/>
  <c r="K29" i="3"/>
  <c r="E19" i="4" s="1"/>
  <c r="W28" i="3"/>
  <c r="V28" i="3"/>
  <c r="U28" i="3"/>
  <c r="T28" i="3"/>
  <c r="S28" i="3"/>
  <c r="R28" i="3"/>
  <c r="Q28" i="3"/>
  <c r="P28" i="3"/>
  <c r="O28" i="3"/>
  <c r="N28" i="3"/>
  <c r="M28" i="3"/>
  <c r="K28" i="3"/>
  <c r="C13" i="5" s="1"/>
  <c r="W27" i="3"/>
  <c r="V27" i="3"/>
  <c r="U27" i="3"/>
  <c r="T27" i="3"/>
  <c r="S27" i="3"/>
  <c r="R27" i="3"/>
  <c r="Q27" i="3"/>
  <c r="O27" i="3"/>
  <c r="N27" i="3"/>
  <c r="M27" i="3"/>
  <c r="K27" i="3"/>
  <c r="E29" i="4" s="1"/>
  <c r="W26" i="3"/>
  <c r="V26" i="3"/>
  <c r="U26" i="3"/>
  <c r="T26" i="3"/>
  <c r="S26" i="3"/>
  <c r="R26" i="3"/>
  <c r="Q26" i="3"/>
  <c r="O26" i="3"/>
  <c r="N26" i="3"/>
  <c r="M26" i="3"/>
  <c r="P26" i="3" s="1"/>
  <c r="K26" i="3"/>
  <c r="C11" i="5" s="1"/>
  <c r="W25" i="3"/>
  <c r="V25" i="3"/>
  <c r="U25" i="3"/>
  <c r="T25" i="3"/>
  <c r="S25" i="3"/>
  <c r="R25" i="3"/>
  <c r="Q25" i="3"/>
  <c r="O25" i="3"/>
  <c r="N25" i="3"/>
  <c r="M25" i="3"/>
  <c r="K25" i="3"/>
  <c r="E11" i="4" s="1"/>
  <c r="W24" i="3"/>
  <c r="V24" i="3"/>
  <c r="U24" i="3"/>
  <c r="T24" i="3"/>
  <c r="S24" i="3"/>
  <c r="R24" i="3"/>
  <c r="Q24" i="3"/>
  <c r="P24" i="3"/>
  <c r="O24" i="3"/>
  <c r="N24" i="3"/>
  <c r="M24" i="3"/>
  <c r="K24" i="3"/>
  <c r="C9" i="5" s="1"/>
  <c r="W23" i="3"/>
  <c r="V23" i="3"/>
  <c r="U23" i="3"/>
  <c r="T23" i="3"/>
  <c r="S23" i="3"/>
  <c r="R23" i="3"/>
  <c r="Q23" i="3"/>
  <c r="O23" i="3"/>
  <c r="N23" i="3"/>
  <c r="P23" i="3" s="1"/>
  <c r="M23" i="3"/>
  <c r="K23" i="3"/>
  <c r="E27" i="4" s="1"/>
  <c r="W22" i="3"/>
  <c r="V22" i="3"/>
  <c r="U22" i="3"/>
  <c r="T22" i="3"/>
  <c r="S22" i="3"/>
  <c r="R22" i="3"/>
  <c r="Q22" i="3"/>
  <c r="O22" i="3"/>
  <c r="N22" i="3"/>
  <c r="M22" i="3"/>
  <c r="P22" i="3" s="1"/>
  <c r="K22" i="3"/>
  <c r="C7" i="5" s="1"/>
  <c r="W21" i="3"/>
  <c r="V21" i="3"/>
  <c r="U21" i="3"/>
  <c r="T21" i="3"/>
  <c r="S21" i="3"/>
  <c r="R21" i="3"/>
  <c r="Q21" i="3"/>
  <c r="O21" i="3"/>
  <c r="N21" i="3"/>
  <c r="M21" i="3"/>
  <c r="K21" i="3"/>
  <c r="E62" i="4" s="1"/>
  <c r="W20" i="3"/>
  <c r="V20" i="3"/>
  <c r="U20" i="3"/>
  <c r="T20" i="3"/>
  <c r="S20" i="3"/>
  <c r="R20" i="3"/>
  <c r="Q20" i="3"/>
  <c r="P20" i="3"/>
  <c r="O20" i="3"/>
  <c r="N20" i="3"/>
  <c r="M20" i="3"/>
  <c r="K20" i="3"/>
  <c r="E46" i="4" s="1"/>
  <c r="W19" i="3"/>
  <c r="V19" i="3"/>
  <c r="U19" i="3"/>
  <c r="T19" i="3"/>
  <c r="S19" i="3"/>
  <c r="R19" i="3"/>
  <c r="Q19" i="3"/>
  <c r="O19" i="3"/>
  <c r="N19" i="3"/>
  <c r="P19" i="3" s="1"/>
  <c r="M19" i="3"/>
  <c r="K19" i="3"/>
  <c r="W18" i="3"/>
  <c r="V18" i="3"/>
  <c r="U18" i="3"/>
  <c r="T18" i="3"/>
  <c r="S18" i="3"/>
  <c r="R18" i="3"/>
  <c r="Q18" i="3"/>
  <c r="O18" i="3"/>
  <c r="N18" i="3"/>
  <c r="P18" i="3" s="1"/>
  <c r="M18" i="3"/>
  <c r="K18" i="3"/>
  <c r="X18" i="3" s="1"/>
  <c r="W17" i="3"/>
  <c r="V17" i="3"/>
  <c r="U17" i="3"/>
  <c r="T17" i="3"/>
  <c r="S17" i="3"/>
  <c r="R17" i="3"/>
  <c r="Q17" i="3"/>
  <c r="P17" i="3"/>
  <c r="O17" i="3"/>
  <c r="N17" i="3"/>
  <c r="M17" i="3"/>
  <c r="K17" i="3"/>
  <c r="X17" i="3" s="1"/>
  <c r="W16" i="3"/>
  <c r="V16" i="3"/>
  <c r="U16" i="3"/>
  <c r="T16" i="3"/>
  <c r="S16" i="3"/>
  <c r="R16" i="3"/>
  <c r="Q16" i="3"/>
  <c r="O16" i="3"/>
  <c r="N16" i="3"/>
  <c r="P16" i="3" s="1"/>
  <c r="M16" i="3"/>
  <c r="K16" i="3"/>
  <c r="X16" i="3" s="1"/>
  <c r="W15" i="3"/>
  <c r="V15" i="3"/>
  <c r="U15" i="3"/>
  <c r="T15" i="3"/>
  <c r="S15" i="3"/>
  <c r="R15" i="3"/>
  <c r="Q15" i="3"/>
  <c r="P15" i="3"/>
  <c r="O15" i="3"/>
  <c r="N15" i="3"/>
  <c r="M15" i="3"/>
  <c r="K15" i="3"/>
  <c r="X15" i="3" s="1"/>
  <c r="W14" i="3"/>
  <c r="V14" i="3"/>
  <c r="U14" i="3"/>
  <c r="T14" i="3"/>
  <c r="S14" i="3"/>
  <c r="R14" i="3"/>
  <c r="Q14" i="3"/>
  <c r="O14" i="3"/>
  <c r="N14" i="3"/>
  <c r="P14" i="3" s="1"/>
  <c r="M14" i="3"/>
  <c r="K14" i="3"/>
  <c r="X14" i="3" s="1"/>
  <c r="W13" i="3"/>
  <c r="V13" i="3"/>
  <c r="U13" i="3"/>
  <c r="T13" i="3"/>
  <c r="S13" i="3"/>
  <c r="R13" i="3"/>
  <c r="Q13" i="3"/>
  <c r="P13" i="3"/>
  <c r="O13" i="3"/>
  <c r="N13" i="3"/>
  <c r="M13" i="3"/>
  <c r="K13" i="3"/>
  <c r="X13" i="3" s="1"/>
  <c r="W12" i="3"/>
  <c r="V12" i="3"/>
  <c r="U12" i="3"/>
  <c r="T12" i="3"/>
  <c r="S12" i="3"/>
  <c r="R12" i="3"/>
  <c r="Q12" i="3"/>
  <c r="O12" i="3"/>
  <c r="N12" i="3"/>
  <c r="P12" i="3" s="1"/>
  <c r="M12" i="3"/>
  <c r="K12" i="3"/>
  <c r="X12" i="3" s="1"/>
  <c r="W11" i="3"/>
  <c r="V11" i="3"/>
  <c r="U11" i="3"/>
  <c r="T11" i="3"/>
  <c r="S11" i="3"/>
  <c r="R11" i="3"/>
  <c r="Q11" i="3"/>
  <c r="P11" i="3"/>
  <c r="O11" i="3"/>
  <c r="N11" i="3"/>
  <c r="M11" i="3"/>
  <c r="K11" i="3"/>
  <c r="X11" i="3" s="1"/>
  <c r="W10" i="3"/>
  <c r="V10" i="3"/>
  <c r="U10" i="3"/>
  <c r="T10" i="3"/>
  <c r="S10" i="3"/>
  <c r="R10" i="3"/>
  <c r="Q10" i="3"/>
  <c r="O10" i="3"/>
  <c r="N10" i="3"/>
  <c r="P10" i="3" s="1"/>
  <c r="M10" i="3"/>
  <c r="K10" i="3"/>
  <c r="X10" i="3" s="1"/>
  <c r="W9" i="3"/>
  <c r="V9" i="3"/>
  <c r="U9" i="3"/>
  <c r="T9" i="3"/>
  <c r="S9" i="3"/>
  <c r="R9" i="3"/>
  <c r="Q9" i="3"/>
  <c r="P9" i="3"/>
  <c r="O9" i="3"/>
  <c r="N9" i="3"/>
  <c r="M9" i="3"/>
  <c r="K9" i="3"/>
  <c r="X9" i="3" s="1"/>
  <c r="W8" i="3"/>
  <c r="V8" i="3"/>
  <c r="U8" i="3"/>
  <c r="T8" i="3"/>
  <c r="S8" i="3"/>
  <c r="R8" i="3"/>
  <c r="Q8" i="3"/>
  <c r="O8" i="3"/>
  <c r="N8" i="3"/>
  <c r="P8" i="3" s="1"/>
  <c r="M8" i="3"/>
  <c r="K8" i="3"/>
  <c r="X8" i="3" s="1"/>
  <c r="W7" i="3"/>
  <c r="V7" i="3"/>
  <c r="U7" i="3"/>
  <c r="T7" i="3"/>
  <c r="S7" i="3"/>
  <c r="R7" i="3"/>
  <c r="Q7" i="3"/>
  <c r="P7" i="3"/>
  <c r="O7" i="3"/>
  <c r="N7" i="3"/>
  <c r="M7" i="3"/>
  <c r="K7" i="3"/>
  <c r="X7" i="3" s="1"/>
  <c r="W6" i="3"/>
  <c r="V6" i="3"/>
  <c r="U6" i="3"/>
  <c r="T6" i="3"/>
  <c r="S6" i="3"/>
  <c r="R6" i="3"/>
  <c r="Q6" i="3"/>
  <c r="O6" i="3"/>
  <c r="N6" i="3"/>
  <c r="P6" i="3" s="1"/>
  <c r="M6" i="3"/>
  <c r="K6" i="3"/>
  <c r="X6" i="3" s="1"/>
  <c r="W5" i="3"/>
  <c r="V5" i="3"/>
  <c r="U5" i="3"/>
  <c r="T5" i="3"/>
  <c r="S5" i="3"/>
  <c r="R5" i="3"/>
  <c r="Q5" i="3"/>
  <c r="P5" i="3"/>
  <c r="O5" i="3"/>
  <c r="N5" i="3"/>
  <c r="M5" i="3"/>
  <c r="K5" i="3"/>
  <c r="F42" i="2"/>
  <c r="F41" i="2"/>
  <c r="F40" i="2"/>
  <c r="B40" i="2"/>
  <c r="F39" i="2"/>
  <c r="B39" i="2"/>
  <c r="C39" i="2" s="1"/>
  <c r="C29" i="2"/>
  <c r="A29" i="2"/>
  <c r="C28" i="2"/>
  <c r="A28" i="2"/>
  <c r="A27" i="2"/>
  <c r="C26" i="2"/>
  <c r="A26" i="2"/>
  <c r="C25" i="2"/>
  <c r="A25" i="2"/>
  <c r="C24" i="2"/>
  <c r="A24" i="2"/>
  <c r="C23" i="2"/>
  <c r="A23" i="2"/>
  <c r="C22" i="2"/>
  <c r="A22" i="2"/>
  <c r="C21" i="2"/>
  <c r="A21" i="2"/>
  <c r="C20" i="2"/>
  <c r="A20" i="2"/>
  <c r="C19" i="2"/>
  <c r="A19" i="2"/>
  <c r="I13" i="2"/>
  <c r="A13" i="2"/>
  <c r="I7" i="2"/>
  <c r="E7" i="2"/>
  <c r="A7" i="2"/>
  <c r="L62" i="3" l="1"/>
  <c r="L70" i="3"/>
  <c r="X62" i="3"/>
  <c r="X70" i="3"/>
  <c r="H12" i="8"/>
  <c r="I12" i="8" s="1"/>
  <c r="X20" i="3"/>
  <c r="L46" i="3"/>
  <c r="X74" i="3"/>
  <c r="X56" i="3"/>
  <c r="L78" i="3"/>
  <c r="L20" i="3"/>
  <c r="E61" i="4"/>
  <c r="C75" i="5"/>
  <c r="L74" i="3"/>
  <c r="L80" i="3"/>
  <c r="L82" i="3"/>
  <c r="L84" i="3"/>
  <c r="L86" i="3"/>
  <c r="L88" i="3"/>
  <c r="L90" i="3"/>
  <c r="L92" i="3"/>
  <c r="L94" i="3"/>
  <c r="L96" i="3"/>
  <c r="L98" i="3"/>
  <c r="L100" i="3"/>
  <c r="E48" i="4"/>
  <c r="E56" i="4"/>
  <c r="E64" i="4"/>
  <c r="C5" i="5"/>
  <c r="C65" i="5"/>
  <c r="C81" i="5"/>
  <c r="X28" i="3"/>
  <c r="X48" i="3"/>
  <c r="X50" i="3"/>
  <c r="X52" i="3"/>
  <c r="X54" i="3"/>
  <c r="E10" i="4"/>
  <c r="E12" i="4"/>
  <c r="E18" i="4"/>
  <c r="E28" i="4"/>
  <c r="E30" i="4"/>
  <c r="E40" i="4"/>
  <c r="E42" i="4"/>
  <c r="E51" i="4"/>
  <c r="E59" i="4"/>
  <c r="C29" i="5"/>
  <c r="C71" i="5"/>
  <c r="L66" i="3"/>
  <c r="E6" i="4"/>
  <c r="E8" i="4"/>
  <c r="E54" i="4"/>
  <c r="C37" i="5"/>
  <c r="C77" i="5"/>
  <c r="X78" i="3"/>
  <c r="X82" i="3"/>
  <c r="X84" i="3"/>
  <c r="X88" i="3"/>
  <c r="X94" i="3"/>
  <c r="X98" i="3"/>
  <c r="X100" i="3"/>
  <c r="E65" i="4"/>
  <c r="E52" i="4"/>
  <c r="L28" i="3"/>
  <c r="E13" i="4"/>
  <c r="E17" i="4"/>
  <c r="E21" i="4"/>
  <c r="E23" i="4"/>
  <c r="E33" i="4"/>
  <c r="E35" i="4"/>
  <c r="E37" i="4"/>
  <c r="E39" i="4"/>
  <c r="E63" i="4"/>
  <c r="L48" i="3"/>
  <c r="L50" i="3"/>
  <c r="L54" i="3"/>
  <c r="L56" i="3"/>
  <c r="L58" i="3"/>
  <c r="X66" i="3"/>
  <c r="E7" i="4"/>
  <c r="E50" i="4"/>
  <c r="E13" i="2"/>
  <c r="C40" i="2"/>
  <c r="C12" i="5"/>
  <c r="X27" i="3"/>
  <c r="L27" i="3"/>
  <c r="X19" i="3"/>
  <c r="L19" i="3"/>
  <c r="X36" i="3"/>
  <c r="L36" i="3"/>
  <c r="C70" i="5"/>
  <c r="X85" i="3"/>
  <c r="L85" i="3"/>
  <c r="C74" i="5"/>
  <c r="X89" i="3"/>
  <c r="L89" i="3"/>
  <c r="C76" i="5"/>
  <c r="X91" i="3"/>
  <c r="L91" i="3"/>
  <c r="C82" i="5"/>
  <c r="X97" i="3"/>
  <c r="L97" i="3"/>
  <c r="J10" i="8"/>
  <c r="L5" i="3"/>
  <c r="X5" i="3"/>
  <c r="L7" i="3"/>
  <c r="L9" i="3"/>
  <c r="L11" i="3"/>
  <c r="L13" i="3"/>
  <c r="L15" i="3"/>
  <c r="L17" i="3"/>
  <c r="C6" i="5"/>
  <c r="X21" i="3"/>
  <c r="L21" i="3"/>
  <c r="L22" i="3"/>
  <c r="X22" i="3"/>
  <c r="P25" i="3"/>
  <c r="C14" i="5"/>
  <c r="X29" i="3"/>
  <c r="L29" i="3"/>
  <c r="L30" i="3"/>
  <c r="X30" i="3"/>
  <c r="P33" i="3"/>
  <c r="C20" i="5"/>
  <c r="X35" i="3"/>
  <c r="L35" i="3"/>
  <c r="C24" i="5"/>
  <c r="X39" i="3"/>
  <c r="L39" i="3"/>
  <c r="C28" i="5"/>
  <c r="X43" i="3"/>
  <c r="L43" i="3"/>
  <c r="C44" i="5"/>
  <c r="X59" i="3"/>
  <c r="L59" i="3"/>
  <c r="C66" i="5"/>
  <c r="X81" i="3"/>
  <c r="L81" i="3"/>
  <c r="C68" i="5"/>
  <c r="X83" i="3"/>
  <c r="L83" i="3"/>
  <c r="C78" i="5"/>
  <c r="X93" i="3"/>
  <c r="L93" i="3"/>
  <c r="C84" i="5"/>
  <c r="X99" i="3"/>
  <c r="L99" i="3"/>
  <c r="M13" i="2"/>
  <c r="C8" i="5"/>
  <c r="X23" i="3"/>
  <c r="L23" i="3"/>
  <c r="L24" i="3"/>
  <c r="X24" i="3"/>
  <c r="P27" i="3"/>
  <c r="C16" i="5"/>
  <c r="X31" i="3"/>
  <c r="L31" i="3"/>
  <c r="L32" i="3"/>
  <c r="X32" i="3"/>
  <c r="X34" i="3"/>
  <c r="L34" i="3"/>
  <c r="C19" i="5"/>
  <c r="C32" i="5"/>
  <c r="X47" i="3"/>
  <c r="L47" i="3"/>
  <c r="C34" i="5"/>
  <c r="X49" i="3"/>
  <c r="L49" i="3"/>
  <c r="C36" i="5"/>
  <c r="X51" i="3"/>
  <c r="L51" i="3"/>
  <c r="C38" i="5"/>
  <c r="X53" i="3"/>
  <c r="L53" i="3"/>
  <c r="C40" i="5"/>
  <c r="X55" i="3"/>
  <c r="L55" i="3"/>
  <c r="C42" i="5"/>
  <c r="X57" i="3"/>
  <c r="L57" i="3"/>
  <c r="C50" i="5"/>
  <c r="X65" i="3"/>
  <c r="L65" i="3"/>
  <c r="X68" i="3"/>
  <c r="L68" i="3"/>
  <c r="C21" i="5"/>
  <c r="C53" i="5"/>
  <c r="J15" i="8"/>
  <c r="H13" i="8"/>
  <c r="J11" i="8"/>
  <c r="H9" i="8"/>
  <c r="J7" i="8"/>
  <c r="H5" i="8"/>
  <c r="J12" i="8"/>
  <c r="K12" i="8" s="1"/>
  <c r="H10" i="8"/>
  <c r="J8" i="8"/>
  <c r="J13" i="8"/>
  <c r="H11" i="8"/>
  <c r="J9" i="8"/>
  <c r="J5" i="8"/>
  <c r="J14" i="8"/>
  <c r="H8" i="8"/>
  <c r="J6" i="8"/>
  <c r="X60" i="3"/>
  <c r="L60" i="3"/>
  <c r="C58" i="5"/>
  <c r="X73" i="3"/>
  <c r="L73" i="3"/>
  <c r="X76" i="3"/>
  <c r="L76" i="3"/>
  <c r="C72" i="5"/>
  <c r="X87" i="3"/>
  <c r="L87" i="3"/>
  <c r="C80" i="5"/>
  <c r="X95" i="3"/>
  <c r="L95" i="3"/>
  <c r="L6" i="3"/>
  <c r="L8" i="3"/>
  <c r="L10" i="3"/>
  <c r="L12" i="3"/>
  <c r="L14" i="3"/>
  <c r="L16" i="3"/>
  <c r="L18" i="3"/>
  <c r="G12" i="8"/>
  <c r="G8" i="8"/>
  <c r="G13" i="8"/>
  <c r="G9" i="8"/>
  <c r="G5" i="8"/>
  <c r="G14" i="8"/>
  <c r="G10" i="8"/>
  <c r="G6" i="8"/>
  <c r="G15" i="8"/>
  <c r="G7" i="8"/>
  <c r="G11" i="8"/>
  <c r="P21" i="3"/>
  <c r="H6" i="8" s="1"/>
  <c r="C10" i="5"/>
  <c r="X25" i="3"/>
  <c r="L25" i="3"/>
  <c r="L26" i="3"/>
  <c r="X26" i="3"/>
  <c r="P29" i="3"/>
  <c r="H7" i="8" s="1"/>
  <c r="C18" i="5"/>
  <c r="X33" i="3"/>
  <c r="L33" i="3"/>
  <c r="P35" i="3"/>
  <c r="C22" i="5"/>
  <c r="X37" i="3"/>
  <c r="L37" i="3"/>
  <c r="C26" i="5"/>
  <c r="X41" i="3"/>
  <c r="L41" i="3"/>
  <c r="C30" i="5"/>
  <c r="X45" i="3"/>
  <c r="L45" i="3"/>
  <c r="C61" i="5"/>
  <c r="P63" i="3"/>
  <c r="C52" i="5"/>
  <c r="X67" i="3"/>
  <c r="L67" i="3"/>
  <c r="P71" i="3"/>
  <c r="H15" i="8" s="1"/>
  <c r="C60" i="5"/>
  <c r="X75" i="3"/>
  <c r="L75" i="3"/>
  <c r="C27" i="5"/>
  <c r="C43" i="5"/>
  <c r="C46" i="5"/>
  <c r="X61" i="3"/>
  <c r="L61" i="3"/>
  <c r="C54" i="5"/>
  <c r="X69" i="3"/>
  <c r="L69" i="3"/>
  <c r="C62" i="5"/>
  <c r="X77" i="3"/>
  <c r="L77" i="3"/>
  <c r="C25" i="5"/>
  <c r="C49" i="5"/>
  <c r="C57" i="5"/>
  <c r="L38" i="3"/>
  <c r="X38" i="3"/>
  <c r="L40" i="3"/>
  <c r="L42" i="3"/>
  <c r="L44" i="3"/>
  <c r="X46" i="3"/>
  <c r="P59" i="3"/>
  <c r="H14" i="8" s="1"/>
  <c r="C48" i="5"/>
  <c r="X63" i="3"/>
  <c r="L63" i="3"/>
  <c r="L64" i="3"/>
  <c r="P67" i="3"/>
  <c r="C56" i="5"/>
  <c r="X71" i="3"/>
  <c r="L71" i="3"/>
  <c r="L72" i="3"/>
  <c r="P75" i="3"/>
  <c r="C64" i="5"/>
  <c r="X79" i="3"/>
  <c r="L79" i="3"/>
  <c r="M12" i="8" l="1"/>
  <c r="M15" i="8"/>
  <c r="M14" i="8"/>
  <c r="N15" i="8"/>
  <c r="N14" i="8"/>
  <c r="M6" i="8"/>
  <c r="N6" i="8"/>
  <c r="N5" i="8"/>
  <c r="N8" i="8"/>
  <c r="M10" i="8"/>
  <c r="N13" i="8"/>
  <c r="N12" i="8"/>
  <c r="M11" i="8"/>
  <c r="N9" i="8"/>
  <c r="N11" i="8"/>
  <c r="N10" i="8"/>
  <c r="M9" i="8"/>
  <c r="M5" i="8"/>
  <c r="M8" i="8"/>
  <c r="M7" i="8"/>
  <c r="N7" i="8"/>
  <c r="M13" i="8"/>
  <c r="I14" i="8"/>
  <c r="K14" i="8"/>
  <c r="I15" i="8"/>
  <c r="K15" i="8"/>
  <c r="I6" i="8"/>
  <c r="K6" i="8"/>
  <c r="I7" i="8"/>
  <c r="K7" i="8"/>
  <c r="L12" i="8"/>
  <c r="O12" i="8" s="1"/>
  <c r="B26" i="2"/>
  <c r="I10" i="8"/>
  <c r="K10" i="8"/>
  <c r="K9" i="8"/>
  <c r="I9" i="8"/>
  <c r="K8" i="8"/>
  <c r="I8" i="8"/>
  <c r="I11" i="8"/>
  <c r="K11" i="8"/>
  <c r="K5" i="8"/>
  <c r="I5" i="8"/>
  <c r="K13" i="8"/>
  <c r="I13" i="8"/>
  <c r="M7" i="2"/>
  <c r="L7" i="8" l="1"/>
  <c r="O7" i="8" s="1"/>
  <c r="B21" i="2"/>
  <c r="L8" i="8"/>
  <c r="O8" i="8" s="1"/>
  <c r="B22" i="2"/>
  <c r="L11" i="8"/>
  <c r="O11" i="8" s="1"/>
  <c r="B25" i="2"/>
  <c r="L6" i="8"/>
  <c r="O6" i="8" s="1"/>
  <c r="B20" i="2"/>
  <c r="L14" i="8"/>
  <c r="O14" i="8" s="1"/>
  <c r="B28" i="2"/>
  <c r="L10" i="8"/>
  <c r="O10" i="8" s="1"/>
  <c r="B24" i="2"/>
  <c r="L15" i="8"/>
  <c r="O15" i="8" s="1"/>
  <c r="B29" i="2"/>
  <c r="L5" i="8"/>
  <c r="O5" i="8" s="1"/>
  <c r="B19" i="2"/>
  <c r="L13" i="8"/>
  <c r="O13" i="8" s="1"/>
  <c r="B27" i="2"/>
  <c r="L9" i="8"/>
  <c r="O9" i="8" s="1"/>
  <c r="B2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tc={407F8D56-2425-0AD4-BE06-02E67E10102A}</author>
    <author>tc={DC2E6EC9-8097-AE60-E777-6F4B5415291C}</author>
  </authors>
  <commentList>
    <comment ref="K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Current Operational PIC uses the most recent Assignment History entry; otherwise it uses normalized gate_4_id.</t>
      </text>
    </comment>
    <comment ref="P4" authorId="1" shapeId="0" xr:uid="{00000000-0006-0000-0200-000002000000}">
      <text>
        <t>[Threaded comment]
Your version of Excel allows you to read this threaded comment; however, any edits to it will get removed if the file is opened in a newer version of Excel. Learn more: https://go.microsoft.com/fwlink/?linkid=870924
Comment:
    Effective Workload counts executing tasks not confirmed out-of-scope.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tc={E3C39D4D-36BB-4B83-7587-7A9908C3D641}</author>
  </authors>
  <commentList>
    <comment ref="O4" authorId="0" shapeId="0" xr:uid="{00000000-0006-0000-0300-000001000000}">
      <text>
        <t>[Threaded comment]
Your version of Excel allows you to read this threaded comment; however, any edits to it will get removed if the file is opened in a newer version of Excel. Learn more: https://go.microsoft.com/fwlink/?linkid=870924
Comment:
    Achieved when Engineer Result is Achieved or Out-of-Scope Confirmed.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tc={8E0BF05A-6CC5-FDC1-B961-2D57CA27A9AB}</author>
  </authors>
  <commentList>
    <comment ref="N4" authorId="0" shapeId="0" xr:uid="{00000000-0006-0000-0400-000001000000}">
      <text>
        <t>[Threaded comment]
Your version of Excel allows you to read this threaded comment; however, any edits to it will get removed if the file is opened in a newer version of Excel. Learn more: https://go.microsoft.com/fwlink/?linkid=870924
Comment:
    Is Latest is TRUE for the most recent timestamp for each request number.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tc={022B97D8-A1B6-2362-10B6-665CB86FB4DC}</author>
  </authors>
  <commentList>
    <comment ref="S5" authorId="0" shapeId="0" xr:uid="{00000000-0006-0000-0800-000001000000}">
      <text>
        <t>[Threaded comment]
Your version of Excel allows you to read this threaded comment; however, any edits to it will get removed if the file is opened in a newer version of Excel. Learn more: https://go.microsoft.com/fwlink/?linkid=870924
Comment:
    Editable default capacity assumption; tune after the pilot.</t>
      </text>
    </comment>
  </commentList>
</comments>
</file>

<file path=xl/sharedStrings.xml><?xml version="1.0" encoding="utf-8"?>
<sst xmlns="http://schemas.openxmlformats.org/spreadsheetml/2006/main" count="18377" uniqueCount="5375">
  <si>
    <t>CSSP Task Control Hub — Quick Start</t>
  </si>
  <si>
    <t>Excel MVP for daily workload assignment, engineer updates, scope disposition, and target tracking.</t>
  </si>
  <si>
    <t>Purpose</t>
  </si>
  <si>
    <t>The workbook manages only CSSP tasks with status executing or processing. Source data is read-only; operational ownership, progress, targets, and scope decisions are recorded in separate append-only sheets.</t>
  </si>
  <si>
    <t>Daily Manager Workflow</t>
  </si>
  <si>
    <t>Engineer Workflow</t>
  </si>
  <si>
    <t>Step</t>
  </si>
  <si>
    <t>Action</t>
  </si>
  <si>
    <t>Control</t>
  </si>
  <si>
    <t>Refresh / replace raw snapshots</t>
  </si>
  <si>
    <t>Load latest snapshots without editing Task Master formulas.</t>
  </si>
  <si>
    <t>Find assigned work</t>
  </si>
  <si>
    <t>Filter by Current / Planned PIC.</t>
  </si>
  <si>
    <t>Review processing queue</t>
  </si>
  <si>
    <t>Use Task Master and Engineer Capacity before assignment.</t>
  </si>
  <si>
    <t>Append an update</t>
  </si>
  <si>
    <t>Add a new Engineer Updates row; never overwrite history.</t>
  </si>
  <si>
    <t>Disposition to engineer</t>
  </si>
  <si>
    <t>Append Assignment History; Current Operational PIC updates automatically.</t>
  </si>
  <si>
    <t>Record next action</t>
  </si>
  <si>
    <t>Include progress, next action, ETA, and blocker.</t>
  </si>
  <si>
    <t>Publish daily targets</t>
  </si>
  <si>
    <t>Add executing tasks for the reporting date.</t>
  </si>
  <si>
    <t>Flag scope issue</t>
  </si>
  <si>
    <t>Select Out-of-Scope Suspected and attach evidence.</t>
  </si>
  <si>
    <t>Review scope exceptions</t>
  </si>
  <si>
    <t>Confirm or reject private-cloud/on-prem flags.</t>
  </si>
  <si>
    <t>Record daily result</t>
  </si>
  <si>
    <t>Update Daily Targets result and completion evidence.</t>
  </si>
  <si>
    <t>Close the day</t>
  </si>
  <si>
    <t>Review achieved, blocked, missed, and carried-over targets.</t>
  </si>
  <si>
    <t>Workbook Controls</t>
  </si>
  <si>
    <t>Blue cells</t>
  </si>
  <si>
    <t>User input.</t>
  </si>
  <si>
    <t>Gray cells</t>
  </si>
  <si>
    <t>Formula-driven; do not overwrite.</t>
  </si>
  <si>
    <t>Raw sheets</t>
  </si>
  <si>
    <t>Original daily snapshot values retained for traceability.</t>
  </si>
  <si>
    <t>Snapshot PIC</t>
  </si>
  <si>
    <t>Original gate_4_id from CSSP.</t>
  </si>
  <si>
    <t>Current Operational PIC</t>
  </si>
  <si>
    <t>Latest replacement, otherwise normalized Snapshot PIC.</t>
  </si>
  <si>
    <t>Confirmed OOS</t>
  </si>
  <si>
    <t>Excluded from workload but retained until CSSP reconciles.</t>
  </si>
  <si>
    <t>Daily target</t>
  </si>
  <si>
    <t>Historical date/request record; never delete misses or carryovers.</t>
  </si>
  <si>
    <t>Important Limitation</t>
  </si>
  <si>
    <t>Excel supports coauthoring, but it does not enforce strong row-level permissions. Store in SharePoint/OneDrive, protect source/formula sheets, retain version history, and restrict engineers to update input areas through team controls.</t>
  </si>
  <si>
    <t>Cloud Infrastructure Task Control Hub</t>
  </si>
  <si>
    <t>Operational view for executing and processing tasks. Reporting date is editable.</t>
  </si>
  <si>
    <t>Reporting Date</t>
  </si>
  <si>
    <t>Blue cells are manager/engineer inputs. Gray cells are formulas. Refresh raw snapshots only through the controlled import process.</t>
  </si>
  <si>
    <t>MANAGED BACKLOG</t>
  </si>
  <si>
    <t>EXECUTING</t>
  </si>
  <si>
    <t>PROCESSING / READY</t>
  </si>
  <si>
    <t>ASSIGNMENT EXCEPTIONS</t>
  </si>
  <si>
    <t>TODAY'S TARGETS</t>
  </si>
  <si>
    <t>TARGETS ACHIEVED</t>
  </si>
  <si>
    <t>BLOCKED OR MISSED</t>
  </si>
  <si>
    <t>OOS PENDING REVIEW</t>
  </si>
  <si>
    <t>Engineer</t>
  </si>
  <si>
    <t>Projected Load</t>
  </si>
  <si>
    <t>Effective Capacity</t>
  </si>
  <si>
    <t>Backlog Status</t>
  </si>
  <si>
    <t>Count</t>
  </si>
  <si>
    <t>Share</t>
  </si>
  <si>
    <t>Today's Result</t>
  </si>
  <si>
    <t>executing</t>
  </si>
  <si>
    <t>Achieved</t>
  </si>
  <si>
    <t>Review evidence</t>
  </si>
  <si>
    <t>processing</t>
  </si>
  <si>
    <t>Blocked</t>
  </si>
  <si>
    <t>Escalate blocker</t>
  </si>
  <si>
    <t>Missed</t>
  </si>
  <si>
    <t>Record carryover</t>
  </si>
  <si>
    <t>OOS Submitted</t>
  </si>
  <si>
    <t>Manager scope review</t>
  </si>
  <si>
    <t>Task Master</t>
  </si>
  <si>
    <t>Read-only CSSP source fields plus formula-driven operational ownership, workload, progress, and exceptions.</t>
  </si>
  <si>
    <t>Request Number</t>
  </si>
  <si>
    <t>Task Type</t>
  </si>
  <si>
    <t>CSSP Status</t>
  </si>
  <si>
    <t>Snapshot Date</t>
  </si>
  <si>
    <t>Date Created</t>
  </si>
  <si>
    <t>Date Updated</t>
  </si>
  <si>
    <t>Application Name</t>
  </si>
  <si>
    <t>Project Name</t>
  </si>
  <si>
    <t>Request Size</t>
  </si>
  <si>
    <t>Snapshot PIC (gate_4_id)</t>
  </si>
  <si>
    <t>Assignment Mode</t>
  </si>
  <si>
    <t>Workload Points</t>
  </si>
  <si>
    <t>Manager Scope Decision</t>
  </si>
  <si>
    <t>Final Disposition</t>
  </si>
  <si>
    <t>Effective Workload</t>
  </si>
  <si>
    <t>Latest Update</t>
  </si>
  <si>
    <t>Latest Engineer State</t>
  </si>
  <si>
    <t>Latest Workflow Stage</t>
  </si>
  <si>
    <t>Latest Progress</t>
  </si>
  <si>
    <t>Next Action</t>
  </si>
  <si>
    <t>Blocker</t>
  </si>
  <si>
    <t>ETA</t>
  </si>
  <si>
    <t>Exception</t>
  </si>
  <si>
    <t>Source File</t>
  </si>
  <si>
    <t>CSSP10192809</t>
  </si>
  <si>
    <t>Decommissioning</t>
  </si>
  <si>
    <t>Lab Information Management System - LIMS MLNG</t>
  </si>
  <si>
    <t>OCI MIGRATION - LIMS MLNG</t>
  </si>
  <si>
    <t>M</t>
  </si>
  <si>
    <t>CCoE Operations</t>
  </si>
  <si>
    <t>CSSP-Decommisioning-1708.xlsx</t>
  </si>
  <si>
    <t>CSSP10237001</t>
  </si>
  <si>
    <t>Energy Component as a Service - ECaaS</t>
  </si>
  <si>
    <t>PETRONAS Global Production System (PGPS) Energy Component as a Service (ECaaS)</t>
  </si>
  <si>
    <t>CSSP10340483</t>
  </si>
  <si>
    <t>Instrument Reliability Digital Suite - IRIS</t>
  </si>
  <si>
    <t>[ALS] Implementation of Instrument Reliability Digital Suite (IRIS) for GTS</t>
  </si>
  <si>
    <t>S</t>
  </si>
  <si>
    <t>CSSP10434338</t>
  </si>
  <si>
    <t>Lab Information Management System - LIMS PPTSB</t>
  </si>
  <si>
    <t>OCI MIGRATION - Integrated Lab Information System (PPT)</t>
  </si>
  <si>
    <t>CSSP10958195</t>
  </si>
  <si>
    <t>OCI MIGRATION - Integrated Lab Information System (MLNG)</t>
  </si>
  <si>
    <t>CSSP10321088</t>
  </si>
  <si>
    <t>RTMS</t>
  </si>
  <si>
    <t>Cloud Migration Program - PPTSB RTMS</t>
  </si>
  <si>
    <t>L</t>
  </si>
  <si>
    <t>IMS - CLOUD CSSP EXECUTOR</t>
  </si>
  <si>
    <t>CSSP10484519</t>
  </si>
  <si>
    <t>Danger Dodgers</t>
  </si>
  <si>
    <t>Pilot Deployment of Danger Dodgers at PCFK</t>
  </si>
  <si>
    <t>CSSP10588883</t>
  </si>
  <si>
    <t>Falcon</t>
  </si>
  <si>
    <t>Implementation of Falcon - Engineering Visual Analytics Program (Work Package 1) - Requirements Gathering, High Level Design, and Data Gathering for GTS</t>
  </si>
  <si>
    <t>CSSP10589613</t>
  </si>
  <si>
    <t>Rystad Energy Auth Server</t>
  </si>
  <si>
    <t>Hosting of Rystad Energy Ucube and Database for Upstream Strategy &amp; Commercial</t>
  </si>
  <si>
    <t>CSSP10684299</t>
  </si>
  <si>
    <t>Refinery of the Future - ROTF PRPC</t>
  </si>
  <si>
    <t>CTP - Refinery of the future (ROTF) - Feedstock</t>
  </si>
  <si>
    <t>CSSP10715182</t>
  </si>
  <si>
    <t>Claim Tracking System - CTS</t>
  </si>
  <si>
    <t>Cloud Migration Program - Claim Tracking System (CTS)</t>
  </si>
  <si>
    <t>CSSP10936121</t>
  </si>
  <si>
    <t>Plant Information - PI PCASB</t>
  </si>
  <si>
    <t>Implementation of PI Asset Framework (AF) and PI Vision for PCASB</t>
  </si>
  <si>
    <t>CSSP10506137</t>
  </si>
  <si>
    <t>Provisioning</t>
  </si>
  <si>
    <t>Ansible Enterprise Configuration Management - AECM</t>
  </si>
  <si>
    <t>Ansible Enterprise Configuration Management</t>
  </si>
  <si>
    <t>CSSP-Provisioning-1708.xlsx</t>
  </si>
  <si>
    <t>CSSP10675946</t>
  </si>
  <si>
    <t>Zentory+</t>
  </si>
  <si>
    <t>Zentory+ Integration Layer</t>
  </si>
  <si>
    <t>CSSP10933294</t>
  </si>
  <si>
    <t>Cyber Security SENTINEL</t>
  </si>
  <si>
    <t>Onboarding of Centralised Log Collector and Security Information &amp; Event Management (SIEM) for SETEL</t>
  </si>
  <si>
    <t>CSSP10916071</t>
  </si>
  <si>
    <t>OCI MIGRATION - LIMS PPTSB</t>
  </si>
  <si>
    <t>abdul.khoir@petronas.com</t>
  </si>
  <si>
    <t>CSSP10372916</t>
  </si>
  <si>
    <t>Plant Information - PI MLNG</t>
  </si>
  <si>
    <t>Plant Information - PI MLNG created for PRIVATECLOUD project record</t>
  </si>
  <si>
    <t>abhishek.bhowate@petronas.com</t>
  </si>
  <si>
    <t>CSSP10989463</t>
  </si>
  <si>
    <t>Cloud Self Service Portal - CSSP</t>
  </si>
  <si>
    <t>Cloud Digitization - Cloud Self Service Portal</t>
  </si>
  <si>
    <t>CSSP10186192</t>
  </si>
  <si>
    <t>FALCON for CORIMS Image Analytics (IA) for Composite Repair Module for GTS</t>
  </si>
  <si>
    <t>amarja.kawade@petronas.com</t>
  </si>
  <si>
    <t>CSSP10187579</t>
  </si>
  <si>
    <t>IMIM / PCSB - Sabah Asset Project</t>
  </si>
  <si>
    <t>IMIM / PCSB - Sabah Asset Project created for PRIVATECLOUD project record</t>
  </si>
  <si>
    <t>CSSP10323752</t>
  </si>
  <si>
    <t>M365 Exchange 2016 for Centralised Automation Management Console</t>
  </si>
  <si>
    <t>M365-Microsoft Exchange Edge server for Address Rewriting</t>
  </si>
  <si>
    <t>CSSP10327858</t>
  </si>
  <si>
    <t>Data Logger ODM with OSISoft PI System</t>
  </si>
  <si>
    <t>Data Logger ODM with OSISoft PI System created for PRIVATECLOUD project record</t>
  </si>
  <si>
    <t>CSSP10376841</t>
  </si>
  <si>
    <t>Capability Integrated Management System - CIMS</t>
  </si>
  <si>
    <t>Upstream Shared Support Services (SecOps) FY2025 for MA, IVA, AD &amp; SA</t>
  </si>
  <si>
    <t>CSSP10413108</t>
  </si>
  <si>
    <t>E-CAKNA PCSB</t>
  </si>
  <si>
    <t>E-CAKNA PCSB created for PRIVATECLOUD project record</t>
  </si>
  <si>
    <t>CSSP10626318</t>
  </si>
  <si>
    <t>Peer to Peer Energy Trading Platform</t>
  </si>
  <si>
    <t>Enhancement of Peer to Peer Energy Trading Platform for PRSB</t>
  </si>
  <si>
    <t>CSSP10689831</t>
  </si>
  <si>
    <t>Enterprise Data Protection and Recovery - EDPR</t>
  </si>
  <si>
    <t>Enterprise Data Protection and Recovery (EPDR)</t>
  </si>
  <si>
    <t>CSSP10733928</t>
  </si>
  <si>
    <t>Implementation of Falcon – Engineering Visual Analytics Program Phase 2 for Nervcentre</t>
  </si>
  <si>
    <t>CSSP10746310</t>
  </si>
  <si>
    <t>Plant Information - PI PCMSB</t>
  </si>
  <si>
    <t>Cloud Migration Program - PI PCMSB</t>
  </si>
  <si>
    <t>CSSP10749532</t>
  </si>
  <si>
    <t>Alarm Management System - AMS Machinery Manager PRPC</t>
  </si>
  <si>
    <t>Cloud Migration Program - AMS</t>
  </si>
  <si>
    <t>CSSP10766912</t>
  </si>
  <si>
    <t>CSSP10777447</t>
  </si>
  <si>
    <t>Print Server PCGB</t>
  </si>
  <si>
    <t>Print Server PCGB created for PRIVATECLOUD project record</t>
  </si>
  <si>
    <t>CSSP10876136</t>
  </si>
  <si>
    <t>Primavera-SAP Integration</t>
  </si>
  <si>
    <t>Primavera-SAP Integration created for PRIVATECLOUD project record</t>
  </si>
  <si>
    <t>CSSP10910215</t>
  </si>
  <si>
    <t>Alarm Management System - AMS Machinery Manager PCFK</t>
  </si>
  <si>
    <t>Alarm Management System - AMS Machinery Manager PCFK created for PRIVATECLOUD project record</t>
  </si>
  <si>
    <t>CSSP10914400</t>
  </si>
  <si>
    <t>Network Cisco Prime</t>
  </si>
  <si>
    <t>Network Cisco Prime created for PRIVATECLOUD project record</t>
  </si>
  <si>
    <t>CSSP10375827</t>
  </si>
  <si>
    <t>EVIE / EMT+</t>
  </si>
  <si>
    <t>Request for server subscription, installation and integration works for MLNG EVIE/EMT+</t>
  </si>
  <si>
    <t>amarja.kawde@petronas.com</t>
  </si>
  <si>
    <t>CSSP10516713</t>
  </si>
  <si>
    <t>Data Culture Gamification - DCG</t>
  </si>
  <si>
    <t>Development of Data Culture Gamification for Upstream</t>
  </si>
  <si>
    <t>CSSP10668539</t>
  </si>
  <si>
    <t>Lab Information Management System - LIMS PRPC</t>
  </si>
  <si>
    <t>OCI MIGRATION - LIMS PRPC</t>
  </si>
  <si>
    <t>CSSP10768118</t>
  </si>
  <si>
    <t>Smart Planner</t>
  </si>
  <si>
    <t>CSSP10353907</t>
  </si>
  <si>
    <t>Enterprise Application Observability</t>
  </si>
  <si>
    <t>MyMinutes – 5 December 2017 (MyMinutes Subscription)</t>
  </si>
  <si>
    <t>CSSP10685915</t>
  </si>
  <si>
    <t>PIVOT CGC Fouling</t>
  </si>
  <si>
    <t>OSR00154: Support and Maintenance for PIVOT Program for Group Digital – CAPEX – PIVOT CGC Fouling</t>
  </si>
  <si>
    <t>CSSP10231806</t>
  </si>
  <si>
    <t>K.saktivelu@petronas.com</t>
  </si>
  <si>
    <t>CSSP10328360</t>
  </si>
  <si>
    <t>Pegosa</t>
  </si>
  <si>
    <t>Pegosa created for PRIVATECLOUD project record</t>
  </si>
  <si>
    <t>CSSP10170528</t>
  </si>
  <si>
    <t>Plant Information - PI Hub Downstream</t>
  </si>
  <si>
    <t>CTP Old to New LZ - Enterprise PI Hub Downstream</t>
  </si>
  <si>
    <t>mardiansyah.rayasa@petronas.com</t>
  </si>
  <si>
    <t>CSSP10446011</t>
  </si>
  <si>
    <t>Electronic Permit To Work - ePTW KPOC</t>
  </si>
  <si>
    <t>Implementation of ePTW system and Support &amp; Maintenance for Kebabangan Petroleum Operating Company Sdn. Bhd (KPOC) for Virtus IP Sdn Bhd - ePTW Commercial (Production) (Formelrly known as: ePTW (KPOC))_(Managed)</t>
  </si>
  <si>
    <t>CSSP10733854</t>
  </si>
  <si>
    <t>Implementation of ePTW system and Support &amp; Maintenance for Kebabangan Petroleum Operating Company Sdn. Bhd (KPOC) for Virtus IP Sdn Bhd - ePTW Commercial (Production) (Formelrly known as: ePTW (KPOC))</t>
  </si>
  <si>
    <t>CSSP10844488</t>
  </si>
  <si>
    <t>Plant Information - PI Enterprise</t>
  </si>
  <si>
    <t>CTP Old to New LZ - PI Enterprise</t>
  </si>
  <si>
    <t>CSSP10391895</t>
  </si>
  <si>
    <t>Online Corrosion Monitoring for Sarawak Gas</t>
  </si>
  <si>
    <t>Online Corrosion Monitoring for Sarawak Gas created for PRIVATECLOUD project record</t>
  </si>
  <si>
    <t>nilesh.sankpal@petronas.com</t>
  </si>
  <si>
    <t>CSSP10434772</t>
  </si>
  <si>
    <t>raditya.nugraha@petronas.com</t>
  </si>
  <si>
    <t>CSSP10969032</t>
  </si>
  <si>
    <t>eSAFE MLNG</t>
  </si>
  <si>
    <t>Cloud Migration -eSAFE MLNG 2.0</t>
  </si>
  <si>
    <t>sairam.villa@petronas.com</t>
  </si>
  <si>
    <t>CSSP10140378</t>
  </si>
  <si>
    <t>Plant Information - PI PCFK</t>
  </si>
  <si>
    <t>Plant Information - PI PCFK created for PRIVATECLOUD project record</t>
  </si>
  <si>
    <t>swaminadh.chirakala@petronas.com</t>
  </si>
  <si>
    <t>CSSP10183688</t>
  </si>
  <si>
    <t>Go Dashboard - GGO</t>
  </si>
  <si>
    <t>CTP Old to New LZ - Go Dashboard</t>
  </si>
  <si>
    <t>CSSP10191098</t>
  </si>
  <si>
    <t>PETRONAS Engineering Data Management System - P-EDMS PCASB</t>
  </si>
  <si>
    <t>PETRONAS Engineering Data Management System - P-EDMS PCASB created for PRIVATECLOUD project record</t>
  </si>
  <si>
    <t>CSSP10204623</t>
  </si>
  <si>
    <t>CSSP10264991</t>
  </si>
  <si>
    <t>Oil Logistics Accounting and Shipping System - OAS</t>
  </si>
  <si>
    <t>Cloud Migration Program- Oil Logistics, Accounting and Shipping System (OAS)</t>
  </si>
  <si>
    <t>CSSP10306491</t>
  </si>
  <si>
    <t>Operator Training Simulator - OTS</t>
  </si>
  <si>
    <t>Provisioning of AWS hosting for OTS Software for INSTEP</t>
  </si>
  <si>
    <t>CSSP10308509</t>
  </si>
  <si>
    <t>Predictive Revitalization of Instrumentation to Maximize Efficiency - PRIME SBA</t>
  </si>
  <si>
    <t>PRIME SBA</t>
  </si>
  <si>
    <t>CSSP10327864</t>
  </si>
  <si>
    <t>CSSP10420125</t>
  </si>
  <si>
    <t>PIVOT Predict RT</t>
  </si>
  <si>
    <t>OSR00154: Support and Maintenance for PIVOT Program for Group Digital – CAPEX – PIVOT Predict RT</t>
  </si>
  <si>
    <t>CSSP10467486</t>
  </si>
  <si>
    <t>Plant Information - PI PCSB MLNG Bintulu</t>
  </si>
  <si>
    <t>Plant Information - PI PCSB @ MLNG Bintulu created for PRIVATECLOUD project record</t>
  </si>
  <si>
    <t>CSSP10504866</t>
  </si>
  <si>
    <t>CSSP10521586</t>
  </si>
  <si>
    <t>Cognite Data Fusion - CDF</t>
  </si>
  <si>
    <t>Subscription and Deployment of Upstream Data Contextualization (UDC) for Resak, Peninsular Malaysia Assets (PMA)</t>
  </si>
  <si>
    <t>CSSP10657709</t>
  </si>
  <si>
    <t>Enhancement of Danger Dodgers Gamification for GHSE</t>
  </si>
  <si>
    <t>CSSP10945256</t>
  </si>
  <si>
    <t>CSSP10949785</t>
  </si>
  <si>
    <t>Jawatan Kuasa Zon Ekonomi Eksklusif - e-JKZEE</t>
  </si>
  <si>
    <t>Implementation of e-JKZEE (Jawatan Kuasa Zon Ekonomi Eksklusif) System for MPM</t>
  </si>
  <si>
    <t>CSSP10983605</t>
  </si>
  <si>
    <t>CSSP10271745</t>
  </si>
  <si>
    <t>venkatesh.kalikivayi@petronas.com</t>
  </si>
  <si>
    <t>CSSP10478501</t>
  </si>
  <si>
    <t>Sharing Knowledge Information and Lesson Learnt - SKILL</t>
  </si>
  <si>
    <t>Enhancement of Sharing Knowledge Information &amp; Lessons Learnt (SKILL) System for PD&amp;T</t>
  </si>
  <si>
    <t>CSSP10523448</t>
  </si>
  <si>
    <t>OCI MIGRATION - Oil Logistics, Accounting and Shipping System (OAS)</t>
  </si>
  <si>
    <t>CSSP10546101</t>
  </si>
  <si>
    <t>Asset Ageing Life Extension System - ALES</t>
  </si>
  <si>
    <t>ALES for MPM</t>
  </si>
  <si>
    <t>CSSP10707894</t>
  </si>
  <si>
    <t>CSSP10891746</t>
  </si>
  <si>
    <t>SAP Y40</t>
  </si>
  <si>
    <t>Implementation of Group Reporting (GR) Data Readiness and Rollout</t>
  </si>
  <si>
    <t>CSSP10113283</t>
  </si>
  <si>
    <t>Resource Management System - RMS</t>
  </si>
  <si>
    <t>Resource Management System (RMS) for PDSB</t>
  </si>
  <si>
    <t>CSSP10141118</t>
  </si>
  <si>
    <t>CSSP10444708</t>
  </si>
  <si>
    <t>CSSP10605623</t>
  </si>
  <si>
    <t>DevOps Portal</t>
  </si>
  <si>
    <t>CSSP10760217</t>
  </si>
  <si>
    <t>Digital Intelligence Center - DIC</t>
  </si>
  <si>
    <t>Deployment of Digital Intelligence Center (DIC) for Malaysia Petroleum Management (MPM)</t>
  </si>
  <si>
    <t>CSSP10825398</t>
  </si>
  <si>
    <t>Cyber Security Application Security Testing - ASTFortify</t>
  </si>
  <si>
    <t>Fortify AST (Application Security Testing) Tool deployment and integration to DevSecOps framework</t>
  </si>
  <si>
    <t>CSSP10233187</t>
  </si>
  <si>
    <t>Zidane OVC</t>
  </si>
  <si>
    <t>Provision of Professional Service, Software License and Infra for ArBiTra (OVC &amp; LVC) 2025 for PTLCL</t>
  </si>
  <si>
    <t>CSSP10530003</t>
  </si>
  <si>
    <t>Data Centre Automation - DCA</t>
  </si>
  <si>
    <t>DCA v2 Implementation at Cloud</t>
  </si>
  <si>
    <t>CSSP10895954</t>
  </si>
  <si>
    <t>CSSP10466348</t>
  </si>
  <si>
    <t>HSE Intelligence Pod - Smart Advisor - HIP SA</t>
  </si>
  <si>
    <t>HSE Intelligence Pod - Smart Advisor</t>
  </si>
  <si>
    <t>CSSP10635363</t>
  </si>
  <si>
    <t>Plant Information - PI PCMTBE</t>
  </si>
  <si>
    <t>Plant Information - PI PCMTBE created for AWS KVDC migration project</t>
  </si>
  <si>
    <t>CSSP10753669</t>
  </si>
  <si>
    <t>Serviceware Financial</t>
  </si>
  <si>
    <t>BG2B: Project Genesis Phase 2 Implementation for PDSB (Marketplace)</t>
  </si>
  <si>
    <t>CSSP10538665</t>
  </si>
  <si>
    <t>PETRONAS Data Fabric</t>
  </si>
  <si>
    <t>PETRONAS Data Governance</t>
  </si>
  <si>
    <t>arun.karuppiah@petronas.com</t>
  </si>
  <si>
    <t>CSSP10953253</t>
  </si>
  <si>
    <t>CSSP10166697</t>
  </si>
  <si>
    <t>KLCC Data Hub</t>
  </si>
  <si>
    <t>Subscription of PETRONAS Microsoft Fabric for KLCCH</t>
  </si>
  <si>
    <t>CSSP10245235</t>
  </si>
  <si>
    <t>Enhancement of Enhanced Resource Monetization by Artificial Intelligence - ERMAI Phase 3 for Malaysia Petroleum Management - MPM</t>
  </si>
  <si>
    <t>Enhancement of Enhanced Resource Monetization by Artificial Intelligence (ERMAI) Phase 4</t>
  </si>
  <si>
    <t>CSSP10771930</t>
  </si>
  <si>
    <t>CSSP10865009</t>
  </si>
  <si>
    <t>CSSP10201868</t>
  </si>
  <si>
    <t>Augmented Gas Nomination Ecosystem - AGNES</t>
  </si>
  <si>
    <t>Procurement for Deployment of Augmented Gas Nomination Ecosystem (AGNES) at PMA</t>
  </si>
  <si>
    <t>CSSP10939855</t>
  </si>
  <si>
    <t>Operational Excellence Incident​ Management - OEIM​</t>
  </si>
  <si>
    <t>Operational Excellence Incident​ Management (OEIM)</t>
  </si>
  <si>
    <t>CSSP10965023</t>
  </si>
  <si>
    <t>Robotic Process Automation - RPA GHRM</t>
  </si>
  <si>
    <t>Implementation of Robotic Process Automation (RPA) (Wave 1) for GHRS</t>
  </si>
  <si>
    <t>CSSP10390950</t>
  </si>
  <si>
    <t>ProSource</t>
  </si>
  <si>
    <t>Provisioning of Infrastructure for Prosource and Qumulo Storage Management System for UTDI</t>
  </si>
  <si>
    <t>CSSP10313811</t>
  </si>
  <si>
    <t>Aveva</t>
  </si>
  <si>
    <t>Cloud Migration Program - Aveva</t>
  </si>
  <si>
    <t>CSSP10755207</t>
  </si>
  <si>
    <t>CSSP10984683</t>
  </si>
  <si>
    <t>PiriGIS</t>
  </si>
  <si>
    <t>Provision of Geographic Information System Infrastructure in PETRONAS Azure Cloud for Exploration</t>
  </si>
  <si>
    <t>Daily Targets</t>
  </si>
  <si>
    <t>Manager publishes daily executing-task targets; engineers record the actual result and evidence.</t>
  </si>
  <si>
    <t>Target Date</t>
  </si>
  <si>
    <t>Snapshot Status</t>
  </si>
  <si>
    <t>Planned PIC</t>
  </si>
  <si>
    <t>Dispositioned Today</t>
  </si>
  <si>
    <t>Previous PIC</t>
  </si>
  <si>
    <t>Target Outcome</t>
  </si>
  <si>
    <t>Set By</t>
  </si>
  <si>
    <t>Set At</t>
  </si>
  <si>
    <t>Engineer Result</t>
  </si>
  <si>
    <t>Result Time</t>
  </si>
  <si>
    <t>Completion Evidence</t>
  </si>
  <si>
    <t>Carryover Reason</t>
  </si>
  <si>
    <t>Target Achieved</t>
  </si>
  <si>
    <t>Notes</t>
  </si>
  <si>
    <t>Engineer Updates</t>
  </si>
  <si>
    <t>Engineers append a new row for every meaningful update. Blue cells are editable; gray cells are formula-driven.</t>
  </si>
  <si>
    <t>Update Timestamp</t>
  </si>
  <si>
    <t>Operational PIC</t>
  </si>
  <si>
    <t>Workflow Stage</t>
  </si>
  <si>
    <t>Engineer Update State</t>
  </si>
  <si>
    <t>Progress Update</t>
  </si>
  <si>
    <t>Scope Assessment</t>
  </si>
  <si>
    <t>OOS Type</t>
  </si>
  <si>
    <t>Evidence / Link</t>
  </si>
  <si>
    <t>Updated By</t>
  </si>
  <si>
    <t>Is Latest</t>
  </si>
  <si>
    <t>Not Started</t>
  </si>
  <si>
    <t>Not Assessed</t>
  </si>
  <si>
    <t>System Initial Load</t>
  </si>
  <si>
    <t>Assignment History</t>
  </si>
  <si>
    <t>Managers append one row for each disposition or PIC replacement. Do not overwrite prior rows.</t>
  </si>
  <si>
    <t>Effective Time</t>
  </si>
  <si>
    <t>From PIC</t>
  </si>
  <si>
    <t>To PIC</t>
  </si>
  <si>
    <t>Reason</t>
  </si>
  <si>
    <t>Assigned By</t>
  </si>
  <si>
    <t>Acknowledged By</t>
  </si>
  <si>
    <t>Acknowledged At</t>
  </si>
  <si>
    <t>Scope Review</t>
  </si>
  <si>
    <t>Manager approval log for suspected private-cloud/on-prem resources. Confirmed OOS is excluded from active workload.</t>
  </si>
  <si>
    <t>Submitted At</t>
  </si>
  <si>
    <t>Submitted By</t>
  </si>
  <si>
    <t>Engineer Justification</t>
  </si>
  <si>
    <t>Manager Decision</t>
  </si>
  <si>
    <t>Decision By</t>
  </si>
  <si>
    <t>Decision At</t>
  </si>
  <si>
    <t>CSSP Mismatch</t>
  </si>
  <si>
    <t>Engineer Capacity</t>
  </si>
  <si>
    <t>Current and projected workload before assigning processing tasks. Availability and skills are manager inputs.</t>
  </si>
  <si>
    <t>Display Name</t>
  </si>
  <si>
    <t>Skills</t>
  </si>
  <si>
    <t>Availability</t>
  </si>
  <si>
    <t>Base Capacity Points</t>
  </si>
  <si>
    <t>Executing Tasks</t>
  </si>
  <si>
    <t>Current Workload Points</t>
  </si>
  <si>
    <t>Current Utilization</t>
  </si>
  <si>
    <t>Processing Points Assigned</t>
  </si>
  <si>
    <t>Projected Utilization</t>
  </si>
  <si>
    <t>Today's Targets</t>
  </si>
  <si>
    <t>Targets Achieved</t>
  </si>
  <si>
    <t>Capacity Flag</t>
  </si>
  <si>
    <t>Abdul Khoir</t>
  </si>
  <si>
    <t>Decommissioning; Provisioning</t>
  </si>
  <si>
    <t>Abhishek Bhowate</t>
  </si>
  <si>
    <t>Amarja Kawade</t>
  </si>
  <si>
    <t>Arun Karuppiah</t>
  </si>
  <si>
    <t>k.saktivelu@petronas.com</t>
  </si>
  <si>
    <t>K Saktivelu</t>
  </si>
  <si>
    <t>Mardiansyah Rayasa</t>
  </si>
  <si>
    <t>Nilesh Sankpal</t>
  </si>
  <si>
    <t>Raditya Nugraha</t>
  </si>
  <si>
    <t>Sairam Villa</t>
  </si>
  <si>
    <t>Swaminadh Chirakala</t>
  </si>
  <si>
    <t>Venkatesh Kalikivayi</t>
  </si>
  <si>
    <t>Configuration &amp; Control Lists</t>
  </si>
  <si>
    <t>Yellow cells are manager-maintained assumptions; lists drive validation and formulas.</t>
  </si>
  <si>
    <t>Engineer Update States</t>
  </si>
  <si>
    <t>Provisioning Stages</t>
  </si>
  <si>
    <t>Decommissioning Stages</t>
  </si>
  <si>
    <t>Scope Assessments</t>
  </si>
  <si>
    <t>OOS Types</t>
  </si>
  <si>
    <t>Manager Decisions</t>
  </si>
  <si>
    <t>Final Dispositions</t>
  </si>
  <si>
    <t>Target Outcomes</t>
  </si>
  <si>
    <t>Target Results</t>
  </si>
  <si>
    <t>Assignment Reasons</t>
  </si>
  <si>
    <t>Raw PIC</t>
  </si>
  <si>
    <t>Canonical PIC</t>
  </si>
  <si>
    <t>Assumption</t>
  </si>
  <si>
    <t>Value</t>
  </si>
  <si>
    <t>All Workflow Stages</t>
  </si>
  <si>
    <t>Information &amp; Access Validation</t>
  </si>
  <si>
    <t>Requestor Green-Light</t>
  </si>
  <si>
    <t>Private Cloud</t>
  </si>
  <si>
    <t>Not Reviewed</t>
  </si>
  <si>
    <t>Return to Requestor</t>
  </si>
  <si>
    <t>Complete Task</t>
  </si>
  <si>
    <t>Workload Rebalance</t>
  </si>
  <si>
    <t>Default Capacity Points</t>
  </si>
  <si>
    <t>In Progress</t>
  </si>
  <si>
    <t>Create Vending</t>
  </si>
  <si>
    <t>Resource Validation</t>
  </si>
  <si>
    <t>In Scope</t>
  </si>
  <si>
    <t>On-Premises</t>
  </si>
  <si>
    <t>Pending Review</t>
  </si>
  <si>
    <t>Route to Private Cloud Team</t>
  </si>
  <si>
    <t>Confirm Out-of-Scope</t>
  </si>
  <si>
    <t>Skill Match</t>
  </si>
  <si>
    <t>Small</t>
  </si>
  <si>
    <t>Missing Size Points</t>
  </si>
  <si>
    <t>Waiting/Blocked</t>
  </si>
  <si>
    <t>Scripting</t>
  </si>
  <si>
    <t>Terraform Plan / Drift Check</t>
  </si>
  <si>
    <t>Suspected Out-of-Scope</t>
  </si>
  <si>
    <t>Other</t>
  </si>
  <si>
    <t>Route to On-Prem Team</t>
  </si>
  <si>
    <t>Leave / Availability</t>
  </si>
  <si>
    <t>Stale Update Days</t>
  </si>
  <si>
    <t>Out-of-Scope Suspected</t>
  </si>
  <si>
    <t>Awaiting Approval</t>
  </si>
  <si>
    <t>SME Confirmation</t>
  </si>
  <si>
    <t>Rejected OOS</t>
  </si>
  <si>
    <t>Continue In Scope</t>
  </si>
  <si>
    <t>Handover</t>
  </si>
  <si>
    <t>Completed by Engineer</t>
  </si>
  <si>
    <t>Done</t>
  </si>
  <si>
    <t>Remediate Drift / Delete</t>
  </si>
  <si>
    <t>Correction</t>
  </si>
  <si>
    <t>Returned for Clarification</t>
  </si>
  <si>
    <t>RFC Document</t>
  </si>
  <si>
    <t>Out-of-Scope Submitted</t>
  </si>
  <si>
    <t>ITSM Change Request</t>
  </si>
  <si>
    <t>Out-of-Scope Confirmed</t>
  </si>
  <si>
    <t>id</t>
  </si>
  <si>
    <t>request_number</t>
  </si>
  <si>
    <t>requestor_id</t>
  </si>
  <si>
    <t>request_type</t>
  </si>
  <si>
    <t>request_status</t>
  </si>
  <si>
    <t>date_created</t>
  </si>
  <si>
    <t>date_updated</t>
  </si>
  <si>
    <t>date_submitted</t>
  </si>
  <si>
    <t>application_name</t>
  </si>
  <si>
    <t>project_name</t>
  </si>
  <si>
    <t>decommission_type</t>
  </si>
  <si>
    <t>powerapps_id</t>
  </si>
  <si>
    <t>manager_email</t>
  </si>
  <si>
    <t>dns_records</t>
  </si>
  <si>
    <t>app_centre_ref</t>
  </si>
  <si>
    <t>justification</t>
  </si>
  <si>
    <t>backup</t>
  </si>
  <si>
    <t>reason</t>
  </si>
  <si>
    <t>origin</t>
  </si>
  <si>
    <t>gate_1_status</t>
  </si>
  <si>
    <t>gate_1_id</t>
  </si>
  <si>
    <t>gate_1_date</t>
  </si>
  <si>
    <t>gate_1_comments</t>
  </si>
  <si>
    <t>gate_2_status</t>
  </si>
  <si>
    <t>gate_2_id</t>
  </si>
  <si>
    <t>gate_2_date</t>
  </si>
  <si>
    <t>gate_2_comments</t>
  </si>
  <si>
    <t>gate_3_status</t>
  </si>
  <si>
    <t>gate_3_id</t>
  </si>
  <si>
    <t>gate_3_date</t>
  </si>
  <si>
    <t>gate_3_comments</t>
  </si>
  <si>
    <t>gate_4_status</t>
  </si>
  <si>
    <t>gate_4_id</t>
  </si>
  <si>
    <t>gate_4_date</t>
  </si>
  <si>
    <t>gate_4_comments</t>
  </si>
  <si>
    <t>application_id</t>
  </si>
  <si>
    <t>project_code</t>
  </si>
  <si>
    <t>request_size</t>
  </si>
  <si>
    <t>sr_number</t>
  </si>
  <si>
    <t>data_retention</t>
  </si>
  <si>
    <t>data_retention_duration</t>
  </si>
  <si>
    <t>6ef3ecb9-948b-4541-9e2a-8170c8b4d27d</t>
  </si>
  <si>
    <t>CSSP10149822</t>
  </si>
  <si>
    <t>maffendy.bobmazmi@petronas.com</t>
  </si>
  <si>
    <t>decommission-cloud</t>
  </si>
  <si>
    <t>rejected</t>
  </si>
  <si>
    <t>2025-04-09T03:59:01.573</t>
  </si>
  <si>
    <t>Asset Integrity Database Axis</t>
  </si>
  <si>
    <t>NA</t>
  </si>
  <si>
    <t>CCoE Core Services (Private)</t>
  </si>
  <si>
    <t>https://aida.petronas.com</t>
  </si>
  <si>
    <t>Application no longer in use.</t>
  </si>
  <si>
    <t>2W</t>
  </si>
  <si>
    <t>Obsolete</t>
  </si>
  <si>
    <t>cssp-v1</t>
  </si>
  <si>
    <t>approved</t>
  </si>
  <si>
    <t>huajin.tan@petronas.com</t>
  </si>
  <si>
    <t>8bc99c2f-ccb7-4219-b8be-9e0c4b545b00</t>
  </si>
  <si>
    <t>CSSP10864680</t>
  </si>
  <si>
    <t>zahar.ismail@petronas.com</t>
  </si>
  <si>
    <t>Integrated Project Monitoring &amp; Performance Tracking (i-PROMPT)</t>
  </si>
  <si>
    <t>Enhancement of Integrated Project Monitoring &amp; Performance Tracking (i-PROMPT), Phase 2 for Malaysia Petroleum Management (MPM)</t>
  </si>
  <si>
    <t>partial</t>
  </si>
  <si>
    <t>karlai.foong@petronas.com.my</t>
  </si>
  <si>
    <t>Service Retirement : TLS 1.0 and 1.1
To decomm Resource Group iPrompt D365
ptazsg-dev-ipms-rg
ptazsg-prod-ipms-rg</t>
  </si>
  <si>
    <t>12M</t>
  </si>
  <si>
    <t>iPrompt D365 is no longer in used. In the process of decommission.</t>
  </si>
  <si>
    <t>azwan.badari@petronas.com</t>
  </si>
  <si>
    <t>Please cancel if this request is no longer required.</t>
  </si>
  <si>
    <t>CCoE Business</t>
  </si>
  <si>
    <t>A-000399</t>
  </si>
  <si>
    <t>ec7f5c14-eb0e-42b7-b177-cff3ae2fea77</t>
  </si>
  <si>
    <t>CSSP10929930</t>
  </si>
  <si>
    <t>marcus.leongkahsung@petronas.com</t>
  </si>
  <si>
    <t>cancelled</t>
  </si>
  <si>
    <t>MyMinutes</t>
  </si>
  <si>
    <t>Project Implementation of myMinutes in Azure under myFinder OPSR</t>
  </si>
  <si>
    <t>mfaizal.sidek@petronas.com.my</t>
  </si>
  <si>
    <t>no longer required</t>
  </si>
  <si>
    <t>Not in Used</t>
  </si>
  <si>
    <t>mfaizal.sidek@petronas.com</t>
  </si>
  <si>
    <t>A-000487</t>
  </si>
  <si>
    <t>PSR05071_1</t>
  </si>
  <si>
    <t>cf939f0d-e824-462f-ba3a-778ac45e27f7</t>
  </si>
  <si>
    <t>CSSP10288728</t>
  </si>
  <si>
    <t>engken.choo@petronas.com</t>
  </si>
  <si>
    <t>Integrated Process Safety System (IPSS)</t>
  </si>
  <si>
    <t>Enhancement of Integrated Process Safety Solution (IPSS)</t>
  </si>
  <si>
    <t>bryan.dewitt@petronas.com.my</t>
  </si>
  <si>
    <t>hsseipssqa.petronas.com, apihsseipssqa.petronas.com</t>
  </si>
  <si>
    <t>the website is no longer required
hsseipssqa.petronas.com
apihsseipssqa.petronas.com</t>
  </si>
  <si>
    <t>The following websites are no longer required: 
hsseipssqa.petronas.com and apihsseipssqa.petronas.com. 
Therefore, there is no need to renew their SSL certificates</t>
  </si>
  <si>
    <t>A-000401</t>
  </si>
  <si>
    <t>112a04b8-d292-413d-b6f2-5f78833e3d93</t>
  </si>
  <si>
    <t>CSSP10737090</t>
  </si>
  <si>
    <t>vu.bui@petronas.com</t>
  </si>
  <si>
    <t>PETRONAS HSSE Incident Management System</t>
  </si>
  <si>
    <t>HSSE Incident Management System (HSSE IM) 6.0 Enhancement</t>
  </si>
  <si>
    <t>mfadhlulwafi.mahadi@petronas.com</t>
  </si>
  <si>
    <t>This is resource need decommissioning
https://portal.azure.com/#@PETRONAS.onmicrosoft.com/resource/subscriptions/2be5068f-e0ac-4d57-aedc-96bc9798a265/resourceGroups/PTAZSG-IAC-DEV-MYHSSE-RG/providers/Microsoft.Web/sites/ptazsg-5myhsseimwb01/appServices</t>
  </si>
  <si>
    <t>This is resource need decommissioning https://portal.azure.com/#@PETRONAS.onmicrosoft.com/resource/subscriptions/2be5068f-e0ac-4d57-aedc-96bc9798a265/resourceGroups/PTAZSG-IAC-DEV-MYHSSE-RG/providers/Microsoft.Web/sites/ptazsg-5myhsseimwb01/appServices</t>
  </si>
  <si>
    <t>Please cancel and resubmit if still require to decommission the resources. Please select the correct project code related to the resources.</t>
  </si>
  <si>
    <t>A-000388</t>
  </si>
  <si>
    <t>81f1d54a-21c5-4b45-b1b2-33b4f09c674d</t>
  </si>
  <si>
    <t>CSSP10998132</t>
  </si>
  <si>
    <t>ismail.azman@petronas.com</t>
  </si>
  <si>
    <t>Sitecom / Real time Operation - RTO</t>
  </si>
  <si>
    <t>SecOps of Development (Dev.) Chapter for Upstream Technology, Digital &amp; Innovation</t>
  </si>
  <si>
    <t>Na</t>
  </si>
  <si>
    <t>Test requests CSSP</t>
  </si>
  <si>
    <t>Not required</t>
  </si>
  <si>
    <t>A-000766</t>
  </si>
  <si>
    <t>a8a5792f-a50e-47df-8ad4-b7b033a505c7</t>
  </si>
  <si>
    <t>CSSP10613042</t>
  </si>
  <si>
    <t>syafiqfathyamer.moh@petronas.com</t>
  </si>
  <si>
    <t>PIVOT AA FeedProp</t>
  </si>
  <si>
    <t>Implementation of PIVOT AA FeedProp Phase 2</t>
  </si>
  <si>
    <t>sunny.khiani@petronas.com.my</t>
  </si>
  <si>
    <t>Decommission leftover infrastructure.</t>
  </si>
  <si>
    <t>1M</t>
  </si>
  <si>
    <t>sunny.khiani@petronas.com</t>
  </si>
  <si>
    <t>Rejected because no resources to be decommissioned has been selected and no approval been attached.</t>
  </si>
  <si>
    <t>A-000607</t>
  </si>
  <si>
    <t>0daf85c0-fa94-4cfa-83fb-50b5382fa146</t>
  </si>
  <si>
    <t>Business agreed to decommission this application</t>
  </si>
  <si>
    <t>Requesting approval for decommission CGC Fouling</t>
  </si>
  <si>
    <t>please do a scream test and make necessary data backups</t>
  </si>
  <si>
    <t>approve</t>
  </si>
  <si>
    <t>A-000610</t>
  </si>
  <si>
    <t>OSR00154_1</t>
  </si>
  <si>
    <t>REQ000008194179</t>
  </si>
  <si>
    <t>b8d9c41d-6ef1-4a89-ae40-a399e55eb53b</t>
  </si>
  <si>
    <t>CSSP10541419</t>
  </si>
  <si>
    <t>mizznajwan.mzaki@petronas.com</t>
  </si>
  <si>
    <t>completed</t>
  </si>
  <si>
    <t>Regasification Terminal Sungai Udang Digital Transformation - RGTSU-DX</t>
  </si>
  <si>
    <t>Digital Transformation at RGTSU (RGTSU-DX Phase 2)</t>
  </si>
  <si>
    <t>masmaliza.zolkefli@petronas.com.my</t>
  </si>
  <si>
    <t>Application interface moved from FUSE to Graffiquo VIP</t>
  </si>
  <si>
    <t>3M</t>
  </si>
  <si>
    <t>Consolidation</t>
  </si>
  <si>
    <t>Decomm request as Application interface moved from FUSE to Graffiquo VIP</t>
  </si>
  <si>
    <t>masmaliza.zolkefli@petronas.com</t>
  </si>
  <si>
    <t>To ensure no interruption to current system.</t>
  </si>
  <si>
    <t>Decommissioned under CSSP10136862 / REQ000007261851</t>
  </si>
  <si>
    <t>Completed</t>
  </si>
  <si>
    <t>A-000689</t>
  </si>
  <si>
    <t>REQ000007870526</t>
  </si>
  <si>
    <t>6056a465-c1d3-4d7e-bce5-d60e154e7c1e</t>
  </si>
  <si>
    <t>CSSP10512939</t>
  </si>
  <si>
    <t>mfaizal.suriyat@petronas.com</t>
  </si>
  <si>
    <t>Predictive Analytics for Pipeline Freespan - PrAnSpan</t>
  </si>
  <si>
    <t>Support and Maintenance of Predictive Analytic Freespan (PrAnSpan) for GTS</t>
  </si>
  <si>
    <t>shekha.mahdhar@petronas.com.my</t>
  </si>
  <si>
    <t>Cloud Migration - modernization</t>
  </si>
  <si>
    <t>Cloud Migration</t>
  </si>
  <si>
    <t>Remove All Component and RG in this RG - PTAZSG-PROD-PRANSPAN-ANALYTICS-GTS-RG</t>
  </si>
  <si>
    <t>shekha.mahdhar@petronas.com</t>
  </si>
  <si>
    <t>Ok</t>
  </si>
  <si>
    <t>Duplicate. RG PTAZSG-PROD-PRANSPAN-ANALYTICS-GTS-RG has been deleted under CSSP10803658.
Please cancel this request.</t>
  </si>
  <si>
    <t>A-000644</t>
  </si>
  <si>
    <t>noretention</t>
  </si>
  <si>
    <t>b5a262c2-6796-42be-83da-2a301b1d6e76</t>
  </si>
  <si>
    <t>CSSP10596587</t>
  </si>
  <si>
    <t>pending</t>
  </si>
  <si>
    <t>Cloud Migration - Modernization</t>
  </si>
  <si>
    <t>As requested</t>
  </si>
  <si>
    <t>6107ea3c-5eec-487f-985c-73ea8f886762</t>
  </si>
  <si>
    <t>CSSP10170875</t>
  </si>
  <si>
    <t>waffiudin.aziz@petronas.com</t>
  </si>
  <si>
    <t>Mobile View for Aeroscout Location Engine - ALE</t>
  </si>
  <si>
    <t>Mobile View for Aeroscout Location Engine - ALE created for PRIVATECLOUD project record</t>
  </si>
  <si>
    <t>full</t>
  </si>
  <si>
    <t>rohaizad_rozali@petronas.com.my</t>
  </si>
  <si>
    <t>Apps no longer in used by asset</t>
  </si>
  <si>
    <t>Reviewed with Abd Latif M Tobi (Gas Business Product Management)</t>
  </si>
  <si>
    <t>rohaizad_rozali@petronas.com</t>
  </si>
  <si>
    <t>Approved</t>
  </si>
  <si>
    <t>Shutdown for more than 1 month but no reports or complain.
vCENPPGBMVAP02.PETRONAS.PETRONET.DIR	10.14.65.131	TM KVDC
vCENPPGBMVDB01.PETRONAS.PETRONET.DIR	10.14.65.132	TM KVDC</t>
  </si>
  <si>
    <t>azlisham.md@petronas.com</t>
  </si>
  <si>
    <t>The decommission request has been completed, and the status is now updated accordingly. Kindly verify from your end and confirm once reviewed.</t>
  </si>
  <si>
    <t>A-000040</t>
  </si>
  <si>
    <t>REQ000007829202</t>
  </si>
  <si>
    <t>disposal</t>
  </si>
  <si>
    <t>bdb2e056-1eb1-4173-90d0-d6d1435b1b61</t>
  </si>
  <si>
    <t>CSSP10703990</t>
  </si>
  <si>
    <t>essam.arab@petronas.com</t>
  </si>
  <si>
    <t>Alpha LNG</t>
  </si>
  <si>
    <t>Alpha LNG Phase 4 (PDSB)</t>
  </si>
  <si>
    <t>Resources to be deleted are in DEV ENVIRONMENT ONLY
Azure App Service: ptazsg-5alphalngap01
Azure App Service Plan: ptazsg-5alphalngasp01</t>
  </si>
  <si>
    <t>Resources to be deleted are in DEV ENVIRONMENT ONLY 
Azure App Service: ptazsg-5alphalngap01 
Azure App Service Plan: ptazsg-5alphalngasp01</t>
  </si>
  <si>
    <t>A-000043</t>
  </si>
  <si>
    <t>REQ000008009892</t>
  </si>
  <si>
    <t>6d98f3d9-2a38-460b-8c86-8d8820e4820f</t>
  </si>
  <si>
    <t>CSSP10528936</t>
  </si>
  <si>
    <t>nursyazana.z@petronas.com</t>
  </si>
  <si>
    <t>Upstream Technical Applications SCUS</t>
  </si>
  <si>
    <t>Provision of Additional Capacity SCUS for Mexico Operation</t>
  </si>
  <si>
    <t>DCOM202512011a6</t>
  </si>
  <si>
    <t>mhafiz.samsudin@petronas.com</t>
  </si>
  <si>
    <t>Not Applicable</t>
  </si>
  <si>
    <t>Mexico office already close. Resources under Project_Code : 00592 has been shutdown and there is no issue as Ahmad Syazali has done the screaming test. You may refer to attached email</t>
  </si>
  <si>
    <t>To Azwan and Ahmad Syazali, there are few resources is not being listed as per list above. I believe this is due to we already shutdown during screaming test e.g. VM. Thus, please proceed with the decommissioning of the resources also. Fyi, for financial discovery, I have attached the no in CSSP request and in progress to complete 7 chapters of financial discovery list.</t>
  </si>
  <si>
    <t>Reviewed and Aproved</t>
  </si>
  <si>
    <t>Please resubmit as there is no confirmation.</t>
  </si>
  <si>
    <t>A-000803</t>
  </si>
  <si>
    <t>retention</t>
  </si>
  <si>
    <t>c0a60393-9927-4fc3-80fc-1e06da243f5f</t>
  </si>
  <si>
    <t>CSSP10984549</t>
  </si>
  <si>
    <t>azrel.nasaruddin@petronas.com</t>
  </si>
  <si>
    <t>Enterprise Software Defined Wide Area Network - SDWAN</t>
  </si>
  <si>
    <t>Implementation of Enterprise Software Defined Wide Area Network (SDWAN) for PETRONAS</t>
  </si>
  <si>
    <t>mhaslan.abuhassan@petronas.com</t>
  </si>
  <si>
    <t>704D905153</t>
  </si>
  <si>
    <t>To Decommission Resource under RG - PTAZSG-PROD-WAF-RG, 
CPU Utilization for PTAZSG-PROD-OnPrem-WAFv1-01
PTAZSG-PROD-OnPrem-WAFv1-01
PTAZSG-PROD-Onprem-WAFv1-01-PIP</t>
  </si>
  <si>
    <t>A-000754</t>
  </si>
  <si>
    <t>00480_1</t>
  </si>
  <si>
    <t>c256d4f6-56d9-4654-aae2-e852fc1db966</t>
  </si>
  <si>
    <t>CSSP10767995</t>
  </si>
  <si>
    <t>Upstream Technology and Digital Innovation (UTDI) Data Operations</t>
  </si>
  <si>
    <t>2023 - DSG repurpose for UTDI Data Ops as instruction from upstream tribe
Provision of Azure Cloud Services for Halliburton Decision Space Geoscience (DSG) Application for Group Technical Data</t>
  </si>
  <si>
    <t>PSR04669</t>
  </si>
  <si>
    <t>Resources under Project_Code : PSR04469 has been shutdown except ptazscusprodgtdstor and ptscustdmexicostorage01 as per agreed. There is no issue as Ahmad Syazali has done the screaming test. You may refer to attached email</t>
  </si>
  <si>
    <t>I have reviewed the list. All can be decommissioned except for ptazscusprodgtdstor and ptscustdmexicostorage01 and also resources related to them such as queue and table</t>
  </si>
  <si>
    <t>Align with Cloud Cost Optimization initiative. Approved.</t>
  </si>
  <si>
    <t>A-000241</t>
  </si>
  <si>
    <t>42303bf0-4804-4229-9b4d-601b156d79bc</t>
  </si>
  <si>
    <t>CSSP10547052</t>
  </si>
  <si>
    <t>Common Security</t>
  </si>
  <si>
    <t>Common infrastructure related to security such as DDOS protection, WAF and others</t>
  </si>
  <si>
    <t>to be decomm resources for : 
CPU Utilization for PTAZSG-PROD-OnPrem-WAFv1-01
PTAZSG-PROD-OnPrem-WAFv1-01
PTAZSG-PROD-Onprem-WAFv1-01-PIP</t>
  </si>
  <si>
    <t>C-000017</t>
  </si>
  <si>
    <t>Common-Security</t>
  </si>
  <si>
    <t>9dba099f-8a6d-42f2-ac79-698ccc7fa5fb</t>
  </si>
  <si>
    <t>CSSP10619105</t>
  </si>
  <si>
    <t>Upstream Technical Applications GOMSCUS</t>
  </si>
  <si>
    <t>AZURE Resource Provisioning for EIV US Gulf of Mexico (GOM) In PETRONAS AZURE South Central U.S. (SCUS)</t>
  </si>
  <si>
    <t>DCOM20251204726</t>
  </si>
  <si>
    <t>PSR05689_3</t>
  </si>
  <si>
    <t>As discussed with Syazali, all resources has been shutdown and can be decommissioned</t>
  </si>
  <si>
    <t>This will be done by Ahmad Syazali and Khairul Azwan</t>
  </si>
  <si>
    <t>Crucial as part of Cloud Cost Optimization exercise. Approved.</t>
  </si>
  <si>
    <t>A-000798</t>
  </si>
  <si>
    <t>67b0ede6-e19a-4ac3-9b27-563c45721825</t>
  </si>
  <si>
    <t>CSSP10851603</t>
  </si>
  <si>
    <t>mohamadfaisal.maasah@petronas.com</t>
  </si>
  <si>
    <t>Daily Operations Tracking System - DOTS</t>
  </si>
  <si>
    <t>Cloud Migration Program - Daily Operations Tracking System (DOTS)</t>
  </si>
  <si>
    <t>DCOM20260107c0d</t>
  </si>
  <si>
    <t>halim.matnoh@petronas.com</t>
  </si>
  <si>
    <t>https://dots.digitalfields.petronas.com/</t>
  </si>
  <si>
    <t>Application not in used.
To include shared managed databased for DOTS.</t>
  </si>
  <si>
    <t>To decomm the application (full decommission)</t>
  </si>
  <si>
    <t>Full Decommission DOTS (00915_4) including DB in shared managed instance in,
ptazsg-1udsqlmi01
ptazsg-4udsqlmi01
ptazsg-5udsqlmi01)</t>
  </si>
  <si>
    <t>A-000221</t>
  </si>
  <si>
    <t>00915_4</t>
  </si>
  <si>
    <t>REQ000007803645</t>
  </si>
  <si>
    <t>c6a129dd-daca-4be4-aad4-3f4bb646fe74</t>
  </si>
  <si>
    <t>CSSP10204527</t>
  </si>
  <si>
    <t>sitisoleha.mnizam@petronas.com</t>
  </si>
  <si>
    <t>Project Management Solution</t>
  </si>
  <si>
    <t>Implementation of Interim Project Management Solution for Malaysia Petroleum Management (MPM)</t>
  </si>
  <si>
    <t>sharulazlan.ahmad@petronas.com.my</t>
  </si>
  <si>
    <t>https://ipromptpac.petronas.com/iPROMPT/</t>
  </si>
  <si>
    <t>COC team has confirmed that the both dev and prod i-PROMPT resource groups can be decom because most of the services are stopped and the storage account last activity was in 2022. Hence, before we decom the whole RG, below are the estimated costs for both dev and prod RG. The slight differences between the costs is due to the higher number of storage account found in prod RG. Production RG: PTAZSG-PROD-IPMS-RG Development RG: PTAZSG-DEV-IPMS-RG</t>
  </si>
  <si>
    <t>sharulazlan.ahmad@petronas.com</t>
  </si>
  <si>
    <t>Decommission 2 RG only.
Production RG: PTAZSG-PROD-IPMS-RG Development RG: PTAZSG-DEV-IPMS-RG
DNS provided in the form is still in use (Outsystem).</t>
  </si>
  <si>
    <t>A-000662</t>
  </si>
  <si>
    <t>REQ000007761967</t>
  </si>
  <si>
    <t>75e71d16-4e6b-4a65-9d08-118dd73320c6</t>
  </si>
  <si>
    <t>CSSP10745533</t>
  </si>
  <si>
    <t>norhamizah.hasni@petronas.com</t>
  </si>
  <si>
    <t>CI Academy Portal</t>
  </si>
  <si>
    <t>Cloud Transformation Programme - CI Academy Portal</t>
  </si>
  <si>
    <t>sazali.mokhtar@petronas.com</t>
  </si>
  <si>
    <t>To decommission old resources in Singapore region due to completed migration in MY region</t>
  </si>
  <si>
    <t>To decommission resources in SG region</t>
  </si>
  <si>
    <t>To decommission old resources in Singapore region due to completed migration in MY region - ( Hamizah )</t>
  </si>
  <si>
    <t>Repatriation</t>
  </si>
  <si>
    <t>A-000111</t>
  </si>
  <si>
    <t>02421_89</t>
  </si>
  <si>
    <t>REQ000007790054</t>
  </si>
  <si>
    <t>19a4096f-0ee7-4553-b3bf-ebf4344efc24</t>
  </si>
  <si>
    <t>CSSP10759471</t>
  </si>
  <si>
    <t>fahmi.badurisam@petronas.com</t>
  </si>
  <si>
    <t>UPS Monitoring</t>
  </si>
  <si>
    <t>DCOM20251223e29</t>
  </si>
  <si>
    <t>hafiz.awahab@petronas.com</t>
  </si>
  <si>
    <t>INDY 500 decommissioning.</t>
  </si>
  <si>
    <t>Based on INDY 500 the UPS Monitoring System can be decommissioned by the end of December 2025.</t>
  </si>
  <si>
    <t>N/A</t>
  </si>
  <si>
    <t>Full decommission. Delete all resources and RG PTAZSG-IAC-PROD-UPSMON-RG</t>
  </si>
  <si>
    <t>abdullah.haziq@petronas.com</t>
  </si>
  <si>
    <t>completed.</t>
  </si>
  <si>
    <t>A-000825</t>
  </si>
  <si>
    <t>PC-00074</t>
  </si>
  <si>
    <t>REQ000007789495</t>
  </si>
  <si>
    <t>b3e9a526-8855-4213-a5e0-c6b29a4822c1</t>
  </si>
  <si>
    <t>CSSP10150850</t>
  </si>
  <si>
    <t>chuah_kenneth@petronas.com</t>
  </si>
  <si>
    <t>Cyber Security Trend Micro</t>
  </si>
  <si>
    <t>Cyber Security Trend Micro created for PRIVATECLOUD project record</t>
  </si>
  <si>
    <t>DCOM202512232b1</t>
  </si>
  <si>
    <t>ahmadfajar.faeiz@petronas.com</t>
  </si>
  <si>
    <t>All endpoints and servers protection (antimalware) migrated to Microsoft Defender for Endpoint (MDE).</t>
  </si>
  <si>
    <t>End of Lease</t>
  </si>
  <si>
    <t>Resources has been submitted to Azlisham for further validation. 
Actual Resources for Trend Micro Deep Security ;
vcentmdsm01 - 10.14.17.149
vcentmdsm02 - 10.14.17.151
vcentmdsmdb - 10.14.17.150</t>
  </si>
  <si>
    <t>endpoint are protected by MDE</t>
  </si>
  <si>
    <t>Decommission vcentmdsm01 - 10.14.17.149, vcentmdsm02 - 10.14.17.151, vcentmdsmdb - 10.14.17.150</t>
  </si>
  <si>
    <t>A-000181</t>
  </si>
  <si>
    <t>REQ000007847048</t>
  </si>
  <si>
    <t>05ee9847-ff57-4050-a9e1-aec0b95b5284</t>
  </si>
  <si>
    <t>CSSP10737482</t>
  </si>
  <si>
    <t>syahir.shaiful@petronas.com</t>
  </si>
  <si>
    <t>Upstream Technology and Digital Innovation - UTDI Data Operations</t>
  </si>
  <si>
    <t>wanzul-atfi.matnawi@petronas.com</t>
  </si>
  <si>
    <t>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No	NAME
1	azurebackuprgsouthcen324
2	ptazcusprodfw01
3	ptscustdmexicostorage01
4	ptazscusprodfw02
5	ptazscusprodgtdstor
6	csg1003200042685dd9
7	cs15f782fe28948x4fd8x8bc
8	csg8a71ac8104edx4e9bxade
9	cs18a71ac8104edx4e9bxade
10 csgb4ff1bb85058x44a6x880
11	cs1b4ff1bb85058x44a6x880
12	csbb4ff1bb85058x44a6x880
13	ptazsg5cloudshell
14	csgb9c4e2a3a10dx4a47x94b
15	uroqbositerecovasrcache
16	ptazweuprodgtdtargdiag
17	ptazweuprodstag
18	ptweutechdata
19	ptweutechdatabackup</t>
  </si>
  <si>
    <t>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t>
  </si>
  <si>
    <t>As have been identified and validated by Data team.</t>
  </si>
  <si>
    <t>Proceed as per listed</t>
  </si>
  <si>
    <t>The decommission request has been completed, and the status is now updated accordingly. Kindly verify from your end and confirm once reviewed.
The storage account (highlighted in red)  cannot be deleted due to its artifacts being in use</t>
  </si>
  <si>
    <t>REQ000007888792</t>
  </si>
  <si>
    <t>26802f94-96c1-42b1-8695-2b1d58cb4e08</t>
  </si>
  <si>
    <t>CSSP10471891</t>
  </si>
  <si>
    <t>2023 - DSG repurpose for UTDI Data Ops as instruction from upstream tribe
Provision of Cloud Services for Gabon Office - DSG West Europe</t>
  </si>
  <si>
    <t>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No NAME 1 azurebackuprgsouthcen324 2 ptazcusprodfw01 3 ptscustdmexicostorage01 4 ptazscusprodfw02 5 ptazscusprodgtdstor 6 csg1003200042685dd9 7 cs15f782fe28948x4fd8x8bc 8 csg8a71ac8104edx4e9bxade 9 cs18a71ac8104edx4e9bxade 10 csgb4ff1bb85058x44a6x880 11 cs1b4ff1bb85058x44a6x880 12 csbb4ff1bb85058x44a6x880 13 ptazsg5cloudshell 14 csgb9c4e2a3a10dx4a47x94b 15 uroqbositerecovasrcache 16 ptazweuprodgtdtargdiag 17 ptazweuprodstag 18 ptweutechdata 19 ptweutechdatabackup</t>
  </si>
  <si>
    <t>same request with CSSP10737482</t>
  </si>
  <si>
    <t>AZ-DSG-WEU</t>
  </si>
  <si>
    <t>REQ000007888791</t>
  </si>
  <si>
    <t>280ff278-f9e5-4b4e-801a-bd7fcb23f040</t>
  </si>
  <si>
    <t>CSSP10985709</t>
  </si>
  <si>
    <t>nurulnajwa.mud@petronas.com</t>
  </si>
  <si>
    <t>Business Intelligence Reporting and Analytic - BIRA</t>
  </si>
  <si>
    <t>Cloud Migration- BIRA (Business Intelligence Reporting &amp; Analytic)</t>
  </si>
  <si>
    <t>kuek.chiayin@petronas.com.my</t>
  </si>
  <si>
    <t>-</t>
  </si>
  <si>
    <t>Approval to proceed with the decommissioning of these specified Azure Storage Account. due to not in used
ptazsg5birastrdl Storage account StorageV2 
ptazsg4birastrdl Storage account StorageV2
ptazsg1birastrlrs Storage account StorageV2</t>
  </si>
  <si>
    <t>Decom the following Storage account:
DEV: ptazsg5birastrdl,
UAT: ptazsg4birastrdl,
PROD: ptazsg1birastrlrs</t>
  </si>
  <si>
    <t>kuek.chiayin@petronas.com</t>
  </si>
  <si>
    <t>Verified that the storage account is not in use, and can be decommissioned.</t>
  </si>
  <si>
    <t>proceed to decom</t>
  </si>
  <si>
    <t>A-000092</t>
  </si>
  <si>
    <t>02421_15</t>
  </si>
  <si>
    <t>REQ000007789020</t>
  </si>
  <si>
    <t>dbdb4c36-7ab2-4bd2-a432-02c4d278d555</t>
  </si>
  <si>
    <t>CSSP10217386</t>
  </si>
  <si>
    <t>izdihar.roslan@petronas.com</t>
  </si>
  <si>
    <t>Visual Integrated Solution for Material - VISMA</t>
  </si>
  <si>
    <t>VISUAL INTEGRATED SOLUTION for MATERIAL</t>
  </si>
  <si>
    <t>Decommission VISMA in SG region.
ptawsg-iac-nonprod-corporatecommon-visma-dev-bucket
iam/ptaw_iac_nonprod_corporatecommon_visma_user</t>
  </si>
  <si>
    <t>A-000847</t>
  </si>
  <si>
    <t>REQ000007789469</t>
  </si>
  <si>
    <t>1eacd220-97a0-4e97-9a5b-0673c47648a5</t>
  </si>
  <si>
    <t>CSSP10442429</t>
  </si>
  <si>
    <t>nurizzati.mbasir@petronas.com</t>
  </si>
  <si>
    <t>SMART / DPVA Upstream</t>
  </si>
  <si>
    <t>Vessel Analytics (VA)</t>
  </si>
  <si>
    <t>DCOM2025122461e</t>
  </si>
  <si>
    <t>salita.yami@petronas.com.my</t>
  </si>
  <si>
    <t>https://app.powerbi.com/reportEmbed?reportId=f414f4f3-df10-4736-a643-7fb9016513c0&amp;autoAuth=true&amp;ctid=3b2e8941-7948-4131-978a-b2dfc7295091</t>
  </si>
  <si>
    <t>This application is no longer in used by the users.</t>
  </si>
  <si>
    <t>Please decom RG that related with Vessel Analytics(VA) application only for all enviroments.
PTAZSG-PROD-DPVA-RG
PTAZSG-DEV-DPVA-RG</t>
  </si>
  <si>
    <t>salita.yami@petronas.com</t>
  </si>
  <si>
    <t>Proceed</t>
  </si>
  <si>
    <t>Full decommission.
PTAZSG-PROD-DPVA-RG &amp; PTAZSG-DEV-DPVA-RG</t>
  </si>
  <si>
    <t>A-000779</t>
  </si>
  <si>
    <t>REQ000007790074</t>
  </si>
  <si>
    <t>d8a012f7-8228-43ae-90b2-567d90948366</t>
  </si>
  <si>
    <t>CSSP10818859</t>
  </si>
  <si>
    <t>noorsabrina.mahhussi@petronas.com</t>
  </si>
  <si>
    <t>MyProcure</t>
  </si>
  <si>
    <t>Procurement Innovation Through Automation And Procurement Marketplace</t>
  </si>
  <si>
    <t>mosman.mhassanomar@petronas.com.my</t>
  </si>
  <si>
    <t>PSR04343</t>
  </si>
  <si>
    <t>Resources are no longer in use. Previous request to decomm had been raised in 2024 but did not go through. Raising a new urgent request in order to comply with DPIA requirements. Kindly refer to attachment for specific resources to be decommissioned.</t>
  </si>
  <si>
    <t>Confirmed based on list provided by Zul Fakar. List is attached</t>
  </si>
  <si>
    <t>mosman.mhassanomar@petronas.com</t>
  </si>
  <si>
    <t>As per recommended by the Support Team/ Technical Team</t>
  </si>
  <si>
    <t>Decommission listed storage account</t>
  </si>
  <si>
    <t>A-000490</t>
  </si>
  <si>
    <t>REQ000007789503</t>
  </si>
  <si>
    <t>b6820993-44bf-4101-ba58-bee50b0da18d</t>
  </si>
  <si>
    <t>CSSP10371521</t>
  </si>
  <si>
    <t>azrin.azizan@petronas.com</t>
  </si>
  <si>
    <t>M365 SharePoint - SPO</t>
  </si>
  <si>
    <t>Cloud Migration Program - Migration SharePoint 2013 to SharePoint 2019</t>
  </si>
  <si>
    <t>nshahidahothman@petronas.com.my</t>
  </si>
  <si>
    <t>The SP2019 staging environment is no longer required, as all relevant testing, validation, and migration activities have been completed. There are currently no active applications, users, or business processes dependent on this staging farm. Additionally, SharePoint Server 2019 is approaching its end-of-life (EOL) in July 2026.</t>
  </si>
  <si>
    <t>Application Server	172.25.52.142	PTSG-4SPss01
	172.25.52.143	PTSG-4SPss02
	172.25.52.144	PTSG-4SPss03
	172.25.52.145	PTSG-4SPss04
	172.25.52.177	PTSG-4SPos01
	172.25.52.147	PTSG-4SPfs01
	172.25.52.148	PTSG-4SPap01
	172.25.52.149	PTSG-4SPap02
SP Load Balancer	172.25.50.35	PTAZSG-4SPWB-LB
WFE Server	172.25.50.31	PTSG-4SPwb01
	172.25.50.32	PTSG-4SPwb02
DB Load Balancer	172.25.56.45	PTAZSG-4SPDB-LB
Database Server	172.25.56.37	PTSG-4SPdb01</t>
  </si>
  <si>
    <t>nshahidahothman@petronas.com</t>
  </si>
  <si>
    <t>total resource for staging : 53</t>
  </si>
  <si>
    <t>Decommission listed resources</t>
  </si>
  <si>
    <t>A-000449</t>
  </si>
  <si>
    <t>00915_1</t>
  </si>
  <si>
    <t>REQ000007789505</t>
  </si>
  <si>
    <t>4b944bb2-7e2b-4d62-b883-9faa363798d6</t>
  </si>
  <si>
    <t>CSSP10672556</t>
  </si>
  <si>
    <t>Freight-X</t>
  </si>
  <si>
    <t>To decommission old resources in AWS Singapore region due to completed migration in AWS MY region</t>
  </si>
  <si>
    <t>To decommission old resources in Singapore region due to completed migration in MY region - (Hamizah)</t>
  </si>
  <si>
    <t>Repatriation.</t>
  </si>
  <si>
    <t>A-000326</t>
  </si>
  <si>
    <t>REQ000007789492</t>
  </si>
  <si>
    <t>fadb5b26-da4e-4bb7-be40-533763a9818e</t>
  </si>
  <si>
    <t>CSSP10774226</t>
  </si>
  <si>
    <t>wanmiqbal.wanmhdnoor@petronas.com</t>
  </si>
  <si>
    <t>Upstream Real Time Data Program - URTD</t>
  </si>
  <si>
    <t>Installation of Upstream Real Time Data Program (URTD) for Centre of Excellence, PCSB</t>
  </si>
  <si>
    <t>mohammadsani.johari@petronas.com</t>
  </si>
  <si>
    <t>stg.urtd.petronas.com</t>
  </si>
  <si>
    <t>PaaS DB and Dev Server are no longer in used.</t>
  </si>
  <si>
    <t>Only Decomm resources related to ptsg-1urtdsvrdb01.database.windows.net &amp; 172.25.32.16, PTSG-1URTDAP02</t>
  </si>
  <si>
    <t>Resources not in used.</t>
  </si>
  <si>
    <t>Decommission listed resources only</t>
  </si>
  <si>
    <t>A-000827</t>
  </si>
  <si>
    <t>REQ000007790220</t>
  </si>
  <si>
    <t>e59f0759-3ddf-4f24-845b-2520cb3a8fdd</t>
  </si>
  <si>
    <t>CSSP10719729</t>
  </si>
  <si>
    <t>Decision Ready Data - DRD</t>
  </si>
  <si>
    <t>Implementation of Decision Ready Data (DRD)</t>
  </si>
  <si>
    <t>DCOM20251230434</t>
  </si>
  <si>
    <t>mmpd.drd.petronas.com.my, downstream.drd.petronas.com</t>
  </si>
  <si>
    <t>The DRD for downstream is part of the decommissioning exercise under Black Swan.</t>
  </si>
  <si>
    <t>The DRD for downstream is part of the decommissioning exercise under Black Swan</t>
  </si>
  <si>
    <t>Approved as per indy500.</t>
  </si>
  <si>
    <t>Full decommission for project code 03418 including DNS</t>
  </si>
  <si>
    <t>A-000232</t>
  </si>
  <si>
    <t>REQ000007789509</t>
  </si>
  <si>
    <t>554aa139-262d-4c6f-87cd-e03c650d15e4</t>
  </si>
  <si>
    <t>CSSP10932025</t>
  </si>
  <si>
    <t>Asset Integrity Management Database - AIDA GPU</t>
  </si>
  <si>
    <t>GPU Asset Integrity Management Database AIDA</t>
  </si>
  <si>
    <t>DCOM20260105ade</t>
  </si>
  <si>
    <t>huajin.tan@petronas.com.my</t>
  </si>
  <si>
    <t>aida.petronas.com</t>
  </si>
  <si>
    <t>Asset has been expanded to enterprise level (MAVIS). The asset originally initiated by GPU and has been expanded to PETRONAS enterprise level (MAVIS) by collaboration with GTS. New application replacing AIDA, has been launched and deployed at GPU namely Machine Vision &amp; Inspection Workflow Management System.  The asset write-off and disposal has been endorsed by PGB DSC.</t>
  </si>
  <si>
    <t>Confirmed</t>
  </si>
  <si>
    <t>Approved as business have provided their endorsement</t>
  </si>
  <si>
    <t>Full decommission ptazsg-dev-gpu-aida-rg and DNS aida.petronas.com</t>
  </si>
  <si>
    <t>A-000036</t>
  </si>
  <si>
    <t>REQ000007849037</t>
  </si>
  <si>
    <t>bb20d2ac-320e-49d2-bb7e-ba31119ecf21</t>
  </si>
  <si>
    <t>CSSP10561989</t>
  </si>
  <si>
    <t>No longer required</t>
  </si>
  <si>
    <t>4586e4b5-916f-4c51-9e27-fe55a08e3eb7</t>
  </si>
  <si>
    <t>CSSP10474599</t>
  </si>
  <si>
    <t>FORTS</t>
  </si>
  <si>
    <t>AWS Cloud Migration - FORTS</t>
  </si>
  <si>
    <t>mdkhiri@petronas.com</t>
  </si>
  <si>
    <t>FFFF</t>
  </si>
  <si>
    <t>Cancelled</t>
  </si>
  <si>
    <t>A-000321</t>
  </si>
  <si>
    <t>00915_117</t>
  </si>
  <si>
    <t>0a1cea43-c926-4b79-956d-98225c0a684c</t>
  </si>
  <si>
    <t>CSSP10578777</t>
  </si>
  <si>
    <t>zulhasyidi.hassan@petronas.com</t>
  </si>
  <si>
    <t>Plant Information - PI GTS</t>
  </si>
  <si>
    <t>AWS-Cloud Migration - PI GTS</t>
  </si>
  <si>
    <t>DCOM20260106247</t>
  </si>
  <si>
    <t>mohammadsani.johari@petronas.com.my</t>
  </si>
  <si>
    <t>gts.pi.petronas.com</t>
  </si>
  <si>
    <t>Not in used</t>
  </si>
  <si>
    <t>Full decommissioning for GTS PI application</t>
  </si>
  <si>
    <t>Approved, as per Indy500 requirement.</t>
  </si>
  <si>
    <t>Full decommission PI (00915_107)</t>
  </si>
  <si>
    <t>A-000570</t>
  </si>
  <si>
    <t>00915_107</t>
  </si>
  <si>
    <t>REQ000007826332</t>
  </si>
  <si>
    <t>4e611de9-a52a-41ed-b37f-bb0808c8e961</t>
  </si>
  <si>
    <t>CSSP10828102</t>
  </si>
  <si>
    <t>Enterprise Decarbonization iCON - ED-iCON</t>
  </si>
  <si>
    <t>Enterprise Decarbonization (ED) iCON</t>
  </si>
  <si>
    <t>Cloud Repatriation - To decommission old resources in Singapore region due to completed migration in MY region</t>
  </si>
  <si>
    <t>Cloud Repatriation - Decomm 03476 in SG</t>
  </si>
  <si>
    <t>A-000033</t>
  </si>
  <si>
    <t>REQ000007828185</t>
  </si>
  <si>
    <t>90120b9f-5cea-46de-a540-4ff191469fc6</t>
  </si>
  <si>
    <t>CSSP10960000</t>
  </si>
  <si>
    <t>mohamadsyafiq.mnoor@petronas.com</t>
  </si>
  <si>
    <t>Azure Machine Learning - PC Derivatives</t>
  </si>
  <si>
    <t>Run &amp; Maintain Citizen Analytics Use Case for Sales Gas Optimization for PC Derivatives Sdn Bhd</t>
  </si>
  <si>
    <t>khairulnizam.bahari@petronas.com</t>
  </si>
  <si>
    <t>To decommission Azure Resource Group PTAZSG-IAC-DAA-PROD-PCOGD_SGO-RG</t>
  </si>
  <si>
    <t>As per email from business, this Azure Resource Group PTAZSG-IAC-DAA-PROD-PCOGD_SGO-RG need to be decommissioned</t>
  </si>
  <si>
    <t>Decommission Azure Resource Group PTAZSG-IAC-DAA-PROD-PCOGD_SGO-RG</t>
  </si>
  <si>
    <t>Decommission all resources and delete RG PTAZSG-IAC-DAA-PROD-PCOGD-SGO-RG</t>
  </si>
  <si>
    <t>A-001304</t>
  </si>
  <si>
    <t>REQ000007815155</t>
  </si>
  <si>
    <t>9f28ea8a-b13b-4a5b-84ba-cb9eb6ad0d0d</t>
  </si>
  <si>
    <t>CSSP10159861</t>
  </si>
  <si>
    <t>mibrahim.sulaima@petronas.com</t>
  </si>
  <si>
    <t>Implementation of Enhanced Resource Monetization Artificial Intelligence (ERMAI) for Malaysia Petroleum Management (MPM)</t>
  </si>
  <si>
    <t>limeng.tan@petronas.com.my</t>
  </si>
  <si>
    <t>To decom ermai dev resources that not being used anymore</t>
  </si>
  <si>
    <t>limeng.tan@petronas.com</t>
  </si>
  <si>
    <t>A-000303</t>
  </si>
  <si>
    <t>410ea196-1243-4e2c-b845-57ce8b099e18</t>
  </si>
  <si>
    <t>CSSP10622149</t>
  </si>
  <si>
    <t>To decom AKS and PosgreSQL DB resources for ERMAI dev since not being used anymore</t>
  </si>
  <si>
    <t>9aecfc02-2056-4390-879d-2a2098196200</t>
  </si>
  <si>
    <t>CSSP10527994</t>
  </si>
  <si>
    <t>Implementation of Enhanced Resource Monetization Artificial Intelligence (ERMAI) Malaysia Petroleum Management (MPM)</t>
  </si>
  <si>
    <t>To decom AKS and PosgreSQL temp01 in ERMAI dev since not being used anymore</t>
  </si>
  <si>
    <t>To decom AKS - ptsg-5ermaiaks01 and PosgreSQL Flexible server - ptazsg-5ermaisql01temp. These resources have been confirmed not being used anymore. This can save cost in Dev environment for about 30% monthly.</t>
  </si>
  <si>
    <t>approved as requested</t>
  </si>
  <si>
    <t>Decommission AKS - ptsg-5ermaiaks01 and PosgreSQL Flexible server - ptazsg-5ermaisql01temp</t>
  </si>
  <si>
    <t>REQ000007815159</t>
  </si>
  <si>
    <t>e09d2466-1f5f-48a0-8531-127ecf1af6ec</t>
  </si>
  <si>
    <t>CSSP10175424</t>
  </si>
  <si>
    <t>mnizar.omar@petronas.com</t>
  </si>
  <si>
    <t>Active Directory Domain Controller - ADDC KVDC</t>
  </si>
  <si>
    <t>Active Directory Domain Controller - ADDC KVDC created for PRIVATECLOUD project record</t>
  </si>
  <si>
    <t>zulizzi.yasin@petronas.com.my</t>
  </si>
  <si>
    <t>This domain controller is not required anymore as part of domain controllers decommissioning plan.</t>
  </si>
  <si>
    <t>zulizzi.yasin@petronas.com</t>
  </si>
  <si>
    <t>A-000015</t>
  </si>
  <si>
    <t>10002_03</t>
  </si>
  <si>
    <t>5d8ee9f0-2be6-4505-be54-65b3bf899f4d</t>
  </si>
  <si>
    <t>CSSP10240613</t>
  </si>
  <si>
    <t>Common Active Directory - AD</t>
  </si>
  <si>
    <t>Common infrastructure for COC dashboard, integration, ict2u, labs</t>
  </si>
  <si>
    <t>Domain controllers are not in use anymore. Please refer the attachment for the list of items to be decommed.</t>
  </si>
  <si>
    <t>C-000004</t>
  </si>
  <si>
    <t>Common-AD</t>
  </si>
  <si>
    <t>7f765445-b497-44da-8017-8873ca22791f</t>
  </si>
  <si>
    <t>CSSP10262348</t>
  </si>
  <si>
    <t>The domain controllers are not in use anymore which are part of our decommissioning plan. Please refer the attachment for the list of servers to be decommissioned. 
CEN308-INFDC-03
PTSCUS-1INFdc01
PTSCUS-1INFdc02
PTWEU-1INFdc01
PTWEU-1INFdc02
AZRSAPRODADDS01</t>
  </si>
  <si>
    <t>Servers have been shut down and confirmed not in use.</t>
  </si>
  <si>
    <t>Reviewed</t>
  </si>
  <si>
    <t>Decommission listed VM
CEN308-INFDC-03	10.3.193.171
PTSCUS-1INFdc01	172.18.32.11
PTSCUS-1INFdc02	172.18.32.12
PTWEU-1INFdc01	172.24.32.11
PTWEU-1INFdc02	172.24.32.4
AZRSAPRODADDS01	172.24.9.1</t>
  </si>
  <si>
    <t>REQ000007815546</t>
  </si>
  <si>
    <t>a4db4910-6efc-4ec6-adcc-0c92781fa443</t>
  </si>
  <si>
    <t>CSSP10861160</t>
  </si>
  <si>
    <t>9b7f550e-e5cb-4f88-94d2-23a74bc7c118</t>
  </si>
  <si>
    <t>CSSP10888172</t>
  </si>
  <si>
    <t>170c452c-8ff0-4744-b0fe-2d5884db40b4</t>
  </si>
  <si>
    <t>CSSP10280084</t>
  </si>
  <si>
    <t>10815a01-d922-4fc6-aa81-7d131c5d370f</t>
  </si>
  <si>
    <t>CSSP10575261</t>
  </si>
  <si>
    <t>e9494d31-0e6e-46f7-b930-083021ca8133</t>
  </si>
  <si>
    <t>CSSP10692553</t>
  </si>
  <si>
    <t>DCOM202601094c5</t>
  </si>
  <si>
    <t>mkhiri.msharif@petronas.com.my</t>
  </si>
  <si>
    <t>As in attached email</t>
  </si>
  <si>
    <t>mkhiri.msharif@petronas.com</t>
  </si>
  <si>
    <t>d0967d7a-2fa4-4c39-bbdd-e72c29b361f7</t>
  </si>
  <si>
    <t>CSSP10215372</t>
  </si>
  <si>
    <t>As communicated in attached email</t>
  </si>
  <si>
    <t>Full decomission</t>
  </si>
  <si>
    <t>Approced. Data has been backup</t>
  </si>
  <si>
    <t>Decommission FORTS under code 00915_117</t>
  </si>
  <si>
    <t>REQ000007815636</t>
  </si>
  <si>
    <t>fe23029d-5099-4b04-b757-7557c66cb686</t>
  </si>
  <si>
    <t>CSSP10783734</t>
  </si>
  <si>
    <t>8d44e34e-b191-49d0-9af6-a21890477bbc</t>
  </si>
  <si>
    <t>CSSP10466320</t>
  </si>
  <si>
    <t>b4d3c314-6ea6-4c32-b1b9-32e033e4544a</t>
  </si>
  <si>
    <t>CSSP10764031</t>
  </si>
  <si>
    <t>4d27c2ff-c345-45bf-9411-d4aae3fb161a</t>
  </si>
  <si>
    <t>CSSP10618851</t>
  </si>
  <si>
    <t>5a6a6648-d1fc-46cb-8f5d-a053dd4e3fc9</t>
  </si>
  <si>
    <t>CSSP10913240</t>
  </si>
  <si>
    <t>To decom AWS SG Resources for Myprocure as in attached excel file.</t>
  </si>
  <si>
    <t>Cloud Repatriation - Decomm 04343 in SG</t>
  </si>
  <si>
    <t>REQ000007828187</t>
  </si>
  <si>
    <t>9355a540-93bd-43a2-a7c5-cc43fb898fb9</t>
  </si>
  <si>
    <t>CSSP10212506</t>
  </si>
  <si>
    <t>Decom only storage account</t>
  </si>
  <si>
    <t>To decomm only storage account.</t>
  </si>
  <si>
    <t>Decommission ptsg1urtd2func01strg only</t>
  </si>
  <si>
    <t>REQ000007825797</t>
  </si>
  <si>
    <t>e11ae033-64c5-4dc0-94b6-bbeef2b9f8d0</t>
  </si>
  <si>
    <t>CSSP10256227</t>
  </si>
  <si>
    <t>yenheung.yap@petronas.com</t>
  </si>
  <si>
    <t>adi.razali@petronas.com</t>
  </si>
  <si>
    <t>Decom CCM Database only</t>
  </si>
  <si>
    <t>decom CCM database only</t>
  </si>
  <si>
    <t>As per planned by Eric Yap</t>
  </si>
  <si>
    <t>Decommission database named, (backup 3 months)
CCMAppMart in PTSG-4BIRADB01.
CCMAppMart in PTSG-1BIRADBC2</t>
  </si>
  <si>
    <t>badri.shaharudin@petronas.com</t>
  </si>
  <si>
    <t>CCMAppMart deleted</t>
  </si>
  <si>
    <t>REQ000007825744</t>
  </si>
  <si>
    <t>6320ba63-3c83-4b37-b605-b4211b85dca9</t>
  </si>
  <si>
    <t>CSSP10721535</t>
  </si>
  <si>
    <t>rajila.vadakkalthund@petronas.com</t>
  </si>
  <si>
    <t>DCOM20260119c60</t>
  </si>
  <si>
    <t>afiqah.aziz@petronas.com.my</t>
  </si>
  <si>
    <t>Sitecom has been replaced with Halvue application</t>
  </si>
  <si>
    <t>Need to backup all resources and decom</t>
  </si>
  <si>
    <t>afiqah.aziz@petronas.com</t>
  </si>
  <si>
    <t>Agreed to decom as no further utilisation</t>
  </si>
  <si>
    <t>RG ptazsg-iac-daa-dev-rto-poc-rg and all resources in it already decommissioned under CSSP10728584.</t>
  </si>
  <si>
    <t>c4e0a46f-d841-4035-9b2f-e63a373218bd</t>
  </si>
  <si>
    <t>CSSP10715412</t>
  </si>
  <si>
    <t>SiteCom and DrillScene Applications for Wells COE PETRON</t>
  </si>
  <si>
    <t>SiteCom and DrillScene Applications for Wells COE PETRON created for PRIVATECLOUD project record</t>
  </si>
  <si>
    <t>DCOM20260119778</t>
  </si>
  <si>
    <t>A-000236</t>
  </si>
  <si>
    <t>46ca1a48-c732-48b2-8cfd-bed3eff22d43</t>
  </si>
  <si>
    <t>CSSP10481206</t>
  </si>
  <si>
    <t>Decom storage account that are not in used</t>
  </si>
  <si>
    <t>4e3dda71-64e0-47a0-b520-ea0415748772</t>
  </si>
  <si>
    <t>CSSP10936679</t>
  </si>
  <si>
    <t>Storage account not in used</t>
  </si>
  <si>
    <t>sqlauditsousvoocdslrlc3q - BlobStorage account to be decommision because not in use</t>
  </si>
  <si>
    <t>Approved.</t>
  </si>
  <si>
    <t>Decommission storage account sqlauditsousvoocdslrlc3q</t>
  </si>
  <si>
    <t>REQ000007828065</t>
  </si>
  <si>
    <t>2ea4f262-8abb-4125-a0ca-85fa740ccdac</t>
  </si>
  <si>
    <t>CSSP10136110</t>
  </si>
  <si>
    <t>mirfan.mazuki@petronas.com</t>
  </si>
  <si>
    <t>ACFIN Website</t>
  </si>
  <si>
    <t>ACFIN Website for PETRONAS Advisor Office</t>
  </si>
  <si>
    <t>DCOM202601206d4</t>
  </si>
  <si>
    <t>amirshazlan.mshah@petronas.com.my</t>
  </si>
  <si>
    <t>www.acfin.com.my, www.acfin.my</t>
  </si>
  <si>
    <t>User request</t>
  </si>
  <si>
    <t>amirshazlan.mshah@petronas.com</t>
  </si>
  <si>
    <t>Full decommission 03284</t>
  </si>
  <si>
    <t>A-000004</t>
  </si>
  <si>
    <t>REQ000007837744</t>
  </si>
  <si>
    <t>4cb5421c-76ee-4918-91f4-9015721e68f2</t>
  </si>
  <si>
    <t>CSSP10956620</t>
  </si>
  <si>
    <t>need to take backup of all servers listed in the attachment.</t>
  </si>
  <si>
    <t>Proceed to decom as discussed.</t>
  </si>
  <si>
    <t>Full Decommission (10071) listed on-premise VM. Keep backup for 12 months</t>
  </si>
  <si>
    <t>REQ000007847422</t>
  </si>
  <si>
    <t>a6c49856-9f68-47d2-b48a-632ad105b938</t>
  </si>
  <si>
    <t>CSSP10693653</t>
  </si>
  <si>
    <t>nurulirdawaty.mnabi@petronas.com</t>
  </si>
  <si>
    <t>Visual Inspection Corrosion Interface - VINCI</t>
  </si>
  <si>
    <t>Enhancement Of Visual Inspection Corrosion Interface (VINCI) System For Operation Excellence (OE), PCSB</t>
  </si>
  <si>
    <t>halim.matnoh@petronas.com.my</t>
  </si>
  <si>
    <t>Full Decommission for PTAZSG-DEV-VINCI-RG (PSR0609) and PTAZSG-UAT-VINCI-RG(PSR0609). Please refer to previous decommission as reference.</t>
  </si>
  <si>
    <t>Yes, please proceed to decomm all.</t>
  </si>
  <si>
    <t>Decommission both RG, PTAZSG-DEV-VINCI-RG (PSR0609) and PTAZSG-UAT-VINCI-RG(PSR0609)</t>
  </si>
  <si>
    <t>A-000846</t>
  </si>
  <si>
    <t>PSR06029</t>
  </si>
  <si>
    <t>REQ000007834437</t>
  </si>
  <si>
    <t>a11e5124-0a1e-4c64-b612-5bb136c7bd95</t>
  </si>
  <si>
    <t>CSSP10361019</t>
  </si>
  <si>
    <t>keanseng.lim@petronas.com</t>
  </si>
  <si>
    <t>PIVOT Enterprise Knowledge Advisor Cerebro</t>
  </si>
  <si>
    <t>OSR00154: Support and Maintenance for PIVOT Program for Group Digital – Enterprise Knowledge Advisor for Cerebro</t>
  </si>
  <si>
    <t>lim.hoongkeng@petronas.com</t>
  </si>
  <si>
    <t>Both EKIH &amp; CEREBRO has been decommisioned. The identified resources is obsolted and not in used.
This has been confirmed by Business Product Owner.</t>
  </si>
  <si>
    <t>Uploaded the approval email and reselected all resources to be decommissioned</t>
  </si>
  <si>
    <t>Reapproving as requested.</t>
  </si>
  <si>
    <t>Proceed to decommission listed resources</t>
  </si>
  <si>
    <t>A-000609</t>
  </si>
  <si>
    <t>OSR00154_10</t>
  </si>
  <si>
    <t>REQ000007928247</t>
  </si>
  <si>
    <t>77f1a609-e277-4a20-8446-fa2cd0b7234e</t>
  </si>
  <si>
    <t>CSSP10644672</t>
  </si>
  <si>
    <t>Decomm only for resources related to:
1. PTSG-1URTDAP02
2. ptsg-1urtdsvrdb01
3. ptsg1urtd2func01strg
4.ptazsg-devurtd2-apim
5.sqlauditsousvoocdslrlc3q</t>
  </si>
  <si>
    <t>fcd598c0-a60b-40ad-96c2-6de6f09d5bc9</t>
  </si>
  <si>
    <t>CSSP10177449</t>
  </si>
  <si>
    <t>anissyafiqah.matzail@petronas.com</t>
  </si>
  <si>
    <t>Winglue</t>
  </si>
  <si>
    <t>OCI MIGRATION - WINGLUE</t>
  </si>
  <si>
    <t>User confirmed that Winglue's application are no longer in used. Refer to the attachment for the focal confirmation.</t>
  </si>
  <si>
    <t>Proceed to decommission resources in the list.</t>
  </si>
  <si>
    <t>A-000860</t>
  </si>
  <si>
    <t>OCI-00037</t>
  </si>
  <si>
    <t>REQ000007906393</t>
  </si>
  <si>
    <t>9a805d0b-bb21-480b-b88d-10371246b4e8</t>
  </si>
  <si>
    <t>CSSP10521638</t>
  </si>
  <si>
    <t>IDAMS / WINCAIRS PMA</t>
  </si>
  <si>
    <t>OCI MIGRATION - IDAMS (PMA)</t>
  </si>
  <si>
    <t>Contract has expired on 31/05/2025, and user confirmed that they are no longer in used. Refer to the attachment for PMA focal confirmation.</t>
  </si>
  <si>
    <t>A-000371</t>
  </si>
  <si>
    <t>OCI-00019</t>
  </si>
  <si>
    <t>f94988b0-1141-4fc1-8762-18add88c3e9d</t>
  </si>
  <si>
    <t>CSSP10603924</t>
  </si>
  <si>
    <t>IDAMS / WINCAIRS SKO</t>
  </si>
  <si>
    <t>OCI MIGRATION - IDAMS (SKO)</t>
  </si>
  <si>
    <t>Contract has expired on 31/05/2025, and user confirmed that they are no longer in used. Refer to the attachment for SKO focal confirmation.</t>
  </si>
  <si>
    <t>Decommission ptawsg-1skodb01</t>
  </si>
  <si>
    <t>A-000373</t>
  </si>
  <si>
    <t>OCI-00024</t>
  </si>
  <si>
    <t>REQ000007842863</t>
  </si>
  <si>
    <t>a58e5bb6-2b1f-4c45-9438-7b4ec6f1fe9c</t>
  </si>
  <si>
    <t>CSSP10705796</t>
  </si>
  <si>
    <t>IDAMS / WINCAIRS SBO</t>
  </si>
  <si>
    <t>OCI MIGRATION - IDAMS (SBO)</t>
  </si>
  <si>
    <t>Contract has expired on 31/05/2025, and user confirmed that they are no longer in used. Refer to the attachment for SBO focal confirmation.</t>
  </si>
  <si>
    <t>Decommission ptawsg-1sbodb01</t>
  </si>
  <si>
    <t>A-000372</t>
  </si>
  <si>
    <t>OCI-00023</t>
  </si>
  <si>
    <t>REQ000007842867</t>
  </si>
  <si>
    <t>b8581bb4-3858-4233-b3ac-6f559264b410</t>
  </si>
  <si>
    <t>CSSP10334029</t>
  </si>
  <si>
    <t>Decommission ptawsg-1pmadb01</t>
  </si>
  <si>
    <t>REQ000007842787</t>
  </si>
  <si>
    <t>7acb7bd0-bec5-46cf-a488-6c0e833afa26</t>
  </si>
  <si>
    <t>CSSP10303191</t>
  </si>
  <si>
    <t>APIM not in used</t>
  </si>
  <si>
    <t>API Management not in used.</t>
  </si>
  <si>
    <t>APIM not in used anymore.</t>
  </si>
  <si>
    <t>Decommission ptazsg-devurtd2-apim only</t>
  </si>
  <si>
    <t>decomm complete</t>
  </si>
  <si>
    <t>REQ000007846354</t>
  </si>
  <si>
    <t>4bb4f4d7-db29-42d7-911e-33bbeff5c3cc</t>
  </si>
  <si>
    <t>CSSP10810813</t>
  </si>
  <si>
    <t>abdullahnaqib.hassa@petronas.com</t>
  </si>
  <si>
    <t>SAP 30 ECC6</t>
  </si>
  <si>
    <t>ERP Transformation - Central Finance Implementation – Global Design (Remark : PETRONAS CFIN Source System Box MC1)(Y30)</t>
  </si>
  <si>
    <t>rizuanatan@petronas.com</t>
  </si>
  <si>
    <t>sapy30scs.petronas.com,peteccmc1.petronas.com</t>
  </si>
  <si>
    <t>No longer required. Project went live</t>
  </si>
  <si>
    <t>Please decom all resource under PTAZSG-UAT-SAP-CFIN-QAS-Y30-RG</t>
  </si>
  <si>
    <t>No longer required by project team.</t>
  </si>
  <si>
    <t>Decommission all resources and delete RG PTAZSG-UAT-SAP-CFIN-QAS-Y30-RG</t>
  </si>
  <si>
    <t>A-000714</t>
  </si>
  <si>
    <t>01405_13</t>
  </si>
  <si>
    <t>REQ000007842778</t>
  </si>
  <si>
    <t>16cec1dd-b569-468b-9d9f-b4bf5d5e1465</t>
  </si>
  <si>
    <t>CSSP10900691</t>
  </si>
  <si>
    <t>SAP 68 Central Finance - CFIN</t>
  </si>
  <si>
    <t>ERP Transformation - Central Finance Implementation – Global Design (Remark : PETRONAS CFIN - MC1 - CFIN)(X68)</t>
  </si>
  <si>
    <t>No longer required, migrated to SAP RISE</t>
  </si>
  <si>
    <t>Delete all in PTAZSG-UAT-SAP-CFIN-X68-RG resource group</t>
  </si>
  <si>
    <t>X68 SID no longer use.</t>
  </si>
  <si>
    <t>Decommission all resources and delete RG PTAZSG-UAT-SAP-CFIN-X68-RG</t>
  </si>
  <si>
    <t>A-000731</t>
  </si>
  <si>
    <t>01803_19</t>
  </si>
  <si>
    <t>REQ000007842862</t>
  </si>
  <si>
    <t>4768ac08-8ace-4aa5-9cf6-c8e017043438</t>
  </si>
  <si>
    <t>CSSP10853444</t>
  </si>
  <si>
    <t>joharizam.mahmood@petronas.com</t>
  </si>
  <si>
    <t>PETRONAS Unified Search and Personal Assistant - PUSPA for REAL</t>
  </si>
  <si>
    <t>PETRONAS Unified Search and Personal Assistant (PUSPA) EPIC 1 and EPIC 2 Development</t>
  </si>
  <si>
    <t>khairuldin.zubai@petronas.com.my</t>
  </si>
  <si>
    <t>Request to delete the resource group ptazsg-dev-pdb-rg, as it is no longer required by PUSPA+ REAL Dashboard on post‑decommissioning of PUSPA in Sept 2024</t>
  </si>
  <si>
    <t>Confirmation to delete all related resources under RG: ptazsg-dev-pdb-rg, as it is no longer required by PUSPA+ REAL Dashboard on post‑decommissioning of PUSPA</t>
  </si>
  <si>
    <t>khairuldin.zubai@petronas.com</t>
  </si>
  <si>
    <t>Confirmed with PUSPA Product Manager Joharizam that the RG is not used by PUSPA and REAL Dashboard</t>
  </si>
  <si>
    <t>A-001245</t>
  </si>
  <si>
    <t>REQ000007881185</t>
  </si>
  <si>
    <t>b6b412df-de85-45dd-81f0-30040e4604b4</t>
  </si>
  <si>
    <t>CSSP10790999</t>
  </si>
  <si>
    <t>izham.ajmaan@petronas.com</t>
  </si>
  <si>
    <t>VMware vCenter PRPC RTOT</t>
  </si>
  <si>
    <t>VMware vCenter PRPC RTOT created for PRIVATECLOUD project record</t>
  </si>
  <si>
    <t>ci</t>
  </si>
  <si>
    <t>raihan_ahmad@petronas.com</t>
  </si>
  <si>
    <t>OPZ-2-MAC
vms-0291101
vms-0291102
OPZ-7-MAC
vms-0791101
vms-0791102</t>
  </si>
  <si>
    <t>vms-0291101 | 172.19.100.151	 
vms-0291102 | 172.19.100.153
vms-0791101 | 172.24.100.151
vms-0791102 | 172.24.100.153</t>
  </si>
  <si>
    <t>Approved since there is no utilizing  on the VM and for optimizing the cost.</t>
  </si>
  <si>
    <t>On-premise VM</t>
  </si>
  <si>
    <t>P-000049</t>
  </si>
  <si>
    <t>10188_11</t>
  </si>
  <si>
    <t>REQ000007846201</t>
  </si>
  <si>
    <t>6a73b2fb-bd5b-4932-94ab-131925f5df5b</t>
  </si>
  <si>
    <t>CSSP10214238</t>
  </si>
  <si>
    <t>ramzan.mujib@petronas.com</t>
  </si>
  <si>
    <t>Plant Incident Reporting System - PIRS PCMTBE</t>
  </si>
  <si>
    <t>Cloud Migration Programme - Plant Incident Report</t>
  </si>
  <si>
    <t>amelia_yeow@petronas.com.my</t>
  </si>
  <si>
    <t>PIR app. in black swan 2025 list and approved for decom by management after migrate to APM PLA</t>
  </si>
  <si>
    <t>6M</t>
  </si>
  <si>
    <t>Proceed as per approval PC MTBE  Black Swan 2025</t>
  </si>
  <si>
    <t>amelia_yeow@petronas.com</t>
  </si>
  <si>
    <t>Necessary steps have been completed prior to decom</t>
  </si>
  <si>
    <t>Proceed to full decommission. Delete resources and RG, PTAZSG-IAC-DEV-PIR-PC-MTBE-RG &amp; PTAZSG-IAC-PROD-PIR-PC-MTBE-RG</t>
  </si>
  <si>
    <t>Completed with the listed resources. To check the activity of the DB in SQLMI with the same project code, if not in use decide if those will be decommissioned too or not.</t>
  </si>
  <si>
    <t>A-000600</t>
  </si>
  <si>
    <t>02421_124</t>
  </si>
  <si>
    <t>REQ000007937995</t>
  </si>
  <si>
    <t>77524547-9556-4680-8e15-ff261708c2a8</t>
  </si>
  <si>
    <t>CSSP10289737</t>
  </si>
  <si>
    <t>sengchin.leong@petronas.com</t>
  </si>
  <si>
    <t>Cyber Security Mandiant Security Validation - MSV BFDC</t>
  </si>
  <si>
    <t>Cyber Security Mandiant Security Validation - MSV BFDC created for PRIVATECLOUD project record</t>
  </si>
  <si>
    <t>mshafri.hatta@petronas.com</t>
  </si>
  <si>
    <t>One of the module (172.25.8.83) has been unsubscribed due to cost optimization.
the VM no longer in use</t>
  </si>
  <si>
    <t>decommission for MSV (Mandiant Security Validation) - Protected Theatre module - 172.25.8.83
The module has been unsubscribed and VM no longer in used</t>
  </si>
  <si>
    <t>A-000170</t>
  </si>
  <si>
    <t>b00ce160-a1aa-4225-b953-1a9e8b334600</t>
  </si>
  <si>
    <t>CSSP10385911</t>
  </si>
  <si>
    <t>RISER</t>
  </si>
  <si>
    <t>DCOM2026012946c</t>
  </si>
  <si>
    <t>sarkunan.tigarajan@petronas.com.my</t>
  </si>
  <si>
    <t>Decommissioning for RISER</t>
  </si>
  <si>
    <t>1.	Staging (Non-Production): PTAW-IAC-NonPROD-AIP-Environment-01
2.	Production: PTAW-IAC-PROD-AIP-Environment-01</t>
  </si>
  <si>
    <t>sarkunan.tigarajan@petronas.com</t>
  </si>
  <si>
    <t>Decommission 03457</t>
  </si>
  <si>
    <t>A-000690</t>
  </si>
  <si>
    <t>REQ000007850113</t>
  </si>
  <si>
    <t>fffd0b9b-2361-49c7-ad9e-ff9f5e9d733a</t>
  </si>
  <si>
    <t>CSSP10696569</t>
  </si>
  <si>
    <t>mfuad.ahmadrafee@petronas.com</t>
  </si>
  <si>
    <t>M365 Teams Message Broadcast</t>
  </si>
  <si>
    <t>MS Teams Message Broadcast (POC Environment) for Group Risk Demonstration</t>
  </si>
  <si>
    <t>The RG is not in used</t>
  </si>
  <si>
    <t>These resources were identified during the DPIA remediation process. After further review, we found that they were originally requested during the previous M365 project for POC purposes and are no longer in use.</t>
  </si>
  <si>
    <t>proceed</t>
  </si>
  <si>
    <t>Decommission all resources and RG PTAZSG-DEV-ENS-POC-RG</t>
  </si>
  <si>
    <t>A-000450</t>
  </si>
  <si>
    <t>PC-00012</t>
  </si>
  <si>
    <t>REQ000007859287</t>
  </si>
  <si>
    <t>2f24b3bc-d655-44dc-8935-32ed396c7554</t>
  </si>
  <si>
    <t>CSSP10342452</t>
  </si>
  <si>
    <t>President Townhall</t>
  </si>
  <si>
    <t>Subscription for Azure Media Services for President Townhall</t>
  </si>
  <si>
    <t>Decommission all resources and both RG, PTAZSG-DEV-PRESTH-RG &amp; PTAZSG-PROD-PRESTH-RG</t>
  </si>
  <si>
    <t>Resource decommission complete</t>
  </si>
  <si>
    <t>C-000036</t>
  </si>
  <si>
    <t>PC-00003</t>
  </si>
  <si>
    <t>REQ000007859727</t>
  </si>
  <si>
    <t>0eb38b0d-c959-4e8d-a296-62530cad6454</t>
  </si>
  <si>
    <t>CSSP10522577</t>
  </si>
  <si>
    <t>aqeelah.rashidi@petronas.com</t>
  </si>
  <si>
    <t>ATG TotaLizer Automation System - ATLAS</t>
  </si>
  <si>
    <t>Cloud Migration Program - ATLAS - ATG Tota(L)izer Automation System</t>
  </si>
  <si>
    <t>DCOM20250912867</t>
  </si>
  <si>
    <t>The application is no longer use by end user. End users agree to decommissioning all related VM and physical server related with application. Below is the list for related physical server that yet to decommission.
1.	cenppdbpiap01- 10.13.4.56
2.	sbappdbpiap01- 10.45.224.56
3.	Easppdbpiap01- 10.18.96.56
4.	skappdbpiap01- 10.43.64.56</t>
  </si>
  <si>
    <t>physical server related</t>
  </si>
  <si>
    <t>To decom ATLAS physical server</t>
  </si>
  <si>
    <t>Decommission 4 physical server.
1. cenppdbpiap01- 10.13.4.56 2. sbappdbpiap01- 10.45.224.56 3. Easppdbpiap01- 10.18.96.56 4. skappdbpiap01- 10.43.64.56</t>
  </si>
  <si>
    <t>A-000080</t>
  </si>
  <si>
    <t>02421_135</t>
  </si>
  <si>
    <t>REQ000007846361</t>
  </si>
  <si>
    <t>11dd9fd0-3e28-4ca5-a850-18be9ce90734</t>
  </si>
  <si>
    <t>CSSP10577735</t>
  </si>
  <si>
    <t>M365</t>
  </si>
  <si>
    <t>Microsoft 365 (M365) Deployment for PETRONAS Groupwide.</t>
  </si>
  <si>
    <t>Decommission all resources and both RG PTAZSG-CORE-RMS-RG &amp; PTAZSG-PROD-CMG04-RG</t>
  </si>
  <si>
    <t>A-000440</t>
  </si>
  <si>
    <t>REQ000007859928</t>
  </si>
  <si>
    <t>43f520a7-aecc-4f2b-8665-a17b83e9a4df</t>
  </si>
  <si>
    <t>CSSP10999243</t>
  </si>
  <si>
    <t>PETRONAS Pipeline Engineering Solution - P-PIES</t>
  </si>
  <si>
    <t>Development of Phase 2 PETRONAS Pipeline Engineering Solution (P-PiES) System for GTS</t>
  </si>
  <si>
    <t>VM replaced with other VM</t>
  </si>
  <si>
    <t>ptsg-4piesap01,ptsg-4piesap01_disk1_db1501356f2c4d7b8b9932f92b31f1fe</t>
  </si>
  <si>
    <t>As requested.</t>
  </si>
  <si>
    <t>Decommission ptsg-4piesap01</t>
  </si>
  <si>
    <t>A-000640</t>
  </si>
  <si>
    <t>REQ000007848216</t>
  </si>
  <si>
    <t>b60c3fa6-59c1-4e01-a90b-402d28a4a538</t>
  </si>
  <si>
    <t>CSSP10175519</t>
  </si>
  <si>
    <t>aziah.azahari@petronas.com</t>
  </si>
  <si>
    <t>Authorization For Expenditure Management System - AFEMS PCSB</t>
  </si>
  <si>
    <t>Cloud Migration Program - Authorization For Expenditure Management System (AFEMS) 4.0</t>
  </si>
  <si>
    <t>rafedah.mdtap@petronas.com.my</t>
  </si>
  <si>
    <t>afems-pccmo.petronas.com</t>
  </si>
  <si>
    <t>DNS still exist and tagged to UAT RG ptazscus-uat-afems-rg which not included in earlier full decommission request. Previous AFEMS PCCMO decommission CSSP No is CSSP10132527.</t>
  </si>
  <si>
    <t>To decommission selected resource</t>
  </si>
  <si>
    <t>rafedah.mdtap@petronas.com</t>
  </si>
  <si>
    <t>Approved as discussed</t>
  </si>
  <si>
    <t>Decommission ptazscus-uat-afems-rg and DNS afems-pccmo.petronas.com</t>
  </si>
  <si>
    <t>A-000028</t>
  </si>
  <si>
    <t>00915_65</t>
  </si>
  <si>
    <t>REQ000007848196</t>
  </si>
  <si>
    <t>a7a986de-fcbe-4f4e-9eff-254a29772caf</t>
  </si>
  <si>
    <t>CSSP10454461</t>
  </si>
  <si>
    <t>zuwina.masaat@petronas.com</t>
  </si>
  <si>
    <t>wadiah.rusli@petronas.com</t>
  </si>
  <si>
    <t>No backup required. This request to remove CMDB Record for CI Name - ALE Suite and retain CI Name - Asset Ageing Life Extension System (ALES) 2.0</t>
  </si>
  <si>
    <t>No resource to be removed.</t>
  </si>
  <si>
    <t>Please remove ALE Suite</t>
  </si>
  <si>
    <t>saniza.ismail@petronas.com</t>
  </si>
  <si>
    <t>To update CI record in CMDB</t>
  </si>
  <si>
    <t>Update CI  ALE Suite to Status Disposed in CMDB</t>
  </si>
  <si>
    <t>A-000041</t>
  </si>
  <si>
    <t>REQ000007849045</t>
  </si>
  <si>
    <t>3986ddb3-b49e-409a-9e59-64dd4affe2a1</t>
  </si>
  <si>
    <t>CSSP10783990</t>
  </si>
  <si>
    <t>diana.ali@petronas.com</t>
  </si>
  <si>
    <t>Enterprise Application Integration - EAI WebMethod</t>
  </si>
  <si>
    <t>EAI WebMethod Integration Platform Cloud Migration and Upgrade</t>
  </si>
  <si>
    <t>mahzan.musa@petronas.com</t>
  </si>
  <si>
    <t>myeai.petronas.com, myeaiext.petronas.com</t>
  </si>
  <si>
    <t>Migrated to MuleSoft</t>
  </si>
  <si>
    <t>Upgrade</t>
  </si>
  <si>
    <t>A-000253</t>
  </si>
  <si>
    <t>d778a5ce-abff-4322-ad68-1474fea0794d</t>
  </si>
  <si>
    <t>CSSP10238871</t>
  </si>
  <si>
    <t>The WebMethods integration has been migrated to MuleSoft. We will proceed with an application decommission for now. A full decommission request will be submitted later in February once the stabilization period ends.</t>
  </si>
  <si>
    <t>Approve decommissioning as EAI webMethods replaced with MuleSoft. Migration completed Jan-2026.</t>
  </si>
  <si>
    <t>To change Webmethod EAI to Disposed in CMDB.</t>
  </si>
  <si>
    <t>Change Webmethod EAI CI Status to Disposed in CMDB
1. WebMethods EAI (onCloud 10.7 External)
2. WebMethods EAI (onCloud 10.7 Internal)</t>
  </si>
  <si>
    <t>REQ000007870614</t>
  </si>
  <si>
    <t>553c9672-36e8-48ac-8730-da383cbf82ca</t>
  </si>
  <si>
    <t>CSSP10654103</t>
  </si>
  <si>
    <t>izmir.marzuki@petronas.com</t>
  </si>
  <si>
    <t>GoAnywhere MFT</t>
  </si>
  <si>
    <t>Provision of Hosting Infrastructure-as-a-Service (IaaS) for GoAnywhere MFT for PETRONAS Group</t>
  </si>
  <si>
    <t>saiful.zahari@petronas.com</t>
  </si>
  <si>
    <t>1) ptazsg1mftgofilestrggrs is not in used. 2) ptazsg5mftgofilestrglrs is not in used. 3) ptazsg5mftgostrglrs is not in used.</t>
  </si>
  <si>
    <t>Ensure that all related and non interdependent resources are also deleted eg snapshots and backup (if any)</t>
  </si>
  <si>
    <t>A-000342</t>
  </si>
  <si>
    <t>REQ000007850888</t>
  </si>
  <si>
    <t>75aa387d-efbb-4f36-b7e7-29d01ccacb86</t>
  </si>
  <si>
    <t>CSSP10892983</t>
  </si>
  <si>
    <t>mfaizal.salleh@petronas.com</t>
  </si>
  <si>
    <t>Malaysian Financial Reporting Standards - MFRS</t>
  </si>
  <si>
    <t>Implementation Malaysian Financial Reporting Standards (MFRS) Statutory Reporting (MFRS16) for PETRONAS Group of Companies</t>
  </si>
  <si>
    <t>Not in used - 
Resource not found 
ptsg4mfrsblobstrg
ptazsguatmfrsrgdiag
ptsg4mfrsfunc01strg
ptsg1mfrsblobstrg</t>
  </si>
  <si>
    <t>approval</t>
  </si>
  <si>
    <t>A-000461</t>
  </si>
  <si>
    <t>REQ000007851251</t>
  </si>
  <si>
    <t>34877244-ad85-4856-bd47-9fbef95c822d</t>
  </si>
  <si>
    <t>CSSP10245126</t>
  </si>
  <si>
    <t>hari.amirchow@petronas.com</t>
  </si>
  <si>
    <t>SAP 40 BPC</t>
  </si>
  <si>
    <t>Migration and Optimization of SAP P40 to BPC 10.1 using HANA Database for Group Financial Control (GFC)</t>
  </si>
  <si>
    <t>Issue with DB corruption. DB had to be restored in new server</t>
  </si>
  <si>
    <t>Old VM that has been replaced with new VM due to restore issue</t>
  </si>
  <si>
    <t>Due to a database corruption issue, the server was moved to a new VM. The old VM is no longer being used.</t>
  </si>
  <si>
    <t>Proceed to decommission listed VM.</t>
  </si>
  <si>
    <t>A-000723</t>
  </si>
  <si>
    <t>PSR05474</t>
  </si>
  <si>
    <t>REQ000007865007</t>
  </si>
  <si>
    <t>dbdae2f3-d153-4f86-aed1-be13cc473370</t>
  </si>
  <si>
    <t>CSSP10431985</t>
  </si>
  <si>
    <t>azad.johari@petronas.com</t>
  </si>
  <si>
    <t>Talent Analytics - TA</t>
  </si>
  <si>
    <t>VM for Talent Analytics POC</t>
  </si>
  <si>
    <t>PTSG-1TLDap01, PTSG-5TLDap01 not in used.</t>
  </si>
  <si>
    <t>no resource found. these 2 servers to be decomm PTSG-1TLDap01, PTSG-5TLDap01. both in AWS.</t>
  </si>
  <si>
    <t>Server PTSG-1TLDap01, PTSG-5TLDap01 not found, might has been decommissioned.</t>
  </si>
  <si>
    <t>A-000801</t>
  </si>
  <si>
    <t>8836aca8-9ff7-4684-975e-5433333a7be1</t>
  </si>
  <si>
    <t>CSSP10348510</t>
  </si>
  <si>
    <t>marziah.mahmod@petronas.com</t>
  </si>
  <si>
    <t>DCOM20260204e88</t>
  </si>
  <si>
    <t>PTAWSG-1PIGDA01;10.102.21.191, PTAWSG-1PIGDA02;10.102.22.28</t>
  </si>
  <si>
    <t>Server consolidation as part of cost optimization for EPH.</t>
  </si>
  <si>
    <t>PTAWSG-1PIGDA01;10.102.21.191, PTAWSG-1PIGDA02;10.102.22.28 in AWS, PTAW-IAC-PROD-PEnT-Environment-01</t>
  </si>
  <si>
    <t>A-000568</t>
  </si>
  <si>
    <t>02421_71</t>
  </si>
  <si>
    <t>REQ000007889231</t>
  </si>
  <si>
    <t>a210e434-a6eb-4702-8acc-5a76408edc4b</t>
  </si>
  <si>
    <t>CSSP10650004</t>
  </si>
  <si>
    <t>syahadah.salleh@petronas.com</t>
  </si>
  <si>
    <t>SharePoint - SPO ShareGate Desktop</t>
  </si>
  <si>
    <t>Cloud Migration Program - Sharepoint ShareGate Desktop Migration</t>
  </si>
  <si>
    <t>na</t>
  </si>
  <si>
    <t>COC enforcement.</t>
  </si>
  <si>
    <t>Storage account not in use, 0 usage for past years.</t>
  </si>
  <si>
    <t>Decommission selected storage account, ptsg1spsgstrg</t>
  </si>
  <si>
    <t>A-000787</t>
  </si>
  <si>
    <t>00915_32</t>
  </si>
  <si>
    <t>REQ000007894393</t>
  </si>
  <si>
    <t>f191af8a-ec87-42d5-8835-d7dd954ffe0d</t>
  </si>
  <si>
    <t>CSSP10132385</t>
  </si>
  <si>
    <t>Lab Information Management System - LIMS PDB</t>
  </si>
  <si>
    <t>OCI MIGRATION - LIMS PDB</t>
  </si>
  <si>
    <t>sazali.mokhtar@petronas.com.my</t>
  </si>
  <si>
    <t>Cloud Repatriation - To decommission old resources in Singapore region due to completed migration in MY region.</t>
  </si>
  <si>
    <t>Decommission as per listed resources</t>
  </si>
  <si>
    <t>A-000426</t>
  </si>
  <si>
    <t>00915_209</t>
  </si>
  <si>
    <t>REQ000007859789</t>
  </si>
  <si>
    <t>8e017d90-1def-41d9-8d66-b921ead6c49f</t>
  </si>
  <si>
    <t>CSSP10359052</t>
  </si>
  <si>
    <t>OCI MIGRATION - Integrated Lab Information System (PDB)</t>
  </si>
  <si>
    <t>OCI-00021</t>
  </si>
  <si>
    <t>fe35be98-9b56-46d7-8e50-a9decc18c354</t>
  </si>
  <si>
    <t>CSSP10117120</t>
  </si>
  <si>
    <t>INCOTDA</t>
  </si>
  <si>
    <t>Provision of INCOTDA DevSecOps Programme Continuation for DFE</t>
  </si>
  <si>
    <t>Cloud Repatriation – Decommissioning legacy resources in the Singapore region following the completion of migration to the MY region.</t>
  </si>
  <si>
    <t>Proceed to decommission as listed resources in SG</t>
  </si>
  <si>
    <t>A-001220</t>
  </si>
  <si>
    <t>REQ000007859919</t>
  </si>
  <si>
    <t>f3175e11-9594-4bb3-924e-6372942fda80</t>
  </si>
  <si>
    <t>CSSP10845786</t>
  </si>
  <si>
    <t>ivanlim.choonkit@petronas.com</t>
  </si>
  <si>
    <t>Upstream Mobile Application</t>
  </si>
  <si>
    <t>Provision of Hosting Services for UP Mobile for Upstream Digital, PCSB</t>
  </si>
  <si>
    <t>https://up.petronas.com</t>
  </si>
  <si>
    <t>PSR03811</t>
  </si>
  <si>
    <t>DPIA activity to decomm unused resources</t>
  </si>
  <si>
    <t>Reviewed and approved</t>
  </si>
  <si>
    <t>To cancelled</t>
  </si>
  <si>
    <t>A-000823</t>
  </si>
  <si>
    <t>PSR05960</t>
  </si>
  <si>
    <t>5c1c127f-8997-41a6-97f4-d365211cc1ea</t>
  </si>
  <si>
    <t>CSSP10957330</t>
  </si>
  <si>
    <t>003UD1-001</t>
  </si>
  <si>
    <t>[DPIA] - To decomm resources that are unused</t>
  </si>
  <si>
    <t>72939741-a7d4-497b-b140-3cc5701f0c81</t>
  </si>
  <si>
    <t>CSSP10249306</t>
  </si>
  <si>
    <t>Provision of Production Environment (Microsoft Azure Cloud Services) Hosting for Upstream Mobile Application for Operational Excellence (OE), PCSB - PCSB Integrated Operations (IO) Up-Mobile Infrastructure (Mobile App) - Production</t>
  </si>
  <si>
    <t>[DPIA] - Decomm resources that is not in used</t>
  </si>
  <si>
    <t>[DPIA] Upstream Mobile Application - To decomm unused resources</t>
  </si>
  <si>
    <t>Decommission selected resources</t>
  </si>
  <si>
    <t>PSR04596</t>
  </si>
  <si>
    <t>REQ000007865931</t>
  </si>
  <si>
    <t>da65f520-e4d4-4105-99d5-f281e22b9290</t>
  </si>
  <si>
    <t>CSSP10921166</t>
  </si>
  <si>
    <t>siddiq.faiz@petronas.com</t>
  </si>
  <si>
    <t>GPU Technical Centre (GTC) and Barrier Management Tools</t>
  </si>
  <si>
    <t>syaiful_hendra@petronas.com</t>
  </si>
  <si>
    <t>To decommission ONLY the following server, as it is no longer in use:
Server Function: System 1 Fleet Server
Hostname: CENPGTCSFLAP01
S/N: 8G6WB33
IP Address: 10.14.21.59</t>
  </si>
  <si>
    <t>agreed to decomm  1 server out of 3 server. System 1 Evo still functional as normal with remaining 2 server.</t>
  </si>
  <si>
    <t>Proceed to decommission physical server in KVDC.</t>
  </si>
  <si>
    <t>A-001321</t>
  </si>
  <si>
    <t>PSR1014</t>
  </si>
  <si>
    <t>REQ000007866855</t>
  </si>
  <si>
    <t>f3a70e1e-5ccf-44c1-84c2-5513331284a8</t>
  </si>
  <si>
    <t>CSSP10827404</t>
  </si>
  <si>
    <t>mzurfaiezzuddin.zur@petronas.com</t>
  </si>
  <si>
    <t>Wells DROID</t>
  </si>
  <si>
    <t>Cloud Migration - Wells Droid 2.0</t>
  </si>
  <si>
    <t>Reviewed and approved from 40,000 feet above the sea. All the best!</t>
  </si>
  <si>
    <t>Repat - Decommission as listed</t>
  </si>
  <si>
    <t>A-000859</t>
  </si>
  <si>
    <t>00915_133</t>
  </si>
  <si>
    <t>REQ000007870571</t>
  </si>
  <si>
    <t>693955db-9694-4d71-86ee-fc7e801a69fc</t>
  </si>
  <si>
    <t>CSSP10431237</t>
  </si>
  <si>
    <t>Quality Practitioner Registration Scheme - QPRS</t>
  </si>
  <si>
    <t>[PMOF] Development of Quality Practitioner Registration Scheme (QPRS) for GPD</t>
  </si>
  <si>
    <t>Special approval from 40,000 ft above the sea.</t>
  </si>
  <si>
    <t>A-000632</t>
  </si>
  <si>
    <t>REQ000007870658</t>
  </si>
  <si>
    <t>fa8b8055-6eae-4c8b-acc0-4c51be888c92</t>
  </si>
  <si>
    <t>CSSP10192804</t>
  </si>
  <si>
    <t>Daily Staff Self Check-In</t>
  </si>
  <si>
    <t>Implementation of Daily Staff Self Check-in Function for PD&amp;T</t>
  </si>
  <si>
    <t>RGs ptazsg-prod-sscf-rg and ptazsg-dev-sscf-rg is no longer use.</t>
  </si>
  <si>
    <t>All the resources under RGs ptazsg-prod-sscf-rg and ptazsg-dev-sscf-rg are no longer in use.</t>
  </si>
  <si>
    <t>Proceed the mentioned RG</t>
  </si>
  <si>
    <t>A-000791</t>
  </si>
  <si>
    <t>REQ000007881184</t>
  </si>
  <si>
    <t>1e270ca8-36b1-40e1-8e64-cd57b362f487</t>
  </si>
  <si>
    <t>CSSP10232771</t>
  </si>
  <si>
    <t>Request to delete the resource under RG ptazsg-dev-pdb-rg, as it is no longer required by PUSPA+ REAL Dashboard on post‑decommissioning of PUSPA in Sept 2024</t>
  </si>
  <si>
    <t>All the resources under RG ptazsg-dev-pdb-rg, are no longer required</t>
  </si>
  <si>
    <t>This request is a duplicate of REQ000007881185/CSSP10853444 for decommissioning resources under resource group ptazsg-dev-pdb-rg.</t>
  </si>
  <si>
    <t>REQ000007881744</t>
  </si>
  <si>
    <t>0f17e0cb-5535-4b0c-89d0-fb5eea0677e2</t>
  </si>
  <si>
    <t>CSSP10454800</t>
  </si>
  <si>
    <t>sulaiman.tawil@petronas.com</t>
  </si>
  <si>
    <t>Facial Recognition - FR</t>
  </si>
  <si>
    <t>Implementation of Facial Recognition (FR) for PETRONAS LNG Complex for Group Security, GHSSE</t>
  </si>
  <si>
    <t>DCOM20260210ef0</t>
  </si>
  <si>
    <t>sulaiman.tawil@petronas.com.my</t>
  </si>
  <si>
    <t>DPIA and Server not in used as confirmed by Fazreel (GS)</t>
  </si>
  <si>
    <t>Please proceed.</t>
  </si>
  <si>
    <t>To change the resource to be decommissioned</t>
  </si>
  <si>
    <t>A-000325</t>
  </si>
  <si>
    <t>ba5c1654-d2df-44fe-b524-7bc1f0f471ca</t>
  </si>
  <si>
    <t>CSSP10652416</t>
  </si>
  <si>
    <t>REAL Implementation of Facial Recognition Centralize Cloud Server for PETRONAS</t>
  </si>
  <si>
    <t>DCOM2026021063c</t>
  </si>
  <si>
    <t>DPIA and Server not in used as confirmed by Fazreel (GS).</t>
  </si>
  <si>
    <t>To change the resource to be decommissioned.</t>
  </si>
  <si>
    <t>307e04f0-f6f5-4c92-bd50-5dedff02ddd3</t>
  </si>
  <si>
    <t>CSSP10352771</t>
  </si>
  <si>
    <t>anisaufa.mohamadafif@petronas.com</t>
  </si>
  <si>
    <t>Enterprise Data Hub - EDH</t>
  </si>
  <si>
    <t>PETRONAS Enterprise Data Hub</t>
  </si>
  <si>
    <t>sahrilnizam.ismail@petronas.com</t>
  </si>
  <si>
    <t>To decommission EDH DQ Servers as the resources have been successfully replicated to Talend Common. EDH Team Leads have also approved to decommission (refer attached email).</t>
  </si>
  <si>
    <t>Submitting for servers tagged to 'AZ-EDH'.</t>
  </si>
  <si>
    <t>Reviewed.</t>
  </si>
  <si>
    <t>Decommission VM ptsg-5edhapp03 &amp; ptsg-5edhapp02</t>
  </si>
  <si>
    <t>same request with CSSP10360167</t>
  </si>
  <si>
    <t>A-000262</t>
  </si>
  <si>
    <t>AZ-EDH</t>
  </si>
  <si>
    <t>REQ000007870651</t>
  </si>
  <si>
    <t>126fc6de-ea9c-46a0-9c7e-c29dfb3febc8</t>
  </si>
  <si>
    <t>CSSP10985343</t>
  </si>
  <si>
    <t>CRAFT</t>
  </si>
  <si>
    <t>Dear Decomm team, please have a review the attachment</t>
  </si>
  <si>
    <t>Reviewed and approved from 40,000 feet above the sea.
All the best!</t>
  </si>
  <si>
    <t>A-000147</t>
  </si>
  <si>
    <t>REQ000007870656</t>
  </si>
  <si>
    <t>7f3f188d-bb52-4b76-8bed-fdedd6cb18c1</t>
  </si>
  <si>
    <t>CSSP10360167</t>
  </si>
  <si>
    <t>Submitting for servers tagged to '01116'.</t>
  </si>
  <si>
    <t>Decommission VM ptsg-1edhtjs03</t>
  </si>
  <si>
    <t>REQ000007870564</t>
  </si>
  <si>
    <t>08c5365a-16b3-41fc-bfe3-7daffa28ac1a</t>
  </si>
  <si>
    <t>CSSP10566358</t>
  </si>
  <si>
    <t>krishnamurthy.s@petronas.com</t>
  </si>
  <si>
    <t>Raphael R4 - Development of Analytics on GasLNG Products Forecast</t>
  </si>
  <si>
    <t>Project Raphael R4 - Analytics on Gas/LNG Products Forecast</t>
  </si>
  <si>
    <t>gopabandhu.patr@petronas.com.my</t>
  </si>
  <si>
    <t>Request to decom the attached resources that no longer used in ArBiTra  Project / Modules.</t>
  </si>
  <si>
    <t>Request to decom the attached partial resources that no longer used in ArBiTra Project / Modules.</t>
  </si>
  <si>
    <t>gopabandhu.patr@petronas.com</t>
  </si>
  <si>
    <t>A-000700</t>
  </si>
  <si>
    <t>42cc3a15-3492-48d1-a862-b7d6e7d993c9</t>
  </si>
  <si>
    <t>CSSP10445227</t>
  </si>
  <si>
    <t>Request to decom the attached resources that no longer used in ArBiTra Project / Modules.</t>
  </si>
  <si>
    <t>41e0c03f-1a30-4945-a168-216e63abeaef</t>
  </si>
  <si>
    <t>CSSP10401822</t>
  </si>
  <si>
    <t>nurainnasiha.ibrahi@petronas.com</t>
  </si>
  <si>
    <t>Drillbench and Engineering Desktop - EDT</t>
  </si>
  <si>
    <t>Cloud Migration- Drillbench &amp;EDM (EDT)</t>
  </si>
  <si>
    <t>dsa</t>
  </si>
  <si>
    <t>sdsa</t>
  </si>
  <si>
    <t>sdd</t>
  </si>
  <si>
    <t>saas</t>
  </si>
  <si>
    <t>A-000270</t>
  </si>
  <si>
    <t>02421_30</t>
  </si>
  <si>
    <t>a853efc9-7d4d-4c3f-9cfa-a0ac6fb33d8f</t>
  </si>
  <si>
    <t>CSSP10873376</t>
  </si>
  <si>
    <t>Please decom the resources as attached excel sheet mentioned</t>
  </si>
  <si>
    <t>Please decom the resources mentioned in attachment</t>
  </si>
  <si>
    <t>Proceed to decommission as per listed in attachment</t>
  </si>
  <si>
    <t>REQ000007885481</t>
  </si>
  <si>
    <t>150c05a0-82fb-4c54-95ee-10cfc114a4b9</t>
  </si>
  <si>
    <t>CSSP10248892</t>
  </si>
  <si>
    <t>To cleanup VirtusIP residual in Azure</t>
  </si>
  <si>
    <t>selected resources in viazsg</t>
  </si>
  <si>
    <t>VirtusIP resources cleanup</t>
  </si>
  <si>
    <t>assigned to ismail</t>
  </si>
  <si>
    <t>all completed</t>
  </si>
  <si>
    <t>A-000295</t>
  </si>
  <si>
    <t>REQ000007880365</t>
  </si>
  <si>
    <t>b8f3fb2f-5d9e-4794-a148-753de99b860d</t>
  </si>
  <si>
    <t>CSSP10609067</t>
  </si>
  <si>
    <t>Cyber Security Microsoft Defender</t>
  </si>
  <si>
    <t>OSR00165: Procurement and Infrastructure Deployment for Cyber Defense (Pilot Phase) - Subscription for CyberSec of Microsoft Defender ATP (MDATP)</t>
  </si>
  <si>
    <t>A-000158</t>
  </si>
  <si>
    <t>OSR00165_7</t>
  </si>
  <si>
    <t>91b18b9e-1723-431e-8736-f5ae05ca633d</t>
  </si>
  <si>
    <t>CSSP10597742</t>
  </si>
  <si>
    <t>azani.matjusoh@petronas.com</t>
  </si>
  <si>
    <t>PERFECT</t>
  </si>
  <si>
    <t>[Elec. Monitoring] Enhancements Support and Maintenance of PERFECT for GTS</t>
  </si>
  <si>
    <t>thanaletchumi.s@petronas.com.my</t>
  </si>
  <si>
    <t>Request to decom AWS infrastructure that hosting PERFECT (https://perfect.petronas.com) application. This is due to the app has been migrated to Azure cloud services. 
Please refer to email communication for the details. Do let us know should you have any other further clarification/confirmation regarding the resources.</t>
  </si>
  <si>
    <t>To proceed with decommissioning AWS infrastructures (VM) as below: 
1. PTAWSG-1ESMRT01, 10.77.45.79 - production
2. PTAWSG-4ESMRT01, 10.75.66.167 - staging</t>
  </si>
  <si>
    <t>thanaletchumi.s@petronas.com</t>
  </si>
  <si>
    <t>Proceed to decomm vm and related resources</t>
  </si>
  <si>
    <t>A-000557</t>
  </si>
  <si>
    <t>REQ000007914988</t>
  </si>
  <si>
    <t>b0fdcf20-8802-47e8-a3f0-c1aa2df7ac20</t>
  </si>
  <si>
    <t>CSSP10898265</t>
  </si>
  <si>
    <t>Alpha LNG Tech Refactoring and Modernization (TEV)</t>
  </si>
  <si>
    <t>Not in use (migrated to NLZ)</t>
  </si>
  <si>
    <t>IAM users in 116698182371 (PTAWSG-PROD-ENVIRONMENT-01)
arn:aws:iam::116698182371:user/PTAW_ALNG_DEV_SERVICES
arn:aws:iam::116698182371:user/PTAW_ALNG_PROD_SERVICES
arn:aws:iam::116698182371:user/PTAW_ALNG_UAT_SERVICES
arn:aws:iam::116698182371:user/PTAWSG-ALNG-RDS-MIGRATE-USER
arn:aws:iam::116698182371:user/PTAW_S3_ALPHA_LNG_USER</t>
  </si>
  <si>
    <t>No resources has been found</t>
  </si>
  <si>
    <t>REQ000008009891</t>
  </si>
  <si>
    <t>ae54af02-6e4d-4f49-8346-c35ceb7e8122</t>
  </si>
  <si>
    <t>CSSP10682082</t>
  </si>
  <si>
    <t>Lab Information Management System - LIMS MRCSB</t>
  </si>
  <si>
    <t>OCI MIGRATION - Lab Information Management System (LIMS) for MRCSB</t>
  </si>
  <si>
    <t>Old resources in SG - Applications successfully migrated to MY.</t>
  </si>
  <si>
    <t>A-000424</t>
  </si>
  <si>
    <t>00915_93</t>
  </si>
  <si>
    <t>REQ000007889241</t>
  </si>
  <si>
    <t>f25143e8-a18a-4de4-8dee-a45563e349c8</t>
  </si>
  <si>
    <t>CSSP10223994</t>
  </si>
  <si>
    <t>OCI MIGRATION - Integrated Lab Information System (MRCSB)</t>
  </si>
  <si>
    <t>OCI-00017</t>
  </si>
  <si>
    <t>REQ000007889242</t>
  </si>
  <si>
    <t>9c1f7e42-00f1-4054-8ce3-dbda16277e49</t>
  </si>
  <si>
    <t>CSSP10451863</t>
  </si>
  <si>
    <t>Lab Information Management System - LIMS PRSB</t>
  </si>
  <si>
    <t>OCI MIGRATION - Lab Information Management System (LIMS) for PRSB</t>
  </si>
  <si>
    <t>A-000431</t>
  </si>
  <si>
    <t>00915_92</t>
  </si>
  <si>
    <t>REQ000007889248</t>
  </si>
  <si>
    <t>7be0516f-35a2-4781-9676-c3f3a461fab1</t>
  </si>
  <si>
    <t>CSSP10452749</t>
  </si>
  <si>
    <t>OCI-00020</t>
  </si>
  <si>
    <t>REQ000007889247</t>
  </si>
  <si>
    <t>bc4071a9-0344-4fe0-bd07-c41612075aef</t>
  </si>
  <si>
    <t>CSSP10542876</t>
  </si>
  <si>
    <t>nurainhayati.zahari@petronas.com</t>
  </si>
  <si>
    <t>Regas Management System - RMS</t>
  </si>
  <si>
    <t>Regas Management System (RMS) 2.0 for RGTSU</t>
  </si>
  <si>
    <t>A-000692</t>
  </si>
  <si>
    <t>REQ000007889252</t>
  </si>
  <si>
    <t>adf27da8-9b51-4185-86b1-94c5ae38b69a</t>
  </si>
  <si>
    <t>CSSP10301277</t>
  </si>
  <si>
    <t>haslina.hashim@petronas.com</t>
  </si>
  <si>
    <t>Corrective Action Key to No Accident - iCAKNA</t>
  </si>
  <si>
    <t>OCI MIGRATION - ICAKNA</t>
  </si>
  <si>
    <t>Please proceed as attached</t>
  </si>
  <si>
    <t>A-000364</t>
  </si>
  <si>
    <t>OCI-00005</t>
  </si>
  <si>
    <t>REQ000007889819</t>
  </si>
  <si>
    <t>d8f705b2-6e8f-49f6-8dd8-ae6d5e43e2ed</t>
  </si>
  <si>
    <t>CSSP10953444</t>
  </si>
  <si>
    <t>The Application within these resources/servers already decommission in Dec 2025. We want to proceed with the resources decommission for SP2019 farm.</t>
  </si>
  <si>
    <t>All selected resource was confirmed to decommission since there is no application within the server anymore.</t>
  </si>
  <si>
    <t>REQ000007894394</t>
  </si>
  <si>
    <t>5b80ce02-9b7b-44df-9c5d-6afe46f80060</t>
  </si>
  <si>
    <t>CSSP10460886</t>
  </si>
  <si>
    <t>yuslinda.mustapha@petronas.com</t>
  </si>
  <si>
    <t>Eticketing system</t>
  </si>
  <si>
    <t>Cloud Migration Program - eticketing system</t>
  </si>
  <si>
    <t>faizalakhtar.abdulla@petronas.com.my</t>
  </si>
  <si>
    <t>DPIA Remediation to decomm etsdstrglrs</t>
  </si>
  <si>
    <t>Kindly approve of DPIA remediation to decomm etsdstrglrs</t>
  </si>
  <si>
    <t>faizalakhtar.abdulla@petronas.com</t>
  </si>
  <si>
    <t>The etsdstrglrs is currently inactive and not used by the vendor; hence, it is recommended for decommissioning.</t>
  </si>
  <si>
    <t>Decommission storage account etsdstrglrs</t>
  </si>
  <si>
    <t>A-000310</t>
  </si>
  <si>
    <t>02421_78</t>
  </si>
  <si>
    <t>REQ000007894758</t>
  </si>
  <si>
    <t>63795a02-cc7c-47b3-b79e-12cf67d7e97d</t>
  </si>
  <si>
    <t>CSSP10743566</t>
  </si>
  <si>
    <t>mfaris.abubakar@petronas.com</t>
  </si>
  <si>
    <t>M365 Provisioning Engine - PE</t>
  </si>
  <si>
    <t>M365 - WS7- Connect Workplace: Self Provisioning (Modern Workplace Provisioning Engine)</t>
  </si>
  <si>
    <t>not in used</t>
  </si>
  <si>
    <t>Resource Group not in used:
PTAZSG-DEV-M365-PE-RG
PTAZSG-UAT-M365-PE-RG</t>
  </si>
  <si>
    <t>Completed deleted. except disk 2 below as the VM is not selected to be delete.
ptsg-4peap01_osdisk_1_7e9c81932348432f88ee3363bcdd5c01 
ptsg-5peap01_osdisk_1_b2a8eb8c92eb4948bcd89c471fa7cff8</t>
  </si>
  <si>
    <t>A-000446</t>
  </si>
  <si>
    <t>00916_1</t>
  </si>
  <si>
    <t>REQ000007894396</t>
  </si>
  <si>
    <t>d2475fce-5264-4565-9016-0c2c01261da6</t>
  </si>
  <si>
    <t>CSSP10700193</t>
  </si>
  <si>
    <t>sitizuraidah.mramli@petronas.com</t>
  </si>
  <si>
    <t>Enterprise Service Management - ESM</t>
  </si>
  <si>
    <t>Cloud Migration Program - Enterprise Service Management</t>
  </si>
  <si>
    <t>DCOM202602257c6</t>
  </si>
  <si>
    <t>norazmanz@petronas.com.my</t>
  </si>
  <si>
    <t>agent.picssc.petronas.com, system.picssc.petronas.com, picssc.petronas.com, servicebroker.picssc.petronas.com, report.picssc.petronas.com, login.picssc.petronas.com</t>
  </si>
  <si>
    <t>No longer in used and no backup is required as the required reports have already been extracted and stored in the PRPC repository.</t>
  </si>
  <si>
    <t>All good. Pls proceed to decomm. Thanks</t>
  </si>
  <si>
    <t>norazmanz@petronas.com</t>
  </si>
  <si>
    <t>Proceed as per plan</t>
  </si>
  <si>
    <t>Decommission resources and DNS</t>
  </si>
  <si>
    <t>A-000306</t>
  </si>
  <si>
    <t>02421_92</t>
  </si>
  <si>
    <t>REQ000007919544</t>
  </si>
  <si>
    <t>27dddc97-26cb-464b-aa2e-794ce099e006</t>
  </si>
  <si>
    <t>CSSP10667841</t>
  </si>
  <si>
    <t>maxim.nawangwe@petronas.com</t>
  </si>
  <si>
    <t>bryan.dewitt@petronas.com</t>
  </si>
  <si>
    <t>Moving out of the pilot phase to our first release, we intend to decommision the following:
- Danger Dodgers Incognito Instance
- Danger Dodgers S3 Instance
The old cloudfront was repurposed to point to the new S3 instance, we do not need to decommission that.</t>
  </si>
  <si>
    <t>AWS congnito should also be decommed, but it's not in the list above.</t>
  </si>
  <si>
    <t>Proceed to decomm listed resources and PTAWSG-IAC-PROD-DANGERDODGERS-UserPool (Cognito)</t>
  </si>
  <si>
    <t>A-000192</t>
  </si>
  <si>
    <t>REQ000007906650</t>
  </si>
  <si>
    <t>e8690469-1ca2-4af5-927c-1c4c47bbe31c</t>
  </si>
  <si>
    <t>CSSP10315344</t>
  </si>
  <si>
    <t>mfazreel.mfaridazme@petronas.com</t>
  </si>
  <si>
    <t>nursharul.mnor@petronas.com</t>
  </si>
  <si>
    <t>DPIA</t>
  </si>
  <si>
    <t>e0ec58c4-f7eb-47a1-94f5-708818f71ef4</t>
  </si>
  <si>
    <t>CSSP10620367</t>
  </si>
  <si>
    <t>DCOM20260227572</t>
  </si>
  <si>
    <t>284b73f8-a90b-4f1a-8573-b7fc886dee5d</t>
  </si>
  <si>
    <t>CSSP10126661</t>
  </si>
  <si>
    <t>MyINSIGHTS</t>
  </si>
  <si>
    <t>myINSIGHTS</t>
  </si>
  <si>
    <t>Please proceed. Refer to attached list</t>
  </si>
  <si>
    <t>Old resources in Singapore - Repat completed.</t>
  </si>
  <si>
    <t>Decommission listed resources. Refer to attachment for confirmation.</t>
  </si>
  <si>
    <t>A-000484</t>
  </si>
  <si>
    <t>REQ000007919360</t>
  </si>
  <si>
    <t>0180d9e4-6521-45d6-b7f1-f8849d558667</t>
  </si>
  <si>
    <t>CSSP10562704</t>
  </si>
  <si>
    <t>muhamadhafiz.muham@petronas.com</t>
  </si>
  <si>
    <t>GO Dashboard DevOps 2025</t>
  </si>
  <si>
    <t>go.petronas.com</t>
  </si>
  <si>
    <t>The system is being decommissioned as it is no longer in use and has no current or foreseeable business requirement.</t>
  </si>
  <si>
    <t>To decommission database below
1. Non-prod (407331559142)
Host: ptawsg-5ggodb01.c444fcimx0qx.ap-southeast-1.rds.amazonaws.com
2. Prod (947558275301)
Host: ptawsg-1ggodb01-extendedrds.c9qfkmwd4m57.ap-southeast-1.rds.amazonaws.com</t>
  </si>
  <si>
    <t>Please proceed</t>
  </si>
  <si>
    <t>1. Non-prod (407331559142) Host: ptawsg-5ggodb01.c444fcimx0qx.ap-southeast-1.rds.amazonaws.com 
2. Prod (947558275301) Host: ptawsg-1ggodb01-extendedrds.c9qfkmwd4m57.ap-southeast-1.rds.amazonaws.com</t>
  </si>
  <si>
    <t>A-000335</t>
  </si>
  <si>
    <t>REQ000007924011</t>
  </si>
  <si>
    <t>a413421a-9288-4d70-a675-5a22b7cbf26f</t>
  </si>
  <si>
    <t>CSSP10634478</t>
  </si>
  <si>
    <t>REQ000007919359</t>
  </si>
  <si>
    <t>717f1bd9-2693-4342-be18-97cad6badf9f</t>
  </si>
  <si>
    <t>CSSP10435001</t>
  </si>
  <si>
    <t>PETRONAS Electrical Safety and Operability Review - P-ELSOR</t>
  </si>
  <si>
    <t>P-ELSOR 3.0</t>
  </si>
  <si>
    <t>test</t>
  </si>
  <si>
    <t>A-000556</t>
  </si>
  <si>
    <t>21f7373f-046f-4095-abd1-39eb8fcece47</t>
  </si>
  <si>
    <t>CSSP10290355</t>
  </si>
  <si>
    <t>rosdi.kasim@petronas.com</t>
  </si>
  <si>
    <t>Electronic Permit To Work Plus - ePTW+</t>
  </si>
  <si>
    <t>Implementation of Disaster Recovery for ePTW+</t>
  </si>
  <si>
    <t>Not used.</t>
  </si>
  <si>
    <t>A-000297</t>
  </si>
  <si>
    <t>3e13d1e8-fd25-4022-8c5f-a74f91d0844b</t>
  </si>
  <si>
    <t>CSSP10480747</t>
  </si>
  <si>
    <t>Electronic Permit To Work - ePTW MLNG</t>
  </si>
  <si>
    <t>Application Development Of New Modules and Function for ePTW/ePTW TA Web and ePTW+ Mobile Application For Malaysia LNG Sdn Bhd</t>
  </si>
  <si>
    <t>All these 4 VMs are not being used. The project is dormant and may be decommissioned entirely soon.
PTSG-5ePTWap01 172.25.68.59
PTSG-5ePTWap02 172.25.68.60
PTSG-5ePTWap03
PTSG-5ePTWap04 172.25.68.62</t>
  </si>
  <si>
    <t>A-000296</t>
  </si>
  <si>
    <t>PSR04526</t>
  </si>
  <si>
    <t>REQ000007919354</t>
  </si>
  <si>
    <t>000e790b-1f48-4c25-94ce-4fba6fae8e32</t>
  </si>
  <si>
    <t>CSSP10240447</t>
  </si>
  <si>
    <t>The server is not being used any more</t>
  </si>
  <si>
    <t>Decommissioning of server PTSG-1EDTPFS01</t>
  </si>
  <si>
    <t>As no more utilisation, agreed to decomm</t>
  </si>
  <si>
    <t>REQ000007924646</t>
  </si>
  <si>
    <t>a1c5df6e-b6f1-4c3c-86c3-8a23673e62ac</t>
  </si>
  <si>
    <t>CSSP10932890</t>
  </si>
  <si>
    <t>mkhairulazhar.jamil@petronas.com</t>
  </si>
  <si>
    <t>COMPASS</t>
  </si>
  <si>
    <t>COMPASS Phase 2</t>
  </si>
  <si>
    <t>compass.petronas.com</t>
  </si>
  <si>
    <t>Migrated to new VM.</t>
  </si>
  <si>
    <t>The following resources to be decommissioned as confirmed by COMPASS app team.
1. Development Server 
PTSG-4CMPSap02
172.25.52.199 
2. Staging Server 
PTSG-4CMPSap01
172.25.52.250 
3. Production Server 
PTSG-1CMPSap02 
172.25.192.23 
4. COMPASS Module 2 STAG POSTGRESQL DB [SINGLE] 
Host: ptsg-4compasspgsql02.postgres.database.azure.com 
Port: 5432 
DB: decarb-opt 
5. COMPASS Module 2 PROD POSTGRESQL DB [SINGLE] 
Host: ptazsg-1compass-psql01.postgres.database.azure.com 
Port: 5432 
DB: postgres (default DB) (TODO: to create compass-opt db) 
6. COMPASS Module 2 STAG POSTGRESQL DB [FLEXI]  
Host: ptsg-4compasspgsql-flexi.postgres.database.azure.com 
172.25.56.129 
Port: 5432 
DB: decarb-opt</t>
  </si>
  <si>
    <t>request to set autogrow for db approved</t>
  </si>
  <si>
    <t>The following resources to be decommissioned as confirmed by COMPASS app team. 
1. Development Server PTSG-4CMPSap02 172.25.52.199 
2. Staging Server PTSG-4CMPSap01 172.25.52.250 
3. Production Server PTSG-1CMPSap02 172.25.192.23
4. DB: decarb-opt only in Host: ptsg-4compasspgsql02.postgres.database.azure.com
5. DB: postgres (default DB) only in Host: ptazsg-1compass-psql01.postgres.database.azure.com
6. DB: decarb-opt only in Host: ptsg-4compasspgsql-flexi.postgres.database.azure.com 172.25.56.129</t>
  </si>
  <si>
    <t>The decommission request has been completed, and the status is now updated accordingly. Kindly verify from your end and confirm once reviewed.
The user has requested to place the decommissioning of ptsg-4compasspgsql-flexi on hold, pending deletion.</t>
  </si>
  <si>
    <t>A-000124</t>
  </si>
  <si>
    <t>REQ000008048018</t>
  </si>
  <si>
    <t>0109eed2-8e73-4f32-9fd6-8475681a48b6</t>
  </si>
  <si>
    <t>CSSP10278874</t>
  </si>
  <si>
    <t>DCOM2026030502b</t>
  </si>
  <si>
    <t>myeaiint.petronas.com, myeaiext.petronas.com</t>
  </si>
  <si>
    <t>The WebMethods integration has been migrated to MuleSoft.</t>
  </si>
  <si>
    <t>Full decomission of EAI . EAI WebMethods integration has been fully migrated to MuleSoft.</t>
  </si>
  <si>
    <t>approved as platform has been migrated to MuleSoft</t>
  </si>
  <si>
    <t>REQ000007924010</t>
  </si>
  <si>
    <t>64416d70-6e34-43be-8b8a-77e22bdc39ee</t>
  </si>
  <si>
    <t>CSSP10656783</t>
  </si>
  <si>
    <t>Orion MLNG</t>
  </si>
  <si>
    <t>Full-Fledge Deployment of ORION Engine and Front-End Development</t>
  </si>
  <si>
    <t>Repat - Decommission selected resources</t>
  </si>
  <si>
    <t>A-000530</t>
  </si>
  <si>
    <t>REQ000007948447</t>
  </si>
  <si>
    <t>d73e9b44-6b7a-44f8-9d40-d7e492fd4c8d</t>
  </si>
  <si>
    <t>CSSP10768875</t>
  </si>
  <si>
    <t>SmartSignal</t>
  </si>
  <si>
    <t>CTP Old to New LZ - GE Smart Signal for GTS</t>
  </si>
  <si>
    <t>DCOM2026030982f</t>
  </si>
  <si>
    <t>mmpdsmartsignal.petronas.com</t>
  </si>
  <si>
    <t>no longer in use.</t>
  </si>
  <si>
    <t>Decomm related to smart signal only, exclude data platform resources which was wrongly tagged.</t>
  </si>
  <si>
    <t>Decommission PTAWSG-4SSAP01, PTAWSG-4SSDB01, PTAWSG-4SSWB01 in PTAW-IAC-NonPROD-PEnT-Environment-01</t>
  </si>
  <si>
    <t>A-000781</t>
  </si>
  <si>
    <t>02421_99</t>
  </si>
  <si>
    <t>REQ000007930758</t>
  </si>
  <si>
    <t>5c0f8534-0f8b-416a-b9b1-4638b5157553</t>
  </si>
  <si>
    <t>CSSP10412234</t>
  </si>
  <si>
    <t>cus.ng@petronas.com</t>
  </si>
  <si>
    <t>Static Equipment Analytic Library - SEAL</t>
  </si>
  <si>
    <t>Static Equipment Analytic Library (SEAL) as Upstream Static Equipment Advanced Analytical Tools for Upstream COE</t>
  </si>
  <si>
    <t>ghimyee.tang@petronas.com.my</t>
  </si>
  <si>
    <t>sealmrsstaging.petronas.com:443</t>
  </si>
  <si>
    <t>To fully remove or disable the asset (including Azure App Service and DNS records) for URL – sealmrsstaging.petronas.com:443
This is an old ununsed SEALMRS Staging URL that is no longer needed.
Vulnerability Management reported a Severe SSL/TLS configuration finding for the following URL via BitSight. They have advised to decommission it. 
Issues: TLS 1.0 enabled, TLS 1.1 enabled, SSL certificate name mismatch (Status: BAD, impacting BitSight rating)</t>
  </si>
  <si>
    <t>ghimyee.tang@petronas.com</t>
  </si>
  <si>
    <t>A-000755</t>
  </si>
  <si>
    <t>b3f3a5cb-c8ec-4cf0-8ea1-9857501fffbf</t>
  </si>
  <si>
    <t>CSSP10850861</t>
  </si>
  <si>
    <t>aliuddin.abdrauf@petronas.com</t>
  </si>
  <si>
    <t>eanand.ehambaram@petronas.com</t>
  </si>
  <si>
    <t>droidtesting.petronas.com</t>
  </si>
  <si>
    <t>this url does not bind to any resources</t>
  </si>
  <si>
    <t>947dde13-4595-4559-962a-0ac936a6aa63</t>
  </si>
  <si>
    <t>CSSP10128136</t>
  </si>
  <si>
    <t>amirasufiya.mradz@petronas.com</t>
  </si>
  <si>
    <t>Operations Planning-RGT2 - OPP</t>
  </si>
  <si>
    <t>OCI MIGRATION - OPP RGT2 PRPC</t>
  </si>
  <si>
    <t>DCOM20260318865</t>
  </si>
  <si>
    <t>siowfui.chen@petronas.com.my</t>
  </si>
  <si>
    <t>rgtpopp.petronas.com</t>
  </si>
  <si>
    <t>as per approved memo to decommission Operations Planning-RGT2 (OPP)</t>
  </si>
  <si>
    <t>2 Database Storage in AWS: ptawsg-1plngdb01; ptawsg-5plngdb01</t>
  </si>
  <si>
    <t>siowfui.chen@petronas.com</t>
  </si>
  <si>
    <t>Proceed to decommission selected OCI in PTAW-IAC-NonPROD-DownStream-Environment-01 &amp; PTAW-IAC-PROD-DownStream-Environment-01</t>
  </si>
  <si>
    <t>A-000527</t>
  </si>
  <si>
    <t>OCI-00033</t>
  </si>
  <si>
    <t>REQ000007957430</t>
  </si>
  <si>
    <t>b20df41a-cbc6-40b9-b34e-db14f38d89ec</t>
  </si>
  <si>
    <t>CSSP10778403</t>
  </si>
  <si>
    <t>ArBiTra PTLCL</t>
  </si>
  <si>
    <t>Professional Service, Software License and Infra for ArBiTra to PTLCL 2022-2023</t>
  </si>
  <si>
    <t>Cloud Repatriation - To decommission old resources in Singapore region due to completed migration in MY region. Please refer below attachment. Only the highlighted resources can be decom.</t>
  </si>
  <si>
    <t>Please proceed with the highlighted resources only as per focal agreed</t>
  </si>
  <si>
    <t>Repat - Decommission selected resources.
ptawsg-iac-nonprod-downstream-arbitra-pvtsto-dev-bucket
ptawsg-iac-prod-downstream-arbitra-pvtsto-bucket</t>
  </si>
  <si>
    <t>A-000064</t>
  </si>
  <si>
    <t>REQ000007948823</t>
  </si>
  <si>
    <t>10cb509f-6ff3-46be-9540-2606af854f62</t>
  </si>
  <si>
    <t>CSSP10179535</t>
  </si>
  <si>
    <t>Upstream HSE - UHSE Online</t>
  </si>
  <si>
    <t>Cloud Migration Program - UHSE Online Apps</t>
  </si>
  <si>
    <t>DCOM20260317bc3</t>
  </si>
  <si>
    <t>uhseonline.petronas.com, uhselaunchpad.petronas.com</t>
  </si>
  <si>
    <t>Applications is part of INDY 500 and has been agreed to be decommissioned. Please refer to attachment.
CI Name:
•	Upstream HSE Launchpad 2.0
•	Upstream HSE Online 2.0
•	Upstream HSE Online PCINO</t>
  </si>
  <si>
    <t>Resource has been reviewed. The list is correct and aligned with the resources in Azure Portal</t>
  </si>
  <si>
    <t>Approved as planned</t>
  </si>
  <si>
    <t>Decommission all resources under code 00915_8.
For PROD managed database in PTAZSG-IAC-PROD-SQLMI-CORPORATE-RG with code 00915_8, do backup and share the backup file with requester for their self-keeping.
Remove DNS uhseonline.petronas.com &amp; uhselaunchpad.petronas.com.</t>
  </si>
  <si>
    <t>A-000821</t>
  </si>
  <si>
    <t>00915_8</t>
  </si>
  <si>
    <t>REQ000007970011</t>
  </si>
  <si>
    <t>fcc48c21-b379-4022-9a1b-822a5e281d5e</t>
  </si>
  <si>
    <t>CSSP10552164</t>
  </si>
  <si>
    <t>jeswinkaur@petronas.com</t>
  </si>
  <si>
    <t>UAUC HSSE</t>
  </si>
  <si>
    <t>Implementation of PETRONAS HSSE UAUC Module for GHSSE</t>
  </si>
  <si>
    <t>isman.isni@petronas.com.my</t>
  </si>
  <si>
    <t>The server running Windows 2016 in Azure due for EOSL and confirmation from Bryan that the server is not in used anymore,</t>
  </si>
  <si>
    <t>Agreed to decomm</t>
  </si>
  <si>
    <t>isman.isni@petronas.com</t>
  </si>
  <si>
    <t>As per confirmed by the SA that this is not required anymore</t>
  </si>
  <si>
    <t>Decommission server ptsg-4uaucwb01 (172.25.50.14) only</t>
  </si>
  <si>
    <t>A-000817</t>
  </si>
  <si>
    <t>PSR05623</t>
  </si>
  <si>
    <t>REQ000007948822</t>
  </si>
  <si>
    <t>4b317099-ccce-4b7c-8eb9-6b5bdf86dc44</t>
  </si>
  <si>
    <t>CSSP10825013</t>
  </si>
  <si>
    <t>norhayati.saad@petronas.com</t>
  </si>
  <si>
    <t>Quality Plus</t>
  </si>
  <si>
    <t>Development of Quality+ for GPD</t>
  </si>
  <si>
    <t>only 3 items are selected. S3 and secret manager only. SG Production are using the nonprod resources, confirmed by app support.</t>
  </si>
  <si>
    <t>Proceed as listed resources</t>
  </si>
  <si>
    <t>A-000680</t>
  </si>
  <si>
    <t>REQ000007952704</t>
  </si>
  <si>
    <t>3657bc8b-90d9-4f97-b456-cd5e335caf29</t>
  </si>
  <si>
    <t>CSSP10195466</t>
  </si>
  <si>
    <t>fairuz.aziz@petronas.com</t>
  </si>
  <si>
    <t>.NET Shared Infra</t>
  </si>
  <si>
    <t>Cloud Migration Program - .NET Shared Infra (SWE Dot Net)</t>
  </si>
  <si>
    <t>ahmadkamal.aziz@petronas.com.my</t>
  </si>
  <si>
    <t>These servers are currently powered off, as no applications are running on them.
Below is the list of servers:
PTAWSG-1NETwb01, 10.77.32.157
PTAWSG-1NETwb02, 10.77.104.216
PTAWSG-4NETwb01, 10.75.67.79</t>
  </si>
  <si>
    <t>These servers are not listed under related resources. Please find the VM details as below:
PTAWSG-1NETwb01, 10.77.32.157 
PTAWSG-1NETwb02, 10.77.104.216 
PTAWSG-4NETwb01, 10.75.67.79
Please reach out to me if you require further information.</t>
  </si>
  <si>
    <t>ahmadkamal.aziz@petronas.com</t>
  </si>
  <si>
    <t>Proceed to decommission mentioned EC2.
PTAWSG-1NETwb01, 10.77.32.157 PTAWSG-1NETwb02, 10.77.104.216 in PTAWSG-PROD-ENVIRONMENT-01.
PTAWSG-4NETwb01, 10.75.67.79 in PTAWSG-STG-ENVIRONMENT-01</t>
  </si>
  <si>
    <t>P-000004</t>
  </si>
  <si>
    <t>00915_57</t>
  </si>
  <si>
    <t>REQ000007955262</t>
  </si>
  <si>
    <t>a80120d7-f839-4588-9cfd-278a99b04ec7</t>
  </si>
  <si>
    <t>CSSP10850015</t>
  </si>
  <si>
    <t>norasikin.ahmad@petronas.com</t>
  </si>
  <si>
    <t>MMPD ICON</t>
  </si>
  <si>
    <t>ICON</t>
  </si>
  <si>
    <t>Cloud Repatriation Project to Malaysia region and decommisioning recources in Singapore region.</t>
  </si>
  <si>
    <t>To decomm resources in Singapore</t>
  </si>
  <si>
    <t>Proceed to decomm as listed</t>
  </si>
  <si>
    <t>A-000367</t>
  </si>
  <si>
    <t>REQ000007952703</t>
  </si>
  <si>
    <t>fdd7fdc0-db05-44f0-8c62-ebbf1dacd129</t>
  </si>
  <si>
    <t>CSSP10212993</t>
  </si>
  <si>
    <t>To decommision URL and resources related to sealmrsstaging.petronas.com:443 only. This is an old URL that is currently un-used and need to be decommissioned due to vulnerabilities issues raised by CD Vulnerability Management. 
Currently, we have a new active staging URL (https://sealstaging.petronas.com/) - this is the one currently in-use.</t>
  </si>
  <si>
    <t>14f2fed5-bb6c-491d-b9d3-707953294e1d</t>
  </si>
  <si>
    <t>CSSP10545760</t>
  </si>
  <si>
    <t>azeerahanim.akash@petronas.com</t>
  </si>
  <si>
    <t>P360 DQ Database</t>
  </si>
  <si>
    <t>Enhancement Data Quality Management of PETRONAS360 for DCO</t>
  </si>
  <si>
    <t>DCOM20260331941</t>
  </si>
  <si>
    <t>adi.razali@petronas.com.my</t>
  </si>
  <si>
    <t>dataplus.petronas.com</t>
  </si>
  <si>
    <t>To decommission ALL resources related to DataPlus (remove entire Resource Groups: PTAZSG-PROD-EDH-SSP-RG)</t>
  </si>
  <si>
    <t>To request for full decommissioning of Dataplus resources along with its group in PTAZSG-PROD-EDH-SSP-RG.</t>
  </si>
  <si>
    <t>Decommission all resources in PTAZSG-PROD-EDH-SSP-RG</t>
  </si>
  <si>
    <t>A-001314</t>
  </si>
  <si>
    <t>REQ000007991752</t>
  </si>
  <si>
    <t>6d9182e6-9890-472f-9a1a-04e783bc316e</t>
  </si>
  <si>
    <t>CSSP10733147</t>
  </si>
  <si>
    <t>HSSEMARS</t>
  </si>
  <si>
    <t>MARS 6.0 Enhancement Plan</t>
  </si>
  <si>
    <t>sealmrsstaging.petronas.com:443 is an old unused URL - CD Vulnerability Team has raised a severe SSL findings and advices to decomm this URL and related resources.</t>
  </si>
  <si>
    <t>A-001222</t>
  </si>
  <si>
    <t>d14bafd5-20df-43d4-bfdc-4f7112db271c</t>
  </si>
  <si>
    <t>CSSP10531664</t>
  </si>
  <si>
    <t>Lab Information Management System - LIMS PCGB</t>
  </si>
  <si>
    <t>Cloud Migration - Integrated Laboratory Information Management System (iLIMS) for PCGB Dev</t>
  </si>
  <si>
    <t>Cloud Repatriation - To decommission old resources in SG region due to completed migration in MY region</t>
  </si>
  <si>
    <t>Decommission as listed</t>
  </si>
  <si>
    <t>A-000380</t>
  </si>
  <si>
    <t>00915_211</t>
  </si>
  <si>
    <t>REQ000007970951</t>
  </si>
  <si>
    <t>f5ac3597-ff4e-49a7-b4e5-daacd8e4e8ec</t>
  </si>
  <si>
    <t>CSSP10451318</t>
  </si>
  <si>
    <t>Provisioning of Virtual Machine for LIMS with ELN for STAR+ Project for PCGB</t>
  </si>
  <si>
    <t>SR00080</t>
  </si>
  <si>
    <t>83a75e8a-b7e0-4af5-a68b-c3afd66801a0</t>
  </si>
  <si>
    <t>CSSP10463624</t>
  </si>
  <si>
    <t>OCI MIGRATION - Integrated Laboratory Information Management System (iLIMS) for PCGB Dev</t>
  </si>
  <si>
    <t>REQ000007970313</t>
  </si>
  <si>
    <t>a511ff93-60c4-470c-bc32-1f28d467076e</t>
  </si>
  <si>
    <t>CSSP10772569</t>
  </si>
  <si>
    <t>OCI MIGRATION - Integrated Lab Information System (PCG)</t>
  </si>
  <si>
    <t>OCI-00016</t>
  </si>
  <si>
    <t>REQ000007970945</t>
  </si>
  <si>
    <t>ef0f40a1-a7d0-4522-801f-28a0a17bfda3</t>
  </si>
  <si>
    <t>CSSP10423338</t>
  </si>
  <si>
    <t>PETRONAS Drone Command Centre - P-DCC</t>
  </si>
  <si>
    <t>Drone Centre Cloud Storage for Drone Operations Across OPUs – Contract &amp; Collaboration Works</t>
  </si>
  <si>
    <t>Decommission resources as per attached</t>
  </si>
  <si>
    <t>A-000237</t>
  </si>
  <si>
    <t>REQ000007960488</t>
  </si>
  <si>
    <t>e4e009c7-7206-417d-97c8-945baddc9887</t>
  </si>
  <si>
    <t>CSSP10895487</t>
  </si>
  <si>
    <t>norfarhanael.shukor@petronas.com</t>
  </si>
  <si>
    <t>Product Stewardship - PDST</t>
  </si>
  <si>
    <t>Product Stewardship - PDST created for PRIVATECLOUD project record</t>
  </si>
  <si>
    <t>DCOM20260403c44</t>
  </si>
  <si>
    <t>ps.petronas.com, ps.staging.petronas.com</t>
  </si>
  <si>
    <t>The application is not longer in used due to completion of ICT Carve out for PRefChem activity.</t>
  </si>
  <si>
    <t>Full Decommission of Product Stewardship application for all servers &amp; DNS.</t>
  </si>
  <si>
    <t>Decommission onpremise VM.
VPICPPDSTAP01	    10.54.225.168
VPICPPDSTAP02	10.54.225.169
VPICPPDSTAP03	10.54.225.170
VPICPPDSTDB01	10.54.226.50
VPICSPDSTAP01	    10.54.239.21
VPICSPDSTAP02	10.54.239.22
VPICSPDSTAP03	10.54.239.23
VPICSPDSTDB01	10.54.239.24</t>
  </si>
  <si>
    <t>A-000551</t>
  </si>
  <si>
    <t>REQ000007975334</t>
  </si>
  <si>
    <t>ced601a0-8712-49c0-901c-f622e399085f</t>
  </si>
  <si>
    <t>CSSP10309494</t>
  </si>
  <si>
    <t>darren.leevuiphin@petronas.com</t>
  </si>
  <si>
    <t>Offline Data Management - ODM ABF</t>
  </si>
  <si>
    <t>Cloud Migration Program - Offline Data Management (ODM) ABF</t>
  </si>
  <si>
    <t>omar.norazmi@petronas.com.my</t>
  </si>
  <si>
    <t>EBC has moved from ODM to APM. Contract with ODM Vendor has also ended.</t>
  </si>
  <si>
    <t>Decom ODM as EBC has moved to APM</t>
  </si>
  <si>
    <t>omar.norazmi@petronas.com</t>
  </si>
  <si>
    <t>agreed to decomm application.</t>
  </si>
  <si>
    <t>Decommission all resources under 00915_24 including dbODMSNew-ABF managed database in PTAZSG-IAC-PROD-SQLMI-GNE-RG</t>
  </si>
  <si>
    <t>A-000512</t>
  </si>
  <si>
    <t>00915_24</t>
  </si>
  <si>
    <t>REQ000007974279</t>
  </si>
  <si>
    <t>4b63c679-a423-4c37-8e2a-c971543863f6</t>
  </si>
  <si>
    <t>CSSP10971886</t>
  </si>
  <si>
    <t>Project Management Workbench Plus - PMW+</t>
  </si>
  <si>
    <t>PMW Plus</t>
  </si>
  <si>
    <t>A-000635</t>
  </si>
  <si>
    <t>e25a200b-3586-4f3e-821b-072cefa4a9b0</t>
  </si>
  <si>
    <t>CSSP10112184</t>
  </si>
  <si>
    <t>To decommission 03563 - PMW Plus resources in SG</t>
  </si>
  <si>
    <t>REQ000008094193</t>
  </si>
  <si>
    <t>c43d4db7-baf9-421f-b6ea-895f86cff998</t>
  </si>
  <si>
    <t>CSSP10436840</t>
  </si>
  <si>
    <t>CD Vulnerability team has raised a severe SSL vulnerability on URL sealmrsstaging.petronas.com:443.
Context: This old staging URL is not in-use and should be decommisioned, we are unable to find it in the current SEAL Azure resources.
We would like DNS team's assistance to identify and decommission it.</t>
  </si>
  <si>
    <t>Cyber Security Issue</t>
  </si>
  <si>
    <t>CD Vulnerability team has raised a severe SSL vulnerability on URL sealmrsstaging.petronas.com:443. 
Context: This old staging URL is not in-use and should be decommisioned, we are unable to find it in the current SEAL Azure resources. We would like DNS team's assistance to identify and decommission it.</t>
  </si>
  <si>
    <t>Approve to decommission the unused old URL due to severe SSL vulnerability findings from CD Vulnerability.</t>
  </si>
  <si>
    <t>Decommission DNS sealmrsstaging.petronas.com</t>
  </si>
  <si>
    <t>REQ000007979550</t>
  </si>
  <si>
    <t>3ede6421-8a4f-43ae-b12d-60c561181223</t>
  </si>
  <si>
    <t>CSSP10433701</t>
  </si>
  <si>
    <t>selwyn.limtzeyong@petronas.com</t>
  </si>
  <si>
    <t>NextGEN</t>
  </si>
  <si>
    <t>Deployment of NextGEN Geoscience &amp; Geology Data Discovery Platform for Upstream Exploration</t>
  </si>
  <si>
    <t>DCOM20260408fe6</t>
  </si>
  <si>
    <t>hoongkum.chan@petronas.com</t>
  </si>
  <si>
    <t>seek.petronas.com, seek-stg.petronas.com</t>
  </si>
  <si>
    <t>ePBE(SEEK) and NextGen(EDIS) both share the same Resource Group and cloud infra. Upstream Exploration has decided to decom both applications due to reasons below:-
1) NextGen(EDIS) is no longer in used due to Neo4j component being decommissioned previously. Neo4j contract has expired.
2) ePBE(SEEK) will be succeeded by TriCipta's version of SEEK AI which is still in development.
Please refer to attached email confirmation from Business.</t>
  </si>
  <si>
    <t>To fully decom the applications residing in the Resource Groups below. Both application NextGen (EDIS) and ePBE (SEEK) leverage on the same cloud infra in the same Resource Group. Both applications need to be decom. Please refer to attached email approval from Business.
DEV:
1) PTAZSG-IAC-DEV-NXGEO-RG
2) PTAZSG-DEV-NXGEO-RG
UAT:
1) PTAZSG-IAC-UAT-NXGEO-JAI-RG
2) PTAZSG-UAT-NXGEO-RG
PROD:
1) PTAZSG-IAC-PROD-NXGEO-JAI-RG
2) PTAZSG-PROD-NXGEO-RG</t>
  </si>
  <si>
    <t>Business has informed and agreed to initiate the decomm.</t>
  </si>
  <si>
    <t>Decommission all resources for NXGEO 03674.
DEV:
1) PTAZSG-IAC-DEV-NXGEO-RG
2) PTAZSG-DEV-NXGEO-RG
UAT:
1) PTAZSG-IAC-UAT-NXGEO-JAI-RG
2) PTAZSG-UAT-NXGEO-RG
PROD:
1) PTAZSG-IAC-PROD-NXGEO-JAI-RG
2) PTAZSG-PROD-NXGEO-RG</t>
  </si>
  <si>
    <t>A-000503</t>
  </si>
  <si>
    <t>REQ000007978914</t>
  </si>
  <si>
    <t>cc80b4f4-d46a-45a2-819b-fd967d2344b7</t>
  </si>
  <si>
    <t>CSSP10575380</t>
  </si>
  <si>
    <t>hadrie.hariffadila@petronas.com</t>
  </si>
  <si>
    <t>Model Catalogue - MC</t>
  </si>
  <si>
    <t>Implementation of Upstream Model Integration Solution for Upstream Technology, Digital Innovation</t>
  </si>
  <si>
    <t>norzahilah.matdau@petronas.com.my</t>
  </si>
  <si>
    <t>No longer in use.</t>
  </si>
  <si>
    <t>To decommission ptsg1utdistr02 since it was replaced with ptsg1utdistr03</t>
  </si>
  <si>
    <t>norzahilah.matdau@petronas.com</t>
  </si>
  <si>
    <t>to decom as this server is no longer in use for the MC integration work.</t>
  </si>
  <si>
    <t>Decommission storage ptsg1utdistr02 only</t>
  </si>
  <si>
    <t>A-000456</t>
  </si>
  <si>
    <t>REQ000007978856</t>
  </si>
  <si>
    <t>ce1f2e1c-7f1d-4f47-baef-74f9bcee1af8</t>
  </si>
  <si>
    <t>CSSP10958726</t>
  </si>
  <si>
    <t>nuralia.anuar@petronas.com</t>
  </si>
  <si>
    <t>Data Science Advanced Analytics</t>
  </si>
  <si>
    <t>Provisioning Dedicated Advanced Analytics subscription (Terraform-enabled Azure Cloud Infrastructure) for Data Science Department</t>
  </si>
  <si>
    <t>ng.kokkwan@petronas.com.my</t>
  </si>
  <si>
    <t>We were previously using an outdated Ubuntu OS (18.04). We have since migrated to an updated OS on a new VM, and the old VM is no longer required.</t>
  </si>
  <si>
    <t>Decommissioning PTSG-1GUROBIap01 and all disks attached to it. The new VM replacing this is PTSG-1GUROBIap02. The application connected to the new VM has been running smoothly for a month and it is safe to decommission the old VM</t>
  </si>
  <si>
    <t>ng.kokkwan@petronas.com</t>
  </si>
  <si>
    <t>To decomm unused VM due to migration completed</t>
  </si>
  <si>
    <t>Decommission PTSG-1GUROBIap01 (172.25.164.5) in PTAZSG-IAC-DAA-PROD-GUROBI-RG</t>
  </si>
  <si>
    <t>A-000239</t>
  </si>
  <si>
    <t>REQ000007989983</t>
  </si>
  <si>
    <t>571e976b-f777-456a-8434-dc76bcb18ee5</t>
  </si>
  <si>
    <t>CSSP10746801</t>
  </si>
  <si>
    <t>sahril</t>
  </si>
  <si>
    <t>To decommission virtual machine PTSG-5TLDDQTJS01 due to not in used</t>
  </si>
  <si>
    <t>68908e56-1e6a-4d0c-8d31-3a88953755a2</t>
  </si>
  <si>
    <t>CSSP10657684</t>
  </si>
  <si>
    <t>Enterprise Data Hub - EDH Common Talend</t>
  </si>
  <si>
    <t>Enterprise Data Hub - Common Talend Infrastructure</t>
  </si>
  <si>
    <t>To decommission unused virtual machine in Talend Common - PTSG-5TLDDQTJS01. IP Address - 172.25.68.115</t>
  </si>
  <si>
    <t>Hostname - PTSG-5TLDDQTJS01
IP Address - 172.25.68.115</t>
  </si>
  <si>
    <t>To decommission VM PTSG-5TLDDQTJS01. IP Address - 172.25.68.115</t>
  </si>
  <si>
    <t>A-000266</t>
  </si>
  <si>
    <t>PC-00007</t>
  </si>
  <si>
    <t>REQ000007987625</t>
  </si>
  <si>
    <t>99b92242-175d-42f8-9255-64956b534f0e</t>
  </si>
  <si>
    <t>CSSP10182189</t>
  </si>
  <si>
    <t>Palisade</t>
  </si>
  <si>
    <t>PDU SecOps of Business Excellence (BE) and Development (Dev.) Chapter's for Upstream Digital &amp; Technology</t>
  </si>
  <si>
    <t>A-001224</t>
  </si>
  <si>
    <t>03265_4</t>
  </si>
  <si>
    <t>4703c302-ea21-49ba-96ea-29eba18353ee</t>
  </si>
  <si>
    <t>CSSP10162067</t>
  </si>
  <si>
    <t>nurhasuna_khalid@petronas.com.my</t>
  </si>
  <si>
    <t>nurhasuna_khalid@petronas.com</t>
  </si>
  <si>
    <t>006c8385-cb7a-440c-9acc-72d7365c2078</t>
  </si>
  <si>
    <t>CSSP10861911</t>
  </si>
  <si>
    <t>Talent Engine</t>
  </si>
  <si>
    <t>Cloud Migration - Talent Engine 2.0</t>
  </si>
  <si>
    <t>TBA</t>
  </si>
  <si>
    <t>te2.petronas.com</t>
  </si>
  <si>
    <t>n/a</t>
  </si>
  <si>
    <t>Business agreed to retire the app.</t>
  </si>
  <si>
    <t>approved for decommission</t>
  </si>
  <si>
    <t>resubnmission pending</t>
  </si>
  <si>
    <t>A-000800</t>
  </si>
  <si>
    <t>00915_90</t>
  </si>
  <si>
    <t>aec48937-4d99-43fe-a2ea-a8a903ee9c37</t>
  </si>
  <si>
    <t>CSSP10780664</t>
  </si>
  <si>
    <t>shahrizar.mbasir@petronas.com</t>
  </si>
  <si>
    <t>TO.PRODIGI - Centralised Database and Analytics</t>
  </si>
  <si>
    <t>DevOps services of Centralized Database &amp; Analytics for Turkmenistan Operation</t>
  </si>
  <si>
    <t>to-prodigi-dev.petronas.com</t>
  </si>
  <si>
    <t>Previously, the server infrastructure in Turkmenistan (TO) was prone to frequent crashes and downtime, which disrupted and delayed development activities. Currently, the TO infrastructure is more mature, stable, and operating reliably. As such, there is no longer a need for a cloud environment.</t>
  </si>
  <si>
    <t>A-000812</t>
  </si>
  <si>
    <t>47f9d558-bcb8-4915-9008-2c6452a478ec</t>
  </si>
  <si>
    <t>CSSP10741939</t>
  </si>
  <si>
    <t>Decision Ready Data - DRD NervCentre</t>
  </si>
  <si>
    <t>Implementation of Decision Ready Data (DRD) for NervCentre</t>
  </si>
  <si>
    <t>DCOM2026042005a</t>
  </si>
  <si>
    <t>https://nc.nadi.petronas.com.my, https://dev-nc.nadi.petronas.com.my</t>
  </si>
  <si>
    <t>The application dashboard is no longer actively used and there are no known operational dependencies at this point.</t>
  </si>
  <si>
    <t>Full decommissioning</t>
  </si>
  <si>
    <t>Proceed as per User request.</t>
  </si>
  <si>
    <t>Full decommission resources for 03067 in AWS</t>
  </si>
  <si>
    <t>A-000233</t>
  </si>
  <si>
    <t>REQ000008000240</t>
  </si>
  <si>
    <t>b00688dd-9809-42bb-803d-719017359e8f</t>
  </si>
  <si>
    <t>CSSP10524135</t>
  </si>
  <si>
    <t>67574a18-953c-45b5-972c-6df7e0b0635e</t>
  </si>
  <si>
    <t>CSSP10880692</t>
  </si>
  <si>
    <t>DCOM20260422e59</t>
  </si>
  <si>
    <t>I have reviewed that all related resources name is for development environment that is no longer use</t>
  </si>
  <si>
    <t>Rejecting per offline conversation</t>
  </si>
  <si>
    <t>b4420729-4c8a-4050-aaa2-32ec201e91d2</t>
  </si>
  <si>
    <t>CSSP10621142</t>
  </si>
  <si>
    <t>I have review that all the resource name is not use anymore in development environment</t>
  </si>
  <si>
    <t>As confirmed by project delivery team, TO.PRODIGI is no longer using the mentioned Azure Cloud environment</t>
  </si>
  <si>
    <t>Proceed to decomm all resources in ptazsg-iac-dev-toprodigi-rg</t>
  </si>
  <si>
    <t>REQ000008007380</t>
  </si>
  <si>
    <t>7c314f07-316d-4bf8-beb0-ef8090c0dbd7</t>
  </si>
  <si>
    <t>CSSP10567623</t>
  </si>
  <si>
    <t>PETRONAS Continuous Emission System - PCEMS</t>
  </si>
  <si>
    <t>Cloud Migration - Implementation of Continuous Emission Monitoring System (CEMS) DIS for PC Methanol Sdn Bhd</t>
  </si>
  <si>
    <t>chris.wong@petronas.com.my</t>
  </si>
  <si>
    <t>pcems.petronas.com</t>
  </si>
  <si>
    <t>decomission url only , application is located in shared vm will be stopped</t>
  </si>
  <si>
    <t>resources in shared environment, proceed with url decommission</t>
  </si>
  <si>
    <t>chris.wong@petronas.com</t>
  </si>
  <si>
    <t>Decomm for URL only.</t>
  </si>
  <si>
    <t>Decommission URL pcems.petronas.com only.</t>
  </si>
  <si>
    <t>A-000548</t>
  </si>
  <si>
    <t>00915_171</t>
  </si>
  <si>
    <t>REQ000008012892</t>
  </si>
  <si>
    <t>68388bcc-94f5-4bc2-9c7e-9ce5e0012a72</t>
  </si>
  <si>
    <t>CSSP10305446</t>
  </si>
  <si>
    <t>PTSG-1PALSDwb02 server is no longer in use</t>
  </si>
  <si>
    <t>Decommission PTSG-1PALSDwb02 (172.25.200.77) only</t>
  </si>
  <si>
    <t>REQ000008028631</t>
  </si>
  <si>
    <t>a5eeef8d-028c-4b2d-86e1-1c3e2df327ae</t>
  </si>
  <si>
    <t>CSSP10599920</t>
  </si>
  <si>
    <t>sriram.vengadaramanu@petronas.com</t>
  </si>
  <si>
    <t>Real Time Analytics for Motor - REALM</t>
  </si>
  <si>
    <t>Development of Real Time Analytics for Motor (REALM) for GTS</t>
  </si>
  <si>
    <t>gggg</t>
  </si>
  <si>
    <t>Business has confirmed that the resource is no longer in use</t>
  </si>
  <si>
    <t>A-000685</t>
  </si>
  <si>
    <t>3db74546-5a79-4a6a-9204-e434fadf9b75</t>
  </si>
  <si>
    <t>CSSP10614931</t>
  </si>
  <si>
    <t>Business has confirmed that resource is no longer in use.</t>
  </si>
  <si>
    <t>REALM has 6 resource components that host the REALM OutSystems dashboard that is no longer in use and ready for decommission</t>
  </si>
  <si>
    <t>Approved as per Business decision..</t>
  </si>
  <si>
    <t>Decommission ptawsg-5realdb1 (10.84.101.30) in PTAW-IAC-NonPROD-PEnT-Environment-01</t>
  </si>
  <si>
    <t>REQ000008015778</t>
  </si>
  <si>
    <t>9e935b8b-09b3-4142-b43c-35fd5013c367</t>
  </si>
  <si>
    <t>CSSP10378006</t>
  </si>
  <si>
    <t>DCOM20260428a57</t>
  </si>
  <si>
    <t>App is not in used.</t>
  </si>
  <si>
    <t>All resources are selected based on naming convention.</t>
  </si>
  <si>
    <t>approved for next steps</t>
  </si>
  <si>
    <t>Decommission all resources for 00915_90.
te2.petronas.com
te2-s.petronas.com</t>
  </si>
  <si>
    <t>REQ000008016386</t>
  </si>
  <si>
    <t>6682110a-6b2c-4dac-bf24-23719c1b8422</t>
  </si>
  <si>
    <t>CSSP10763156</t>
  </si>
  <si>
    <t>OE Tracking System PGB</t>
  </si>
  <si>
    <t>CTP Old to New LZ - PGB OE</t>
  </si>
  <si>
    <t>Decommission PGB OE (02421_76) in SG</t>
  </si>
  <si>
    <t>A-000522</t>
  </si>
  <si>
    <t>02421_76</t>
  </si>
  <si>
    <t>REQ000008094202</t>
  </si>
  <si>
    <t>30539520-1427-42da-b0d9-5671843e8790</t>
  </si>
  <si>
    <t>CSSP10348826</t>
  </si>
  <si>
    <t>mizzudin.manuar@petronas.com</t>
  </si>
  <si>
    <t>Predictive Rotating Equipment Analytics - PROTEAN</t>
  </si>
  <si>
    <t>Development of Predictive Analytics for PETRONAS Rotating Equipment Analytics (PROTEAN) for Upstream Center of Excellence</t>
  </si>
  <si>
    <t>Not in use</t>
  </si>
  <si>
    <t>A-000664</t>
  </si>
  <si>
    <t>d5d33c3c-75ee-45e4-b57e-f2914806c146</t>
  </si>
  <si>
    <t>CSSP10793668</t>
  </si>
  <si>
    <t>Enhancement of Predictive Analytics for PETRONAS Rotating Equipment Analytics (PROTEAN) for Upstream Center of Excellence</t>
  </si>
  <si>
    <t>not in use</t>
  </si>
  <si>
    <t>d5a2ca21-eb2d-46ad-b73c-7177841433b9</t>
  </si>
  <si>
    <t>CSSP10368977</t>
  </si>
  <si>
    <t>Cloud Migration Program - PROTEAN (PETRONAS Rotating Equipment Analytics)</t>
  </si>
  <si>
    <t>00915_241</t>
  </si>
  <si>
    <t>69ac51a5-7a83-47e9-a9ed-af205e4b9264</t>
  </si>
  <si>
    <t>CSSP10893834</t>
  </si>
  <si>
    <t>Implementation of PETRONAS Rotating Equipment Analytics (PROTEAN) at MLNG</t>
  </si>
  <si>
    <t>1f18c89d-bf71-4ca3-a743-4b12664d51ad</t>
  </si>
  <si>
    <t>CSSP10815603</t>
  </si>
  <si>
    <t>Integrated Computing and Security - ICS MRCSB</t>
  </si>
  <si>
    <t>OCI MIGRATION - ICSPROD: ACS Time Attendance System, HeadCount System, HSE Training Management System (HTMS), MANTRACKS, Meeting Room Booking System, Occupational Health Management System (OHMS)</t>
  </si>
  <si>
    <t>A-000368</t>
  </si>
  <si>
    <t>AWSOCI_001</t>
  </si>
  <si>
    <t>c39c0832-4a3f-4963-b09a-28839a07de0e</t>
  </si>
  <si>
    <t>CSSP10209084</t>
  </si>
  <si>
    <t>azril.samad@petronas.com</t>
  </si>
  <si>
    <t>Video Analytics - VA</t>
  </si>
  <si>
    <t>Video Analytics Pilot Implementation for PeTT Tower 1</t>
  </si>
  <si>
    <t>DCOM20260506dbf</t>
  </si>
  <si>
    <t>mfauzi.atan@petronas.com.my</t>
  </si>
  <si>
    <t>VA not in used anymore to monitor and analyze personal that enter VIP floor</t>
  </si>
  <si>
    <t>Server need to be decommissioning is a physical server, server info as attached</t>
  </si>
  <si>
    <t>mfauzi.atan@petronas.com</t>
  </si>
  <si>
    <t>Approval has been granted as agreed in the REAL Programme Sub‑PWC meeting. You may proceed with the decommissioning.</t>
  </si>
  <si>
    <t>Proceed to decomm the mentioned physical server</t>
  </si>
  <si>
    <t>A-000829</t>
  </si>
  <si>
    <t>REQ000008047186</t>
  </si>
  <si>
    <t>13faefb1-4529-4555-a487-7171e4af722c</t>
  </si>
  <si>
    <t>CSSP10207194</t>
  </si>
  <si>
    <t>OCI MIGRATION - ACS Time Attendance System, HeadCount System, HSE Training Management System (HTMS), MANTRACKS, Meeting Room Booking System, Occupational Health Management System (OHMS)</t>
  </si>
  <si>
    <t>OCI-00029</t>
  </si>
  <si>
    <t>1d1a1ce9-935e-4b7d-96c8-c70b28b529e2</t>
  </si>
  <si>
    <t>A-000611</t>
  </si>
  <si>
    <t>OSR00154_2</t>
  </si>
  <si>
    <t>REQ000008214221</t>
  </si>
  <si>
    <t>28ed5a8c-6d01-429e-a54b-77975b46c7aa</t>
  </si>
  <si>
    <t>CSSP10179613</t>
  </si>
  <si>
    <t>Refer to attached list</t>
  </si>
  <si>
    <t>REQ000008119650</t>
  </si>
  <si>
    <t>457e2146-e81a-4745-a837-4ff03e8ef757</t>
  </si>
  <si>
    <t>CSSP10587615</t>
  </si>
  <si>
    <t>Refer to attachment and selected resources</t>
  </si>
  <si>
    <t>REQ000008119756</t>
  </si>
  <si>
    <t>485a878f-5174-4515-8b68-b126c8064645</t>
  </si>
  <si>
    <t>CSSP10257750</t>
  </si>
  <si>
    <t>Offshore/Onshore Safety Integrated System - OSIS</t>
  </si>
  <si>
    <t>Development of Offshore/Onshore Safety Integrated System (OSIS) for Upstream HSE</t>
  </si>
  <si>
    <t>Cloud repat. Decommission resources in SG</t>
  </si>
  <si>
    <t>A-000533</t>
  </si>
  <si>
    <t>PSR05669</t>
  </si>
  <si>
    <t>REQ000008111459</t>
  </si>
  <si>
    <t>5534cd2f-21a3-4124-96eb-a1d92b545afc</t>
  </si>
  <si>
    <t>CSSP10599205</t>
  </si>
  <si>
    <t>hidayah.khalid@petronas.com</t>
  </si>
  <si>
    <t>Group Legal Workbench and System Integration - Project IDEAL</t>
  </si>
  <si>
    <t>Enhancement of Group Legal Workbench and System Integration (Project IDEAL) for Group Legal</t>
  </si>
  <si>
    <t>nshahidah.othman@petronas.com</t>
  </si>
  <si>
    <t>lwb</t>
  </si>
  <si>
    <t>A-000438</t>
  </si>
  <si>
    <t>f8ee2757-53c3-49df-a9c3-76a49aacee25</t>
  </si>
  <si>
    <t>CSSP10486009</t>
  </si>
  <si>
    <t>DCOM202605132ca</t>
  </si>
  <si>
    <t>PROTEANxAPA cloud servers used during POC last time and no longer in use</t>
  </si>
  <si>
    <t>Proceed. Server not in use anymore.</t>
  </si>
  <si>
    <t>Decommission all resources with project code 03494</t>
  </si>
  <si>
    <t>REQ000008077075</t>
  </si>
  <si>
    <t>266c5d6c-c9d9-4149-9bd1-419b0d1ee9d7</t>
  </si>
  <si>
    <t>CSSP10167128</t>
  </si>
  <si>
    <t>kanishalakshmi.bakt@petronas.com</t>
  </si>
  <si>
    <t>SiteCore</t>
  </si>
  <si>
    <t>Sitecore License Purchase via CSP Marketplace (Marketplace)</t>
  </si>
  <si>
    <t>DCOM2026051997f</t>
  </si>
  <si>
    <t>The Sitecore license will expire soon by the end of this month on 31st May 2026. Currently, one application, myPIC, is running on this platform.
URL: https://mypic.com.my/</t>
  </si>
  <si>
    <t>Reviewed and verified the provided information. Certain fields are marked as N/A or unavailable as the Sitecore license procurement was handled via CSP Marketplace and not through the standard Procurement/AppCentre process.</t>
  </si>
  <si>
    <t>Proceed with the decommission</t>
  </si>
  <si>
    <t>Decommission PTAZSG-PROD-SiteCore-RG</t>
  </si>
  <si>
    <t>PTAZSG-PROD-SiteCore-XM-Cloud: The subscription couldn't be canceled because the 72-hour refund window has passed and there are pending payments within the current billing term.</t>
  </si>
  <si>
    <t>M-000033</t>
  </si>
  <si>
    <t>PC-00059_MP</t>
  </si>
  <si>
    <t>REQ000008089952</t>
  </si>
  <si>
    <t>ec70558a-8662-4220-9494-0694ed293dfd</t>
  </si>
  <si>
    <t>CSSP10937474</t>
  </si>
  <si>
    <t>luqmanhakim.ismai@petronas.com</t>
  </si>
  <si>
    <t>SAP 36 SRM Enterprise Buyer Professional</t>
  </si>
  <si>
    <t>DR Simulation for SAP Group Application - P36</t>
  </si>
  <si>
    <t>ptsg-1ebpap06DR (172.25.152.22), ptsg-1ebpdb06DR (172.25.152.19), ptsg-1ebpsc06dr (172.25.152.8)</t>
  </si>
  <si>
    <t>These DR servers are no longer in use and should be cleaned up to optimize costs.</t>
  </si>
  <si>
    <t>A-000719</t>
  </si>
  <si>
    <t>PC-00032_3</t>
  </si>
  <si>
    <t>bd0443fb-ed78-4525-87fc-2eba75822ed5</t>
  </si>
  <si>
    <t>CSSP10532596</t>
  </si>
  <si>
    <t>ptsg-1ebpap06DR (172.25.152.22) ptsg-1ebpdb06DR (172.25.152.19) ptsg-1ebpsc06dr (172.25.152.8)</t>
  </si>
  <si>
    <t>Server is no longer use. This is for cost optimization.</t>
  </si>
  <si>
    <t>fc078412-7345-4052-a86b-ae14393c37d2</t>
  </si>
  <si>
    <t>CSSP10900134</t>
  </si>
  <si>
    <t>hasnulauzani.hassan@petronas.com</t>
  </si>
  <si>
    <t>Tender Response Management System - TeRMS</t>
  </si>
  <si>
    <t>Cloud Migration Program - TeRMS: Tender Response Management System 2.0</t>
  </si>
  <si>
    <t>S000004981</t>
  </si>
  <si>
    <t>This application is already decom in quite sometimes. Need to have total decom</t>
  </si>
  <si>
    <t>All good to go</t>
  </si>
  <si>
    <t>Good to go</t>
  </si>
  <si>
    <t>Decommission all Terms RG,
PTAZSG-PROD-TeRMS-RG
PTAZSG-UAT-TeRMS-RG
PTAZSG-DEV-TeRMS-RG</t>
  </si>
  <si>
    <t>A-000807</t>
  </si>
  <si>
    <t>00915_58</t>
  </si>
  <si>
    <t>REQ000008052597</t>
  </si>
  <si>
    <t>e7eb9d5f-95e3-4e28-b1a6-aa56c63bf39e</t>
  </si>
  <si>
    <t>CSSP10402366</t>
  </si>
  <si>
    <t>mhaikal.mzamri@petronas.com</t>
  </si>
  <si>
    <t>S/4HANA Technical Conversion and Migration of SAP Systems P30 and P50</t>
  </si>
  <si>
    <t>DCOM20260513626</t>
  </si>
  <si>
    <t>safura.ibadullah@petronas.com.my</t>
  </si>
  <si>
    <t>System already been migrated to SAP RISE environment</t>
  </si>
  <si>
    <t>safura.ibadullah@petronas.com</t>
  </si>
  <si>
    <t>S/4HANA Technical Conversion and Migration of SAP Systems P30 and P50 completed in RISE.</t>
  </si>
  <si>
    <t>OSR00410</t>
  </si>
  <si>
    <t>REQ000008053120</t>
  </si>
  <si>
    <t>8ec3717a-84dd-4e4f-aafa-71b2887586ca</t>
  </si>
  <si>
    <t>CSSP10577934</t>
  </si>
  <si>
    <t>SAP 50 ECC6</t>
  </si>
  <si>
    <t>DCOM202605132c2</t>
  </si>
  <si>
    <t>S/4HANA Technical Conversion and Migration of SAP Systems P30 and P50 completed in SAP RISE.</t>
  </si>
  <si>
    <t>A-000726</t>
  </si>
  <si>
    <t>OSR00410_1</t>
  </si>
  <si>
    <t>REQ000008053217</t>
  </si>
  <si>
    <t>1000a2e7-295b-44f7-83c0-c2e67e4b671e</t>
  </si>
  <si>
    <t>CSSP10217006</t>
  </si>
  <si>
    <t>SAP 58 FIORI</t>
  </si>
  <si>
    <t>Cloud Migration Program - SAP FIORI Development (SAPID 58 (P58, D58, T58))</t>
  </si>
  <si>
    <t>DCOM2026051313c</t>
  </si>
  <si>
    <t>system is no longer in use</t>
  </si>
  <si>
    <t>System no longer in use</t>
  </si>
  <si>
    <t>Fiori migration to S/4HANA P30 and P50</t>
  </si>
  <si>
    <t>Decommission all resources in RG
PTAZSG-PROD-SAP-FIORI-P58-RG
PTAZSG-UAT-SAP-FIORI-T58-RG
PTAZSG-DEV-SAP-FIORI-D58-RG</t>
  </si>
  <si>
    <t>A-000729</t>
  </si>
  <si>
    <t>00915_37</t>
  </si>
  <si>
    <t>REQ000008052600</t>
  </si>
  <si>
    <t>b120eb33-939d-4490-a910-d455d4670457</t>
  </si>
  <si>
    <t>CSSP10754449</t>
  </si>
  <si>
    <t>Upstream High-Performance Computing - HPC Technology Refresh</t>
  </si>
  <si>
    <t>Implementation of Upstream High-Performance Computing (HPC) Technology Refresh for Upstream</t>
  </si>
  <si>
    <t>DCOM20260514e51</t>
  </si>
  <si>
    <t>Decommission will be done by Cegal team and by batches due to some of the lustre still doing data copy. This request is purposely for record only</t>
  </si>
  <si>
    <t>Appreciate COC team do not delete anything first. Decommissioning will be done by cegal and by batches due to some of the data currently in the midst of copy.</t>
  </si>
  <si>
    <t>Reviewed and Approved. Kindly expedite to avoid further redundant cost to Upstream.</t>
  </si>
  <si>
    <t>For decommission records only</t>
  </si>
  <si>
    <t>just for record</t>
  </si>
  <si>
    <t>A-000357</t>
  </si>
  <si>
    <t>REQ000008077903</t>
  </si>
  <si>
    <t>f9fb3fd1-64f4-4b66-8b40-30927f8cb67b</t>
  </si>
  <si>
    <t>CSSP10309904</t>
  </si>
  <si>
    <t>Digital Fields</t>
  </si>
  <si>
    <t>Subscription of Cloud Services for Proxy Well Model (PWM) and Sand Advisor (SAr) for Scaling Digital Field for Center of Excellence</t>
  </si>
  <si>
    <t>not applicable</t>
  </si>
  <si>
    <t>per business agreement on decommissioning resource related to application</t>
  </si>
  <si>
    <t>A-000206</t>
  </si>
  <si>
    <t>756f5134-f188-4a26-8875-475adfa99b6b</t>
  </si>
  <si>
    <t>CSSP10287067</t>
  </si>
  <si>
    <t>DCOM20260514fd1</t>
  </si>
  <si>
    <t>per business agreement to decomm the unused resources for VFM</t>
  </si>
  <si>
    <t>business focal agreeed to decomm with backup being done.
backup has been completed and can proceed for decommissioning</t>
  </si>
  <si>
    <t>To decommission all resources in PTAZSG-IAC-DAA-PROD-VFM-WPAA-RG and remove DNS records for vfm.petronas.com</t>
  </si>
  <si>
    <t>Completed by Amarja. Together with request CSSP10246852</t>
  </si>
  <si>
    <t>REQ000008138577</t>
  </si>
  <si>
    <t>415056df-5773-498c-967e-4fca6872c6e0</t>
  </si>
  <si>
    <t>CSSP10122979</t>
  </si>
  <si>
    <t>Refer to attachment</t>
  </si>
  <si>
    <t>REQ000008119651</t>
  </si>
  <si>
    <t>fabc8b2c-9e98-4931-8a32-a902fa44e59d</t>
  </si>
  <si>
    <t>CSSP10207809</t>
  </si>
  <si>
    <t>please decomm ptawsg-5icspdb01, PTAWSG-5ICSap01, PTAWSG-1ICSap01 and ptawsg-1icsprodb01. This cssp also related with CSSP10122979</t>
  </si>
  <si>
    <t>REQ000008119652</t>
  </si>
  <si>
    <t>21ebe187-b5a8-468d-aa99-63c14ab854c4</t>
  </si>
  <si>
    <t>CSSP10246852</t>
  </si>
  <si>
    <t>01152_1</t>
  </si>
  <si>
    <t>to decomm 01152_1 as part of decommissioning for VFM WPAA solution</t>
  </si>
  <si>
    <t>to decommission all resources in PTAZSG-IAC-DAA-PROD-SCP-RG and remove DNS records for scp.petronas.com &amp; vps.petronas.com</t>
  </si>
  <si>
    <t>REQ000008138569</t>
  </si>
  <si>
    <t>302bc997-0693-40ef-8a39-f041b82f4eb2</t>
  </si>
  <si>
    <t>CSSP10725106</t>
  </si>
  <si>
    <t>taiyen.fa@petronas.com</t>
  </si>
  <si>
    <t>Alpha Gas</t>
  </si>
  <si>
    <t>Alpha Gas Run and Maintain 2025</t>
  </si>
  <si>
    <t>DCOM2026051933d</t>
  </si>
  <si>
    <t>hazulfadli_hasan@petronas.com.my</t>
  </si>
  <si>
    <t>The product discontinuation is due to limited realised value, low user adoption and an unfavourable cost-benefit outlook for PEGT.</t>
  </si>
  <si>
    <t>Additional AWS resources to decomission:
RDS Snapshots
arn:aws:rds:ap-southeast-1:730737176335:snapshot:final-ptawsg-4alphagasdb01-f0ac1a4e
arn:aws:rds:ap-southeast-1:730737176335:snapshot:final-ptawsg-5alphagasdb01-f27f7141
arn:aws:rds:ap-southeast-1:402513966462:snapshot:final-ptawsg-1alphagasdb01-457cf018
S3 Buckets
ptawsg-iac-nonprod-pdnt-alphagas-dev-bucket
ptawsg-iac-nonprod-pdnt-alphagas-stg-bucket
ptawsg-iac-prod-pdnt-alphagas-bucket
AWS Backup Vault
arn:aws:backup:ap-southeast-1:730737176335:backup-vault:PTAWSG-IAC-NonPROD-DEV-PDnT-ALPHAGAS-VAULT-S3
arn:aws:backup:ap-southeast-1:730737176335:backup-vault:PTAWSG-IAC-NonPROD-STG-PDnT-ALPHAGAS-VAULT-S3
arn:aws:backup:ap-southeast-1:402513966462:backup-vault:PTAWSG-IAC-PROD-PDnT-ALPHAGAS-VAULT-S3</t>
  </si>
  <si>
    <t>hazulfadli_hasan@petronas.com</t>
  </si>
  <si>
    <t>Reviewed and align with PEGT management decision</t>
  </si>
  <si>
    <t>Decommission all resources for AlphaGas (04555) and DNS.
alphagas.petronas.com
dev.alphagas.petronas.com
stg.alphagas.petronas.com</t>
  </si>
  <si>
    <t>A-000042</t>
  </si>
  <si>
    <t>REQ000008066611</t>
  </si>
  <si>
    <t>cad1143c-1c95-448c-b393-be3699fc7ff4</t>
  </si>
  <si>
    <t>CSSP10128428</t>
  </si>
  <si>
    <t>Lab Information Management System - LIMS PGB</t>
  </si>
  <si>
    <t>OCI MIGRATION - LIMS PGB</t>
  </si>
  <si>
    <t>Decommission resources in SG</t>
  </si>
  <si>
    <t>A-000428</t>
  </si>
  <si>
    <t>00915_224</t>
  </si>
  <si>
    <t>REQ000008100447</t>
  </si>
  <si>
    <t>05ee937d-9af7-4e68-a0fc-abf2b24526a4</t>
  </si>
  <si>
    <t>CSSP10777099</t>
  </si>
  <si>
    <t>OCI MIGRATION - Integrated Lab Information System (PGB)</t>
  </si>
  <si>
    <t>OCI-00026</t>
  </si>
  <si>
    <t>REQ000008099890</t>
  </si>
  <si>
    <t>8a2c351c-bd7d-44f7-b6c4-d64ff5cd2a02</t>
  </si>
  <si>
    <t>CSSP10355804</t>
  </si>
  <si>
    <t>Cloud Migration Program - Portal for SRM Enterprise Buyer Professional (SAP36)</t>
  </si>
  <si>
    <t>Test</t>
  </si>
  <si>
    <t>00915_131</t>
  </si>
  <si>
    <t>ad3d6371-3967-402c-a27c-2ee69a0652ca</t>
  </si>
  <si>
    <t>CSSP10562864</t>
  </si>
  <si>
    <t>Zidane LVC</t>
  </si>
  <si>
    <t>Provision of Professional Service, Software License and Infra for Umbrella ArBiTra for PLL 2022-2023</t>
  </si>
  <si>
    <t>Please proceed with the attached lists</t>
  </si>
  <si>
    <t>Decommission 02835 resources in SG</t>
  </si>
  <si>
    <t>A-000063</t>
  </si>
  <si>
    <t>REQ000008078369</t>
  </si>
  <si>
    <t>27921864-7aa8-4168-946a-4d611d246d01</t>
  </si>
  <si>
    <t>CSSP10322010</t>
  </si>
  <si>
    <t>These DR servers [ptsg-1ebpap06DR (172.25.152.22), ptsg-1ebpdb06DR (172.25.152.19), ptsg-1ebpsc06dr (172.25.152.8)] are no longer in use and should be cleaned up to optimize costs.</t>
  </si>
  <si>
    <t>These resources were used for DR simulations. However, they are no longer in use and should be cleaned up to optimize costs.</t>
  </si>
  <si>
    <t>Decommission 
ptsg-1ebpap06DR (172.25.152.22), 
ptsg-1ebpdb06DR (172.25.152.19), 
ptsg-1ebpsc06dr (172.25.152.8)</t>
  </si>
  <si>
    <t>REQ000008060807</t>
  </si>
  <si>
    <t>656e40ce-8f02-4e32-8bb3-f5f9c5e4d40e</t>
  </si>
  <si>
    <t>CSSP10776636</t>
  </si>
  <si>
    <t>Cloud Repatriation - To decommission old resources in Singapore region due to completed migration in MY region. Please refer below attachment. Only the highlighted resources can be decom. For OVC consists variety Project code.</t>
  </si>
  <si>
    <t>da7d2785-40aa-4885-a4a7-d2c1600ec001</t>
  </si>
  <si>
    <t>CSSP10586110</t>
  </si>
  <si>
    <t>Cloud Repatriation - To decommission old resources in Singapore region due to completed migration in MY region. Please refer below attachment. Only the highlighted resources can be decom. This OVC consists multiple project code.</t>
  </si>
  <si>
    <t>Decommission Zidane OVC (02804) resources in SG</t>
  </si>
  <si>
    <t>REQ000008094916</t>
  </si>
  <si>
    <t>f37409d8-c053-4ffd-931c-fa207b5bb522</t>
  </si>
  <si>
    <t>CSSP10474006</t>
  </si>
  <si>
    <t>mohammadarshad.hali@petronas.com</t>
  </si>
  <si>
    <t>DCOM20260519a6d</t>
  </si>
  <si>
    <t>syariman.azlantan@petronas.com.my</t>
  </si>
  <si>
    <t>https://protf.petronas.com/</t>
  </si>
  <si>
    <t>PRefChem Carve Out for ROTF has been completed, and application is no longer use by PRPC/PRefChem</t>
  </si>
  <si>
    <t>Approved by PIC Growth &amp; Sustainability Committee (PGSC), and acknowledge by PRefChem.</t>
  </si>
  <si>
    <t>syariman.azlantan@petronas.com</t>
  </si>
  <si>
    <t>A-000695</t>
  </si>
  <si>
    <t>02421_65</t>
  </si>
  <si>
    <t>e521e0b7-42b0-4af5-860a-9310b5731816</t>
  </si>
  <si>
    <t>CSSP10791971</t>
  </si>
  <si>
    <t>4af683f3-8293-4b43-8847-e0fcb68608a7</t>
  </si>
  <si>
    <t>CSSP10954799</t>
  </si>
  <si>
    <t>Structural Integrity Compliance System - SICS</t>
  </si>
  <si>
    <t>Cloud Migration Program - Structure Information Control System (SICS) - U-IMAGe Operationalization - Structural Integrity Compliance System (SICS) for Floating Structure Integrity Management (FSIM)</t>
  </si>
  <si>
    <t>A-000762</t>
  </si>
  <si>
    <t>00915_5</t>
  </si>
  <si>
    <t>228d385c-9e03-4866-909c-b83ad90066ca</t>
  </si>
  <si>
    <t>CSSP10771542</t>
  </si>
  <si>
    <t>Master Data Management - MDM Tool SAP</t>
  </si>
  <si>
    <t>Setup and Installation of Master Data Management (MDM) Tool for PETRONAS (SAP)</t>
  </si>
  <si>
    <t>The server PTSG-1MDMDB01 is no longer in use and can be decommissioned to optimize and save resources.</t>
  </si>
  <si>
    <t>A-000457</t>
  </si>
  <si>
    <t>PSR05041</t>
  </si>
  <si>
    <t>5b9a9bf2-0125-4ad4-9763-c13616ae75b5</t>
  </si>
  <si>
    <t>CSSP10820059</t>
  </si>
  <si>
    <t>SAP 39 SRM SPS</t>
  </si>
  <si>
    <t>Cloud Migration Program - SAP39</t>
  </si>
  <si>
    <t>A-000722</t>
  </si>
  <si>
    <t>02421_102</t>
  </si>
  <si>
    <t>caa6d113-b915-487a-a062-11846b5787b5</t>
  </si>
  <si>
    <t>CSSP10539408</t>
  </si>
  <si>
    <t>SAP Printer Server</t>
  </si>
  <si>
    <t>Cloud Migration Program - SAP Printer server for other SAP's systems</t>
  </si>
  <si>
    <t>The server PTSG-1SAPPR02 is no longer in use and can be decommissioned to optimize and save resources.</t>
  </si>
  <si>
    <t>Decommission PTSG-1SAPPR02 - 172.25.33.230</t>
  </si>
  <si>
    <t>A-000745</t>
  </si>
  <si>
    <t>00915_52</t>
  </si>
  <si>
    <t>REQ000008060809</t>
  </si>
  <si>
    <t>b5216083-454f-4895-bbdb-a4e52d8440b3</t>
  </si>
  <si>
    <t>CSSP10917429</t>
  </si>
  <si>
    <t>42d7dd99-6ab1-45a8-a6ca-a72840e30686</t>
  </si>
  <si>
    <t>CSSP10386386</t>
  </si>
  <si>
    <t>PTSG-1MDMDB01</t>
  </si>
  <si>
    <t>Decommission PTSG-1MDMDB0 (172.25.40.220)</t>
  </si>
  <si>
    <t>REQ000008060806</t>
  </si>
  <si>
    <t>73e9a880-4869-4846-ae11-56c98bb4152e</t>
  </si>
  <si>
    <t>CSSP10282490</t>
  </si>
  <si>
    <t>Not used</t>
  </si>
  <si>
    <t>7cd96ef1-497b-4547-bc5d-c6fc387d81e1</t>
  </si>
  <si>
    <t>mashraf.habil@petronas.com</t>
  </si>
  <si>
    <t>DCOM20260608525</t>
  </si>
  <si>
    <t>protf.petronas.com, protf.stg.petronas.com</t>
  </si>
  <si>
    <t>All resource listed can be decom</t>
  </si>
  <si>
    <t>Proceed to decom</t>
  </si>
  <si>
    <t>IMS - CLOUD CSSP REVIEWER</t>
  </si>
  <si>
    <t>10764f57-29b3-459a-9ff4-63cdea3aa9f5</t>
  </si>
  <si>
    <t>ramachandran.sankara@petronas.com</t>
  </si>
  <si>
    <t>Hello Team,
Please decomm below mentioned Azure Cloud resource only
Staging Environment (PTAZSG-UAT-ALS-RG)
ptsg4alsfunc01  - Azure functions
ptsg4alsstrg01 - Azure Storage
The Azure functions has not been used as the API hosted in them been migrated to OS APIs
The application is active. So please decommission only mentioned resources alone.
Thanks</t>
  </si>
  <si>
    <t>Only 2 resources in UAT
Azure functions and storage
ptsg4alsstrg01
ptsg4alsfunc01</t>
  </si>
  <si>
    <t>Reviewed &amp; Approved</t>
  </si>
  <si>
    <t>A-000403</t>
  </si>
  <si>
    <t>621be009-9eac-4914-b75b-7e6199940cc4</t>
  </si>
  <si>
    <t>CSSP10682186</t>
  </si>
  <si>
    <t>erenah.hanasi@petronas.com</t>
  </si>
  <si>
    <t>Turnaround Management Solution - PITSTOPS</t>
  </si>
  <si>
    <t>Modernization of Turnaround Management Solution for GTS - PITSTOPS</t>
  </si>
  <si>
    <t>sss</t>
  </si>
  <si>
    <t>ssss</t>
  </si>
  <si>
    <t>A-000603</t>
  </si>
  <si>
    <t>8871d087-ff27-4c09-8a25-4f69bc682da1</t>
  </si>
  <si>
    <t>A-000254</t>
  </si>
  <si>
    <t>PC-00066</t>
  </si>
  <si>
    <t>64ed4481-bce0-4eaa-8a9b-b63d01e4fa1c</t>
  </si>
  <si>
    <t>CSSP10653599</t>
  </si>
  <si>
    <t>MyTimex</t>
  </si>
  <si>
    <t>Development of Enterprise myTimex for Standard Group-wide Application</t>
  </si>
  <si>
    <t>A-000496</t>
  </si>
  <si>
    <t>PSR04772</t>
  </si>
  <si>
    <t>59ce8d48-9246-4b35-9c98-83038a676bf3</t>
  </si>
  <si>
    <t>CSSP10657704</t>
  </si>
  <si>
    <t>Policy Advisory Committee to the Prime Minister - PMAC</t>
  </si>
  <si>
    <t>Policy Advisory Committee to the Prime Minister (PMAC)</t>
  </si>
  <si>
    <t>please decom entire RG PTAZSG-IAC-UAT-PMAC-RG, PTAZSG-IAC-PROD-PMAC-RG</t>
  </si>
  <si>
    <t>Decommission resources in SG (Repat)</t>
  </si>
  <si>
    <t>A-000630</t>
  </si>
  <si>
    <t>REQ000008100449</t>
  </si>
  <si>
    <t>a4387962-83a2-4e0d-b981-8958beb397fb</t>
  </si>
  <si>
    <t>CSSP10555599</t>
  </si>
  <si>
    <t>fatin.ghazali@petronas.com</t>
  </si>
  <si>
    <t>To decommission ArbitraAppMart in PTSG-4BIRADB01 only. Decomm the database only. Do not delete the server.</t>
  </si>
  <si>
    <t>Approved for decom as clean-up on unused resources.</t>
  </si>
  <si>
    <t>Decommission database name ArbitraAppMart in PTSG-4BIRADB01 only</t>
  </si>
  <si>
    <t>REQ000008111308</t>
  </si>
  <si>
    <t>c2c70e60-4100-431a-8cc2-5e6028e5e342</t>
  </si>
  <si>
    <t>CSSP10475107</t>
  </si>
  <si>
    <t>hazdirizal.abdullha@petronas.com</t>
  </si>
  <si>
    <t>M365-Server Relocation: Exchange Hybrid Servers</t>
  </si>
  <si>
    <t>current Exchange server 2016 has already reached end of life support and not in used. the total number of servers of Exchange 2016 to be decom is 4 servers:
Exchange 2016 Hybrid Servers:
PTSG-3EXCHVM1 - 172.25.8.167
PTSG-3EXCHVM2 - 172.25.8.177
Exchange 2016 Edge Servers:
PTSG-1SMTPed01 - 172.25.34.85
PTSG-1SMTPed02 - 172.25.34.86</t>
  </si>
  <si>
    <t>A-000443</t>
  </si>
  <si>
    <t>01931_2</t>
  </si>
  <si>
    <t>81979cb2-adc9-48f1-a887-9af937c30e81</t>
  </si>
  <si>
    <t>CSSP10496253</t>
  </si>
  <si>
    <t>faylynn.chua@petronas.com.my</t>
  </si>
  <si>
    <t>704D905161</t>
  </si>
  <si>
    <t>current Exchange server 2016 has already reached end of life support and not in used. the total number of servers of Exchange 2016 to be decom is 4 servers: 
Exchange 2016 Edge Servers: 
PTSG-1SMTPed01 - 172.25.34.85 PTSG-1SMTPed02 - 172.25.34.86
Exchange 2016 Hybrid Servers: 
PTSG-3EXCHVM1 - 172.25.8.167 PTSG-3EXCHVM2 - 172.25.8.177</t>
  </si>
  <si>
    <t>currently we can select these Exchange 2016 servers from the resource group:
PTSG-3EXCHVM1 - 172.25.8.167 
PTSG-3EXCHVM2 - 172.25.8.177 
however, we are not able to select the following servers from the resources:
PTSG-1SMTPed01 - 172.25.34.85 
PTSG-1SMTPed02 - 172.25.34.86
we submit first as advise by Faiz Mazlan</t>
  </si>
  <si>
    <t>faylynn.chua@petronas.com</t>
  </si>
  <si>
    <t>CSSP Admin, approving for PTSG-3EXCHVM1 - 172.25.8.167 PTSG-3EXCHVM2 - 172.25.8.177. Please take note that PTSG-1SMTPed01 - 172.25.34.85 PTSG-1SMTPed02 - 172.25.34.86 resources are not available for selection to retire.</t>
  </si>
  <si>
    <t>Decommission listed servers, ptsg-3exchvm1 &amp; ptsg-3exchvm2</t>
  </si>
  <si>
    <t>Decommision complete PTSG-3EXCHVM1 - 172.25.8.167 PTSG-3EXCHVM2 - 172.25.8.177</t>
  </si>
  <si>
    <t>REQ000008119769</t>
  </si>
  <si>
    <t>ac067e61-eb21-4e12-aacd-93e9c3ba1cd0</t>
  </si>
  <si>
    <t>CSSP10732316</t>
  </si>
  <si>
    <t>MyExperts</t>
  </si>
  <si>
    <t>MyExperts Infrastructure Refresh for GPD</t>
  </si>
  <si>
    <t>The VM is no longer required.</t>
  </si>
  <si>
    <t>The VM is no longer required.
All related resources, Storage Disk, and Network to be removed.</t>
  </si>
  <si>
    <t>Reveiwed andApproved.</t>
  </si>
  <si>
    <t>Proceed to decommission selected resource, VM ptsg-1myxpwb01</t>
  </si>
  <si>
    <t>A-000478</t>
  </si>
  <si>
    <t>REQ000008118039</t>
  </si>
  <si>
    <t>3dc48720-fbcb-4631-85ac-1527beb87a7e</t>
  </si>
  <si>
    <t>CSSP10505484</t>
  </si>
  <si>
    <t>omarmuzhafar.omarzo@petronas.com</t>
  </si>
  <si>
    <t>myPET is no longer in used since Dec 2025 and poses CS findings. Hence, to decomm the below services:
PROD:
https://qrscan.up.petronas.com
ptazsg-1coeeventwb01.azurewebsites.net
Non-PROD: 
ptazsg-5coeeventwb01.azurewebsites.net
Refer attached email.</t>
  </si>
  <si>
    <t>To decom myPET services under UP application. Other modules under UP should not be decomm. Refer below: 
1. https://qrscan.up.petronas.com 
2. ptazsg-1coeeventwb01.azurewebsites.net
3. ptazsg-5coeeventwb01.azurewebsites.net</t>
  </si>
  <si>
    <t>Decommission App Service, ptazsg-1coeeventwb01 &amp; ptazsg-5coeeventwb01.
Remove DNS record https://qrscan.up.petronas.com</t>
  </si>
  <si>
    <t>App services deleted.</t>
  </si>
  <si>
    <t>REQ000008109030</t>
  </si>
  <si>
    <t>25d7431e-d868-4b1a-a92e-1ea44badde02</t>
  </si>
  <si>
    <t>CSSP10319295</t>
  </si>
  <si>
    <t>Cyber Security Palo Alto Firewall</t>
  </si>
  <si>
    <t>Palo Alto Migration and Implementation in Azure</t>
  </si>
  <si>
    <t>DCOM20260616612</t>
  </si>
  <si>
    <t>No longer in use as system has moved to SAP RISE</t>
  </si>
  <si>
    <t>A-000172</t>
  </si>
  <si>
    <t>AZ-00002</t>
  </si>
  <si>
    <t>66859202-b919-464c-9caa-a81845ec5122</t>
  </si>
  <si>
    <t>CSSP10413624</t>
  </si>
  <si>
    <t>Cloud Migration AWS Infrastructure for Palo Alto (New Landing Zone)</t>
  </si>
  <si>
    <t>System move to SAP RISE</t>
  </si>
  <si>
    <t>00915_121</t>
  </si>
  <si>
    <t>a79a7fa7-d26c-4167-8072-7a40599cb08a</t>
  </si>
  <si>
    <t>CSSP10750255</t>
  </si>
  <si>
    <t>Cyber Security Zscaler Private Access</t>
  </si>
  <si>
    <t>Zscaler Private Access</t>
  </si>
  <si>
    <t>NOTE: This is not PARTIAL Decommission. (only to disable part of component)
The request is just to remove the part of component (Zscaler Decoy) for cost optimization.
Component to remove:
1. Disable for Endpoint Deception Policies and Deception Entitlement
2. AD Decoy
Please find the attached:
1. RFC Workplan
2. Script for decommission (refer to sample: ICT_RFC00161318 )
previous RFC/Ticket:
ICT_RFC00187001
ICT_RFC00188777
ICT_RFC00189334
ICT_RFC00215249
ICT_RFC00215074
ICT_RFC00161318 / ICT_TAS00187969</t>
  </si>
  <si>
    <t>Would like to request for 2 RFC creation:- 
1. The ZScaler Deception Portal is hosted by Zscaler (Policy required to remove - which relevant to Decoy ID)
2. For AD -  clean-up script required to run (clean-up for dependency/decoy ID) - refer to ICT_RFC00161318</t>
  </si>
  <si>
    <t>A-000185</t>
  </si>
  <si>
    <t>e827b067-4d0b-4147-9823-863ec42556f7</t>
  </si>
  <si>
    <t>DCOM20260624b8f</t>
  </si>
  <si>
    <t>eanand.ehambaram@petronas.com.my</t>
  </si>
  <si>
    <t>udg.petronas.com</t>
  </si>
  <si>
    <t>As per requested by Business Owner as it is not in use anymore.</t>
  </si>
  <si>
    <t>Please perform full decommission with backup for all these resources.</t>
  </si>
  <si>
    <t>Approved as no longer in use</t>
  </si>
  <si>
    <t>OKay</t>
  </si>
  <si>
    <t>A-000202</t>
  </si>
  <si>
    <t>REQ000008182426</t>
  </si>
  <si>
    <t>b74088f0-59a0-4835-97ab-319c527f421f</t>
  </si>
  <si>
    <t>Approve</t>
  </si>
  <si>
    <t>A-000423</t>
  </si>
  <si>
    <t>00915_213</t>
  </si>
  <si>
    <t>REQ000008246580</t>
  </si>
  <si>
    <t>f793ad64-49da-4b3a-a031-92524c73ab36</t>
  </si>
  <si>
    <t>REQ000008247056</t>
  </si>
  <si>
    <t>a7ad2705-364e-4cd6-bda4-1781c44dd7a4</t>
  </si>
  <si>
    <t>loud Repatriation - To decommission old resources in Singapore region due to completed migration in MY region</t>
  </si>
  <si>
    <t>OCI-00025</t>
  </si>
  <si>
    <t>a68cdc33-e9cb-4a52-8098-c1b0e3990a57</t>
  </si>
  <si>
    <t>A-000429</t>
  </si>
  <si>
    <t>00915_212</t>
  </si>
  <si>
    <t>REQ000008247057</t>
  </si>
  <si>
    <t>7afc390d-0dff-4d29-92fc-1352f7964163</t>
  </si>
  <si>
    <t>OCI-00018</t>
  </si>
  <si>
    <t>d7365623-dfc1-4d4e-9135-d7c22fd72c18</t>
  </si>
  <si>
    <t>CSSP10120863</t>
  </si>
  <si>
    <t>606b5aae-f441-4b45-b516-7cce8b5e5d00</t>
  </si>
  <si>
    <t>Cloud Repatriation - To decommission old resources in Singapore region due to completed migration in MY region
NOTES: Please Refer mainly to the chosen list of resources and attachment is for reference only.</t>
  </si>
  <si>
    <t>a8f7d9a2-2afc-43f6-8384-425e1d2c02a7</t>
  </si>
  <si>
    <t>CSSP10328587</t>
  </si>
  <si>
    <t>miqbal.mohsin@petronas.com</t>
  </si>
  <si>
    <t>OpAware</t>
  </si>
  <si>
    <t>Cloud Migration Program - OpAware system (Process Scout)</t>
  </si>
  <si>
    <t>jlkjlkjlkjlk</t>
  </si>
  <si>
    <t>jkljk</t>
  </si>
  <si>
    <t>.</t>
  </si>
  <si>
    <t>A-001070</t>
  </si>
  <si>
    <t>02421_56</t>
  </si>
  <si>
    <t>1455d64a-b9fe-448b-9651-6573b74743c1</t>
  </si>
  <si>
    <t>current Exchange server 2016 has already reached end of life support and not in used. the total number of servers of Exchange 2016 to be decom is 2 servers: Exchange 2016 Edge Servers: PTSG-1SMTPed01 - 172.25.34.85 PTSG-1SMTPed02 - 172.25.34.86</t>
  </si>
  <si>
    <t>current Exchange server 2016 has already reached end of life support and not in used. the total number of servers of Exchange 2016 to be decom is 2 servers: Exchange 2016 Edge Servers: PTSG-1SMTPed01 - 172.25.34.85 PTSG-1SMTPed02 - 172.25.34.86.
will proceed to remove exchange application first before the decommisioning.</t>
  </si>
  <si>
    <t>Approved as per plan.</t>
  </si>
  <si>
    <t>REQ000008238796</t>
  </si>
  <si>
    <t>b91e95dd-bfe7-4354-bb7d-f98033d0b308</t>
  </si>
  <si>
    <t>CSSP10127063</t>
  </si>
  <si>
    <t>amarsyafiq.azma@petronas.com</t>
  </si>
  <si>
    <t>chewjian.shin@petronas.com</t>
  </si>
  <si>
    <t>No longer using</t>
  </si>
  <si>
    <t>A-000285</t>
  </si>
  <si>
    <t>PC-00002</t>
  </si>
  <si>
    <t>32001a43-a497-4015-9108-afda626bc56d</t>
  </si>
  <si>
    <t>Resource no longer in used. To be decommissioned.</t>
  </si>
  <si>
    <t>Approved for Decommisioning</t>
  </si>
  <si>
    <t>MySuiteApps</t>
  </si>
  <si>
    <t>REQ000008194637</t>
  </si>
  <si>
    <t>df6c78e2-cbc8-40fb-85a1-384398936453</t>
  </si>
  <si>
    <t>CSSP10991525</t>
  </si>
  <si>
    <t>Development of GNE EVP Dashboard (GO Dashboard 2.0)</t>
  </si>
  <si>
    <t>Cloud Repatriation – Decommission old resources in SG region due to completed migration in MY region</t>
  </si>
  <si>
    <t>b9bef78c-c399-46d9-bf73-b16bdc7151d2</t>
  </si>
  <si>
    <t>CSSP10854464</t>
  </si>
  <si>
    <t>GO Dashboard Improvement (Common Features)</t>
  </si>
  <si>
    <t>43e89e21-82d9-4fa3-988c-325065c64dd7</t>
  </si>
  <si>
    <t>CSSP10151472</t>
  </si>
  <si>
    <t>fded97f7-898a-49e1-b549-5d5a1090c5bc</t>
  </si>
  <si>
    <t>CSSP10900385</t>
  </si>
  <si>
    <t>02421_27</t>
  </si>
  <si>
    <t>0d47a219-a16b-4002-836f-e37ea76e0949</t>
  </si>
  <si>
    <t>CSSP10928550</t>
  </si>
  <si>
    <t>eaba3816-241f-4731-a077-79c99978bbed</t>
  </si>
  <si>
    <t>CSSP10870364</t>
  </si>
  <si>
    <t>bc000242-6c65-4d29-81ca-ece799b93a85</t>
  </si>
  <si>
    <t>REQ000008178978</t>
  </si>
  <si>
    <t>6a4092a7-1ec0-4549-b5c6-8f6debfc48a7</t>
  </si>
  <si>
    <t>CSSP10908021</t>
  </si>
  <si>
    <t>OCI MIGRATION - OAS Billing System, ODM Tank Browser, Oil Logistics, Accounting and Shipping System (OAS) Prod</t>
  </si>
  <si>
    <t>Cloud Repatriation - Decommission old resources in SG region due to completed migration in MY region</t>
  </si>
  <si>
    <t>okay</t>
  </si>
  <si>
    <t>Decommissioning of the mentioned resources has been performed successfully during the execution of RFC. Hence closing the request.</t>
  </si>
  <si>
    <t>A-000509</t>
  </si>
  <si>
    <t>OCI-00035</t>
  </si>
  <si>
    <t>REQ000008176356</t>
  </si>
  <si>
    <t>15681d19-6101-4f86-954b-2d509566a338</t>
  </si>
  <si>
    <t>00915_207</t>
  </si>
  <si>
    <t>REQ000008198635</t>
  </si>
  <si>
    <t>b930edfa-bdf0-4702-bd24-5e55144881c2</t>
  </si>
  <si>
    <t>REQ000008222181</t>
  </si>
  <si>
    <t>36a8f759-d88a-4e82-9f98-a28dc0691012</t>
  </si>
  <si>
    <t>CSSP10220457</t>
  </si>
  <si>
    <t>Lubricant Enterprise Value Simulator - LEVS</t>
  </si>
  <si>
    <t>Development of Lubricant Enterprise Value Simulator (LEVS) tool for DCO</t>
  </si>
  <si>
    <t>[EXCLUDE] Databricks is still running in Singapore, and accessing the following LEVS buckets in Singapore:
ptawsg-iac-prod-levs-delta-bucket
ptawsg-iac-prod-levs-bucket (we have configured with lifecycle policy to clean-up the Outsystem folder from the bucket after 30days)
Therefore, please EXCLUDE these 2 buckets from the decommission list in Singapore region.</t>
  </si>
  <si>
    <t>A-000421</t>
  </si>
  <si>
    <t>REQ000008178705</t>
  </si>
  <si>
    <t>cf1ebb08-aefe-4f75-b976-34be21e3ed47</t>
  </si>
  <si>
    <t>To decommission Singapore AWS region resources due to Cloud Repatriation Project.</t>
  </si>
  <si>
    <t>A-000304</t>
  </si>
  <si>
    <t>02421_82</t>
  </si>
  <si>
    <t>REQ000008178706</t>
  </si>
  <si>
    <t>02a4839a-8a49-4ee6-a6f9-5a1a4b25b567</t>
  </si>
  <si>
    <t>CSSP10675579</t>
  </si>
  <si>
    <t>704D904736</t>
  </si>
  <si>
    <t>PARTIAL Decommission - disable the sub-module 
(only to disable part of component) The request is just to remove the part of component (Zscaler Decoy) for cost optimization. Component to remove: 
1. Disable for Endpoint Deception Policies and Deception Entitlement 
2. AD Decoy 
3.Please find the attached: 1. RFC Workplan 2. Script for decommission (refer to sample: ICT_RFC00161318 ) previous RFC/Ticket: ICT_RFC00187001 ICT_RFC00188777 ICT_RFC00189334 ICT_RFC00215249 ICT_RFC00215074 ICT_RFC00161318 / ICT_TAS00187969</t>
  </si>
  <si>
    <t>Decommission for the sub-module -- ZScaler Deception Decoy</t>
  </si>
  <si>
    <t>20952899-af4e-403d-9c4a-3e6421aae36c</t>
  </si>
  <si>
    <t>CSSP10339855</t>
  </si>
  <si>
    <t>MyCareerX</t>
  </si>
  <si>
    <t>MyCareerX : SPUR/Position Profile Automation</t>
  </si>
  <si>
    <t>DCOM2026070330b</t>
  </si>
  <si>
    <t>spur.petronas.com</t>
  </si>
  <si>
    <t>PSR02987</t>
  </si>
  <si>
    <t>Application not in use</t>
  </si>
  <si>
    <t>SPUR Automation on Power Apps</t>
  </si>
  <si>
    <t>Decommissioning of the resources have been done successfully during the change execution.</t>
  </si>
  <si>
    <t>A-000474</t>
  </si>
  <si>
    <t>REQ000008178707</t>
  </si>
  <si>
    <t>025d7b9a-22bd-4260-9db1-df428543c9b1</t>
  </si>
  <si>
    <t>CSSP10806185</t>
  </si>
  <si>
    <t>faiz.noorhasim@petronas.com</t>
  </si>
  <si>
    <t>mohamadfildza.moham@petronas.com</t>
  </si>
  <si>
    <t>PTSG-3NBMS01 and PTSG-3NBCP01 are Azure virtual machines that were previously deployed to support the NetBackup solution for protecting Azure-hosted resources.
Reason for Decommissioning
These servers are no longer required and have been unused due to the organization's transition from NetBackup to Azure Backup for Azure resource protection.
The key justifications are:
Service No Longer in Use
The NetBackup infrastructure hosted on PTSG-3NBMS01 and PTSG-3NBCP01 is no longer utilized for backup operations.
Backup responsibilities for Azure resources have been fully migrated to Azure Backup.
Cost Optimization
Retaining the VMs incurs ongoing Azure infrastructure costs, including compute, storage, and associated operational overhead.
Decommissioning the servers will eliminate unnecessary expenses for unused resources.
Improved Backup Architecture
Azure Backup provides a native and more direct approach to protecting Azure resources.
The solution eliminates the need for additional backup servers, hardware infrastructure, and third-party backup licensing requirements.
Operational Simplification
Removing the unused NetBackup components reduces system complexity and administrative effort.
This aligns with cloud-native best practices by leveraging Azure's built-in backup and recovery capabilities.
Security and Governance
Decommissioning unused systems reduces the attack surface and minimizes risks associated with maintaining inactive infrastructure.
It also improves overall asset governance by removing obsolete resources from the environment.
Conclusion
Since Azure Backup has fully assumed the backup and recovery responsibilities for Azure resources, and the NetBackup servers PTSG-3NBMS01 and PTSG-3NBCP01 are no longer operationally required, it is recommended to decommission these VMs to optimize costs, simplify operations, and eliminate unnecessary infrastructure.</t>
  </si>
  <si>
    <t>PTSG-3NBMS01 and PTSG-3NBCP01 were deployed to support the NetBackup solution for Azure resource protection. These servers are no longer required following the migration to Azure Backup.</t>
  </si>
  <si>
    <t>please review the list of resources to be decom. seems like not only 2 vm to be decom</t>
  </si>
  <si>
    <t>C-000041</t>
  </si>
  <si>
    <t>OSR00242</t>
  </si>
  <si>
    <t>728acaef-77b2-4981-bb14-d497f289eb97</t>
  </si>
  <si>
    <t>PTSG-3NBMS01 and PTSG-3NBCP01 are Azure virtual machines that were previously deployed to support the NetBackup solution for protecting Azure-hosted resources. These servers are no longer required and have been unused due to the organization's transition from NetBackup to Azure Backup for Azure resource protection. The key justifications are (1) Service No Longer in Use. (2) Cost Optimization (3) Improved Backup Architecture Azure Backup (4) Operational Simplification (5) Security and Governance.</t>
  </si>
  <si>
    <t>PTSG-3NBMS01 and PTSG-3NBCP01 are Azure virtual machines that were previously deployed to support the NetBackup solution for protecting Azure-hosted resources. These servers are no longer required and have been unused due to the organization's transition from NetBackup to Azure Backup for Azure resource protection</t>
  </si>
  <si>
    <t>reviewed and approved</t>
  </si>
  <si>
    <t>REQ000008222180</t>
  </si>
  <si>
    <t>baa843d0-dadd-4700-8822-0961fcc1174e</t>
  </si>
  <si>
    <t>CSSP10707625</t>
  </si>
  <si>
    <t>DCOM20260703877</t>
  </si>
  <si>
    <t>PTAWSG-1PIDAF01;10.102.21.163 PTAWSG-1PIDAF02;10.102.22.191 PTAWSG-1PIDDB01;10.85.69.81 PTAWSG-1PIBADB2;10.85.69.239</t>
  </si>
  <si>
    <t>Cloud Migration
PTAWSG-1PIDAF01;10.102.21.163
PTAWSG-1PIDAF02;10.102.22.191
PTAWSG-1PIDDB01;10.85.69.81
PTAWSG-1PIBADB2;10.85.69.239</t>
  </si>
  <si>
    <t>CCoE SA</t>
  </si>
  <si>
    <t>A-000571</t>
  </si>
  <si>
    <t>02421_70</t>
  </si>
  <si>
    <t>c8443339-08ee-4a54-a066-6f75687bba75</t>
  </si>
  <si>
    <t>CSSP10492699</t>
  </si>
  <si>
    <t>PTAWSG-1PIEDB02	10.85.69.191 PTAWSG-1PIEAF02	10.102.23.112 PTAWSG-1PIEWB01	10.85.153.145 PTAWSG-PROD-PIES-WEB-INT-NLB PTAWSG-PROD-PIGNE-WEB-INT-NLB</t>
  </si>
  <si>
    <t>622ff61d-d02b-438a-80bc-2ff1624988ef</t>
  </si>
  <si>
    <t>Please Disable E1D5IQ42AOS0YC	Enabled	smartplanner.petronas.com	Standard	
djfixbe32fubn.cloudfront.net
smartplanner.petronas.com</t>
  </si>
  <si>
    <t>Please Decom request for CloudFront (only 1 resource) for smart planner
djfixbe32fubn.cloudfront.net
smartplanner.petronas.com</t>
  </si>
  <si>
    <t>Please Disable E1D5IQ42AOS0YC Enabled smartplanner.petronas.com Standard djfixbe32fubn.cloudfront.net smartplanner.petronas.com</t>
  </si>
  <si>
    <t>A-001324</t>
  </si>
  <si>
    <t>SR04727</t>
  </si>
  <si>
    <t>REQ000008178973</t>
  </si>
  <si>
    <t>3e0fe2e9-5864-49ca-92cb-3ffc32c83b2f</t>
  </si>
  <si>
    <t>decom test ticket</t>
  </si>
  <si>
    <t>proceed to decomm</t>
  </si>
  <si>
    <t>good to go</t>
  </si>
  <si>
    <t>After review, we are ok to Decommission the mentioned resources</t>
  </si>
  <si>
    <t>C-000040</t>
  </si>
  <si>
    <t>REQ000008147460</t>
  </si>
  <si>
    <t>3b04cf44-231a-4083-b189-106f3a6fb827</t>
  </si>
  <si>
    <t>CSSP10929360</t>
  </si>
  <si>
    <t>Palo Alto assets used during the S4HANA migration project (triggered via CSSP portal):
PTSG-3VPNSAP	172.25.1.12 / 20.153.140.54
PTSG-3VPNSAP2	172.25.1.16 / 20.157.117.98</t>
  </si>
  <si>
    <t>Palo Alto assets used during the S4HANA migration project and no longer in used:
•	PTSG-3VPNSAP (Palo Alto P30)
•	PTSG-3VPNSAP2 (Palo Alto P50)</t>
  </si>
  <si>
    <t>For techmod decomm</t>
  </si>
  <si>
    <t>samsuddin.jumbri@petronas.com</t>
  </si>
  <si>
    <t>Proceed and good to go</t>
  </si>
  <si>
    <t>As confirmed by requestor. rejecting the ticket.</t>
  </si>
  <si>
    <t>REQ000008172860</t>
  </si>
  <si>
    <t>73234638-91eb-4ad7-ac75-582f956d28f7</t>
  </si>
  <si>
    <t>CSSP10238313</t>
  </si>
  <si>
    <t>nurinahuda.najib@petronas.com</t>
  </si>
  <si>
    <t>Testing</t>
  </si>
  <si>
    <t>294a06bd-aab4-4d62-ab09-7aec3ee1aa1b</t>
  </si>
  <si>
    <t>CSSP10108409</t>
  </si>
  <si>
    <t>GPU Technical Centre - GTC Dashboard</t>
  </si>
  <si>
    <t>Enhancement of GTC 2.0</t>
  </si>
  <si>
    <t>testing</t>
  </si>
  <si>
    <t>A-000346</t>
  </si>
  <si>
    <t>1bb9963b-ea60-4eab-bc86-7e08b95b7fa1</t>
  </si>
  <si>
    <t>DCOM20260709826</t>
  </si>
  <si>
    <t>Palo Alto assets used during the S4HANA migration project (triggered via CSSP portal): PTSG-3VPNSAP 172.25.1.12 / 20.153.140.54 PTSG-3VPNSAP2 172.25.1.16 / 20.157.117.98</t>
  </si>
  <si>
    <t>Phoenix decommission</t>
  </si>
  <si>
    <t>A-001237</t>
  </si>
  <si>
    <t>OSR00413</t>
  </si>
  <si>
    <t>REQ000008178974</t>
  </si>
  <si>
    <t>6bad1de4-dcf5-43a1-8143-51a595a5dec7</t>
  </si>
  <si>
    <t>CSSP10762225</t>
  </si>
  <si>
    <t>myCyberisk</t>
  </si>
  <si>
    <t>CS Identity Governance and Administration</t>
  </si>
  <si>
    <t>The mentioned resources have been deleted successfully as per the request. Hence closing this ticket.</t>
  </si>
  <si>
    <t>A-001254</t>
  </si>
  <si>
    <t>PC-00081</t>
  </si>
  <si>
    <t>REQ000008178976</t>
  </si>
  <si>
    <t>bef4104a-a4e3-4ca1-b4fd-56a1729def1f</t>
  </si>
  <si>
    <t>CSSP10995799</t>
  </si>
  <si>
    <t>ABB Smart Sensor Interface Agent</t>
  </si>
  <si>
    <t>Integrating MLNG ABB Ability Smart Sensor with MLNG PI Management System</t>
  </si>
  <si>
    <t>The decommissioning has been completed as mentioned. Since these resources belong to the Singapore region, we are proceeding with closing the ticket.</t>
  </si>
  <si>
    <t>A-000001</t>
  </si>
  <si>
    <t>REQ000008178975</t>
  </si>
  <si>
    <t>cd518c47-6db3-465b-9ef3-95e74baadf32</t>
  </si>
  <si>
    <t>CSSP10531255</t>
  </si>
  <si>
    <t>Scaffolding Web - SISFOLDs</t>
  </si>
  <si>
    <t>Development of Real-time Monitoring of Scaffolding Web-based Application for GTS</t>
  </si>
  <si>
    <t>sisfolds.petronas.com</t>
  </si>
  <si>
    <t>Has been instruct by business to close the project</t>
  </si>
  <si>
    <t>as per request, please proceed</t>
  </si>
  <si>
    <t>Cancel as requested</t>
  </si>
  <si>
    <t>A-000765</t>
  </si>
  <si>
    <t>d1fce0cf-1111-48ca-8ced-3118df7b697a</t>
  </si>
  <si>
    <t>CSSP10720428</t>
  </si>
  <si>
    <t>chong.yapweeshan@petronas.com</t>
  </si>
  <si>
    <t>PI SQL DAS</t>
  </si>
  <si>
    <t>PI SQL DAS created for PRIVATECLOUD project record</t>
  </si>
  <si>
    <t>DCOM202607202fd</t>
  </si>
  <si>
    <t>mnasuha_ismail@petronas.com</t>
  </si>
  <si>
    <t>The application and its associated cloud resources are no longer required for business operations. The project has been completed and there are no active users, business processes, or integrations dependent on this application. Decommissioning is requested to eliminate unnecessary operational and maintenance costs, reduce cybersecurity exposure, and ensure cloud resource optimization. Relevant stakeholders have been informed, and any required data will be retained according to PETRONAS data retention policies before final disposal or archival. All associated cloud resources, services, and configurations under this application are requested for decommissioning.</t>
  </si>
  <si>
    <t>A-000567</t>
  </si>
  <si>
    <t>10135_01</t>
  </si>
  <si>
    <t>107384c0-e66e-463d-953b-217be54e910e</t>
  </si>
  <si>
    <t>CSSP10212226</t>
  </si>
  <si>
    <t>ahmadzafri.bahruddi@petronas.com</t>
  </si>
  <si>
    <t>DCOM20260713dd2</t>
  </si>
  <si>
    <t>adelizafahrina.azaw@petronas.com.my</t>
  </si>
  <si>
    <t>Have obtained the approval from Product Owner to proceed with discontinuation and the decommisioning of Rystad</t>
  </si>
  <si>
    <t>All resources belongs to rystad applications</t>
  </si>
  <si>
    <t>cancelled as per requested by requestor</t>
  </si>
  <si>
    <t>A-000705</t>
  </si>
  <si>
    <t>c0b8b2f5-5cdc-4e09-835b-3ded9e9a0e99</t>
  </si>
  <si>
    <t>CSSP10164093</t>
  </si>
  <si>
    <t>raileyshahril.abdull@petronas.com</t>
  </si>
  <si>
    <t>BHC3.ai</t>
  </si>
  <si>
    <t>Run and Maintain and Scale Up of PEARLS (BHC3.ai) for CVCare, I-Sense and Valve Tracker</t>
  </si>
  <si>
    <t>sitizakiah.sulaiman@petronas.com.my</t>
  </si>
  <si>
    <t>c3console.petronas.com, cvdevc3.petronas.com, exmachina.petronas.com, cvdev.petronas.com, datadev.petronas.com, dev1cvdev.petronas.com, dev2cvdev.petronas.com, dev3cvdev.petronas.com, dev4cvdev.petronas.com, dev5cvdev.petronas.com, dev6cvdev.petronas.com, dev7cvdev.petronas.com, dev8cvdev.petronas.com, dev9cvdev.petronas.com, dev10cvdev.petronas.com, ids.petronas.com</t>
  </si>
  <si>
    <t>This project has already been decommissioned and is no longer in use. However, the Cybersecurity team has informed us that the associated IP address is still active.</t>
  </si>
  <si>
    <t>Please decommision all</t>
  </si>
  <si>
    <t>sitizakiah.sulaiman@petronas.com</t>
  </si>
  <si>
    <t>A-000088</t>
  </si>
  <si>
    <t>2618e1ef-3e4d-4dcb-ba0f-9309ea15e9ef</t>
  </si>
  <si>
    <t>Okay</t>
  </si>
  <si>
    <t>REQ000008178972</t>
  </si>
  <si>
    <t>a3bb38d5-507a-4da5-b920-d1c8d7392d9c</t>
  </si>
  <si>
    <t>CSSP10383379</t>
  </si>
  <si>
    <t>Augmented Engineering AI</t>
  </si>
  <si>
    <t>Repurpose and Optimize J.AI Architecture for Augmented Engineering</t>
  </si>
  <si>
    <t>yewwai.yeep@petronas.com</t>
  </si>
  <si>
    <t>This was a temporary POC environment for the GEN AI project with NervCenter, it was used to speed up development as we waited for a dev environment to be provisioned. In other words, it's unused right now, and won't be used in the future.</t>
  </si>
  <si>
    <t>POC components only, in the POC resource groupd. Dev remains as is.</t>
  </si>
  <si>
    <t>A-001250</t>
  </si>
  <si>
    <t>SR00170</t>
  </si>
  <si>
    <t>b39d33e0-dd79-4d42-a124-86ceee6835b5</t>
  </si>
  <si>
    <t>This application has completed migration to Malaysia region</t>
  </si>
  <si>
    <t>You may refer the resource list as per document attached</t>
  </si>
  <si>
    <t>A-000311</t>
  </si>
  <si>
    <t>REQ000008178703</t>
  </si>
  <si>
    <t>ff89c8c9-152e-494f-9e04-7d7b12ea8ac1</t>
  </si>
  <si>
    <t>CSSP10100540</t>
  </si>
  <si>
    <t>PIVOT Heat Exchanger - HEX</t>
  </si>
  <si>
    <t>Support &amp; maintenance of PIVOT HEX 2.0 at MRCSB (Run &amp; Maintain)</t>
  </si>
  <si>
    <t>https://hex.pivot.petronas.com/</t>
  </si>
  <si>
    <t>Business (MRCSB) agreed to decommission the application since they are not using the application anymore.</t>
  </si>
  <si>
    <t>A-000616</t>
  </si>
  <si>
    <t>d2cc5882-c861-4787-a9dd-7bb5e1c62bae</t>
  </si>
  <si>
    <t>CSSP10663869</t>
  </si>
  <si>
    <t>Development of Heat Exchanger ( PIVOT - HEX 2.0)</t>
  </si>
  <si>
    <t>hex.pivot.petronas.com</t>
  </si>
  <si>
    <t>e7b36094-2e8c-493c-b251-3948cd9bfb67</t>
  </si>
  <si>
    <t>CSSP10873156</t>
  </si>
  <si>
    <t>Please double check resources in excel as well.</t>
  </si>
  <si>
    <t>please do scream test, necessary backups</t>
  </si>
  <si>
    <t>The resources opted for decommissioning have been decommissioned successfully. Hence initiating with closure of this request.</t>
  </si>
  <si>
    <t>REQ000008195624</t>
  </si>
  <si>
    <t>ed737e69-def5-464f-a5ed-7f2df3b1d9e2</t>
  </si>
  <si>
    <t>CSSP10112747</t>
  </si>
  <si>
    <t>saufi.tahwil@petronas.com</t>
  </si>
  <si>
    <t>Cyber Security Identity and Access Management - IAM</t>
  </si>
  <si>
    <t>OSR00173: Technical Governance Support for Identity and Access Management (IAM) - OSR00170: Cybersecurity: Procurement and Infrastructure Deployment of AM for IAM</t>
  </si>
  <si>
    <t>imran.makhdoom@petronas.com</t>
  </si>
  <si>
    <t>these servers are no longer needed at this stage and do not have any depencency on them.</t>
  </si>
  <si>
    <t>A-000161</t>
  </si>
  <si>
    <t>OSR00170</t>
  </si>
  <si>
    <t>85b08504-d6c3-4933-86a9-f7b60ab24ebd</t>
  </si>
  <si>
    <t>A-000430</t>
  </si>
  <si>
    <t>02421_44</t>
  </si>
  <si>
    <t>REQ000008178971</t>
  </si>
  <si>
    <t>70864d27-2911-46c6-b8f6-005a30e5d3d8</t>
  </si>
  <si>
    <t>OCI-00038</t>
  </si>
  <si>
    <t>REQ000008178970</t>
  </si>
  <si>
    <t>0219e14a-939c-4a74-9704-093007b38bb6</t>
  </si>
  <si>
    <t>CSSP10434467</t>
  </si>
  <si>
    <t>Dynamic Risk Analyzer - DRA MRCSB</t>
  </si>
  <si>
    <t>CTP Old to New LZ - Dynamic Risk Analyser (DRA) MRCSB</t>
  </si>
  <si>
    <t>The decommissioning has been completed as mentioned. Since these resources belong to the Singapore region.we are proceeding with closing the ticket.</t>
  </si>
  <si>
    <t>A-000224</t>
  </si>
  <si>
    <t>02421_22</t>
  </si>
  <si>
    <t>REQ000008178962</t>
  </si>
  <si>
    <t>d50a8efd-fb67-4309-9390-0078c9219551</t>
  </si>
  <si>
    <t>CSSP10360050</t>
  </si>
  <si>
    <t>Dynamic Risk Analyzer - DRA PPTSB</t>
  </si>
  <si>
    <t>CTP Old to New LZ - Dynamic Risk Analyzer (DRA) PETRONAS Penapisan (Terengganu) Sdn. Bhd.(PPTSB)</t>
  </si>
  <si>
    <t>A-000230</t>
  </si>
  <si>
    <t>02421_17</t>
  </si>
  <si>
    <t>390dbc85-7544-4dad-bca5-0e869becaa51</t>
  </si>
  <si>
    <t>CSSP10613645</t>
  </si>
  <si>
    <t>norhasdayany.dawood@petronas.com</t>
  </si>
  <si>
    <t>Automated Tank Gauging ATG PDB</t>
  </si>
  <si>
    <t>PDB landing zone ATG application</t>
  </si>
  <si>
    <t>rokayah_kassim@petronas.com</t>
  </si>
  <si>
    <t>Not in use and required to be decommissioned</t>
  </si>
  <si>
    <t>A-000079</t>
  </si>
  <si>
    <t>00971_3</t>
  </si>
  <si>
    <t>6c5179f5-4672-409b-9383-3c1f755a7c23</t>
  </si>
  <si>
    <t>datok.idang@petronas.com</t>
  </si>
  <si>
    <t>Cloud Repatriation – Decommissioning legacy resources hosted in the Singapore region</t>
  </si>
  <si>
    <t>A-000535</t>
  </si>
  <si>
    <t>REQ000008222623</t>
  </si>
  <si>
    <t>1e224d24-0cda-4ac4-a2d0-e8ce85b45951</t>
  </si>
  <si>
    <t>CSSP10422093</t>
  </si>
  <si>
    <t>PIVOT Descriptive Analytics - DA PCGB</t>
  </si>
  <si>
    <t>PIVOT Descriptive Analytics</t>
  </si>
  <si>
    <t>Application is not being use and the application under Black Swan initiative.</t>
  </si>
  <si>
    <t>Residual infra to be decommissioned.</t>
  </si>
  <si>
    <t>A-000613</t>
  </si>
  <si>
    <t>f11be16c-6a52-4737-bb6c-72aa91d10b55</t>
  </si>
  <si>
    <t>1dba04f7-27d5-4dfe-aed4-56b9c939bbfe</t>
  </si>
  <si>
    <t>approevd</t>
  </si>
  <si>
    <t>REQ000008222622</t>
  </si>
  <si>
    <t>8efff6b9-d1e5-4db7-a893-748781e2316c</t>
  </si>
  <si>
    <t>CSSP10274229</t>
  </si>
  <si>
    <t>Technical Competency Assessment System</t>
  </si>
  <si>
    <t>Dedicated Support for Technical Competency Assessment Systems GTCM</t>
  </si>
  <si>
    <t>epecas.petronas.com, epecas-training.petronas.com</t>
  </si>
  <si>
    <t>partially decom. not in use.</t>
  </si>
  <si>
    <t>A-000806</t>
  </si>
  <si>
    <t>e342b7ce-f9b8-4871-a216-522cbf52572d</t>
  </si>
  <si>
    <t>CSSP10420557</t>
  </si>
  <si>
    <t>Partial decom. CMDB record: PETRONAS Competency based Assessment System ePECAS 4.0 and ePecas Training. Both apps shared the VM for webserver and database with other applications.</t>
  </si>
  <si>
    <t>The selected VMs contains the app and also the DB. All servers are shared with multiple apps.</t>
  </si>
  <si>
    <t>rejcted</t>
  </si>
  <si>
    <t>45130a0c-5f40-4396-aaa9-5a026b5273bb</t>
  </si>
  <si>
    <t>CSSP10581935</t>
  </si>
  <si>
    <t>Partial decom. CMDB record: PETRONAS Competency based Assessment System ePECAS 4.0 and ePecas Training. Both apps shared the VM for webserver and database with other applications. All related servers with this app will be decom EXCEPT for Production database ptsg-1dotnetdb1.</t>
  </si>
  <si>
    <t>Purposely NOT selected: DB ptsg-1dotnetdb1 because business still need the server to perform their migration.</t>
  </si>
  <si>
    <t>Cancelled as per requested by requestor.</t>
  </si>
  <si>
    <t>46ac4172-afa2-450f-88b1-41b28b45a53c</t>
  </si>
  <si>
    <t>To decommission resources in the Singapore region since this application migrated to Malaysia region.</t>
  </si>
  <si>
    <t>A-000049</t>
  </si>
  <si>
    <t>02421_112</t>
  </si>
  <si>
    <t>REQ000008222179</t>
  </si>
  <si>
    <t>6b6ccb32-f0c3-4b75-91fe-968e53b2d95d</t>
  </si>
  <si>
    <t>azliamirulehsan.raz@petronas.com</t>
  </si>
  <si>
    <t>In use</t>
  </si>
  <si>
    <t>Moving to SKILL Lite developed by Business</t>
  </si>
  <si>
    <t>To be migrated.</t>
  </si>
  <si>
    <t>All resources to be decommissioned except for resources related to ptsg1skillstrg azure storage.</t>
  </si>
  <si>
    <t>A-000775</t>
  </si>
  <si>
    <t>REQ000008203411</t>
  </si>
  <si>
    <t>21156890-a9c6-48ca-a4bd-6b563ba357cb</t>
  </si>
  <si>
    <t>ridzuan.amajid@petronas.com</t>
  </si>
  <si>
    <t>To decom VM Name vSBOPCSBRBMAPP1 - unsuccessful billing without any cost center. This VM has been in power off mode since March 2025. Request is made by Ridzuan Majid.</t>
  </si>
  <si>
    <t>A-000386</t>
  </si>
  <si>
    <t>REQ000008198554</t>
  </si>
  <si>
    <t>c1b5fb85-d750-44e3-9887-76b8c0dbafa2</t>
  </si>
  <si>
    <t>To decom VM Name vSARPSKGPIAPP01, vSARPSKGPIAPP02, vSARPCSBPISTG01. User raised previous decom request CSSP10158036 but it was not processed. Request is made by Ridzuan Majid on behalf of business user. Refer to CSSP10158036.</t>
  </si>
  <si>
    <t>A-000589</t>
  </si>
  <si>
    <t>10135_11</t>
  </si>
  <si>
    <t>REQ000008198553</t>
  </si>
  <si>
    <t>c042854b-98eb-47fd-8915-6eeb7f2af323</t>
  </si>
  <si>
    <t>CSSP10886116</t>
  </si>
  <si>
    <t>vSABSBONMSAPP01 - unsuccessful billing without any cost center. This VM has been in power off mode since June 2025. Request is made by Ridzuan Majid.</t>
  </si>
  <si>
    <t>To decom VM Name vSABSBONMSAPP01 - unsuccessful billing without any cost center. This VM has been in power off mode since June 2025. Request is made by Ridzuan Majid.</t>
  </si>
  <si>
    <t>Requestor and Manager/Approver cannot be the same person. Please assign a different authorized approver and resubmit the request.</t>
  </si>
  <si>
    <t>A-000117</t>
  </si>
  <si>
    <t>6f835fb3-c6db-4e82-9219-8662a7e83673</t>
  </si>
  <si>
    <t>To decom VM Name SAR607-INFPS-01. SAR607-INFPS-02 - unsuccessful billing without any cost center. This VM has been in power off mode since March 2025. Request is made by Ridzuan Majid.</t>
  </si>
  <si>
    <t>A-000660</t>
  </si>
  <si>
    <t>10161_01</t>
  </si>
  <si>
    <t>REQ000008203316</t>
  </si>
  <si>
    <t>dfce3155-e8b2-4b62-bc4e-3d85c471b00a</t>
  </si>
  <si>
    <t>To decom VM Name vSAR607PIAPP01 - unsuccessful billing without any cost center. This VM has been in power off mode since March 2025. Request is made by Ridzuan Majid.</t>
  </si>
  <si>
    <t>A-000572</t>
  </si>
  <si>
    <t>10135_03</t>
  </si>
  <si>
    <t>REQ000008203410</t>
  </si>
  <si>
    <t>6d2991bf-3359-47cf-9e03-23c5d2776001</t>
  </si>
  <si>
    <t>To decom VM Name vemppcsbpmsap01, vemppcsbpmsdm01. This VM has been in power off mode since March 2025. Request is made by Ridzuan Majid.</t>
  </si>
  <si>
    <t>A-000526</t>
  </si>
  <si>
    <t>REQ000008222621</t>
  </si>
  <si>
    <t>2f62b6b7-33d8-48e7-92de-e6c49efd2d70</t>
  </si>
  <si>
    <t>To decom VM Name vSARLNGNMSAPP01. This VM has been in power off mode since March 2025. Request is made by Ridzuan Majid.</t>
  </si>
  <si>
    <t>REQ000008222620</t>
  </si>
  <si>
    <t>dffe6def-c553-4b28-8958-185ae8a5ff76</t>
  </si>
  <si>
    <t>To decom VM Name vCENPRIMEDBMLNG. This VM has been in power off mode since March 2025. Request is made by Ridzuan Majid.</t>
  </si>
  <si>
    <t>A-000657</t>
  </si>
  <si>
    <t>00915_14</t>
  </si>
  <si>
    <t>REQ000008203409</t>
  </si>
  <si>
    <t>06201963-c847-4df0-a07a-98a6002921ba</t>
  </si>
  <si>
    <t>To decom VM Name vCENPRIMEAPMLNG. This VM has been in power off mode since March 2025. Request is made by Ridzuan Majid.</t>
  </si>
  <si>
    <t>REQ000008203315</t>
  </si>
  <si>
    <t>7fbbdcbe-86f0-4797-b066-7add3b207333</t>
  </si>
  <si>
    <t>muhammad.hafizimats@petronas.com</t>
  </si>
  <si>
    <t>DCOM202607222cf</t>
  </si>
  <si>
    <t>aressany.bohari@petronas.com.my</t>
  </si>
  <si>
    <t>www.p2p.petronas.com , www.p2pbackend.petronas.com</t>
  </si>
  <si>
    <t>This project has been dropped</t>
  </si>
  <si>
    <t>Reviewed and verified. 
The project has been discontinued and the listed cloud resources are no longer in use</t>
  </si>
  <si>
    <t>aressany.bohari@petronas.com</t>
  </si>
  <si>
    <t>A-000538</t>
  </si>
  <si>
    <t>REQ000008220859</t>
  </si>
  <si>
    <t>a3047b0d-684e-479d-b288-47cb442980e3</t>
  </si>
  <si>
    <t>CSSP10865674</t>
  </si>
  <si>
    <t>DARS</t>
  </si>
  <si>
    <t>DARS created for PRIVATECLOUD project record</t>
  </si>
  <si>
    <t>To decom VM Name PCSB614DARS - unsuccessful billing without any cost center. Request is made by Ridzuan Majid.</t>
  </si>
  <si>
    <t>A-000193</t>
  </si>
  <si>
    <t>3c6fed2a-7d9f-46f6-af4b-26803da6e09e</t>
  </si>
  <si>
    <t>CSSP10958793</t>
  </si>
  <si>
    <t>Plant Operation Management</t>
  </si>
  <si>
    <t>Plant Operation Management created for PRIVATECLOUD project record</t>
  </si>
  <si>
    <t>To decom VM Name vSKODPFLPOMAP01, vSKODPFLPOMAP02 - unsuccessful billing without any cost center. Request is made by Ridzuan Majid.</t>
  </si>
  <si>
    <t>A-000623</t>
  </si>
  <si>
    <t>d7c2f00c-ea56-4cfc-9143-84397ad5675c</t>
  </si>
  <si>
    <t>To decom VM Name OPT166P2P1, OPT166PRI1. This VM has been in power off mode since March 2025. Request is made by Ridzuan Majid.</t>
  </si>
  <si>
    <t>A-000653</t>
  </si>
  <si>
    <t>REQ000008222178</t>
  </si>
  <si>
    <t>e1dfa073-1445-4e79-b045-f870d5d83411</t>
  </si>
  <si>
    <t>To decom VM Name vEASOGDPAASDB02. This VM has been in power off mode since March 2025. Request is made by Ridzuan Majid.</t>
  </si>
  <si>
    <t>A-000256</t>
  </si>
  <si>
    <t>10074_02</t>
  </si>
  <si>
    <t>REQ000008203408</t>
  </si>
  <si>
    <t>3c46534f-b9b7-4748-933e-2a9934781f13</t>
  </si>
  <si>
    <t>To decom VM Name vEASOGDPAASAPP1c. This VM has been in power off mode since March 2025. Request is made by Ridzuan Majid.</t>
  </si>
  <si>
    <t>REQ000008222619</t>
  </si>
  <si>
    <t>75c34cab-a218-4c9e-89ec-15fc00a68f77</t>
  </si>
  <si>
    <t>To decom VM Name PGB137PEGOSAPPPS, PGB137PEGOSAWEB, PGB137PEGOSAWFC. This VM has been in power off mode since March 2025. Request is made by Ridzuan Majid.</t>
  </si>
  <si>
    <t>A-000555</t>
  </si>
  <si>
    <t>REQ000008203407</t>
  </si>
  <si>
    <t>5e1b1621-72c9-48d3-bb30-2260a5c26c75</t>
  </si>
  <si>
    <t>To decom VM Name vEASOGDPAASDEV3. This VM has been in power off mode since March 2025. Request is made by Ridzuan Majid.</t>
  </si>
  <si>
    <t>REQ000008222618</t>
  </si>
  <si>
    <t>09a13b2d-57f1-4c56-80f0-ee6ad95971ea</t>
  </si>
  <si>
    <t>To decom VM Name PFK204logger. This VM has been in power off mode since March 2025. Request is made by Ridzuan Majid.</t>
  </si>
  <si>
    <t>A-000513</t>
  </si>
  <si>
    <t>REQ000008203314</t>
  </si>
  <si>
    <t>d1eba89a-1acb-499f-b73a-0ce8ffafa252</t>
  </si>
  <si>
    <t>To decom VM Name PIMS-ServerC-Old. This VM has been in power off mode since March 2025. Request is made by Ridzuan Majid.</t>
  </si>
  <si>
    <t>A-000583</t>
  </si>
  <si>
    <t>10135_07</t>
  </si>
  <si>
    <t>REQ000008203406</t>
  </si>
  <si>
    <t>b1be6232-c889-4b62-a0b9-775892649d74</t>
  </si>
  <si>
    <t>To decom VM Name AMS-SERVER. This VM has been in power off mode since March 2025. Request is made by Ridzuan Majid.</t>
  </si>
  <si>
    <t>A-000052</t>
  </si>
  <si>
    <t>10020_03</t>
  </si>
  <si>
    <t>REQ000008222617</t>
  </si>
  <si>
    <t>9bc01dca-4582-415b-8986-3036db13d0a1</t>
  </si>
  <si>
    <t>To decom VM Name PASB1662D3D. This VM has been in power off mode since March 2025. Request is made by Ridzuan Majid.</t>
  </si>
  <si>
    <t>A-000553</t>
  </si>
  <si>
    <t>REQ000008203312</t>
  </si>
  <si>
    <t>bdcede47-35ff-4613-83e4-de3b3146cf82</t>
  </si>
  <si>
    <t>To decom VM Name EAS166-INFPS-01. This VM has been in power off mode since March 2025. Request is made by Ridzuan Majid.</t>
  </si>
  <si>
    <t>REQ000008222177</t>
  </si>
  <si>
    <t>3d5af0a1-8e44-4af1-b2d2-07ebcea5a843</t>
  </si>
  <si>
    <t>CSSP10810098</t>
  </si>
  <si>
    <t>Enterprise Content Management System - ECMS CENTERA</t>
  </si>
  <si>
    <t>Enterprise Content Management System - ECMS CENTERA created for PRIVATECLOUD project record</t>
  </si>
  <si>
    <t>To decom VM Name vSKOPCSBECMAP01. This VM has been in power off mode since March 2025. Request is made by Ridzuan Majid.</t>
  </si>
  <si>
    <t>A-000261</t>
  </si>
  <si>
    <t>5a35cb7b-7bfc-489e-aa86-3c58d9824243</t>
  </si>
  <si>
    <t>A-000274</t>
  </si>
  <si>
    <t>PSR05765</t>
  </si>
  <si>
    <t>REQ000008198552</t>
  </si>
  <si>
    <t>1452f521-a1f4-4a88-a796-4a052efcadf5</t>
  </si>
  <si>
    <t>Business have given the approval to decommision PCSB Cube</t>
  </si>
  <si>
    <t>Resources has been confirmed with business and previous support foca</t>
  </si>
  <si>
    <t>adelizafahrina.azaw@petronas.com</t>
  </si>
  <si>
    <t>9ac20267-bcbb-4785-97ec-e29ff496dc4c</t>
  </si>
  <si>
    <t>CSSP10422617</t>
  </si>
  <si>
    <t>Azure Databricks has been provisioned, but it was not in used as team move into using VM.</t>
  </si>
  <si>
    <t>7decf0a0-ad3d-48d1-9895-12328f387e2f</t>
  </si>
  <si>
    <t>REQ000008238289</t>
  </si>
  <si>
    <t>8a4abd3a-f484-48dd-b87e-cb714b7da1ed</t>
  </si>
  <si>
    <t>REQ000008237800</t>
  </si>
  <si>
    <t>47f07a4d-95d5-4265-854f-92822aa4505c</t>
  </si>
  <si>
    <t>A-000314</t>
  </si>
  <si>
    <t>243340e7-7422-4362-803c-90ecd62c94d4</t>
  </si>
  <si>
    <t>REQ000008237799</t>
  </si>
  <si>
    <t>513c82f5-26a7-4efa-937e-d7e39d1d64b8</t>
  </si>
  <si>
    <t>REQ000008237798</t>
  </si>
  <si>
    <t>a4150916-57c2-444d-9ef2-2094034d2308</t>
  </si>
  <si>
    <t>A-000586</t>
  </si>
  <si>
    <t>02421_57</t>
  </si>
  <si>
    <t>REQ000008238287</t>
  </si>
  <si>
    <t>9eb5d82e-4a00-4324-9551-4e77de4c4d06</t>
  </si>
  <si>
    <t>nelly.george@petronas.com</t>
  </si>
  <si>
    <t>DCOM20260803729</t>
  </si>
  <si>
    <t>Complete migration to myLearningX by 31st May 2026.</t>
  </si>
  <si>
    <t>Approved as per email from Business - Yashadini Anandarajah (TSKG_HRM/PETH) on  27 Jul 26.</t>
  </si>
  <si>
    <t>A-001393</t>
  </si>
  <si>
    <t>REQ000008237797</t>
  </si>
  <si>
    <t>3a3a8519-750d-42f4-8dd9-ab701dd3cad4</t>
  </si>
  <si>
    <t>CSSP10551555</t>
  </si>
  <si>
    <t>ahmadaizuddin.badry@petronas.com</t>
  </si>
  <si>
    <t>ProcurementGo/STAR</t>
  </si>
  <si>
    <t>Cloud Migration Program - Procurement/Go Star</t>
  </si>
  <si>
    <t>DCOM20260731389</t>
  </si>
  <si>
    <t>procurementgo.petronas.com</t>
  </si>
  <si>
    <t>myProcure CPE will be replacing ProcurementGO for performance evaluation for vendor.</t>
  </si>
  <si>
    <t>A-000661</t>
  </si>
  <si>
    <t>00915_30</t>
  </si>
  <si>
    <t>72dbdb80-d5ae-472a-a030-c7fdd3833eec</t>
  </si>
  <si>
    <t>CSSP10311887</t>
  </si>
  <si>
    <t>myProcure CPE will be replacing ProcurementGO for performance evaluation for Vendor feature. We need help from Cloud DB team to do backup of the DB data.</t>
  </si>
  <si>
    <t>Confirmed for the resources</t>
  </si>
  <si>
    <t>9da3307e-cbc5-4cfd-8336-3d3b5a373fd7</t>
  </si>
  <si>
    <t>Cloud Migration (Repatriation SG to MY)</t>
  </si>
  <si>
    <t>PTAWSG-1PIDAF01
PTAWSG-1PIDAF02
PTAWSG-1PIDDB01
PTAWSG-1PIBADB2</t>
  </si>
  <si>
    <t>REQ000008237796</t>
  </si>
  <si>
    <t>05bf9597-9089-4680-8631-da11e3d61379</t>
  </si>
  <si>
    <t>Cloud Migration (Repatriation from SG to MY)</t>
  </si>
  <si>
    <t>PTAWSG-1PIEDB02
PTAWSG-1PIEAF02
PTAWSG-PROD-PIES-WEB-INT-NLB
PTAWSG-1PIEWB01
PTAWSG-1PIBADB2</t>
  </si>
  <si>
    <t>REQ000008238286</t>
  </si>
  <si>
    <t>24ae047a-adba-4f56-bf51-a581db8048d0</t>
  </si>
  <si>
    <t>CSSP10631258</t>
  </si>
  <si>
    <t>sumituttam.vhankatte@petronas.com</t>
  </si>
  <si>
    <t>Cyber Security CyberArk</t>
  </si>
  <si>
    <t>CyberArk Migration</t>
  </si>
  <si>
    <t>imran.makhdoom@petronas.com.my</t>
  </si>
  <si>
    <t>The mentioned servers are not in use hence need to be decommissioned.
172.25.8.31	ptsg-3cacap01
172.25.8.75	ptsg-3cacap02
172.25.8.82	ptsg-3cacap03
172.25.8.84	ptsg-3cacap04</t>
  </si>
  <si>
    <t>The mentioned servers are not tagged to CyberArk application in CMDB, hence cannot be selected in the resource selector pane. Adding the server list here:
172.25.8.31	ptsg-3cacap01
172.25.8.75	ptsg-3cacap02
172.25.8.82	ptsg-3cacap03
172.25.8.84	ptsg-3cacap04</t>
  </si>
  <si>
    <t>A-000157</t>
  </si>
  <si>
    <t>PC-00046</t>
  </si>
  <si>
    <t>0b76be9d-1dee-40de-b448-3f4f6f3dc009</t>
  </si>
  <si>
    <t>CSSP10679558</t>
  </si>
  <si>
    <t>.NET Farm on Cloud- Setup of Azure New Common .Net Farm for PETRONAS</t>
  </si>
  <si>
    <t>adad</t>
  </si>
  <si>
    <t>PSR04784</t>
  </si>
  <si>
    <t>140ebd56-2d9d-4918-ac23-67f74039fec2</t>
  </si>
  <si>
    <t>CSSP10777002</t>
  </si>
  <si>
    <t>CyberArk staging environment</t>
  </si>
  <si>
    <t>The servers are not in use, hence need to be decommissioned
172.25.8.31	ptsg-3cacap01
172.25.8.75	ptsg-3cacap02
172.25.8.82	ptsg-3cacap03
172.25.8.84	ptsg-3cacap04</t>
  </si>
  <si>
    <t>X.704D27VO.210010</t>
  </si>
  <si>
    <t>eb26b4bc-1070-43bf-a29c-83dd3199430c</t>
  </si>
  <si>
    <t>CSSP10626959</t>
  </si>
  <si>
    <t>faizanabdrahim.ansar@petronas.com</t>
  </si>
  <si>
    <t>Decommission of below servers as they are not in use anymore. 
172.25.8.31 = ptsg-3cacap01
172.25.8.75 = ptsg-3cacap02
172.25.8.82 = ptsg-3cacap03
172.25.8.84 = ptsg-3cacap04</t>
  </si>
  <si>
    <t>d905f8dd-bdff-4ef9-954f-3a6a1ae90859</t>
  </si>
  <si>
    <t>CSSP10782523</t>
  </si>
  <si>
    <t>CS IAM Application Onboarding Factory -</t>
  </si>
  <si>
    <t>The mentioned servers are not in use, hence need to be decommissioned.
172.25.8.31	ptsg-3cacap01
172.25.8.75	ptsg-3cacap02
172.25.8.82	ptsg-3cacap03
172.25.8.84	ptsg-3cacap04</t>
  </si>
  <si>
    <t>bfb50a01-9d05-431c-9ba3-bc3b67c01cb3</t>
  </si>
  <si>
    <t>CSSP10292490</t>
  </si>
  <si>
    <t>UAUC for VirtusIP already Lift and Shift to VirtusIP Environment</t>
  </si>
  <si>
    <t>9388d789-9330-4ca0-84ca-63ff843fb1f1</t>
  </si>
  <si>
    <t>CSSP10409981</t>
  </si>
  <si>
    <t>taufiq.tomadan@petronas.com</t>
  </si>
  <si>
    <t>decomm</t>
  </si>
  <si>
    <t>02315_1</t>
  </si>
  <si>
    <t>0d77f592-62d9-441b-9cd2-63ce19b3070c</t>
  </si>
  <si>
    <t>CSSP10898975</t>
  </si>
  <si>
    <t>2b7a0254-84dd-49e5-bac0-853d0ccf875e</t>
  </si>
  <si>
    <t>UAUC For commercial already Lift and Shift to 'VirtusIP CLoud Environment'. Decom to RG PTAZSG-IAC-PROD-UAUC-RG
and all component under this RG</t>
  </si>
  <si>
    <t>DECOM RG PTAZSG-IAC-PROD-UAUC-RG and all component under this RG, please refer attached excel.</t>
  </si>
  <si>
    <t>REQ000008238285</t>
  </si>
  <si>
    <t>8db0f0f8-064a-4b6d-8983-cb268802ef6d</t>
  </si>
  <si>
    <t>UAUC Commercial already Lift and Shift to VIPSB Env</t>
  </si>
  <si>
    <t>Decom all component under RG PTAZSG-IAC-UAT-EPTWUAUC-RG and RG, Please dont refer to project code.</t>
  </si>
  <si>
    <t>REQ000008238284</t>
  </si>
  <si>
    <t>3c48ffed-1aa5-4b14-908b-d316ea4981cf</t>
  </si>
  <si>
    <t>Cloud Repatriation - To decommission old resources in Singapore region due to completed migration in Malaysia region</t>
  </si>
  <si>
    <t>A-000105</t>
  </si>
  <si>
    <t>REQ000008238283</t>
  </si>
  <si>
    <t>d3bc0573-a7bf-40c8-9793-c49c15cd9e31</t>
  </si>
  <si>
    <t>CSSP10872182</t>
  </si>
  <si>
    <t>Cyber Security Privileged Identity Management - PIM</t>
  </si>
  <si>
    <t>Provisioning and Deployment AWS of Privileged Identity Management (PIM) for PETRONAS</t>
  </si>
  <si>
    <t>tanbeekhim@petronas.com</t>
  </si>
  <si>
    <t>to decom server that no longer in use</t>
  </si>
  <si>
    <t>pls proceed to decom</t>
  </si>
  <si>
    <t>A-000174</t>
  </si>
  <si>
    <t>PSR03903</t>
  </si>
  <si>
    <t>2fbadd2e-cc2f-4c74-bc87-0e3c7a437d7d</t>
  </si>
  <si>
    <t>Proceed to decom.</t>
  </si>
  <si>
    <t>REQ000008237795</t>
  </si>
  <si>
    <t>3b3ef153-3674-40fe-9ac8-210277752cd6</t>
  </si>
  <si>
    <t>CSSP10520122</t>
  </si>
  <si>
    <t>2a0460d6-5f8f-4bf2-9293-ce033961a489</t>
  </si>
  <si>
    <t>CSSP10192895</t>
  </si>
  <si>
    <t>adam.kamil@petronas.com</t>
  </si>
  <si>
    <t>OPTIMUS - THRONES</t>
  </si>
  <si>
    <t>Cloud Migration Program - OPTIMUS 3.0 (THRONES)</t>
  </si>
  <si>
    <t>DCOM20250502a00</t>
  </si>
  <si>
    <t>A-000809</t>
  </si>
  <si>
    <t>00915_64</t>
  </si>
  <si>
    <t>64ca40a6-08a0-43ce-b58d-9476ed3f282e</t>
  </si>
  <si>
    <t>CSSP10293331</t>
  </si>
  <si>
    <t>AWS Cloud Migration - RTMS (.NET)</t>
  </si>
  <si>
    <t>benjamint.baniyamin@petronas.com.my</t>
  </si>
  <si>
    <t>Business agreed to decommission the application.</t>
  </si>
  <si>
    <t>benjamint.baniyamin@petronas.com</t>
  </si>
  <si>
    <t>A-000703</t>
  </si>
  <si>
    <t>OSR00188_22</t>
  </si>
  <si>
    <t>09dbddd7-037e-42a1-89fb-3f172e02c353</t>
  </si>
  <si>
    <t>Business agreed to decommission the application</t>
  </si>
  <si>
    <t>Please decommission all the resources.</t>
  </si>
  <si>
    <t>As per discusssion with business &amp; BD Arshad Halim, these are for decom</t>
  </si>
  <si>
    <t>02421_80</t>
  </si>
  <si>
    <t>96fb6ffb-ccd9-4105-8c97-69504210e8d3</t>
  </si>
  <si>
    <t>CSSP10302644</t>
  </si>
  <si>
    <t>rashidah.sharef@petronas.com</t>
  </si>
  <si>
    <t>ACL Robotics</t>
  </si>
  <si>
    <t>Provision and Implementation of Computer Assisted Audit Tool for Group Internal Audit</t>
  </si>
  <si>
    <t>DCOM20260812d62</t>
  </si>
  <si>
    <t>ruhy.zanita@petronas.com</t>
  </si>
  <si>
    <t>ACL (CAAT) application is to be decommissioned as the business owner (GIA) has fully migrated to Databricks and completed data migration validation. GIA has formally confirmed approval to proceed, and decommissioning activities will follow accordingly. This aligns with the TEV recommendation to discontinue ACL extension, and the vendor contract will not be renewed after 31 July 2026.</t>
  </si>
  <si>
    <t>A-000005</t>
  </si>
  <si>
    <t>3979c4fb-af48-4c74-9547-d23c38fbb969</t>
  </si>
  <si>
    <t>CSSP10751371</t>
  </si>
  <si>
    <t>00915_150</t>
  </si>
  <si>
    <t>9add3e44-a9da-4157-a3c6-fb68460e0b77</t>
  </si>
  <si>
    <t>CSSP10151695</t>
  </si>
  <si>
    <t>tharun.mungara@petronas.com</t>
  </si>
  <si>
    <t>Cloud Migration Program - SAP ECC PDB ECC 6.0 (SAP ID 50 (P50, D50 &amp; T50)</t>
  </si>
  <si>
    <t>SID	Hostname	IP	Type
D50	PTSG-5PDBDB01	172.25.72.49	Application &amp; Database
T50	PTSG-4PDBap01	172.25.53.11	Application
	    PTSG-4PDBap02	172.25.53.12	Application
	    PTSG-4PDBdb01	172.25.56.75	Database
P50	PTSG-1PDBSC02	172.25.34.28	Apps
	    PTSG-1PDBap01	172.25.34.29	Apps
	    PTSG-1PDBap02	172.25.34.30	Apps
	    PTSG-1PDBap03	172.25.34.31	Apps
	    PTSG-1PDBap04	172.25.34.32	Apps
	    PTSG-1PDBap05	172.25.32.59	Apps
	    PTSG-1PDBdb01	172.25.40.123	Database
	    PTSG-1PDBdb02	172.25.40.124	Database
Note: We have already taken back up. You can proceed with decommission.</t>
  </si>
  <si>
    <t>00915_42</t>
  </si>
  <si>
    <t>0febe3b6-46fb-4a3b-80da-ddb83b6d441b</t>
  </si>
  <si>
    <t>CSSP10904064</t>
  </si>
  <si>
    <t>YADA YADA</t>
  </si>
  <si>
    <t>2d64a47b-9437-4dab-8f08-6205539c1b09</t>
  </si>
  <si>
    <t>A-000582</t>
  </si>
  <si>
    <t>d3e954a5-bfa7-4a8f-a629-016950c51c75</t>
  </si>
  <si>
    <t>CSSP10377584</t>
  </si>
  <si>
    <t>deepakfrancis.neyyan@petronas.com</t>
  </si>
  <si>
    <t>Cloud Migration Program - PETRONAS Group ECC 6.0 (SAP30)</t>
  </si>
  <si>
    <t>Hostname	             IP Address	        SID
PTSG-1ECCDB01	     172.25.40.153	P30    DB
PTSG-1ECCDB02	 172.25.40.154	P30    DB
PTSG-1ECCSC01	     172.25.34.95	P30    SC
PTSG-1ECCSC02	     172.25.34.96	P30    SC
PTSG-1ECCAP01	     172.25.34.97	P30 App
PTSG-1ECCAP02	     172.25.34.98	P30 App
PTSG-1ECCAP03	     172.25.34.99	P30 App
PTSG-1ECCAP04	     172.25.34.100	P30 App
PTSG-1ECCAP05	     172.25.34.101	P30 App
PTSG-1ECCAP06	     172.25.34.102	P30 App
PTSG-1ECCAP07	     172.25.34.103	P30 App
PTSG-1ECCAP08	     172.25.34.104	P30 App
PTSG-1ECCAP09	     172.25.34.105	P30 App
PTSG-1ECCAP10	     172.25.34.106	P30 App
PTSG-4ECCAP01	     172.25.53.92	T30 App
PTSG-4ECCAP02	 172.25.53.93	T30 App
PTSG-4ECCDB03	 172.25.56.104	T30 DB
PTSG-5ECCDB01	 172.25.72.57	D30 App &amp; DB</t>
  </si>
  <si>
    <t>P30 system has been reviewed from our side and is currently awaiting approval.
DB Backup : We have already taken back up. You can proceed with decommission.</t>
  </si>
  <si>
    <t>00915_132</t>
  </si>
  <si>
    <t>0fb036f1-fec0-4220-89dc-805e9ff4236f</t>
  </si>
  <si>
    <t>CSSP10694484</t>
  </si>
  <si>
    <t>SID Hostname IP Type D50 PTSG-5PDBDB01 172.25.72.49 Application &amp; Database T50 PTSG-4PDBap01 172.25.53.11 Application PTSG-4PDBap02 172.25.53.12 Application PTSG-4PDBdb01 172.25.56.75 Database P50 PTSG-1PDBSC02 172.25.34.28 Apps PTSG-1PDBap01 172.25.34.29 Apps PTSG-1PDBap02 172.25.34.30 Apps PTSG-1PDBap03 172.25.34.31 Apps PTSG-1PDBap04 172.25.34.32 Apps PTSG-1PDBap05 172.25.32.59 Apps PTSG-1PDBdb01 172.25.40.123 Database PTSG-1PDBdb02 172.25.40.124 Database Note: We have already taken back up. You can proceed with decommission.</t>
  </si>
  <si>
    <t>Reviewed and Proceed for decommission</t>
  </si>
  <si>
    <t>10eb4ea0-dd41-4b57-92aa-a55640ecf29d</t>
  </si>
  <si>
    <t>maizad.hamid@klcc.com.my</t>
  </si>
  <si>
    <t>DCOM202608170b9</t>
  </si>
  <si>
    <t>ghazeeg@pjh.com.my</t>
  </si>
  <si>
    <t>https://cts.pjh.com.my</t>
  </si>
  <si>
    <t>The CTS functionalities have been replaced by SmartGEP. As a result, the CTS system is no longer in use.</t>
  </si>
  <si>
    <t>maizad.hamid@klcc.com</t>
  </si>
  <si>
    <t>ghazeeg@pjh.com</t>
  </si>
  <si>
    <t>As CTS is no longer in use, we request to proceed with the decommissioning of the system.</t>
  </si>
  <si>
    <t>A-000189</t>
  </si>
  <si>
    <t>00915_217</t>
  </si>
  <si>
    <t>8a9d999b-d3ef-48f8-9d64-5b47008a2245</t>
  </si>
  <si>
    <t>CSSP10200937</t>
  </si>
  <si>
    <t>Implementation of PI Asset Framework (AF) and PI Vision for PCFK</t>
  </si>
  <si>
    <t>a6aab36e-7f45-4ed3-8b77-58980e32c9ce</t>
  </si>
  <si>
    <t>CSSP10722928</t>
  </si>
  <si>
    <t>Plant Information - PI ABF</t>
  </si>
  <si>
    <t>Provision, Installation and Configuration of PI AF &amp; PI Vision for Asean Bintulu Fertilizer Sdn Bhd (ABF)</t>
  </si>
  <si>
    <t>A-000564</t>
  </si>
  <si>
    <t>devops_project</t>
  </si>
  <si>
    <t>request_category</t>
  </si>
  <si>
    <t>environment</t>
  </si>
  <si>
    <t>remarks</t>
  </si>
  <si>
    <t>rfc_number</t>
  </si>
  <si>
    <t>project_id</t>
  </si>
  <si>
    <t>197bccd2-693d-423f-833f-6775daaba542</t>
  </si>
  <si>
    <t>REQ000006914868</t>
  </si>
  <si>
    <t>masyraf.mnasir@petronas.com</t>
  </si>
  <si>
    <t>provision-cloud-public</t>
  </si>
  <si>
    <t>2024-11-20T15:27:56.87</t>
  </si>
  <si>
    <t>2024-11-20T07:27:56.867</t>
  </si>
  <si>
    <t>ProcurementGo</t>
  </si>
  <si>
    <t>New</t>
  </si>
  <si>
    <t>Production</t>
  </si>
  <si>
    <t>small, azure, non-iac, add-on kv. RG=PTAZSG-PROD-PSTR-RG. Provision Azure key vault for ProcurementGo</t>
  </si>
  <si>
    <t>ICT_WO008350537/Pending</t>
  </si>
  <si>
    <t>2024-11-20T07:27:56.87</t>
  </si>
  <si>
    <t>syazali.saad@petronas.com</t>
  </si>
  <si>
    <t>chunwu.lim@petronas.com</t>
  </si>
  <si>
    <t>dae1b9a3-81d3-48dc-9c37-db10ec4da527</t>
  </si>
  <si>
    <t>REQ000006834467</t>
  </si>
  <si>
    <t>2024-10-15T09:51:35.49</t>
  </si>
  <si>
    <t>2024-10-15T01:51:38.16</t>
  </si>
  <si>
    <t>A-000095</t>
  </si>
  <si>
    <t>Barrier Management and Work Control (BMWC) PCGB</t>
  </si>
  <si>
    <t>Implementation of Safe Work Control &amp; Barrier Management across PCG OPUs</t>
  </si>
  <si>
    <t>Proscient middleware integration</t>
  </si>
  <si>
    <t>UAT/Staging</t>
  </si>
  <si>
    <t>VMs/Application are to be using the Key-Vault. PTAZSG-UAT-PWCB-RG</t>
  </si>
  <si>
    <t>ICT_WO008217960/Pending</t>
  </si>
  <si>
    <t>d4065c1d-1fd1-4daf-9fdf-38b049f958af</t>
  </si>
  <si>
    <t>CSSP10832041</t>
  </si>
  <si>
    <t>Malaysian Financial Reporting Standards (MFRS)</t>
  </si>
  <si>
    <t>mfakhrul.islam@petronas.com.my</t>
  </si>
  <si>
    <t>MFRS program</t>
  </si>
  <si>
    <t>To add private endpoint for ptsg-1mfrswb01. For cyber security purpose</t>
  </si>
  <si>
    <t>Approved to add a private endpoint for ptsg-1mfrswb01 for cybersecurity purposes</t>
  </si>
  <si>
    <t>mfakhrul.islam@petronas.com</t>
  </si>
  <si>
    <t>This request is to deploy 1x Private Endpoint in existing the RG (PTAZSG-PROD-MFRS-RG) for ptsg-1mfrswb01 app service. This SR is good to go.</t>
  </si>
  <si>
    <t>The private endpoint for ptsg-1mfrswb01 has created</t>
  </si>
  <si>
    <t>muhdfirdaus.muhamad@petronas.com</t>
  </si>
  <si>
    <t>f12f17a3-31cb-4fc5-a3cd-f16243f041ec</t>
  </si>
  <si>
    <t>CSSP10960249</t>
  </si>
  <si>
    <t>A-000577</t>
  </si>
  <si>
    <t>Pipeline Integrity Management System - PIMS PGB</t>
  </si>
  <si>
    <t>SR10924</t>
  </si>
  <si>
    <t>Enhancement of PETRONAS Integrated Pipeline Integrity Assurance Solutions (i-PIMS) Phase 6</t>
  </si>
  <si>
    <t>Pipeline Digital Twin</t>
  </si>
  <si>
    <t>StagingUat</t>
  </si>
  <si>
    <t>Please read note from Excel estimate
Cost Center: 001PCT-306</t>
  </si>
  <si>
    <t>resources already created in PTAZSG-IAC-UAT-PIMS-DTOFFSHORE-RG</t>
  </si>
  <si>
    <t>CCoE Core Services (Public)</t>
  </si>
  <si>
    <t>90001eaf-3d3f-4dd6-95d8-751b3f1f3ba0</t>
  </si>
  <si>
    <t>CSSP10167368</t>
  </si>
  <si>
    <t>SR04104</t>
  </si>
  <si>
    <t>Pipeline of the Future (POTF) ‐ PiES, i‐PIMS, PrAnCorr &amp; PrAnSpan</t>
  </si>
  <si>
    <t>PPIES</t>
  </si>
  <si>
    <t>Please refer attachment,</t>
  </si>
  <si>
    <t>storage account x1 only.</t>
  </si>
  <si>
    <t>Completed.</t>
  </si>
  <si>
    <t>fatinamirah.mjonik@petronas.com</t>
  </si>
  <si>
    <t>REQ000007790536</t>
  </si>
  <si>
    <t>c926f0a1-95c7-4207-b4d8-25b10c27b47c</t>
  </si>
  <si>
    <t>CSSP10742290</t>
  </si>
  <si>
    <t>Please refer Estimate Excel</t>
  </si>
  <si>
    <t>PTAZSG-PROD-GTS-PIES-RG</t>
  </si>
  <si>
    <t>job completed</t>
  </si>
  <si>
    <t>asri.yaakub@petronas.com</t>
  </si>
  <si>
    <t>REQ000007627947</t>
  </si>
  <si>
    <t>14651415-23d8-4898-b4e2-0d1247d2bd11</t>
  </si>
  <si>
    <t>52b6334b-2415-4b0a-939f-23f769132df1</t>
  </si>
  <si>
    <t>CSSP10991554</t>
  </si>
  <si>
    <t>nabilifwat.muhamadh@petronas.com</t>
  </si>
  <si>
    <t>A-000093</t>
  </si>
  <si>
    <t>Barrier Management and HSSE - BMH - formerly Measure Validate and Predict - MVP</t>
  </si>
  <si>
    <t>02421_136</t>
  </si>
  <si>
    <t>Shared between 00915_103 and 00915_104 | AWS - Cloud Migration -Measure, Validate &amp; Predict (MVP) GPU | AWS - Cloud Migration - Measure, Validate &amp; Predict (MVP) GTR - From OLZ (MVP GPU &amp; MVP GTR) to NLZ (BMH)</t>
  </si>
  <si>
    <t>BMH</t>
  </si>
  <si>
    <t>Modify</t>
  </si>
  <si>
    <t>Request to provision private IP for the following staging app services in
AWS
SG: AWSReservedSSO_PTAW_APPS_BMH_GROUP
link: https://stg.bmh.petronas.com/
database: ptawsg-4bmhdb01.c444fcimx0qx.ap-southeast-1.rds.amazonaws.com 
API: sgpuapi.bmh.petronas.com
API: sgtrapi.bmh.petronas.com</t>
  </si>
  <si>
    <t>old request</t>
  </si>
  <si>
    <t>CCoE Demand</t>
  </si>
  <si>
    <t>d2f5d842-ec9f-45ad-a893-23615e186405</t>
  </si>
  <si>
    <t>36573b9c-80d1-4fa5-ad9b-9ff80edc8e21</t>
  </si>
  <si>
    <t>CSSP10488950</t>
  </si>
  <si>
    <t>A-001291</t>
  </si>
  <si>
    <t>Future Ready IoT to Drive Remote Operations via IoSync</t>
  </si>
  <si>
    <t>IOSync</t>
  </si>
  <si>
    <t>Virtual Assets Walkabout</t>
  </si>
  <si>
    <t>I would like to provision similar services as IOSYNC staging similar as per this request below to production
CSSP ID: CSSP10913193
IOSYNC CSSP: https://cssp.petronas.com/request/provisioning/cloud/public/view/13d422f3-90cb-4fff-9e73-712486080d51</t>
  </si>
  <si>
    <t>I believe there is another request for this since the project was completed</t>
  </si>
  <si>
    <t>f062f56e-396c-40f5-a78a-c1a1c573427f</t>
  </si>
  <si>
    <t>bc64bf9a-be4e-4a4f-953a-c0ec21d376cf</t>
  </si>
  <si>
    <t>CSSP10289134</t>
  </si>
  <si>
    <t>yannchang.tan@petronas.com</t>
  </si>
  <si>
    <t>A-000037</t>
  </si>
  <si>
    <t>AI Enablement Framework</t>
  </si>
  <si>
    <t>Support and Maintenance for AI Enablement Framework 2023-2024 for PDB</t>
  </si>
  <si>
    <t>debjani.sambasivam@petronas.com.my</t>
  </si>
  <si>
    <t>PDB_AI_Enablement</t>
  </si>
  <si>
    <t>Development</t>
  </si>
  <si>
    <t>Compute Name: PDB-CAD-FATHIN Assign To: Fathin Farhana Noordin (CAD/PDB) (fathinfarhana.noord@petronas.com.my) Virtual Machine Size: Standard_DS15_v2 (20 cores, 140 GB RAM, 280 GB disk) Scheduling Auto Shut Down: 60 minute</t>
  </si>
  <si>
    <t>debjani.sambasivam@petronas.com</t>
  </si>
  <si>
    <t>REQ000007894811</t>
  </si>
  <si>
    <t>f99ec12f-a075-40d0-8957-15cd4e72ddb4</t>
  </si>
  <si>
    <t>fbf5852f-d9c4-44b4-88ec-f71c1c63c90b</t>
  </si>
  <si>
    <t>CSSP10764223</t>
  </si>
  <si>
    <t>gary.chengkeanglim@petronas.com</t>
  </si>
  <si>
    <t>A-001303</t>
  </si>
  <si>
    <t>Project Command Centre (PCC)</t>
  </si>
  <si>
    <t>Project Command Centre (PCC) Phase 3</t>
  </si>
  <si>
    <t>wahidkahar@petronas.com.my</t>
  </si>
  <si>
    <t>Project Control Tower</t>
  </si>
  <si>
    <t>Setup ADF for PCC project</t>
  </si>
  <si>
    <t>wahidkahar@petronas.com</t>
  </si>
  <si>
    <t>Deploy all requested resources under the existing Resource Group (PTAZSG-IAC-DEV-PCT-RG) in Singapore.</t>
  </si>
  <si>
    <t>CSSP10764223 Development
CSSP10651043 StagingUat
CSSP10781388 Production</t>
  </si>
  <si>
    <t>amin.manshor@petronas.com</t>
  </si>
  <si>
    <t>REQ000007707581</t>
  </si>
  <si>
    <t>5a618235-0b34-4d04-8b74-5c4052b870d7</t>
  </si>
  <si>
    <t>d4767236-4313-4bf5-8cb1-6395b037a18d</t>
  </si>
  <si>
    <t>CSSP10651043</t>
  </si>
  <si>
    <t>Deploy all requested resources under the existing Resource Group (PTAZSG-IAC-UAT-PCT-RG) in Singapore.</t>
  </si>
  <si>
    <t>REQ000007707580</t>
  </si>
  <si>
    <t>8b2cd422-d017-401e-9909-9c6dea4c8d69</t>
  </si>
  <si>
    <t>CSSP10432529</t>
  </si>
  <si>
    <t>shahrulrizal.said@petronas.com</t>
  </si>
  <si>
    <t>A-000355</t>
  </si>
  <si>
    <t>HSE Intelligence Pod Multimodal AI Vision / Voice - HIPVISION</t>
  </si>
  <si>
    <t>Development of HSE Intelligence Pod (HIP) Multimodal AI (Vision, Voice)</t>
  </si>
  <si>
    <t>josephine.danielbav@petronas.com.my</t>
  </si>
  <si>
    <t>HIP Vision AI</t>
  </si>
  <si>
    <t>To Upgrade Kubernetes version in HIP SDI UAT environment to the latest version 1.35 as per discussed
RG = PTAZSG-IAC-UAT-HIPVISION-JAI-RG
AKS= ptsg-4hipvisionaks02, ptsg-4hipvisionaks03</t>
  </si>
  <si>
    <t>Urgently Required.</t>
  </si>
  <si>
    <t>josephine.danielbav@petronas.com</t>
  </si>
  <si>
    <t>Luis has provided updates to the requestor, Shahrulrizal B Said (Rizal) regarding the AKS version upgrade:
1)    ptsg-4hipvisionaks03
The control plane and its node pool have been successfully upgraded to the latest version, 1.34.0.
2) ptsg-4hipvisionaks02
  We need to discuss further, as the existing node pools must be replaced to obtain the latest version. Rizal will confirm with Dr. Liang regarding the node pool usage and will arrange an additional discussion with us if necessary.  
Note: As discussed with Rizal, Luis will close this ticket since the app team discussions and upgrade planning will take some time. Luis will coordinate the remaining items with Rizal via MS Teams.</t>
  </si>
  <si>
    <t>yeonghunn.ho@petronas.com</t>
  </si>
  <si>
    <t>REQ000007712065</t>
  </si>
  <si>
    <t>ea9ff09d-7f7a-482f-a081-c07b99b496a2</t>
  </si>
  <si>
    <t>3bb78a3c-f615-49b0-bb87-378288ebf03d</t>
  </si>
  <si>
    <t>CSSP10110126</t>
  </si>
  <si>
    <t>shafiq.hussein@petronas.com</t>
  </si>
  <si>
    <t>A-001290</t>
  </si>
  <si>
    <t>SAP Global Data Consolidation - GDC</t>
  </si>
  <si>
    <t>Enhancement for Global Data Consolidation (GDC) for MPM</t>
  </si>
  <si>
    <t>rohazlin.ahmad@petronas.com</t>
  </si>
  <si>
    <t>BPC GDC 2.0</t>
  </si>
  <si>
    <t>Request to provision Azure services for hosting internal APIs using container-based architecture. Solution includes Azure Container Services, API Management (Basic tier), Application Gateway, and Container Registry. The APIs are for internal use only with no external integration. SP, CS, and EA approvals have been completed.</t>
  </si>
  <si>
    <t>darliz.zainol@petronas.com</t>
  </si>
  <si>
    <t>REQ000007729086</t>
  </si>
  <si>
    <t>e92680b4-8369-4236-9fda-0430bb8e1dfb</t>
  </si>
  <si>
    <t>7526d2f5-1eba-42d9-aa96-708c1e73af60</t>
  </si>
  <si>
    <t>CSSP10893348</t>
  </si>
  <si>
    <t>AI Enablement for PDB</t>
  </si>
  <si>
    <t>Compute Name: PDB-CAD-KENNETH Assign To: Kenneth Lau Kheng Soong (kenneth.laukhengsoon@petronas.com.my) Virtual Machine Size: Standard_DS15_v2 (20 cores, 140 GB RAM, 280 GB disk) Scheduling Auto Shut Down: 60 minute</t>
  </si>
  <si>
    <t>ML compute. perform this in ML studio.
https://portal.azure.com/#@PETRONAS.onmicrosoft.com/resource/subscriptions/b5a67ad5-d38a-4258-aa5e-31e39d3b709f/resourceGroups/PTAZSG-DEV-AIPDB-RG/providers/Microsoft.MachineLearningServices/workspaces/ptsg-5aipdbml01/overview</t>
  </si>
  <si>
    <t>done.</t>
  </si>
  <si>
    <t>azhan.shazeli@petronas.com</t>
  </si>
  <si>
    <t>REQ000007795697</t>
  </si>
  <si>
    <t>4698f3c6-9b1b-49ab-8edd-5e8f539e07e1</t>
  </si>
  <si>
    <t>CSSP10726338</t>
  </si>
  <si>
    <t>norhajarsyazwani.moh@petronas.com</t>
  </si>
  <si>
    <t>A-000633</t>
  </si>
  <si>
    <t>Price Management Tool - PMT</t>
  </si>
  <si>
    <t>Provision of Support &amp; Maintenance for Price Management Tool (PMT) 2.0 for PCML</t>
  </si>
  <si>
    <t>noraziah.aziz@petronas.com.my</t>
  </si>
  <si>
    <t>PMT2.0 Application Support and Maintenance</t>
  </si>
  <si>
    <t>To upgrade kubernetes version, ubuntu version and add one (1) additional node in ptsg-4pmtaks. 
AKS cluster to be upgraded to 1.33.0.
Ubuntu version to be upgraded to 22.04
Please assign to Mohamad Izzat Hazwan Romainor (IS/DIGITAL).</t>
  </si>
  <si>
    <t>Approved as advise by support personnel</t>
  </si>
  <si>
    <t>noraziah.aziz@petronas.com</t>
  </si>
  <si>
    <t>as per approved by cloud demand.</t>
  </si>
  <si>
    <t>izzat.romainor@petronas.com</t>
  </si>
  <si>
    <t>REQ000007743308</t>
  </si>
  <si>
    <t>2505cb08-b067-4c2b-8956-f83a94b5cf3a</t>
  </si>
  <si>
    <t>5a97c8e5-f0a8-422c-866a-2ca5eabef156</t>
  </si>
  <si>
    <t>CSSP10283623</t>
  </si>
  <si>
    <t>dingjie.khoo@petronas.com</t>
  </si>
  <si>
    <t>A-000820</t>
  </si>
  <si>
    <t>Upstream Commercial Finance - UCF</t>
  </si>
  <si>
    <t>Implementation of Documents Comparison Tool for Upstream Commercial Finance (UCF)</t>
  </si>
  <si>
    <t>Upstream_Commercial_Finance</t>
  </si>
  <si>
    <t>Current Azure AI Foundry Resource in East US does not have latest AI model: GPT5.2
Request to create a new Azure AI Foundry Resource in a different availability zone
East US 2 
Resource Group: PTAZSG-IAC-DAA-DEV-UCF-RG
Business requires this latest model to boost performance and reduce wait time</t>
  </si>
  <si>
    <t>Need for fulfilling upstream finance work</t>
  </si>
  <si>
    <t>DAA</t>
  </si>
  <si>
    <t>Quota related. Completed</t>
  </si>
  <si>
    <t>fathulrahman.misba@petronas.com</t>
  </si>
  <si>
    <t>REQ000007803681</t>
  </si>
  <si>
    <t>e25fc1c4-dbf2-4838-8f25-d590a60212e5</t>
  </si>
  <si>
    <t>cdd4a014-5097-4a7d-a741-70641ab2172f</t>
  </si>
  <si>
    <t>CSSP10469672</t>
  </si>
  <si>
    <t>hairol.zainul@petronas.com</t>
  </si>
  <si>
    <t>ELN for STAR Project for PCGB</t>
  </si>
  <si>
    <t>To provision cloud VM server and Oracle RDS database for LIMS ELN module at AWS PETRONAS cloud Test environment.</t>
  </si>
  <si>
    <t>ok noted and pls proceed as per plan.</t>
  </si>
  <si>
    <t>Provision EC2 and RDS in AWS</t>
  </si>
  <si>
    <t>REQ000007755919</t>
  </si>
  <si>
    <t>094b0a7e-cc8c-4a71-a978-7149a45f7482</t>
  </si>
  <si>
    <t>d5465d1b-34d6-4fba-875e-6ded40c465c7</t>
  </si>
  <si>
    <t>CSSP10109255</t>
  </si>
  <si>
    <t>ahmadaimanhakim.nora@petronas.com</t>
  </si>
  <si>
    <t>A-000361</t>
  </si>
  <si>
    <t>Integrated Asset Modelling - IAM</t>
  </si>
  <si>
    <t>Implementation of development, testing and production server for Integrated Asset Modelling (IAM) for COE, PCSB</t>
  </si>
  <si>
    <t>syariffudin@petronas.com</t>
  </si>
  <si>
    <t>Project IAM</t>
  </si>
  <si>
    <t>Please provision this new 8 servers for DOF/IAM Project. Attached is the excel file containing the server specification (Hostname , RAM, CPU &amp; Storage) of the new servers to be provision.</t>
  </si>
  <si>
    <t>pls proceed</t>
  </si>
  <si>
    <t>Good to go. Provision in the existing RG (PTAZSG-PROD-PETEX-IAM-RG)</t>
  </si>
  <si>
    <t>PTAZSG-PROD-PETEX-IAM-RG</t>
  </si>
  <si>
    <t>Provision VM done.</t>
  </si>
  <si>
    <t>REQ000007759450</t>
  </si>
  <si>
    <t>fe80e76e-a9eb-4430-8940-992f48d3788e</t>
  </si>
  <si>
    <t>5daca592-0d7f-456b-bd6b-f321998778ed</t>
  </si>
  <si>
    <t>CSSP10971128</t>
  </si>
  <si>
    <t>hadi.hairi@petronas.com</t>
  </si>
  <si>
    <t>A-001312</t>
  </si>
  <si>
    <t>DSSR 3.0 Proof of Value of Data Exchange Agreement (POC)</t>
  </si>
  <si>
    <t>SR00239</t>
  </si>
  <si>
    <t>Digital Sustainability Strategy review 3.0 | Proof of Value of Data Exchange Agreement (WS2)</t>
  </si>
  <si>
    <t>Proof of Value of Data Exchange Agreement (WS2)</t>
  </si>
  <si>
    <t>SandboxPocPetronet</t>
  </si>
  <si>
    <t>Proof of Concept. Will decommission these resources once the POC has been completed.</t>
  </si>
  <si>
    <t>PoC AWS / non-prod</t>
  </si>
  <si>
    <t>REQ000007795526</t>
  </si>
  <si>
    <t>70e10157-5594-4696-b5ae-987d65a7fa56</t>
  </si>
  <si>
    <t>332dd88c-6ac4-40ae-a831-e5d962aa59c5</t>
  </si>
  <si>
    <t>CSSP10357282</t>
  </si>
  <si>
    <t>nursalikeen.saparai@petronas.com</t>
  </si>
  <si>
    <t>A-000045</t>
  </si>
  <si>
    <t>Alpha Oil</t>
  </si>
  <si>
    <t>Support Services of Alpha Oil – WS2 DevSecOps for Malaysia Petroleum Management (MPM)</t>
  </si>
  <si>
    <t>yngsheng.toh@petronas.com</t>
  </si>
  <si>
    <t>To provision Azure Data Factory and Azure Function for development environment only. The new Azure Function will be used to serve Azure Data Factory endpoints.</t>
  </si>
  <si>
    <t>Based on the email correspondence, the business owner has confirmed agreement to proceed with the deployment of resources, replacing Talend with Azure Data Factory.</t>
  </si>
  <si>
    <t>df and azure function.
PTAZSG-IAC-DEV-ALPHA-OIL-RG</t>
  </si>
  <si>
    <t>akhmal.roslan@petronas.com</t>
  </si>
  <si>
    <t>REQ000007794177</t>
  </si>
  <si>
    <t>068bb9e2-7634-4ac4-b94c-0a9bb274301b</t>
  </si>
  <si>
    <t>b95199cd-799f-4205-8ce1-a63827b7efa9</t>
  </si>
  <si>
    <t>CSSP10868310</t>
  </si>
  <si>
    <t>ungkuahmadimran.ung@petronas.com</t>
  </si>
  <si>
    <t>P-000006</t>
  </si>
  <si>
    <t>OpenText</t>
  </si>
  <si>
    <t>Upgrade of Opentext Enterprise Context Management (ECM) and Business Process Management (BPM) for PETRONAS</t>
  </si>
  <si>
    <t>samsuddin.abdaziz@petronas.com.my</t>
  </si>
  <si>
    <t>UIP is configured to store index backups in a non production storage account, and the connection between production and non production resources is no longer permitted. This new provisioning for FileShare storage account will be replace the non compliant setup.</t>
  </si>
  <si>
    <t>Reviewed and approved the request to fix the non-compliance setup and mitigate the system performance issue.</t>
  </si>
  <si>
    <t>samsuddin.abdaziz@petronas.com</t>
  </si>
  <si>
    <t>deploy new storage account ptazsg1ecmfs02.
ptazsg-prod-ot-rg
clickops</t>
  </si>
  <si>
    <t>REQ000007794808</t>
  </si>
  <si>
    <t>de37ed9b-d8c1-4b5d-ac53-e8e182d20f22</t>
  </si>
  <si>
    <t>7915320d-f1bd-400c-beb6-5012a78cf12c</t>
  </si>
  <si>
    <t>CSSP10556410</t>
  </si>
  <si>
    <t>A-001313</t>
  </si>
  <si>
    <t>PLI ACS</t>
  </si>
  <si>
    <t>SR25040</t>
  </si>
  <si>
    <t>Migration of SMTP Basic Authentication to Azure Communication Services for PLISB</t>
  </si>
  <si>
    <t>ACS PLI</t>
  </si>
  <si>
    <t>To provision new Azure Communication Services for PLISB</t>
  </si>
  <si>
    <t>acs project implementation for PLI</t>
  </si>
  <si>
    <t>Provision new Azure Communication Services for PLISB</t>
  </si>
  <si>
    <t>resources provisioned</t>
  </si>
  <si>
    <t>mhafizi.madnan@petronas.com</t>
  </si>
  <si>
    <t>REQ000007785777</t>
  </si>
  <si>
    <t>924e275a-e1c4-449a-81db-f3c153a73231</t>
  </si>
  <si>
    <t>e9ecc3de-7e08-43d4-814f-c8a241a7eced</t>
  </si>
  <si>
    <t>CSSP10571003</t>
  </si>
  <si>
    <t>New function apps in HIP UAT environment</t>
  </si>
  <si>
    <t>CSSP10509086 CSSP10571003 -</t>
  </si>
  <si>
    <t>Has created the Azure function app, ptazsg-4hipsdistream in the RG PTAZSG-IAC-UAT-HIPVISION-JAI-RG</t>
  </si>
  <si>
    <t>REQ000007803716</t>
  </si>
  <si>
    <t>c507aad2-d329-45d6-b097-f90d74fe0802</t>
  </si>
  <si>
    <t>CSSP10509086</t>
  </si>
  <si>
    <t>New function apps in Production environment</t>
  </si>
  <si>
    <t>CSSP10509086 CSSP10571003</t>
  </si>
  <si>
    <t>Has created the Azure Function app, ptazsg-1hipsdistream in the RG PTAZSG-IAC-PROD-HIPVISION-JAI-RG</t>
  </si>
  <si>
    <t>REQ000007803715</t>
  </si>
  <si>
    <t>2dee6c18-2383-46ae-a71b-4bcaaee911fa</t>
  </si>
  <si>
    <t>CSSP10451453</t>
  </si>
  <si>
    <t>liang.kimmeng@petronas.com.my</t>
  </si>
  <si>
    <t>Deployment of gpt-image-1 in ptsg-5hipvison-openai located in PTAZSG-DEV-HIPVISION-JAI-RG.</t>
  </si>
  <si>
    <t>As per plan</t>
  </si>
  <si>
    <t>liang.kimmeng@petronas.com</t>
  </si>
  <si>
    <t>OLZ.</t>
  </si>
  <si>
    <t>ahmadfirdaus.adnan@petronas.com</t>
  </si>
  <si>
    <t>REQ000007804055</t>
  </si>
  <si>
    <t>63d1814c-5dc1-4772-8e7f-984aa119a289</t>
  </si>
  <si>
    <t>CSSP10494922</t>
  </si>
  <si>
    <t>Provisioning of 2 Separate Compute Instances in ptazsg-5ailabmlw01. Please assign HSE-AILAB-IZZAH to izzahmaisarah.moha@petronas.com.my.
And HSE-AILAB-ANGLEE to leetze.an@petronas.com.my.</t>
  </si>
  <si>
    <t>as per plan</t>
  </si>
  <si>
    <t>ML compute</t>
  </si>
  <si>
    <t>Request done.</t>
  </si>
  <si>
    <t>REQ000007804054</t>
  </si>
  <si>
    <t>dce1c7d6-5af4-4fcd-abdd-62148ec8fa6c</t>
  </si>
  <si>
    <t>CSSP10603892</t>
  </si>
  <si>
    <t>Provisioning of 1 Compute Instances in ptazsg-5ailabmlw01. Please assign HSE-AILAB-IMRAN to ahmadimran.khairulsa@petronas.com.my</t>
  </si>
  <si>
    <t>fd5e7d27-deed-40e8-b11d-3cc760517878</t>
  </si>
  <si>
    <t>CSSP10577297</t>
  </si>
  <si>
    <t>EPTW UAUC OSIS POINT for ENEOS Xplora</t>
  </si>
  <si>
    <t>Requesting New Azure Cloud Resources for two applications; UAUC (Staging) &amp; OSIS (Staging). please refer file attached for details (Azure Cloud server detail, CSBIA, and SOW)</t>
  </si>
  <si>
    <t>approved for vipsb resources</t>
  </si>
  <si>
    <t>https://dev.azure.com/Digital-Delivery/EPTW%20UAUC%20OSIS%20POINT%20for%20ENEOS%20Xplora</t>
  </si>
  <si>
    <t>The New Azure Cloud Resources for two applications; UAUC (Staging) &amp; OSIS (Staging) has been provisioned</t>
  </si>
  <si>
    <t>REQ000007814122</t>
  </si>
  <si>
    <t>c2005f6a-1df6-405b-8f7f-1c709c1738b1</t>
  </si>
  <si>
    <t>fbeaefe9-5924-4fd6-beb9-98ac0301d7cb</t>
  </si>
  <si>
    <t>CSSP10601579</t>
  </si>
  <si>
    <t>A-000354</t>
  </si>
  <si>
    <t>HIP.AI</t>
  </si>
  <si>
    <t>Request to add new AZ function as per attached</t>
  </si>
  <si>
    <t>REQ000007819838</t>
  </si>
  <si>
    <t>dffc798b-8629-447b-9c6c-13563df2b5ac</t>
  </si>
  <si>
    <t>e40690ac-2919-4250-b33b-74feeb704eb3</t>
  </si>
  <si>
    <t>CSSP10794553</t>
  </si>
  <si>
    <t>New AZ function in production</t>
  </si>
  <si>
    <t>Create new resource done.</t>
  </si>
  <si>
    <t>REQ000007822250</t>
  </si>
  <si>
    <t>7f9adaa5-f387-4ddf-b676-a88d8c8db72e</t>
  </si>
  <si>
    <t>CSSP10347506</t>
  </si>
  <si>
    <t>natasha.lupang@petronas.com</t>
  </si>
  <si>
    <t>A-000866</t>
  </si>
  <si>
    <t>Yayasan PETRONAS</t>
  </si>
  <si>
    <t>PSR05912</t>
  </si>
  <si>
    <t>Provisioning of Microsoft Azure Cloud for Yayasan PETRONAS Website for Yayasan PETRONAS</t>
  </si>
  <si>
    <t>shielynn.lim@petronas.com.my</t>
  </si>
  <si>
    <t>to provision new server red hat 9.6 in replacing the EOL server (PTSG-1YSPwb01). Approval from HOD is as attached.</t>
  </si>
  <si>
    <t>Approved &amp; team is to ensure the request for new server is expedited so as to allow for and ensure optimal YP website performance and timely content updates.</t>
  </si>
  <si>
    <t>shielynn.lim@petronas.com</t>
  </si>
  <si>
    <t>ptazsg-prod-ysp-rg</t>
  </si>
  <si>
    <t>Linux migration completed</t>
  </si>
  <si>
    <t>REQ000007819502</t>
  </si>
  <si>
    <t>0d817e47-fc88-4ab5-b5c9-d84574351cf0</t>
  </si>
  <si>
    <t>f54f3cdf-9b03-4459-999a-9d1e27597115</t>
  </si>
  <si>
    <t>CSSP10636896</t>
  </si>
  <si>
    <t>This is to request the migration of the non-compliant Ubuntu operating system currently running on 
PTSG-1CMPSap02 to RedHat. A new VM is required to be provisioned with the same specifications and disk configurations as PTSG-1CMPSap02, but with RedHat OS.
The new VM will use a new hostname and IP address. Once provisioned, the application team will conduct the migration activities. Upon successful migration, the decommissioning process for the old VM will be initiated.</t>
  </si>
  <si>
    <t>migration</t>
  </si>
  <si>
    <t>virtual machine provisioned</t>
  </si>
  <si>
    <t>REQ000007828107</t>
  </si>
  <si>
    <t>90296959-c21f-48ac-8658-df869ee75354</t>
  </si>
  <si>
    <t>3d79c2dd-4e29-4b9c-b671-002b9acb0069</t>
  </si>
  <si>
    <t>CSSP10823957</t>
  </si>
  <si>
    <t>hasrol.yusop@petronas.com</t>
  </si>
  <si>
    <t>A-000663</t>
  </si>
  <si>
    <t>SR00620</t>
  </si>
  <si>
    <t>Provision ProSource Application server, DataBase Server (Oracle DB), Application License server &amp; Data Transfer server.
Others service category as below:
Azure Backup - Management and governance
Azure Monitor - DevOps
Microsoft Defender for Cloud - Security
Key Vault - Security
Azure ExpressRoute - Dedicated ER (PGSC to Azure)
Virtual Machines - VM300 Firewall
Load Balancer - LB for VM300 Firewall</t>
  </si>
  <si>
    <t>Reviewed with no further comments.</t>
  </si>
  <si>
    <t>ER to pgsc.</t>
  </si>
  <si>
    <t>REQ000007828116</t>
  </si>
  <si>
    <t>1f46f82f-3716-4404-aa90-fc69f4af663f</t>
  </si>
  <si>
    <t>b1914e57-46b1-491e-a258-da6874c15746</t>
  </si>
  <si>
    <t>CSSP10625196</t>
  </si>
  <si>
    <t>M-000065</t>
  </si>
  <si>
    <t>Qumulo</t>
  </si>
  <si>
    <t>00620_MP</t>
  </si>
  <si>
    <t>Service category: Compute
Service type: 
i. Virtual Machines &amp; 
ii. Storage
Custom name: 
i. Qumulo VM - 8 units &amp; 
ii. Managed Disks 256GB for Qumulo VM - 8 units
**for the Estimated cloud calculation as per attached (highlighted in green).
Please refer to attachment for the TerraForm and Prerequisites</t>
  </si>
  <si>
    <t>kianleng.geh@petronas.com</t>
  </si>
  <si>
    <t>additional Qumulo service requirement needed</t>
  </si>
  <si>
    <t>REQ000007815535</t>
  </si>
  <si>
    <t>04019988-55f0-400f-9bac-e9b452cd7184</t>
  </si>
  <si>
    <t>834110d1-0df1-4a62-9971-bac13fe28bb7</t>
  </si>
  <si>
    <t>CSSP10904562</t>
  </si>
  <si>
    <t>manas.dutta@petronas.com</t>
  </si>
  <si>
    <t>A-001315</t>
  </si>
  <si>
    <t>PDB Data &amp; Intelligence Platform</t>
  </si>
  <si>
    <t>SR25023</t>
  </si>
  <si>
    <t>manas.dutta@petronas.com.my</t>
  </si>
  <si>
    <t>PDB Data and Intelligence Platform</t>
  </si>
  <si>
    <t>All the necessary documents are attached herewith
This setup need Deployment of Databricks is Azure Vnet and also the databricks URL needs to be private and accessable only using PETRONAS network. So if needed any help, do reachout to me, can ask Microsoft and Databricks SME to join a call for this complex setup.</t>
  </si>
  <si>
    <t>Approve from my end</t>
  </si>
  <si>
    <t>new environment</t>
  </si>
  <si>
    <t>resources provisioned by amin mansor</t>
  </si>
  <si>
    <t>REQ000007819500</t>
  </si>
  <si>
    <t>b4e60f9a-b7c8-4e1d-8847-6f2e75534143</t>
  </si>
  <si>
    <t>79fd6c2d-8db4-459e-b3e7-ffd955e88417</t>
  </si>
  <si>
    <t>CSSP10391326</t>
  </si>
  <si>
    <t>A-001316</t>
  </si>
  <si>
    <t>Azure Cloud Hosting for KLCC Group Intranet and Internet</t>
  </si>
  <si>
    <t>SR25038</t>
  </si>
  <si>
    <t>Provision of Azure Cloud Hosting for KLCC Group Intranet and Internet</t>
  </si>
  <si>
    <t>KLCCNET</t>
  </si>
  <si>
    <t>To provision new Azure Cloud Hosting for KLCC Group Intranet and Internet</t>
  </si>
  <si>
    <t>approve for deployment</t>
  </si>
  <si>
    <t>CSSP10391326 CSSP10608230</t>
  </si>
  <si>
    <t>resource deployed</t>
  </si>
  <si>
    <t>REQ000007802176</t>
  </si>
  <si>
    <t>19aef280-d1db-4a1f-8c78-d3476b78c5ff</t>
  </si>
  <si>
    <t>a31d7427-0502-4fd9-a922-9ffaf38bbb68</t>
  </si>
  <si>
    <t>CSSP10608230</t>
  </si>
  <si>
    <t>REQ000007802177</t>
  </si>
  <si>
    <t>320b30e1-9f8d-4bb0-a3c8-d8e877762d2c</t>
  </si>
  <si>
    <t>CSSP10579375</t>
  </si>
  <si>
    <t>norashikin.hasna@petronas.com</t>
  </si>
  <si>
    <t>A-000480</t>
  </si>
  <si>
    <t>Mygenie</t>
  </si>
  <si>
    <t>02421_83</t>
  </si>
  <si>
    <t>Cloud Migration Program - Mygenie+ Admin Portal</t>
  </si>
  <si>
    <t>saniza.ismail@petronas.com.my</t>
  </si>
  <si>
    <t>MyGenie Admin Portal</t>
  </si>
  <si>
    <t>Qa Server for myGenie+ : PTSG-5MYGENAP01
Current = D2as v4 (2 vCPU 7 &amp; 8 GB RAM)
New = D2as v4 (4 vCPU 7 &amp; 16 GB RAM)</t>
  </si>
  <si>
    <t>Need additional capacity due to high utilization cause slowness to myGenie QA</t>
  </si>
  <si>
    <t>Kindly provide the estimated cost in Excel format (including the required SKU specifications), downloaded from the Azure calculator website. For assistance with the cost calculator, please contact Samsuddin B. Jumbri (IS/DIGITAL) or Geh Kian Leng (IS/DIGITAL).</t>
  </si>
  <si>
    <t>c6a63b47-bf9e-4308-9a85-4fcd7d745577</t>
  </si>
  <si>
    <t>e14539b2-3e1d-4f64-9589-89e2aee4ab7d</t>
  </si>
  <si>
    <t>CSSP10518956</t>
  </si>
  <si>
    <t>01824_1</t>
  </si>
  <si>
    <t>CloudSSP</t>
  </si>
  <si>
    <t>to provision one ASP in prod ASE for Logic App usage to comply with DPIA</t>
  </si>
  <si>
    <t>proceed for deployment</t>
  </si>
  <si>
    <t>assigned to Afnan for provisioning</t>
  </si>
  <si>
    <t>afnanfarhan.dzaharud@petronas.com</t>
  </si>
  <si>
    <t>REQ000007805507</t>
  </si>
  <si>
    <t>721a9131-21b0-4e6a-873f-fbc67d1f7a35</t>
  </si>
  <si>
    <t>7b00047c-b5a7-4e18-ac59-96a67cd2d2cb</t>
  </si>
  <si>
    <t>CSSP10788217</t>
  </si>
  <si>
    <t>EDH Core Team</t>
  </si>
  <si>
    <t>Requesting a new VM to scale out SHIR for Azure Data Factory as recommended by Microsoft Support. Please refer to attached ExportedEstimate for important notes.</t>
  </si>
  <si>
    <t>As per described in email of suggestion from internal and microsoft. This is needed to ensure performance is not at stake</t>
  </si>
  <si>
    <t>PTAZSG-PROD-TALEND-EDH-RG</t>
  </si>
  <si>
    <t>wanahmadfaizal.wanm@petronas.com</t>
  </si>
  <si>
    <t>REQ000007813011</t>
  </si>
  <si>
    <t>2e605ebc-324b-45bb-8e38-703ce36609f3</t>
  </si>
  <si>
    <t>ed53447e-494d-41f1-82c3-9187f60e7955</t>
  </si>
  <si>
    <t>CSSP10283005</t>
  </si>
  <si>
    <t>azure-terraform-iac-daa-caf-configuration</t>
  </si>
  <si>
    <t>RG: PTAZSG-IAC-DAA-PROD-GUROBI-RG
Resource: PTSG-1GUROBIap01
Need to migrate the VM in from using Ubuntu 18.04 to using CoC approved VM running on RHEL OS</t>
  </si>
  <si>
    <t>To upgrade mongo db server</t>
  </si>
  <si>
    <t>Resources provisioned</t>
  </si>
  <si>
    <t>REQ000007858990</t>
  </si>
  <si>
    <t>40f38073-a217-4238-a072-e59828a6d0da</t>
  </si>
  <si>
    <t>41d403d3-91ef-4a92-9a31-8b7549f61426</t>
  </si>
  <si>
    <t>CSSP10387983</t>
  </si>
  <si>
    <t>RG: PTAZSG-IAC-DAA-DEV-GUROBI-RG
Resource: ptazsg-5gurobiaks01
Upsize: Increase the node size from 16vCPU to 32vCPU. Standard_F16s_v2 to Standard_F32s_v2</t>
  </si>
  <si>
    <t>Projects are ramping up testing</t>
  </si>
  <si>
    <t>New node pool configured.</t>
  </si>
  <si>
    <t>REQ000007849082</t>
  </si>
  <si>
    <t>16b5df83-687f-44fb-ad8a-78d3a1cbe2c3</t>
  </si>
  <si>
    <t>CSSP10331232</t>
  </si>
  <si>
    <t>To upgrade Kubernetes version, ubuntu version and add one (1) additional node in ptsg-1pmtaks. AKS cluster to be upgraded to 1.33.0. Ubuntu version to be upgraded to 22.04. Please assign to Mohamad Izzat Hazwan Romainor (IS/DIGITAL). If Hazwan is not available kindly nominate other support PIC. Thank you.</t>
  </si>
  <si>
    <t>ICT_RFC00218881</t>
  </si>
  <si>
    <t>approved as advise by support</t>
  </si>
  <si>
    <t>unix vm</t>
  </si>
  <si>
    <t>RFC task assigned to Luis and it is completed.</t>
  </si>
  <si>
    <t>REQ000007859219</t>
  </si>
  <si>
    <t>d92a319e-9028-481a-9898-063051993069</t>
  </si>
  <si>
    <t>CSSP10646457</t>
  </si>
  <si>
    <t>noraini.abdjalil@petronas.com</t>
  </si>
  <si>
    <t>A-000804</t>
  </si>
  <si>
    <t>TEA</t>
  </si>
  <si>
    <t>00971_2</t>
  </si>
  <si>
    <t>PDB landing zone TEA Application</t>
  </si>
  <si>
    <t>shawnbenedict.anthon@petronas.com.my</t>
  </si>
  <si>
    <t>PETRONAS_AWS_Cloud_LandingZone</t>
  </si>
  <si>
    <t>This request is part of a migration activity to upgrade the operating system from Ubuntu 20.04, which is approaching end of life, to Ubuntu 24.04.
To support this migration, we request the provisioning of new EC2 servers in the NLZ environment with instance specifications identical to the existing servers. The only difference is that all newly provisioned servers must be loaded with Ubuntu 24.04.
1. Staging Environment (NLZ)
Please provision two (2) empty EC2 servers with specifications identical to the following existing staging instances:
Server 1, IP Address 10.84.98.121, Role API
Server 2, IP Address 10.84.98.4, Role Portal
In addition, please provision two (2) load balancers, each with a temporary domain, to serve the respective backend and frontend servers listed above.
2. Detailed Requirements
1. All newly provisioned servers must be loaded with Ubuntu 24.04 as the operating system. 
Please ensure that the correct AMI is selected during provisioning, as referenced in the attached 
image. (Refer to attachment)
2. Support from the NLZ administration team will be required to copy the authorized_keys file from the existing servers to the newly provisioned servers. This is necessary to maintain continuity of SSH access using our current private keys and to avoid any access disruption during the migration process.
3. Upon completion of the server provisioning, please provide the IP addresses of all newly created servers so that we can promptly verify SSH connectivity and confirm that access has been set up correctly.
4. Once SSH access is successfully validated, our team will proceed with the setup and configuration of the TEA backend and frontend services on their respective servers. This will include application deployment, configuration validation, and basic service checks to ensure the environment is ready for testing.
5. After the application setup is completed, assistance from the NLZ administration team will be required to provision a temporary load balancer and temporary domain. This will enable comprehensive end-to-end testing of the migrated code in an isolated environment, without impacting the existing setup.|
6. If provisioning a load balancer is not feasible, an alternative solution that supports full end-to end testing would be acceptable, such as exposing the services through AWS CloudFront, provided that both the API and portal endpoints are accessible.
7. Upon successful completion of all testing and validation activities, support from the administration team will be required to move the new servers from the temporary load balancer target group to the existing staging load balancer target group and domain.
8. The above final step will confirm that the migrated setup is functioning correctly and is seamlessly integrated into the current staging environment.</t>
  </si>
  <si>
    <t>This is required for CS upgrade</t>
  </si>
  <si>
    <t>shawnbenedict.anthon@petronas.com</t>
  </si>
  <si>
    <t>Please provide all attachments, i.e. approved SOW, SP CS BIA, intended design(approved myHLD)</t>
  </si>
  <si>
    <t>8c439d80-c07f-4823-acc0-f1852d6b6218</t>
  </si>
  <si>
    <t>1454552b-cfba-41bf-9e1b-716349b8bb51</t>
  </si>
  <si>
    <t>CSSP10772940</t>
  </si>
  <si>
    <t>mnazli.sukimin@petronas.com</t>
  </si>
  <si>
    <t>iLIMS PCGB</t>
  </si>
  <si>
    <t>to add storage (100GB) at new drive (E:/) on newly provisioned VM (PTAWMY-4LPCGAP1) under CSSP request no CSSP10469672.</t>
  </si>
  <si>
    <t>assigned/emailed on 22nd.</t>
  </si>
  <si>
    <t>REQ000007846322</t>
  </si>
  <si>
    <t>79e594d8-f088-4aa8-9578-92e49b26c9c1</t>
  </si>
  <si>
    <t>CSSP10986022</t>
  </si>
  <si>
    <t>A-001318</t>
  </si>
  <si>
    <t>Plant State Integrity - PSI PCOGD</t>
  </si>
  <si>
    <t>SR00050</t>
  </si>
  <si>
    <t>Provisioning Server for RTOT Upgrading for PCOGD</t>
  </si>
  <si>
    <t>PAMS</t>
  </si>
  <si>
    <t>To provision new VM at level 4</t>
  </si>
  <si>
    <t>Requested to resubmit</t>
  </si>
  <si>
    <t>c4badc52-dfe2-4bc1-b7e5-0a9c5d89fdbb</t>
  </si>
  <si>
    <t>9aef2064-d0c0-418f-b515-c8c62d398819</t>
  </si>
  <si>
    <t>CSSP10155550</t>
  </si>
  <si>
    <t>To provision new server for AMS</t>
  </si>
  <si>
    <t>please proceed</t>
  </si>
  <si>
    <t>2x VM</t>
  </si>
  <si>
    <t>REQ000007849342</t>
  </si>
  <si>
    <t>205e1923-668a-4370-b2f0-a950e3f8af66</t>
  </si>
  <si>
    <t>CSSP10994966</t>
  </si>
  <si>
    <t>A-000605</t>
  </si>
  <si>
    <t>Plant Information - PI Vestigo</t>
  </si>
  <si>
    <t>02421_64</t>
  </si>
  <si>
    <t>Cloud Migration Program - PI Vestigo</t>
  </si>
  <si>
    <t>Migration of PI System for Vestigo Operatorship Transfer</t>
  </si>
  <si>
    <t>ESTRELLA: Migration of Plant Information (PI) System for Vestigo Operatorship Transfer
Provision new PI Vision server for Vestigo</t>
  </si>
  <si>
    <t>Please proceed. Part of Estrella scope.</t>
  </si>
  <si>
    <t>new ADO &amp; RG (unless requested by user to be in PTAZSG-PROD-VESTIGO-RG (different tagging).</t>
  </si>
  <si>
    <t>meeting held on 30/3/26 - requester agreed to provision in AWS - to aligned with cloud repatriation AWS SG to MY.</t>
  </si>
  <si>
    <t>REQ000007881725</t>
  </si>
  <si>
    <t>5d3fb87b-9d92-4201-8beb-3a6b20d59907</t>
  </si>
  <si>
    <t>c9853726-3588-45a8-9fbe-c2d8d69199e2</t>
  </si>
  <si>
    <t>CSSP10683335</t>
  </si>
  <si>
    <t>A-001320</t>
  </si>
  <si>
    <t>Plant Information - PI BASIL PCMTBE</t>
  </si>
  <si>
    <t>PSR00621</t>
  </si>
  <si>
    <t>Provisioning of PI &amp; BASIL Plant Infrastructure for PETRONAS Chemicals MTBE</t>
  </si>
  <si>
    <t>Provisioning of PI Infrastructure (BASIL Plant) for PCMTBE</t>
  </si>
  <si>
    <t>To provision 3 new Azure VMs accordingly.</t>
  </si>
  <si>
    <t>VM and SQL vm</t>
  </si>
  <si>
    <t>REQ000007881168</t>
  </si>
  <si>
    <t>d0464d7c-9244-49d6-bfa4-e8081b7fd90e</t>
  </si>
  <si>
    <t>f82edd71-3b20-4c1a-a54d-631d99b29fff</t>
  </si>
  <si>
    <t>CSSP10142017</t>
  </si>
  <si>
    <t>Compute Name: PDB-CAD-SHUSHOMA Assign To: Sushama Ghodke (sushama.ghodke@petronas.com) Virtual Machine Size: Standard_DS15_v2 (20 cores, 140 GB RAM, 280 GB disk) Scheduling Auto Shut Down: 60 minute
Compute Name: PDB-CAD-AVADUT Assign To: Avadhut Kulkarni (avadhut.kulkarni@petronas.com) Virtual Machine Size: Standard_DS15_v2 (20 cores, 140 GB RAM, 280 GB disk) Scheduling Auto Shut Down: 60 minute
Compute Name: PDB-CAD-SUFIYA Assign To: Sufiya Jakate (sufiya.jakate@petronas.com) Virtual Machine Size: Standard_DS15_v2 (20 cores, 140 GB RAM, 280 GB disk) Scheduling Auto Shut Down: 60 minute
Compute Name: PDB-CAD-KANISHKA Assign To: Kanishka Batra (kanishka.batra@petronas.com) Virtual Machine Size: Standard_DS15_v2 (20 cores, 140 GB RAM, 280 GB disk) Scheduling Auto Shut Down: 60 minute</t>
  </si>
  <si>
    <t>This is required for Analytics Works for CAD.</t>
  </si>
  <si>
    <t>ML creation</t>
  </si>
  <si>
    <t>provided.</t>
  </si>
  <si>
    <t>REQ000007879520</t>
  </si>
  <si>
    <t>36c7be1c-9795-44b6-8ea1-084c5c6f0d48</t>
  </si>
  <si>
    <t>CSSP10205419</t>
  </si>
  <si>
    <t>suliza.sumari@petronas.com</t>
  </si>
  <si>
    <t>A-000491</t>
  </si>
  <si>
    <t>MyPROData</t>
  </si>
  <si>
    <t>Shared Support Services (SecOps) myPROdata FY2025 for Malaysia Petroleum Management (MPM)</t>
  </si>
  <si>
    <t>wadiah.rusli@petronas.com.my</t>
  </si>
  <si>
    <t>myPROdata</t>
  </si>
  <si>
    <t>•	PTSG-1ArcGisap1 (172.25.33.127)
•	PTSG-1ArcGisap2 (172.25.33.88)
Our team has already performed disk housekeeping; however, disk usage remains high and available space is still limited. With ongoing data ingestion and increasing data volumes, additional disk space is required to ensure stable operations. In particular, Portal for ArcGIS and ArcGIS Datastore components require more storage as data continues to grow, and temporary files may be created on the C: drive during ingestion and processing activities.</t>
  </si>
  <si>
    <t>ICT_RFC00218960</t>
  </si>
  <si>
    <t>Please upgrade ASAP as today is the MBR 2026 launching</t>
  </si>
  <si>
    <t>Approved. Increase C:\ drive for 2 servers. PTAZSG-PROD-ARCGIS-RG</t>
  </si>
  <si>
    <t>Proceed to urgent upgrade the disk as requested.</t>
  </si>
  <si>
    <t>request has been completed.</t>
  </si>
  <si>
    <t>REQ000007869277</t>
  </si>
  <si>
    <t>ebc92a57-efcb-4ea1-91f3-f2e35a11c936</t>
  </si>
  <si>
    <t>615059d8-5126-4d3b-8a05-58268ed42bb2</t>
  </si>
  <si>
    <t>CSSP10881366</t>
  </si>
  <si>
    <t>ettonnarimah@petronas.com</t>
  </si>
  <si>
    <t>mariful.islam@petronas.com.my</t>
  </si>
  <si>
    <t>Compute Name: PDB CAD - IMAN Assign to: Ahmad Iman Azrul Hasni (ahmadiman.azrulhasni@petronas.com.my) Virtual Machine Size: Standard_DS15_v2 (20 cores, 140 GB RAM, 280 GB disk) Scheduling Auto Shut Down: 60 minutes</t>
  </si>
  <si>
    <t>its an access to existing compute.</t>
  </si>
  <si>
    <t>mariful.islam@petronas.com</t>
  </si>
  <si>
    <t>created.</t>
  </si>
  <si>
    <t>created</t>
  </si>
  <si>
    <t>REQ000007881170</t>
  </si>
  <si>
    <t>541292bd-53a6-4abe-910a-c384c9aa3073</t>
  </si>
  <si>
    <t>CSSP10270528</t>
  </si>
  <si>
    <t>A-000566</t>
  </si>
  <si>
    <t>Plant Information - PI CHOPI UPSTREAM</t>
  </si>
  <si>
    <t>02421_12</t>
  </si>
  <si>
    <t>Cloud Migration Program - PI Upstream</t>
  </si>
  <si>
    <t>PI Upstream Cho PI</t>
  </si>
  <si>
    <t>Upgrade existing server CPU specification (PTSG-1PIDB01 &amp; PTSG-1PIDB02)</t>
  </si>
  <si>
    <t>ICT_RFC00219274</t>
  </si>
  <si>
    <t>fd598383-7773-40d2-a78c-f50abc149ce9</t>
  </si>
  <si>
    <t>1ff9cced-6766-411e-abad-e7b564e42d3f</t>
  </si>
  <si>
    <t>CSSP10965749</t>
  </si>
  <si>
    <t>Current = D2as v4 (2 vCPU 7 &amp; 8 GB RAM)
New = D2as v4 (4 vCPU 7 &amp; 16 GB RAM)</t>
  </si>
  <si>
    <t>This server is also 2nd server for Admin back end job for batch upload. The performance is too slow now.</t>
  </si>
  <si>
    <t>upsize.</t>
  </si>
  <si>
    <t>done</t>
  </si>
  <si>
    <t>REQ000007881730</t>
  </si>
  <si>
    <t>0a73b7a6-c0c7-4fc4-afe4-ec6db1149a3a</t>
  </si>
  <si>
    <t>CSSP10629844</t>
  </si>
  <si>
    <t>ArBiTra Phase 3 - IT Sub Modules</t>
  </si>
  <si>
    <t>We need to increse postgresSQL storage. currently it is 600GB and need to increase by 100GB for below resource
Resource name/Id : ptawsg-5abtdb01.cfrhfufvrhpu.ap-southeast-1.rds.amazonaws.com
Current storage size : 600GB
Need to increase additionally by 100GB.</t>
  </si>
  <si>
    <t>ok</t>
  </si>
  <si>
    <t>RDS storage resize</t>
  </si>
  <si>
    <t>RDS storage expanded</t>
  </si>
  <si>
    <t>REQ000007882775</t>
  </si>
  <si>
    <t>866cd81d-011e-424b-b696-e232f59deeb1</t>
  </si>
  <si>
    <t>eff0acd9-d429-4ebf-a66d-b60082f4a5b1</t>
  </si>
  <si>
    <t>CSSP10799733</t>
  </si>
  <si>
    <t>To upgrade Existing Azure Kubernetes pricing tier from free to standard tier. AKS resource= ptsg-4hipvisionaks02 reside in ptazsg-iac-uat-hipvision-jai-rg Resource group. This is for us to testing prior performing actual change in production. After the testing successful. the pricing tier needs to change back to free tier in UAT. Have been discussing with Fathul and good to have him assign since he understands the situation.
Resubmitted by attached the cost of AKS standard tier</t>
  </si>
  <si>
    <t>AKS</t>
  </si>
  <si>
    <t>REQ000007913270</t>
  </si>
  <si>
    <t>f3d57495-1c0e-44e3-91e3-618d253432cf</t>
  </si>
  <si>
    <t>CSSP10500225</t>
  </si>
  <si>
    <t>To create new azure foundry project from PTAZSG-1HIPSAOAI resource.
Create azure foundry project name : agentaiproj-prod
 in PTAZSG-IAC-PROD-HIP-SA-RG Resource group.
Please refer to same project created in Dev environment agentaiproj (agentaiproj-resource/agentaiproj)</t>
  </si>
  <si>
    <t>Approved. Please proceed with utmost urgency</t>
  </si>
  <si>
    <t>ai resource</t>
  </si>
  <si>
    <t>The resource has been provisioned</t>
  </si>
  <si>
    <t>REQ000007881176</t>
  </si>
  <si>
    <t>71a2611e-e0fe-41a5-a84a-5aa66b81c949</t>
  </si>
  <si>
    <t>CSSP10984525</t>
  </si>
  <si>
    <t>A-000094</t>
  </si>
  <si>
    <t>Barrier Management and Work Control - BMWC Downstream</t>
  </si>
  <si>
    <t>Pilot implementation of Proscient Work Control and Barrier Management for MRC and PPTSB</t>
  </si>
  <si>
    <t>ruhy.zanita@petronas.com.my</t>
  </si>
  <si>
    <t>Barrier Management and Work Control (BMWC)</t>
  </si>
  <si>
    <t>To upgrade VM CPU, RAM &amp; Disk for PTSG-1SWCBAP03 Reporting Server due to system slowness during peak hour (8AM - 11AM) daily. Finding from Solarwind monitoring &amp; issue has been logged to vendor  (T201884). As advised by vendor, to upgrade the server specification due to the server specifications and memory settings are insufficient for the application’s peak workload.</t>
  </si>
  <si>
    <t>ICT_RFC00219321</t>
  </si>
  <si>
    <t>Approved based on MRCSB’s request for COTS to support the resolution of the BMWC slowness issues.</t>
  </si>
  <si>
    <t>upgrade activity on weekend.</t>
  </si>
  <si>
    <t>REQ000007876850</t>
  </si>
  <si>
    <t>7a408f03-86c5-401c-a54c-a719975e734f</t>
  </si>
  <si>
    <t>28ad9538-c792-4831-8995-14668b3ff8aa</t>
  </si>
  <si>
    <t>CSSP10441451</t>
  </si>
  <si>
    <t>To provision attached resources in this development RG PTAZSG-DEV-HIPVISION-SA-RG</t>
  </si>
  <si>
    <t>Proceed Urgently. Approved</t>
  </si>
  <si>
    <t>olz deployment</t>
  </si>
  <si>
    <t>The resources have been provisioned</t>
  </si>
  <si>
    <t>REQ000007881734</t>
  </si>
  <si>
    <t>b72088d7-d8ee-41a2-91a9-f7f3e9a77dc9</t>
  </si>
  <si>
    <t>CSSP10954631</t>
  </si>
  <si>
    <t>To upgrade Existing Azure Kubernetes pricing tier from free to standard tier. AKS resource= ptsg-1hipvisionaks01 reside in ptazsg-iac-prod-hipvision-jai-rg Resource group. Have been discussing with Fathul and good to have him assign since he understands the situation.</t>
  </si>
  <si>
    <t>ICT_RFC00218992</t>
  </si>
  <si>
    <t>Kindly Proceed urgently. Approved</t>
  </si>
  <si>
    <t>kubernetes upgrade (target 20th Feb 2026, night).</t>
  </si>
  <si>
    <t>done on 20/2</t>
  </si>
  <si>
    <t>REQ000007881736</t>
  </si>
  <si>
    <t>55fb99fa-591a-4969-a638-46daa411e6e6</t>
  </si>
  <si>
    <t>CSSP10620386</t>
  </si>
  <si>
    <t>ICT_RFC00219433</t>
  </si>
  <si>
    <t>RFC.
Azure focal - Abu
primary - Badri
2ndary - Afnan</t>
  </si>
  <si>
    <t>request completed</t>
  </si>
  <si>
    <t>REQ000007890587</t>
  </si>
  <si>
    <t>92c4b87a-8c76-427d-a543-89a708619ea5</t>
  </si>
  <si>
    <t>CSSP10936246</t>
  </si>
  <si>
    <t>mohamadkhamanfa.norm@petronas.com</t>
  </si>
  <si>
    <t>C-000009</t>
  </si>
  <si>
    <t>Common DevOps</t>
  </si>
  <si>
    <t>Common-DevOps</t>
  </si>
  <si>
    <t>Common DevOps (VS-petronasvsts-Group)</t>
  </si>
  <si>
    <t>DevOps Project Portal</t>
  </si>
  <si>
    <t>6 BU, 12 MY Subscriptions, 1 VM in each Subs, Thus, 12 Windows VM. 
Azure DevOps Agent. Using same cost center and project code from CommonDevOps (Azure DevOps services bill tagged)</t>
  </si>
  <si>
    <t>new ADO WE</t>
  </si>
  <si>
    <t>REQ000007913365</t>
  </si>
  <si>
    <t>6f125514-d21d-4733-9965-a181b6199525</t>
  </si>
  <si>
    <t>5eddc4bf-6658-4932-81e4-4f51bfcf6b77</t>
  </si>
  <si>
    <t>CSSP10505264</t>
  </si>
  <si>
    <t>Compute Name: PDB-CAD-NUR AINA ALIYAH
Assign To: Nur Aina Aliyah Yusry Effendy (CAD/PDB)
Virtual Machine Size: Standard_D4s_v3 4 cores, 16GB RAM, 32GB storage
Auto Shut Down Schedule: 60 minutes</t>
  </si>
  <si>
    <t>To comply with the Cloud Service Request and Provisioning Guideline v4.0, kindly provide the approved CS BIA, SOW/HLD and Estimate Cost (in excel file downloaded from Azure/AWS calculator website portal) as supporting evidence.</t>
  </si>
  <si>
    <t>3c3b3712-3078-4079-977d-361f5eeceb58</t>
  </si>
  <si>
    <t>CSSP10772786</t>
  </si>
  <si>
    <t>ERMAI</t>
  </si>
  <si>
    <t>Our Dev VM is currently having occasional 'hang' whenever new deployment or VM auto turn-on every morning. We identified potential bottleneck happen in Data Disk due to massive read/write especially on application logging. Hence raising this request to upgrade existing disk from Standard SSD to Premium SSD. 
VM: PTSG-5ERMAIap01
To upgrade by swaping data disk from Standard SSD to Premium SSD.</t>
  </si>
  <si>
    <t>Approved as per acknowledgement by business PM (M Faizal B A Rahim)</t>
  </si>
  <si>
    <t>upsize</t>
  </si>
  <si>
    <t>REQ000007924665</t>
  </si>
  <si>
    <t>5863a8c2-1f97-4aab-9158-0ada19ce8b61</t>
  </si>
  <si>
    <t>cbb7b077-d8cf-41e4-892e-e6bac1d707d3</t>
  </si>
  <si>
    <t>CSSP10604853</t>
  </si>
  <si>
    <t>To add private endpoint for ptsg-1mfrswb01. As part of cyber security initiative to remove MFRS from public facing.</t>
  </si>
  <si>
    <t>PE. OLZ, clickops</t>
  </si>
  <si>
    <t>The new function apps have been created (ptazsg-1hipsdiuauc)</t>
  </si>
  <si>
    <t>REQ000007913285</t>
  </si>
  <si>
    <t>f9b1ea22-2e56-44a1-8e04-89cf16f7a673</t>
  </si>
  <si>
    <t>61efcb3f-4264-4f7d-876c-fcf42812205e</t>
  </si>
  <si>
    <t>CSSP10479891</t>
  </si>
  <si>
    <t>To upgrade these servers resources PTSG-1IVMDMAP01 &amp; PTSG-1IVMDMAP02
Current -  Standard E8ds v4 (8 vcpus, 64 GiB memory). C Disk - 127 GiB
Upgrade to - 1 B32as v2 (32 vCPUs, 128 GB RAM), C Disk - 512 GiB</t>
  </si>
  <si>
    <t>ICT_RFC00219829</t>
  </si>
  <si>
    <t>rfc scheduled</t>
  </si>
  <si>
    <t>replaced with CSSP10479891. no longer required</t>
  </si>
  <si>
    <t>REQ000007896454</t>
  </si>
  <si>
    <t>6b84a122-259b-46bd-baed-e50d61a4a220</t>
  </si>
  <si>
    <t>CSSP10519899</t>
  </si>
  <si>
    <t>princy.rajpoot@petronas.com</t>
  </si>
  <si>
    <t>C-000011</t>
  </si>
  <si>
    <t>Common IAC Landing Zone</t>
  </si>
  <si>
    <t>00915_120</t>
  </si>
  <si>
    <t>Cloud Migration Azure Infrastructure for New Landing Zone</t>
  </si>
  <si>
    <t>PETRONAS Cloud Repatriation for Azure</t>
  </si>
  <si>
    <t>Cloud Repatriation for PE&amp;T (Azure Migration) - Need 1 shared VM with Domain Join to copy the data from Singapore region to Malaysia Region</t>
  </si>
  <si>
    <t>Data Migration for Repat Program.</t>
  </si>
  <si>
    <t>confirmed by haslan</t>
  </si>
  <si>
    <t>Repat. Common Cloud.</t>
  </si>
  <si>
    <t>resource provisioned</t>
  </si>
  <si>
    <t>REQ000007893088</t>
  </si>
  <si>
    <t>37299f6e-7a66-4e9b-be43-dc387a66f1ca</t>
  </si>
  <si>
    <t>17b1e930-ca35-4c2f-bd05-8c434dfda17a</t>
  </si>
  <si>
    <t>CSSP10859404</t>
  </si>
  <si>
    <t>Cloud Repatriation for PE&amp;T (Azure Migration) - For PROD -  Need 1 shared VM  with Domain Join to copy the data from Singapore region to Malaysia Region</t>
  </si>
  <si>
    <t>request already completed. closing on behalf of mhaslan.abuhassan@petronas.com</t>
  </si>
  <si>
    <t>REQ000007893524</t>
  </si>
  <si>
    <t>b0118029-5224-4da9-b529-9d375682b6c1</t>
  </si>
  <si>
    <t>CSSP10551255</t>
  </si>
  <si>
    <t>A-000558</t>
  </si>
  <si>
    <t>PETRONAS Global Website</t>
  </si>
  <si>
    <t>SR25012</t>
  </si>
  <si>
    <t>Mitigation of Cyber Security Risk &amp; Application Compatibility Issue for PETRONAS Global Website​</t>
  </si>
  <si>
    <t>Petronas Global Website (Petronas.com)</t>
  </si>
  <si>
    <t>Please provision resources in Malaysia West region. OS=RHEL, MySQL=MySQL version 5.7</t>
  </si>
  <si>
    <t>.CSSP10551255 - CSSP10816410</t>
  </si>
  <si>
    <t>mfirdaus.fadlizam@petronas.com</t>
  </si>
  <si>
    <t>REQ000007897689</t>
  </si>
  <si>
    <t>65bb69e6-e2a4-4641-86ef-72c8f0b8f4a0</t>
  </si>
  <si>
    <t>1f464361-26f7-4497-9e2c-07b5c2fe95d5</t>
  </si>
  <si>
    <t>CSSP10816410</t>
  </si>
  <si>
    <t>Please provision in Malaysia west region. OS=RHEL, MySQL=MySQL version 5.7</t>
  </si>
  <si>
    <t>approve to deploy</t>
  </si>
  <si>
    <t>CSSP10551255 - CSSP10816410</t>
  </si>
  <si>
    <t>REQ000007897690</t>
  </si>
  <si>
    <t>677a1d80-45ea-4879-92f5-3ba20754373a</t>
  </si>
  <si>
    <t>CSSP10789839</t>
  </si>
  <si>
    <t>sharonie.loris@petronas.com</t>
  </si>
  <si>
    <t>A-001322</t>
  </si>
  <si>
    <t>RADIAN</t>
  </si>
  <si>
    <t>SR10734</t>
  </si>
  <si>
    <t>Real-Time Advisory &amp; Drilling Insight via Artificial Neural Intelligence (RADIAN) for 
Wells formerly known HSPM</t>
  </si>
  <si>
    <t>nurshida.czakaria@petronas.com.my</t>
  </si>
  <si>
    <t>Request to provision cloud infrastructure</t>
  </si>
  <si>
    <t>nurshida.czakaria@petronas.com</t>
  </si>
  <si>
    <t>Good to go. Provisioned in Azure Malaysia West</t>
  </si>
  <si>
    <t>AKS, west malaysia</t>
  </si>
  <si>
    <t>REQ000007909917</t>
  </si>
  <si>
    <t>4e9ba02b-45f5-40b0-8fda-a54588d5903e</t>
  </si>
  <si>
    <t>549ea1ee-3470-4df0-8809-b9825d7db38b</t>
  </si>
  <si>
    <t>CSSP10722868</t>
  </si>
  <si>
    <t>Request to provision cloud infrastructure for production environment</t>
  </si>
  <si>
    <t>Has created the resources in PTAZMY-IAC-PROD-RADIAN-RG:
ptazmy-1radianaks01
ptazmy-1radiansvr01
ptazmy1radstrg1
ptazmy-1radiankv01
ptazmy1radianacr01
ptazmy-1radian-disk01
ptazmy-1radian-disk02
ptazmy-1radian-disk03
ptazmy-1radian-disk04
ptazmy-1radian-disk05</t>
  </si>
  <si>
    <t>REQ000007910453</t>
  </si>
  <si>
    <t>f58b87f5-3a93-4b5b-95bf-ce91e892ebdd</t>
  </si>
  <si>
    <t>CSSP10120195</t>
  </si>
  <si>
    <t>tarun.shar@petronas.com</t>
  </si>
  <si>
    <t>Cloud Repatriation for UPSTREAM (Azure Migration) - Need 1 shared VM with Domain Join to copy the data from Singapore region to Malaysia Region.</t>
  </si>
  <si>
    <t>For repat program.</t>
  </si>
  <si>
    <t>CSSP10931399 CSSP10120195</t>
  </si>
  <si>
    <t>REQ000007927316</t>
  </si>
  <si>
    <t>1e43c1cc-e547-4092-bfca-30d6f3f4a679</t>
  </si>
  <si>
    <t>CSSP10940354</t>
  </si>
  <si>
    <t>amit.manchanda@petronas.com</t>
  </si>
  <si>
    <t>Cloud Repatriation for Corporate (Azure Migration) - Need 1 shared VM with Domain Join to copy the data from Singapore region to Malaysia Region.</t>
  </si>
  <si>
    <t>CSSP10940354 CSSP10940354</t>
  </si>
  <si>
    <t>REQ000007928317</t>
  </si>
  <si>
    <t>f84dddd5-2959-43e0-a2fd-1963a4aa4506</t>
  </si>
  <si>
    <t>CSSP10297682</t>
  </si>
  <si>
    <t>A-001307</t>
  </si>
  <si>
    <t>Azure Machine Learning - PRPC</t>
  </si>
  <si>
    <t>Run &amp; Maintain Citizen Analytics Use Cases for PRPC</t>
  </si>
  <si>
    <t>khairulnizam.bahari@petronas.com.my</t>
  </si>
  <si>
    <t>Citizen-Analytics</t>
  </si>
  <si>
    <t>Request to provision two compute instances (with virtual network enabled) for each of the following Azure ML workspaces:
1(a). Workspace Name: PTAZSG-1CA-ETP-AERATION
1(b). Workspace URL: https://ml.azure.com/?tid=3b2e8941-7948-4131-978a-b2dfc7295091&amp;wsid=/subscriptions/7003ae80-02ed-43c8-9c84-c16f3d931f2f/resourcegroups/PTAZSG-IAC-DAA-PROD-DOWNSTREAM-PRPC-RG/providers/Microsoft.MachineLearningServices/workspaces/PTAZSG-1CA-ETP-AERATION
2(a). Workspace Name: PTAZSG-1CA-COOL-WTR-PUMP
2(b). Workspace URL: https://ml.azure.com/?tid=3b2e8941-7948-4131-978a-b2dfc7295091&amp;wsid=/subscriptions/7003ae80-02ed-43c8-9c84-c16f3d931f2f/resourcegroups/PTAZSG-IAC-DAA-PROD-DOWNSTREAM-PRPC-RG/providers/Microsoft.MachineLearningServices/workspaces/PTAZSG-1CA-COOL-WTR-PUMP
3(a). Workspace Name: PTAZSG-1CA-ODOR-PRED
3(b). Workspace URL: https://ml.azure.com/?tid=3b2e8941-7948-4131-978a-b2dfc7295091&amp;wsid=/subscriptions/7003ae80-02ed-43c8-9c84-c16f3d931f2f/resourcegroups/PTAZSG-IAC-DAA-PROD-DOWNSTREAM-PRPC-RG/providers/Microsoft.MachineLearningServices/workspaces/PTAZSG-1CA-ODOR-PRED
Assigned New User:
1. M Rafiq Ramlee (POCM/PRPC) - rafiq.ramlee@petronas.com.my</t>
  </si>
  <si>
    <t>to provision compute instance for the new member from PRPC M Rafiq Ramlee</t>
  </si>
  <si>
    <t>ML Compute. DAA.</t>
  </si>
  <si>
    <t>ETP-Rafiq - PTAZSG-1CA-ETP-AERATION
CWP-Rafiq - PTAZSG-1CA-COOL-WTR-PUMP
ODOR-Rafiq - PTAZSG-1CA-ODOR-PRED</t>
  </si>
  <si>
    <t>REQ000007913362</t>
  </si>
  <si>
    <t>175979a6-0134-4d4e-b3f1-5ff77e1fdf7f</t>
  </si>
  <si>
    <t>c58436d1-93f3-4853-b557-138f409babe1</t>
  </si>
  <si>
    <t>CSSP10328144</t>
  </si>
  <si>
    <t>marash.pakhrurraz@petronas.com</t>
  </si>
  <si>
    <t>noraini.abdjalil@petronas.com.my</t>
  </si>
  <si>
    <t>This request is part of a migration activity to upgrade the operating system from Ubuntu 20.04, which is approaching end of life, to Ubuntu 24.04.
To support this migration, we request the provisioning of new EC2 servers in the NLZ environment with instance specifications identical to the existing servers. The only difference is that all newly provisioned servers must be loaded with Ubuntu 24.04.
1. Staging Environment (NLZ)
Please provision two (2) empty EC2 servers with specifications identical to the following existing staging instances:
Server 1, IP Address 10.84.98.121, Role API
Server 2, IP Address 10.84.98.4, Role Portal
In addition, please provision two (2) load balancers, each with a temporary domain, to serve the respective backend and frontend servers listed above.
2. Detailed Requirements
1. All newly provisioned servers must be loaded with Ubuntu 24.04 as the operating system. 
Please ensure that the correct AMI is selected during provisioning, as referenced in the attached 
image. (Refer to attachment)
2. Support from the NLZ administration team will be required to copy the authorized_keys file from the existing servers to the newly provisioned servers. This is necessary to maintain continuity of SSH access using our current private keys and to avoid any access disruption during the migration process.
3. Upon completion of the server provisioning, please provide the IP addresses of all newly created servers so that we can promptly verify SSH connectivity and confirm that access has been set up correctly.
4. Once SSH access is successfully validated, our team will proceed with the setup and configuration of the TEA backend and frontend services on their respective servers. This will include application deployment, configuration validation, and basic service checks to ensure the environment is ready for testing.
5. After the application setup is completed, assistance from the NLZ administration team will be required to provision a temporary load balancer and temporary domain. This will enable comprehensive end-to-end testing of the migrated code in an isolated environment, without impacting the existing setup.|
6. If provisioning a load balancer is not feasible, an alternative solution that supports full end-to end testing would be acceptable, such as exposing the services through AWS CloudFront, provided that both the API and portal endpoints are accessible.
7. Upon successful completion of all testing and validation activities, support from the administration team will be required to move the new servers from the temporary load balancer target group to the existing staging load balancer target group and domain.
8. The above final step will confirm that the migrated setup is functioning correctly and is seamlessly integrated into the current staging environment.</t>
  </si>
  <si>
    <t>Approved. Please proceed.</t>
  </si>
  <si>
    <t>Approved. Provision 2 EC2 instance with Ubuntu 24.04 and 2 load balancers</t>
  </si>
  <si>
    <t>deploy aws and ec2 resource. may refer existing code for ec2 and lb configuration.</t>
  </si>
  <si>
    <t>REQ000007921958</t>
  </si>
  <si>
    <t>fd805707-8c2f-4024-8fa1-3922b9448344</t>
  </si>
  <si>
    <t>CSSP10931399</t>
  </si>
  <si>
    <t>REQ000007927315</t>
  </si>
  <si>
    <t>43616fc9-592e-426c-a9bf-c7cffd8a944a</t>
  </si>
  <si>
    <t>CSSP10391617</t>
  </si>
  <si>
    <t>Cloud Repatriation for CORPORATE (Azure Migration) - For PROD - Need 1 shared VM with Domain Join to copy the data from Singapore region to Malaysia Region</t>
  </si>
  <si>
    <t>REQ000007928248</t>
  </si>
  <si>
    <t>53e088bd-0315-4c06-9c35-dec15452a29f</t>
  </si>
  <si>
    <t>CSSP10196936</t>
  </si>
  <si>
    <t>To provision 1 VM for (Azure Data Factory) ADF integration run time for data loading, transformation and ingestion. Alpha Oil required to setup ADF to replace Talend for their data processor.</t>
  </si>
  <si>
    <t>Approved. Provision VM under PTAZSG-IAC-DEV-ALPHA-OIL-RG</t>
  </si>
  <si>
    <t>1x VM</t>
  </si>
  <si>
    <t>REQ000007917534</t>
  </si>
  <si>
    <t>e1de3770-b2a1-4489-85af-04ac4a4c581a</t>
  </si>
  <si>
    <t>CSSP10535228</t>
  </si>
  <si>
    <t>Request to provision compute instance (with virtual network enabled) for each of the following Azure ML workspaces:
1(a). Workspace Name: PTAZSG-1CA-ETP-AERATION
1(b). Workspace URL: https://ml.azure.com/?tid=3b2e8941-7948-4131-978a-b2dfc7295091&amp;wsid=/subscriptions/7003ae80-02ed-43c8-9c84-c16f3d931f2f/resourcegroups/PTAZSG-IAC-DAA-PROD-DOWNSTREAM-PRPC-RG/providers/Microsoft.MachineLearningServices/workspaces/PTAZSG-1CA-ETP-AERATION
2(a). Workspace Name: PTAZSG-1CA-COOL-WTR-PUMP
2(b). Workspace URL: https://ml.azure.com/?tid=3b2e8941-7948-4131-978a-b2dfc7295091&amp;wsid=/subscriptions/7003ae80-02ed-43c8-9c84-c16f3d931f2f/resourcegroups/PTAZSG-IAC-DAA-PROD-DOWNSTREAM-PRPC-RG/providers/Microsoft.MachineLearningServices/workspaces/PTAZSG-1CA-COOL-WTR-PUMP
3(a). Workspace Name: PTAZSG-1CA-ODOR-PRED
3(b). Workspace URL: https://ml.azure.com/?tid=3b2e8941-7948-4131-978a-b2dfc7295091&amp;wsid=/subscriptions/7003ae80-02ed-43c8-9c84-c16f3d931f2f/resourcegroups/PTAZSG-IAC-DAA-PROD-DOWNSTREAM-PRPC-RG/providers/Microsoft.MachineLearningServices/workspaces/PTAZSG-1CA-ODOR-PRED
Assigned New User:
1. Nur Fara Nabila Mohamad Firdaus Yong (POCM/PRPC) - nurfaranabila.mohama@petronas.com.my</t>
  </si>
  <si>
    <t>compute instance for the new resource under En Azman's team.</t>
  </si>
  <si>
    <t>ML</t>
  </si>
  <si>
    <t>Compute created.</t>
  </si>
  <si>
    <t>REQ000007928353</t>
  </si>
  <si>
    <t>b532da1e-5ea3-4c5b-ad1b-50e3455fdab1</t>
  </si>
  <si>
    <t>CSSP10447421</t>
  </si>
  <si>
    <t>ESTRELLA: Migration of Plant Information (PI) System for Vestigo Operatorship Transfer, PI Server Hard Drive Upgrade</t>
  </si>
  <si>
    <t>ICT_RFC00219906</t>
  </si>
  <si>
    <t>Project requirement.</t>
  </si>
  <si>
    <t>rfc, 03/16/2026 10:00:00 PM. AWS.</t>
  </si>
  <si>
    <t>requestor cancelled due to change in plan and spec.</t>
  </si>
  <si>
    <t>REQ000007925432</t>
  </si>
  <si>
    <t>5b7bbbc1-4eda-4abb-b3a0-6d660db246a8</t>
  </si>
  <si>
    <t>CSSP10489794</t>
  </si>
  <si>
    <t>P-000007</t>
  </si>
  <si>
    <t>Outsystem - Citizen Developer Program</t>
  </si>
  <si>
    <t>PC-00034</t>
  </si>
  <si>
    <t>Citizen Developer Program - OutSystems Standard edition (150 AOs)</t>
  </si>
  <si>
    <t>Citizen Developer Program</t>
  </si>
  <si>
    <t>Dashboard for cost recovery. Amazon EC2 1 instance. Windows Server. t3.2xlarge. EBS Storage 10 GB</t>
  </si>
  <si>
    <t>ec2 x1. new.</t>
  </si>
  <si>
    <t>Request completed and email has been sent for verification.</t>
  </si>
  <si>
    <t>REQ000007927046</t>
  </si>
  <si>
    <t>d06714b8-6137-414d-b0ca-dc58ccfe404a</t>
  </si>
  <si>
    <t>52b36a76-7e00-49d6-a9da-5b10a07aeda5</t>
  </si>
  <si>
    <t>CSSP10732023</t>
  </si>
  <si>
    <t>PHOENIX Technology Modernisation</t>
  </si>
  <si>
    <t>Phoenix Tech mod P50 DB VM upgrade</t>
  </si>
  <si>
    <t>ICT_RFC00219889</t>
  </si>
  <si>
    <t>Phoenix Dress Rehersal</t>
  </si>
  <si>
    <t>Approved for P50</t>
  </si>
  <si>
    <t>VM upgrade to E96ds. clickops.</t>
  </si>
  <si>
    <t>PTSG-1PDBdb01 and PTSG-1PDBdb02 have been upgraded to Standard E96ds v5 (96 vCPU and 672 GiB memory). It is the highest available E series class available.</t>
  </si>
  <si>
    <t>REQ000007918425</t>
  </si>
  <si>
    <t>23f8d636-6c6b-4ae6-97b1-490b7f9db028</t>
  </si>
  <si>
    <t>012e7efc-80f7-4b03-9717-1a9c6a3b4ee2</t>
  </si>
  <si>
    <t>CSSP10398565</t>
  </si>
  <si>
    <t>The dev resources are already provisioned so this request is to provision the UAT resources</t>
  </si>
  <si>
    <t>Same as Dev so COC can proceed to provision for UAT/Prod</t>
  </si>
  <si>
    <t>databricks.</t>
  </si>
  <si>
    <t>REQ000007927043</t>
  </si>
  <si>
    <t>df1258b4-cf59-4e94-9341-daa35a947f0b</t>
  </si>
  <si>
    <t>CSSP10114358</t>
  </si>
  <si>
    <t>The dev resources are already provisioned so this request is to provision the PROD resources</t>
  </si>
  <si>
    <t>REQ000007927042</t>
  </si>
  <si>
    <t>c770e32d-5625-43af-a7fb-d5258685d9f4</t>
  </si>
  <si>
    <t>CSSP10448286</t>
  </si>
  <si>
    <t>Refer previous approved CSSP10479891, re-raised to update sku and estimate. 
To upgrade these servers resources PTSG-1IVMDMAP01 &amp; PTSG-1IVMDMAP02:
Current -  Standard E8ds v4
Upgrade to - E16s v3</t>
  </si>
  <si>
    <t>ICT_RFC00220099</t>
  </si>
  <si>
    <t>cc9cf246-3e93-466f-953c-a2886069963a</t>
  </si>
  <si>
    <t>CSSP10683664</t>
  </si>
  <si>
    <t>rusnani.mamat@petronas.com</t>
  </si>
  <si>
    <t>A-000031</t>
  </si>
  <si>
    <t>Establishment of Augmented Gas Nomination EcoSystem (AGNES) DevSecOps for Malaysia Petroleum Management (MPM)</t>
  </si>
  <si>
    <t>faradina.mohamed@petronas.com.my</t>
  </si>
  <si>
    <t>Establishment of AGNES DevSecOps for MPM</t>
  </si>
  <si>
    <t>AGNES is an existing system application. This request is for new provisioning for AGNES Run&amp;Maintain.</t>
  </si>
  <si>
    <t>approved to provision</t>
  </si>
  <si>
    <t>faradina.mohamed@petronas.com</t>
  </si>
  <si>
    <t>Kindly provide the estimated cost in Excel format (including the required SKU specifications), downloaded from the Azure/AWS calculator website.</t>
  </si>
  <si>
    <t>a3f54c5f-6942-4740-96ec-b35604ec2ace</t>
  </si>
  <si>
    <t>0fbb821f-d649-401a-bd3e-295f0eab46bc</t>
  </si>
  <si>
    <t>CSSP10958937</t>
  </si>
  <si>
    <t>myProcure DevOps - Support</t>
  </si>
  <si>
    <t>Resources group : PTAZSG-IAC-DEV-GPDATA-RG
Security Group : GP_POC_SG</t>
  </si>
  <si>
    <t>to close request first while waiting for another resource to completed</t>
  </si>
  <si>
    <t>REQ000007933192</t>
  </si>
  <si>
    <t>b5606a96-441e-48fe-ab6e-881a6eb72c27</t>
  </si>
  <si>
    <t>de291346-4740-49d5-bbbb-9700eee39b66</t>
  </si>
  <si>
    <t>CSSP10354764</t>
  </si>
  <si>
    <t>Request for new server for existing application</t>
  </si>
  <si>
    <t>Request for StagingUat DB environment for AGNES</t>
  </si>
  <si>
    <t>database</t>
  </si>
  <si>
    <t>REQ000007960183</t>
  </si>
  <si>
    <t>fe4c57d6-dd6d-4392-8b5b-c2f3c85bb18d</t>
  </si>
  <si>
    <t>CSSP10205245</t>
  </si>
  <si>
    <t>Refer previous approved CSSP10479891, re-raised to update sku and estimate. To upgrade these servers resources PTSG-1IVMDMAP01 &amp; PTSG-1IVMDMAP02. Current -  Standard E8ds v4. Upgrade to - E16s v3.</t>
  </si>
  <si>
    <t>Approved for the upgrade.</t>
  </si>
  <si>
    <t>RFC, OLZ, 13 March 2026</t>
  </si>
  <si>
    <t>REQ000007925112</t>
  </si>
  <si>
    <t>f27582cc-2e87-4f13-b755-daf66667a8e4</t>
  </si>
  <si>
    <t>CSSP10900651</t>
  </si>
  <si>
    <t>nurulemira.jalaluddi@petronas.com</t>
  </si>
  <si>
    <t>00859_1</t>
  </si>
  <si>
    <t>Upstream Model Management</t>
  </si>
  <si>
    <t>To upgrade the server resource PTSG-1IVMDMAP03. Current - Standard E8ds v4. Upgrade to - E16s v3.</t>
  </si>
  <si>
    <t>Approved as part of operational requirement to Upgrade the server resource.</t>
  </si>
  <si>
    <t>olz</t>
  </si>
  <si>
    <t>Pending RFC, will proceed once approve</t>
  </si>
  <si>
    <t>REQ000007984507</t>
  </si>
  <si>
    <t>963ea52f-6351-4b1a-96d8-a8442114967a</t>
  </si>
  <si>
    <t>cff5a88b-5a77-4daa-acd1-7d599baa23e8</t>
  </si>
  <si>
    <t>CSSP10573691</t>
  </si>
  <si>
    <t>mengsiang.ta@petronas.com</t>
  </si>
  <si>
    <t>A-001273</t>
  </si>
  <si>
    <t>Meeting Experience System - MEET</t>
  </si>
  <si>
    <t>Meeting Experience System (MEET) Enhancement</t>
  </si>
  <si>
    <t>Petronas Visitor Management System</t>
  </si>
  <si>
    <t>to provision new Azure Front Door for REAL Applications to connect to the Private Azure Storage</t>
  </si>
  <si>
    <t>small.</t>
  </si>
  <si>
    <t>REQ000007943240</t>
  </si>
  <si>
    <t>c2d31433-d14e-4d91-90d2-b63326245a43</t>
  </si>
  <si>
    <t>0af23e8c-a3c7-40e1-b02b-fc911499979f</t>
  </si>
  <si>
    <t>CSSP10418243</t>
  </si>
  <si>
    <t>A-000486</t>
  </si>
  <si>
    <t>MyMILLORA</t>
  </si>
  <si>
    <t>myMILLORA ‐ PD&amp;T One Stop Solution Offerings Platform (MVP 1) For Petroliam Nasional Berhad</t>
  </si>
  <si>
    <t>Request increase SQL Pool Size &amp; DB Size for myMILLORA Production DB to 1TB. Scale for upcoming bulk data migration requirement.</t>
  </si>
  <si>
    <t>ICT_RFC00220719</t>
  </si>
  <si>
    <t>upsize db</t>
  </si>
  <si>
    <t>REQ000007965931</t>
  </si>
  <si>
    <t>4e368d05-0609-4182-8d84-58829c78a96d</t>
  </si>
  <si>
    <t>186d91fc-61b1-4c73-9bcd-916d468eb9d1</t>
  </si>
  <si>
    <t>CSSP10906743</t>
  </si>
  <si>
    <t>This request is based on the incident ticket raise by CS - incident call, server: ip-10-85-156-179.petronas.petronet.dir (i-06c2c501f555159e1 (PTAWSG-1MBRWB01)).
At the moment, server: ip-10-85-156-179.petronas.petronet.dir (i-06c2c501f555159e1 (PTAWSG-1MBRWB01)) which hosting ebid.malaysiabidround.com will remain isolated. Vendor (Fishermen) will redeploy the application into new AWS EC2 instance.</t>
  </si>
  <si>
    <t>This request is urgent as a remediation to address a cyber security incident happened on 10 March 2026. Please review and quickly assign to the PIC. We are targeting for the provision of the server before the Hari Raya Holiday, please. Thank you.</t>
  </si>
  <si>
    <t>Approved. Reprovsioning of EC2 to fix CS issue</t>
  </si>
  <si>
    <t>Provision 1 EC2 in Production AWS as requested.</t>
  </si>
  <si>
    <t>The ec2 has provisioned as below:
Hostname : PTAWSG-1MBRWB02
IP Address : 10.85.156.74</t>
  </si>
  <si>
    <t>REQ000007933139</t>
  </si>
  <si>
    <t>bc270a39-b0da-4dc4-b818-0ce70900a1bd</t>
  </si>
  <si>
    <t>CSSP10219795</t>
  </si>
  <si>
    <t>msyahir.mohamadzak@petronas.com</t>
  </si>
  <si>
    <t>A-001329</t>
  </si>
  <si>
    <t>Azure Machine Learning - PCIHBV</t>
  </si>
  <si>
    <t>SR25052</t>
  </si>
  <si>
    <t>Support, Services &amp; Subscription of Azure Machine Learning for Pipeline Pigging Frequency Prediction at PCIHBV</t>
  </si>
  <si>
    <t>Request to create Resource Group named "PTAZSG-IAC-DAA-PROD-UPSTREAM-PCIHBV-RG" in Production (PTAZSG-IAC-PROD-DAA ENVIRONMENT). Resources to be provisioned under this Resource Group: 
1. Azure Machine Learning Workspace named "PTAZSG-1CA-PIG-FREQ-PRED"
2. Compute cluster: 3 nodes</t>
  </si>
  <si>
    <t>Move Citizen Analytics solution to Production environment via SR25052</t>
  </si>
  <si>
    <t>Done.</t>
  </si>
  <si>
    <t>REQ000007960432</t>
  </si>
  <si>
    <t>d00550b3-7e5b-4f4a-b353-b0c5441a4fc7</t>
  </si>
  <si>
    <t>bb1dbd31-109d-4f86-a2f2-d6de4d90103b</t>
  </si>
  <si>
    <t>CSSP10488606</t>
  </si>
  <si>
    <t>Request to provision a new  development server for AGNES Database as part of AGNES Run &amp; Maintain scope, to support USDB to AGNES DB data migration.</t>
  </si>
  <si>
    <t>provisioning for DB Dev server, TQ</t>
  </si>
  <si>
    <t>CSSP10354764 - CSSP10488606 - AGNES</t>
  </si>
  <si>
    <t>REQ000007960492</t>
  </si>
  <si>
    <t>7090b274-ccb3-4900-b54a-776ee31f763f</t>
  </si>
  <si>
    <t>CSSP10900243</t>
  </si>
  <si>
    <t>ishwandi.akadir@petronas.com</t>
  </si>
  <si>
    <t>A-000493</t>
  </si>
  <si>
    <t>MyRISK</t>
  </si>
  <si>
    <t>[myRISK] Implementation of Integrated Risk Management System for Group Risk Management</t>
  </si>
  <si>
    <t>lena.boey@petronas.com.my</t>
  </si>
  <si>
    <t>myRisk Project</t>
  </si>
  <si>
    <t>Repat</t>
  </si>
  <si>
    <t>Azure Repat Requirement, to provision a Keyvault in RG PTAZMY-IAC-UAT-MYRISK-RG</t>
  </si>
  <si>
    <t>[System] Stage pre-approved for Cloud Repatriation project</t>
  </si>
  <si>
    <t>lena.boey@petronas.com</t>
  </si>
  <si>
    <t>be2b68e2-08ed-42b3-8760-aceba00d470c</t>
  </si>
  <si>
    <t>ddcdce05-f015-4f58-8d9c-4294428fe27e</t>
  </si>
  <si>
    <t>CSSP10732948</t>
  </si>
  <si>
    <t>sitisazreena.myusof@petronas.com</t>
  </si>
  <si>
    <t>A-001331</t>
  </si>
  <si>
    <t>Process Director for BRB</t>
  </si>
  <si>
    <t>SR00585</t>
  </si>
  <si>
    <t>Implementation of Invoice Processing for BRB</t>
  </si>
  <si>
    <t>sarabjeetsingh.meha@petronas.com.my</t>
  </si>
  <si>
    <t>SAP Project BRB</t>
  </si>
  <si>
    <t>PD Web Development Server for Invoice Processing implementation for BRB International.</t>
  </si>
  <si>
    <t>Approved for BRB Process Invoicing</t>
  </si>
  <si>
    <t>sarabjeetsingh.meha@petronas.com</t>
  </si>
  <si>
    <t>vm x2</t>
  </si>
  <si>
    <t>REQ000007966984</t>
  </si>
  <si>
    <t>32bf3704-001f-4f9d-bbfa-7974a79e112d</t>
  </si>
  <si>
    <t>190def84-4f5f-4f52-8c1b-a97229db3008</t>
  </si>
  <si>
    <t>CSSP10264005</t>
  </si>
  <si>
    <t>ahmadtarmezee.sham@petronas.com</t>
  </si>
  <si>
    <t>nuruddin.mansor@petronas.com.my</t>
  </si>
  <si>
    <t>request for 4 service principal for 
# Azure Databricks (ptsg-5pdbedhdatabrick - /subscriptions/2be5068f-e0ac-4d57-aedc-96bc9798a265/resourceGroups/PTAZSG-IAC-DEV-PDB-EDH-RG/providers/Microsoft.Databricks/workspaces/ptsg-5pdbedhdatabrick ), 
# role PTAZ-DE-CUSTOMROLE (/subscriptions/2be5068f-e0ac-4d57-aedc-96bc9798a265/providers/Microsoft.Authorization/roleDefinitions/a8518860-2f5f-49c9-a0a6-818d5169f33d)
service.sp_bi_dev - SPN for Power BI's On-Premises Data Gateway (Dev)
serviec.sp_pa_dev - SPN for Microsoft PowerApp (Dev)
service.sp_etl_dev - SPN for Azure DevOps running DE (Data Engineering) Pipelines (Dev)
service.sp_ml_dev - SPN for Azure DevOps running ML Pipelines (Dev)</t>
  </si>
  <si>
    <t>nuruddin.mansor@petronas.com</t>
  </si>
  <si>
    <t>SPN request</t>
  </si>
  <si>
    <t>Refer to AD team for Service Principal provisioning.</t>
  </si>
  <si>
    <t>REQ000007961468</t>
  </si>
  <si>
    <t>2dc49972-cd40-43e3-80cf-8883b7a278df</t>
  </si>
  <si>
    <t>CSSP10308393</t>
  </si>
  <si>
    <t>Compute Name: PDB-CAD-IRYAN Assign To: Iryan Syauqi Azhar (CAD/PDB) (iryan.syauqiazhar@petronas.com.my) Virtual Machine Size: Standard_DS15_v2 (20 cores, 140 GB RAM, 280 GB disk) Scheduling Auto Shut Down: 60 minute
Compute Name: PDB-CAD-ANA Assign To: Nur Ana Mardiana M Shukri (nuranamardiana.mshuk@petronas.com) Virtual Machine Size: Standard_DS15_v2 (20 cores, 140 GB RAM, 280 GB disk) Scheduling Auto Shut Down: 60 minute</t>
  </si>
  <si>
    <t>REQ000007960479</t>
  </si>
  <si>
    <t>bb58609c-14ab-443c-bedf-6a50c6e8f18a</t>
  </si>
  <si>
    <t>CSSP10944972</t>
  </si>
  <si>
    <t>bob.jaliu@petronas.com</t>
  </si>
  <si>
    <t>A-001332</t>
  </si>
  <si>
    <t>Authorization For Expenditure Management System - AFEMS VESTIGO</t>
  </si>
  <si>
    <t>Estrella OT Vestigo AFEMS Implementation</t>
  </si>
  <si>
    <t>AFEMS</t>
  </si>
  <si>
    <t>Creating a replication of AFEMS for VPSB in MY data centre</t>
  </si>
  <si>
    <t>REQ000008004292</t>
  </si>
  <si>
    <t>86c503ed-3326-410f-be77-d501f00c226c</t>
  </si>
  <si>
    <t>381cefdb-8e2a-47e7-8923-9777c25f6934</t>
  </si>
  <si>
    <t>CSSP10903969</t>
  </si>
  <si>
    <t>Creating a replication of AFEMS for VPSB in MY data centre (UAT/Staging environment)</t>
  </si>
  <si>
    <t>provision new env.
CSSP10903969 - Staging
CSSP10944972 - Production</t>
  </si>
  <si>
    <t>REQ000007994604</t>
  </si>
  <si>
    <t>d837bcd4-9dd5-4b8e-8e54-9d9750002938</t>
  </si>
  <si>
    <t>CSSP10561171</t>
  </si>
  <si>
    <t>Provisioning of AWS Malaysia server.
Project - ESTRELLA: Migration of Plant Information (PI) System for Vestigo Operatorship Transfer</t>
  </si>
  <si>
    <t>As per project scope.</t>
  </si>
  <si>
    <t>1x EC2</t>
  </si>
  <si>
    <t>The ec2 has provision as detail here : 
AWS Account : PTAW-IAC-PROD-UpStream-Environment-01
Server name : PTAWMY-1VTGDB1
IP Address : 10.80.116.120</t>
  </si>
  <si>
    <t>REQ000007957440</t>
  </si>
  <si>
    <t>c0e8071a-6acb-4e58-953c-17df2bd7c66a</t>
  </si>
  <si>
    <t>CSSP10524027</t>
  </si>
  <si>
    <t>Provisioning for DB production server.</t>
  </si>
  <si>
    <t>to proceed obtaining PROD DB server for AGNES SKA (MPM-GT&amp;C)</t>
  </si>
  <si>
    <t>sql server x2.</t>
  </si>
  <si>
    <t>db prod server provisioned in prod rg</t>
  </si>
  <si>
    <t>REQ000007973461</t>
  </si>
  <si>
    <t>6ee44ecb-7c51-459e-82aa-e1ad65286ce9</t>
  </si>
  <si>
    <t>CSSP10922302</t>
  </si>
  <si>
    <t>A-000622</t>
  </si>
  <si>
    <t>PlanningSpace</t>
  </si>
  <si>
    <t>00915_249</t>
  </si>
  <si>
    <t>Cloud Migration-Planning Space</t>
  </si>
  <si>
    <t>Upstream Development Group Of Apps 2</t>
  </si>
  <si>
    <t>Require to provision Azure SQL DB for Planning Space 2.0 in this Resource Group: PTAZSG-IAC-DEV-PLAN-RG</t>
  </si>
  <si>
    <t>dev. sql single database,  sql server.</t>
  </si>
  <si>
    <t>REQ000007973465</t>
  </si>
  <si>
    <t>4f36fdd8-8a97-43a9-a559-a2d958b5285f</t>
  </si>
  <si>
    <t>74b739bc-65d6-4731-87f4-7181c8a1f9a9</t>
  </si>
  <si>
    <t>CSSP10479593</t>
  </si>
  <si>
    <t>mammarhaziq.amra@petronas.com</t>
  </si>
  <si>
    <t>A-000782</t>
  </si>
  <si>
    <t>Subsurface Sand Management and Rock Mechanics - SMRM</t>
  </si>
  <si>
    <t>Intelligent Sand Management System (iSAND) Enhancement for Malaysia Petroleum Management (MPM)</t>
  </si>
  <si>
    <t>ng.kokwan@petronas.com</t>
  </si>
  <si>
    <t>iSAND (Intelligent Sand Management System)</t>
  </si>
  <si>
    <t>1. Request to upgrade VM PTSG-1SMRMap01 in PTAZSG-IAC-DAA-PROD-SMRM-RG from B2s to D2s_v5 due to higher spec computing requirements.
2. Request to increase datadisk PTSG-1SMRMap01_DataDisk01 from 32gb to 64gb to accommodate storage.</t>
  </si>
  <si>
    <t>f9928342-9ca0-4aff-90a3-8216880b8e69</t>
  </si>
  <si>
    <t>58da446a-3d64-4f4b-ae14-dfead1fee681</t>
  </si>
  <si>
    <t>CSSP10339640</t>
  </si>
  <si>
    <t>Phoenix Tech mod P30 DB VM upgrade</t>
  </si>
  <si>
    <t>ICT_RFC00220127</t>
  </si>
  <si>
    <t>for S4HANA readiness</t>
  </si>
  <si>
    <t>rfc</t>
  </si>
  <si>
    <t>REQ000007965989</t>
  </si>
  <si>
    <t>cc1bad82-c5d9-409e-b5f0-e231f3f4551d</t>
  </si>
  <si>
    <t>6d8c86a9-eab7-4698-a876-34c81cf2b1bb</t>
  </si>
  <si>
    <t>CSSP10902778</t>
  </si>
  <si>
    <t>Request to add new item in provision cloud infrastructure</t>
  </si>
  <si>
    <t>Approved for RADIAN project.</t>
  </si>
  <si>
    <t>REQ000007980589</t>
  </si>
  <si>
    <t>20865d57-7c57-47da-9d3d-198bd8815b99</t>
  </si>
  <si>
    <t>CSSP10769881</t>
  </si>
  <si>
    <t>harsukhvir.godrei@petronas.com</t>
  </si>
  <si>
    <t>A-001334</t>
  </si>
  <si>
    <t>PETRONAS360 PRO</t>
  </si>
  <si>
    <t>PC-00087</t>
  </si>
  <si>
    <t>MS Fabric License for PETRONAS360 PRO POC</t>
  </si>
  <si>
    <t>yong.laiming@petronas.com.my</t>
  </si>
  <si>
    <t>PETRONAS360</t>
  </si>
  <si>
    <t>Require Fabric F2 license for POC to get Data agent</t>
  </si>
  <si>
    <t>POC on Microsoft co-pilot &amp; PETRONAS360</t>
  </si>
  <si>
    <t>yong.laiming@petronas.com</t>
  </si>
  <si>
    <t>deploy fabric license</t>
  </si>
  <si>
    <t>The fabric ptazsg5ptpropocfabric01 has been provisioned and assigned with F2 license</t>
  </si>
  <si>
    <t>REQ000007973305</t>
  </si>
  <si>
    <t>c4fec439-0b2c-4ce2-b258-61a1ee373d09</t>
  </si>
  <si>
    <t>4cfe86bc-f194-45f0-b422-3afa92653756</t>
  </si>
  <si>
    <t>CSSP10237634</t>
  </si>
  <si>
    <t>Request for Azure Data Factory (ADF) provisioning. ADF is needed to migrate the data from 1 SQL server to another SQL server. TQ</t>
  </si>
  <si>
    <t>require for temp data migration</t>
  </si>
  <si>
    <t>staging. + ADF and storage account.</t>
  </si>
  <si>
    <t>data factory provisioned</t>
  </si>
  <si>
    <t>REQ000007973298</t>
  </si>
  <si>
    <t>606cae02-87cc-435a-a299-bc2ea55f8ff8</t>
  </si>
  <si>
    <t>CSSP10397504</t>
  </si>
  <si>
    <t>Compute Name: PDB CAD - ALIYAH Assign to: Nur Aina Aliyah Yusry Effendy (nurainaaliyah.yusrye@petronas.com.my) Virtual Machine Size: Standard_DS15_v2 20 cores, 140 GB RAM, 280 GB disk) Scheduling Auto Shut Down: 60 minutes</t>
  </si>
  <si>
    <t>REQ000007980833</t>
  </si>
  <si>
    <t>7f738736-12b5-42c4-ba07-2a384bbbfd9c</t>
  </si>
  <si>
    <t>CSSP10104844</t>
  </si>
  <si>
    <t>Request for RAM upgrade for the myPROdata staging server from 32GB to 64 GB. Detail of server is as below;
Server environment: Staging App	
Server Name: PTSG-4ArcGisap1.PETRONAS.PETRONET.DIR	
IP Address: 172.25.52.193	
Hostname: PTSG-4ArcGisap1</t>
  </si>
  <si>
    <t>Please expedite to ensure operations are optimal.</t>
  </si>
  <si>
    <t>Approved. Upgrade RAM for only 1 server: PTSG-4ArcGisap1.PETRONAS.PETRONET.DIR in PTAZSG-UAT-ARCGIS-RG</t>
  </si>
  <si>
    <t>nonprod OLZ upgrade</t>
  </si>
  <si>
    <t>REQ000007978815</t>
  </si>
  <si>
    <t>e1f6d44d-4da1-47b2-b9e3-ad9012f64cba</t>
  </si>
  <si>
    <t>CSSP10326926</t>
  </si>
  <si>
    <t>mhelmi.abdaziz@petronas.com</t>
  </si>
  <si>
    <t>A-000510</t>
  </si>
  <si>
    <t>OASIS Infra provisioning</t>
  </si>
  <si>
    <t>izayu.ismail@petronas.com</t>
  </si>
  <si>
    <t>Provision of Infra for OASIS Modernization for PDB</t>
  </si>
  <si>
    <t>Azure Front Door is required as a public entry point to handle external eDM click‑tracking traffic, ensuring proper SSL termination and transparent forwarding to downstream services (SendGrid/Braze) to resolve current link unwrapping issues.</t>
  </si>
  <si>
    <t>Approved as per business confirmation email.</t>
  </si>
  <si>
    <t>frontdoor</t>
  </si>
  <si>
    <t>REQ000007980584</t>
  </si>
  <si>
    <t>613431ac-fd85-4e43-891e-042bf980fe35</t>
  </si>
  <si>
    <t>b2e0ff9c-eddc-4f40-b416-6a04a3120c8d</t>
  </si>
  <si>
    <t>CSSP10441441</t>
  </si>
  <si>
    <t>Add-on to CSSP10732948</t>
  </si>
  <si>
    <t>Approved as requirement</t>
  </si>
  <si>
    <t>CSSP10732948 (dev)
CSSP10441441 (prod)</t>
  </si>
  <si>
    <t>REQ000007984390</t>
  </si>
  <si>
    <t>4f7bc192-9e81-4a7a-8ee6-5a64c64cb158</t>
  </si>
  <si>
    <t>CSSP10663979</t>
  </si>
  <si>
    <t>arul.britto@petronas.com</t>
  </si>
  <si>
    <t>yap.winhong@petronas.com.my</t>
  </si>
  <si>
    <t>Request Azure Document Intelligence subscription, to extract content from PDF for market data</t>
  </si>
  <si>
    <t>yap.winhong@petronas.com</t>
  </si>
  <si>
    <t>To configure AWS Databrick workspace /26 per subnet</t>
  </si>
  <si>
    <t>REQ000008013554</t>
  </si>
  <si>
    <t>49eac9a9-80ed-42e0-9861-487e2db4c669</t>
  </si>
  <si>
    <t>CSSP10882869</t>
  </si>
  <si>
    <t>To provision Azure Container App &amp; Azure Managed Redis for enhancement of module of Rapid Scale Up in ERMAI. Please allow security group ERMAIDevTeam to access both Container App and Redis inside Staging environment.</t>
  </si>
  <si>
    <t>approved as discussed.</t>
  </si>
  <si>
    <t>CSSP10114358 &amp; CSSP10882869</t>
  </si>
  <si>
    <t>Complete provisioning</t>
  </si>
  <si>
    <t>REQ000008001687</t>
  </si>
  <si>
    <t>845993d7-d9a9-4675-ab49-df8f20699553</t>
  </si>
  <si>
    <t>To provision Azure Container App &amp; Azure Managed Redis for enhancement of module of Rapid Scale Up in ERMAI. Please allow security group ERMAIDevTeam to access both Container App and Redis inside Production environment.</t>
  </si>
  <si>
    <t>Container App / Redis</t>
  </si>
  <si>
    <t>REQ000008001685</t>
  </si>
  <si>
    <t>a86ffe31-d8c1-4c22-af8c-14a5919ab9d8</t>
  </si>
  <si>
    <t>CSSP10357340</t>
  </si>
  <si>
    <t>mhashimi.aris@petronas.com</t>
  </si>
  <si>
    <t>ananddutt.pande@petronas.com.my</t>
  </si>
  <si>
    <t>BIRA</t>
  </si>
  <si>
    <t>Kindly assist to perform storage expansion from 8TB to 10TB  BIRA storage for TRMS above threshold and impacting Prod Environment. Urgent request  Server type : Windows 2019 Server Server name : PTSG-1BIRADB01 IP Address : 172.25.204.22 Volume : F: Label:SQLVMDATA 068342FC</t>
  </si>
  <si>
    <t>ICT_RFC00221663</t>
  </si>
  <si>
    <t>Approved, as this is critical for Production env to work.</t>
  </si>
  <si>
    <t>ananddutt.pande@petronas.com</t>
  </si>
  <si>
    <t>Approved. Upgrade disk for server at PTAZSG-IAC-PROD-BIRA-RG. Please note that RFC is currently still in draft mode and not approved yet.</t>
  </si>
  <si>
    <t>execute storage</t>
  </si>
  <si>
    <t>REQ000007990812</t>
  </si>
  <si>
    <t>8f88cbcf-d8f7-44bc-bc09-e51d40ce3c7e</t>
  </si>
  <si>
    <t>791c8989-9231-45d0-b8d1-de14722402d6</t>
  </si>
  <si>
    <t>CSSP10542659</t>
  </si>
  <si>
    <t>This request to enable the 'Database Auto Grow' option for:
Subscription: PTAZSG-IAC-PROD ENVIRONMENT
Resource group: PTAZSG-IAC-PROD-COMPASS-RG
Server name: ptazsg-1compass-psql02
Endpoint: ptazsg-1compass-psql02.postgres.database.azure.com
End date (to disable after): 15th July 2026</t>
  </si>
  <si>
    <t>for setting up autogrow - approved</t>
  </si>
  <si>
    <t>enable config</t>
  </si>
  <si>
    <t>Completed - autogrow is enabled for ptazsg-1compass-psql02 and the server has updated successfully.</t>
  </si>
  <si>
    <t>REQ000008001893</t>
  </si>
  <si>
    <t>641df817-64a4-4b73-9b09-40860cd695fb</t>
  </si>
  <si>
    <t>CSSP10399247</t>
  </si>
  <si>
    <t>1. Request to upgrade VM PTSG-1SMRMap01 in PTAZSG-IAC-DAA-PROD-SMRM-RG from B2s to D2s_v5 due to higher spec computing requirements. 
2. Request to increase datadisk PTSG-1SMRMap01_DataDisk01 from 32gb to 64gb to accommodate storage.</t>
  </si>
  <si>
    <t>Increase resources due to increase in scope and workloads</t>
  </si>
  <si>
    <t>(1) For a server upgrade (Production), please raise an RFC and include the RFC number in this service request.
(2) Kindly provide the estimated cost in Excel format, including the required SKU specifications, generated from the Azure Pricing Calculator website.</t>
  </si>
  <si>
    <t>0b89befe-7846-4028-a3b0-771ce105c8f8</t>
  </si>
  <si>
    <t>CSSP10486910</t>
  </si>
  <si>
    <t>ismail.azman@petronas.com.my</t>
  </si>
  <si>
    <t>0aac1bfa-a95b-42b3-b323-bc26a2c4fd0e</t>
  </si>
  <si>
    <t>CSSP10502441</t>
  </si>
  <si>
    <t>rabiatul.mohamad@petronas.com</t>
  </si>
  <si>
    <t>SR26593</t>
  </si>
  <si>
    <t>zuhairi.zubir@petronas.com</t>
  </si>
  <si>
    <t>AGNES</t>
  </si>
  <si>
    <t>Provisional server for AGNES-PMA Enhancement of Module 1-5</t>
  </si>
  <si>
    <t>Approved. For staging, please provision VM SKU of D8ds v5 instead of D64ds v5.</t>
  </si>
  <si>
    <t>CSSP10814403 CSSP10502441</t>
  </si>
  <si>
    <t>Resource group: PTAZMY-IAC-UAT-AGNES-PMA-RG
VM name: ptmy-4agnespma1
VM IP: 10.176.48.6
OS: Windows server 2022
Domain: PETRONAS</t>
  </si>
  <si>
    <t>REQ000007995955</t>
  </si>
  <si>
    <t>ce102e4f-11e3-4336-af66-3c380cafe022</t>
  </si>
  <si>
    <t>04166769-2fdc-4eb5-80eb-bac8157cab75</t>
  </si>
  <si>
    <t>CSSP10814403</t>
  </si>
  <si>
    <t>Resource group: PTAZMY-IAC-PROD-AGNES-PMA-RG
VM name: ptmy-1agnespma1
VM IP: 10.176.120.6
OS: Windows server 2022
Domain: PETRONAS</t>
  </si>
  <si>
    <t>REQ000007995606</t>
  </si>
  <si>
    <t>38459830-a915-44c8-91f1-939930127be0</t>
  </si>
  <si>
    <t>CSSP10775394</t>
  </si>
  <si>
    <t>mohd.azri@petronas.com</t>
  </si>
  <si>
    <t>ng.cheekeong@petronas.com.my</t>
  </si>
  <si>
    <t>to clone hostname to clone ptsg-1oasisap04 (FleetOps 2) into our UAT Azure environment</t>
  </si>
  <si>
    <t>ng.cheekeong@petronas.com</t>
  </si>
  <si>
    <t>REQ000008001689</t>
  </si>
  <si>
    <t>2fffdeca-fe16-4105-b6c8-993a9ff35042</t>
  </si>
  <si>
    <t>CSSP10474051</t>
  </si>
  <si>
    <t>zakwan.zulkifli@petronas.com</t>
  </si>
  <si>
    <t>A-000552</t>
  </si>
  <si>
    <t>PETRONAS Engineering Data Management System - P-EDMS GTS</t>
  </si>
  <si>
    <t>00915_238</t>
  </si>
  <si>
    <t>Cloud Migration Program - P-EDMS</t>
  </si>
  <si>
    <t>PETRONAS Engineering Data Management System (P-EDMS)</t>
  </si>
  <si>
    <t>1. We have received a request from the business to repurpose one of our existing AWS web servers to host a new P-EDMS functionality, namely P-EDMS AI, which is scheduled to go live soon.
2. To mitigate additional costs, we propose to repurpose the current P-EDMS AWS web server by upgrading its server specifications to include a Graphics Processing Unit (GPU) to support the AI tools.
3. The cost of this VM will be charged to the same cost center as the existing P-EDMS GTS server: 001PCT-410, under the Run and Maintain scope. 
4. The server quotation, prepared using the AWS Pricing Calculator, was calculated by Tuan Samsuddin B. Jumbri (IS/DIGITAL). The server specifications are as follows: Instance Type: AWS EC2 g6.4xlarge (16 vCPU, 64 GB Memory, GPU: 1 × NVIDIA L4 – 24 GB VRAM)</t>
  </si>
  <si>
    <t>ICT_RFC00221716</t>
  </si>
  <si>
    <t>r5.4xlarge (16 vCPU, 128 GB Memory) &gt; g6.4xlarge (16 vCPU, 64 GB Memory, GPU: 1 × NVIDIA L4 – 24 GB VRAM).
04/24/2026 10:00:00 PM - 04/25/2026 12:00:00 AM</t>
  </si>
  <si>
    <t>REQ000008002623</t>
  </si>
  <si>
    <t>e1b324dc-c83c-4236-a989-0ba174653cd6</t>
  </si>
  <si>
    <t>24214abf-5ddd-43bb-a7c0-2db30cb657c8</t>
  </si>
  <si>
    <t>CSSP10945611</t>
  </si>
  <si>
    <t>To request new resource to be use for MSP transition &amp; knowledge transfer. 
Spec: the same as existing PTSG-5MYGENAP01
 D4as v4 (4 vCPUs &amp; 16 GB RAM)
New resource Name: PTSG-5MYGENAP02</t>
  </si>
  <si>
    <t>Servicedesk team required to use Dev environment for MSP Training. We required gateway server to run data import tool to export Production Product category and support group to Development</t>
  </si>
  <si>
    <t>The new vm PTSG-5MYGENAP02 has been provisioned</t>
  </si>
  <si>
    <t>REQ000008004739</t>
  </si>
  <si>
    <t>181855dc-7118-4c89-9352-0b11596d10cc</t>
  </si>
  <si>
    <t>CSSP10433585</t>
  </si>
  <si>
    <t>azmi.mohd.noor@petronas.com</t>
  </si>
  <si>
    <t>00916_6</t>
  </si>
  <si>
    <t>Productivity Platform Hub</t>
  </si>
  <si>
    <t>Preferred RG : PTAZSG-PROD-PP-HUB-RG
Note on Azure DevOps Project Name, This resources for this request to be provisioned under the same repo as per Parent Project Code : 00916_1</t>
  </si>
  <si>
    <t>This request is only to create a new RG.</t>
  </si>
  <si>
    <t>to create in PTAZSG-PROD-COPILOT-ENVIRONMENT subscription.</t>
  </si>
  <si>
    <t>REQ000008007394</t>
  </si>
  <si>
    <t>c0acc46f-c9c3-4203-9c5f-6ae7551aeff1</t>
  </si>
  <si>
    <t>64828225-b4a6-4b8d-bd66-9667bf7e5fbd</t>
  </si>
  <si>
    <t>CSSP10186972</t>
  </si>
  <si>
    <t>A-001296</t>
  </si>
  <si>
    <t>Predictive Rotating Equipment Analytics - PROTEAN BRMC</t>
  </si>
  <si>
    <t>SR10961</t>
  </si>
  <si>
    <t>PROTEAN BRMC SI</t>
  </si>
  <si>
    <t>Provisioning Azure Communication Services (ACS)</t>
  </si>
  <si>
    <t>Proceed as per project requirement</t>
  </si>
  <si>
    <t>The Azure Communication Services (ACS) has been provisioned</t>
  </si>
  <si>
    <t>REQ000008026483</t>
  </si>
  <si>
    <t>d5fabeea-472b-4beb-bd0b-7c60661c9643</t>
  </si>
  <si>
    <t>87d1c6a0-2046-4f47-ac6d-41c1941b87f8</t>
  </si>
  <si>
    <t>CSSP10335168</t>
  </si>
  <si>
    <t>Approved for RADIAN project</t>
  </si>
  <si>
    <t>provisioned in PTAZMY-IAC-PROD-RADIAN-RG</t>
  </si>
  <si>
    <t>REQ000008007292</t>
  </si>
  <si>
    <t>c9daca31-1afb-4521-abd6-2570b2df97e6</t>
  </si>
  <si>
    <t>CSSP10489931</t>
  </si>
  <si>
    <t>A-001241</t>
  </si>
  <si>
    <t>Deployment of Digital Intelligence Center (DIC) for MPM</t>
  </si>
  <si>
    <t>1. Window EC2
    - Windows Server 2022 Base (Petronas-approved hardened image if available)
    - Instance type: t3.medium (2 vCPU, 4GB RAM)
    - Storage: 50GB gp3
    - Subnet: DIC private subnet with NAT
    - Security group:
            a. Outbound: S3, SQS, RDS (5432), Secrets Manager, CloudWatch
            b. Inbound: RDP from bastion/VPN only
2. Microsoft Office ( Excel ) 
      - Installed on the above EC2 instance and activated under Petronas enterprise licensing
      - Licensed for a service account (svc-econ-runner) to run Excel in the background</t>
  </si>
  <si>
    <t>Approved for DIC project requirement.</t>
  </si>
  <si>
    <t>Approved for the provisioning of EC2. User need to contact helpdesk for Microsoft Office installation.</t>
  </si>
  <si>
    <t>ec2</t>
  </si>
  <si>
    <t>ec2 provisioned</t>
  </si>
  <si>
    <t>REQ000008006244</t>
  </si>
  <si>
    <t>cc71964c-37e4-4a55-80e9-353ad3690f75</t>
  </si>
  <si>
    <t>e3931116-b96b-4e5e-833f-dfb0c8d4f537</t>
  </si>
  <si>
    <t>CSSP10547846</t>
  </si>
  <si>
    <t>Procurement AI</t>
  </si>
  <si>
    <t>Add to resource group PTAZSG-IAC-DEV-GPDATA-RG</t>
  </si>
  <si>
    <t>approved for dev purpose</t>
  </si>
  <si>
    <t>work with badri / luis on the databricks.</t>
  </si>
  <si>
    <t>REQ000008019447</t>
  </si>
  <si>
    <t>e1827a6c-e18c-4500-94be-16de9cbb9e7c</t>
  </si>
  <si>
    <t>1618794a-db69-462e-9559-41e3b603d54e</t>
  </si>
  <si>
    <t>CSSP10697511</t>
  </si>
  <si>
    <t>A-000271</t>
  </si>
  <si>
    <t>PETRONAS Education Sponsorship Programme Web</t>
  </si>
  <si>
    <t>00915_83</t>
  </si>
  <si>
    <t>Cloud Migration Program - PETRONAS Education Sponsorship Programme ESMS.NET 2.0</t>
  </si>
  <si>
    <t>EducationSponsorship</t>
  </si>
  <si>
    <t>add KV and FD</t>
  </si>
  <si>
    <t>approved but need to see whether other CDN besides Front Door is available with lower cost</t>
  </si>
  <si>
    <t>dev and prod. olz. PTAZSG-PROD-ESMS-RG, PTAZSG-DEV-ESMS-RG</t>
  </si>
  <si>
    <t>done;</t>
  </si>
  <si>
    <t>REQ000008021758</t>
  </si>
  <si>
    <t>29a27bbf-d3a1-4b49-8c7a-d475a28d955c</t>
  </si>
  <si>
    <t>5f53e6fc-eecd-4fcb-9bfd-77eb5aee6542</t>
  </si>
  <si>
    <t>CSSP10594123</t>
  </si>
  <si>
    <t>Request to provision compute instance (with virtual network enabled) for each of the following Azure ML workspaces:
1(a). Workspace Name: PTAZSG-1CA-COOL-WTR-PUMP
2(b). Workspace URL: https://ml.azure.com/?tid=3b2e8941-7948-4131-978a-b2dfc7295091&amp;wsid=/subscriptions/7003ae80-02ed-43c8-9c84-c16f3d931f2f/resourcegroups/PTAZSG-IAC-DAA-PROD-DOWNSTREAM-PRPC-RG/providers/Microsoft.MachineLearningServices/workspaces/PTAZSG-1CA-COOL-WTR-PUMP
Assigned New User:
1. Kamelia Izzati Rozaini (POCM/PRPC) - kameliaizzati.rozain@petronas.com.my
2.Farah Fuaad (OEf/PRPC) - farah.fuaad@petronas.com.my</t>
  </si>
  <si>
    <t>Add 2 new users from PRPC for Cooling Water Pump Workspace use case</t>
  </si>
  <si>
    <t>create ML compute.
workspace PTAZSG-1CA-COOL-WTR-PUMP</t>
  </si>
  <si>
    <t>provision done.</t>
  </si>
  <si>
    <t>REQ000008019830</t>
  </si>
  <si>
    <t>a58ff428-eda6-4919-8a1e-bbefb91806fe</t>
  </si>
  <si>
    <t>CSSP10893583</t>
  </si>
  <si>
    <t>Enterprise Observability</t>
  </si>
  <si>
    <t>Enterprise Application Observability (Elastic Stack) Repatriation &amp; Modernization - Staging Environment</t>
  </si>
  <si>
    <t>This is not under Cloud Repartriation list, instead owned by Application team. please submit normal CSSP provisioning request as this form is used for record only of Cloud team's repartriation program.
https://cssp.petronas.com/request/provisioning/cloud/public/new
in addition,
kindly attach relevant opsr/memo/dac approval for confirming the compliance and chargeback for the additional resource cost for the new deployment.
i'm not able to approve both technical and commercial without these documents in place, especially since this application was originally deployed as POC tagged resources.</t>
  </si>
  <si>
    <t>66d4ebcb-ad48-4d93-a2d3-c759ef6af5c8</t>
  </si>
  <si>
    <t>ff430273-3df7-4d39-9972-76ff3721e71e</t>
  </si>
  <si>
    <t>CSSP10407326</t>
  </si>
  <si>
    <t>Upgrading staging server for myPRODATA to a latest version (from PTAWSG-3COC-RHEL8.6-20230608 to
PTAWSG-3COC-RHEL9.0-20250428). Refer to file MBR-_AWS_EstimateCost_v32 for spec in staging.</t>
  </si>
  <si>
    <t>Approved. Please expedite the provisioning.</t>
  </si>
  <si>
    <t>Approved. Server to upgrade is PTASWG-4MBRDB01 (10.84.47.252)</t>
  </si>
  <si>
    <t>just deploy new vm with new os.
if upgrade work only then backup and upgrade only but require RFC. 
looping in unix team to work on this.</t>
  </si>
  <si>
    <t>REQ000008019833</t>
  </si>
  <si>
    <t>cf7bcefb-51ff-41a3-93ab-18cf4f29b645</t>
  </si>
  <si>
    <t>CSSP10574214</t>
  </si>
  <si>
    <t>SKILL</t>
  </si>
  <si>
    <t>The new resource is for business to migrate their data to Sharepoint. The app going to be decom after the migration.</t>
  </si>
  <si>
    <t>OLZ, DF and Databricks.</t>
  </si>
  <si>
    <t>Resource created in the below RG: 
RG: PTAZSG-PROD-SKILL-RG 
1) Azure data Factory created - ptsg1skilldf01
2) Azure Databricks - ptsg-1skilldbrick01</t>
  </si>
  <si>
    <t>REQ000008026198</t>
  </si>
  <si>
    <t>0f87d419-86fa-46c0-b215-d9598f824f7f</t>
  </si>
  <si>
    <t>43438d06-9dec-4b14-a3a0-c9a99d8e9c0e</t>
  </si>
  <si>
    <t>CSSP10698884</t>
  </si>
  <si>
    <t>mariffirdaus.mkhaidz@petronas.com</t>
  </si>
  <si>
    <t>A-001346</t>
  </si>
  <si>
    <t>GPE Digital Platform</t>
  </si>
  <si>
    <t>SR00331</t>
  </si>
  <si>
    <t>Quality Suite</t>
  </si>
  <si>
    <t>msufian.hussein@petronas.com</t>
  </si>
  <si>
    <t>The resources listed in the Excel document are crucial for the development team to initiate their work. Please reach out to me via Teams if you need any clarifications on the documents provided</t>
  </si>
  <si>
    <t>Good to go for the Dev environment. For Prod and Stg, please raise separate SR.</t>
  </si>
  <si>
    <t>EKS. deploy DEV resource only. Stg and Prod resource will require another CSSP</t>
  </si>
  <si>
    <t>provisioning completed. user confirmation on the request</t>
  </si>
  <si>
    <t>REQ000008021766</t>
  </si>
  <si>
    <t>868b1bbc-b9be-43ba-8175-d6ca35843984</t>
  </si>
  <si>
    <t>7b215cdb-7ad4-4167-9bf1-b1412d34f95f</t>
  </si>
  <si>
    <t>CSSP10673286</t>
  </si>
  <si>
    <t>norfazillah.awahab@petronas.com</t>
  </si>
  <si>
    <t>A-001339</t>
  </si>
  <si>
    <t>Wells DROID for ENIGMA</t>
  </si>
  <si>
    <t>SR26947_DROID</t>
  </si>
  <si>
    <t>ENIGMA JV: Implementation of Wells System and Data for MacCo - DROIDS</t>
  </si>
  <si>
    <t>ENIgma_DROID</t>
  </si>
  <si>
    <t>SR26947: ENIGMA JV: Implementation of Wells System and Data for MacCo
HLD link : https://myea.petronas.com/HLD/HLDDetails?StatusId=2&amp;LandscapePlatformId=2&amp;IsInfrastructureRequiredInput=true&amp;HLDTypeId=2&amp;LandscapeTypeId=1&amp;HLDId=1766
to increase the existing DROID DB storage + 770GB for enigma testing purposes
Server	ptmy-npupstrm-sqlmi01.2d150e86ba6e.database.windows.net</t>
  </si>
  <si>
    <t>Approved for Enigma implementation</t>
  </si>
  <si>
    <t>Approved. Upgrade disk size by additional 768GB for ptmy-npupstrm-sqlmi01. PTAZMY-IAC-NONPROD-UPSTREAM-SQLMI-RG</t>
  </si>
  <si>
    <t>ENIGMA app.</t>
  </si>
  <si>
    <t>REQ000008031184</t>
  </si>
  <si>
    <t>662ddf7f-7aa1-4f4c-8804-11c0855e9276</t>
  </si>
  <si>
    <t>CSSP10771558</t>
  </si>
  <si>
    <t>theebban.tamizarasu@petronas.com</t>
  </si>
  <si>
    <t>Request to provision private (Internal Facing) - IP for the following app services in PTAZSG-UAT-ARCGIS-RG - myPROdata Staging</t>
  </si>
  <si>
    <t>Approved. please expedite.</t>
  </si>
  <si>
    <t>There is no app service in PTAZSG-UAT-ARCGIS-RG. All VMs are running on private IPs</t>
  </si>
  <si>
    <t>95a48abc-914c-40a4-8497-0356caac99ea</t>
  </si>
  <si>
    <t>CSSP10718591</t>
  </si>
  <si>
    <t>A-000524</t>
  </si>
  <si>
    <t>Offshore Logistics Venture - OLV</t>
  </si>
  <si>
    <t>Offshore Logistics Venture (OLV) Incubation</t>
  </si>
  <si>
    <t>Petronas GP_ULCT</t>
  </si>
  <si>
    <t>Request to provision private IP for the following Amazon S3 in PTAW-IAC-NonPROD-STAGING-STEAR-Environment-01. This is to follow Cybersecurity direction to remove external access for non production environment. Eventually staging.stear.co need to be remove from external dns</t>
  </si>
  <si>
    <t>8d2e855a-2ae6-49cd-856a-9f23a5e5ac86</t>
  </si>
  <si>
    <t>f284b03b-9af1-47d5-bb4d-1cef28a2194d</t>
  </si>
  <si>
    <t>CSSP10206240</t>
  </si>
  <si>
    <t>Provisioning of Azure Fabric and Azure Function</t>
  </si>
  <si>
    <t>To comply with the Cloud Service Request and Provisioning Guideline v4.0, kindly provide the approved CS BIA and SOW/HLD as supporting evidence.</t>
  </si>
  <si>
    <t>c039eb44-3f65-40cb-8238-4f3f542caded</t>
  </si>
  <si>
    <t>CSSP10825599</t>
  </si>
  <si>
    <t>Provisioning new resources databrick for myProcure</t>
  </si>
  <si>
    <t>https://dev.azure.com/Digital-Delivery/Procurement%20AI
to reprovision Databricks instance with VNET configured in its initial setup (instead of using Managed VNET), and to upgrade the instance tier to Premium, instead of standard.
Production</t>
  </si>
  <si>
    <t>closed</t>
  </si>
  <si>
    <t>REQ000008104444</t>
  </si>
  <si>
    <t>b35f57c0-f149-4c7b-9e4e-b2b20b7c64d9</t>
  </si>
  <si>
    <t>CSSP10903999</t>
  </si>
  <si>
    <t>Provisioning databrick for Staging env myProcure</t>
  </si>
  <si>
    <t>https://dev.azure.com/Digital-Delivery/Procurement%20AI
to reprovision Databricks instance with VNET configured in its initial setup (instead of using Managed VNET), and to upgrade the instance tier to Premium, instead of standard.
Staging</t>
  </si>
  <si>
    <t>REQ000008104340</t>
  </si>
  <si>
    <t>808ee078-6567-4285-82a0-4811b167490a</t>
  </si>
  <si>
    <t>CSSP10807730</t>
  </si>
  <si>
    <t>Provisioning of Databrick for dev env myProcure</t>
  </si>
  <si>
    <t>https://dev.azure.com/Digital-Delivery/Procurement%20AI
to reprovision Databricks instance with VNET configured in its initial setup (instead of using Managed VNET), and to upgrade the instance tier to Premium, instead of standard.
Dev</t>
  </si>
  <si>
    <t>REQ000008104339</t>
  </si>
  <si>
    <t>9882c863-1079-40d3-a6a7-511fe1e9085b</t>
  </si>
  <si>
    <t>CSSP10229026</t>
  </si>
  <si>
    <t>nurulaida.ngadiso@petronas.com</t>
  </si>
  <si>
    <t>A-001368</t>
  </si>
  <si>
    <t>myMesra</t>
  </si>
  <si>
    <t>SR26950</t>
  </si>
  <si>
    <t>MyMesra Platform Stabilisation &amp; Infrastructure Carve‑Out</t>
  </si>
  <si>
    <t>MyMesra Platform Stabilisation and Infrastructure Carve‑Out</t>
  </si>
  <si>
    <t>Provisioning for development environment: myMesra Platform Stabilization &amp; Infra Carve Out</t>
  </si>
  <si>
    <t>As per Project Scope &amp; Requirement.</t>
  </si>
  <si>
    <t>Approved. Same infra setup as PETRONAS Global Website</t>
  </si>
  <si>
    <t>CSSP10470896 - Production
CSSP10229026 - Development</t>
  </si>
  <si>
    <t>REQ000008035845</t>
  </si>
  <si>
    <t>cf5e4ef3-b398-4879-84c9-3963537a4cdc</t>
  </si>
  <si>
    <t>e1af4bf2-8927-47c0-baab-29d775491bc8</t>
  </si>
  <si>
    <t>CSSP10470896</t>
  </si>
  <si>
    <t>Provisioning for production environment: myMesra Platform Stabilization &amp; Infra Carve Out</t>
  </si>
  <si>
    <t>REQ000008035749</t>
  </si>
  <si>
    <t>888bd06c-5588-4511-9769-605a362cd255</t>
  </si>
  <si>
    <t>CSSP10941412</t>
  </si>
  <si>
    <t>Harmonization of People Tracking Solution</t>
  </si>
  <si>
    <t>Request to provision private IP for the following app services in 
ptsg-1pusparealap01.azurewebsites.net
RG Name: ptazsg-prod-puspa-real-rg</t>
  </si>
  <si>
    <t>ICT_RFC00222322</t>
  </si>
  <si>
    <t>Dns change to private access. Cyber security compliance.</t>
  </si>
  <si>
    <t>OLZ. please perform this from portal.</t>
  </si>
  <si>
    <t>The private endpoint (ptsg-1pusparealap01-pep) has been provisioned</t>
  </si>
  <si>
    <t>REQ000008059450</t>
  </si>
  <si>
    <t>ef0ab3a4-3c9b-43f4-95d4-f94a0b719434</t>
  </si>
  <si>
    <t>ba71dbc2-700f-4c14-acbc-79d1f2c8dfcc</t>
  </si>
  <si>
    <t>CSSP10759375</t>
  </si>
  <si>
    <t>Request to provision private IP for the following app services in PTAZSG-IAC-PROD-HIPAI-AIIRA-RG: ptsg-1hipsawb01, ptsg-1hipsawbapi01</t>
  </si>
  <si>
    <t>pep.</t>
  </si>
  <si>
    <t>REQ000008059672</t>
  </si>
  <si>
    <t>07f7434c-c661-4f1b-a140-aea98d7cacf0</t>
  </si>
  <si>
    <t>CSSP10455927</t>
  </si>
  <si>
    <t>A-000453</t>
  </si>
  <si>
    <t>Malaysia Bid Round Online Portal</t>
  </si>
  <si>
    <t>Require provisioning of External IP for new/upgrade server details below :
URL : ebid.malaysiabidround.com
Instance ID : i-0e037c5701cbc55e3
Hostname : PTAWSG-1MBRWB02
We already have Internal IP for this server,
Hence,  this CSSP is requested for provisioning of External IP for this server, as MBR Online Portal is for both internal/external facing users by business (MPM).</t>
  </si>
  <si>
    <t>RFC00222219</t>
  </si>
  <si>
    <t>Approved. Please expedite this as business has requested that the application needs to be ready by next week.</t>
  </si>
  <si>
    <t>Requests for External IP is via AppCenter and not CSSP</t>
  </si>
  <si>
    <t>83f3493c-fdee-48cf-93b2-6fd9f419adde</t>
  </si>
  <si>
    <t>dfdb9f50-3001-4dcd-b566-f0b92010ddc9</t>
  </si>
  <si>
    <t>CSSP10470481</t>
  </si>
  <si>
    <t>shilpakasture.joshi@petronas.com</t>
  </si>
  <si>
    <t>Need these resources for migrating existing Talent ETL to AlphaOil ADF</t>
  </si>
  <si>
    <t>please attach cost estimate for resources to be provisioned. the attached email trail did not include the estimate file.</t>
  </si>
  <si>
    <t>73658ccd-3a69-4e62-a958-2048745052d1</t>
  </si>
  <si>
    <t>CSSP10338172</t>
  </si>
  <si>
    <t>yngsheng.toh@petronas.com.my</t>
  </si>
  <si>
    <t>Please attached the specifications of the requested resources.</t>
  </si>
  <si>
    <t>7aebf8a0-421a-4b6e-92ba-4d8e10531fbb</t>
  </si>
  <si>
    <t>CSSP10151727</t>
  </si>
  <si>
    <t>SR010707
Need these resources for migrating existing Talent ETL to AlphaOil ADF</t>
  </si>
  <si>
    <t>Approved. User is in the midst of raising RFC for the upgrade</t>
  </si>
  <si>
    <t>DF and Azfunctions.</t>
  </si>
  <si>
    <t>REQ000008042697</t>
  </si>
  <si>
    <t>15c89c49-98ab-4d09-b4b8-c15f562be311</t>
  </si>
  <si>
    <t>CSSP10591107</t>
  </si>
  <si>
    <t>Cost/Bill category = DISSC (formerly known as Indirect Cost)
Understand that this project is not considered as/not in the list of Repatriation program, how do we provision this into Malaysia West Region?
Appreciate the team to assist on this. We are happy to jump into a call/discussion if needed to. Thank you.</t>
  </si>
  <si>
    <t>As part of the Elasticsearch platform modernization, we are rebuilding the existing deployment from an IaaS-based model to a Kubernetes-based architecture. This initiative is required to align the platform with PETRONAS 2.0 objectives, particularly in strengthening enterprise observability, improving platform scalability, and ensuring that the environment is designed with compliance and data governance requirements from the outset.
A key driver for deploying the new Kubernetes-based Elasticsearch cluster in Malaysia is to support PDPA compliance and data residency expectations. Elasticsearch is used to process and store observability data such as application logs, operational events, system telemetry, and compliance-related monitoring information. These datasets may contain sensitive information or data patterns that require proper governance, locality control, access control, and auditability. Hosting the target environment in Malaysia provides better alignment with local regulatory expectations and reduces the risk of sensitive operational data being processed or retained outside the intended jurisdiction.
This initiative is not related to any repatriation exercise. The deployment is driven by the need to modernize the Elasticsearch platform into a more secure, scalable, and compliance-ready architecture. The current IaaS-based setup has served its purpose, but it is less suitable for the future operating model required to support increasing observability demand, PDPA-driven controls, data residency requirements, and structured platform lifecycle management.
The new Kubernetes-based architecture will provide a more fit-for-purpose foundation for Elasticsearch by enabling improved resource orchestration, deployment consistency, resiliency, and operational control. More importantly, it allows the platform to be designed around compliance requirements from the beginning, including data locality, controlled access, secure operations, and better governance over how observability data is managed across the environment.
The new Malaysia-based Elasticsearch cluster will serve as the target-state environment for the modernized platform. It will allow the team to validate the architecture, security configuration, integration points, operational readiness, and migration approach in a controlled manner before production cutover. By designing the environment with production reuse in mind, the deployment avoids unnecessary duplication of infrastructure and supports a more efficient transition from validation to live operations.
Once the new Kubernetes-based environment has been validated, the team can proceed with a controlled data migration from the legacy IaaS servers. After successful migration and operational acceptance, the existing servers can be progressively decommissioned in a structured and auditable manner. This will reduce technical debt, simplify platform operations, and establish a cleaner foundation for future observability and compliance needs.
Overall, the deployment of new Kubernetes servers in Malaysia is necessary to support the Elasticsearch modernization roadmap. It is a platform modernization and compliance enablement initiative, not a repatriation exercise. The new environment will provide the required foundation to support PDPA compliance, Malaysia data residency, secure observability operations, controlled migration, and the eventual retirement of legacy IaaS-based infrastructure.</t>
  </si>
  <si>
    <t>OLZ</t>
  </si>
  <si>
    <t>Will proceed offline.</t>
  </si>
  <si>
    <t>REQ000008059443</t>
  </si>
  <si>
    <t>f67b3f48-36c4-4596-8b77-b45d0d2d62e4</t>
  </si>
  <si>
    <t>CSSP10434143</t>
  </si>
  <si>
    <t>Subscription Name: PTAZSG-IAC-PROD ENVIRONMENT
RG: PTAZSG-IAC-PROD-COMPASS-RG
To provision new Azure Cache for Redis in production environment</t>
  </si>
  <si>
    <t>small</t>
  </si>
  <si>
    <t>REQ000008073332</t>
  </si>
  <si>
    <t>cf7c1568-9465-478e-a212-1d033ab6fe72</t>
  </si>
  <si>
    <t>CSSP10714552</t>
  </si>
  <si>
    <t>RG ptazsg-iac-dev-gpdata-rg, Procurement AI Azure Functions and Fabric Upgrade (F8 =&gt; F16)</t>
  </si>
  <si>
    <t>clickops</t>
  </si>
  <si>
    <t>REQ000008059659</t>
  </si>
  <si>
    <t>9d360c06-88c7-47e9-83ad-4911ecbaa9d1</t>
  </si>
  <si>
    <t>CSSP10825896</t>
  </si>
  <si>
    <t>1. Azure Functions Premium EP2
2. App Service Free F1 - 4x
3. App Service Basic B1 - 1x
4. Storage Account Standard General Purpose V2 (Blob, Tables, Queues) - 1x
RG ptazsg-iac-dev-gpdata-rg</t>
  </si>
  <si>
    <t>additional resources
https://dev.azure.com/Digital-Delivery/Group%20Procurement%20EDH%20Data%20Enablement/_git/app-iac-azure-gpdata</t>
  </si>
  <si>
    <t>All resources have been provisioned. Detail resources name as below:
Azure Functions	ptazsg-5gpdatafunc02
App Service	ptazsg-5gpdatawb03
App Service	ptazsg-5gpdatawb04
Storage Accounts	ptazsg5gpdatastr03
Storage Accounts	ptazsg5gpdatastr04
App Service	ptazsg-5gpdatawb02
App Service	ptazsg-5gpdatawb05
App Service	ptazsg-5gpdatawb06</t>
  </si>
  <si>
    <t>REQ000008103506</t>
  </si>
  <si>
    <t>d6180edd-9eee-4a81-afa8-3a8cdfc15074</t>
  </si>
  <si>
    <t>CSSP10600937</t>
  </si>
  <si>
    <t>To upgrade current Production Elastic Stack (ELK) to support PII data detection for PDPA/GDPR data compliancy as well as to cater data growth in Elastic APM.</t>
  </si>
  <si>
    <t>Yes we need this asap, already budgeted in OE</t>
  </si>
  <si>
    <t>REQ000008059629</t>
  </si>
  <si>
    <t>d5452d0f-8e90-4728-9ffc-f7ff20529111</t>
  </si>
  <si>
    <t>CSSP10511275</t>
  </si>
  <si>
    <t>A-000396</t>
  </si>
  <si>
    <t>PETRONAS Integrated Pipeline Integrity Assurance Solutions - i-PIMS</t>
  </si>
  <si>
    <t>Implementation of PETRONAS Integrated Pipeline Integrity Assurance Solutions (i-PIMS) Open System at MPM for GTS</t>
  </si>
  <si>
    <t>POTF Commercialization</t>
  </si>
  <si>
    <t>PostgreSQL obsolete, need to provision new DB Server</t>
  </si>
  <si>
    <t>Reviewed &amp; Approved.</t>
  </si>
  <si>
    <t>requested cancel on 20th  May 2026 due to no team members not available (end of contract).</t>
  </si>
  <si>
    <t>REQ000008059479</t>
  </si>
  <si>
    <t>01f46ba0-6305-42ba-af71-4e5a242ff182</t>
  </si>
  <si>
    <t>4efe5a2b-499a-4e07-a71a-a79946dc9495</t>
  </si>
  <si>
    <t>CSSP10328365</t>
  </si>
  <si>
    <t>This request is to provision Azure API management &amp; App Service to host Rapid scale up module for ERMAI phase 4.
Both APIM and App Service will have their own Private End Point to secure access inbound. For outbound access, please use existing VNet for dev environment.
Please allow security group ERMAIDevTeam to access the resources/services.</t>
  </si>
  <si>
    <t>required as part of project scope.</t>
  </si>
  <si>
    <t>REQ000008067221</t>
  </si>
  <si>
    <t>4b2eade0-0dc5-4b2c-b02c-e3928b54a06b</t>
  </si>
  <si>
    <t>CSSP10330561</t>
  </si>
  <si>
    <t>ang.hooichen@petronas.com</t>
  </si>
  <si>
    <t>Provision new workspace for UAT and Prod. BOM please refer to datathon_infratemplate.xlsx.</t>
  </si>
  <si>
    <t>need another CSSP for one more environment.</t>
  </si>
  <si>
    <t>The DEV databricks is ready https://dbc-348a4064-1a0b.cloud.databricks.com</t>
  </si>
  <si>
    <t>REQ000008060446</t>
  </si>
  <si>
    <t>e843491d-275f-4046-ad6d-5830963ba204</t>
  </si>
  <si>
    <t>babd5907-1c00-4297-9d58-87f5408c6776</t>
  </si>
  <si>
    <t>CSSP10350529</t>
  </si>
  <si>
    <t>Please proceed with the resources provisioning for Staging environment.</t>
  </si>
  <si>
    <t>same ADO as CSSP10698884.</t>
  </si>
  <si>
    <t>provisioning completed.</t>
  </si>
  <si>
    <t>REQ000008059477</t>
  </si>
  <si>
    <t>d6821929-4b9b-40d0-a464-da8275cbb72a</t>
  </si>
  <si>
    <t>CSSP10126897</t>
  </si>
  <si>
    <t>Please proceed with the resources provisioning for Production environment.</t>
  </si>
  <si>
    <t>To include 2 additional RDS as requested for dev and staging.</t>
  </si>
  <si>
    <t>279afb2e-4c74-4354-a0dd-310b35b2fd6f</t>
  </si>
  <si>
    <t>CSSP10318437</t>
  </si>
  <si>
    <t>We have mistakenly decommissioned three resources in STAGING:
1) ptsg-4compasspgsql02-flexi
2) ptsg-4compasspgsql02-flexi-pep
3) ptsg-4compasspgsql02-flexi-pep-nic
To fix the issue, we would like to request for reprovisioning by REPLICATING the following resources:
1) ptsg-4compasspgsql-flexi
2) ptsg-4compasspgsql-flexi-pep
3) ptsg-4compasspgsql-flexi-pep-nic</t>
  </si>
  <si>
    <t>Proceed to re-provision</t>
  </si>
  <si>
    <t>The resource ptsg-4compasspgsql02-flexi is ready</t>
  </si>
  <si>
    <t>REQ000008066616</t>
  </si>
  <si>
    <t>3ed671eb-a970-47ba-bf94-49d3c4cb576c</t>
  </si>
  <si>
    <t>CSSP10835252</t>
  </si>
  <si>
    <t>Provision new workspace for Prod. BOM please refer to datathon_infratemplate.xlsx.
BOM-PROD sheet and Network Design-PROD</t>
  </si>
  <si>
    <t>previous request CSSP10330561.
new Prod env.</t>
  </si>
  <si>
    <t>PROD databricks is ready https://dbc-0d2794f8-e80b.cloud.databricks.com</t>
  </si>
  <si>
    <t>REQ000008071669</t>
  </si>
  <si>
    <t>e595741f-5776-4394-8e4d-1fbc92952e4b</t>
  </si>
  <si>
    <t>CSSP10509113</t>
  </si>
  <si>
    <t>A-000470</t>
  </si>
  <si>
    <t>MyApproval</t>
  </si>
  <si>
    <t>myAPPROVAL</t>
  </si>
  <si>
    <t>myApproval</t>
  </si>
  <si>
    <t>Please set up Azure Backup for the myApproval Azure Storage Account as below:
1) Resource Group: ptazsg-iac-prod-myapproval-rg
2) Storage Account: ptazsg1myapprovalstrzrs
3) Backup Policy: Daily (14 days), Weekly (4 weeks), Monthly (3 months), Yearly (0 year)</t>
  </si>
  <si>
    <t>apprved</t>
  </si>
  <si>
    <t>backup config</t>
  </si>
  <si>
    <t>REQ000008104442</t>
  </si>
  <si>
    <t>4f1d0d5f-66ce-487e-88c1-e23e3ab9f818</t>
  </si>
  <si>
    <t>b4376cc2-ec01-4ebf-98a7-0f3e3f9614c8</t>
  </si>
  <si>
    <t>CSSP10314804</t>
  </si>
  <si>
    <t>A-001354</t>
  </si>
  <si>
    <t>Plant Information - PI Enterprise for ENIGMA SEARAH</t>
  </si>
  <si>
    <t>SR26937_PI</t>
  </si>
  <si>
    <t>ENIGMA JV (Production): Implementing New Subscriptions for MacCo_PI</t>
  </si>
  <si>
    <t>Enigma</t>
  </si>
  <si>
    <t>cloud provisioning for PI application for ENIGMA SEARAH</t>
  </si>
  <si>
    <t>Reviewed and Approved. Kindly expedite in order to meet 1st July deadline for Searah Go-Live.</t>
  </si>
  <si>
    <t>multi vm + sql</t>
  </si>
  <si>
    <t>Complete</t>
  </si>
  <si>
    <t>REQ000008112899</t>
  </si>
  <si>
    <t>f4480009-8078-4a46-b9cd-cd9e643b37c5</t>
  </si>
  <si>
    <t>ed217ea3-c5cf-45d2-ae95-8d26d5e1f847</t>
  </si>
  <si>
    <t>CSSP10906858</t>
  </si>
  <si>
    <t>soo.cheahchoon@petronas.com</t>
  </si>
  <si>
    <t>A-000298</t>
  </si>
  <si>
    <t>Electronic Permit To Work Plus - ePTW+ GHSSE</t>
  </si>
  <si>
    <t>Implementation of Enterprise e-Permit to Work (e-PTW+) for GHSSE</t>
  </si>
  <si>
    <t>ePTW GHSE</t>
  </si>
  <si>
    <t>Request to provision private IP for the following app services in testeptw.petronas.com RG Name: PTAZSG-IAC-UAT-EPTWGHSE-RG</t>
  </si>
  <si>
    <t>eptw cs findings</t>
  </si>
  <si>
    <t>Is this request for updating the IP address of an existing App Service or for provisioning a new App Service?</t>
  </si>
  <si>
    <t>6d6eb070-7de5-4fb1-9f0e-f90530401fbb</t>
  </si>
  <si>
    <t>f0c90161-6027-4884-b7ec-8e30d2798958</t>
  </si>
  <si>
    <t>CSSP10975801</t>
  </si>
  <si>
    <t>Request to provision private IP for the following app services in testeptwghse.petronas.com RG Name: PTAZSG-IAC-UAT-EPTWGHSE-RG</t>
  </si>
  <si>
    <t>enable pep/private IP address
ptazsg-4eptwghsev3-wb01
ptazsg-4eptwghsev3-wb02</t>
  </si>
  <si>
    <t>REQ000008113457</t>
  </si>
  <si>
    <t>88756eb0-7cbf-4aaf-8a2d-27ca3afc72ad</t>
  </si>
  <si>
    <t>CSSP10682219</t>
  </si>
  <si>
    <t>idwal.wali@petronas.com</t>
  </si>
  <si>
    <t>A-000599</t>
  </si>
  <si>
    <t>kartinisuriati@petronas.com.my</t>
  </si>
  <si>
    <t>to request for additional MSSQL Managed Instance in PTSG-1GISDB01 (172.25.40.117) for ENIGMA initiative.</t>
  </si>
  <si>
    <t>Approved for SEARAH Operationalize 1 July 2026</t>
  </si>
  <si>
    <t>kartinisuriati@petronas.com</t>
  </si>
  <si>
    <t>e92b0512-824f-476b-b163-edd30c189714</t>
  </si>
  <si>
    <t>8f30cf74-aae2-4af0-9c3f-e6c4f16643fe</t>
  </si>
  <si>
    <t>CSSP10367612</t>
  </si>
  <si>
    <t>Request to provision compute instance (with virtual network enabled) for each of the following Azure ML workspaces:
1(a). Workspace Name: PTAZSG-1CA-COOL-WTR-PUMP
  (b). Workspace URL: https://ml.azure.com/?tid=3b2e8941-7948-4131-978a-b2dfc7295091&amp;wsid=/subscriptions/7003ae80-02ed-43c8-9c84-c16f3d931f2f/resourcegroups/PTAZSG-IAC-DAA-PROD-DOWNSTREAM-PRPC-RG/providers/Microsoft.MachineLearningServices/workspaces/PTAZSG-1CA-COOL-WTR-PUMP
2(a). Workspace Name: PTAZSG-1CA-ODOR-PRED
  (b). Workspace URL: https://ml.azure.com/?tid=3b2e8941-7948-4131-978a-b2dfc7295091&amp;wsid=/subscriptions/7003ae80-02ed-43c8-9c84-c16f3d931f2f/resourcegroups/PTAZSG-IAC-DAA-PROD-DOWNSTREAM-PRPC-RG/providers/Microsoft.MachineLearningServices/workspaces/PTAZSG-1CA-ODOR-PRED
3(a). Workspace Name: PTAZSG-1CA-ETP-AERATION
  (b). Workspace URL: https://ml.azure.com/?tid=3b2e8941-7948-4131-978a-b2dfc7295091&amp;wsid=/subscriptions/7003ae80-02ed-43c8-9c84-c16f3d931f2f/resourcegroups/PTAZSG-IAC-DAA-PROD-DOWNSTREAM-PRPC-RG/providers/Microsoft.MachineLearningServices/workspaces/PTAZSG-1CA-ETP-AERATION
Assigned New User:
	1. Luqman Hakim Ifnu Hakim (POCM/PRPC) - luqmanhakim.ifnuhaki@petronas.com.my
	2. M Razin Rahimi Abd Shukur (POCM/PRPC) - mrazinrahimi.abdshuk@petronas.com.my
	3. M Rahman M Rosli (E&amp;M/PRPC) - rahman.rosli@petronas.com.my
Shahkaizan Shahari (POCM/PRPC) - shahkaizan.shahari@petronas.com.my</t>
  </si>
  <si>
    <t>To provision compute instance to the 4 new users from PRPC for all 3 workspaces under PRPC. T</t>
  </si>
  <si>
    <t>To comply with the Cloud Service Request and Provisioning Guideline v4.0, kindly provide the approved CS BIA, Estimated Cost (in excel format generated from AWS/Azure website) and SOW/HLD as supporting evidence.</t>
  </si>
  <si>
    <t>c0261b47-98bc-4430-b18c-0f1d3937f0c7</t>
  </si>
  <si>
    <t>CSSP10765617</t>
  </si>
  <si>
    <t>A-001366</t>
  </si>
  <si>
    <t>Instruments Asset Management - IAMS for ENIGMA SEARAH</t>
  </si>
  <si>
    <t>SR26937_IAMS</t>
  </si>
  <si>
    <t>ENIGMA JV (Production): Implementing New Subscriptions for MacCo_IAMS</t>
  </si>
  <si>
    <t>mhafiz.samsudin@petronas.com.my</t>
  </si>
  <si>
    <t>The server should be same specification as PTSG-1PWOwb02 (172.25.200.22) at PETRONAS Cloud</t>
  </si>
  <si>
    <t>Critical for Searah onboarding. Kindly expedite to meet 1st July cutover.</t>
  </si>
  <si>
    <t>pre-assigned.</t>
  </si>
  <si>
    <t>REQ000008112895</t>
  </si>
  <si>
    <t>e9adc685-ea5d-42bf-aacf-1d085a9b4704</t>
  </si>
  <si>
    <t>490a22b7-0256-40ee-aa08-bbcb9d6f9e27</t>
  </si>
  <si>
    <t>CSSP10340554</t>
  </si>
  <si>
    <t>mhizami.norsuhaimi@petronas.com</t>
  </si>
  <si>
    <t>A-001358</t>
  </si>
  <si>
    <t>System 1 for ENIGMA SEARAH</t>
  </si>
  <si>
    <t>SR26937_System1</t>
  </si>
  <si>
    <t>ENIGMA JV (Production): Implementing New Subscriptions for MacCo_System1</t>
  </si>
  <si>
    <t>Provisioning of System 1 cloud server for Enigma SEARAH</t>
  </si>
  <si>
    <t>vm</t>
  </si>
  <si>
    <t>REQ000008112896</t>
  </si>
  <si>
    <t>c01f7b4e-08d2-40f6-aed0-5b1979da0b79</t>
  </si>
  <si>
    <t>68be25ca-9627-4a6f-9c50-424d721f17e6</t>
  </si>
  <si>
    <t>CSSP10132938</t>
  </si>
  <si>
    <t>zulfahmi.ibrahim@petronas.com</t>
  </si>
  <si>
    <t>A-001361</t>
  </si>
  <si>
    <t>Predictive Revitalization of Instrumentation to Maximize Efficiency - PRIME for ENIGMA SEARAH</t>
  </si>
  <si>
    <t>SR26937_PRIME</t>
  </si>
  <si>
    <t>ENIGMA JV (Production): Implementing New Subscriptions for MacCo_PRIME</t>
  </si>
  <si>
    <t>provisioning of PRIME cloud Server for ENIGMA Searah</t>
  </si>
  <si>
    <t>vm&amp;sql.</t>
  </si>
  <si>
    <t>REQ000008113432</t>
  </si>
  <si>
    <t>02a376be-a31b-41f5-9343-6a84938060c3</t>
  </si>
  <si>
    <t>7efa880b-53c2-4cf4-aeb1-f17c6223b17c</t>
  </si>
  <si>
    <t>CSSP10867439</t>
  </si>
  <si>
    <t>A-001372</t>
  </si>
  <si>
    <t>Enterprise Document Management System - Power BI for ENIGMA SEARAH</t>
  </si>
  <si>
    <t>SR26965_POWERBI</t>
  </si>
  <si>
    <t>ENIGMA JV: Enterprise-Document Management (PowerBI) for MacCo</t>
  </si>
  <si>
    <t>ENIGMA JV Enterprise-Document Management</t>
  </si>
  <si>
    <t>Subscription Details for Microsoft Fabric license :
•	Microsoft Fabric – SKU F64 Capacity Unit
•	Usage: 264 hours/month (based on 12 hours active usage daily for 22 days)
•	Estimated Cost: ~RM210,536 per year
Justification for Microsoft Fabric Subscription
The Fabric license will enable the following key capabilities to support SEARAH’s data and reporting needs:
•	Wells Data Quality (Power BI module)
To enhance visibility and monitoring of data quality metrics.
•	Data Strategy and Assurance Control Tower for SEARAH, including:
o	Establishment of Data Governance and Compliance Dashboards to ensure data quality, consistency, and adherence to regulatory standards
o	Enablement of an integrated data ecosystem leveraging Fabric components, such as: 
	Data Factory
	Data Engineering
	Data Warehouse
	OneLake
	Copilot capabilities integrated with Power BI</t>
  </si>
  <si>
    <t>fabric. assigned to medium to include post deployment configuration/access.</t>
  </si>
  <si>
    <t>REQ000008113433</t>
  </si>
  <si>
    <t>8473eb18-b858-466f-b18d-da424602c277</t>
  </si>
  <si>
    <t>f92479e1-5424-4c64-886c-9036443b2214</t>
  </si>
  <si>
    <t>CSSP10533757</t>
  </si>
  <si>
    <t>hazmanhadi.mkhirola@petronas.com</t>
  </si>
  <si>
    <t>A-000083</t>
  </si>
  <si>
    <t>00915_244</t>
  </si>
  <si>
    <t>nurdoriah.sarim@petronas.com.my</t>
  </si>
  <si>
    <t>ICT_RFC00222233</t>
  </si>
  <si>
    <t>Approved, please proceed</t>
  </si>
  <si>
    <t>nurdoriah.sarim@petronas.com</t>
  </si>
  <si>
    <t>Proceed as mentioned in the request</t>
  </si>
  <si>
    <t>REQ000008089397</t>
  </si>
  <si>
    <t>f57e22a1-0676-40e0-9658-4f70fbe49c4e</t>
  </si>
  <si>
    <t>34c90753-1002-40a3-a112-d510d55f6d3e</t>
  </si>
  <si>
    <t>CSSP10881379</t>
  </si>
  <si>
    <t>A-001362</t>
  </si>
  <si>
    <t>Predictive Rotating Equipment Analytics - PROTEAN for ENIGMA SEARAH</t>
  </si>
  <si>
    <t>SR26937_PROTEAN</t>
  </si>
  <si>
    <t>ENIGMA JV (Production): Implementing New Subscriptions for MacCo_PROTEAN</t>
  </si>
  <si>
    <t>Cloud Provisioning for PROTEAN SEARAH</t>
  </si>
  <si>
    <t>multi vm &amp; sql</t>
  </si>
  <si>
    <t>previously completed</t>
  </si>
  <si>
    <t>REQ000008113434</t>
  </si>
  <si>
    <t>fe29589c-031c-4b56-80df-4dfedf3c1975</t>
  </si>
  <si>
    <t>eef26968-6541-4853-8660-127eeb2fa3e6</t>
  </si>
  <si>
    <t>CSSP10258689</t>
  </si>
  <si>
    <t>A-001347</t>
  </si>
  <si>
    <t>NeTool for ENIGMA SEARAH</t>
  </si>
  <si>
    <t>SR26947_NeTool</t>
  </si>
  <si>
    <t>ENIGMA JV: Implementation of Wells System and Data for MacCo - NeTool</t>
  </si>
  <si>
    <t>To provision the enigma license server for Searah</t>
  </si>
  <si>
    <t>Supported and approved.</t>
  </si>
  <si>
    <t>Kindly proceed with deploying the Storage Account (Managed Disk) in Malaysia West, aligned with the other services. It is good to go.</t>
  </si>
  <si>
    <t>REQ000008113441</t>
  </si>
  <si>
    <t>1746e1a0-c7b0-49c0-b93c-c7e83491f828</t>
  </si>
  <si>
    <t>918c0a31-b911-4707-9a6b-69bfdb2eb0e6</t>
  </si>
  <si>
    <t>CSSP10240410</t>
  </si>
  <si>
    <t>A-001373</t>
  </si>
  <si>
    <t>Right Asset Right Player</t>
  </si>
  <si>
    <t>SR00563</t>
  </si>
  <si>
    <t>[2026] Technology Consulting for MPM Right Asset Right Player (RARP) Development</t>
  </si>
  <si>
    <t>aishah.suhaidi@petronas.com.my</t>
  </si>
  <si>
    <t>Need to Provision a new DEV Environment 
Right Asset Right Player (RARP) is proposed to address persistent challenges currently faced by MPM in efficiently matching upstream assets with the most suitable investors or partners, where the existing manual screening and evaluation process is time-consuming, prone to delays, and may lead to missed opportunities and slower decision-making. At present, the process is constrained by limited visibility and market reach due to reliance on fragmented internal databases and static market intelligence, which restricts access to comprehensive and real-time investor information.</t>
  </si>
  <si>
    <t>requested for rarp</t>
  </si>
  <si>
    <t>aishah.suhaidi@petronas.com</t>
  </si>
  <si>
    <t>DEV CSSP10240410, 
UAT CSSP10814753, 
PROD CSSP10126389
AKS</t>
  </si>
  <si>
    <t>REQ000008102709</t>
  </si>
  <si>
    <t>ece45929-4baa-4791-be4e-f8c3b759e5a7</t>
  </si>
  <si>
    <t>2f0d6952-fc56-49af-94e6-67c685a03b9b</t>
  </si>
  <si>
    <t>CSSP10814753</t>
  </si>
  <si>
    <t>Need to Provision a new Staging Environment
Right Asset Right Player (RARP) is proposed to address persistent challenges currently faced by MPM in efficiently matching upstream assets with the most suitable investors or partners, where the existing manual screening and evaluation process is time-consuming, prone to delays, and may lead to missed opportunities and slower decision-making. At present, the process is constrained by limited visibility and market reach due to reliance on fragmented internal databases and static market intelligence, which restricts access to comprehensive and real-time investor information.</t>
  </si>
  <si>
    <t>required for rarp</t>
  </si>
  <si>
    <t>REQ000008102710</t>
  </si>
  <si>
    <t>7baf90ba-ad7f-4550-9f4c-68fce509825a</t>
  </si>
  <si>
    <t>CSSP10126389</t>
  </si>
  <si>
    <t>Need to Provision a new Production Environment 
Right Asset Right Player (RARP) is proposed to address persistent challenges currently faced by MPM in efficiently matching upstream assets with the most suitable investors or partners, where the existing manual screening and evaluation process is time-consuming, prone to delays, and may lead to missed opportunities and slower decision-making. At present, the process is constrained by limited visibility and market reach due to reliance on fragmented internal databases and static market intelligence, which restricts access to comprehensive and real-time investor information.</t>
  </si>
  <si>
    <t>REQ000008102711</t>
  </si>
  <si>
    <t>b84b5a36-28cb-4f6d-8738-368f5f1baafd</t>
  </si>
  <si>
    <t>CSSP10689195</t>
  </si>
  <si>
    <t>mahmad.abdsamad@petronas.com</t>
  </si>
  <si>
    <t>A-001357</t>
  </si>
  <si>
    <t>Integrated Asset Modelling - IAM for ENIGMA SEARAH</t>
  </si>
  <si>
    <t>SR26937_IAM</t>
  </si>
  <si>
    <t>ENIGMA JV (Production): Implementing New Subscriptions for MacCo_IAM</t>
  </si>
  <si>
    <t>provisioning of IAM-DOFcloud Server for ENIGMA Searah</t>
  </si>
  <si>
    <t>Approved as it is critical for Searah application onboarding. Kindly expedite to meet 1st July Go-Live timeline.</t>
  </si>
  <si>
    <t>6x VM</t>
  </si>
  <si>
    <t>REQ000008113436</t>
  </si>
  <si>
    <t>48d9dba8-fbe9-47fc-b41e-8f4bcd178425</t>
  </si>
  <si>
    <t>e2a4626b-dce7-4551-8909-c37544ce5e13</t>
  </si>
  <si>
    <t>CSSP10679364</t>
  </si>
  <si>
    <t>liyana.arif@petronas.com</t>
  </si>
  <si>
    <t>A-001351</t>
  </si>
  <si>
    <t>Lab Information Management System - LIMS for ENIGMA SEARAH</t>
  </si>
  <si>
    <t>SR26937_LIMS</t>
  </si>
  <si>
    <t>ENIGMA JV (Production): Implementing New Subscriptions for MacCo_LIMS</t>
  </si>
  <si>
    <t>To provision production and development server for SEARAH LIMS</t>
  </si>
  <si>
    <t>Approved as request is critical for Searah onboarding. Kindly expedite to meet 1st July Go-Live.</t>
  </si>
  <si>
    <t>Good to go but Azure Key Vault, Defender, Azure Monitor and VNet Peering must be included in the estimation cost.</t>
  </si>
  <si>
    <t>VM + SQL</t>
  </si>
  <si>
    <t>REQ000008113440</t>
  </si>
  <si>
    <t>da7770e1-8755-414e-aae7-12d17670bbc9</t>
  </si>
  <si>
    <t>80075c55-97f9-4614-8c93-05457e89f4dd</t>
  </si>
  <si>
    <t>CSSP10856107</t>
  </si>
  <si>
    <t>Please assist us to provision additional RDS in AWS for our application in DEV environment.</t>
  </si>
  <si>
    <t>CSSP10846792 - STG CSSP10856107 - DEV</t>
  </si>
  <si>
    <t>REQ000008113450</t>
  </si>
  <si>
    <t>1169cf3b-7429-4187-9769-407331a521c9</t>
  </si>
  <si>
    <t>CSSP10846792</t>
  </si>
  <si>
    <t>Please assist us to provision additional RDS in AWS for our application in STG environment.</t>
  </si>
  <si>
    <t>CSSP10846792 - STG
CSSP10856107 - DEV</t>
  </si>
  <si>
    <t>REQ000008112904</t>
  </si>
  <si>
    <t>b2b76083-a0d5-49ca-b371-e2308e7baff5</t>
  </si>
  <si>
    <t>CSSP10346689</t>
  </si>
  <si>
    <t>Provision new workspace for Prod. BOM please refer to datathon_infratemplate.xlsx. BOM-SANDBOX sheet and Network Design-SANDBOX</t>
  </si>
  <si>
    <t>Databricks workspace</t>
  </si>
  <si>
    <t>deployment completed and successfully passed to user for usage</t>
  </si>
  <si>
    <t>REQ000008129311</t>
  </si>
  <si>
    <t>07e7c5b9-b52e-4b9d-83b1-d0a0d04a9047</t>
  </si>
  <si>
    <t>CSSP10156823</t>
  </si>
  <si>
    <t>kavya.ramamurthy@petronas.com</t>
  </si>
  <si>
    <t>A-000152</t>
  </si>
  <si>
    <t>nurainil.m@petronas.com.my</t>
  </si>
  <si>
    <t>Fortify AST Tool</t>
  </si>
  <si>
    <t>The previous self hosted cloud agent used for DAST scan from devsecops pipeline was compromised and isolated. So we need to spawn new agent to keep scan running. Please refer to this link "https://learn.microsoft.com/en-us/azure/devops/pipelines/agents/windows-agent?view=azure-devops&amp;tabs=IP-V4" for agent requirements. PFA firewall requirements and HLD.</t>
  </si>
  <si>
    <t>please upload the Azure Calculator for 2 new servers</t>
  </si>
  <si>
    <t>nurainil.m@petronas.com</t>
  </si>
  <si>
    <t>018866d2-6805-4206-9278-19021eb0ef40</t>
  </si>
  <si>
    <t>fe745c87-39fa-457e-a6e4-0ead307871b9</t>
  </si>
  <si>
    <t>CSSP10408302</t>
  </si>
  <si>
    <t>ermanfitri.myasin@petronas.com</t>
  </si>
  <si>
    <t>A-000026</t>
  </si>
  <si>
    <t>PC-00019</t>
  </si>
  <si>
    <t>Configuration_Management</t>
  </si>
  <si>
    <t>We would like to upgrade our servers within the existing resource group (PTAZSG-CORE-AECM-RG) to support the upgrade of our Red Hat Ansible Automation Platform. Kindly assist in provisioning three (3) servers running RHEL 9, following the specifications of 'PTSG-3AECMap01'.
The new server names are as follows:
1. PTAZSG-3AECMap01
2. PTAZSG-3AECMap02
3. PTAZSG-3AECMap03</t>
  </si>
  <si>
    <t>Kindly update the Request Category from New to Upgrade. As the resources are currently running in a Production environment, please also provide the RFC number for tracking and governance purposes.</t>
  </si>
  <si>
    <t>7abf948a-6b31-4746-8daf-2698ab161815</t>
  </si>
  <si>
    <t>5b71c260-c058-4ff2-aac6-aebd7824a8fe</t>
  </si>
  <si>
    <t>CSSP10577126</t>
  </si>
  <si>
    <t>amalina.arahman@petronas.com</t>
  </si>
  <si>
    <t>A-001376</t>
  </si>
  <si>
    <t>Regional Service Management Experience Level Agreement - RSM XLA</t>
  </si>
  <si>
    <t>PC-00091</t>
  </si>
  <si>
    <t>Vanguard</t>
  </si>
  <si>
    <t>ashri.ariffin@petronas.com.my</t>
  </si>
  <si>
    <t>HRA_eForms</t>
  </si>
  <si>
    <t>To establish a sustainable AI ecosystem within Regional Service Management (RSM), enabling us to optimise MSP deliverables while aligning with the PETRONAS 2.0 agenda and broader digital transformation objectives.</t>
  </si>
  <si>
    <t>Approved as essential tools ecosystem within RSM to generate XLA Dashboard (Vanguard) to orchestrate FS services by MSP to regional business operations</t>
  </si>
  <si>
    <t>ashri.ariffin@petronas.com</t>
  </si>
  <si>
    <t>REQ000008205947</t>
  </si>
  <si>
    <t>66d834b6-2e20-4e08-afb9-86b6af4b74bf</t>
  </si>
  <si>
    <t>ecdfec65-7f82-42cb-9aba-850595e4b416</t>
  </si>
  <si>
    <t>1. Window EC2 - Windows Server 2022 Base (Petronas-approved hardened image if available) - Instance type: t3.medium (2 vCPU, 4GB RAM) - Storage: 50GB gp3 - Subnet: DIC private subnet with NAT - Security group: a. Outbound: S3, SQS, RDS (5432), Secrets Manager, CloudWatch b. Inbound: RDP from bastion/VPN only 2. Microsoft Office ( Excel ) - Installed on the above EC2 instance and activated under Petronas enterprise licensing - Licensed for a service account (svc-econ-runner) to run Excel in the background</t>
  </si>
  <si>
    <t>Approved. This is for the DIC application.</t>
  </si>
  <si>
    <t>1x EC2 with outbound port 5432 allowed.</t>
  </si>
  <si>
    <t>REQ000008129680</t>
  </si>
  <si>
    <t>6d7d884e-652e-41a2-8609-572a05d927dc</t>
  </si>
  <si>
    <t>CSSP10980096</t>
  </si>
  <si>
    <t>Request to provision compute instance (with virtual network enabled) for each of the following Azure ML workspaces:
1(a). Workspace Name: PTAZSG-1CA-COOL-WTR-PUMP
  (b). Workspace URL: https://ml.azure.com/?tid=3b2e8941-7948-4131-978a-b2dfc7295091&amp;wsid=/subscriptions/7003ae80-02ed-43c8-9c84-c16f3d931f2f/resourcegroups/PTAZSG-IAC-DAA-PROD-DOWNSTREAM-PRPC-RG/providers/Microsoft.MachineLearningServices/workspaces/PTAZSG-1CA-COOL-WTR-PUMP
2(a). Workspace Name: PTAZSG-1CA-ODOR-PRED
  (b). Workspace URL: https://ml.azure.com/?tid=3b2e8941-7948-4131-978a-b2dfc7295091&amp;wsid=/subscriptions/7003ae80-02ed-43c8-9c84-c16f3d931f2f/resourcegroups/PTAZSG-IAC-DAA-PROD-DOWNSTREAM-PRPC-RG/providers/Microsoft.MachineLearningServices/workspaces/PTAZSG-1CA-ODOR-PRED
3(a). Workspace Name: PTAZSG-1CA-ETP-AERATION
  (b). Workspace URL: https://ml.azure.com/?tid=3b2e8941-7948-4131-978a-b2dfc7295091&amp;wsid=/subscriptions/7003ae80-02ed-43c8-9c84-c16f3d931f2f/resourcegroups/PTAZSG-IAC-DAA-PROD-DOWNSTREAM-PRPC-RG/providers/Microsoft.MachineLearningServices/workspaces/PTAZSG-1CA-ETP-AERATION
Assigned New User:
	1. Luqman Hakim Ifnu Hakim (POCM/PRPC) - luqmanhakim.ifnuhaki@petronas.com.my
	2. M Razin Rahimi Abd Shukur (POCM/PRPC) - mrazinrahimi.abdshuk@petronas.com.my
	3. M Rahman M Rosli (E&amp;M/PRPC) - rahman.rosli@petronas.com.my
    4. Shahkaizan Shahari (POCM/PRPC) - shahkaizan.shahari@petronas.com.my</t>
  </si>
  <si>
    <t>provision compute instance (with virtual network enabled)</t>
  </si>
  <si>
    <t>We have added three Azure Machine Learning environments and provisioned the required compute instances. I have verified this with Mohamad Syafiq, and the user is able to access them successfully. Hence, the request is being closed.</t>
  </si>
  <si>
    <t>REQ000008152355</t>
  </si>
  <si>
    <t>bbd14bb4-2b8c-426b-857a-0e9599551029</t>
  </si>
  <si>
    <t>CSSP10650272</t>
  </si>
  <si>
    <t>rinaaniza.mnazri@petronas.com</t>
  </si>
  <si>
    <t>A-001377</t>
  </si>
  <si>
    <t>SR26952</t>
  </si>
  <si>
    <t>jamie.kee@petronas.com.my</t>
  </si>
  <si>
    <t>KLCC Digital</t>
  </si>
  <si>
    <t>To create for all 3 environment
Development
UAT
Production</t>
  </si>
  <si>
    <t>Approved in line with the stated business requirements and SA's confirmation.</t>
  </si>
  <si>
    <t>jamie.kee@petronas.com</t>
  </si>
  <si>
    <t>Good to go. We will create the Resource Group (RG) for Fabric in the Production environment.</t>
  </si>
  <si>
    <t>REQ000008178969</t>
  </si>
  <si>
    <t>9f4eb72f-c950-40b7-ad2f-809c8c432953</t>
  </si>
  <si>
    <t>e8e49670-a7a1-4765-bdfb-232b52ba2b1d</t>
  </si>
  <si>
    <t>CSSP10626091</t>
  </si>
  <si>
    <t>tommy.pang@pli-petronas.com</t>
  </si>
  <si>
    <t>A-000207</t>
  </si>
  <si>
    <t>Data Fabric Capacity</t>
  </si>
  <si>
    <t>Migration of SharePoint Phase 2 for PLISB</t>
  </si>
  <si>
    <t>gary.low@pli-petronas.com</t>
  </si>
  <si>
    <t>To request that our Power BI Workspaces be upgraded to Fabric Capacity in order to overcome current Power BI Pro license limitations. Please assign to Resource Group PTAZSG-IAC-UAT-SPPLI-BT-RG</t>
  </si>
  <si>
    <t>Hi Tommy, as discussed, pls proceed.</t>
  </si>
  <si>
    <t>gary.low@PLI-PETRONAS.COM</t>
  </si>
  <si>
    <t>Good to go. Please assign to Resource Group PTAZSG-IAC-UAT-SPPLI-BT-RG</t>
  </si>
  <si>
    <t>provisioning has been completed hence closing the request</t>
  </si>
  <si>
    <t>REQ000008194633</t>
  </si>
  <si>
    <t>4ebe31aa-25e2-4a51-9cf5-bec60f933cb8</t>
  </si>
  <si>
    <t>e6fde82f-4d1d-44b4-8a89-5bff5c39d45b</t>
  </si>
  <si>
    <t>CSSP10600017</t>
  </si>
  <si>
    <t>roslilawati.samsu@petronas.com</t>
  </si>
  <si>
    <t>A-000177</t>
  </si>
  <si>
    <t>SR26951</t>
  </si>
  <si>
    <t>izayu.ismail@petronas.com.my</t>
  </si>
  <si>
    <t>SIEM for SETEL</t>
  </si>
  <si>
    <t>Centralised SIEM onboarding for SETEL Admin Portal and MongoD</t>
  </si>
  <si>
    <t>this request already completed and already check the resource by user</t>
  </si>
  <si>
    <t>REQ000008198551</t>
  </si>
  <si>
    <t>fcc5dfe6-9dcc-40fe-b4d4-3860a3180dfc</t>
  </si>
  <si>
    <t>12b5d34b-de42-48ce-aff0-ad41155bbc79</t>
  </si>
  <si>
    <t>CSSP10131317</t>
  </si>
  <si>
    <t>Please assist in provisioning three (3) servers running RHEL 9 in the existing resource group (PTAZSG-CORE-AECM-RG) following the specifications of 'PTSG-3AECMap01'. The new server names are as follows: 
1. PTAZSG-3AECMap01 
2. PTAZSG-3AECMap02 
3. PTAZSG-3AECMap03</t>
  </si>
  <si>
    <t>new provisioning has been completed hence closing the request</t>
  </si>
  <si>
    <t>REQ000008198634</t>
  </si>
  <si>
    <t>c2761cba-39e3-47ab-8992-8a7ba9972288</t>
  </si>
  <si>
    <t>To create for all 3 environment Development UAT Production</t>
  </si>
  <si>
    <t>REQ000008178702</t>
  </si>
  <si>
    <t>63bbf4a4-4fc1-44be-b52c-95c8e9dd50ea</t>
  </si>
  <si>
    <t>REQ000008178968</t>
  </si>
  <si>
    <t>09ff0ec9-7c77-445c-bb90-fdea8f766cee</t>
  </si>
  <si>
    <t>CSSP10268716</t>
  </si>
  <si>
    <t>A-001374</t>
  </si>
  <si>
    <t>Frontier Firm</t>
  </si>
  <si>
    <t>SR26854</t>
  </si>
  <si>
    <t>PDSB Frontier Firm</t>
  </si>
  <si>
    <t>mazahari.ahmad@petronas.com.my</t>
  </si>
  <si>
    <t>1) The naming conventions under the label of "Custom Name" as per discussion with sujay.pillai@petronas.com.my.
2) This solution will use spoke-hub model.
3) The Hub resources will be as listed in "AI Foundry Shared (Non-Prod)" in BoM and will be provisioned in "PTAZSG-IAC-DEV-CORP-AIF-RG" located in "PTAZSG-IAC-DEV ENVIRONMENT".
4) The Spoke resources will be as listed in the rest of Sheets and will be provisioned in "PTAZSG-IAC-DEV-FF-RG" located in "PTAZMY-IAC-NONPROD-CORPORATE ENVIRONMENT".
5) Please prioritize the following resources in the Sheets:
"UC1-Billing Variance"
"UC2-OC2"
"UC3-AI Compliance"
"UC7-Work Order Strategy".</t>
  </si>
  <si>
    <t>Approved as Project Manager for Frontier Firm, based on low business impact classification and formal risk acceptance in place.
Progression is supported for current phase (non-production), subject to closure of identified security gaps (CMDB registration, MFA, hardening, VA/WA) prior to production.
All mitigation actions are acknowledged with clear ownership and timelines; approval granted with condition for compliance validation before go-live.</t>
  </si>
  <si>
    <t>mazahari.ahmad@petronas.com</t>
  </si>
  <si>
    <t>Large due to container app and connectivity/environment config.</t>
  </si>
  <si>
    <t>ticket has been completed. hence closing the request</t>
  </si>
  <si>
    <t>REQ000008143314</t>
  </si>
  <si>
    <t>6a3ea0b2-21a7-451c-a21d-3278b4fc6e80</t>
  </si>
  <si>
    <t>df038705-b8ec-475a-ae96-e8885b8af39f</t>
  </si>
  <si>
    <t>CSSP10927046</t>
  </si>
  <si>
    <t>During DAST scanning of COMPASS QA, a security issue was identified related to the reverse proxy configuration.
Affected Application:
- COMPASS QA Frontend
- Resource: ptsg-4compassp2wb02/stg
- URL: compassqa.petronas.com
Issue: The reverse proxy is not properly handling ambiguous HTTP requests containing both Content-Length and Transfer-Encoding headers. This has been reported as a security finding in SSC.
Required fix: Configure the reverse proxy to:
- Reject requests containing both Content-Length and Transfer-Encoding headers
- Close the connection when such requests are detected</t>
  </si>
  <si>
    <t>approved fro compass</t>
  </si>
  <si>
    <t>Security enhancement/configuration update on existing reverse proxy to address DAST finding. No new resources or complex infrastructure deployment required.</t>
  </si>
  <si>
    <t>Approved for further processing</t>
  </si>
  <si>
    <t>Based on our assessment, the affected resource appears to be an Azure App Service (ptsg-4compassp2wb02/stg). We do not have a platform-level configuration available within App Service to enforce rejection of requests containing both headers and to close the connection upon detection. Hence closing the request</t>
  </si>
  <si>
    <t>REQ000008172904</t>
  </si>
  <si>
    <t>7ef25ccc-462c-4838-8845-ab48370f5353</t>
  </si>
  <si>
    <t>CSSP10514376</t>
  </si>
  <si>
    <t>zulfakar.mohd@petronas.com.my</t>
  </si>
  <si>
    <t>Provision of PostgreSQL in Azure myProcure</t>
  </si>
  <si>
    <t>all good</t>
  </si>
  <si>
    <t>zulfakar.mohd@petronas.com</t>
  </si>
  <si>
    <t>This request does not match the associated Project SR number (04343). Kindly provide the correct Project SR number, together with the approved CS BIA, SOW and approved HLD, as supporting evidence for the review.</t>
  </si>
  <si>
    <t>301fbed9-00e3-4a60-bc88-0ad69be24b98</t>
  </si>
  <si>
    <t>CSSP10225257</t>
  </si>
  <si>
    <t>Approved. Please expedite.</t>
  </si>
  <si>
    <t>Please provide the approved CS BIA, Memo Approval (Business Approval), and the amended HLD with an updated architecture diagram incorporating the newly introduced EC2 instance, as supporting evidence to comply with the Cloud Service Request and Provisioning Guideline v4.0.</t>
  </si>
  <si>
    <t>399de0c7-8131-4207-a1e8-f3d205848502</t>
  </si>
  <si>
    <t>CSSP10301150</t>
  </si>
  <si>
    <t>Workflow update testing..</t>
  </si>
  <si>
    <t>..</t>
  </si>
  <si>
    <t>ff15772f-f5d5-4613-a878-a022487e89aa</t>
  </si>
  <si>
    <t>fa77b7d8-0475-40a0-a3b2-96871420e862</t>
  </si>
  <si>
    <t>CSSP10868450</t>
  </si>
  <si>
    <t>sample testing ticket simulation</t>
  </si>
  <si>
    <t>Ready for provisioning</t>
  </si>
  <si>
    <t>testing ticket. no need to execute.</t>
  </si>
  <si>
    <t>REQ000008147456</t>
  </si>
  <si>
    <t>0fda9f98-a951-4a38-8059-66da8c1366ac</t>
  </si>
  <si>
    <t>CSSP10838332</t>
  </si>
  <si>
    <t>OSR00165_10</t>
  </si>
  <si>
    <t>OSR00165: Procurement and Infrastructure Deployment for Cyber Defense (Pilot Phase) - Mandiant Security Validation (MSV)</t>
  </si>
  <si>
    <t>Mandiant Security Validation (MSV)</t>
  </si>
  <si>
    <t>to migrate the MSV instance from AWS SG to AWS MY .
existing IP:
10.85.33.153
10.85.33.150</t>
  </si>
  <si>
    <t>done by amarja.</t>
  </si>
  <si>
    <t>REQ000008200697</t>
  </si>
  <si>
    <t>5c84ae07-84ce-404c-abe7-df8dfc5d5162</t>
  </si>
  <si>
    <t>5b31886a-f4d6-40ec-ab00-11a357226ae0</t>
  </si>
  <si>
    <t>CSSP10686696</t>
  </si>
  <si>
    <t>mfarhan.kamaludin@petronas.com.my</t>
  </si>
  <si>
    <t>PDSB_Frontier_Firm</t>
  </si>
  <si>
    <t>1) The naming conventions under the label of "Custom Name" as per discussion with sujay.pillai@petronas.com.my
2) This solution will use spoke-hub model
3) The Spoke resources will be as listed in the Sheets will be provisioned in "PTAZSG-IAC-DEV-FF-RG" located in "PTAZMY-IAC-NONPROD-CORPORATE ENVIRONMENT".
4) Related CSSP request: CSSP10268716. Refer email 'RE: Frontier Firm LLD and Hub and Spoke Discussion' as well.</t>
  </si>
  <si>
    <t>Approved as (in-lieu) Project Manager for Frontier Firm, based on low business impact classification and formal risk acceptance in place. Progression is supported for current phase (non-production), subject to closure of identified security gaps (CMDB registration, MFA, hardening, VA/WA) prior to production. All mitigation actions are acknowledged with clear ownership and timelines; approval granted with condition for compliance validation before go-live.</t>
  </si>
  <si>
    <t>mfarhan.kamaludin@petronas.com</t>
  </si>
  <si>
    <t>The infrastructure provisioning is good to proceed and will be implemented based on 5 use cases (UC). Kindly refer to the requestor's remarks for further details.</t>
  </si>
  <si>
    <t>REQ000008171474</t>
  </si>
  <si>
    <t>c01be255-74c1-4aa7-8613-bfff57aa74df</t>
  </si>
  <si>
    <t>CSSP10692885</t>
  </si>
  <si>
    <t>To change the version of Stack selection for App Service (slot) from Node 20 LTS (Deprecated) to Node 22 LTS. 
1) ptsg-4compassp2wb02/stg
2) ptsg-4compassp2wb02/dev
We have tried to manually change it from Azure portal, but after some time, it automatically changed back to Node 20 LTS (Deprecated)</t>
  </si>
  <si>
    <t>Reviewed and approved. The infrastructure provisioning/change request is justified to migrate the App Service slot runtime from Node.js 20 LTS (Deprecated) to Node.js 22 LTS for the identified environments. Please proceed with implementation in accordance with the requestor's remarks.</t>
  </si>
  <si>
    <t>I have received confirmation from Mohd. No issues are observed on his end. hence closing the tickets</t>
  </si>
  <si>
    <t>REQ000008172529</t>
  </si>
  <si>
    <t>632f682d-9b59-40a8-881e-23bdd630268d</t>
  </si>
  <si>
    <t>mwafiy.omar@petronas.com</t>
  </si>
  <si>
    <t>Requirement to add additional VMs for Enterprise Observability. Nodes added are covered under Indirect cost as per DISSC.</t>
  </si>
  <si>
    <t>Requester is asking for 21 VM although provisioning is through click ops, this is considered as large request.</t>
  </si>
  <si>
    <t>REQ000008172527</t>
  </si>
  <si>
    <t>d44418db-a8d7-4ebf-ab37-42a1626348c9</t>
  </si>
  <si>
    <t>CSSP10863248</t>
  </si>
  <si>
    <t>Appreciate your assistance to provision these resources in the Production environment. The configurations and settings should be similar to our existing resources in STG environment.</t>
  </si>
  <si>
    <t>0c335b48-5e96-4b98-a06a-e443f1da680e</t>
  </si>
  <si>
    <t>CSSP10858459</t>
  </si>
  <si>
    <t>Appreciate your assistance to provision these resources in the Production environment. The configurations and settings should be similar to our existing resources in NonPROD environment. 
Please note that for AWS Glue, the jobs will be temporary and will be used for data migration.</t>
  </si>
  <si>
    <t>The request has been referred back to the requester for further clarification. Please provide the following details to proceed:
ElastiCache: Confirm the required cache size and provide an updated cost estimate.
Lambda: Provide runtime, memory, timeout, concurrency, and trigger source details for each function.
SNS/SQS: Provide SNS topics, subscriptions, queue names, queue type (Standard/FIFO), and DLQ configuration.
Step Functions: Provide the state machine definition and confirm whether it is Standard or Express.
Glue: Provide the complete job configuration and the decommission plan for temporary migration jobs.
CloudFront: Confirm the distribution configuration, origins, data transfer requirements, and domain details.
WAF: Confirm the required WAF rules and configuration.</t>
  </si>
  <si>
    <t>REQ000008178967</t>
  </si>
  <si>
    <t>c566327c-bb69-48c7-a486-a1888f478e12</t>
  </si>
  <si>
    <t>CSSP10656960</t>
  </si>
  <si>
    <t>Create new RG for Copilot
PTAZSG-COPILOT-DEV-DPPROC-RG
PTAZSG-COPILOT-UAT-DPPROC-RG
PTAZSG-COPILOT-PROD-DPPROC-RG</t>
  </si>
  <si>
    <t>reviewed</t>
  </si>
  <si>
    <t>This request does not match the associated Project SR number. Kindly provide the correct Project SR number, together with the approved SOW &amp; HLD, as supporting evidence for the review. Based on our review, the submitted SR number is related to the AWS platform; however, the current request is for provisioning resources in Microsoft Azure. Furthermore, DEV, UAT, and PROD environments must be requested via separate SRs. Kindly raise dedicated SRs for each environment.</t>
  </si>
  <si>
    <t>2805da8e-fd96-47d4-8bbe-23583d6951e3</t>
  </si>
  <si>
    <t>CSSP10523151</t>
  </si>
  <si>
    <t>hafidzh.zakaria@petronas.com</t>
  </si>
  <si>
    <t>P-000050</t>
  </si>
  <si>
    <t>VMware vCenter RDMZ RTOT</t>
  </si>
  <si>
    <t>10188_10</t>
  </si>
  <si>
    <t>VMware vCenter RDMZ RTOT created for PRIVATECLOUD project record</t>
  </si>
  <si>
    <t>raihan_ahmad@petronas.com.my</t>
  </si>
  <si>
    <t>CS RTOT</t>
  </si>
  <si>
    <t>Request to provision new server at L4 KVDC for ABB SRP Wicket.</t>
  </si>
  <si>
    <t>As part of the current infrastructure strategy, new infrastructure provisioning on on-premises platforms is generally not permitted, with cloud-first adoption being the preferred direction. Kindly review the requirement and assess deployment on the approved cloud platform instead. For further clarification, please consult with "Ridzuan B A Majid (IS/DIGITAL)".</t>
  </si>
  <si>
    <t>105fd04d-e288-4aa4-9271-ae2da8917315</t>
  </si>
  <si>
    <t>929f57f0-42bd-4d90-baa3-c9a3c07ab2a4</t>
  </si>
  <si>
    <t>To subscribe AI search, Bing Search, Logic Apps and Cold Storage.</t>
  </si>
  <si>
    <t>REQ000008203405</t>
  </si>
  <si>
    <t>265579c6-6c87-412e-8ccf-424cbf8eaec1</t>
  </si>
  <si>
    <t>A-001385</t>
  </si>
  <si>
    <t>BY26OPX-23374</t>
  </si>
  <si>
    <t>syafiqaizat.mohd@petronas.com.my</t>
  </si>
  <si>
    <t>This is to provision staging environment for DevOps Portal</t>
  </si>
  <si>
    <t>syafiqaizat.mohd@petronas.com</t>
  </si>
  <si>
    <t>REQ000008186662</t>
  </si>
  <si>
    <t>7d519f16-0fa4-4732-a7d8-5e7fba0106a0</t>
  </si>
  <si>
    <t>9bbf5aca-fa9e-4e30-9718-40189bd45b68</t>
  </si>
  <si>
    <t>CSSP10694706</t>
  </si>
  <si>
    <t>mshahrilfikri.alias@petronas.com</t>
  </si>
  <si>
    <t>A-000794</t>
  </si>
  <si>
    <t>STEPS Database Migration</t>
  </si>
  <si>
    <t>PC-00043</t>
  </si>
  <si>
    <t>SQL Server Test Site for STEPS Database Migration</t>
  </si>
  <si>
    <t>fatinayusoff@petronas.com</t>
  </si>
  <si>
    <t>Azure blob storage account for dev environment</t>
  </si>
  <si>
    <t>Required to improve digital TA execution implementation specifically on storing evidence (testing for development environment)</t>
  </si>
  <si>
    <t>Provision storage account in "PTAZSG-IAC-DEV-STEPS-PCG-RG" RG.</t>
  </si>
  <si>
    <t>Need more clarification on resource provision. Please set up the call with IMS-Cloud operation to understand the requirement.</t>
  </si>
  <si>
    <t>07c30938-4140-42e5-b08c-5429131afe98</t>
  </si>
  <si>
    <t>7085e9c9-538a-4dd9-b20a-01f26c3a882d</t>
  </si>
  <si>
    <t>CSSP10152302</t>
  </si>
  <si>
    <t>A-000693</t>
  </si>
  <si>
    <t>RNETTS/Frontliner Assessment System FAST</t>
  </si>
  <si>
    <t>RNETTS interim platform Frontliner Assessment System FAST</t>
  </si>
  <si>
    <t>RNETTS FAST</t>
  </si>
  <si>
    <t>To add a new DB named "EPECAS" in current Azure SQL Elastic Pool "ptsg-1rnettfast-ep02". Redundancy set to "Locally-redundant backup storage".</t>
  </si>
  <si>
    <t>approved for CE team review</t>
  </si>
  <si>
    <t>A request to create a new Azure SQL Database called EPECAS inside the existing Elastic Pool "ptsg-1rnettfast-ep02" with backup redundancy set to LRS</t>
  </si>
  <si>
    <t>we have successfully created new DB &amp;azure SQL elastic pool hence closing the ticket</t>
  </si>
  <si>
    <t>REQ000008186664</t>
  </si>
  <si>
    <t>4d34fdb7-60d7-4af1-9d63-91d40496e12d</t>
  </si>
  <si>
    <t>f4e26687-790a-488b-891b-3efd713ec1cb</t>
  </si>
  <si>
    <t>CSSP10834193</t>
  </si>
  <si>
    <t>abdhatta.mtalib@petronas.com</t>
  </si>
  <si>
    <t>A-001387</t>
  </si>
  <si>
    <t>PDCR (PETRONAS Digital Centralized Reporting)</t>
  </si>
  <si>
    <t>Request for provisioning development environment
Updated BOM document privacy</t>
  </si>
  <si>
    <t>already worked for this request.</t>
  </si>
  <si>
    <t>REQ000008198546</t>
  </si>
  <si>
    <t>efe3e234-b5d9-4b52-ba4e-6bf4ab77fa1e</t>
  </si>
  <si>
    <t>9ba462ef-a033-4733-b7ba-625e8ec22a20</t>
  </si>
  <si>
    <t>Resource Management System (RMS)</t>
  </si>
  <si>
    <t>Request for provisioning staging/UAT environment
Updated Bill of Material privacy setting to open</t>
  </si>
  <si>
    <t>REQ000008198547</t>
  </si>
  <si>
    <t>2fd51979-66ee-4102-be2c-ed1f134ab45b</t>
  </si>
  <si>
    <t>Request for provisioning Production environment
Have removed privacy for BOM documents</t>
  </si>
  <si>
    <t>REQ000008198548</t>
  </si>
  <si>
    <t>5098e45f-f471-4a90-bebd-4154672bf929</t>
  </si>
  <si>
    <t>CSSP10916540</t>
  </si>
  <si>
    <t>mnizam_ahmad@petronas.com</t>
  </si>
  <si>
    <t>A-001389</t>
  </si>
  <si>
    <t>IGA for ENIGMA SEARAH</t>
  </si>
  <si>
    <t>SR26939_IGA</t>
  </si>
  <si>
    <t>ENIGMA JV (Infra): ENIgma Cloud Landing Zone Implementation</t>
  </si>
  <si>
    <t>azizul.a@petronas.com</t>
  </si>
  <si>
    <t>CS - IAM</t>
  </si>
  <si>
    <t>For Searah IGA On Premise Gateway</t>
  </si>
  <si>
    <t>Approved for Searah's IGA deployment</t>
  </si>
  <si>
    <t>To expedite</t>
  </si>
  <si>
    <t>VM provisioning has been completed.</t>
  </si>
  <si>
    <t>REQ000008186660</t>
  </si>
  <si>
    <t>e5f5c370-bdf0-4787-9302-7d2594db0562</t>
  </si>
  <si>
    <t>4cc4bd0e-6207-4f6d-9877-cdaa4d931d7f</t>
  </si>
  <si>
    <t>CSSP10388990</t>
  </si>
  <si>
    <t>Searah IGA Gateway for Non-Prod</t>
  </si>
  <si>
    <t>VM provisioning has been done.</t>
  </si>
  <si>
    <t>REQ000008186285</t>
  </si>
  <si>
    <t>8da54fc0-26f9-42e2-a16b-5c25e6e5bdfe</t>
  </si>
  <si>
    <t>CSSP10792747</t>
  </si>
  <si>
    <t>A-000301</t>
  </si>
  <si>
    <t>Equipment Reliability Based Stocking - ERBS Analyzers</t>
  </si>
  <si>
    <t>Development and Deployment of Equipment Reliability Based Stocking (ERBS) Analyzers</t>
  </si>
  <si>
    <t>ERBS</t>
  </si>
  <si>
    <t>Provision PostgreSQL Database RDS in PTAWSG-STG-ENVIRONMENT-01 for ERBS</t>
  </si>
  <si>
    <t>To comply with the Cloud Service Request and Provisioning Guideline v4.0, kindly provide the approved memo/approved email from the Business owner as supporting evidence.</t>
  </si>
  <si>
    <t>ab16ae25-12e5-4bbb-af55-30df8723eb3a</t>
  </si>
  <si>
    <t>01f60275-5dc6-4b2c-af19-3c69ca7fbfda</t>
  </si>
  <si>
    <t>CSSP10583023</t>
  </si>
  <si>
    <t>A-000629</t>
  </si>
  <si>
    <t>PETRONAS Licensing and Management System - PLMS</t>
  </si>
  <si>
    <t>PETRONAS License Management System (PLMS) DevOps FY2024</t>
  </si>
  <si>
    <t>PLMS</t>
  </si>
  <si>
    <t>Provision of App service and Azure Cosmos</t>
  </si>
  <si>
    <t>The requestor has confirmed that this SR should be cancelled because the service was already deployed last year.</t>
  </si>
  <si>
    <t>df6bcae8-9975-406a-9138-f1854e624893</t>
  </si>
  <si>
    <t>30913d0f-5423-461a-8436-242eda73c507</t>
  </si>
  <si>
    <t>CSSP10379301</t>
  </si>
  <si>
    <t>Appservice and CosmosDB gremelin provision for Staging PLMS</t>
  </si>
  <si>
    <t>e77a4c8d-7178-4f01-b286-b5c6688c02aa</t>
  </si>
  <si>
    <t>CSSP10564575</t>
  </si>
  <si>
    <t>Appservice &amp; CosmosDB gremilin provision for PLMS prod. Please ensure firewall is being able to expose connection to Security group</t>
  </si>
  <si>
    <t>873a1b46-a826-4d26-82bb-b8b5ebba8919</t>
  </si>
  <si>
    <t>amirulzakuan.azmey@petronas.com</t>
  </si>
  <si>
    <t>Unified Platform - Trading Digital</t>
  </si>
  <si>
    <t>Cost: SR25077: ArBitra Software Licenses and Infra 2026
HLD:
https://myea.petronas.com/HLD/HLDDetails?StatusId=2&amp;LandscapePlatformId=2&amp;IsInfrastructureRequiredInput=true&amp;HLDTypeId=2&amp;LandscapeTypeId=1&amp;HLDId=282</t>
  </si>
  <si>
    <t>REQ000008203404</t>
  </si>
  <si>
    <t>5a3d5dba-0bf4-4ece-a83c-9f097a769c64</t>
  </si>
  <si>
    <t>CSSP10883625</t>
  </si>
  <si>
    <t>ESTRELLA: Migration of Plant Information (PI) System for Vestigo Operatorship Transfer, PI Server Hard Disk Upgrade
RFC planned date/time: 24 July 2026  @  10pm MYT
Server Hostname: PTAWMY-1VTGAP1</t>
  </si>
  <si>
    <t>ICT_RFC00220622</t>
  </si>
  <si>
    <t>as per required and approval by Business.</t>
  </si>
  <si>
    <t>Approved. Noted that this SR is to upgrade the existing storage for the ESTRELLA PI System.</t>
  </si>
  <si>
    <t>The Data Archive and PI Backup storage for the PTAWMY-1VTGAP1 server was successfully expanded to 2 TB on 24 July 2026, in accordance with ICT_RFC00220622.</t>
  </si>
  <si>
    <t>REQ000008194339</t>
  </si>
  <si>
    <t>9f389eda-35f1-4103-94cf-2b2ed511ce74</t>
  </si>
  <si>
    <t>mfakarrudin.abdgani@petronas.com</t>
  </si>
  <si>
    <t>requesting increase of storage for our GISPRJ instance by 2TB. currently, all system linked to this instance failed to work including ArcGIS Desktop and PiriGIS
IP : 172.25.40.117 ; 
HOSTNAME:PTSG-1GISdb01
Instance : GISPRJ</t>
  </si>
  <si>
    <t>Approved. Pls proceed the upgrade.TQ</t>
  </si>
  <si>
    <t>REQ000008203311</t>
  </si>
  <si>
    <t>0930da21-f4d3-4b86-b9fa-71f75d6e328d</t>
  </si>
  <si>
    <t>To lift and shift following applications resources to Malaysia region
RDS:
ptawsg-1sonadb01
ptawsg-5sonadb01
EC2:
PTAWSG-5SONAap1
PTAWSG-1SONAap1
ALB: 
PTAWSG-PROD-FORTIFY-FrontEnd-ALB</t>
  </si>
  <si>
    <t>REQ000008200695</t>
  </si>
  <si>
    <t>60ee25a9-cc6b-4d99-90cf-4c4fffb0aa48</t>
  </si>
  <si>
    <t>CSSP10162770</t>
  </si>
  <si>
    <t>A-001386</t>
  </si>
  <si>
    <t>GSA Nozomi CMC and Guardian System</t>
  </si>
  <si>
    <t>PC-00092</t>
  </si>
  <si>
    <t>hasmaniza.mjasni@petronas.com.my</t>
  </si>
  <si>
    <t>Cyber-Security</t>
  </si>
  <si>
    <t>to provision below resources for GSA Nozomi CMC and Guardian System into Petronas SOC
- dedicated RG for VMSS, Azure Monitor, Load Balancer &amp; Microsoft Sentinel</t>
  </si>
  <si>
    <t>hasmaniza.mjasni@petronas.com</t>
  </si>
  <si>
    <t>12aaeea2-09ae-4290-91dc-16e0b67b87c6</t>
  </si>
  <si>
    <t>7be4e61e-bbc0-456f-a7c0-650f7cdc261c</t>
  </si>
  <si>
    <t>CSSP10567299</t>
  </si>
  <si>
    <t>kumaresan.chandran@petronas.com</t>
  </si>
  <si>
    <t>A-001390</t>
  </si>
  <si>
    <t>SenseArco - CACS Inner Layer</t>
  </si>
  <si>
    <t>SR26848</t>
  </si>
  <si>
    <t>Tower 3 CACS Technology Refresh for GS</t>
  </si>
  <si>
    <t>REAL - Implementation of Facial Recognition Server for PETRONAS</t>
  </si>
  <si>
    <t>Staging for Inner Layer CACS 
HLD link - https://myea.petronas.com/HLD/HLDDetails?StatusId=2&amp;LandscapePlatformId=0&amp;IsInfrastructureRequiredInput=true&amp;HLDTypeId=1&amp;LandscapeTypeId=0&amp;HLDId=1893</t>
  </si>
  <si>
    <t>2737c234-5256-4c02-88d4-55b6f40253d1</t>
  </si>
  <si>
    <t>c6b218ea-62aa-4f03-8adf-b00dafd3dc09</t>
  </si>
  <si>
    <t>CSSP10697905</t>
  </si>
  <si>
    <t>hazlin.rahmat@petronas.com</t>
  </si>
  <si>
    <t>A-001269</t>
  </si>
  <si>
    <t>Copilot Studio PAYG</t>
  </si>
  <si>
    <t>PC-00082</t>
  </si>
  <si>
    <t>Enterprise AI Agent Program: 007 License to Transform</t>
  </si>
  <si>
    <t>mradzuan.abdrahim@petronas.com.my</t>
  </si>
  <si>
    <t>PLT</t>
  </si>
  <si>
    <t>Please attach this newly Azure resource group to the subscription: PTAZSG-PROD-COPILOT-ENVIRONMENT</t>
  </si>
  <si>
    <t>mradzuan.abdrahim@petronas.com</t>
  </si>
  <si>
    <t>To comply with the Cloud Service Request and Provisioning Guideline v4.0, kindly provide the approved memo/approved email from the Business Owner or Cost-Center Owner as supporting evidence.</t>
  </si>
  <si>
    <t>c2f76174-bf7c-4d5d-9fa5-47109be4c48d</t>
  </si>
  <si>
    <t>1f8442a0-ced3-4d43-ad5b-882aa3032e8d</t>
  </si>
  <si>
    <t>Cost: SR25077: ArBitra Software Licenses and Infra 2026 HLD: https://myea.petronas.com/HLD/HLDDetails?StatusId=2&amp;LandscapePlatformId=2&amp;IsInfrastructureRequiredInput=true&amp;HLDTypeId=2&amp;LandscapeTypeId=1&amp;HLDId=282</t>
  </si>
  <si>
    <t>REQ000008203403</t>
  </si>
  <si>
    <t>40bdc468-07ca-441f-a388-da52b33b580a</t>
  </si>
  <si>
    <t>This request is to provision Azure API management &amp; App Service to host Rapid scale up module for ERMAI phase 4. Both APIM and App Service will have their own Private End Point to secure access inbound. For outbound access, please use existing VNet for staging environment. Please allow security group ERMAIDevTeam to access the resources/services.</t>
  </si>
  <si>
    <t>Approved as required for RSU</t>
  </si>
  <si>
    <t>REQ000008203402</t>
  </si>
  <si>
    <t>c6f76a57-d97b-474b-b446-01c65381b1b3</t>
  </si>
  <si>
    <t>This request is to provision Azure API management &amp; App Service to host Rapid scale up module for ERMAI phase 4. Both APIM and App Service will have their own Private End Point to secure access inbound. For outbound access, please use existing VNet for production environment. Please allow security group ERMAIDevTeam to access the resources/services.</t>
  </si>
  <si>
    <t>Approved as required for completion of RSU</t>
  </si>
  <si>
    <t>REQ000008203401</t>
  </si>
  <si>
    <t>293fafd6-7465-4a5f-9c4e-d9c28fc446d6</t>
  </si>
  <si>
    <t>CSSP10990776</t>
  </si>
  <si>
    <t>A-001391</t>
  </si>
  <si>
    <t>Cyber Security MDASH Security Exposure Management</t>
  </si>
  <si>
    <t>PC-00093</t>
  </si>
  <si>
    <t>MDash Implementation</t>
  </si>
  <si>
    <t>ahmedjamal.khan@petronas.com</t>
  </si>
  <si>
    <t>MDash_Implementation</t>
  </si>
  <si>
    <t>SandboxPocIsolated</t>
  </si>
  <si>
    <t>MDASH POC deployment</t>
  </si>
  <si>
    <t>To proceed</t>
  </si>
  <si>
    <t>As Discussed with M Haslan Abu Hassan (IS/DIGITAL), he will proceed with the deployment for this request, hence closing the request.</t>
  </si>
  <si>
    <t>REQ000008198538</t>
  </si>
  <si>
    <t>434595d8-a399-427d-ab35-d2864d6fa25a</t>
  </si>
  <si>
    <t>b4b92a67-3619-4867-a01b-61ac70e565e0</t>
  </si>
  <si>
    <t>faiz.khairuddin@petronas.com</t>
  </si>
  <si>
    <t>A-000198</t>
  </si>
  <si>
    <t>PC-00050</t>
  </si>
  <si>
    <t>vivek.yadav@petronas.com</t>
  </si>
  <si>
    <t>DCA new resources at Malaysia (Repat)</t>
  </si>
  <si>
    <t>Proceed with infra provisioning in Malaysia region.</t>
  </si>
  <si>
    <t>To proceed with the provisioning for repat and confirm with requestor.</t>
  </si>
  <si>
    <t>REQ000008203309</t>
  </si>
  <si>
    <t>c7339977-1f3d-45c7-a188-5496081d7513</t>
  </si>
  <si>
    <t>fd156c81-7a2a-4a42-b7cd-bf5867e8cc62</t>
  </si>
  <si>
    <t>A-000587</t>
  </si>
  <si>
    <t>Plant Information PI Initiative</t>
  </si>
  <si>
    <t>AWS resources that will be carry from KVDC</t>
  </si>
  <si>
    <t>REQ000008203305</t>
  </si>
  <si>
    <t>9bf3695d-29d7-48d3-ac48-229e6dbc88b3</t>
  </si>
  <si>
    <t>682922ab-c9d8-4d11-8419-75e780aefc23</t>
  </si>
  <si>
    <t>CSSP10432260</t>
  </si>
  <si>
    <t>ainasyakirah.jamil@petronas.com</t>
  </si>
  <si>
    <t>A-001388</t>
  </si>
  <si>
    <t>SR26927</t>
  </si>
  <si>
    <t>Operational Excellence Incident Management (OEIM)</t>
  </si>
  <si>
    <t>New Azure cloud provision for SR 26927 OEIM</t>
  </si>
  <si>
    <t>a91e1e5c-5f8d-4d83-ad0d-b7ef787ec94e</t>
  </si>
  <si>
    <t>7ad81e20-5df2-4449-8503-dfe7410aa3cd</t>
  </si>
  <si>
    <t>CSSP10848695</t>
  </si>
  <si>
    <t>Completed by rasaya</t>
  </si>
  <si>
    <t>REQ000008201676</t>
  </si>
  <si>
    <t>7c58810c-339b-491f-8c68-cd4743b7d320</t>
  </si>
  <si>
    <t>Provisioning new Azure server as a part of project requirement under Service Request 26927 -  Operational Excellence Incident Management (OEIM)</t>
  </si>
  <si>
    <t>REQ000008203308</t>
  </si>
  <si>
    <t>00868ed2-4e97-4b53-9872-832e5c46714c</t>
  </si>
  <si>
    <t>provision for OEIM Dev server under SR026927 OEIM</t>
  </si>
  <si>
    <t>REQ000008216414</t>
  </si>
  <si>
    <t>6c667586-5d49-46f6-b361-3270239682ee</t>
  </si>
  <si>
    <t>CSSP10983109</t>
  </si>
  <si>
    <t>1) The JumpBox will be provisioned in
Subscription :PTAZMY-IAC-NONPROD-CORPORATE ENVIRONMENT
SubID: 7010bdd1-9b56-4c70-9c3b-07f5898d5e70 
2) A total of 6 JumpBox will be provisioned.</t>
  </si>
  <si>
    <t>9bb2bbb2-6784-4d7b-a74f-af4cff6df78b</t>
  </si>
  <si>
    <t>CSSP10466644</t>
  </si>
  <si>
    <t>1) The JumpBox will be provisioned in Subscription :PTAZMY-IAC-NONPROD-CORPORATE ENVIRONMENT SubID: 7010bdd1-9b56-4c70-9c3b-07f5898d5e70 2) A total of 6 JumpBox will be provisioned.</t>
  </si>
  <si>
    <t>Approved as required for Frontier Firm Deployment to DEV. 6 Total Vm needs to be procured</t>
  </si>
  <si>
    <t>Kindly note that the following services are mandatory for all new infrastructure deployments within the PETRONAS environment (Azure Backup, Ms Defender, Key Vault, Azure Monitor, VNet Peering). These services are required to ensure compliance with PETRONAS security, monitoring, and operational standards.</t>
  </si>
  <si>
    <t>REQ000008220895</t>
  </si>
  <si>
    <t>31771bc8-56f0-4bdf-86cf-3aff83a3a8b1</t>
  </si>
  <si>
    <t>CSSP10678891</t>
  </si>
  <si>
    <t>santhosh.gopal@petronas.com</t>
  </si>
  <si>
    <t>shahrulrizal.said@petronas.com.my</t>
  </si>
  <si>
    <t>HIP Smart Advisor</t>
  </si>
  <si>
    <t>This request is to provision Azure Container apps in development environment for existing resource group
PTAZSG-DEV-HIPVISION-SA-RG</t>
  </si>
  <si>
    <t>135d78c1-109d-4294-817b-27796c2306fa</t>
  </si>
  <si>
    <t>CSSP10836507</t>
  </si>
  <si>
    <t>To provision new server at L4 Cloud. LLD has been approved but previous request has been rejected due to request to provision new server at KVDC.
Therefore, need to provision at Cloud. Will amend the LLD once got the IP Cloud.</t>
  </si>
  <si>
    <t>3673ac55-ee65-4068-b254-29d8ef9615c2</t>
  </si>
  <si>
    <t>M-000032</t>
  </si>
  <si>
    <t>03736_MP</t>
  </si>
  <si>
    <t>ITFM</t>
  </si>
  <si>
    <t>To provision a new Azure SQL , Please create a new RG.</t>
  </si>
  <si>
    <t>Azure SQL acts as the central data repository, while Power BI consumes and visualizes the data from Azure SQL for reporting and analytics purposes.</t>
  </si>
  <si>
    <t>REQ000008229245</t>
  </si>
  <si>
    <t>897ca5be-dbdf-48f3-bc62-80f8470c1492</t>
  </si>
  <si>
    <t>6920df5a-97a4-40d8-89c3-47a0395aec91</t>
  </si>
  <si>
    <t>This request is to provision Azure container apps in development environment for existing resource group
PTAZSG-DEV-HIPVISION-SA-RG</t>
  </si>
  <si>
    <t>Provision and deploy Azure Container Apps in the Development environment under the existing resource group PTAZSG-DEV-HIPVISION-SA-RG.</t>
  </si>
  <si>
    <t>REQ000008229244</t>
  </si>
  <si>
    <t>3be6544f-585a-4fda-a75a-4ee303bb1281</t>
  </si>
  <si>
    <t>CSSP10760755</t>
  </si>
  <si>
    <t>To provision new server at L4 Cloud. LLD has been approved but previous request has been rejected due to request to provision new server at KVDC. Therefore, need to provision at Cloud. Will amend the LLD once got the IP Cloud.</t>
  </si>
  <si>
    <t>87604950-6318-4086-9581-1519b93b1deb</t>
  </si>
  <si>
    <t>CSSP10474210</t>
  </si>
  <si>
    <t>nurulain.mmahamad@petronas.com</t>
  </si>
  <si>
    <t>1. To Increase Disk F from 1 TB to 2-3 TB. Disk F is used for storing historical data for the PMS application, and the storage requirement is expected to grow over time. If additional disk space allocation is a concern, we can consider removing Disk I and Disk J.
2. Server Details:
•	Staging Server: 10.176.48.6</t>
  </si>
  <si>
    <t>Approved, please proceed.</t>
  </si>
  <si>
    <t>As discussed, please amend the estimated cost and include the affected servers (ptmy-4agnespma1 - 10.176.48.6) in the request details.</t>
  </si>
  <si>
    <t>3937c261-cba8-48b1-a709-a2fc329dc613</t>
  </si>
  <si>
    <t>CSSP10184564</t>
  </si>
  <si>
    <t>norsuriawani.m@petronas.com</t>
  </si>
  <si>
    <t>A-000696</t>
  </si>
  <si>
    <t>00669_GHRS</t>
  </si>
  <si>
    <t>mtariq.tahreb@petronas.com</t>
  </si>
  <si>
    <t>Implementation of RPA (Wave 4) for GHRS</t>
  </si>
  <si>
    <t>ICT_RFC00224898
Data Disk expansion about 1TB (Total Targeted F drive is 4TB) .
1.  172.25.40.60 (PTSG-1RPAdb1)
2.  172.25.40.61 (PTSG-1RPAdb2)</t>
  </si>
  <si>
    <t>ICT_RFC00224898</t>
  </si>
  <si>
    <t>1f65692d-ab91-42ae-9d20-07359793931e</t>
  </si>
  <si>
    <t>1848779f-7cff-4757-bda2-32c4b343c8f1</t>
  </si>
  <si>
    <t>ICT_RFC00224898 Data Disk expansion about 1TB (Total Targeted F drive is 4TB)
Server: 
1. 172.25.40.60 (PTSG-1RPAdb1)
2. 172.25.40.61 (PTSG-1RPAdb2)</t>
  </si>
  <si>
    <t>REQ000008239681</t>
  </si>
  <si>
    <t>e06f558c-2c68-4fb8-afcd-86e412e61954</t>
  </si>
  <si>
    <t>CSSP10156093</t>
  </si>
  <si>
    <t>Please assist us to provision additional RDS instances in AWS for our application in DEV environment.</t>
  </si>
  <si>
    <t>Reuse existing RDS.</t>
  </si>
  <si>
    <t>04977570-7bc2-4af2-870e-e64f5399604d</t>
  </si>
  <si>
    <t>CSSP10338229</t>
  </si>
  <si>
    <t>Please assist us to provision additional RDS instances in AWS for our application in Staging/UAT environment.</t>
  </si>
  <si>
    <t>Use existing provisioned RDS</t>
  </si>
  <si>
    <t>72c8850a-6fb0-498f-aea9-abb665ecba13</t>
  </si>
  <si>
    <t>CSSP10970274</t>
  </si>
  <si>
    <t>izwan.othman@petronas.com</t>
  </si>
  <si>
    <t>A-001394</t>
  </si>
  <si>
    <t>PC-00095</t>
  </si>
  <si>
    <t>che.nurhashimah@petronas.com</t>
  </si>
  <si>
    <t>ZentoryPlus Support Team</t>
  </si>
  <si>
    <t>New enhancement to provision for azure cloud integration layer between SAP SFTP and Zentory+ in IBM Cloud</t>
  </si>
  <si>
    <t>d2978604-92f0-4f18-8379-bde968933cf3</t>
  </si>
  <si>
    <t>04ffe0cb-4e2c-4705-8ffe-0732e09732e7</t>
  </si>
  <si>
    <t>hoongkum.chan@petronas.com.my</t>
  </si>
  <si>
    <t>Provisioning of Infrastructure for Prosource and Qumulo for UTDI</t>
  </si>
  <si>
    <t>To request for temporary Azure VM to support the post stack data migration from Azure SG to Azure MW.
Provisioning Basis: Temporary migration scale-up to increase throughput and reduce overall migration lead time</t>
  </si>
  <si>
    <t>Approved as per project requirements</t>
  </si>
  <si>
    <t>Provision 3-units of Azure VM in PTAZMY-IAC-PROD-PROSOURCE-RG</t>
  </si>
  <si>
    <t>REQ000008244218</t>
  </si>
  <si>
    <t>178db113-a318-43c0-928c-317540c300ec</t>
  </si>
  <si>
    <t>rabiatul.mohamad@petronas.com.my</t>
  </si>
  <si>
    <t>To Increase Disk F from 1 TB to 2-3 TB. Disk F is used for storing historical data for the PMS application, and the storage requirement is expected to grow over time. If additional disk space allocation is a concern, we can consider removing Disk I and Disk J.
Server Details: • Staging Server (ptmy-4agnespma1): 10.176.48.6</t>
  </si>
  <si>
    <t>Agreed as per discussed with the team to increase the server size.</t>
  </si>
  <si>
    <t>REQ000008243606</t>
  </si>
  <si>
    <t>b7800796-bb8c-4f92-87f5-a61bd10d3d6d</t>
  </si>
  <si>
    <t>nurshazareena.zait@petronas.com</t>
  </si>
  <si>
    <t>A-001375</t>
  </si>
  <si>
    <t>PC-00090</t>
  </si>
  <si>
    <t>azmir.ghazali@petronas.com.my</t>
  </si>
  <si>
    <t>PETRONAS Data Portal</t>
  </si>
  <si>
    <t>The estimated amount is based on a 12-month calculation.</t>
  </si>
  <si>
    <t>Approved as per discussed</t>
  </si>
  <si>
    <t>azmir.ghazali@petronas.com</t>
  </si>
  <si>
    <t>Fabric SKU F64</t>
  </si>
  <si>
    <t>REQ000008244220</t>
  </si>
  <si>
    <t>677e41e4-47ef-4ca3-b902-47051af01af6</t>
  </si>
  <si>
    <t>c23768f0-bd18-4c87-b327-ae84e153bb75</t>
  </si>
  <si>
    <t>Reviewed, as discussed with the team, please proceed.</t>
  </si>
  <si>
    <t>REQ000008243784</t>
  </si>
  <si>
    <t>c200d204-88c4-42c5-8654-d4d1ac6bcc8e</t>
  </si>
  <si>
    <t>We would like to repatriate one of the AECM servers, PTAWSG-1AECMap02, to the Malaysia region to support the ongoing repatriation initiative. This server is used for creating base images and is a critical component of the process.
Currently, PTAWSG-1AECMap02 is hosted in the 'PTAWSG-DEV-ENVIRONMENT-01' account. As part of this activity, the server will be moved to the 'PTAW-IAC-PROD-PEnT-Environment-01' account. We would appreciate your assistance in repatriating this server and ensuring that all configurations, settings, and access permissions remain consistent with the existing setup.
If possible, please deploy the server using the latest RHEL 9 image.
Attached is the request from the Cloud Team regarding the repatriation of this server.</t>
  </si>
  <si>
    <t>087dda70-79d1-4464-8c19-a6298767d607</t>
  </si>
  <si>
    <t>Reviewed, please proceed.</t>
  </si>
  <si>
    <t>1d3292b5-fbec-4dcc-8ac9-7d1128280796</t>
  </si>
  <si>
    <t>CSSP10690264</t>
  </si>
  <si>
    <t>hannizatherina@petronas.com</t>
  </si>
  <si>
    <t>A-001396</t>
  </si>
  <si>
    <t>Downstream AI Innovation Sandbox</t>
  </si>
  <si>
    <t>PC-00096</t>
  </si>
  <si>
    <t>Downstream Technology, Innovation &amp; Digital</t>
  </si>
  <si>
    <t>hafidah_yazam@petronas.com</t>
  </si>
  <si>
    <t>DownstreamEVP</t>
  </si>
  <si>
    <t>Sandbox environment for Downstream</t>
  </si>
  <si>
    <t>Approved for Downstream usage.</t>
  </si>
  <si>
    <t>2f9598e5-fcd4-47e6-8380-a1fae67c87bb</t>
  </si>
  <si>
    <t>a767aecf-2fb6-400d-980b-2583fb70ec7f</t>
  </si>
  <si>
    <t>Centralised SIEM onboarding for SETEL Admin Portal and MongoDB -reprovisioning.</t>
  </si>
  <si>
    <t>Project Initial Provisioning Request</t>
  </si>
  <si>
    <t>Please consult Jismi Jesmani (CS/DIGITAL) for further clarification.</t>
  </si>
  <si>
    <t>Yes</t>
  </si>
  <si>
    <t>Radit</t>
  </si>
  <si>
    <t>No</t>
  </si>
  <si>
    <t>Potential Private Cloud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</si>
</sst>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
    <numFmt numFmtId="165" formatCode="yyyy\-mm\-dd"/>
  </numFmts>
  <fonts count="14">
    <font>
      <sz val="11"/>
      <name val="Carlito"/>
    </font>
    <font>
      <b/>
      <sz val="18"/>
      <color rgb="FFFFFFFF"/>
      <name val="Calibri"/>
      <family val="2"/>
      <scheme val="minor"/>
    </font>
    <font>
      <sz val="11"/>
      <name val="Calibri"/>
      <family val="2"/>
      <scheme val="minor"/>
    </font>
    <font>
      <i/>
      <sz val="10"/>
      <color rgb="FF003B49"/>
      <name val="Calibri"/>
      <family val="2"/>
      <scheme val="minor"/>
    </font>
    <font>
      <b/>
      <sz val="12"/>
      <color rgb="FFFFFFFF"/>
      <name val="Calibri"/>
      <family val="2"/>
      <scheme val="minor"/>
    </font>
    <font>
      <b/>
      <sz val="11"/>
      <color rgb="FFFFFFFF"/>
      <name val="Calibri"/>
      <family val="2"/>
      <scheme val="minor"/>
    </font>
    <font>
      <b/>
      <sz val="11"/>
      <color rgb="FF003B49"/>
      <name val="Calibri"/>
      <family val="2"/>
      <scheme val="minor"/>
    </font>
    <font>
      <b/>
      <sz val="12"/>
      <color rgb="FFD64545"/>
      <name val="Calibri"/>
      <family val="2"/>
      <scheme val="minor"/>
    </font>
    <font>
      <i/>
      <sz val="11"/>
      <color rgb="FF6B7280"/>
      <name val="Calibri"/>
      <family val="2"/>
      <scheme val="minor"/>
    </font>
    <font>
      <b/>
      <sz val="10"/>
      <color rgb="FF003B49"/>
      <name val="Calibri"/>
      <family val="2"/>
      <scheme val="minor"/>
    </font>
    <font>
      <b/>
      <sz val="24"/>
      <color rgb="FF003B49"/>
      <name val="Calibri"/>
      <family val="2"/>
      <scheme val="minor"/>
    </font>
    <font>
      <b/>
      <sz val="24"/>
      <color rgb="FF2E7D32"/>
      <name val="Calibri"/>
      <family val="2"/>
      <scheme val="minor"/>
    </font>
    <font>
      <b/>
      <sz val="24"/>
      <color rgb="FFD64545"/>
      <name val="Calibri"/>
      <family val="2"/>
      <scheme val="minor"/>
    </font>
    <font>
      <sz val="11"/>
      <color rgb="FFC00000"/>
      <name val="Calibri"/>
      <family val="2"/>
      <scheme val="minor"/>
    </font>
  </fonts>
  <fills count="12">
    <fill>
      <patternFill patternType="none"/>
    </fill>
    <fill>
      <patternFill patternType="gray125"/>
    </fill>
    <fill>
      <patternFill patternType="solid">
        <fgColor rgb="FF003B49"/>
      </patternFill>
    </fill>
    <fill>
      <patternFill patternType="solid">
        <fgColor rgb="FFDDF4F2"/>
      </patternFill>
    </fill>
    <fill>
      <patternFill patternType="solid">
        <fgColor rgb="FF00A19B"/>
      </patternFill>
    </fill>
    <fill>
      <patternFill patternType="solid">
        <fgColor rgb="FFFFF4D6"/>
      </patternFill>
    </fill>
    <fill>
      <patternFill patternType="solid">
        <fgColor rgb="FFF2F4F5"/>
      </patternFill>
    </fill>
    <fill>
      <patternFill patternType="solid">
        <fgColor rgb="FFEAF2FF"/>
      </patternFill>
    </fill>
    <fill>
      <patternFill patternType="solid">
        <fgColor rgb="FFEDF2F3"/>
      </patternFill>
    </fill>
    <fill>
      <patternFill patternType="solid">
        <fgColor rgb="FFFFFFFF"/>
      </patternFill>
    </fill>
    <fill>
      <patternFill patternType="solid">
        <fgColor rgb="FFE4F4E5"/>
      </patternFill>
    </fill>
    <fill>
      <patternFill patternType="solid">
        <fgColor rgb="FFFDE8E8"/>
      </patternFill>
    </fill>
  </fills>
  <borders count="61">
    <border>
      <left/>
      <right/>
      <top/>
      <bottom/>
      <diagonal/>
    </border>
    <border>
      <left style="thin">
        <color rgb="FF003B49"/>
      </left>
      <right/>
      <top style="thin">
        <color rgb="FF003B49"/>
      </top>
      <bottom style="thin">
        <color rgb="FF003B49"/>
      </bottom>
      <diagonal/>
    </border>
    <border>
      <left/>
      <right/>
      <top style="thin">
        <color rgb="FF003B49"/>
      </top>
      <bottom style="thin">
        <color rgb="FF003B49"/>
      </bottom>
      <diagonal/>
    </border>
    <border>
      <left/>
      <right style="thin">
        <color rgb="FF003B49"/>
      </right>
      <top style="thin">
        <color rgb="FF003B49"/>
      </top>
      <bottom style="thin">
        <color rgb="FF003B49"/>
      </bottom>
      <diagonal/>
    </border>
    <border>
      <left style="thin">
        <color rgb="FF003B49"/>
      </left>
      <right style="thin">
        <color rgb="FF003B49"/>
      </right>
      <top style="thin">
        <color rgb="FF003B49"/>
      </top>
      <bottom style="thin">
        <color rgb="FF003B49"/>
      </bottom>
      <diagonal/>
    </border>
    <border>
      <left style="thin">
        <color rgb="FFCBD5D8"/>
      </left>
      <right/>
      <top style="thin">
        <color rgb="FFCBD5D8"/>
      </top>
      <bottom style="thin">
        <color rgb="FFCBD5D8"/>
      </bottom>
      <diagonal/>
    </border>
    <border>
      <left/>
      <right/>
      <top style="thin">
        <color rgb="FFCBD5D8"/>
      </top>
      <bottom style="thin">
        <color rgb="FFCBD5D8"/>
      </bottom>
      <diagonal/>
    </border>
    <border>
      <left/>
      <right style="thin">
        <color rgb="FFCBD5D8"/>
      </right>
      <top style="thin">
        <color rgb="FFCBD5D8"/>
      </top>
      <bottom style="thin">
        <color rgb="FFCBD5D8"/>
      </bottom>
      <diagonal/>
    </border>
    <border>
      <left style="medium">
        <color rgb="FF00A19B"/>
      </left>
      <right/>
      <top style="medium">
        <color rgb="FF00A19B"/>
      </top>
      <bottom/>
      <diagonal/>
    </border>
    <border>
      <left/>
      <right/>
      <top style="medium">
        <color rgb="FF00A19B"/>
      </top>
      <bottom/>
      <diagonal/>
    </border>
    <border>
      <left/>
      <right style="medium">
        <color rgb="FF00A19B"/>
      </right>
      <top style="medium">
        <color rgb="FF00A19B"/>
      </top>
      <bottom/>
      <diagonal/>
    </border>
    <border>
      <left style="medium">
        <color rgb="FF00A19B"/>
      </left>
      <right/>
      <top/>
      <bottom/>
      <diagonal/>
    </border>
    <border>
      <left/>
      <right style="medium">
        <color rgb="FF00A19B"/>
      </right>
      <top/>
      <bottom/>
      <diagonal/>
    </border>
    <border>
      <left style="medium">
        <color rgb="FF00A19B"/>
      </left>
      <right/>
      <top/>
      <bottom style="medium">
        <color rgb="FF00A19B"/>
      </bottom>
      <diagonal/>
    </border>
    <border>
      <left/>
      <right/>
      <top/>
      <bottom style="medium">
        <color rgb="FF00A19B"/>
      </bottom>
      <diagonal/>
    </border>
    <border>
      <left/>
      <right style="medium">
        <color rgb="FF00A19B"/>
      </right>
      <top/>
      <bottom style="medium">
        <color rgb="FF00A19B"/>
      </bottom>
      <diagonal/>
    </border>
    <border>
      <left style="medium">
        <color rgb="FFE4F4E5"/>
      </left>
      <right/>
      <top style="medium">
        <color rgb="FFE4F4E5"/>
      </top>
      <bottom/>
      <diagonal/>
    </border>
    <border>
      <left/>
      <right/>
      <top style="medium">
        <color rgb="FFE4F4E5"/>
      </top>
      <bottom/>
      <diagonal/>
    </border>
    <border>
      <left/>
      <right style="medium">
        <color rgb="FFE4F4E5"/>
      </right>
      <top style="medium">
        <color rgb="FFE4F4E5"/>
      </top>
      <bottom/>
      <diagonal/>
    </border>
    <border>
      <left style="medium">
        <color rgb="FFE4F4E5"/>
      </left>
      <right/>
      <top/>
      <bottom/>
      <diagonal/>
    </border>
    <border>
      <left/>
      <right style="medium">
        <color rgb="FFE4F4E5"/>
      </right>
      <top/>
      <bottom/>
      <diagonal/>
    </border>
    <border>
      <left style="medium">
        <color rgb="FFE4F4E5"/>
      </left>
      <right/>
      <top/>
      <bottom style="medium">
        <color rgb="FFE4F4E5"/>
      </bottom>
      <diagonal/>
    </border>
    <border>
      <left/>
      <right/>
      <top/>
      <bottom style="medium">
        <color rgb="FFE4F4E5"/>
      </bottom>
      <diagonal/>
    </border>
    <border>
      <left/>
      <right style="medium">
        <color rgb="FFE4F4E5"/>
      </right>
      <top/>
      <bottom style="medium">
        <color rgb="FFE4F4E5"/>
      </bottom>
      <diagonal/>
    </border>
    <border>
      <left style="medium">
        <color rgb="FFFFF4D6"/>
      </left>
      <right/>
      <top style="medium">
        <color rgb="FFFFF4D6"/>
      </top>
      <bottom/>
      <diagonal/>
    </border>
    <border>
      <left/>
      <right/>
      <top style="medium">
        <color rgb="FFFFF4D6"/>
      </top>
      <bottom/>
      <diagonal/>
    </border>
    <border>
      <left/>
      <right style="medium">
        <color rgb="FFFFF4D6"/>
      </right>
      <top style="medium">
        <color rgb="FFFFF4D6"/>
      </top>
      <bottom/>
      <diagonal/>
    </border>
    <border>
      <left style="medium">
        <color rgb="FFFFF4D6"/>
      </left>
      <right/>
      <top/>
      <bottom/>
      <diagonal/>
    </border>
    <border>
      <left/>
      <right style="medium">
        <color rgb="FFFFF4D6"/>
      </right>
      <top/>
      <bottom/>
      <diagonal/>
    </border>
    <border>
      <left style="medium">
        <color rgb="FFFFF4D6"/>
      </left>
      <right/>
      <top/>
      <bottom style="medium">
        <color rgb="FFFFF4D6"/>
      </bottom>
      <diagonal/>
    </border>
    <border>
      <left/>
      <right/>
      <top/>
      <bottom style="medium">
        <color rgb="FFFFF4D6"/>
      </bottom>
      <diagonal/>
    </border>
    <border>
      <left/>
      <right style="medium">
        <color rgb="FFFFF4D6"/>
      </right>
      <top/>
      <bottom style="medium">
        <color rgb="FFFFF4D6"/>
      </bottom>
      <diagonal/>
    </border>
    <border>
      <left style="medium">
        <color rgb="FFFDE8E8"/>
      </left>
      <right/>
      <top style="medium">
        <color rgb="FFFDE8E8"/>
      </top>
      <bottom/>
      <diagonal/>
    </border>
    <border>
      <left/>
      <right/>
      <top style="medium">
        <color rgb="FFFDE8E8"/>
      </top>
      <bottom/>
      <diagonal/>
    </border>
    <border>
      <left/>
      <right style="medium">
        <color rgb="FFFDE8E8"/>
      </right>
      <top style="medium">
        <color rgb="FFFDE8E8"/>
      </top>
      <bottom/>
      <diagonal/>
    </border>
    <border>
      <left style="medium">
        <color rgb="FFFDE8E8"/>
      </left>
      <right/>
      <top/>
      <bottom/>
      <diagonal/>
    </border>
    <border>
      <left/>
      <right style="medium">
        <color rgb="FFFDE8E8"/>
      </right>
      <top/>
      <bottom/>
      <diagonal/>
    </border>
    <border>
      <left style="medium">
        <color rgb="FFFDE8E8"/>
      </left>
      <right/>
      <top/>
      <bottom style="medium">
        <color rgb="FFFDE8E8"/>
      </bottom>
      <diagonal/>
    </border>
    <border>
      <left/>
      <right/>
      <top/>
      <bottom style="medium">
        <color rgb="FFFDE8E8"/>
      </bottom>
      <diagonal/>
    </border>
    <border>
      <left/>
      <right style="medium">
        <color rgb="FFFDE8E8"/>
      </right>
      <top/>
      <bottom style="medium">
        <color rgb="FFFDE8E8"/>
      </bottom>
      <diagonal/>
    </border>
    <border>
      <left style="medium">
        <color rgb="FFDDF4F2"/>
      </left>
      <right/>
      <top style="medium">
        <color rgb="FFDDF4F2"/>
      </top>
      <bottom/>
      <diagonal/>
    </border>
    <border>
      <left/>
      <right/>
      <top style="medium">
        <color rgb="FFDDF4F2"/>
      </top>
      <bottom/>
      <diagonal/>
    </border>
    <border>
      <left/>
      <right style="medium">
        <color rgb="FFDDF4F2"/>
      </right>
      <top style="medium">
        <color rgb="FFDDF4F2"/>
      </top>
      <bottom/>
      <diagonal/>
    </border>
    <border>
      <left style="medium">
        <color rgb="FFDDF4F2"/>
      </left>
      <right/>
      <top/>
      <bottom/>
      <diagonal/>
    </border>
    <border>
      <left/>
      <right style="medium">
        <color rgb="FFDDF4F2"/>
      </right>
      <top/>
      <bottom/>
      <diagonal/>
    </border>
    <border>
      <left style="medium">
        <color rgb="FFDDF4F2"/>
      </left>
      <right/>
      <top/>
      <bottom style="medium">
        <color rgb="FFDDF4F2"/>
      </bottom>
      <diagonal/>
    </border>
    <border>
      <left/>
      <right/>
      <top/>
      <bottom style="medium">
        <color rgb="FFDDF4F2"/>
      </bottom>
      <diagonal/>
    </border>
    <border>
      <left/>
      <right style="medium">
        <color rgb="FFDDF4F2"/>
      </right>
      <top/>
      <bottom style="medium">
        <color rgb="FFDDF4F2"/>
      </bottom>
      <diagonal/>
    </border>
    <border>
      <left/>
      <right style="thin">
        <color rgb="FFCBD5D8"/>
      </right>
      <top/>
      <bottom style="thin">
        <color rgb="FFCBD5D8"/>
      </bottom>
      <diagonal/>
    </border>
    <border>
      <left style="thin">
        <color rgb="FFCBD5D8"/>
      </left>
      <right style="thin">
        <color rgb="FFCBD5D8"/>
      </right>
      <top/>
      <bottom style="thin">
        <color rgb="FFCBD5D8"/>
      </bottom>
      <diagonal/>
    </border>
    <border>
      <left style="thin">
        <color rgb="FFCBD5D8"/>
      </left>
      <right/>
      <top/>
      <bottom style="thin">
        <color rgb="FFCBD5D8"/>
      </bottom>
      <diagonal/>
    </border>
    <border>
      <left style="thin">
        <color rgb="FFCBD5D8"/>
      </left>
      <right style="thin">
        <color rgb="FFCBD5D8"/>
      </right>
      <top style="thin">
        <color rgb="FFCBD5D8"/>
      </top>
      <bottom style="thin">
        <color rgb="FFCBD5D8"/>
      </bottom>
      <diagonal/>
    </border>
    <border>
      <left/>
      <right style="thin">
        <color rgb="FFCBD5D8"/>
      </right>
      <top style="thin">
        <color rgb="FFCBD5D8"/>
      </top>
      <bottom/>
      <diagonal/>
    </border>
    <border>
      <left style="thin">
        <color rgb="FFCBD5D8"/>
      </left>
      <right style="thin">
        <color rgb="FFCBD5D8"/>
      </right>
      <top style="thin">
        <color rgb="FFCBD5D8"/>
      </top>
      <bottom/>
      <diagonal/>
    </border>
    <border>
      <left style="thin">
        <color rgb="FFCBD5D8"/>
      </left>
      <right/>
      <top style="thin">
        <color rgb="FFCBD5D8"/>
      </top>
      <bottom/>
      <diagonal/>
    </border>
    <border>
      <left style="thin">
        <color rgb="FFCBD5D8"/>
      </left>
      <right/>
      <top style="thin">
        <color rgb="FFCBD5D8"/>
      </top>
      <bottom style="thin">
        <color rgb="FF003B49"/>
      </bottom>
      <diagonal/>
    </border>
    <border>
      <left/>
      <right/>
      <top style="thin">
        <color rgb="FFCBD5D8"/>
      </top>
      <bottom style="thin">
        <color rgb="FF003B49"/>
      </bottom>
      <diagonal/>
    </border>
    <border>
      <left/>
      <right style="thin">
        <color rgb="FFCBD5D8"/>
      </right>
      <top style="thin">
        <color rgb="FFCBD5D8"/>
      </top>
      <bottom style="thin">
        <color rgb="FF003B49"/>
      </bottom>
      <diagonal/>
    </border>
    <border>
      <left style="thin">
        <color rgb="FFCBD5D8"/>
      </left>
      <right/>
      <top/>
      <bottom/>
      <diagonal/>
    </border>
    <border>
      <left/>
      <right style="thin">
        <color rgb="FFCBD5D8"/>
      </right>
      <top/>
      <bottom/>
      <diagonal/>
    </border>
    <border>
      <left/>
      <right/>
      <top/>
      <bottom style="thin">
        <color rgb="FFCBD5D8"/>
      </bottom>
      <diagonal/>
    </border>
  </borders>
  <cellStyleXfs count="1">
    <xf numFmtId="0" fontId="0" fillId="0" borderId="0"/>
  </cellStyleXfs>
  <cellXfs count="120">
    <xf numFmtId="0" fontId="0" fillId="0" borderId="0" xfId="0"/>
    <xf numFmtId="0" fontId="2" fillId="0" borderId="0" xfId="0" applyFont="1"/>
    <xf numFmtId="0" fontId="5" fillId="4" borderId="1" xfId="0" applyFont="1" applyFill="1" applyBorder="1" applyAlignment="1">
      <alignment vertical="center" wrapText="1"/>
    </xf>
    <xf numFmtId="0" fontId="5" fillId="4" borderId="2" xfId="0" applyFont="1" applyFill="1" applyBorder="1" applyAlignment="1">
      <alignment vertical="center" wrapText="1"/>
    </xf>
    <xf numFmtId="0" fontId="5" fillId="4" borderId="3" xfId="0" applyFont="1" applyFill="1" applyBorder="1" applyAlignment="1">
      <alignment vertical="center" wrapText="1"/>
    </xf>
    <xf numFmtId="0" fontId="2" fillId="0" borderId="0" xfId="0" applyFont="1" applyAlignment="1">
      <alignment wrapText="1"/>
    </xf>
    <xf numFmtId="0" fontId="5" fillId="2" borderId="0" xfId="0" applyFont="1" applyFill="1" applyAlignment="1">
      <alignment horizontal="center"/>
    </xf>
    <xf numFmtId="165" fontId="6" fillId="7" borderId="0" xfId="0" applyNumberFormat="1" applyFont="1" applyFill="1" applyAlignment="1">
      <alignment horizontal="center"/>
    </xf>
    <xf numFmtId="0" fontId="2" fillId="9" borderId="48" xfId="0" applyFont="1" applyFill="1" applyBorder="1"/>
    <xf numFmtId="1" fontId="2" fillId="9" borderId="49" xfId="0" applyNumberFormat="1" applyFont="1" applyFill="1" applyBorder="1"/>
    <xf numFmtId="1" fontId="2" fillId="9" borderId="50" xfId="0" applyNumberFormat="1" applyFont="1" applyFill="1" applyBorder="1"/>
    <xf numFmtId="0" fontId="2" fillId="9" borderId="7" xfId="0" applyFont="1" applyFill="1" applyBorder="1"/>
    <xf numFmtId="1" fontId="2" fillId="9" borderId="51" xfId="0" applyNumberFormat="1" applyFont="1" applyFill="1" applyBorder="1"/>
    <xf numFmtId="1" fontId="2" fillId="9" borderId="5" xfId="0" applyNumberFormat="1" applyFont="1" applyFill="1" applyBorder="1"/>
    <xf numFmtId="0" fontId="2" fillId="9" borderId="52" xfId="0" applyFont="1" applyFill="1" applyBorder="1"/>
    <xf numFmtId="1" fontId="2" fillId="9" borderId="53" xfId="0" applyNumberFormat="1" applyFont="1" applyFill="1" applyBorder="1"/>
    <xf numFmtId="1" fontId="2" fillId="9" borderId="54" xfId="0" applyNumberFormat="1" applyFont="1" applyFill="1" applyBorder="1"/>
    <xf numFmtId="0" fontId="5" fillId="4" borderId="55" xfId="0" applyFont="1" applyFill="1" applyBorder="1" applyAlignment="1">
      <alignment vertical="center" wrapText="1"/>
    </xf>
    <xf numFmtId="0" fontId="5" fillId="4" borderId="56" xfId="0" applyFont="1" applyFill="1" applyBorder="1" applyAlignment="1">
      <alignment vertical="center" wrapText="1"/>
    </xf>
    <xf numFmtId="0" fontId="5" fillId="4" borderId="57" xfId="0" applyFont="1" applyFill="1" applyBorder="1" applyAlignment="1">
      <alignment vertical="center" wrapText="1"/>
    </xf>
    <xf numFmtId="0" fontId="2" fillId="0" borderId="58" xfId="0" applyFont="1" applyBorder="1"/>
    <xf numFmtId="9" fontId="2" fillId="0" borderId="59" xfId="0" applyNumberFormat="1" applyFont="1" applyBorder="1"/>
    <xf numFmtId="0" fontId="2" fillId="0" borderId="59" xfId="0" applyFont="1" applyBorder="1"/>
    <xf numFmtId="0" fontId="2" fillId="0" borderId="50" xfId="0" applyFont="1" applyBorder="1"/>
    <xf numFmtId="0" fontId="2" fillId="0" borderId="60" xfId="0" applyFont="1" applyBorder="1"/>
    <xf numFmtId="9" fontId="2" fillId="0" borderId="48" xfId="0" applyNumberFormat="1" applyFont="1" applyBorder="1"/>
    <xf numFmtId="0" fontId="2" fillId="0" borderId="48" xfId="0" applyFont="1" applyBorder="1"/>
    <xf numFmtId="0" fontId="2" fillId="0" borderId="0" xfId="0" applyFont="1" applyAlignment="1">
      <alignment vertical="top"/>
    </xf>
    <xf numFmtId="164" fontId="2" fillId="0" borderId="0" xfId="0" applyNumberFormat="1" applyFont="1" applyAlignment="1">
      <alignment vertical="top"/>
    </xf>
    <xf numFmtId="0" fontId="2" fillId="0" borderId="0" xfId="0" applyFont="1" applyAlignment="1">
      <alignment vertical="top" wrapText="1"/>
    </xf>
    <xf numFmtId="0" fontId="2" fillId="6" borderId="0" xfId="0" applyFont="1" applyFill="1" applyAlignment="1">
      <alignment vertical="top" wrapText="1"/>
    </xf>
    <xf numFmtId="1" fontId="2" fillId="6" borderId="0" xfId="0" applyNumberFormat="1" applyFont="1" applyFill="1" applyAlignment="1">
      <alignment vertical="top" wrapText="1"/>
    </xf>
    <xf numFmtId="164" fontId="2" fillId="6" borderId="0" xfId="0" applyNumberFormat="1" applyFont="1" applyFill="1" applyAlignment="1">
      <alignment vertical="top" wrapText="1"/>
    </xf>
    <xf numFmtId="165" fontId="2" fillId="6" borderId="0" xfId="0" applyNumberFormat="1" applyFont="1" applyFill="1" applyAlignment="1">
      <alignment vertical="top"/>
    </xf>
    <xf numFmtId="0" fontId="2" fillId="6" borderId="0" xfId="0" applyFont="1" applyFill="1" applyAlignment="1">
      <alignment vertical="top"/>
    </xf>
    <xf numFmtId="165" fontId="2" fillId="7" borderId="0" xfId="0" applyNumberFormat="1" applyFont="1" applyFill="1"/>
    <xf numFmtId="0" fontId="2" fillId="7" borderId="0" xfId="0" applyFont="1" applyFill="1"/>
    <xf numFmtId="0" fontId="2" fillId="6" borderId="0" xfId="0" applyFont="1" applyFill="1"/>
    <xf numFmtId="164" fontId="2" fillId="7" borderId="0" xfId="0" applyNumberFormat="1" applyFont="1" applyFill="1"/>
    <xf numFmtId="0" fontId="2" fillId="7" borderId="0" xfId="0" applyFont="1" applyFill="1" applyAlignment="1">
      <alignment wrapText="1"/>
    </xf>
    <xf numFmtId="0" fontId="2" fillId="6" borderId="0" xfId="0" applyFont="1" applyFill="1" applyAlignment="1">
      <alignment wrapText="1"/>
    </xf>
    <xf numFmtId="165" fontId="2" fillId="7" borderId="0" xfId="0" applyNumberFormat="1" applyFont="1" applyFill="1" applyAlignment="1">
      <alignment wrapText="1"/>
    </xf>
    <xf numFmtId="164" fontId="2" fillId="7" borderId="0" xfId="0" applyNumberFormat="1" applyFont="1" applyFill="1" applyAlignment="1">
      <alignment wrapText="1"/>
    </xf>
    <xf numFmtId="9" fontId="2" fillId="7" borderId="0" xfId="0" applyNumberFormat="1" applyFont="1" applyFill="1"/>
    <xf numFmtId="9" fontId="2" fillId="6" borderId="0" xfId="0" applyNumberFormat="1" applyFont="1" applyFill="1"/>
    <xf numFmtId="0" fontId="5" fillId="4" borderId="4" xfId="0" applyFont="1" applyFill="1" applyBorder="1" applyAlignment="1">
      <alignment vertical="center" wrapText="1"/>
    </xf>
    <xf numFmtId="0" fontId="2" fillId="5" borderId="0" xfId="0" applyFont="1" applyFill="1"/>
    <xf numFmtId="0" fontId="5" fillId="4" borderId="1" xfId="0" applyFont="1" applyFill="1" applyBorder="1" applyAlignment="1">
      <alignment vertical="top" wrapText="1"/>
    </xf>
    <xf numFmtId="0" fontId="5" fillId="4" borderId="2" xfId="0" applyFont="1" applyFill="1" applyBorder="1" applyAlignment="1">
      <alignment vertical="top" wrapText="1"/>
    </xf>
    <xf numFmtId="0" fontId="5" fillId="4" borderId="3" xfId="0" applyFont="1" applyFill="1" applyBorder="1" applyAlignment="1">
      <alignment vertical="top" wrapText="1"/>
    </xf>
    <xf numFmtId="0" fontId="6" fillId="0" borderId="0" xfId="0" applyFont="1" applyAlignment="1">
      <alignment vertical="top" wrapText="1"/>
    </xf>
    <xf numFmtId="0" fontId="1" fillId="2" borderId="0" xfId="0" applyFont="1" applyFill="1" applyAlignment="1">
      <alignment vertical="center"/>
    </xf>
    <xf numFmtId="0" fontId="3" fillId="3" borderId="0" xfId="0" applyFont="1" applyFill="1" applyAlignment="1">
      <alignment vertical="center"/>
    </xf>
    <xf numFmtId="0" fontId="4" fillId="4" borderId="0" xfId="0" applyFont="1" applyFill="1" applyAlignment="1">
      <alignment vertical="top" wrapText="1"/>
    </xf>
    <xf numFmtId="0" fontId="7" fillId="11" borderId="0" xfId="0" applyFont="1" applyFill="1" applyAlignment="1">
      <alignment vertical="top" wrapText="1"/>
    </xf>
    <xf numFmtId="0" fontId="2" fillId="5" borderId="0" xfId="0" applyFont="1" applyFill="1" applyAlignment="1">
      <alignment vertical="top" wrapText="1"/>
    </xf>
    <xf numFmtId="0" fontId="1" fillId="2" borderId="0" xfId="0" applyFont="1" applyFill="1" applyAlignment="1">
      <alignment vertical="top" wrapText="1"/>
    </xf>
    <xf numFmtId="0" fontId="3" fillId="3" borderId="0" xfId="0" applyFont="1" applyFill="1" applyAlignment="1">
      <alignment vertical="top" wrapText="1"/>
    </xf>
    <xf numFmtId="0" fontId="2" fillId="3" borderId="0" xfId="0" applyFont="1" applyFill="1" applyAlignment="1">
      <alignment vertical="top" wrapText="1"/>
    </xf>
    <xf numFmtId="0" fontId="4" fillId="2" borderId="0" xfId="0" applyFont="1" applyFill="1" applyAlignment="1">
      <alignment vertical="top" wrapText="1"/>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7" xfId="0" applyFont="1" applyFill="1" applyBorder="1" applyAlignment="1">
      <alignment horizontal="center" vertical="center"/>
    </xf>
    <xf numFmtId="1" fontId="10" fillId="9" borderId="24" xfId="0" applyNumberFormat="1" applyFont="1" applyFill="1" applyBorder="1" applyAlignment="1">
      <alignment horizontal="center" vertical="center"/>
    </xf>
    <xf numFmtId="1" fontId="10" fillId="9" borderId="25" xfId="0" applyNumberFormat="1" applyFont="1" applyFill="1" applyBorder="1" applyAlignment="1">
      <alignment horizontal="center" vertical="center"/>
    </xf>
    <xf numFmtId="1" fontId="10" fillId="9" borderId="26" xfId="0" applyNumberFormat="1" applyFont="1" applyFill="1" applyBorder="1" applyAlignment="1">
      <alignment horizontal="center" vertical="center"/>
    </xf>
    <xf numFmtId="1" fontId="10" fillId="9" borderId="27" xfId="0" applyNumberFormat="1" applyFont="1" applyFill="1" applyBorder="1" applyAlignment="1">
      <alignment horizontal="center" vertical="center"/>
    </xf>
    <xf numFmtId="1" fontId="10" fillId="9" borderId="0" xfId="0" applyNumberFormat="1" applyFont="1" applyFill="1" applyAlignment="1">
      <alignment horizontal="center" vertical="center"/>
    </xf>
    <xf numFmtId="1" fontId="10" fillId="9" borderId="28" xfId="0" applyNumberFormat="1" applyFont="1" applyFill="1" applyBorder="1" applyAlignment="1">
      <alignment horizontal="center" vertical="center"/>
    </xf>
    <xf numFmtId="1" fontId="10" fillId="9" borderId="29" xfId="0" applyNumberFormat="1" applyFont="1" applyFill="1" applyBorder="1" applyAlignment="1">
      <alignment horizontal="center" vertical="center"/>
    </xf>
    <xf numFmtId="1" fontId="10" fillId="9" borderId="30" xfId="0" applyNumberFormat="1" applyFont="1" applyFill="1" applyBorder="1" applyAlignment="1">
      <alignment horizontal="center" vertical="center"/>
    </xf>
    <xf numFmtId="1" fontId="10" fillId="9" borderId="31" xfId="0" applyNumberFormat="1" applyFont="1" applyFill="1" applyBorder="1" applyAlignment="1">
      <alignment horizontal="center" vertical="center"/>
    </xf>
    <xf numFmtId="0" fontId="9" fillId="3" borderId="5" xfId="0" applyFont="1" applyFill="1" applyBorder="1" applyAlignment="1">
      <alignment horizontal="center" vertical="center"/>
    </xf>
    <xf numFmtId="0" fontId="9" fillId="3" borderId="6" xfId="0" applyFont="1" applyFill="1" applyBorder="1" applyAlignment="1">
      <alignment horizontal="center" vertical="center"/>
    </xf>
    <xf numFmtId="0" fontId="9" fillId="3" borderId="7" xfId="0" applyFont="1" applyFill="1" applyBorder="1" applyAlignment="1">
      <alignment horizontal="center" vertical="center"/>
    </xf>
    <xf numFmtId="1" fontId="10" fillId="9" borderId="40" xfId="0" applyNumberFormat="1" applyFont="1" applyFill="1" applyBorder="1" applyAlignment="1">
      <alignment horizontal="center" vertical="center"/>
    </xf>
    <xf numFmtId="1" fontId="10" fillId="9" borderId="41" xfId="0" applyNumberFormat="1" applyFont="1" applyFill="1" applyBorder="1" applyAlignment="1">
      <alignment horizontal="center" vertical="center"/>
    </xf>
    <xf numFmtId="1" fontId="10" fillId="9" borderId="42" xfId="0" applyNumberFormat="1" applyFont="1" applyFill="1" applyBorder="1" applyAlignment="1">
      <alignment horizontal="center" vertical="center"/>
    </xf>
    <xf numFmtId="1" fontId="10" fillId="9" borderId="43" xfId="0" applyNumberFormat="1" applyFont="1" applyFill="1" applyBorder="1" applyAlignment="1">
      <alignment horizontal="center" vertical="center"/>
    </xf>
    <xf numFmtId="1" fontId="10" fillId="9" borderId="44" xfId="0" applyNumberFormat="1" applyFont="1" applyFill="1" applyBorder="1" applyAlignment="1">
      <alignment horizontal="center" vertical="center"/>
    </xf>
    <xf numFmtId="1" fontId="10" fillId="9" borderId="45" xfId="0" applyNumberFormat="1" applyFont="1" applyFill="1" applyBorder="1" applyAlignment="1">
      <alignment horizontal="center" vertical="center"/>
    </xf>
    <xf numFmtId="1" fontId="10" fillId="9" borderId="46" xfId="0" applyNumberFormat="1" applyFont="1" applyFill="1" applyBorder="1" applyAlignment="1">
      <alignment horizontal="center" vertical="center"/>
    </xf>
    <xf numFmtId="1" fontId="10" fillId="9" borderId="47" xfId="0" applyNumberFormat="1" applyFont="1" applyFill="1" applyBorder="1" applyAlignment="1">
      <alignment horizontal="center" vertical="center"/>
    </xf>
    <xf numFmtId="0" fontId="9" fillId="10" borderId="5" xfId="0" applyFont="1" applyFill="1" applyBorder="1" applyAlignment="1">
      <alignment horizontal="center" vertical="center"/>
    </xf>
    <xf numFmtId="0" fontId="9" fillId="10" borderId="6" xfId="0" applyFont="1" applyFill="1" applyBorder="1" applyAlignment="1">
      <alignment horizontal="center" vertical="center"/>
    </xf>
    <xf numFmtId="0" fontId="9" fillId="10" borderId="7" xfId="0" applyFont="1" applyFill="1" applyBorder="1" applyAlignment="1">
      <alignment horizontal="center" vertical="center"/>
    </xf>
    <xf numFmtId="1" fontId="11" fillId="9" borderId="16" xfId="0" applyNumberFormat="1" applyFont="1" applyFill="1" applyBorder="1" applyAlignment="1">
      <alignment horizontal="center" vertical="center"/>
    </xf>
    <xf numFmtId="1" fontId="11" fillId="9" borderId="17" xfId="0" applyNumberFormat="1" applyFont="1" applyFill="1" applyBorder="1" applyAlignment="1">
      <alignment horizontal="center" vertical="center"/>
    </xf>
    <xf numFmtId="1" fontId="11" fillId="9" borderId="18" xfId="0" applyNumberFormat="1" applyFont="1" applyFill="1" applyBorder="1" applyAlignment="1">
      <alignment horizontal="center" vertical="center"/>
    </xf>
    <xf numFmtId="1" fontId="11" fillId="9" borderId="19" xfId="0" applyNumberFormat="1" applyFont="1" applyFill="1" applyBorder="1" applyAlignment="1">
      <alignment horizontal="center" vertical="center"/>
    </xf>
    <xf numFmtId="1" fontId="11" fillId="9" borderId="0" xfId="0" applyNumberFormat="1" applyFont="1" applyFill="1" applyAlignment="1">
      <alignment horizontal="center" vertical="center"/>
    </xf>
    <xf numFmtId="1" fontId="11" fillId="9" borderId="20" xfId="0" applyNumberFormat="1" applyFont="1" applyFill="1" applyBorder="1" applyAlignment="1">
      <alignment horizontal="center" vertical="center"/>
    </xf>
    <xf numFmtId="1" fontId="11" fillId="9" borderId="21" xfId="0" applyNumberFormat="1" applyFont="1" applyFill="1" applyBorder="1" applyAlignment="1">
      <alignment horizontal="center" vertical="center"/>
    </xf>
    <xf numFmtId="1" fontId="11" fillId="9" borderId="22" xfId="0" applyNumberFormat="1" applyFont="1" applyFill="1" applyBorder="1" applyAlignment="1">
      <alignment horizontal="center" vertical="center"/>
    </xf>
    <xf numFmtId="1" fontId="11" fillId="9" borderId="23" xfId="0" applyNumberFormat="1" applyFont="1" applyFill="1" applyBorder="1" applyAlignment="1">
      <alignment horizontal="center" vertical="center"/>
    </xf>
    <xf numFmtId="0" fontId="9" fillId="11" borderId="5" xfId="0" applyFont="1" applyFill="1" applyBorder="1" applyAlignment="1">
      <alignment horizontal="center" vertical="center"/>
    </xf>
    <xf numFmtId="0" fontId="9" fillId="11" borderId="6" xfId="0" applyFont="1" applyFill="1" applyBorder="1" applyAlignment="1">
      <alignment horizontal="center" vertical="center"/>
    </xf>
    <xf numFmtId="0" fontId="9" fillId="11" borderId="7" xfId="0" applyFont="1" applyFill="1" applyBorder="1" applyAlignment="1">
      <alignment horizontal="center" vertical="center"/>
    </xf>
    <xf numFmtId="1" fontId="12" fillId="9" borderId="32" xfId="0" applyNumberFormat="1" applyFont="1" applyFill="1" applyBorder="1" applyAlignment="1">
      <alignment horizontal="center" vertical="center"/>
    </xf>
    <xf numFmtId="1" fontId="12" fillId="9" borderId="33" xfId="0" applyNumberFormat="1" applyFont="1" applyFill="1" applyBorder="1" applyAlignment="1">
      <alignment horizontal="center" vertical="center"/>
    </xf>
    <xf numFmtId="1" fontId="12" fillId="9" borderId="34" xfId="0" applyNumberFormat="1" applyFont="1" applyFill="1" applyBorder="1" applyAlignment="1">
      <alignment horizontal="center" vertical="center"/>
    </xf>
    <xf numFmtId="1" fontId="12" fillId="9" borderId="35" xfId="0" applyNumberFormat="1" applyFont="1" applyFill="1" applyBorder="1" applyAlignment="1">
      <alignment horizontal="center" vertical="center"/>
    </xf>
    <xf numFmtId="1" fontId="12" fillId="9" borderId="0" xfId="0" applyNumberFormat="1" applyFont="1" applyFill="1" applyAlignment="1">
      <alignment horizontal="center" vertical="center"/>
    </xf>
    <xf numFmtId="1" fontId="12" fillId="9" borderId="36" xfId="0" applyNumberFormat="1" applyFont="1" applyFill="1" applyBorder="1" applyAlignment="1">
      <alignment horizontal="center" vertical="center"/>
    </xf>
    <xf numFmtId="1" fontId="12" fillId="9" borderId="37" xfId="0" applyNumberFormat="1" applyFont="1" applyFill="1" applyBorder="1" applyAlignment="1">
      <alignment horizontal="center" vertical="center"/>
    </xf>
    <xf numFmtId="1" fontId="12" fillId="9" borderId="38" xfId="0" applyNumberFormat="1" applyFont="1" applyFill="1" applyBorder="1" applyAlignment="1">
      <alignment horizontal="center" vertical="center"/>
    </xf>
    <xf numFmtId="1" fontId="12" fillId="9" borderId="39" xfId="0" applyNumberFormat="1" applyFont="1" applyFill="1" applyBorder="1" applyAlignment="1">
      <alignment horizontal="center" vertical="center"/>
    </xf>
    <xf numFmtId="0" fontId="8" fillId="8" borderId="0" xfId="0" applyFont="1" applyFill="1" applyAlignment="1">
      <alignment wrapText="1"/>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7" xfId="0" applyFont="1" applyFill="1" applyBorder="1" applyAlignment="1">
      <alignment horizontal="center" vertical="center"/>
    </xf>
    <xf numFmtId="1" fontId="10" fillId="9" borderId="8" xfId="0" applyNumberFormat="1" applyFont="1" applyFill="1" applyBorder="1" applyAlignment="1">
      <alignment horizontal="center" vertical="center"/>
    </xf>
    <xf numFmtId="1" fontId="10" fillId="9" borderId="9" xfId="0" applyNumberFormat="1" applyFont="1" applyFill="1" applyBorder="1" applyAlignment="1">
      <alignment horizontal="center" vertical="center"/>
    </xf>
    <xf numFmtId="1" fontId="10" fillId="9" borderId="10" xfId="0" applyNumberFormat="1" applyFont="1" applyFill="1" applyBorder="1" applyAlignment="1">
      <alignment horizontal="center" vertical="center"/>
    </xf>
    <xf numFmtId="1" fontId="10" fillId="9" borderId="11" xfId="0" applyNumberFormat="1" applyFont="1" applyFill="1" applyBorder="1" applyAlignment="1">
      <alignment horizontal="center" vertical="center"/>
    </xf>
    <xf numFmtId="1" fontId="10" fillId="9" borderId="12" xfId="0" applyNumberFormat="1" applyFont="1" applyFill="1" applyBorder="1" applyAlignment="1">
      <alignment horizontal="center" vertical="center"/>
    </xf>
    <xf numFmtId="1" fontId="10" fillId="9" borderId="13" xfId="0" applyNumberFormat="1" applyFont="1" applyFill="1" applyBorder="1" applyAlignment="1">
      <alignment horizontal="center" vertical="center"/>
    </xf>
    <xf numFmtId="1" fontId="10" fillId="9" borderId="14" xfId="0" applyNumberFormat="1" applyFont="1" applyFill="1" applyBorder="1" applyAlignment="1">
      <alignment horizontal="center" vertical="center"/>
    </xf>
    <xf numFmtId="1" fontId="10" fillId="9" borderId="15" xfId="0" applyNumberFormat="1" applyFont="1" applyFill="1" applyBorder="1" applyAlignment="1">
      <alignment horizontal="center" vertical="center"/>
    </xf>
    <xf numFmtId="164" fontId="13" fillId="7" borderId="0" xfId="0" applyNumberFormat="1" applyFont="1" applyFill="1"/>
  </cellXfs>
  <cellStyles count="1">
    <cellStyle name="Normal" xfId="0" builtinId="0"/>
  </cellStyles>
  <dxfs count="200">
    <dxf>
      <font>
        <b/>
        <color rgb="FF2E7D32"/>
      </font>
      <fill>
        <patternFill patternType="solid">
          <bgColor rgb="FFE4F4E5"/>
        </patternFill>
      </fill>
    </dxf>
    <dxf>
      <font>
        <b/>
        <color rgb="FF003B49"/>
      </font>
      <fill>
        <patternFill patternType="solid">
          <bgColor rgb="FFFFF4D6"/>
        </patternFill>
      </fill>
    </dxf>
    <dxf>
      <font>
        <b/>
        <color rgb="FFD64545"/>
      </font>
      <fill>
        <patternFill patternType="solid">
          <bgColor rgb="FFFDE8E8"/>
        </patternFill>
      </fill>
    </dxf>
    <dxf>
      <font>
        <b/>
        <color rgb="FFD64545"/>
      </font>
      <fill>
        <patternFill patternType="solid">
          <bgColor rgb="FFFDE8E8"/>
        </patternFill>
      </fill>
    </dxf>
    <dxf>
      <font>
        <b/>
        <color rgb="FF003B49"/>
      </font>
      <fill>
        <patternFill patternType="solid">
          <bgColor rgb="FFFFF4D6"/>
        </patternFill>
      </fill>
    </dxf>
    <dxf>
      <font>
        <b/>
        <color rgb="FF003B49"/>
      </font>
      <fill>
        <patternFill patternType="solid">
          <bgColor rgb="FFFFF4D6"/>
        </patternFill>
      </fill>
    </dxf>
    <dxf>
      <font>
        <b/>
        <color rgb="FF2E7D32"/>
      </font>
      <fill>
        <patternFill patternType="solid">
          <bgColor rgb="FFE4F4E5"/>
        </patternFill>
      </fill>
    </dxf>
    <dxf>
      <font>
        <b/>
        <color rgb="FFD64545"/>
      </font>
      <fill>
        <patternFill patternType="solid">
          <bgColor rgb="FFFDE8E8"/>
        </patternFill>
      </fill>
    </dxf>
    <dxf>
      <font>
        <b/>
        <color rgb="FF003B49"/>
      </font>
      <fill>
        <patternFill patternType="solid">
          <bgColor rgb="FFFFF4D6"/>
        </patternFill>
      </fill>
    </dxf>
    <dxf>
      <font>
        <b/>
        <color rgb="FFD64545"/>
      </font>
      <fill>
        <patternFill patternType="solid">
          <bgColor rgb="FFFDE8E8"/>
        </patternFill>
      </fill>
    </dxf>
    <dxf>
      <font>
        <b/>
        <color rgb="FF2E7D32"/>
      </font>
      <fill>
        <patternFill patternType="solid">
          <bgColor rgb="FFE4F4E5"/>
        </patternFill>
      </fill>
    </dxf>
    <dxf>
      <font>
        <b/>
        <color rgb="FFD64545"/>
      </font>
      <fill>
        <patternFill patternType="solid">
          <bgColor rgb="FFFDE8E8"/>
        </patternFill>
      </fill>
    </dxf>
    <dxf>
      <font>
        <b/>
        <color rgb="FF2E7D32"/>
      </font>
      <fill>
        <patternFill patternType="solid">
          <bgColor rgb="FFE4F4E5"/>
        </patternFill>
      </fill>
    </dxf>
    <dxf>
      <font>
        <b/>
        <color rgb="FF003B49"/>
      </font>
      <fill>
        <patternFill patternType="solid">
          <bgColor rgb="FFFFF4D6"/>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D"/>
              <a:t>Projected Workload vs Effective Capacity (points)</a:t>
            </a:r>
          </a:p>
        </c:rich>
      </c:tx>
      <c:overlay val="0"/>
    </c:title>
    <c:autoTitleDeleted val="0"/>
    <c:plotArea>
      <c:layout/>
      <c:barChart>
        <c:barDir val="col"/>
        <c:grouping val="clustered"/>
        <c:varyColors val="0"/>
        <c:ser>
          <c:idx val="0"/>
          <c:order val="0"/>
          <c:tx>
            <c:v>Projected Load</c:v>
          </c:tx>
          <c:invertIfNegative val="1"/>
          <c:cat>
            <c:strRef>
              <c:f>Dashboard!$A$19:$A$29</c:f>
              <c:strCache>
                <c:ptCount val="11"/>
                <c:pt idx="0">
                  <c:v>Abdul Khoir</c:v>
                </c:pt>
                <c:pt idx="1">
                  <c:v>Abhishek Bhowate</c:v>
                </c:pt>
                <c:pt idx="2">
                  <c:v>Amarja Kawade</c:v>
                </c:pt>
                <c:pt idx="3">
                  <c:v>Arun Karuppiah</c:v>
                </c:pt>
                <c:pt idx="4">
                  <c:v>K Saktivelu</c:v>
                </c:pt>
                <c:pt idx="5">
                  <c:v>Mardiansyah Rayasa</c:v>
                </c:pt>
                <c:pt idx="6">
                  <c:v>Nilesh Sankpal</c:v>
                </c:pt>
                <c:pt idx="7">
                  <c:v>Raditya Nugraha</c:v>
                </c:pt>
                <c:pt idx="8">
                  <c:v>Sairam Villa</c:v>
                </c:pt>
                <c:pt idx="9">
                  <c:v>Swaminadh Chirakala</c:v>
                </c:pt>
                <c:pt idx="10">
                  <c:v>Venkatesh Kalikivayi</c:v>
                </c:pt>
              </c:strCache>
            </c:strRef>
          </c:cat>
          <c:val>
            <c:numRef>
              <c:f>Dashboard!$B$19:$B$29</c:f>
              <c:numCache>
                <c:formatCode>0</c:formatCode>
                <c:ptCount val="11"/>
                <c:pt idx="0">
                  <c:v>26</c:v>
                </c:pt>
                <c:pt idx="1">
                  <c:v>8</c:v>
                </c:pt>
                <c:pt idx="2">
                  <c:v>42</c:v>
                </c:pt>
                <c:pt idx="3">
                  <c:v>12</c:v>
                </c:pt>
                <c:pt idx="4">
                  <c:v>6</c:v>
                </c:pt>
                <c:pt idx="5">
                  <c:v>17</c:v>
                </c:pt>
                <c:pt idx="6">
                  <c:v>0</c:v>
                </c:pt>
                <c:pt idx="7">
                  <c:v>12</c:v>
                </c:pt>
                <c:pt idx="8">
                  <c:v>0</c:v>
                </c:pt>
                <c:pt idx="9">
                  <c:v>37</c:v>
                </c:pt>
                <c:pt idx="10">
                  <c:v>8</c:v>
                </c:pt>
              </c:numCache>
            </c:numRef>
          </c:val>
          <c:extLst>
            <c:ext xmlns:c16="http://schemas.microsoft.com/office/drawing/2014/chart" uri="{C3380CC4-5D6E-409C-BE32-E72D297353CC}">
              <c16:uniqueId val="{00000000-C3D0-4C05-8F0C-6C11677C7E86}"/>
            </c:ext>
          </c:extLst>
        </c:ser>
        <c:ser>
          <c:idx val="1"/>
          <c:order val="1"/>
          <c:tx>
            <c:v>Effective Capacity</c:v>
          </c:tx>
          <c:invertIfNegative val="1"/>
          <c:cat>
            <c:strRef>
              <c:f>Dashboard!$A$19:$A$29</c:f>
              <c:strCache>
                <c:ptCount val="11"/>
                <c:pt idx="0">
                  <c:v>Abdul Khoir</c:v>
                </c:pt>
                <c:pt idx="1">
                  <c:v>Abhishek Bhowate</c:v>
                </c:pt>
                <c:pt idx="2">
                  <c:v>Amarja Kawade</c:v>
                </c:pt>
                <c:pt idx="3">
                  <c:v>Arun Karuppiah</c:v>
                </c:pt>
                <c:pt idx="4">
                  <c:v>K Saktivelu</c:v>
                </c:pt>
                <c:pt idx="5">
                  <c:v>Mardiansyah Rayasa</c:v>
                </c:pt>
                <c:pt idx="6">
                  <c:v>Nilesh Sankpal</c:v>
                </c:pt>
                <c:pt idx="7">
                  <c:v>Raditya Nugraha</c:v>
                </c:pt>
                <c:pt idx="8">
                  <c:v>Sairam Villa</c:v>
                </c:pt>
                <c:pt idx="9">
                  <c:v>Swaminadh Chirakala</c:v>
                </c:pt>
                <c:pt idx="10">
                  <c:v>Venkatesh Kalikivayi</c:v>
                </c:pt>
              </c:strCache>
            </c:strRef>
          </c:cat>
          <c:val>
            <c:numRef>
              <c:f>Dashboard!$C$19:$C$29</c:f>
              <c:numCache>
                <c:formatCode>0</c:formatCode>
                <c:ptCount val="11"/>
                <c:pt idx="0">
                  <c:v>12</c:v>
                </c:pt>
                <c:pt idx="1">
                  <c:v>12</c:v>
                </c:pt>
                <c:pt idx="2">
                  <c:v>12</c:v>
                </c:pt>
                <c:pt idx="3">
                  <c:v>12</c:v>
                </c:pt>
                <c:pt idx="4">
                  <c:v>12</c:v>
                </c:pt>
                <c:pt idx="5">
                  <c:v>12</c:v>
                </c:pt>
                <c:pt idx="6">
                  <c:v>12</c:v>
                </c:pt>
                <c:pt idx="7">
                  <c:v>12</c:v>
                </c:pt>
                <c:pt idx="8">
                  <c:v>12</c:v>
                </c:pt>
                <c:pt idx="9">
                  <c:v>12</c:v>
                </c:pt>
                <c:pt idx="10">
                  <c:v>12</c:v>
                </c:pt>
              </c:numCache>
            </c:numRef>
          </c:val>
          <c:extLst>
            <c:ext xmlns:c16="http://schemas.microsoft.com/office/drawing/2014/chart" uri="{C3380CC4-5D6E-409C-BE32-E72D297353CC}">
              <c16:uniqueId val="{00000001-C3D0-4C05-8F0C-6C11677C7E8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17</xdr:row>
      <xdr:rowOff>0</xdr:rowOff>
    </xdr:from>
    <xdr:to>
      <xdr:col>15</xdr:col>
      <xdr:colOff>0</xdr:colOff>
      <xdr:row>36</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1828800</xdr:colOff>
      <xdr:row>23</xdr:row>
      <xdr:rowOff>476250</xdr:rowOff>
    </xdr:to>
    <xdr:sp macro="" textlink="">
      <xdr:nvSpPr>
        <xdr:cNvPr id="2051" name="Text Box 3" hidden="1">
          <a:extLst>
            <a:ext uri="{FF2B5EF4-FFF2-40B4-BE49-F238E27FC236}">
              <a16:creationId xmlns:a16="http://schemas.microsoft.com/office/drawing/2014/main" id="{FBD7054D-2942-7060-D62E-EFA5416C5885}"/>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1463040</xdr:colOff>
      <xdr:row>23</xdr:row>
      <xdr:rowOff>381000</xdr:rowOff>
    </xdr:to>
    <xdr:sp macro="" textlink="">
      <xdr:nvSpPr>
        <xdr:cNvPr id="2" name="AutoShape 3">
          <a:extLst>
            <a:ext uri="{FF2B5EF4-FFF2-40B4-BE49-F238E27FC236}">
              <a16:creationId xmlns:a16="http://schemas.microsoft.com/office/drawing/2014/main" id="{6C57ABB7-E89A-70A1-DCE8-182BF65C8C50}"/>
            </a:ext>
          </a:extLst>
        </xdr:cNvPr>
        <xdr:cNvSpPr>
          <a:spLocks noChangeArrowheads="1"/>
        </xdr:cNvSpPr>
      </xdr:nvSpPr>
      <xdr:spPr bwMode="auto">
        <a:xfrm>
          <a:off x="0" y="0"/>
          <a:ext cx="9159240" cy="858774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685800</xdr:colOff>
      <xdr:row>49</xdr:row>
      <xdr:rowOff>114300</xdr:rowOff>
    </xdr:to>
    <xdr:sp macro="" textlink="">
      <xdr:nvSpPr>
        <xdr:cNvPr id="3074" name="Text Box 2" hidden="1">
          <a:extLst>
            <a:ext uri="{FF2B5EF4-FFF2-40B4-BE49-F238E27FC236}">
              <a16:creationId xmlns:a16="http://schemas.microsoft.com/office/drawing/2014/main" id="{A2561BD7-01D0-B808-D7B6-9BD338ECEF84}"/>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685800</xdr:colOff>
      <xdr:row>51</xdr:row>
      <xdr:rowOff>99060</xdr:rowOff>
    </xdr:to>
    <xdr:sp macro="" textlink="">
      <xdr:nvSpPr>
        <xdr:cNvPr id="2" name="AutoShape 2">
          <a:extLst>
            <a:ext uri="{FF2B5EF4-FFF2-40B4-BE49-F238E27FC236}">
              <a16:creationId xmlns:a16="http://schemas.microsoft.com/office/drawing/2014/main" id="{353B32A8-D1D8-1189-872B-0C072E82D766}"/>
            </a:ext>
          </a:extLst>
        </xdr:cNvPr>
        <xdr:cNvSpPr>
          <a:spLocks noChangeArrowheads="1"/>
        </xdr:cNvSpPr>
      </xdr:nvSpPr>
      <xdr:spPr bwMode="auto">
        <a:xfrm>
          <a:off x="0" y="0"/>
          <a:ext cx="9525000" cy="996696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1676400</xdr:colOff>
      <xdr:row>49</xdr:row>
      <xdr:rowOff>114300</xdr:rowOff>
    </xdr:to>
    <xdr:sp macro="" textlink="">
      <xdr:nvSpPr>
        <xdr:cNvPr id="4098" name="Text Box 2" hidden="1">
          <a:extLst>
            <a:ext uri="{FF2B5EF4-FFF2-40B4-BE49-F238E27FC236}">
              <a16:creationId xmlns:a16="http://schemas.microsoft.com/office/drawing/2014/main" id="{72FCA21D-53EA-F1C9-C4CA-76147253CA72}"/>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1676400</xdr:colOff>
      <xdr:row>51</xdr:row>
      <xdr:rowOff>99060</xdr:rowOff>
    </xdr:to>
    <xdr:sp macro="" textlink="">
      <xdr:nvSpPr>
        <xdr:cNvPr id="2" name="AutoShape 2">
          <a:extLst>
            <a:ext uri="{FF2B5EF4-FFF2-40B4-BE49-F238E27FC236}">
              <a16:creationId xmlns:a16="http://schemas.microsoft.com/office/drawing/2014/main" id="{CFEA6980-C0D7-E872-712A-0193D533242D}"/>
            </a:ext>
          </a:extLst>
        </xdr:cNvPr>
        <xdr:cNvSpPr>
          <a:spLocks noChangeArrowheads="1"/>
        </xdr:cNvSpPr>
      </xdr:nvSpPr>
      <xdr:spPr bwMode="auto">
        <a:xfrm>
          <a:off x="0" y="0"/>
          <a:ext cx="9525000" cy="996696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1295400</xdr:colOff>
      <xdr:row>49</xdr:row>
      <xdr:rowOff>114300</xdr:rowOff>
    </xdr:to>
    <xdr:sp macro="" textlink="">
      <xdr:nvSpPr>
        <xdr:cNvPr id="5122" name="Text Box 2" hidden="1">
          <a:extLst>
            <a:ext uri="{FF2B5EF4-FFF2-40B4-BE49-F238E27FC236}">
              <a16:creationId xmlns:a16="http://schemas.microsoft.com/office/drawing/2014/main" id="{4160D2B2-7F59-F214-B90D-3A4A4D58248F}"/>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1295400</xdr:colOff>
      <xdr:row>51</xdr:row>
      <xdr:rowOff>99060</xdr:rowOff>
    </xdr:to>
    <xdr:sp macro="" textlink="">
      <xdr:nvSpPr>
        <xdr:cNvPr id="2" name="AutoShape 2">
          <a:extLst>
            <a:ext uri="{FF2B5EF4-FFF2-40B4-BE49-F238E27FC236}">
              <a16:creationId xmlns:a16="http://schemas.microsoft.com/office/drawing/2014/main" id="{D441B92D-7F41-973C-36D2-D32D8F410689}"/>
            </a:ext>
          </a:extLst>
        </xdr:cNvPr>
        <xdr:cNvSpPr>
          <a:spLocks noChangeArrowheads="1"/>
        </xdr:cNvSpPr>
      </xdr:nvSpPr>
      <xdr:spPr bwMode="auto">
        <a:xfrm>
          <a:off x="0" y="0"/>
          <a:ext cx="9525000" cy="996696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User" id="{75C57DB4-9675-4943-BEF9-D89163440FCB}" userId="" providerI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MasterTable" displayName="TaskMasterTable" ref="A4:Y100" totalsRowShown="0" headerRowDxfId="183" dataDxfId="182">
  <autoFilter ref="A4:Y100" xr:uid="{00000000-0009-0000-0100-000001000000}"/>
  <tableColumns count="25">
    <tableColumn id="1" xr3:uid="{00000000-0010-0000-0000-000001000000}" name="Request Number" dataDxfId="181"/>
    <tableColumn id="2" xr3:uid="{00000000-0010-0000-0000-000002000000}" name="Task Type" dataDxfId="180"/>
    <tableColumn id="3" xr3:uid="{00000000-0010-0000-0000-000003000000}" name="CSSP Status" dataDxfId="179"/>
    <tableColumn id="4" xr3:uid="{00000000-0010-0000-0000-000004000000}" name="Snapshot Date" dataDxfId="178"/>
    <tableColumn id="5" xr3:uid="{00000000-0010-0000-0000-000005000000}" name="Date Created" dataDxfId="177"/>
    <tableColumn id="6" xr3:uid="{00000000-0010-0000-0000-000006000000}" name="Date Updated" dataDxfId="176"/>
    <tableColumn id="7" xr3:uid="{00000000-0010-0000-0000-000007000000}" name="Application Name" dataDxfId="175"/>
    <tableColumn id="8" xr3:uid="{00000000-0010-0000-0000-000008000000}" name="Project Name" dataDxfId="174"/>
    <tableColumn id="9" xr3:uid="{00000000-0010-0000-0000-000009000000}" name="Request Size" dataDxfId="173"/>
    <tableColumn id="10" xr3:uid="{00000000-0010-0000-0000-00000A000000}" name="Snapshot PIC (gate_4_id)" dataDxfId="172"/>
    <tableColumn id="11" xr3:uid="{00000000-0010-0000-0000-00000B000000}" name="Current Operational PIC" dataDxfId="171"/>
    <tableColumn id="12" xr3:uid="{00000000-0010-0000-0000-00000C000000}" name="Assignment Mode" dataDxfId="170"/>
    <tableColumn id="13" xr3:uid="{00000000-0010-0000-0000-00000D000000}" name="Workload Points" dataDxfId="169"/>
    <tableColumn id="14" xr3:uid="{00000000-0010-0000-0000-00000E000000}" name="Manager Scope Decision" dataDxfId="168"/>
    <tableColumn id="15" xr3:uid="{00000000-0010-0000-0000-00000F000000}" name="Final Disposition" dataDxfId="167"/>
    <tableColumn id="16" xr3:uid="{00000000-0010-0000-0000-000010000000}" name="Effective Workload" dataDxfId="166"/>
    <tableColumn id="17" xr3:uid="{00000000-0010-0000-0000-000011000000}" name="Latest Update" dataDxfId="165"/>
    <tableColumn id="18" xr3:uid="{00000000-0010-0000-0000-000012000000}" name="Latest Engineer State" dataDxfId="164"/>
    <tableColumn id="19" xr3:uid="{00000000-0010-0000-0000-000013000000}" name="Latest Workflow Stage" dataDxfId="163"/>
    <tableColumn id="20" xr3:uid="{00000000-0010-0000-0000-000014000000}" name="Latest Progress" dataDxfId="162"/>
    <tableColumn id="21" xr3:uid="{00000000-0010-0000-0000-000015000000}" name="Next Action" dataDxfId="161"/>
    <tableColumn id="22" xr3:uid="{00000000-0010-0000-0000-000016000000}" name="Blocker" dataDxfId="160"/>
    <tableColumn id="23" xr3:uid="{00000000-0010-0000-0000-000017000000}" name="ETA" dataDxfId="159"/>
    <tableColumn id="24" xr3:uid="{00000000-0010-0000-0000-000018000000}" name="Exception" dataDxfId="158"/>
    <tableColumn id="25" xr3:uid="{00000000-0010-0000-0000-000019000000}" name="Source File" dataDxfId="15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DailyTargetsTable" displayName="DailyTargetsTable" ref="A4:P204" totalsRowShown="0" headerRowDxfId="156" dataDxfId="155">
  <autoFilter ref="A4:P204" xr:uid="{00000000-0009-0000-0100-000004000000}"/>
  <tableColumns count="16">
    <tableColumn id="1" xr3:uid="{00000000-0010-0000-0100-000001000000}" name="Target Date" dataDxfId="154"/>
    <tableColumn id="2" xr3:uid="{00000000-0010-0000-0100-000002000000}" name="Request Number" dataDxfId="153"/>
    <tableColumn id="3" xr3:uid="{00000000-0010-0000-0100-000003000000}" name="Snapshot Status" dataDxfId="152"/>
    <tableColumn id="4" xr3:uid="{00000000-0010-0000-0100-000004000000}" name="Snapshot PIC" dataDxfId="151"/>
    <tableColumn id="5" xr3:uid="{00000000-0010-0000-0100-000005000000}" name="Planned PIC" dataDxfId="150"/>
    <tableColumn id="6" xr3:uid="{00000000-0010-0000-0100-000006000000}" name="Dispositioned Today" dataDxfId="149"/>
    <tableColumn id="7" xr3:uid="{00000000-0010-0000-0100-000007000000}" name="Previous PIC" dataDxfId="148"/>
    <tableColumn id="8" xr3:uid="{00000000-0010-0000-0100-000008000000}" name="Target Outcome" dataDxfId="147"/>
    <tableColumn id="9" xr3:uid="{00000000-0010-0000-0100-000009000000}" name="Set By" dataDxfId="146"/>
    <tableColumn id="10" xr3:uid="{00000000-0010-0000-0100-00000A000000}" name="Set At" dataDxfId="145"/>
    <tableColumn id="11" xr3:uid="{00000000-0010-0000-0100-00000B000000}" name="Engineer Result" dataDxfId="144"/>
    <tableColumn id="12" xr3:uid="{00000000-0010-0000-0100-00000C000000}" name="Result Time" dataDxfId="143"/>
    <tableColumn id="13" xr3:uid="{00000000-0010-0000-0100-00000D000000}" name="Completion Evidence" dataDxfId="142"/>
    <tableColumn id="14" xr3:uid="{00000000-0010-0000-0100-00000E000000}" name="Carryover Reason" dataDxfId="141"/>
    <tableColumn id="15" xr3:uid="{00000000-0010-0000-0100-00000F000000}" name="Target Achieved" dataDxfId="140"/>
    <tableColumn id="16" xr3:uid="{00000000-0010-0000-0100-000010000000}" name="Notes" dataDxfId="139"/>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EngineerUpdatesTable" displayName="EngineerUpdatesTable" ref="A4:N304" totalsRowShown="0" headerRowDxfId="199" dataDxfId="198">
  <autoFilter ref="A4:N304" xr:uid="{00000000-0009-0000-0100-000002000000}"/>
  <tableColumns count="14">
    <tableColumn id="1" xr3:uid="{00000000-0010-0000-0200-000001000000}" name="Update Timestamp" dataDxfId="197"/>
    <tableColumn id="2" xr3:uid="{00000000-0010-0000-0200-000002000000}" name="Request Number" dataDxfId="196"/>
    <tableColumn id="3" xr3:uid="{00000000-0010-0000-0200-000003000000}" name="Operational PIC" dataDxfId="195"/>
    <tableColumn id="4" xr3:uid="{00000000-0010-0000-0200-000004000000}" name="Workflow Stage" dataDxfId="194"/>
    <tableColumn id="5" xr3:uid="{00000000-0010-0000-0200-000005000000}" name="Engineer Update State" dataDxfId="193"/>
    <tableColumn id="6" xr3:uid="{00000000-0010-0000-0200-000006000000}" name="Progress Update" dataDxfId="192"/>
    <tableColumn id="7" xr3:uid="{00000000-0010-0000-0200-000007000000}" name="Next Action" dataDxfId="191"/>
    <tableColumn id="8" xr3:uid="{00000000-0010-0000-0200-000008000000}" name="Blocker" dataDxfId="190"/>
    <tableColumn id="9" xr3:uid="{00000000-0010-0000-0200-000009000000}" name="ETA" dataDxfId="189"/>
    <tableColumn id="10" xr3:uid="{00000000-0010-0000-0200-00000A000000}" name="Scope Assessment" dataDxfId="188"/>
    <tableColumn id="11" xr3:uid="{00000000-0010-0000-0200-00000B000000}" name="OOS Type" dataDxfId="187"/>
    <tableColumn id="12" xr3:uid="{00000000-0010-0000-0200-00000C000000}" name="Evidence / Link" dataDxfId="186"/>
    <tableColumn id="13" xr3:uid="{00000000-0010-0000-0200-00000D000000}" name="Updated By" dataDxfId="185"/>
    <tableColumn id="14" xr3:uid="{00000000-0010-0000-0200-00000E000000}" name="Is Latest" dataDxfId="184"/>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AssignmentHistoryTable" displayName="AssignmentHistoryTable" ref="A4:I204" totalsRowShown="0" headerRowDxfId="138" dataDxfId="137">
  <autoFilter ref="A4:I204" xr:uid="{00000000-0009-0000-0100-000003000000}"/>
  <tableColumns count="9">
    <tableColumn id="1" xr3:uid="{00000000-0010-0000-0300-000001000000}" name="Effective Time" dataDxfId="136"/>
    <tableColumn id="2" xr3:uid="{00000000-0010-0000-0300-000002000000}" name="Request Number" dataDxfId="135"/>
    <tableColumn id="3" xr3:uid="{00000000-0010-0000-0300-000003000000}" name="From PIC" dataDxfId="134"/>
    <tableColumn id="4" xr3:uid="{00000000-0010-0000-0300-000004000000}" name="To PIC" dataDxfId="133"/>
    <tableColumn id="5" xr3:uid="{00000000-0010-0000-0300-000005000000}" name="Reason" dataDxfId="132"/>
    <tableColumn id="6" xr3:uid="{00000000-0010-0000-0300-000006000000}" name="Assigned By" dataDxfId="131"/>
    <tableColumn id="7" xr3:uid="{00000000-0010-0000-0300-000007000000}" name="Acknowledged By" dataDxfId="130"/>
    <tableColumn id="8" xr3:uid="{00000000-0010-0000-0300-000008000000}" name="Acknowledged At" dataDxfId="129"/>
    <tableColumn id="9" xr3:uid="{00000000-0010-0000-0300-000009000000}" name="Notes" dataDxfId="128"/>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copeReviewTable" displayName="ScopeReviewTable" ref="A4:L204" totalsRowShown="0" headerRowDxfId="127" dataDxfId="126">
  <autoFilter ref="A4:L204" xr:uid="{00000000-0009-0000-0100-000005000000}"/>
  <tableColumns count="12">
    <tableColumn id="1" xr3:uid="{00000000-0010-0000-0400-000001000000}" name="Submitted At" dataDxfId="125"/>
    <tableColumn id="2" xr3:uid="{00000000-0010-0000-0400-000002000000}" name="Request Number" dataDxfId="124"/>
    <tableColumn id="3" xr3:uid="{00000000-0010-0000-0400-000003000000}" name="Submitted By" dataDxfId="123"/>
    <tableColumn id="4" xr3:uid="{00000000-0010-0000-0400-000004000000}" name="OOS Type" dataDxfId="122"/>
    <tableColumn id="5" xr3:uid="{00000000-0010-0000-0400-000005000000}" name="Engineer Justification" dataDxfId="121"/>
    <tableColumn id="6" xr3:uid="{00000000-0010-0000-0400-000006000000}" name="Evidence / Link" dataDxfId="120"/>
    <tableColumn id="7" xr3:uid="{00000000-0010-0000-0400-000007000000}" name="Manager Decision" dataDxfId="119"/>
    <tableColumn id="8" xr3:uid="{00000000-0010-0000-0400-000008000000}" name="Final Disposition" dataDxfId="118"/>
    <tableColumn id="9" xr3:uid="{00000000-0010-0000-0400-000009000000}" name="Decision By" dataDxfId="117"/>
    <tableColumn id="10" xr3:uid="{00000000-0010-0000-0400-00000A000000}" name="Decision At" dataDxfId="116"/>
    <tableColumn id="11" xr3:uid="{00000000-0010-0000-0400-00000B000000}" name="CSSP Mismatch" dataDxfId="115"/>
    <tableColumn id="12" xr3:uid="{00000000-0010-0000-0400-00000C000000}" name="Notes" dataDxfId="114"/>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ngineerCapacityTable" displayName="EngineerCapacityTable" ref="A4:O15" totalsRowShown="0" headerRowDxfId="113" dataDxfId="112">
  <autoFilter ref="A4:O15" xr:uid="{00000000-0009-0000-0100-000006000000}"/>
  <tableColumns count="15">
    <tableColumn id="1" xr3:uid="{00000000-0010-0000-0500-000001000000}" name="Engineer" dataDxfId="111"/>
    <tableColumn id="2" xr3:uid="{00000000-0010-0000-0500-000002000000}" name="Display Name" dataDxfId="110"/>
    <tableColumn id="3" xr3:uid="{00000000-0010-0000-0500-000003000000}" name="Skills" dataDxfId="109"/>
    <tableColumn id="4" xr3:uid="{00000000-0010-0000-0500-000004000000}" name="Availability" dataDxfId="108"/>
    <tableColumn id="5" xr3:uid="{00000000-0010-0000-0500-000005000000}" name="Base Capacity Points" dataDxfId="107"/>
    <tableColumn id="6" xr3:uid="{00000000-0010-0000-0500-000006000000}" name="Effective Capacity" dataDxfId="106"/>
    <tableColumn id="7" xr3:uid="{00000000-0010-0000-0500-000007000000}" name="Executing Tasks" dataDxfId="105"/>
    <tableColumn id="8" xr3:uid="{00000000-0010-0000-0500-000008000000}" name="Current Workload Points" dataDxfId="104"/>
    <tableColumn id="9" xr3:uid="{00000000-0010-0000-0500-000009000000}" name="Current Utilization" dataDxfId="103"/>
    <tableColumn id="10" xr3:uid="{00000000-0010-0000-0500-00000A000000}" name="Processing Points Assigned" dataDxfId="102"/>
    <tableColumn id="11" xr3:uid="{00000000-0010-0000-0500-00000B000000}" name="Projected Load" dataDxfId="101"/>
    <tableColumn id="12" xr3:uid="{00000000-0010-0000-0500-00000C000000}" name="Projected Utilization" dataDxfId="100"/>
    <tableColumn id="13" xr3:uid="{00000000-0010-0000-0500-00000D000000}" name="Today's Targets" dataDxfId="99"/>
    <tableColumn id="14" xr3:uid="{00000000-0010-0000-0500-00000E000000}" name="Targets Achieved" dataDxfId="98"/>
    <tableColumn id="15" xr3:uid="{00000000-0010-0000-0500-00000F000000}" name="Capacity Flag" dataDxfId="9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awDecommissioningTable" displayName="RawDecommissioningTable" ref="A1:AO369" totalsRowShown="0" headerRowDxfId="96" dataDxfId="95">
  <autoFilter ref="A1:AO369" xr:uid="{00000000-0009-0000-0100-000007000000}">
    <filterColumn colId="4">
      <filters>
        <filter val="executing"/>
      </filters>
    </filterColumn>
    <filterColumn colId="32">
      <filters>
        <filter val="abhishek.bhowate@petronas.com"/>
        <filter val="IMS - CLOUD CSSP EXECUTOR"/>
        <filter val="K.saktivelu@petronas.com"/>
        <filter val="nilesh.sankpal@petronas.com"/>
        <filter val="sairam.villa@petronas.com"/>
        <filter val="venkatesh.kalikivayi@petronas.com"/>
      </filters>
    </filterColumn>
  </autoFilter>
  <tableColumns count="41">
    <tableColumn id="1" xr3:uid="{00000000-0010-0000-0600-000001000000}" name="id" dataDxfId="94"/>
    <tableColumn id="2" xr3:uid="{00000000-0010-0000-0600-000002000000}" name="request_number" dataDxfId="93"/>
    <tableColumn id="3" xr3:uid="{00000000-0010-0000-0600-000003000000}" name="requestor_id" dataDxfId="92"/>
    <tableColumn id="4" xr3:uid="{00000000-0010-0000-0600-000004000000}" name="request_type" dataDxfId="91"/>
    <tableColumn id="5" xr3:uid="{00000000-0010-0000-0600-000005000000}" name="request_status" dataDxfId="90"/>
    <tableColumn id="6" xr3:uid="{00000000-0010-0000-0600-000006000000}" name="date_created" dataDxfId="89"/>
    <tableColumn id="7" xr3:uid="{00000000-0010-0000-0600-000007000000}" name="date_updated" dataDxfId="88"/>
    <tableColumn id="8" xr3:uid="{00000000-0010-0000-0600-000008000000}" name="date_submitted" dataDxfId="87"/>
    <tableColumn id="9" xr3:uid="{00000000-0010-0000-0600-000009000000}" name="application_name" dataDxfId="86"/>
    <tableColumn id="10" xr3:uid="{00000000-0010-0000-0600-00000A000000}" name="project_name" dataDxfId="85"/>
    <tableColumn id="11" xr3:uid="{00000000-0010-0000-0600-00000B000000}" name="decommission_type" dataDxfId="84"/>
    <tableColumn id="12" xr3:uid="{00000000-0010-0000-0600-00000C000000}" name="powerapps_id" dataDxfId="83"/>
    <tableColumn id="13" xr3:uid="{00000000-0010-0000-0600-00000D000000}" name="manager_email" dataDxfId="82"/>
    <tableColumn id="14" xr3:uid="{00000000-0010-0000-0600-00000E000000}" name="dns_records" dataDxfId="81"/>
    <tableColumn id="15" xr3:uid="{00000000-0010-0000-0600-00000F000000}" name="app_centre_ref" dataDxfId="80"/>
    <tableColumn id="16" xr3:uid="{00000000-0010-0000-0600-000010000000}" name="justification" dataDxfId="79"/>
    <tableColumn id="17" xr3:uid="{00000000-0010-0000-0600-000011000000}" name="backup" dataDxfId="78"/>
    <tableColumn id="18" xr3:uid="{00000000-0010-0000-0600-000012000000}" name="reason" dataDxfId="77"/>
    <tableColumn id="19" xr3:uid="{00000000-0010-0000-0600-000013000000}" name="origin" dataDxfId="76"/>
    <tableColumn id="20" xr3:uid="{00000000-0010-0000-0600-000014000000}" name="gate_1_status" dataDxfId="75"/>
    <tableColumn id="21" xr3:uid="{00000000-0010-0000-0600-000015000000}" name="gate_1_id" dataDxfId="74"/>
    <tableColumn id="22" xr3:uid="{00000000-0010-0000-0600-000016000000}" name="gate_1_date" dataDxfId="73"/>
    <tableColumn id="23" xr3:uid="{00000000-0010-0000-0600-000017000000}" name="gate_1_comments" dataDxfId="72"/>
    <tableColumn id="24" xr3:uid="{00000000-0010-0000-0600-000018000000}" name="gate_2_status" dataDxfId="71"/>
    <tableColumn id="25" xr3:uid="{00000000-0010-0000-0600-000019000000}" name="gate_2_id" dataDxfId="70"/>
    <tableColumn id="26" xr3:uid="{00000000-0010-0000-0600-00001A000000}" name="gate_2_date" dataDxfId="69"/>
    <tableColumn id="27" xr3:uid="{00000000-0010-0000-0600-00001B000000}" name="gate_2_comments" dataDxfId="68"/>
    <tableColumn id="28" xr3:uid="{00000000-0010-0000-0600-00001C000000}" name="gate_3_status" dataDxfId="67"/>
    <tableColumn id="29" xr3:uid="{00000000-0010-0000-0600-00001D000000}" name="gate_3_id" dataDxfId="66"/>
    <tableColumn id="30" xr3:uid="{00000000-0010-0000-0600-00001E000000}" name="gate_3_date" dataDxfId="65"/>
    <tableColumn id="31" xr3:uid="{00000000-0010-0000-0600-00001F000000}" name="gate_3_comments" dataDxfId="64"/>
    <tableColumn id="32" xr3:uid="{00000000-0010-0000-0600-000020000000}" name="gate_4_status" dataDxfId="63"/>
    <tableColumn id="33" xr3:uid="{00000000-0010-0000-0600-000021000000}" name="gate_4_id" dataDxfId="62"/>
    <tableColumn id="34" xr3:uid="{00000000-0010-0000-0600-000022000000}" name="gate_4_date" dataDxfId="61"/>
    <tableColumn id="35" xr3:uid="{00000000-0010-0000-0600-000023000000}" name="gate_4_comments" dataDxfId="60"/>
    <tableColumn id="36" xr3:uid="{00000000-0010-0000-0600-000024000000}" name="application_id" dataDxfId="59"/>
    <tableColumn id="37" xr3:uid="{00000000-0010-0000-0600-000025000000}" name="project_code" dataDxfId="58"/>
    <tableColumn id="38" xr3:uid="{00000000-0010-0000-0600-000026000000}" name="request_size" dataDxfId="57"/>
    <tableColumn id="39" xr3:uid="{00000000-0010-0000-0600-000027000000}" name="sr_number" dataDxfId="56"/>
    <tableColumn id="40" xr3:uid="{00000000-0010-0000-0600-000028000000}" name="data_retention" dataDxfId="55"/>
    <tableColumn id="41" xr3:uid="{00000000-0010-0000-0600-000029000000}" name="data_retention_duration" dataDxfId="5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RawProvisioningTable" displayName="RawProvisioningTable" ref="A1:AL262" totalsRowShown="0" headerRowDxfId="53" dataDxfId="52">
  <autoFilter ref="A1:AL262" xr:uid="{00000000-0009-0000-0100-000008000000}"/>
  <tableColumns count="38">
    <tableColumn id="1" xr3:uid="{00000000-0010-0000-0700-000001000000}" name="id" dataDxfId="51"/>
    <tableColumn id="2" xr3:uid="{00000000-0010-0000-0700-000002000000}" name="request_number" dataDxfId="50"/>
    <tableColumn id="3" xr3:uid="{00000000-0010-0000-0700-000003000000}" name="requestor_id" dataDxfId="49"/>
    <tableColumn id="4" xr3:uid="{00000000-0010-0000-0700-000004000000}" name="request_type" dataDxfId="48"/>
    <tableColumn id="5" xr3:uid="{00000000-0010-0000-0700-000005000000}" name="request_status" dataDxfId="47"/>
    <tableColumn id="6" xr3:uid="{00000000-0010-0000-0700-000006000000}" name="date_created" dataDxfId="46"/>
    <tableColumn id="7" xr3:uid="{00000000-0010-0000-0700-000007000000}" name="date_submitted" dataDxfId="45"/>
    <tableColumn id="8" xr3:uid="{00000000-0010-0000-0700-000008000000}" name="date_updated" dataDxfId="44"/>
    <tableColumn id="9" xr3:uid="{00000000-0010-0000-0700-000009000000}" name="application_id" dataDxfId="43"/>
    <tableColumn id="10" xr3:uid="{00000000-0010-0000-0700-00000A000000}" name="application_name" dataDxfId="42"/>
    <tableColumn id="11" xr3:uid="{00000000-0010-0000-0700-00000B000000}" name="project_code" dataDxfId="41"/>
    <tableColumn id="12" xr3:uid="{00000000-0010-0000-0700-00000C000000}" name="project_name" dataDxfId="40"/>
    <tableColumn id="13" xr3:uid="{00000000-0010-0000-0700-00000D000000}" name="manager_email" dataDxfId="39"/>
    <tableColumn id="14" xr3:uid="{00000000-0010-0000-0700-00000E000000}" name="devops_project" dataDxfId="38"/>
    <tableColumn id="15" xr3:uid="{00000000-0010-0000-0700-00000F000000}" name="request_category" dataDxfId="37"/>
    <tableColumn id="16" xr3:uid="{00000000-0010-0000-0700-000010000000}" name="environment" dataDxfId="36"/>
    <tableColumn id="17" xr3:uid="{00000000-0010-0000-0700-000011000000}" name="remarks" dataDxfId="35"/>
    <tableColumn id="18" xr3:uid="{00000000-0010-0000-0700-000012000000}" name="request_size" dataDxfId="34"/>
    <tableColumn id="19" xr3:uid="{00000000-0010-0000-0700-000013000000}" name="rfc_number" dataDxfId="33"/>
    <tableColumn id="20" xr3:uid="{00000000-0010-0000-0700-000014000000}" name="origin" dataDxfId="32"/>
    <tableColumn id="21" xr3:uid="{00000000-0010-0000-0700-000015000000}" name="gate_1_comments" dataDxfId="31"/>
    <tableColumn id="22" xr3:uid="{00000000-0010-0000-0700-000016000000}" name="gate_1_date" dataDxfId="30"/>
    <tableColumn id="23" xr3:uid="{00000000-0010-0000-0700-000017000000}" name="gate_1_id" dataDxfId="29"/>
    <tableColumn id="24" xr3:uid="{00000000-0010-0000-0700-000018000000}" name="gate_1_status" dataDxfId="28"/>
    <tableColumn id="25" xr3:uid="{00000000-0010-0000-0700-000019000000}" name="gate_2_comments" dataDxfId="27"/>
    <tableColumn id="26" xr3:uid="{00000000-0010-0000-0700-00001A000000}" name="gate_2_date" dataDxfId="26"/>
    <tableColumn id="27" xr3:uid="{00000000-0010-0000-0700-00001B000000}" name="gate_2_id" dataDxfId="25"/>
    <tableColumn id="28" xr3:uid="{00000000-0010-0000-0700-00001C000000}" name="gate_2_status" dataDxfId="24"/>
    <tableColumn id="29" xr3:uid="{00000000-0010-0000-0700-00001D000000}" name="gate_3_comments" dataDxfId="23"/>
    <tableColumn id="30" xr3:uid="{00000000-0010-0000-0700-00001E000000}" name="gate_3_date" dataDxfId="22"/>
    <tableColumn id="31" xr3:uid="{00000000-0010-0000-0700-00001F000000}" name="gate_3_id" dataDxfId="21"/>
    <tableColumn id="32" xr3:uid="{00000000-0010-0000-0700-000020000000}" name="gate_3_status" dataDxfId="20"/>
    <tableColumn id="33" xr3:uid="{00000000-0010-0000-0700-000021000000}" name="gate_4_comments" dataDxfId="19"/>
    <tableColumn id="34" xr3:uid="{00000000-0010-0000-0700-000022000000}" name="gate_4_date" dataDxfId="18"/>
    <tableColumn id="35" xr3:uid="{00000000-0010-0000-0700-000023000000}" name="gate_4_id" dataDxfId="17"/>
    <tableColumn id="36" xr3:uid="{00000000-0010-0000-0700-000024000000}" name="gate_4_status" dataDxfId="16"/>
    <tableColumn id="37" xr3:uid="{00000000-0010-0000-0700-000025000000}" name="sr_number" dataDxfId="15"/>
    <tableColumn id="38" xr3:uid="{00000000-0010-0000-0700-000026000000}" name="project_id" dataDxfId="14"/>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4" dT="2026-08-18T01:43:44.62" personId="{75C57DB4-9675-4943-BEF9-D89163440FCB}" id="{407F8D56-2425-0AD4-BE06-02E67E10102A}">
    <text>Current Operational PIC uses the most recent Assignment History entry; otherwise it uses normalized gate_4_id.</text>
  </threadedComment>
  <threadedComment ref="P4" dT="2026-08-18T01:43:44.62" personId="{75C57DB4-9675-4943-BEF9-D89163440FCB}" id="{DC2E6EC9-8097-AE60-E777-6F4B5415291C}">
    <text>Effective Workload counts executing tasks not confirmed out-of-scope.</text>
  </threadedComment>
</ThreadedComments>
</file>

<file path=xl/threadedComments/threadedComment2.xml><?xml version="1.0" encoding="utf-8"?>
<ThreadedComments xmlns="http://schemas.microsoft.com/office/spreadsheetml/2018/threadedcomments" xmlns:x="http://schemas.openxmlformats.org/spreadsheetml/2006/main">
  <threadedComment ref="O4" dT="2026-08-18T01:43:44.63" personId="{75C57DB4-9675-4943-BEF9-D89163440FCB}" id="{E3C39D4D-36BB-4B83-7587-7A9908C3D641}">
    <text>Achieved when Engineer Result is Achieved or Out-of-Scope Confirmed.</text>
  </threadedComment>
</ThreadedComments>
</file>

<file path=xl/threadedComments/threadedComment3.xml><?xml version="1.0" encoding="utf-8"?>
<ThreadedComments xmlns="http://schemas.microsoft.com/office/spreadsheetml/2018/threadedcomments" xmlns:x="http://schemas.openxmlformats.org/spreadsheetml/2006/main">
  <threadedComment ref="N4" dT="2026-08-18T01:43:44.63" personId="{75C57DB4-9675-4943-BEF9-D89163440FCB}" id="{8E0BF05A-6CC5-FDC1-B961-2D57CA27A9AB}">
    <text>Is Latest is TRUE for the most recent timestamp for each request number.</text>
  </threadedComment>
</ThreadedComments>
</file>

<file path=xl/threadedComments/threadedComment4.xml><?xml version="1.0" encoding="utf-8"?>
<ThreadedComments xmlns="http://schemas.microsoft.com/office/spreadsheetml/2018/threadedcomments" xmlns:x="http://schemas.openxmlformats.org/spreadsheetml/2006/main">
  <threadedComment ref="S5" dT="2026-08-18T01:43:44.63" personId="{75C57DB4-9675-4943-BEF9-D89163440FCB}" id="{022B97D8-A1B6-2362-10B6-665CB86FB4DC}">
    <text>Editable default capacity assumption; tune after the pilot.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2.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3.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drawing" Target="../drawings/drawing4.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showGridLines="0" workbookViewId="0">
      <selection activeCell="B20" sqref="B20"/>
    </sheetView>
  </sheetViews>
  <sheetFormatPr defaultColWidth="9" defaultRowHeight="14.4"/>
  <cols>
    <col min="1" max="1" width="20" style="29" customWidth="1"/>
    <col min="2" max="2" width="40" style="29" customWidth="1"/>
    <col min="3" max="3" width="60" style="29" customWidth="1"/>
    <col min="4" max="4" width="3" style="29" customWidth="1"/>
    <col min="5" max="5" width="16" style="29" customWidth="1"/>
    <col min="6" max="6" width="32" style="29" customWidth="1"/>
    <col min="7" max="7" width="60" style="29" customWidth="1"/>
    <col min="8" max="8" width="3" style="29" customWidth="1"/>
    <col min="9" max="10" width="20" style="29" customWidth="1"/>
    <col min="11" max="16384" width="9" style="29"/>
  </cols>
  <sheetData>
    <row r="1" spans="1:10" ht="30" customHeight="1">
      <c r="A1" s="56" t="s">
        <v>0</v>
      </c>
      <c r="B1" s="56"/>
      <c r="C1" s="56"/>
      <c r="D1" s="56"/>
      <c r="E1" s="56"/>
      <c r="F1" s="56"/>
      <c r="G1" s="56"/>
      <c r="H1" s="56"/>
      <c r="I1" s="56"/>
      <c r="J1" s="56"/>
    </row>
    <row r="2" spans="1:10" ht="24" customHeight="1">
      <c r="A2" s="57" t="s">
        <v>1</v>
      </c>
      <c r="B2" s="57"/>
      <c r="C2" s="57"/>
      <c r="D2" s="57"/>
      <c r="E2" s="57"/>
      <c r="F2" s="57"/>
      <c r="G2" s="57"/>
      <c r="H2" s="57"/>
      <c r="I2" s="57"/>
      <c r="J2" s="57"/>
    </row>
    <row r="4" spans="1:10" ht="15.6">
      <c r="A4" s="53" t="s">
        <v>2</v>
      </c>
      <c r="B4" s="53"/>
      <c r="C4" s="53"/>
      <c r="D4" s="53"/>
      <c r="E4" s="53"/>
      <c r="F4" s="53"/>
      <c r="G4" s="53"/>
      <c r="H4" s="53"/>
      <c r="I4" s="53"/>
      <c r="J4" s="53"/>
    </row>
    <row r="5" spans="1:10">
      <c r="A5" s="58" t="s">
        <v>3</v>
      </c>
      <c r="B5" s="58"/>
      <c r="C5" s="58"/>
      <c r="D5" s="58"/>
      <c r="E5" s="58"/>
      <c r="F5" s="58"/>
      <c r="G5" s="58"/>
      <c r="H5" s="58"/>
      <c r="I5" s="58"/>
      <c r="J5" s="58"/>
    </row>
    <row r="6" spans="1:10">
      <c r="A6" s="58"/>
      <c r="B6" s="58"/>
      <c r="C6" s="58"/>
      <c r="D6" s="58"/>
      <c r="E6" s="58"/>
      <c r="F6" s="58"/>
      <c r="G6" s="58"/>
      <c r="H6" s="58"/>
      <c r="I6" s="58"/>
      <c r="J6" s="58"/>
    </row>
    <row r="8" spans="1:10" ht="15.6">
      <c r="A8" s="59" t="s">
        <v>4</v>
      </c>
      <c r="B8" s="59"/>
      <c r="C8" s="59"/>
      <c r="E8" s="59" t="s">
        <v>5</v>
      </c>
      <c r="F8" s="59"/>
      <c r="G8" s="59"/>
    </row>
    <row r="9" spans="1:10" ht="32.1" customHeight="1">
      <c r="A9" s="47" t="s">
        <v>6</v>
      </c>
      <c r="B9" s="48" t="s">
        <v>7</v>
      </c>
      <c r="C9" s="49" t="s">
        <v>8</v>
      </c>
      <c r="E9" s="47" t="s">
        <v>6</v>
      </c>
      <c r="F9" s="48" t="s">
        <v>7</v>
      </c>
      <c r="G9" s="49" t="s">
        <v>8</v>
      </c>
    </row>
    <row r="10" spans="1:10">
      <c r="A10" s="29">
        <v>1</v>
      </c>
      <c r="B10" s="29" t="s">
        <v>9</v>
      </c>
      <c r="C10" s="29" t="s">
        <v>10</v>
      </c>
      <c r="E10" s="29">
        <v>1</v>
      </c>
      <c r="F10" s="29" t="s">
        <v>11</v>
      </c>
      <c r="G10" s="29" t="s">
        <v>12</v>
      </c>
    </row>
    <row r="11" spans="1:10">
      <c r="A11" s="29">
        <v>2</v>
      </c>
      <c r="B11" s="29" t="s">
        <v>13</v>
      </c>
      <c r="C11" s="29" t="s">
        <v>14</v>
      </c>
      <c r="E11" s="29">
        <v>2</v>
      </c>
      <c r="F11" s="29" t="s">
        <v>15</v>
      </c>
      <c r="G11" s="29" t="s">
        <v>16</v>
      </c>
    </row>
    <row r="12" spans="1:10">
      <c r="A12" s="29">
        <v>3</v>
      </c>
      <c r="B12" s="29" t="s">
        <v>17</v>
      </c>
      <c r="C12" s="29" t="s">
        <v>18</v>
      </c>
      <c r="E12" s="29">
        <v>3</v>
      </c>
      <c r="F12" s="29" t="s">
        <v>19</v>
      </c>
      <c r="G12" s="29" t="s">
        <v>20</v>
      </c>
    </row>
    <row r="13" spans="1:10">
      <c r="A13" s="29">
        <v>4</v>
      </c>
      <c r="B13" s="29" t="s">
        <v>21</v>
      </c>
      <c r="C13" s="29" t="s">
        <v>22</v>
      </c>
      <c r="E13" s="29">
        <v>4</v>
      </c>
      <c r="F13" s="29" t="s">
        <v>23</v>
      </c>
      <c r="G13" s="29" t="s">
        <v>24</v>
      </c>
    </row>
    <row r="14" spans="1:10">
      <c r="A14" s="29">
        <v>5</v>
      </c>
      <c r="B14" s="29" t="s">
        <v>25</v>
      </c>
      <c r="C14" s="29" t="s">
        <v>26</v>
      </c>
      <c r="E14" s="29">
        <v>5</v>
      </c>
      <c r="F14" s="29" t="s">
        <v>27</v>
      </c>
      <c r="G14" s="29" t="s">
        <v>28</v>
      </c>
    </row>
    <row r="15" spans="1:10">
      <c r="A15" s="29">
        <v>6</v>
      </c>
      <c r="B15" s="29" t="s">
        <v>29</v>
      </c>
      <c r="C15" s="29" t="s">
        <v>30</v>
      </c>
    </row>
    <row r="18" spans="1:10" ht="15.6">
      <c r="A18" s="53" t="s">
        <v>31</v>
      </c>
      <c r="B18" s="53"/>
      <c r="C18" s="53"/>
      <c r="D18" s="53"/>
      <c r="E18" s="53"/>
      <c r="F18" s="53"/>
      <c r="G18" s="53"/>
      <c r="H18" s="53"/>
      <c r="I18" s="53"/>
      <c r="J18" s="53"/>
    </row>
    <row r="19" spans="1:10">
      <c r="A19" s="50" t="s">
        <v>32</v>
      </c>
      <c r="B19" s="29" t="s">
        <v>33</v>
      </c>
    </row>
    <row r="20" spans="1:10">
      <c r="A20" s="50" t="s">
        <v>34</v>
      </c>
      <c r="B20" s="29" t="s">
        <v>35</v>
      </c>
    </row>
    <row r="21" spans="1:10" ht="28.8">
      <c r="A21" s="50" t="s">
        <v>36</v>
      </c>
      <c r="B21" s="29" t="s">
        <v>37</v>
      </c>
    </row>
    <row r="22" spans="1:10">
      <c r="A22" s="50" t="s">
        <v>38</v>
      </c>
      <c r="B22" s="29" t="s">
        <v>39</v>
      </c>
    </row>
    <row r="23" spans="1:10" ht="28.8">
      <c r="A23" s="50" t="s">
        <v>40</v>
      </c>
      <c r="B23" s="29" t="s">
        <v>41</v>
      </c>
    </row>
    <row r="24" spans="1:10" ht="28.8">
      <c r="A24" s="50" t="s">
        <v>42</v>
      </c>
      <c r="B24" s="29" t="s">
        <v>43</v>
      </c>
    </row>
    <row r="25" spans="1:10" ht="28.8">
      <c r="A25" s="50" t="s">
        <v>44</v>
      </c>
      <c r="B25" s="29" t="s">
        <v>45</v>
      </c>
    </row>
    <row r="28" spans="1:10" ht="15.6">
      <c r="A28" s="54" t="s">
        <v>46</v>
      </c>
      <c r="B28" s="54"/>
      <c r="C28" s="54"/>
      <c r="D28" s="54"/>
      <c r="E28" s="54"/>
      <c r="F28" s="54"/>
      <c r="G28" s="54"/>
      <c r="H28" s="54"/>
      <c r="I28" s="54"/>
      <c r="J28" s="54"/>
    </row>
    <row r="29" spans="1:10">
      <c r="A29" s="55" t="s">
        <v>47</v>
      </c>
      <c r="B29" s="55"/>
      <c r="C29" s="55"/>
      <c r="D29" s="55"/>
      <c r="E29" s="55"/>
      <c r="F29" s="55"/>
      <c r="G29" s="55"/>
      <c r="H29" s="55"/>
      <c r="I29" s="55"/>
      <c r="J29" s="55"/>
    </row>
    <row r="30" spans="1:10">
      <c r="A30" s="55"/>
      <c r="B30" s="55"/>
      <c r="C30" s="55"/>
      <c r="D30" s="55"/>
      <c r="E30" s="55"/>
      <c r="F30" s="55"/>
      <c r="G30" s="55"/>
      <c r="H30" s="55"/>
      <c r="I30" s="55"/>
      <c r="J30" s="55"/>
    </row>
    <row r="31" spans="1:10">
      <c r="A31" s="55"/>
      <c r="B31" s="55"/>
      <c r="C31" s="55"/>
      <c r="D31" s="55"/>
      <c r="E31" s="55"/>
      <c r="F31" s="55"/>
      <c r="G31" s="55"/>
      <c r="H31" s="55"/>
      <c r="I31" s="55"/>
      <c r="J31" s="55"/>
    </row>
  </sheetData>
  <mergeCells count="9">
    <mergeCell ref="A18:J18"/>
    <mergeCell ref="A28:J28"/>
    <mergeCell ref="A29:J31"/>
    <mergeCell ref="A1:J1"/>
    <mergeCell ref="A2:J2"/>
    <mergeCell ref="A4:J4"/>
    <mergeCell ref="A5:J6"/>
    <mergeCell ref="A8:C8"/>
    <mergeCell ref="E8:G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2"/>
  <sheetViews>
    <sheetView showGridLines="0" topLeftCell="A17" workbookViewId="0">
      <selection activeCell="C23" sqref="C23"/>
    </sheetView>
  </sheetViews>
  <sheetFormatPr defaultColWidth="9" defaultRowHeight="14.4"/>
  <cols>
    <col min="1" max="1" width="22" style="1" customWidth="1"/>
    <col min="2" max="2" width="16" style="1" customWidth="1"/>
    <col min="3" max="3" width="20" style="1" customWidth="1"/>
    <col min="4" max="4" width="3" style="1" customWidth="1"/>
    <col min="5" max="5" width="22" style="1" customWidth="1"/>
    <col min="6" max="6" width="16" style="1" customWidth="1"/>
    <col min="7" max="7" width="30" style="1" customWidth="1"/>
    <col min="8" max="8" width="3" style="1" customWidth="1"/>
    <col min="9" max="9" width="20" style="1" customWidth="1"/>
    <col min="10" max="10" width="16" style="1" customWidth="1"/>
    <col min="11" max="11" width="20" style="1" customWidth="1"/>
    <col min="12" max="12" width="3" style="1" customWidth="1"/>
    <col min="13" max="13" width="22" style="1" customWidth="1"/>
    <col min="14" max="14" width="16" style="1" customWidth="1"/>
    <col min="15" max="15" width="18" style="1" customWidth="1"/>
    <col min="16" max="16384" width="9" style="1"/>
  </cols>
  <sheetData>
    <row r="1" spans="1:15" ht="30" customHeight="1">
      <c r="A1" s="51" t="s">
        <v>48</v>
      </c>
      <c r="B1" s="51"/>
      <c r="C1" s="51"/>
      <c r="D1" s="51"/>
      <c r="E1" s="51"/>
      <c r="F1" s="51"/>
      <c r="G1" s="51"/>
      <c r="H1" s="51"/>
      <c r="I1" s="51"/>
      <c r="J1" s="51"/>
      <c r="K1" s="51"/>
      <c r="L1" s="51"/>
      <c r="M1" s="51"/>
      <c r="N1" s="51"/>
      <c r="O1" s="51"/>
    </row>
    <row r="2" spans="1:15" ht="24" customHeight="1">
      <c r="A2" s="52" t="s">
        <v>49</v>
      </c>
      <c r="B2" s="52"/>
      <c r="C2" s="52"/>
      <c r="D2" s="52"/>
      <c r="E2" s="52"/>
      <c r="F2" s="52"/>
      <c r="G2" s="52"/>
      <c r="H2" s="52"/>
      <c r="I2" s="52"/>
      <c r="J2" s="52"/>
      <c r="K2" s="52"/>
      <c r="L2" s="52"/>
      <c r="M2" s="52"/>
      <c r="N2" s="52"/>
      <c r="O2" s="52"/>
    </row>
    <row r="4" spans="1:15">
      <c r="A4" s="6" t="s">
        <v>50</v>
      </c>
      <c r="B4" s="7">
        <v>46252</v>
      </c>
      <c r="D4" s="107" t="s">
        <v>51</v>
      </c>
      <c r="E4" s="107"/>
      <c r="F4" s="107"/>
      <c r="G4" s="107"/>
      <c r="H4" s="107"/>
      <c r="I4" s="107"/>
      <c r="J4" s="107"/>
      <c r="K4" s="107"/>
      <c r="L4" s="107"/>
      <c r="M4" s="107"/>
      <c r="N4" s="107"/>
      <c r="O4" s="107"/>
    </row>
    <row r="6" spans="1:15">
      <c r="A6" s="108" t="s">
        <v>52</v>
      </c>
      <c r="B6" s="109"/>
      <c r="C6" s="110"/>
      <c r="E6" s="83" t="s">
        <v>53</v>
      </c>
      <c r="F6" s="84"/>
      <c r="G6" s="85"/>
      <c r="I6" s="60" t="s">
        <v>54</v>
      </c>
      <c r="J6" s="61"/>
      <c r="K6" s="62"/>
      <c r="M6" s="95" t="s">
        <v>55</v>
      </c>
      <c r="N6" s="96"/>
      <c r="O6" s="97"/>
    </row>
    <row r="7" spans="1:15">
      <c r="A7" s="111">
        <f>COUNTIF('Task Master'!$A$5:$A$100,"&lt;&gt;")</f>
        <v>96</v>
      </c>
      <c r="B7" s="112"/>
      <c r="C7" s="113"/>
      <c r="E7" s="86">
        <f>COUNTIF('Task Master'!$C$5:$C$100,"executing")</f>
        <v>81</v>
      </c>
      <c r="F7" s="87"/>
      <c r="G7" s="88"/>
      <c r="I7" s="63">
        <f>COUNTIF('Task Master'!$C$5:$C$100,"processing")</f>
        <v>15</v>
      </c>
      <c r="J7" s="64"/>
      <c r="K7" s="65"/>
      <c r="M7" s="98">
        <f>COUNTIF('Task Master'!$X$5:$X$100,"Executing without named engineer")</f>
        <v>0</v>
      </c>
      <c r="N7" s="99"/>
      <c r="O7" s="100"/>
    </row>
    <row r="8" spans="1:15">
      <c r="A8" s="114"/>
      <c r="B8" s="67"/>
      <c r="C8" s="115"/>
      <c r="E8" s="89"/>
      <c r="F8" s="90"/>
      <c r="G8" s="91"/>
      <c r="I8" s="66"/>
      <c r="J8" s="67"/>
      <c r="K8" s="68"/>
      <c r="M8" s="101"/>
      <c r="N8" s="102"/>
      <c r="O8" s="103"/>
    </row>
    <row r="9" spans="1:15">
      <c r="A9" s="114"/>
      <c r="B9" s="67"/>
      <c r="C9" s="115"/>
      <c r="E9" s="89"/>
      <c r="F9" s="90"/>
      <c r="G9" s="91"/>
      <c r="I9" s="66"/>
      <c r="J9" s="67"/>
      <c r="K9" s="68"/>
      <c r="M9" s="101"/>
      <c r="N9" s="102"/>
      <c r="O9" s="103"/>
    </row>
    <row r="10" spans="1:15">
      <c r="A10" s="116"/>
      <c r="B10" s="117"/>
      <c r="C10" s="118"/>
      <c r="E10" s="92"/>
      <c r="F10" s="93"/>
      <c r="G10" s="94"/>
      <c r="I10" s="69"/>
      <c r="J10" s="70"/>
      <c r="K10" s="71"/>
      <c r="M10" s="104"/>
      <c r="N10" s="105"/>
      <c r="O10" s="106"/>
    </row>
    <row r="12" spans="1:15">
      <c r="A12" s="72" t="s">
        <v>56</v>
      </c>
      <c r="B12" s="73"/>
      <c r="C12" s="74"/>
      <c r="E12" s="83" t="s">
        <v>57</v>
      </c>
      <c r="F12" s="84"/>
      <c r="G12" s="85"/>
      <c r="I12" s="95" t="s">
        <v>58</v>
      </c>
      <c r="J12" s="96"/>
      <c r="K12" s="97"/>
      <c r="M12" s="60" t="s">
        <v>59</v>
      </c>
      <c r="N12" s="61"/>
      <c r="O12" s="62"/>
    </row>
    <row r="13" spans="1:15">
      <c r="A13" s="75">
        <f>COUNTIF('Daily Targets'!$A$5:$A$204,$B$4)</f>
        <v>5</v>
      </c>
      <c r="B13" s="76"/>
      <c r="C13" s="77"/>
      <c r="E13" s="86">
        <f>COUNTIFS('Daily Targets'!$A$5:$A$204,$B$4,'Daily Targets'!$O$5:$O$204,"Yes")</f>
        <v>0</v>
      </c>
      <c r="F13" s="87"/>
      <c r="G13" s="88"/>
      <c r="I13" s="98">
        <f>COUNTIFS('Daily Targets'!$A$5:$A$204,$B$4,'Daily Targets'!$K$5:$K$204,"Blocked")+COUNTIFS('Daily Targets'!$A$5:$A$204,$B$4,'Daily Targets'!$K$5:$K$204,"Missed")</f>
        <v>0</v>
      </c>
      <c r="J13" s="99"/>
      <c r="K13" s="100"/>
      <c r="M13" s="63">
        <f>COUNTIF('Task Master'!$N$5:$N$100,"Pending Review")</f>
        <v>0</v>
      </c>
      <c r="N13" s="64"/>
      <c r="O13" s="65"/>
    </row>
    <row r="14" spans="1:15">
      <c r="A14" s="78"/>
      <c r="B14" s="67"/>
      <c r="C14" s="79"/>
      <c r="E14" s="89"/>
      <c r="F14" s="90"/>
      <c r="G14" s="91"/>
      <c r="I14" s="101"/>
      <c r="J14" s="102"/>
      <c r="K14" s="103"/>
      <c r="M14" s="66"/>
      <c r="N14" s="67"/>
      <c r="O14" s="68"/>
    </row>
    <row r="15" spans="1:15">
      <c r="A15" s="78"/>
      <c r="B15" s="67"/>
      <c r="C15" s="79"/>
      <c r="E15" s="89"/>
      <c r="F15" s="90"/>
      <c r="G15" s="91"/>
      <c r="I15" s="101"/>
      <c r="J15" s="102"/>
      <c r="K15" s="103"/>
      <c r="M15" s="66"/>
      <c r="N15" s="67"/>
      <c r="O15" s="68"/>
    </row>
    <row r="16" spans="1:15">
      <c r="A16" s="80"/>
      <c r="B16" s="81"/>
      <c r="C16" s="82"/>
      <c r="E16" s="92"/>
      <c r="F16" s="93"/>
      <c r="G16" s="94"/>
      <c r="I16" s="104"/>
      <c r="J16" s="105"/>
      <c r="K16" s="106"/>
      <c r="M16" s="69"/>
      <c r="N16" s="70"/>
      <c r="O16" s="71"/>
    </row>
    <row r="18" spans="1:3" ht="32.1" customHeight="1">
      <c r="A18" s="2" t="s">
        <v>60</v>
      </c>
      <c r="B18" s="3" t="s">
        <v>61</v>
      </c>
      <c r="C18" s="4" t="s">
        <v>62</v>
      </c>
    </row>
    <row r="19" spans="1:3">
      <c r="A19" s="8" t="str">
        <f>'Engineer Capacity'!B5</f>
        <v>Abdul Khoir</v>
      </c>
      <c r="B19" s="9">
        <f>'Engineer Capacity'!K5</f>
        <v>26</v>
      </c>
      <c r="C19" s="10">
        <f>'Engineer Capacity'!F5</f>
        <v>12</v>
      </c>
    </row>
    <row r="20" spans="1:3">
      <c r="A20" s="11" t="str">
        <f>'Engineer Capacity'!B6</f>
        <v>Abhishek Bhowate</v>
      </c>
      <c r="B20" s="12">
        <f>'Engineer Capacity'!K6</f>
        <v>8</v>
      </c>
      <c r="C20" s="13">
        <f>'Engineer Capacity'!F6</f>
        <v>12</v>
      </c>
    </row>
    <row r="21" spans="1:3">
      <c r="A21" s="11" t="str">
        <f>'Engineer Capacity'!B7</f>
        <v>Amarja Kawade</v>
      </c>
      <c r="B21" s="12">
        <f>'Engineer Capacity'!K7</f>
        <v>42</v>
      </c>
      <c r="C21" s="13">
        <f>'Engineer Capacity'!F7</f>
        <v>12</v>
      </c>
    </row>
    <row r="22" spans="1:3">
      <c r="A22" s="11" t="str">
        <f>'Engineer Capacity'!B8</f>
        <v>Arun Karuppiah</v>
      </c>
      <c r="B22" s="12">
        <f>'Engineer Capacity'!K8</f>
        <v>12</v>
      </c>
      <c r="C22" s="13">
        <f>'Engineer Capacity'!F8</f>
        <v>12</v>
      </c>
    </row>
    <row r="23" spans="1:3">
      <c r="A23" s="11" t="str">
        <f>'Engineer Capacity'!B9</f>
        <v>K Saktivelu</v>
      </c>
      <c r="B23" s="12">
        <f>'Engineer Capacity'!K9</f>
        <v>6</v>
      </c>
      <c r="C23" s="13">
        <f>'Engineer Capacity'!F9</f>
        <v>12</v>
      </c>
    </row>
    <row r="24" spans="1:3">
      <c r="A24" s="11" t="str">
        <f>'Engineer Capacity'!B10</f>
        <v>Mardiansyah Rayasa</v>
      </c>
      <c r="B24" s="12">
        <f>'Engineer Capacity'!K10</f>
        <v>17</v>
      </c>
      <c r="C24" s="13">
        <f>'Engineer Capacity'!F10</f>
        <v>12</v>
      </c>
    </row>
    <row r="25" spans="1:3">
      <c r="A25" s="11" t="str">
        <f>'Engineer Capacity'!B11</f>
        <v>Nilesh Sankpal</v>
      </c>
      <c r="B25" s="12">
        <f>'Engineer Capacity'!K11</f>
        <v>0</v>
      </c>
      <c r="C25" s="13">
        <f>'Engineer Capacity'!F11</f>
        <v>12</v>
      </c>
    </row>
    <row r="26" spans="1:3">
      <c r="A26" s="11" t="str">
        <f>'Engineer Capacity'!B12</f>
        <v>Raditya Nugraha</v>
      </c>
      <c r="B26" s="12">
        <f>'Engineer Capacity'!K12</f>
        <v>12</v>
      </c>
      <c r="C26" s="13">
        <f>'Engineer Capacity'!F12</f>
        <v>12</v>
      </c>
    </row>
    <row r="27" spans="1:3">
      <c r="A27" s="11" t="str">
        <f>'Engineer Capacity'!B13</f>
        <v>Sairam Villa</v>
      </c>
      <c r="B27" s="12">
        <f>'Engineer Capacity'!K13</f>
        <v>0</v>
      </c>
      <c r="C27" s="13">
        <f>'Engineer Capacity'!F13</f>
        <v>12</v>
      </c>
    </row>
    <row r="28" spans="1:3">
      <c r="A28" s="11" t="str">
        <f>'Engineer Capacity'!B14</f>
        <v>Swaminadh Chirakala</v>
      </c>
      <c r="B28" s="12">
        <f>'Engineer Capacity'!K14</f>
        <v>37</v>
      </c>
      <c r="C28" s="13">
        <f>'Engineer Capacity'!F14</f>
        <v>12</v>
      </c>
    </row>
    <row r="29" spans="1:3">
      <c r="A29" s="14" t="str">
        <f>'Engineer Capacity'!B15</f>
        <v>Venkatesh Kalikivayi</v>
      </c>
      <c r="B29" s="15">
        <f>'Engineer Capacity'!K15</f>
        <v>8</v>
      </c>
      <c r="C29" s="16">
        <f>'Engineer Capacity'!F15</f>
        <v>12</v>
      </c>
    </row>
    <row r="38" spans="1:7" ht="32.1" customHeight="1">
      <c r="A38" s="17" t="s">
        <v>63</v>
      </c>
      <c r="B38" s="18" t="s">
        <v>64</v>
      </c>
      <c r="C38" s="19" t="s">
        <v>65</v>
      </c>
      <c r="E38" s="17" t="s">
        <v>66</v>
      </c>
      <c r="F38" s="18" t="s">
        <v>64</v>
      </c>
      <c r="G38" s="19" t="s">
        <v>7</v>
      </c>
    </row>
    <row r="39" spans="1:7">
      <c r="A39" s="20" t="s">
        <v>67</v>
      </c>
      <c r="B39" s="1">
        <f>COUNTIF('Task Master'!$C$5:$C$100,A39)</f>
        <v>81</v>
      </c>
      <c r="C39" s="21">
        <f>B39/SUM($B$39:$B$40)</f>
        <v>0.84375</v>
      </c>
      <c r="E39" s="20" t="s">
        <v>68</v>
      </c>
      <c r="F39" s="1">
        <f>COUNTIFS('Daily Targets'!$A$5:$A$204,$B$4,'Daily Targets'!$K$5:$K$204,"Achieved")</f>
        <v>0</v>
      </c>
      <c r="G39" s="22" t="s">
        <v>69</v>
      </c>
    </row>
    <row r="40" spans="1:7">
      <c r="A40" s="23" t="s">
        <v>70</v>
      </c>
      <c r="B40" s="24">
        <f>COUNTIF('Task Master'!$C$5:$C$100,A40)</f>
        <v>15</v>
      </c>
      <c r="C40" s="25">
        <f>B40/SUM($B$39:$B$40)</f>
        <v>0.15625</v>
      </c>
      <c r="E40" s="20" t="s">
        <v>71</v>
      </c>
      <c r="F40" s="1">
        <f>COUNTIFS('Daily Targets'!$A$5:$A$204,$B$4,'Daily Targets'!$K$5:$K$204,"Blocked")</f>
        <v>0</v>
      </c>
      <c r="G40" s="22" t="s">
        <v>72</v>
      </c>
    </row>
    <row r="41" spans="1:7">
      <c r="E41" s="20" t="s">
        <v>73</v>
      </c>
      <c r="F41" s="1">
        <f>COUNTIFS('Daily Targets'!$A$5:$A$204,$B$4,'Daily Targets'!$K$5:$K$204,"Missed")</f>
        <v>0</v>
      </c>
      <c r="G41" s="22" t="s">
        <v>74</v>
      </c>
    </row>
    <row r="42" spans="1:7">
      <c r="E42" s="23" t="s">
        <v>75</v>
      </c>
      <c r="F42" s="24">
        <f>COUNTIFS('Daily Targets'!$A$5:$A$204,$B$4,'Daily Targets'!$K$5:$K$204,"Out-of-Scope Submitted")</f>
        <v>0</v>
      </c>
      <c r="G42" s="26" t="s">
        <v>76</v>
      </c>
    </row>
  </sheetData>
  <mergeCells count="19">
    <mergeCell ref="A1:O1"/>
    <mergeCell ref="A2:O2"/>
    <mergeCell ref="D4:O4"/>
    <mergeCell ref="A6:C6"/>
    <mergeCell ref="A7:C10"/>
    <mergeCell ref="E6:G6"/>
    <mergeCell ref="E7:G10"/>
    <mergeCell ref="I6:K6"/>
    <mergeCell ref="I7:K10"/>
    <mergeCell ref="M6:O6"/>
    <mergeCell ref="M7:O10"/>
    <mergeCell ref="M12:O12"/>
    <mergeCell ref="M13:O16"/>
    <mergeCell ref="A12:C12"/>
    <mergeCell ref="A13:C16"/>
    <mergeCell ref="E12:G12"/>
    <mergeCell ref="E13:G16"/>
    <mergeCell ref="I12:K12"/>
    <mergeCell ref="I13:K1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00"/>
  <sheetViews>
    <sheetView showGridLines="0" workbookViewId="0">
      <pane ySplit="4" topLeftCell="A5" activePane="bottomLeft" state="frozen"/>
      <selection pane="bottomLeft" activeCell="H8" sqref="H8"/>
    </sheetView>
  </sheetViews>
  <sheetFormatPr defaultColWidth="9" defaultRowHeight="14.4"/>
  <cols>
    <col min="1" max="1" width="17" style="1" customWidth="1"/>
    <col min="2" max="2" width="18" style="1" customWidth="1"/>
    <col min="3" max="3" width="13" style="1" customWidth="1"/>
    <col min="4" max="4" width="17" style="1" customWidth="1"/>
    <col min="5" max="6" width="18" style="1" customWidth="1"/>
    <col min="7" max="7" width="31" style="1" customWidth="1"/>
    <col min="8" max="8" width="35" style="1" customWidth="1"/>
    <col min="9" max="9" width="13" style="1" customWidth="1"/>
    <col min="10" max="11" width="34" style="1" customWidth="1"/>
    <col min="12" max="12" width="18" style="1" customWidth="1"/>
    <col min="13" max="13" width="14" style="1" customWidth="1"/>
    <col min="14" max="14" width="22" style="1" customWidth="1"/>
    <col min="15" max="15" width="29" style="1" customWidth="1"/>
    <col min="16" max="16" width="16" style="1" customWidth="1"/>
    <col min="17" max="17" width="18" style="1" customWidth="1"/>
    <col min="18" max="18" width="24" style="1" customWidth="1"/>
    <col min="19" max="19" width="31" style="1" customWidth="1"/>
    <col min="20" max="20" width="38" style="1" customWidth="1"/>
    <col min="21" max="21" width="34" style="1" customWidth="1"/>
    <col min="22" max="22" width="31" style="1" customWidth="1"/>
    <col min="23" max="23" width="15" style="1" customWidth="1"/>
    <col min="24" max="24" width="34" style="1" customWidth="1"/>
    <col min="25" max="25" width="35" style="1" customWidth="1"/>
    <col min="26" max="16384" width="9" style="1"/>
  </cols>
  <sheetData>
    <row r="1" spans="1:25" ht="30" customHeight="1">
      <c r="A1" s="51" t="s">
        <v>77</v>
      </c>
      <c r="B1" s="51"/>
      <c r="C1" s="51"/>
      <c r="D1" s="51"/>
      <c r="E1" s="51"/>
      <c r="F1" s="51"/>
      <c r="G1" s="51"/>
      <c r="H1" s="51"/>
      <c r="I1" s="51"/>
      <c r="J1" s="51"/>
      <c r="K1" s="51"/>
      <c r="L1" s="51"/>
      <c r="M1" s="51"/>
      <c r="N1" s="51"/>
      <c r="O1" s="51"/>
      <c r="P1" s="51"/>
      <c r="Q1" s="51"/>
      <c r="R1" s="51"/>
      <c r="S1" s="51"/>
      <c r="T1" s="51"/>
      <c r="U1" s="51"/>
      <c r="V1" s="51"/>
      <c r="W1" s="51"/>
      <c r="X1" s="51"/>
      <c r="Y1" s="51"/>
    </row>
    <row r="2" spans="1:25" ht="24" customHeight="1">
      <c r="A2" s="52" t="s">
        <v>78</v>
      </c>
      <c r="B2" s="52"/>
      <c r="C2" s="52"/>
      <c r="D2" s="52"/>
      <c r="E2" s="52"/>
      <c r="F2" s="52"/>
      <c r="G2" s="52"/>
      <c r="H2" s="52"/>
      <c r="I2" s="52"/>
      <c r="J2" s="52"/>
      <c r="K2" s="52"/>
      <c r="L2" s="52"/>
      <c r="M2" s="52"/>
      <c r="N2" s="52"/>
      <c r="O2" s="52"/>
      <c r="P2" s="52"/>
      <c r="Q2" s="52"/>
      <c r="R2" s="52"/>
      <c r="S2" s="52"/>
      <c r="T2" s="52"/>
      <c r="U2" s="52"/>
      <c r="V2" s="52"/>
      <c r="W2" s="52"/>
      <c r="X2" s="52"/>
      <c r="Y2" s="52"/>
    </row>
    <row r="4" spans="1:25" ht="32.1" customHeight="1">
      <c r="A4" s="2" t="s">
        <v>79</v>
      </c>
      <c r="B4" s="3" t="s">
        <v>80</v>
      </c>
      <c r="C4" s="3" t="s">
        <v>81</v>
      </c>
      <c r="D4" s="3" t="s">
        <v>82</v>
      </c>
      <c r="E4" s="3" t="s">
        <v>83</v>
      </c>
      <c r="F4" s="3" t="s">
        <v>84</v>
      </c>
      <c r="G4" s="3" t="s">
        <v>85</v>
      </c>
      <c r="H4" s="3" t="s">
        <v>86</v>
      </c>
      <c r="I4" s="3" t="s">
        <v>87</v>
      </c>
      <c r="J4" s="3" t="s">
        <v>88</v>
      </c>
      <c r="K4" s="3" t="s">
        <v>40</v>
      </c>
      <c r="L4" s="3" t="s">
        <v>89</v>
      </c>
      <c r="M4" s="3" t="s">
        <v>90</v>
      </c>
      <c r="N4" s="3" t="s">
        <v>91</v>
      </c>
      <c r="O4" s="3" t="s">
        <v>92</v>
      </c>
      <c r="P4" s="3" t="s">
        <v>93</v>
      </c>
      <c r="Q4" s="3" t="s">
        <v>94</v>
      </c>
      <c r="R4" s="3" t="s">
        <v>95</v>
      </c>
      <c r="S4" s="3" t="s">
        <v>96</v>
      </c>
      <c r="T4" s="3" t="s">
        <v>97</v>
      </c>
      <c r="U4" s="3" t="s">
        <v>98</v>
      </c>
      <c r="V4" s="3" t="s">
        <v>99</v>
      </c>
      <c r="W4" s="3" t="s">
        <v>100</v>
      </c>
      <c r="X4" s="3" t="s">
        <v>101</v>
      </c>
      <c r="Y4" s="4" t="s">
        <v>102</v>
      </c>
    </row>
    <row r="5" spans="1:25" ht="28.8">
      <c r="A5" s="27" t="s">
        <v>103</v>
      </c>
      <c r="B5" s="27" t="s">
        <v>104</v>
      </c>
      <c r="C5" s="27" t="s">
        <v>70</v>
      </c>
      <c r="D5" s="28">
        <v>46251</v>
      </c>
      <c r="E5" s="28">
        <v>46196.129831284721</v>
      </c>
      <c r="F5" s="28">
        <v>46237.316267048613</v>
      </c>
      <c r="G5" s="29" t="s">
        <v>105</v>
      </c>
      <c r="H5" s="29" t="s">
        <v>106</v>
      </c>
      <c r="I5" s="29" t="s">
        <v>107</v>
      </c>
      <c r="J5" s="29" t="s">
        <v>108</v>
      </c>
      <c r="K5" s="30" t="str">
        <f>IFERROR(LOOKUP(2,1/('Assignment History'!$B$5:$B$204=A5),'Assignment History'!$D$5:$D$204),IFERROR(VLOOKUP(J5,Configuration!$L$5:$M$50,2,FALSE),J5))</f>
        <v>CCoE Operations</v>
      </c>
      <c r="L5" s="30" t="str">
        <f>IF(K5=IFERROR(VLOOKUP(J5,Configuration!$L$5:$M$50,2,FALSE),J5),"Snapshot PIC","Replacement PIC")</f>
        <v>Snapshot PIC</v>
      </c>
      <c r="M5" s="31">
        <f>IFERROR(VLOOKUP(I5,Configuration!$O$5:$P$8,2,FALSE),Configuration!$S$6)</f>
        <v>2</v>
      </c>
      <c r="N5" s="31" t="str">
        <f>IFERROR(LOOKUP(2,1/('Scope Review'!$B$5:$B$204=A5),'Scope Review'!$G$5:$G$204),"Not Reviewed")</f>
        <v>Not Reviewed</v>
      </c>
      <c r="O5" s="31" t="str">
        <f>IFERROR(LOOKUP(2,1/('Scope Review'!$B$5:$B$204=A5),'Scope Review'!$H$5:$H$204),"")</f>
        <v/>
      </c>
      <c r="P5" s="31">
        <f t="shared" ref="P5:P36" si="0">IF(AND(C5="executing",N5&lt;&gt;"Confirmed OOS"),M5,0)</f>
        <v>0</v>
      </c>
      <c r="Q5" s="32" t="str">
        <f>IFERROR(LOOKUP(2,1/('Engineer Updates'!$B$5:$B$304=A5),'Engineer Updates'!$A$5:$A$304),"")</f>
        <v/>
      </c>
      <c r="R5" s="30" t="str">
        <f>IFERROR(LOOKUP(2,1/('Engineer Updates'!$B$5:$B$304=A5),'Engineer Updates'!$E$5:$E$304),"")</f>
        <v/>
      </c>
      <c r="S5" s="30" t="str">
        <f>IFERROR(LOOKUP(2,1/('Engineer Updates'!$B$5:$B$304=A5),'Engineer Updates'!$D$5:$D$304),"")</f>
        <v/>
      </c>
      <c r="T5" s="30" t="str">
        <f>IFERROR(LOOKUP(2,1/('Engineer Updates'!$B$5:$B$304=A5),'Engineer Updates'!$F$5:$F$304),"")</f>
        <v/>
      </c>
      <c r="U5" s="30" t="str">
        <f>IFERROR(LOOKUP(2,1/('Engineer Updates'!$B$5:$B$304=A5),'Engineer Updates'!$G$5:$G$304),"")</f>
        <v/>
      </c>
      <c r="V5" s="30" t="str">
        <f>IFERROR(LOOKUP(2,1/('Engineer Updates'!$B$5:$B$304=A5),'Engineer Updates'!$H$5:$H$304),"")</f>
        <v/>
      </c>
      <c r="W5" s="33" t="str">
        <f>IFERROR(LOOKUP(2,1/('Engineer Updates'!$B$5:$B$304=A5),'Engineer Updates'!$I$5:$I$304),"")</f>
        <v/>
      </c>
      <c r="X5" s="34" t="str">
        <f t="shared" ref="X5:X36" si="1">IF(AND(C5="executing",ISERROR(SEARCH("@",K5))),"Executing without named engineer",IF(AND(N5="Confirmed OOS",C5="executing"),"Confirmed OOS still executing",""))</f>
        <v/>
      </c>
      <c r="Y5" s="27" t="s">
        <v>109</v>
      </c>
    </row>
    <row r="6" spans="1:25" ht="28.8">
      <c r="A6" s="27" t="s">
        <v>110</v>
      </c>
      <c r="B6" s="27" t="s">
        <v>104</v>
      </c>
      <c r="C6" s="27" t="s">
        <v>70</v>
      </c>
      <c r="D6" s="28">
        <v>46251</v>
      </c>
      <c r="E6" s="28">
        <v>46177.380468495372</v>
      </c>
      <c r="F6" s="28">
        <v>46209.306841990743</v>
      </c>
      <c r="G6" s="29" t="s">
        <v>111</v>
      </c>
      <c r="H6" s="29" t="s">
        <v>112</v>
      </c>
      <c r="I6" s="29" t="s">
        <v>107</v>
      </c>
      <c r="J6" s="29" t="s">
        <v>108</v>
      </c>
      <c r="K6" s="30" t="str">
        <f>IFERROR(LOOKUP(2,1/('Assignment History'!$B$5:$B$204=A6),'Assignment History'!$D$5:$D$204),IFERROR(VLOOKUP(J6,Configuration!$L$5:$M$50,2,FALSE),J6))</f>
        <v>CCoE Operations</v>
      </c>
      <c r="L6" s="30" t="str">
        <f>IF(K6=IFERROR(VLOOKUP(J6,Configuration!$L$5:$M$50,2,FALSE),J6),"Snapshot PIC","Replacement PIC")</f>
        <v>Snapshot PIC</v>
      </c>
      <c r="M6" s="31">
        <f>IFERROR(VLOOKUP(I6,Configuration!$O$5:$P$8,2,FALSE),Configuration!$S$6)</f>
        <v>2</v>
      </c>
      <c r="N6" s="31" t="str">
        <f>IFERROR(LOOKUP(2,1/('Scope Review'!$B$5:$B$204=A6),'Scope Review'!$G$5:$G$204),"Not Reviewed")</f>
        <v>Not Reviewed</v>
      </c>
      <c r="O6" s="31" t="str">
        <f>IFERROR(LOOKUP(2,1/('Scope Review'!$B$5:$B$204=A6),'Scope Review'!$H$5:$H$204),"")</f>
        <v/>
      </c>
      <c r="P6" s="31">
        <f t="shared" si="0"/>
        <v>0</v>
      </c>
      <c r="Q6" s="32" t="str">
        <f>IFERROR(LOOKUP(2,1/('Engineer Updates'!$B$5:$B$304=A6),'Engineer Updates'!$A$5:$A$304),"")</f>
        <v/>
      </c>
      <c r="R6" s="30" t="str">
        <f>IFERROR(LOOKUP(2,1/('Engineer Updates'!$B$5:$B$304=A6),'Engineer Updates'!$E$5:$E$304),"")</f>
        <v/>
      </c>
      <c r="S6" s="30" t="str">
        <f>IFERROR(LOOKUP(2,1/('Engineer Updates'!$B$5:$B$304=A6),'Engineer Updates'!$D$5:$D$304),"")</f>
        <v/>
      </c>
      <c r="T6" s="30" t="str">
        <f>IFERROR(LOOKUP(2,1/('Engineer Updates'!$B$5:$B$304=A6),'Engineer Updates'!$F$5:$F$304),"")</f>
        <v/>
      </c>
      <c r="U6" s="30" t="str">
        <f>IFERROR(LOOKUP(2,1/('Engineer Updates'!$B$5:$B$304=A6),'Engineer Updates'!$G$5:$G$304),"")</f>
        <v/>
      </c>
      <c r="V6" s="30" t="str">
        <f>IFERROR(LOOKUP(2,1/('Engineer Updates'!$B$5:$B$304=A6),'Engineer Updates'!$H$5:$H$304),"")</f>
        <v/>
      </c>
      <c r="W6" s="33" t="str">
        <f>IFERROR(LOOKUP(2,1/('Engineer Updates'!$B$5:$B$304=A6),'Engineer Updates'!$I$5:$I$304),"")</f>
        <v/>
      </c>
      <c r="X6" s="34" t="str">
        <f t="shared" si="1"/>
        <v/>
      </c>
      <c r="Y6" s="27" t="s">
        <v>109</v>
      </c>
    </row>
    <row r="7" spans="1:25" ht="28.8">
      <c r="A7" s="27" t="s">
        <v>113</v>
      </c>
      <c r="B7" s="27" t="s">
        <v>104</v>
      </c>
      <c r="C7" s="27" t="s">
        <v>70</v>
      </c>
      <c r="D7" s="28">
        <v>46251</v>
      </c>
      <c r="E7" s="28">
        <v>46167.032202858798</v>
      </c>
      <c r="F7" s="28">
        <v>46210.283727002316</v>
      </c>
      <c r="G7" s="29" t="s">
        <v>114</v>
      </c>
      <c r="H7" s="29" t="s">
        <v>115</v>
      </c>
      <c r="I7" s="29" t="s">
        <v>116</v>
      </c>
      <c r="J7" s="29" t="s">
        <v>108</v>
      </c>
      <c r="K7" s="30" t="str">
        <f>IFERROR(LOOKUP(2,1/('Assignment History'!$B$5:$B$204=A7),'Assignment History'!$D$5:$D$204),IFERROR(VLOOKUP(J7,Configuration!$L$5:$M$50,2,FALSE),J7))</f>
        <v>CCoE Operations</v>
      </c>
      <c r="L7" s="30" t="str">
        <f>IF(K7=IFERROR(VLOOKUP(J7,Configuration!$L$5:$M$50,2,FALSE),J7),"Snapshot PIC","Replacement PIC")</f>
        <v>Snapshot PIC</v>
      </c>
      <c r="M7" s="31">
        <f>IFERROR(VLOOKUP(I7,Configuration!$O$5:$P$8,2,FALSE),Configuration!$S$6)</f>
        <v>1</v>
      </c>
      <c r="N7" s="31" t="str">
        <f>IFERROR(LOOKUP(2,1/('Scope Review'!$B$5:$B$204=A7),'Scope Review'!$G$5:$G$204),"Not Reviewed")</f>
        <v>Not Reviewed</v>
      </c>
      <c r="O7" s="31" t="str">
        <f>IFERROR(LOOKUP(2,1/('Scope Review'!$B$5:$B$204=A7),'Scope Review'!$H$5:$H$204),"")</f>
        <v/>
      </c>
      <c r="P7" s="31">
        <f t="shared" si="0"/>
        <v>0</v>
      </c>
      <c r="Q7" s="32" t="str">
        <f>IFERROR(LOOKUP(2,1/('Engineer Updates'!$B$5:$B$304=A7),'Engineer Updates'!$A$5:$A$304),"")</f>
        <v/>
      </c>
      <c r="R7" s="30" t="str">
        <f>IFERROR(LOOKUP(2,1/('Engineer Updates'!$B$5:$B$304=A7),'Engineer Updates'!$E$5:$E$304),"")</f>
        <v/>
      </c>
      <c r="S7" s="30" t="str">
        <f>IFERROR(LOOKUP(2,1/('Engineer Updates'!$B$5:$B$304=A7),'Engineer Updates'!$D$5:$D$304),"")</f>
        <v/>
      </c>
      <c r="T7" s="30" t="str">
        <f>IFERROR(LOOKUP(2,1/('Engineer Updates'!$B$5:$B$304=A7),'Engineer Updates'!$F$5:$F$304),"")</f>
        <v/>
      </c>
      <c r="U7" s="30" t="str">
        <f>IFERROR(LOOKUP(2,1/('Engineer Updates'!$B$5:$B$304=A7),'Engineer Updates'!$G$5:$G$304),"")</f>
        <v/>
      </c>
      <c r="V7" s="30" t="str">
        <f>IFERROR(LOOKUP(2,1/('Engineer Updates'!$B$5:$B$304=A7),'Engineer Updates'!$H$5:$H$304),"")</f>
        <v/>
      </c>
      <c r="W7" s="33" t="str">
        <f>IFERROR(LOOKUP(2,1/('Engineer Updates'!$B$5:$B$304=A7),'Engineer Updates'!$I$5:$I$304),"")</f>
        <v/>
      </c>
      <c r="X7" s="34" t="str">
        <f t="shared" si="1"/>
        <v/>
      </c>
      <c r="Y7" s="27" t="s">
        <v>109</v>
      </c>
    </row>
    <row r="8" spans="1:25" ht="28.8">
      <c r="A8" s="27" t="s">
        <v>117</v>
      </c>
      <c r="B8" s="27" t="s">
        <v>104</v>
      </c>
      <c r="C8" s="27" t="s">
        <v>70</v>
      </c>
      <c r="D8" s="28">
        <v>46251</v>
      </c>
      <c r="E8" s="28">
        <v>46196.124654421299</v>
      </c>
      <c r="F8" s="28">
        <v>46209.311697974539</v>
      </c>
      <c r="G8" s="29" t="s">
        <v>118</v>
      </c>
      <c r="H8" s="29" t="s">
        <v>119</v>
      </c>
      <c r="I8" s="29" t="s">
        <v>107</v>
      </c>
      <c r="J8" s="29" t="s">
        <v>108</v>
      </c>
      <c r="K8" s="30" t="str">
        <f>IFERROR(LOOKUP(2,1/('Assignment History'!$B$5:$B$204=A8),'Assignment History'!$D$5:$D$204),IFERROR(VLOOKUP(J8,Configuration!$L$5:$M$50,2,FALSE),J8))</f>
        <v>CCoE Operations</v>
      </c>
      <c r="L8" s="30" t="str">
        <f>IF(K8=IFERROR(VLOOKUP(J8,Configuration!$L$5:$M$50,2,FALSE),J8),"Snapshot PIC","Replacement PIC")</f>
        <v>Snapshot PIC</v>
      </c>
      <c r="M8" s="31">
        <f>IFERROR(VLOOKUP(I8,Configuration!$O$5:$P$8,2,FALSE),Configuration!$S$6)</f>
        <v>2</v>
      </c>
      <c r="N8" s="31" t="str">
        <f>IFERROR(LOOKUP(2,1/('Scope Review'!$B$5:$B$204=A8),'Scope Review'!$G$5:$G$204),"Not Reviewed")</f>
        <v>Not Reviewed</v>
      </c>
      <c r="O8" s="31" t="str">
        <f>IFERROR(LOOKUP(2,1/('Scope Review'!$B$5:$B$204=A8),'Scope Review'!$H$5:$H$204),"")</f>
        <v/>
      </c>
      <c r="P8" s="31">
        <f t="shared" si="0"/>
        <v>0</v>
      </c>
      <c r="Q8" s="32" t="str">
        <f>IFERROR(LOOKUP(2,1/('Engineer Updates'!$B$5:$B$304=A8),'Engineer Updates'!$A$5:$A$304),"")</f>
        <v/>
      </c>
      <c r="R8" s="30" t="str">
        <f>IFERROR(LOOKUP(2,1/('Engineer Updates'!$B$5:$B$304=A8),'Engineer Updates'!$E$5:$E$304),"")</f>
        <v/>
      </c>
      <c r="S8" s="30" t="str">
        <f>IFERROR(LOOKUP(2,1/('Engineer Updates'!$B$5:$B$304=A8),'Engineer Updates'!$D$5:$D$304),"")</f>
        <v/>
      </c>
      <c r="T8" s="30" t="str">
        <f>IFERROR(LOOKUP(2,1/('Engineer Updates'!$B$5:$B$304=A8),'Engineer Updates'!$F$5:$F$304),"")</f>
        <v/>
      </c>
      <c r="U8" s="30" t="str">
        <f>IFERROR(LOOKUP(2,1/('Engineer Updates'!$B$5:$B$304=A8),'Engineer Updates'!$G$5:$G$304),"")</f>
        <v/>
      </c>
      <c r="V8" s="30" t="str">
        <f>IFERROR(LOOKUP(2,1/('Engineer Updates'!$B$5:$B$304=A8),'Engineer Updates'!$H$5:$H$304),"")</f>
        <v/>
      </c>
      <c r="W8" s="33" t="str">
        <f>IFERROR(LOOKUP(2,1/('Engineer Updates'!$B$5:$B$304=A8),'Engineer Updates'!$I$5:$I$304),"")</f>
        <v/>
      </c>
      <c r="X8" s="34" t="str">
        <f t="shared" si="1"/>
        <v/>
      </c>
      <c r="Y8" s="27" t="s">
        <v>109</v>
      </c>
    </row>
    <row r="9" spans="1:25" ht="28.8">
      <c r="A9" s="27" t="s">
        <v>120</v>
      </c>
      <c r="B9" s="27" t="s">
        <v>104</v>
      </c>
      <c r="C9" s="27" t="s">
        <v>70</v>
      </c>
      <c r="D9" s="28">
        <v>46251</v>
      </c>
      <c r="E9" s="28">
        <v>46196.120060173613</v>
      </c>
      <c r="F9" s="28">
        <v>46209.310879537035</v>
      </c>
      <c r="G9" s="29" t="s">
        <v>105</v>
      </c>
      <c r="H9" s="29" t="s">
        <v>121</v>
      </c>
      <c r="I9" s="29" t="s">
        <v>107</v>
      </c>
      <c r="J9" s="29" t="s">
        <v>108</v>
      </c>
      <c r="K9" s="30" t="str">
        <f>IFERROR(LOOKUP(2,1/('Assignment History'!$B$5:$B$204=A9),'Assignment History'!$D$5:$D$204),IFERROR(VLOOKUP(J9,Configuration!$L$5:$M$50,2,FALSE),J9))</f>
        <v>CCoE Operations</v>
      </c>
      <c r="L9" s="30" t="str">
        <f>IF(K9=IFERROR(VLOOKUP(J9,Configuration!$L$5:$M$50,2,FALSE),J9),"Snapshot PIC","Replacement PIC")</f>
        <v>Snapshot PIC</v>
      </c>
      <c r="M9" s="31">
        <f>IFERROR(VLOOKUP(I9,Configuration!$O$5:$P$8,2,FALSE),Configuration!$S$6)</f>
        <v>2</v>
      </c>
      <c r="N9" s="31" t="str">
        <f>IFERROR(LOOKUP(2,1/('Scope Review'!$B$5:$B$204=A9),'Scope Review'!$G$5:$G$204),"Not Reviewed")</f>
        <v>Not Reviewed</v>
      </c>
      <c r="O9" s="31" t="str">
        <f>IFERROR(LOOKUP(2,1/('Scope Review'!$B$5:$B$204=A9),'Scope Review'!$H$5:$H$204),"")</f>
        <v/>
      </c>
      <c r="P9" s="31">
        <f t="shared" si="0"/>
        <v>0</v>
      </c>
      <c r="Q9" s="32" t="str">
        <f>IFERROR(LOOKUP(2,1/('Engineer Updates'!$B$5:$B$304=A9),'Engineer Updates'!$A$5:$A$304),"")</f>
        <v/>
      </c>
      <c r="R9" s="30" t="str">
        <f>IFERROR(LOOKUP(2,1/('Engineer Updates'!$B$5:$B$304=A9),'Engineer Updates'!$E$5:$E$304),"")</f>
        <v/>
      </c>
      <c r="S9" s="30" t="str">
        <f>IFERROR(LOOKUP(2,1/('Engineer Updates'!$B$5:$B$304=A9),'Engineer Updates'!$D$5:$D$304),"")</f>
        <v/>
      </c>
      <c r="T9" s="30" t="str">
        <f>IFERROR(LOOKUP(2,1/('Engineer Updates'!$B$5:$B$304=A9),'Engineer Updates'!$F$5:$F$304),"")</f>
        <v/>
      </c>
      <c r="U9" s="30" t="str">
        <f>IFERROR(LOOKUP(2,1/('Engineer Updates'!$B$5:$B$304=A9),'Engineer Updates'!$G$5:$G$304),"")</f>
        <v/>
      </c>
      <c r="V9" s="30" t="str">
        <f>IFERROR(LOOKUP(2,1/('Engineer Updates'!$B$5:$B$304=A9),'Engineer Updates'!$H$5:$H$304),"")</f>
        <v/>
      </c>
      <c r="W9" s="33" t="str">
        <f>IFERROR(LOOKUP(2,1/('Engineer Updates'!$B$5:$B$304=A9),'Engineer Updates'!$I$5:$I$304),"")</f>
        <v/>
      </c>
      <c r="X9" s="34" t="str">
        <f t="shared" si="1"/>
        <v/>
      </c>
      <c r="Y9" s="27" t="s">
        <v>109</v>
      </c>
    </row>
    <row r="10" spans="1:25">
      <c r="A10" s="27" t="s">
        <v>122</v>
      </c>
      <c r="B10" s="27" t="s">
        <v>104</v>
      </c>
      <c r="C10" s="27" t="s">
        <v>70</v>
      </c>
      <c r="D10" s="28">
        <v>46251</v>
      </c>
      <c r="E10" s="28">
        <v>46245.320085902778</v>
      </c>
      <c r="F10" s="28">
        <v>46251.168267638888</v>
      </c>
      <c r="G10" s="29" t="s">
        <v>123</v>
      </c>
      <c r="H10" s="29" t="s">
        <v>124</v>
      </c>
      <c r="I10" s="29" t="s">
        <v>125</v>
      </c>
      <c r="J10" s="29" t="s">
        <v>126</v>
      </c>
      <c r="K10" s="30" t="str">
        <f>IFERROR(LOOKUP(2,1/('Assignment History'!$B$5:$B$204=A10),'Assignment History'!$D$5:$D$204),IFERROR(VLOOKUP(J10,Configuration!$L$5:$M$50,2,FALSE),J10))</f>
        <v>IMS - CLOUD CSSP EXECUTOR</v>
      </c>
      <c r="L10" s="30" t="str">
        <f>IF(K10=IFERROR(VLOOKUP(J10,Configuration!$L$5:$M$50,2,FALSE),J10),"Snapshot PIC","Replacement PIC")</f>
        <v>Snapshot PIC</v>
      </c>
      <c r="M10" s="31">
        <f>IFERROR(VLOOKUP(I10,Configuration!$O$5:$P$8,2,FALSE),Configuration!$S$6)</f>
        <v>3</v>
      </c>
      <c r="N10" s="31" t="str">
        <f>IFERROR(LOOKUP(2,1/('Scope Review'!$B$5:$B$204=A10),'Scope Review'!$G$5:$G$204),"Not Reviewed")</f>
        <v>Not Reviewed</v>
      </c>
      <c r="O10" s="31" t="str">
        <f>IFERROR(LOOKUP(2,1/('Scope Review'!$B$5:$B$204=A10),'Scope Review'!$H$5:$H$204),"")</f>
        <v/>
      </c>
      <c r="P10" s="31">
        <f t="shared" si="0"/>
        <v>0</v>
      </c>
      <c r="Q10" s="32" t="str">
        <f>IFERROR(LOOKUP(2,1/('Engineer Updates'!$B$5:$B$304=A10),'Engineer Updates'!$A$5:$A$304),"")</f>
        <v/>
      </c>
      <c r="R10" s="30" t="str">
        <f>IFERROR(LOOKUP(2,1/('Engineer Updates'!$B$5:$B$304=A10),'Engineer Updates'!$E$5:$E$304),"")</f>
        <v/>
      </c>
      <c r="S10" s="30" t="str">
        <f>IFERROR(LOOKUP(2,1/('Engineer Updates'!$B$5:$B$304=A10),'Engineer Updates'!$D$5:$D$304),"")</f>
        <v/>
      </c>
      <c r="T10" s="30" t="str">
        <f>IFERROR(LOOKUP(2,1/('Engineer Updates'!$B$5:$B$304=A10),'Engineer Updates'!$F$5:$F$304),"")</f>
        <v/>
      </c>
      <c r="U10" s="30" t="str">
        <f>IFERROR(LOOKUP(2,1/('Engineer Updates'!$B$5:$B$304=A10),'Engineer Updates'!$G$5:$G$304),"")</f>
        <v/>
      </c>
      <c r="V10" s="30" t="str">
        <f>IFERROR(LOOKUP(2,1/('Engineer Updates'!$B$5:$B$304=A10),'Engineer Updates'!$H$5:$H$304),"")</f>
        <v/>
      </c>
      <c r="W10" s="33" t="str">
        <f>IFERROR(LOOKUP(2,1/('Engineer Updates'!$B$5:$B$304=A10),'Engineer Updates'!$I$5:$I$304),"")</f>
        <v/>
      </c>
      <c r="X10" s="34" t="str">
        <f t="shared" si="1"/>
        <v/>
      </c>
      <c r="Y10" s="27" t="s">
        <v>109</v>
      </c>
    </row>
    <row r="11" spans="1:25">
      <c r="A11" s="27" t="s">
        <v>127</v>
      </c>
      <c r="B11" s="27" t="s">
        <v>104</v>
      </c>
      <c r="C11" s="27" t="s">
        <v>70</v>
      </c>
      <c r="D11" s="28">
        <v>46251</v>
      </c>
      <c r="E11" s="28">
        <v>46225.028997314817</v>
      </c>
      <c r="F11" s="28">
        <v>46244.079157106484</v>
      </c>
      <c r="G11" s="29" t="s">
        <v>128</v>
      </c>
      <c r="H11" s="29" t="s">
        <v>129</v>
      </c>
      <c r="I11" s="29" t="s">
        <v>116</v>
      </c>
      <c r="J11" s="29" t="s">
        <v>126</v>
      </c>
      <c r="K11" s="30" t="str">
        <f>IFERROR(LOOKUP(2,1/('Assignment History'!$B$5:$B$204=A11),'Assignment History'!$D$5:$D$204),IFERROR(VLOOKUP(J11,Configuration!$L$5:$M$50,2,FALSE),J11))</f>
        <v>IMS - CLOUD CSSP EXECUTOR</v>
      </c>
      <c r="L11" s="30" t="str">
        <f>IF(K11=IFERROR(VLOOKUP(J11,Configuration!$L$5:$M$50,2,FALSE),J11),"Snapshot PIC","Replacement PIC")</f>
        <v>Snapshot PIC</v>
      </c>
      <c r="M11" s="31">
        <f>IFERROR(VLOOKUP(I11,Configuration!$O$5:$P$8,2,FALSE),Configuration!$S$6)</f>
        <v>1</v>
      </c>
      <c r="N11" s="31" t="str">
        <f>IFERROR(LOOKUP(2,1/('Scope Review'!$B$5:$B$204=A11),'Scope Review'!$G$5:$G$204),"Not Reviewed")</f>
        <v>Not Reviewed</v>
      </c>
      <c r="O11" s="31" t="str">
        <f>IFERROR(LOOKUP(2,1/('Scope Review'!$B$5:$B$204=A11),'Scope Review'!$H$5:$H$204),"")</f>
        <v/>
      </c>
      <c r="P11" s="31">
        <f t="shared" si="0"/>
        <v>0</v>
      </c>
      <c r="Q11" s="32" t="str">
        <f>IFERROR(LOOKUP(2,1/('Engineer Updates'!$B$5:$B$304=A11),'Engineer Updates'!$A$5:$A$304),"")</f>
        <v/>
      </c>
      <c r="R11" s="30" t="str">
        <f>IFERROR(LOOKUP(2,1/('Engineer Updates'!$B$5:$B$304=A11),'Engineer Updates'!$E$5:$E$304),"")</f>
        <v/>
      </c>
      <c r="S11" s="30" t="str">
        <f>IFERROR(LOOKUP(2,1/('Engineer Updates'!$B$5:$B$304=A11),'Engineer Updates'!$D$5:$D$304),"")</f>
        <v/>
      </c>
      <c r="T11" s="30" t="str">
        <f>IFERROR(LOOKUP(2,1/('Engineer Updates'!$B$5:$B$304=A11),'Engineer Updates'!$F$5:$F$304),"")</f>
        <v/>
      </c>
      <c r="U11" s="30" t="str">
        <f>IFERROR(LOOKUP(2,1/('Engineer Updates'!$B$5:$B$304=A11),'Engineer Updates'!$G$5:$G$304),"")</f>
        <v/>
      </c>
      <c r="V11" s="30" t="str">
        <f>IFERROR(LOOKUP(2,1/('Engineer Updates'!$B$5:$B$304=A11),'Engineer Updates'!$H$5:$H$304),"")</f>
        <v/>
      </c>
      <c r="W11" s="33" t="str">
        <f>IFERROR(LOOKUP(2,1/('Engineer Updates'!$B$5:$B$304=A11),'Engineer Updates'!$I$5:$I$304),"")</f>
        <v/>
      </c>
      <c r="X11" s="34" t="str">
        <f t="shared" si="1"/>
        <v/>
      </c>
      <c r="Y11" s="27" t="s">
        <v>109</v>
      </c>
    </row>
    <row r="12" spans="1:25" ht="57.6">
      <c r="A12" s="27" t="s">
        <v>130</v>
      </c>
      <c r="B12" s="27" t="s">
        <v>104</v>
      </c>
      <c r="C12" s="27" t="s">
        <v>70</v>
      </c>
      <c r="D12" s="28">
        <v>46251</v>
      </c>
      <c r="E12" s="28">
        <v>46233.109634340275</v>
      </c>
      <c r="F12" s="28">
        <v>46251.16752747685</v>
      </c>
      <c r="G12" s="29" t="s">
        <v>131</v>
      </c>
      <c r="H12" s="29" t="s">
        <v>132</v>
      </c>
      <c r="I12" s="29" t="s">
        <v>125</v>
      </c>
      <c r="J12" s="29" t="s">
        <v>126</v>
      </c>
      <c r="K12" s="30" t="str">
        <f>IFERROR(LOOKUP(2,1/('Assignment History'!$B$5:$B$204=A12),'Assignment History'!$D$5:$D$204),IFERROR(VLOOKUP(J12,Configuration!$L$5:$M$50,2,FALSE),J12))</f>
        <v>IMS - CLOUD CSSP EXECUTOR</v>
      </c>
      <c r="L12" s="30" t="str">
        <f>IF(K12=IFERROR(VLOOKUP(J12,Configuration!$L$5:$M$50,2,FALSE),J12),"Snapshot PIC","Replacement PIC")</f>
        <v>Snapshot PIC</v>
      </c>
      <c r="M12" s="31">
        <f>IFERROR(VLOOKUP(I12,Configuration!$O$5:$P$8,2,FALSE),Configuration!$S$6)</f>
        <v>3</v>
      </c>
      <c r="N12" s="31" t="str">
        <f>IFERROR(LOOKUP(2,1/('Scope Review'!$B$5:$B$204=A12),'Scope Review'!$G$5:$G$204),"Not Reviewed")</f>
        <v>Not Reviewed</v>
      </c>
      <c r="O12" s="31" t="str">
        <f>IFERROR(LOOKUP(2,1/('Scope Review'!$B$5:$B$204=A12),'Scope Review'!$H$5:$H$204),"")</f>
        <v/>
      </c>
      <c r="P12" s="31">
        <f t="shared" si="0"/>
        <v>0</v>
      </c>
      <c r="Q12" s="32" t="str">
        <f>IFERROR(LOOKUP(2,1/('Engineer Updates'!$B$5:$B$304=A12),'Engineer Updates'!$A$5:$A$304),"")</f>
        <v/>
      </c>
      <c r="R12" s="30" t="str">
        <f>IFERROR(LOOKUP(2,1/('Engineer Updates'!$B$5:$B$304=A12),'Engineer Updates'!$E$5:$E$304),"")</f>
        <v/>
      </c>
      <c r="S12" s="30" t="str">
        <f>IFERROR(LOOKUP(2,1/('Engineer Updates'!$B$5:$B$304=A12),'Engineer Updates'!$D$5:$D$304),"")</f>
        <v/>
      </c>
      <c r="T12" s="30" t="str">
        <f>IFERROR(LOOKUP(2,1/('Engineer Updates'!$B$5:$B$304=A12),'Engineer Updates'!$F$5:$F$304),"")</f>
        <v/>
      </c>
      <c r="U12" s="30" t="str">
        <f>IFERROR(LOOKUP(2,1/('Engineer Updates'!$B$5:$B$304=A12),'Engineer Updates'!$G$5:$G$304),"")</f>
        <v/>
      </c>
      <c r="V12" s="30" t="str">
        <f>IFERROR(LOOKUP(2,1/('Engineer Updates'!$B$5:$B$304=A12),'Engineer Updates'!$H$5:$H$304),"")</f>
        <v/>
      </c>
      <c r="W12" s="33" t="str">
        <f>IFERROR(LOOKUP(2,1/('Engineer Updates'!$B$5:$B$304=A12),'Engineer Updates'!$I$5:$I$304),"")</f>
        <v/>
      </c>
      <c r="X12" s="34" t="str">
        <f t="shared" si="1"/>
        <v/>
      </c>
      <c r="Y12" s="27" t="s">
        <v>109</v>
      </c>
    </row>
    <row r="13" spans="1:25" ht="43.2">
      <c r="A13" s="27" t="s">
        <v>133</v>
      </c>
      <c r="B13" s="27" t="s">
        <v>104</v>
      </c>
      <c r="C13" s="27" t="s">
        <v>70</v>
      </c>
      <c r="D13" s="28">
        <v>46251</v>
      </c>
      <c r="E13" s="28">
        <v>46227.312775613427</v>
      </c>
      <c r="F13" s="28">
        <v>46251.166840520833</v>
      </c>
      <c r="G13" s="29" t="s">
        <v>134</v>
      </c>
      <c r="H13" s="29" t="s">
        <v>135</v>
      </c>
      <c r="I13" s="29" t="s">
        <v>125</v>
      </c>
      <c r="J13" s="29" t="s">
        <v>126</v>
      </c>
      <c r="K13" s="30" t="str">
        <f>IFERROR(LOOKUP(2,1/('Assignment History'!$B$5:$B$204=A13),'Assignment History'!$D$5:$D$204),IFERROR(VLOOKUP(J13,Configuration!$L$5:$M$50,2,FALSE),J13))</f>
        <v>IMS - CLOUD CSSP EXECUTOR</v>
      </c>
      <c r="L13" s="30" t="str">
        <f>IF(K13=IFERROR(VLOOKUP(J13,Configuration!$L$5:$M$50,2,FALSE),J13),"Snapshot PIC","Replacement PIC")</f>
        <v>Snapshot PIC</v>
      </c>
      <c r="M13" s="31">
        <f>IFERROR(VLOOKUP(I13,Configuration!$O$5:$P$8,2,FALSE),Configuration!$S$6)</f>
        <v>3</v>
      </c>
      <c r="N13" s="31" t="str">
        <f>IFERROR(LOOKUP(2,1/('Scope Review'!$B$5:$B$204=A13),'Scope Review'!$G$5:$G$204),"Not Reviewed")</f>
        <v>Not Reviewed</v>
      </c>
      <c r="O13" s="31" t="str">
        <f>IFERROR(LOOKUP(2,1/('Scope Review'!$B$5:$B$204=A13),'Scope Review'!$H$5:$H$204),"")</f>
        <v/>
      </c>
      <c r="P13" s="31">
        <f t="shared" si="0"/>
        <v>0</v>
      </c>
      <c r="Q13" s="32" t="str">
        <f>IFERROR(LOOKUP(2,1/('Engineer Updates'!$B$5:$B$304=A13),'Engineer Updates'!$A$5:$A$304),"")</f>
        <v/>
      </c>
      <c r="R13" s="30" t="str">
        <f>IFERROR(LOOKUP(2,1/('Engineer Updates'!$B$5:$B$304=A13),'Engineer Updates'!$E$5:$E$304),"")</f>
        <v/>
      </c>
      <c r="S13" s="30" t="str">
        <f>IFERROR(LOOKUP(2,1/('Engineer Updates'!$B$5:$B$304=A13),'Engineer Updates'!$D$5:$D$304),"")</f>
        <v/>
      </c>
      <c r="T13" s="30" t="str">
        <f>IFERROR(LOOKUP(2,1/('Engineer Updates'!$B$5:$B$304=A13),'Engineer Updates'!$F$5:$F$304),"")</f>
        <v/>
      </c>
      <c r="U13" s="30" t="str">
        <f>IFERROR(LOOKUP(2,1/('Engineer Updates'!$B$5:$B$304=A13),'Engineer Updates'!$G$5:$G$304),"")</f>
        <v/>
      </c>
      <c r="V13" s="30" t="str">
        <f>IFERROR(LOOKUP(2,1/('Engineer Updates'!$B$5:$B$304=A13),'Engineer Updates'!$H$5:$H$304),"")</f>
        <v/>
      </c>
      <c r="W13" s="33" t="str">
        <f>IFERROR(LOOKUP(2,1/('Engineer Updates'!$B$5:$B$304=A13),'Engineer Updates'!$I$5:$I$304),"")</f>
        <v/>
      </c>
      <c r="X13" s="34" t="str">
        <f t="shared" si="1"/>
        <v/>
      </c>
      <c r="Y13" s="27" t="s">
        <v>109</v>
      </c>
    </row>
    <row r="14" spans="1:25" ht="28.8">
      <c r="A14" s="27" t="s">
        <v>136</v>
      </c>
      <c r="B14" s="27" t="s">
        <v>104</v>
      </c>
      <c r="C14" s="27" t="s">
        <v>70</v>
      </c>
      <c r="D14" s="28">
        <v>46251</v>
      </c>
      <c r="E14" s="28">
        <v>46164.348161793983</v>
      </c>
      <c r="F14" s="28">
        <v>46239.266966840281</v>
      </c>
      <c r="G14" s="29" t="s">
        <v>137</v>
      </c>
      <c r="H14" s="29" t="s">
        <v>138</v>
      </c>
      <c r="I14" s="29"/>
      <c r="J14" s="29" t="s">
        <v>126</v>
      </c>
      <c r="K14" s="30" t="str">
        <f>IFERROR(LOOKUP(2,1/('Assignment History'!$B$5:$B$204=A14),'Assignment History'!$D$5:$D$204),IFERROR(VLOOKUP(J14,Configuration!$L$5:$M$50,2,FALSE),J14))</f>
        <v>IMS - CLOUD CSSP EXECUTOR</v>
      </c>
      <c r="L14" s="30" t="str">
        <f>IF(K14=IFERROR(VLOOKUP(J14,Configuration!$L$5:$M$50,2,FALSE),J14),"Snapshot PIC","Replacement PIC")</f>
        <v>Snapshot PIC</v>
      </c>
      <c r="M14" s="31">
        <f>IFERROR(VLOOKUP(I14,Configuration!$O$5:$P$8,2,FALSE),Configuration!$S$6)</f>
        <v>2</v>
      </c>
      <c r="N14" s="31" t="str">
        <f>IFERROR(LOOKUP(2,1/('Scope Review'!$B$5:$B$204=A14),'Scope Review'!$G$5:$G$204),"Not Reviewed")</f>
        <v>Not Reviewed</v>
      </c>
      <c r="O14" s="31" t="str">
        <f>IFERROR(LOOKUP(2,1/('Scope Review'!$B$5:$B$204=A14),'Scope Review'!$H$5:$H$204),"")</f>
        <v/>
      </c>
      <c r="P14" s="31">
        <f t="shared" si="0"/>
        <v>0</v>
      </c>
      <c r="Q14" s="32" t="str">
        <f>IFERROR(LOOKUP(2,1/('Engineer Updates'!$B$5:$B$304=A14),'Engineer Updates'!$A$5:$A$304),"")</f>
        <v/>
      </c>
      <c r="R14" s="30" t="str">
        <f>IFERROR(LOOKUP(2,1/('Engineer Updates'!$B$5:$B$304=A14),'Engineer Updates'!$E$5:$E$304),"")</f>
        <v/>
      </c>
      <c r="S14" s="30" t="str">
        <f>IFERROR(LOOKUP(2,1/('Engineer Updates'!$B$5:$B$304=A14),'Engineer Updates'!$D$5:$D$304),"")</f>
        <v/>
      </c>
      <c r="T14" s="30" t="str">
        <f>IFERROR(LOOKUP(2,1/('Engineer Updates'!$B$5:$B$304=A14),'Engineer Updates'!$F$5:$F$304),"")</f>
        <v/>
      </c>
      <c r="U14" s="30" t="str">
        <f>IFERROR(LOOKUP(2,1/('Engineer Updates'!$B$5:$B$304=A14),'Engineer Updates'!$G$5:$G$304),"")</f>
        <v/>
      </c>
      <c r="V14" s="30" t="str">
        <f>IFERROR(LOOKUP(2,1/('Engineer Updates'!$B$5:$B$304=A14),'Engineer Updates'!$H$5:$H$304),"")</f>
        <v/>
      </c>
      <c r="W14" s="33" t="str">
        <f>IFERROR(LOOKUP(2,1/('Engineer Updates'!$B$5:$B$304=A14),'Engineer Updates'!$I$5:$I$304),"")</f>
        <v/>
      </c>
      <c r="X14" s="34" t="str">
        <f t="shared" si="1"/>
        <v/>
      </c>
      <c r="Y14" s="27" t="s">
        <v>109</v>
      </c>
    </row>
    <row r="15" spans="1:25" ht="28.8">
      <c r="A15" s="27" t="s">
        <v>139</v>
      </c>
      <c r="B15" s="27" t="s">
        <v>104</v>
      </c>
      <c r="C15" s="27" t="s">
        <v>70</v>
      </c>
      <c r="D15" s="28">
        <v>46251</v>
      </c>
      <c r="E15" s="28">
        <v>46251.283950300924</v>
      </c>
      <c r="F15" s="28">
        <v>46251.315905000003</v>
      </c>
      <c r="G15" s="29" t="s">
        <v>140</v>
      </c>
      <c r="H15" s="29" t="s">
        <v>141</v>
      </c>
      <c r="I15" s="29"/>
      <c r="J15" s="29" t="s">
        <v>126</v>
      </c>
      <c r="K15" s="30" t="str">
        <f>IFERROR(LOOKUP(2,1/('Assignment History'!$B$5:$B$204=A15),'Assignment History'!$D$5:$D$204),IFERROR(VLOOKUP(J15,Configuration!$L$5:$M$50,2,FALSE),J15))</f>
        <v>IMS - CLOUD CSSP EXECUTOR</v>
      </c>
      <c r="L15" s="30" t="str">
        <f>IF(K15=IFERROR(VLOOKUP(J15,Configuration!$L$5:$M$50,2,FALSE),J15),"Snapshot PIC","Replacement PIC")</f>
        <v>Snapshot PIC</v>
      </c>
      <c r="M15" s="31">
        <f>IFERROR(VLOOKUP(I15,Configuration!$O$5:$P$8,2,FALSE),Configuration!$S$6)</f>
        <v>2</v>
      </c>
      <c r="N15" s="31" t="str">
        <f>IFERROR(LOOKUP(2,1/('Scope Review'!$B$5:$B$204=A15),'Scope Review'!$G$5:$G$204),"Not Reviewed")</f>
        <v>Not Reviewed</v>
      </c>
      <c r="O15" s="31" t="str">
        <f>IFERROR(LOOKUP(2,1/('Scope Review'!$B$5:$B$204=A15),'Scope Review'!$H$5:$H$204),"")</f>
        <v/>
      </c>
      <c r="P15" s="31">
        <f t="shared" si="0"/>
        <v>0</v>
      </c>
      <c r="Q15" s="32" t="str">
        <f>IFERROR(LOOKUP(2,1/('Engineer Updates'!$B$5:$B$304=A15),'Engineer Updates'!$A$5:$A$304),"")</f>
        <v/>
      </c>
      <c r="R15" s="30" t="str">
        <f>IFERROR(LOOKUP(2,1/('Engineer Updates'!$B$5:$B$304=A15),'Engineer Updates'!$E$5:$E$304),"")</f>
        <v/>
      </c>
      <c r="S15" s="30" t="str">
        <f>IFERROR(LOOKUP(2,1/('Engineer Updates'!$B$5:$B$304=A15),'Engineer Updates'!$D$5:$D$304),"")</f>
        <v/>
      </c>
      <c r="T15" s="30" t="str">
        <f>IFERROR(LOOKUP(2,1/('Engineer Updates'!$B$5:$B$304=A15),'Engineer Updates'!$F$5:$F$304),"")</f>
        <v/>
      </c>
      <c r="U15" s="30" t="str">
        <f>IFERROR(LOOKUP(2,1/('Engineer Updates'!$B$5:$B$304=A15),'Engineer Updates'!$G$5:$G$304),"")</f>
        <v/>
      </c>
      <c r="V15" s="30" t="str">
        <f>IFERROR(LOOKUP(2,1/('Engineer Updates'!$B$5:$B$304=A15),'Engineer Updates'!$H$5:$H$304),"")</f>
        <v/>
      </c>
      <c r="W15" s="33" t="str">
        <f>IFERROR(LOOKUP(2,1/('Engineer Updates'!$B$5:$B$304=A15),'Engineer Updates'!$I$5:$I$304),"")</f>
        <v/>
      </c>
      <c r="X15" s="34" t="str">
        <f t="shared" si="1"/>
        <v/>
      </c>
      <c r="Y15" s="27" t="s">
        <v>109</v>
      </c>
    </row>
    <row r="16" spans="1:25" ht="28.8">
      <c r="A16" s="27" t="s">
        <v>142</v>
      </c>
      <c r="B16" s="27" t="s">
        <v>104</v>
      </c>
      <c r="C16" s="27" t="s">
        <v>70</v>
      </c>
      <c r="D16" s="28">
        <v>46251</v>
      </c>
      <c r="E16" s="28">
        <v>46248.169692974538</v>
      </c>
      <c r="F16" s="28">
        <v>46251.168715254629</v>
      </c>
      <c r="G16" s="29" t="s">
        <v>143</v>
      </c>
      <c r="H16" s="29" t="s">
        <v>144</v>
      </c>
      <c r="I16" s="29" t="s">
        <v>125</v>
      </c>
      <c r="J16" s="29" t="s">
        <v>126</v>
      </c>
      <c r="K16" s="30" t="str">
        <f>IFERROR(LOOKUP(2,1/('Assignment History'!$B$5:$B$204=A16),'Assignment History'!$D$5:$D$204),IFERROR(VLOOKUP(J16,Configuration!$L$5:$M$50,2,FALSE),J16))</f>
        <v>IMS - CLOUD CSSP EXECUTOR</v>
      </c>
      <c r="L16" s="30" t="str">
        <f>IF(K16=IFERROR(VLOOKUP(J16,Configuration!$L$5:$M$50,2,FALSE),J16),"Snapshot PIC","Replacement PIC")</f>
        <v>Snapshot PIC</v>
      </c>
      <c r="M16" s="31">
        <f>IFERROR(VLOOKUP(I16,Configuration!$O$5:$P$8,2,FALSE),Configuration!$S$6)</f>
        <v>3</v>
      </c>
      <c r="N16" s="31" t="str">
        <f>IFERROR(LOOKUP(2,1/('Scope Review'!$B$5:$B$204=A16),'Scope Review'!$G$5:$G$204),"Not Reviewed")</f>
        <v>Not Reviewed</v>
      </c>
      <c r="O16" s="31" t="str">
        <f>IFERROR(LOOKUP(2,1/('Scope Review'!$B$5:$B$204=A16),'Scope Review'!$H$5:$H$204),"")</f>
        <v/>
      </c>
      <c r="P16" s="31">
        <f t="shared" si="0"/>
        <v>0</v>
      </c>
      <c r="Q16" s="32" t="str">
        <f>IFERROR(LOOKUP(2,1/('Engineer Updates'!$B$5:$B$304=A16),'Engineer Updates'!$A$5:$A$304),"")</f>
        <v/>
      </c>
      <c r="R16" s="30" t="str">
        <f>IFERROR(LOOKUP(2,1/('Engineer Updates'!$B$5:$B$304=A16),'Engineer Updates'!$E$5:$E$304),"")</f>
        <v/>
      </c>
      <c r="S16" s="30" t="str">
        <f>IFERROR(LOOKUP(2,1/('Engineer Updates'!$B$5:$B$304=A16),'Engineer Updates'!$D$5:$D$304),"")</f>
        <v/>
      </c>
      <c r="T16" s="30" t="str">
        <f>IFERROR(LOOKUP(2,1/('Engineer Updates'!$B$5:$B$304=A16),'Engineer Updates'!$F$5:$F$304),"")</f>
        <v/>
      </c>
      <c r="U16" s="30" t="str">
        <f>IFERROR(LOOKUP(2,1/('Engineer Updates'!$B$5:$B$304=A16),'Engineer Updates'!$G$5:$G$304),"")</f>
        <v/>
      </c>
      <c r="V16" s="30" t="str">
        <f>IFERROR(LOOKUP(2,1/('Engineer Updates'!$B$5:$B$304=A16),'Engineer Updates'!$H$5:$H$304),"")</f>
        <v/>
      </c>
      <c r="W16" s="33" t="str">
        <f>IFERROR(LOOKUP(2,1/('Engineer Updates'!$B$5:$B$304=A16),'Engineer Updates'!$I$5:$I$304),"")</f>
        <v/>
      </c>
      <c r="X16" s="34" t="str">
        <f t="shared" si="1"/>
        <v/>
      </c>
      <c r="Y16" s="27" t="s">
        <v>109</v>
      </c>
    </row>
    <row r="17" spans="1:25" ht="28.8">
      <c r="A17" s="27" t="s">
        <v>145</v>
      </c>
      <c r="B17" s="27" t="s">
        <v>146</v>
      </c>
      <c r="C17" s="27" t="s">
        <v>70</v>
      </c>
      <c r="D17" s="28">
        <v>46251</v>
      </c>
      <c r="E17" s="28">
        <v>46247.25359472222</v>
      </c>
      <c r="F17" s="28">
        <v>46247.257060046293</v>
      </c>
      <c r="G17" s="29" t="s">
        <v>147</v>
      </c>
      <c r="H17" s="29" t="s">
        <v>148</v>
      </c>
      <c r="I17" s="29"/>
      <c r="J17" s="29" t="s">
        <v>126</v>
      </c>
      <c r="K17" s="30" t="str">
        <f>IFERROR(LOOKUP(2,1/('Assignment History'!$B$5:$B$204=A17),'Assignment History'!$D$5:$D$204),IFERROR(VLOOKUP(J17,Configuration!$L$5:$M$50,2,FALSE),J17))</f>
        <v>IMS - CLOUD CSSP EXECUTOR</v>
      </c>
      <c r="L17" s="30" t="str">
        <f>IF(K17=IFERROR(VLOOKUP(J17,Configuration!$L$5:$M$50,2,FALSE),J17),"Snapshot PIC","Replacement PIC")</f>
        <v>Snapshot PIC</v>
      </c>
      <c r="M17" s="31">
        <f>IFERROR(VLOOKUP(I17,Configuration!$O$5:$P$8,2,FALSE),Configuration!$S$6)</f>
        <v>2</v>
      </c>
      <c r="N17" s="31" t="str">
        <f>IFERROR(LOOKUP(2,1/('Scope Review'!$B$5:$B$204=A17),'Scope Review'!$G$5:$G$204),"Not Reviewed")</f>
        <v>Not Reviewed</v>
      </c>
      <c r="O17" s="31" t="str">
        <f>IFERROR(LOOKUP(2,1/('Scope Review'!$B$5:$B$204=A17),'Scope Review'!$H$5:$H$204),"")</f>
        <v/>
      </c>
      <c r="P17" s="31">
        <f t="shared" si="0"/>
        <v>0</v>
      </c>
      <c r="Q17" s="32" t="str">
        <f>IFERROR(LOOKUP(2,1/('Engineer Updates'!$B$5:$B$304=A17),'Engineer Updates'!$A$5:$A$304),"")</f>
        <v/>
      </c>
      <c r="R17" s="30" t="str">
        <f>IFERROR(LOOKUP(2,1/('Engineer Updates'!$B$5:$B$304=A17),'Engineer Updates'!$E$5:$E$304),"")</f>
        <v/>
      </c>
      <c r="S17" s="30" t="str">
        <f>IFERROR(LOOKUP(2,1/('Engineer Updates'!$B$5:$B$304=A17),'Engineer Updates'!$D$5:$D$304),"")</f>
        <v/>
      </c>
      <c r="T17" s="30" t="str">
        <f>IFERROR(LOOKUP(2,1/('Engineer Updates'!$B$5:$B$304=A17),'Engineer Updates'!$F$5:$F$304),"")</f>
        <v/>
      </c>
      <c r="U17" s="30" t="str">
        <f>IFERROR(LOOKUP(2,1/('Engineer Updates'!$B$5:$B$304=A17),'Engineer Updates'!$G$5:$G$304),"")</f>
        <v/>
      </c>
      <c r="V17" s="30" t="str">
        <f>IFERROR(LOOKUP(2,1/('Engineer Updates'!$B$5:$B$304=A17),'Engineer Updates'!$H$5:$H$304),"")</f>
        <v/>
      </c>
      <c r="W17" s="33" t="str">
        <f>IFERROR(LOOKUP(2,1/('Engineer Updates'!$B$5:$B$304=A17),'Engineer Updates'!$I$5:$I$304),"")</f>
        <v/>
      </c>
      <c r="X17" s="34" t="str">
        <f t="shared" si="1"/>
        <v/>
      </c>
      <c r="Y17" s="27" t="s">
        <v>149</v>
      </c>
    </row>
    <row r="18" spans="1:25">
      <c r="A18" s="27" t="s">
        <v>150</v>
      </c>
      <c r="B18" s="27" t="s">
        <v>146</v>
      </c>
      <c r="C18" s="27" t="s">
        <v>70</v>
      </c>
      <c r="D18" s="28">
        <v>46251</v>
      </c>
      <c r="E18" s="28">
        <v>46247.26036521991</v>
      </c>
      <c r="F18" s="28">
        <v>46251.170836134261</v>
      </c>
      <c r="G18" s="29" t="s">
        <v>151</v>
      </c>
      <c r="H18" s="29" t="s">
        <v>152</v>
      </c>
      <c r="I18" s="29" t="s">
        <v>107</v>
      </c>
      <c r="J18" s="29" t="s">
        <v>126</v>
      </c>
      <c r="K18" s="30" t="str">
        <f>IFERROR(LOOKUP(2,1/('Assignment History'!$B$5:$B$204=A18),'Assignment History'!$D$5:$D$204),IFERROR(VLOOKUP(J18,Configuration!$L$5:$M$50,2,FALSE),J18))</f>
        <v>IMS - CLOUD CSSP EXECUTOR</v>
      </c>
      <c r="L18" s="30" t="str">
        <f>IF(K18=IFERROR(VLOOKUP(J18,Configuration!$L$5:$M$50,2,FALSE),J18),"Snapshot PIC","Replacement PIC")</f>
        <v>Snapshot PIC</v>
      </c>
      <c r="M18" s="31">
        <f>IFERROR(VLOOKUP(I18,Configuration!$O$5:$P$8,2,FALSE),Configuration!$S$6)</f>
        <v>2</v>
      </c>
      <c r="N18" s="31" t="str">
        <f>IFERROR(LOOKUP(2,1/('Scope Review'!$B$5:$B$204=A18),'Scope Review'!$G$5:$G$204),"Not Reviewed")</f>
        <v>Not Reviewed</v>
      </c>
      <c r="O18" s="31" t="str">
        <f>IFERROR(LOOKUP(2,1/('Scope Review'!$B$5:$B$204=A18),'Scope Review'!$H$5:$H$204),"")</f>
        <v/>
      </c>
      <c r="P18" s="31">
        <f t="shared" si="0"/>
        <v>0</v>
      </c>
      <c r="Q18" s="32" t="str">
        <f>IFERROR(LOOKUP(2,1/('Engineer Updates'!$B$5:$B$304=A18),'Engineer Updates'!$A$5:$A$304),"")</f>
        <v/>
      </c>
      <c r="R18" s="30" t="str">
        <f>IFERROR(LOOKUP(2,1/('Engineer Updates'!$B$5:$B$304=A18),'Engineer Updates'!$E$5:$E$304),"")</f>
        <v/>
      </c>
      <c r="S18" s="30" t="str">
        <f>IFERROR(LOOKUP(2,1/('Engineer Updates'!$B$5:$B$304=A18),'Engineer Updates'!$D$5:$D$304),"")</f>
        <v/>
      </c>
      <c r="T18" s="30" t="str">
        <f>IFERROR(LOOKUP(2,1/('Engineer Updates'!$B$5:$B$304=A18),'Engineer Updates'!$F$5:$F$304),"")</f>
        <v/>
      </c>
      <c r="U18" s="30" t="str">
        <f>IFERROR(LOOKUP(2,1/('Engineer Updates'!$B$5:$B$304=A18),'Engineer Updates'!$G$5:$G$304),"")</f>
        <v/>
      </c>
      <c r="V18" s="30" t="str">
        <f>IFERROR(LOOKUP(2,1/('Engineer Updates'!$B$5:$B$304=A18),'Engineer Updates'!$H$5:$H$304),"")</f>
        <v/>
      </c>
      <c r="W18" s="33" t="str">
        <f>IFERROR(LOOKUP(2,1/('Engineer Updates'!$B$5:$B$304=A18),'Engineer Updates'!$I$5:$I$304),"")</f>
        <v/>
      </c>
      <c r="X18" s="34" t="str">
        <f t="shared" si="1"/>
        <v/>
      </c>
      <c r="Y18" s="27" t="s">
        <v>149</v>
      </c>
    </row>
    <row r="19" spans="1:25" ht="43.2">
      <c r="A19" s="27" t="s">
        <v>153</v>
      </c>
      <c r="B19" s="27" t="s">
        <v>146</v>
      </c>
      <c r="C19" s="27" t="s">
        <v>70</v>
      </c>
      <c r="D19" s="28">
        <v>46251</v>
      </c>
      <c r="E19" s="28">
        <v>46248.336791122689</v>
      </c>
      <c r="F19" s="28">
        <v>46251.157290625</v>
      </c>
      <c r="G19" s="29" t="s">
        <v>154</v>
      </c>
      <c r="H19" s="29" t="s">
        <v>155</v>
      </c>
      <c r="I19" s="29" t="s">
        <v>116</v>
      </c>
      <c r="J19" s="29" t="s">
        <v>126</v>
      </c>
      <c r="K19" s="30" t="str">
        <f>IFERROR(LOOKUP(2,1/('Assignment History'!$B$5:$B$204=A19),'Assignment History'!$D$5:$D$204),IFERROR(VLOOKUP(J19,Configuration!$L$5:$M$50,2,FALSE),J19))</f>
        <v>IMS - CLOUD CSSP EXECUTOR</v>
      </c>
      <c r="L19" s="30" t="str">
        <f>IF(K19=IFERROR(VLOOKUP(J19,Configuration!$L$5:$M$50,2,FALSE),J19),"Snapshot PIC","Replacement PIC")</f>
        <v>Snapshot PIC</v>
      </c>
      <c r="M19" s="31">
        <f>IFERROR(VLOOKUP(I19,Configuration!$O$5:$P$8,2,FALSE),Configuration!$S$6)</f>
        <v>1</v>
      </c>
      <c r="N19" s="31" t="str">
        <f>IFERROR(LOOKUP(2,1/('Scope Review'!$B$5:$B$204=A19),'Scope Review'!$G$5:$G$204),"Not Reviewed")</f>
        <v>Not Reviewed</v>
      </c>
      <c r="O19" s="31" t="str">
        <f>IFERROR(LOOKUP(2,1/('Scope Review'!$B$5:$B$204=A19),'Scope Review'!$H$5:$H$204),"")</f>
        <v/>
      </c>
      <c r="P19" s="31">
        <f t="shared" si="0"/>
        <v>0</v>
      </c>
      <c r="Q19" s="32" t="str">
        <f>IFERROR(LOOKUP(2,1/('Engineer Updates'!$B$5:$B$304=A19),'Engineer Updates'!$A$5:$A$304),"")</f>
        <v/>
      </c>
      <c r="R19" s="30" t="str">
        <f>IFERROR(LOOKUP(2,1/('Engineer Updates'!$B$5:$B$304=A19),'Engineer Updates'!$E$5:$E$304),"")</f>
        <v/>
      </c>
      <c r="S19" s="30" t="str">
        <f>IFERROR(LOOKUP(2,1/('Engineer Updates'!$B$5:$B$304=A19),'Engineer Updates'!$D$5:$D$304),"")</f>
        <v/>
      </c>
      <c r="T19" s="30" t="str">
        <f>IFERROR(LOOKUP(2,1/('Engineer Updates'!$B$5:$B$304=A19),'Engineer Updates'!$F$5:$F$304),"")</f>
        <v/>
      </c>
      <c r="U19" s="30" t="str">
        <f>IFERROR(LOOKUP(2,1/('Engineer Updates'!$B$5:$B$304=A19),'Engineer Updates'!$G$5:$G$304),"")</f>
        <v/>
      </c>
      <c r="V19" s="30" t="str">
        <f>IFERROR(LOOKUP(2,1/('Engineer Updates'!$B$5:$B$304=A19),'Engineer Updates'!$H$5:$H$304),"")</f>
        <v/>
      </c>
      <c r="W19" s="33" t="str">
        <f>IFERROR(LOOKUP(2,1/('Engineer Updates'!$B$5:$B$304=A19),'Engineer Updates'!$I$5:$I$304),"")</f>
        <v/>
      </c>
      <c r="X19" s="34" t="str">
        <f t="shared" si="1"/>
        <v/>
      </c>
      <c r="Y19" s="27" t="s">
        <v>149</v>
      </c>
    </row>
    <row r="20" spans="1:25" ht="28.8">
      <c r="A20" s="27" t="s">
        <v>156</v>
      </c>
      <c r="B20" s="27" t="s">
        <v>104</v>
      </c>
      <c r="C20" s="27" t="s">
        <v>67</v>
      </c>
      <c r="D20" s="28">
        <v>46251</v>
      </c>
      <c r="E20" s="28">
        <v>46196.123875625002</v>
      </c>
      <c r="F20" s="28">
        <v>46251.319821168981</v>
      </c>
      <c r="G20" s="29" t="s">
        <v>118</v>
      </c>
      <c r="H20" s="29" t="s">
        <v>157</v>
      </c>
      <c r="I20" s="29" t="s">
        <v>107</v>
      </c>
      <c r="J20" s="29" t="s">
        <v>158</v>
      </c>
      <c r="K20" s="30" t="str">
        <f>IFERROR(LOOKUP(2,1/('Assignment History'!$B$5:$B$204=A20),'Assignment History'!$D$5:$D$204),IFERROR(VLOOKUP(J20,Configuration!$L$5:$M$50,2,FALSE),J20))</f>
        <v>abdul.khoir@petronas.com</v>
      </c>
      <c r="L20" s="30" t="str">
        <f>IF(K20=IFERROR(VLOOKUP(J20,Configuration!$L$5:$M$50,2,FALSE),J20),"Snapshot PIC","Replacement PIC")</f>
        <v>Snapshot PIC</v>
      </c>
      <c r="M20" s="31">
        <f>IFERROR(VLOOKUP(I20,Configuration!$O$5:$P$8,2,FALSE),Configuration!$S$6)</f>
        <v>2</v>
      </c>
      <c r="N20" s="31" t="str">
        <f>IFERROR(LOOKUP(2,1/('Scope Review'!$B$5:$B$204=A20),'Scope Review'!$G$5:$G$204),"Not Reviewed")</f>
        <v>Not Reviewed</v>
      </c>
      <c r="O20" s="31" t="str">
        <f>IFERROR(LOOKUP(2,1/('Scope Review'!$B$5:$B$204=A20),'Scope Review'!$H$5:$H$204),"")</f>
        <v/>
      </c>
      <c r="P20" s="31">
        <f t="shared" si="0"/>
        <v>2</v>
      </c>
      <c r="Q20" s="32">
        <f>IFERROR(LOOKUP(2,1/('Engineer Updates'!$B$5:$B$304=A20),'Engineer Updates'!$A$5:$A$304),"")</f>
        <v>46251</v>
      </c>
      <c r="R20" s="30" t="str">
        <f>IFERROR(LOOKUP(2,1/('Engineer Updates'!$B$5:$B$304=A20),'Engineer Updates'!$E$5:$E$304),"")</f>
        <v>Not Started</v>
      </c>
      <c r="S20" s="30">
        <f>IFERROR(LOOKUP(2,1/('Engineer Updates'!$B$5:$B$304=A20),'Engineer Updates'!$D$5:$D$304),"")</f>
        <v>0</v>
      </c>
      <c r="T20" s="30">
        <f>IFERROR(LOOKUP(2,1/('Engineer Updates'!$B$5:$B$304=A20),'Engineer Updates'!$F$5:$F$304),"")</f>
        <v>0</v>
      </c>
      <c r="U20" s="30">
        <f>IFERROR(LOOKUP(2,1/('Engineer Updates'!$B$5:$B$304=A20),'Engineer Updates'!$G$5:$G$304),"")</f>
        <v>0</v>
      </c>
      <c r="V20" s="30">
        <f>IFERROR(LOOKUP(2,1/('Engineer Updates'!$B$5:$B$304=A20),'Engineer Updates'!$H$5:$H$304),"")</f>
        <v>0</v>
      </c>
      <c r="W20" s="33">
        <f>IFERROR(LOOKUP(2,1/('Engineer Updates'!$B$5:$B$304=A20),'Engineer Updates'!$I$5:$I$304),"")</f>
        <v>0</v>
      </c>
      <c r="X20" s="34" t="str">
        <f t="shared" si="1"/>
        <v/>
      </c>
      <c r="Y20" s="27" t="s">
        <v>109</v>
      </c>
    </row>
    <row r="21" spans="1:25" ht="28.8">
      <c r="A21" s="27" t="s">
        <v>159</v>
      </c>
      <c r="B21" s="27" t="s">
        <v>104</v>
      </c>
      <c r="C21" s="27" t="s">
        <v>67</v>
      </c>
      <c r="D21" s="28">
        <v>46251</v>
      </c>
      <c r="E21" s="28">
        <v>46226.128341215277</v>
      </c>
      <c r="F21" s="28">
        <v>46233.10640715278</v>
      </c>
      <c r="G21" s="29" t="s">
        <v>160</v>
      </c>
      <c r="H21" s="29" t="s">
        <v>161</v>
      </c>
      <c r="I21" s="29" t="s">
        <v>107</v>
      </c>
      <c r="J21" s="29" t="s">
        <v>162</v>
      </c>
      <c r="K21" s="30" t="str">
        <f>IFERROR(LOOKUP(2,1/('Assignment History'!$B$5:$B$204=A21),'Assignment History'!$D$5:$D$204),IFERROR(VLOOKUP(J21,Configuration!$L$5:$M$50,2,FALSE),J21))</f>
        <v>abdul.khoir@petronas.com</v>
      </c>
      <c r="L21" s="30" t="str">
        <f>IF(K21=IFERROR(VLOOKUP(J21,Configuration!$L$5:$M$50,2,FALSE),J21),"Snapshot PIC","Replacement PIC")</f>
        <v>Replacement PIC</v>
      </c>
      <c r="M21" s="31">
        <f>IFERROR(VLOOKUP(I21,Configuration!$O$5:$P$8,2,FALSE),Configuration!$S$6)</f>
        <v>2</v>
      </c>
      <c r="N21" s="31" t="str">
        <f>IFERROR(LOOKUP(2,1/('Scope Review'!$B$5:$B$204=A21),'Scope Review'!$G$5:$G$204),"Not Reviewed")</f>
        <v>Not Reviewed</v>
      </c>
      <c r="O21" s="31" t="str">
        <f>IFERROR(LOOKUP(2,1/('Scope Review'!$B$5:$B$204=A21),'Scope Review'!$H$5:$H$204),"")</f>
        <v/>
      </c>
      <c r="P21" s="31">
        <f t="shared" si="0"/>
        <v>2</v>
      </c>
      <c r="Q21" s="32">
        <f>IFERROR(LOOKUP(2,1/('Engineer Updates'!$B$5:$B$304=A21),'Engineer Updates'!$A$5:$A$304),"")</f>
        <v>46251</v>
      </c>
      <c r="R21" s="30" t="str">
        <f>IFERROR(LOOKUP(2,1/('Engineer Updates'!$B$5:$B$304=A21),'Engineer Updates'!$E$5:$E$304),"")</f>
        <v>Not Started</v>
      </c>
      <c r="S21" s="30">
        <f>IFERROR(LOOKUP(2,1/('Engineer Updates'!$B$5:$B$304=A21),'Engineer Updates'!$D$5:$D$304),"")</f>
        <v>0</v>
      </c>
      <c r="T21" s="30">
        <f>IFERROR(LOOKUP(2,1/('Engineer Updates'!$B$5:$B$304=A21),'Engineer Updates'!$F$5:$F$304),"")</f>
        <v>0</v>
      </c>
      <c r="U21" s="30">
        <f>IFERROR(LOOKUP(2,1/('Engineer Updates'!$B$5:$B$304=A21),'Engineer Updates'!$G$5:$G$304),"")</f>
        <v>0</v>
      </c>
      <c r="V21" s="30">
        <f>IFERROR(LOOKUP(2,1/('Engineer Updates'!$B$5:$B$304=A21),'Engineer Updates'!$H$5:$H$304),"")</f>
        <v>0</v>
      </c>
      <c r="W21" s="33">
        <f>IFERROR(LOOKUP(2,1/('Engineer Updates'!$B$5:$B$304=A21),'Engineer Updates'!$I$5:$I$304),"")</f>
        <v>0</v>
      </c>
      <c r="X21" s="34" t="str">
        <f t="shared" si="1"/>
        <v/>
      </c>
      <c r="Y21" s="27" t="s">
        <v>109</v>
      </c>
    </row>
    <row r="22" spans="1:25">
      <c r="A22" s="27" t="s">
        <v>163</v>
      </c>
      <c r="B22" s="27" t="s">
        <v>104</v>
      </c>
      <c r="C22" s="27" t="s">
        <v>67</v>
      </c>
      <c r="D22" s="28">
        <v>46251</v>
      </c>
      <c r="E22" s="28">
        <v>46209.158434537036</v>
      </c>
      <c r="F22" s="28">
        <v>46209.168637627314</v>
      </c>
      <c r="G22" s="29" t="s">
        <v>164</v>
      </c>
      <c r="H22" s="29" t="s">
        <v>165</v>
      </c>
      <c r="I22" s="29" t="s">
        <v>116</v>
      </c>
      <c r="J22" s="29" t="s">
        <v>162</v>
      </c>
      <c r="K22" s="30" t="str">
        <f>IFERROR(LOOKUP(2,1/('Assignment History'!$B$5:$B$204=A22),'Assignment History'!$D$5:$D$204),IFERROR(VLOOKUP(J22,Configuration!$L$5:$M$50,2,FALSE),J22))</f>
        <v>arun.karuppiah@petronas.com</v>
      </c>
      <c r="L22" s="30" t="str">
        <f>IF(K22=IFERROR(VLOOKUP(J22,Configuration!$L$5:$M$50,2,FALSE),J22),"Snapshot PIC","Replacement PIC")</f>
        <v>Replacement PIC</v>
      </c>
      <c r="M22" s="31">
        <f>IFERROR(VLOOKUP(I22,Configuration!$O$5:$P$8,2,FALSE),Configuration!$S$6)</f>
        <v>1</v>
      </c>
      <c r="N22" s="31" t="str">
        <f>IFERROR(LOOKUP(2,1/('Scope Review'!$B$5:$B$204=A22),'Scope Review'!$G$5:$G$204),"Not Reviewed")</f>
        <v>Not Reviewed</v>
      </c>
      <c r="O22" s="31" t="str">
        <f>IFERROR(LOOKUP(2,1/('Scope Review'!$B$5:$B$204=A22),'Scope Review'!$H$5:$H$204),"")</f>
        <v/>
      </c>
      <c r="P22" s="31">
        <f t="shared" si="0"/>
        <v>1</v>
      </c>
      <c r="Q22" s="32">
        <f>IFERROR(LOOKUP(2,1/('Engineer Updates'!$B$5:$B$304=A22),'Engineer Updates'!$A$5:$A$304),"")</f>
        <v>46251</v>
      </c>
      <c r="R22" s="30" t="str">
        <f>IFERROR(LOOKUP(2,1/('Engineer Updates'!$B$5:$B$304=A22),'Engineer Updates'!$E$5:$E$304),"")</f>
        <v>Not Started</v>
      </c>
      <c r="S22" s="30">
        <f>IFERROR(LOOKUP(2,1/('Engineer Updates'!$B$5:$B$304=A22),'Engineer Updates'!$D$5:$D$304),"")</f>
        <v>0</v>
      </c>
      <c r="T22" s="30">
        <f>IFERROR(LOOKUP(2,1/('Engineer Updates'!$B$5:$B$304=A22),'Engineer Updates'!$F$5:$F$304),"")</f>
        <v>0</v>
      </c>
      <c r="U22" s="30">
        <f>IFERROR(LOOKUP(2,1/('Engineer Updates'!$B$5:$B$304=A22),'Engineer Updates'!$G$5:$G$304),"")</f>
        <v>0</v>
      </c>
      <c r="V22" s="30">
        <f>IFERROR(LOOKUP(2,1/('Engineer Updates'!$B$5:$B$304=A22),'Engineer Updates'!$H$5:$H$304),"")</f>
        <v>0</v>
      </c>
      <c r="W22" s="33">
        <f>IFERROR(LOOKUP(2,1/('Engineer Updates'!$B$5:$B$304=A22),'Engineer Updates'!$I$5:$I$304),"")</f>
        <v>0</v>
      </c>
      <c r="X22" s="34" t="str">
        <f t="shared" si="1"/>
        <v/>
      </c>
      <c r="Y22" s="27" t="s">
        <v>109</v>
      </c>
    </row>
    <row r="23" spans="1:25" ht="28.8">
      <c r="A23" s="27" t="s">
        <v>166</v>
      </c>
      <c r="B23" s="27" t="s">
        <v>104</v>
      </c>
      <c r="C23" s="27" t="s">
        <v>67</v>
      </c>
      <c r="D23" s="28">
        <v>46251</v>
      </c>
      <c r="E23" s="28">
        <v>46233.109707407406</v>
      </c>
      <c r="F23" s="28">
        <v>46246.652084618057</v>
      </c>
      <c r="G23" s="29" t="s">
        <v>131</v>
      </c>
      <c r="H23" s="29" t="s">
        <v>167</v>
      </c>
      <c r="I23" s="29" t="s">
        <v>107</v>
      </c>
      <c r="J23" s="29" t="s">
        <v>168</v>
      </c>
      <c r="K23" s="30" t="str">
        <f>IFERROR(LOOKUP(2,1/('Assignment History'!$B$5:$B$204=A23),'Assignment History'!$D$5:$D$204),IFERROR(VLOOKUP(J23,Configuration!$L$5:$M$50,2,FALSE),J23))</f>
        <v>amarja.kawade@petronas.com</v>
      </c>
      <c r="L23" s="30" t="str">
        <f>IF(K23=IFERROR(VLOOKUP(J23,Configuration!$L$5:$M$50,2,FALSE),J23),"Snapshot PIC","Replacement PIC")</f>
        <v>Snapshot PIC</v>
      </c>
      <c r="M23" s="31">
        <f>IFERROR(VLOOKUP(I23,Configuration!$O$5:$P$8,2,FALSE),Configuration!$S$6)</f>
        <v>2</v>
      </c>
      <c r="N23" s="31" t="str">
        <f>IFERROR(LOOKUP(2,1/('Scope Review'!$B$5:$B$204=A23),'Scope Review'!$G$5:$G$204),"Not Reviewed")</f>
        <v>Not Reviewed</v>
      </c>
      <c r="O23" s="31" t="str">
        <f>IFERROR(LOOKUP(2,1/('Scope Review'!$B$5:$B$204=A23),'Scope Review'!$H$5:$H$204),"")</f>
        <v/>
      </c>
      <c r="P23" s="31">
        <f t="shared" si="0"/>
        <v>2</v>
      </c>
      <c r="Q23" s="32">
        <f>IFERROR(LOOKUP(2,1/('Engineer Updates'!$B$5:$B$304=A23),'Engineer Updates'!$A$5:$A$304),"")</f>
        <v>46251</v>
      </c>
      <c r="R23" s="30" t="str">
        <f>IFERROR(LOOKUP(2,1/('Engineer Updates'!$B$5:$B$304=A23),'Engineer Updates'!$E$5:$E$304),"")</f>
        <v>Not Started</v>
      </c>
      <c r="S23" s="30">
        <f>IFERROR(LOOKUP(2,1/('Engineer Updates'!$B$5:$B$304=A23),'Engineer Updates'!$D$5:$D$304),"")</f>
        <v>0</v>
      </c>
      <c r="T23" s="30">
        <f>IFERROR(LOOKUP(2,1/('Engineer Updates'!$B$5:$B$304=A23),'Engineer Updates'!$F$5:$F$304),"")</f>
        <v>0</v>
      </c>
      <c r="U23" s="30">
        <f>IFERROR(LOOKUP(2,1/('Engineer Updates'!$B$5:$B$304=A23),'Engineer Updates'!$G$5:$G$304),"")</f>
        <v>0</v>
      </c>
      <c r="V23" s="30">
        <f>IFERROR(LOOKUP(2,1/('Engineer Updates'!$B$5:$B$304=A23),'Engineer Updates'!$H$5:$H$304),"")</f>
        <v>0</v>
      </c>
      <c r="W23" s="33">
        <f>IFERROR(LOOKUP(2,1/('Engineer Updates'!$B$5:$B$304=A23),'Engineer Updates'!$I$5:$I$304),"")</f>
        <v>0</v>
      </c>
      <c r="X23" s="34" t="str">
        <f t="shared" si="1"/>
        <v/>
      </c>
      <c r="Y23" s="27" t="s">
        <v>109</v>
      </c>
    </row>
    <row r="24" spans="1:25" ht="28.8">
      <c r="A24" s="27" t="s">
        <v>169</v>
      </c>
      <c r="B24" s="27" t="s">
        <v>104</v>
      </c>
      <c r="C24" s="27" t="s">
        <v>67</v>
      </c>
      <c r="D24" s="28">
        <v>46251</v>
      </c>
      <c r="E24" s="28">
        <v>46226.089098032404</v>
      </c>
      <c r="F24" s="28">
        <v>46231.204605983796</v>
      </c>
      <c r="G24" s="29" t="s">
        <v>170</v>
      </c>
      <c r="H24" s="29" t="s">
        <v>171</v>
      </c>
      <c r="I24" s="29" t="s">
        <v>116</v>
      </c>
      <c r="J24" s="29" t="s">
        <v>168</v>
      </c>
      <c r="K24" s="30" t="str">
        <f>IFERROR(LOOKUP(2,1/('Assignment History'!$B$5:$B$204=A24),'Assignment History'!$D$5:$D$204),IFERROR(VLOOKUP(J24,Configuration!$L$5:$M$50,2,FALSE),J24))</f>
        <v>amarja.kawade@petronas.com</v>
      </c>
      <c r="L24" s="30" t="str">
        <f>IF(K24=IFERROR(VLOOKUP(J24,Configuration!$L$5:$M$50,2,FALSE),J24),"Snapshot PIC","Replacement PIC")</f>
        <v>Snapshot PIC</v>
      </c>
      <c r="M24" s="31">
        <f>IFERROR(VLOOKUP(I24,Configuration!$O$5:$P$8,2,FALSE),Configuration!$S$6)</f>
        <v>1</v>
      </c>
      <c r="N24" s="31" t="str">
        <f>IFERROR(LOOKUP(2,1/('Scope Review'!$B$5:$B$204=A24),'Scope Review'!$G$5:$G$204),"Not Reviewed")</f>
        <v>Not Reviewed</v>
      </c>
      <c r="O24" s="31" t="str">
        <f>IFERROR(LOOKUP(2,1/('Scope Review'!$B$5:$B$204=A24),'Scope Review'!$H$5:$H$204),"")</f>
        <v/>
      </c>
      <c r="P24" s="31">
        <f t="shared" si="0"/>
        <v>1</v>
      </c>
      <c r="Q24" s="32">
        <f>IFERROR(LOOKUP(2,1/('Engineer Updates'!$B$5:$B$304=A24),'Engineer Updates'!$A$5:$A$304),"")</f>
        <v>46251</v>
      </c>
      <c r="R24" s="30" t="str">
        <f>IFERROR(LOOKUP(2,1/('Engineer Updates'!$B$5:$B$304=A24),'Engineer Updates'!$E$5:$E$304),"")</f>
        <v>Not Started</v>
      </c>
      <c r="S24" s="30">
        <f>IFERROR(LOOKUP(2,1/('Engineer Updates'!$B$5:$B$304=A24),'Engineer Updates'!$D$5:$D$304),"")</f>
        <v>0</v>
      </c>
      <c r="T24" s="30">
        <f>IFERROR(LOOKUP(2,1/('Engineer Updates'!$B$5:$B$304=A24),'Engineer Updates'!$F$5:$F$304),"")</f>
        <v>0</v>
      </c>
      <c r="U24" s="30">
        <f>IFERROR(LOOKUP(2,1/('Engineer Updates'!$B$5:$B$304=A24),'Engineer Updates'!$G$5:$G$304),"")</f>
        <v>0</v>
      </c>
      <c r="V24" s="30">
        <f>IFERROR(LOOKUP(2,1/('Engineer Updates'!$B$5:$B$304=A24),'Engineer Updates'!$H$5:$H$304),"")</f>
        <v>0</v>
      </c>
      <c r="W24" s="33">
        <f>IFERROR(LOOKUP(2,1/('Engineer Updates'!$B$5:$B$304=A24),'Engineer Updates'!$I$5:$I$304),"")</f>
        <v>0</v>
      </c>
      <c r="X24" s="34" t="str">
        <f t="shared" si="1"/>
        <v/>
      </c>
      <c r="Y24" s="27" t="s">
        <v>109</v>
      </c>
    </row>
    <row r="25" spans="1:25" ht="28.8">
      <c r="A25" s="27" t="s">
        <v>172</v>
      </c>
      <c r="B25" s="27" t="s">
        <v>104</v>
      </c>
      <c r="C25" s="27" t="s">
        <v>67</v>
      </c>
      <c r="D25" s="28">
        <v>46251</v>
      </c>
      <c r="E25" s="28">
        <v>46199.353989178242</v>
      </c>
      <c r="F25" s="28">
        <v>46247.11604627315</v>
      </c>
      <c r="G25" s="29" t="s">
        <v>173</v>
      </c>
      <c r="H25" s="29" t="s">
        <v>174</v>
      </c>
      <c r="I25" s="29" t="s">
        <v>116</v>
      </c>
      <c r="J25" s="29" t="s">
        <v>168</v>
      </c>
      <c r="K25" s="30" t="str">
        <f>IFERROR(LOOKUP(2,1/('Assignment History'!$B$5:$B$204=A25),'Assignment History'!$D$5:$D$204),IFERROR(VLOOKUP(J25,Configuration!$L$5:$M$50,2,FALSE),J25))</f>
        <v>amarja.kawade@petronas.com</v>
      </c>
      <c r="L25" s="30" t="str">
        <f>IF(K25=IFERROR(VLOOKUP(J25,Configuration!$L$5:$M$50,2,FALSE),J25),"Snapshot PIC","Replacement PIC")</f>
        <v>Snapshot PIC</v>
      </c>
      <c r="M25" s="31">
        <f>IFERROR(VLOOKUP(I25,Configuration!$O$5:$P$8,2,FALSE),Configuration!$S$6)</f>
        <v>1</v>
      </c>
      <c r="N25" s="31" t="str">
        <f>IFERROR(LOOKUP(2,1/('Scope Review'!$B$5:$B$204=A25),'Scope Review'!$G$5:$G$204),"Not Reviewed")</f>
        <v>Not Reviewed</v>
      </c>
      <c r="O25" s="31" t="str">
        <f>IFERROR(LOOKUP(2,1/('Scope Review'!$B$5:$B$204=A25),'Scope Review'!$H$5:$H$204),"")</f>
        <v/>
      </c>
      <c r="P25" s="31">
        <f t="shared" si="0"/>
        <v>1</v>
      </c>
      <c r="Q25" s="32">
        <f>IFERROR(LOOKUP(2,1/('Engineer Updates'!$B$5:$B$304=A25),'Engineer Updates'!$A$5:$A$304),"")</f>
        <v>46251</v>
      </c>
      <c r="R25" s="30" t="str">
        <f>IFERROR(LOOKUP(2,1/('Engineer Updates'!$B$5:$B$304=A25),'Engineer Updates'!$E$5:$E$304),"")</f>
        <v>Not Started</v>
      </c>
      <c r="S25" s="30">
        <f>IFERROR(LOOKUP(2,1/('Engineer Updates'!$B$5:$B$304=A25),'Engineer Updates'!$D$5:$D$304),"")</f>
        <v>0</v>
      </c>
      <c r="T25" s="30">
        <f>IFERROR(LOOKUP(2,1/('Engineer Updates'!$B$5:$B$304=A25),'Engineer Updates'!$F$5:$F$304),"")</f>
        <v>0</v>
      </c>
      <c r="U25" s="30">
        <f>IFERROR(LOOKUP(2,1/('Engineer Updates'!$B$5:$B$304=A25),'Engineer Updates'!$G$5:$G$304),"")</f>
        <v>0</v>
      </c>
      <c r="V25" s="30">
        <f>IFERROR(LOOKUP(2,1/('Engineer Updates'!$B$5:$B$304=A25),'Engineer Updates'!$H$5:$H$304),"")</f>
        <v>0</v>
      </c>
      <c r="W25" s="33">
        <f>IFERROR(LOOKUP(2,1/('Engineer Updates'!$B$5:$B$304=A25),'Engineer Updates'!$I$5:$I$304),"")</f>
        <v>0</v>
      </c>
      <c r="X25" s="34" t="str">
        <f t="shared" si="1"/>
        <v/>
      </c>
      <c r="Y25" s="27" t="s">
        <v>109</v>
      </c>
    </row>
    <row r="26" spans="1:25" ht="28.8">
      <c r="A26" s="27" t="s">
        <v>175</v>
      </c>
      <c r="B26" s="27" t="s">
        <v>104</v>
      </c>
      <c r="C26" s="27" t="s">
        <v>67</v>
      </c>
      <c r="D26" s="28">
        <v>46251</v>
      </c>
      <c r="E26" s="28">
        <v>46226.263291342591</v>
      </c>
      <c r="F26" s="28">
        <v>46233.104649583336</v>
      </c>
      <c r="G26" s="29" t="s">
        <v>176</v>
      </c>
      <c r="H26" s="29" t="s">
        <v>177</v>
      </c>
      <c r="I26" s="29" t="s">
        <v>107</v>
      </c>
      <c r="J26" s="29" t="s">
        <v>168</v>
      </c>
      <c r="K26" s="30" t="str">
        <f>IFERROR(LOOKUP(2,1/('Assignment History'!$B$5:$B$204=A26),'Assignment History'!$D$5:$D$204),IFERROR(VLOOKUP(J26,Configuration!$L$5:$M$50,2,FALSE),J26))</f>
        <v>amarja.kawade@petronas.com</v>
      </c>
      <c r="L26" s="30" t="str">
        <f>IF(K26=IFERROR(VLOOKUP(J26,Configuration!$L$5:$M$50,2,FALSE),J26),"Snapshot PIC","Replacement PIC")</f>
        <v>Snapshot PIC</v>
      </c>
      <c r="M26" s="31">
        <f>IFERROR(VLOOKUP(I26,Configuration!$O$5:$P$8,2,FALSE),Configuration!$S$6)</f>
        <v>2</v>
      </c>
      <c r="N26" s="31" t="str">
        <f>IFERROR(LOOKUP(2,1/('Scope Review'!$B$5:$B$204=A26),'Scope Review'!$G$5:$G$204),"Not Reviewed")</f>
        <v>Not Reviewed</v>
      </c>
      <c r="O26" s="31" t="str">
        <f>IFERROR(LOOKUP(2,1/('Scope Review'!$B$5:$B$204=A26),'Scope Review'!$H$5:$H$204),"")</f>
        <v/>
      </c>
      <c r="P26" s="31">
        <f t="shared" si="0"/>
        <v>2</v>
      </c>
      <c r="Q26" s="32">
        <f>IFERROR(LOOKUP(2,1/('Engineer Updates'!$B$5:$B$304=A26),'Engineer Updates'!$A$5:$A$304),"")</f>
        <v>46251</v>
      </c>
      <c r="R26" s="30" t="str">
        <f>IFERROR(LOOKUP(2,1/('Engineer Updates'!$B$5:$B$304=A26),'Engineer Updates'!$E$5:$E$304),"")</f>
        <v>Not Started</v>
      </c>
      <c r="S26" s="30">
        <f>IFERROR(LOOKUP(2,1/('Engineer Updates'!$B$5:$B$304=A26),'Engineer Updates'!$D$5:$D$304),"")</f>
        <v>0</v>
      </c>
      <c r="T26" s="30">
        <f>IFERROR(LOOKUP(2,1/('Engineer Updates'!$B$5:$B$304=A26),'Engineer Updates'!$F$5:$F$304),"")</f>
        <v>0</v>
      </c>
      <c r="U26" s="30">
        <f>IFERROR(LOOKUP(2,1/('Engineer Updates'!$B$5:$B$304=A26),'Engineer Updates'!$G$5:$G$304),"")</f>
        <v>0</v>
      </c>
      <c r="V26" s="30">
        <f>IFERROR(LOOKUP(2,1/('Engineer Updates'!$B$5:$B$304=A26),'Engineer Updates'!$H$5:$H$304),"")</f>
        <v>0</v>
      </c>
      <c r="W26" s="33">
        <f>IFERROR(LOOKUP(2,1/('Engineer Updates'!$B$5:$B$304=A26),'Engineer Updates'!$I$5:$I$304),"")</f>
        <v>0</v>
      </c>
      <c r="X26" s="34" t="str">
        <f t="shared" si="1"/>
        <v/>
      </c>
      <c r="Y26" s="27" t="s">
        <v>109</v>
      </c>
    </row>
    <row r="27" spans="1:25" ht="28.8">
      <c r="A27" s="27" t="s">
        <v>178</v>
      </c>
      <c r="B27" s="27" t="s">
        <v>104</v>
      </c>
      <c r="C27" s="27" t="s">
        <v>67</v>
      </c>
      <c r="D27" s="28">
        <v>46251</v>
      </c>
      <c r="E27" s="28">
        <v>46237.102823969908</v>
      </c>
      <c r="F27" s="28">
        <v>46246.650579814814</v>
      </c>
      <c r="G27" s="29" t="s">
        <v>179</v>
      </c>
      <c r="H27" s="29" t="s">
        <v>180</v>
      </c>
      <c r="I27" s="29" t="s">
        <v>107</v>
      </c>
      <c r="J27" s="29" t="s">
        <v>168</v>
      </c>
      <c r="K27" s="30" t="str">
        <f>IFERROR(LOOKUP(2,1/('Assignment History'!$B$5:$B$204=A27),'Assignment History'!$D$5:$D$204),IFERROR(VLOOKUP(J27,Configuration!$L$5:$M$50,2,FALSE),J27))</f>
        <v>amarja.kawade@petronas.com</v>
      </c>
      <c r="L27" s="30" t="str">
        <f>IF(K27=IFERROR(VLOOKUP(J27,Configuration!$L$5:$M$50,2,FALSE),J27),"Snapshot PIC","Replacement PIC")</f>
        <v>Snapshot PIC</v>
      </c>
      <c r="M27" s="31">
        <f>IFERROR(VLOOKUP(I27,Configuration!$O$5:$P$8,2,FALSE),Configuration!$S$6)</f>
        <v>2</v>
      </c>
      <c r="N27" s="31" t="str">
        <f>IFERROR(LOOKUP(2,1/('Scope Review'!$B$5:$B$204=A27),'Scope Review'!$G$5:$G$204),"Not Reviewed")</f>
        <v>Not Reviewed</v>
      </c>
      <c r="O27" s="31" t="str">
        <f>IFERROR(LOOKUP(2,1/('Scope Review'!$B$5:$B$204=A27),'Scope Review'!$H$5:$H$204),"")</f>
        <v/>
      </c>
      <c r="P27" s="31">
        <f t="shared" si="0"/>
        <v>2</v>
      </c>
      <c r="Q27" s="32">
        <f>IFERROR(LOOKUP(2,1/('Engineer Updates'!$B$5:$B$304=A27),'Engineer Updates'!$A$5:$A$304),"")</f>
        <v>46251</v>
      </c>
      <c r="R27" s="30" t="str">
        <f>IFERROR(LOOKUP(2,1/('Engineer Updates'!$B$5:$B$304=A27),'Engineer Updates'!$E$5:$E$304),"")</f>
        <v>Not Started</v>
      </c>
      <c r="S27" s="30">
        <f>IFERROR(LOOKUP(2,1/('Engineer Updates'!$B$5:$B$304=A27),'Engineer Updates'!$D$5:$D$304),"")</f>
        <v>0</v>
      </c>
      <c r="T27" s="30">
        <f>IFERROR(LOOKUP(2,1/('Engineer Updates'!$B$5:$B$304=A27),'Engineer Updates'!$F$5:$F$304),"")</f>
        <v>0</v>
      </c>
      <c r="U27" s="30">
        <f>IFERROR(LOOKUP(2,1/('Engineer Updates'!$B$5:$B$304=A27),'Engineer Updates'!$G$5:$G$304),"")</f>
        <v>0</v>
      </c>
      <c r="V27" s="30">
        <f>IFERROR(LOOKUP(2,1/('Engineer Updates'!$B$5:$B$304=A27),'Engineer Updates'!$H$5:$H$304),"")</f>
        <v>0</v>
      </c>
      <c r="W27" s="33">
        <f>IFERROR(LOOKUP(2,1/('Engineer Updates'!$B$5:$B$304=A27),'Engineer Updates'!$I$5:$I$304),"")</f>
        <v>0</v>
      </c>
      <c r="X27" s="34" t="str">
        <f t="shared" si="1"/>
        <v/>
      </c>
      <c r="Y27" s="27" t="s">
        <v>109</v>
      </c>
    </row>
    <row r="28" spans="1:25" ht="28.8">
      <c r="A28" s="27" t="s">
        <v>181</v>
      </c>
      <c r="B28" s="27" t="s">
        <v>104</v>
      </c>
      <c r="C28" s="27" t="s">
        <v>67</v>
      </c>
      <c r="D28" s="28">
        <v>46251</v>
      </c>
      <c r="E28" s="28">
        <v>46226.25001640046</v>
      </c>
      <c r="F28" s="28">
        <v>46239.619336041666</v>
      </c>
      <c r="G28" s="29" t="s">
        <v>182</v>
      </c>
      <c r="H28" s="29" t="s">
        <v>183</v>
      </c>
      <c r="I28" s="29" t="s">
        <v>107</v>
      </c>
      <c r="J28" s="29" t="s">
        <v>168</v>
      </c>
      <c r="K28" s="30" t="str">
        <f>IFERROR(LOOKUP(2,1/('Assignment History'!$B$5:$B$204=A28),'Assignment History'!$D$5:$D$204),IFERROR(VLOOKUP(J28,Configuration!$L$5:$M$50,2,FALSE),J28))</f>
        <v>amarja.kawade@petronas.com</v>
      </c>
      <c r="L28" s="30" t="str">
        <f>IF(K28=IFERROR(VLOOKUP(J28,Configuration!$L$5:$M$50,2,FALSE),J28),"Snapshot PIC","Replacement PIC")</f>
        <v>Snapshot PIC</v>
      </c>
      <c r="M28" s="31">
        <f>IFERROR(VLOOKUP(I28,Configuration!$O$5:$P$8,2,FALSE),Configuration!$S$6)</f>
        <v>2</v>
      </c>
      <c r="N28" s="31" t="str">
        <f>IFERROR(LOOKUP(2,1/('Scope Review'!$B$5:$B$204=A28),'Scope Review'!$G$5:$G$204),"Not Reviewed")</f>
        <v>Not Reviewed</v>
      </c>
      <c r="O28" s="31" t="str">
        <f>IFERROR(LOOKUP(2,1/('Scope Review'!$B$5:$B$204=A28),'Scope Review'!$H$5:$H$204),"")</f>
        <v/>
      </c>
      <c r="P28" s="31">
        <f t="shared" si="0"/>
        <v>2</v>
      </c>
      <c r="Q28" s="32">
        <f>IFERROR(LOOKUP(2,1/('Engineer Updates'!$B$5:$B$304=A28),'Engineer Updates'!$A$5:$A$304),"")</f>
        <v>46251</v>
      </c>
      <c r="R28" s="30" t="str">
        <f>IFERROR(LOOKUP(2,1/('Engineer Updates'!$B$5:$B$304=A28),'Engineer Updates'!$E$5:$E$304),"")</f>
        <v>Not Started</v>
      </c>
      <c r="S28" s="30">
        <f>IFERROR(LOOKUP(2,1/('Engineer Updates'!$B$5:$B$304=A28),'Engineer Updates'!$D$5:$D$304),"")</f>
        <v>0</v>
      </c>
      <c r="T28" s="30">
        <f>IFERROR(LOOKUP(2,1/('Engineer Updates'!$B$5:$B$304=A28),'Engineer Updates'!$F$5:$F$304),"")</f>
        <v>0</v>
      </c>
      <c r="U28" s="30">
        <f>IFERROR(LOOKUP(2,1/('Engineer Updates'!$B$5:$B$304=A28),'Engineer Updates'!$G$5:$G$304),"")</f>
        <v>0</v>
      </c>
      <c r="V28" s="30">
        <f>IFERROR(LOOKUP(2,1/('Engineer Updates'!$B$5:$B$304=A28),'Engineer Updates'!$H$5:$H$304),"")</f>
        <v>0</v>
      </c>
      <c r="W28" s="33">
        <f>IFERROR(LOOKUP(2,1/('Engineer Updates'!$B$5:$B$304=A28),'Engineer Updates'!$I$5:$I$304),"")</f>
        <v>0</v>
      </c>
      <c r="X28" s="34" t="str">
        <f t="shared" si="1"/>
        <v/>
      </c>
      <c r="Y28" s="27" t="s">
        <v>109</v>
      </c>
    </row>
    <row r="29" spans="1:25" ht="28.8">
      <c r="A29" s="27" t="s">
        <v>184</v>
      </c>
      <c r="B29" s="27" t="s">
        <v>104</v>
      </c>
      <c r="C29" s="27" t="s">
        <v>67</v>
      </c>
      <c r="D29" s="28">
        <v>46251</v>
      </c>
      <c r="E29" s="28">
        <v>46226.166300173609</v>
      </c>
      <c r="F29" s="28">
        <v>46239.290182106481</v>
      </c>
      <c r="G29" s="29" t="s">
        <v>185</v>
      </c>
      <c r="H29" s="29" t="s">
        <v>186</v>
      </c>
      <c r="I29" s="29" t="s">
        <v>107</v>
      </c>
      <c r="J29" s="29" t="s">
        <v>168</v>
      </c>
      <c r="K29" s="30" t="str">
        <f>IFERROR(LOOKUP(2,1/('Assignment History'!$B$5:$B$204=A29),'Assignment History'!$D$5:$D$204),IFERROR(VLOOKUP(J29,Configuration!$L$5:$M$50,2,FALSE),J29))</f>
        <v>amarja.kawade@petronas.com</v>
      </c>
      <c r="L29" s="30" t="str">
        <f>IF(K29=IFERROR(VLOOKUP(J29,Configuration!$L$5:$M$50,2,FALSE),J29),"Snapshot PIC","Replacement PIC")</f>
        <v>Snapshot PIC</v>
      </c>
      <c r="M29" s="31">
        <f>IFERROR(VLOOKUP(I29,Configuration!$O$5:$P$8,2,FALSE),Configuration!$S$6)</f>
        <v>2</v>
      </c>
      <c r="N29" s="31" t="str">
        <f>IFERROR(LOOKUP(2,1/('Scope Review'!$B$5:$B$204=A29),'Scope Review'!$G$5:$G$204),"Not Reviewed")</f>
        <v>Not Reviewed</v>
      </c>
      <c r="O29" s="31" t="str">
        <f>IFERROR(LOOKUP(2,1/('Scope Review'!$B$5:$B$204=A29),'Scope Review'!$H$5:$H$204),"")</f>
        <v/>
      </c>
      <c r="P29" s="31">
        <f t="shared" si="0"/>
        <v>2</v>
      </c>
      <c r="Q29" s="32">
        <f>IFERROR(LOOKUP(2,1/('Engineer Updates'!$B$5:$B$304=A29),'Engineer Updates'!$A$5:$A$304),"")</f>
        <v>46251</v>
      </c>
      <c r="R29" s="30" t="str">
        <f>IFERROR(LOOKUP(2,1/('Engineer Updates'!$B$5:$B$304=A29),'Engineer Updates'!$E$5:$E$304),"")</f>
        <v>Not Started</v>
      </c>
      <c r="S29" s="30">
        <f>IFERROR(LOOKUP(2,1/('Engineer Updates'!$B$5:$B$304=A29),'Engineer Updates'!$D$5:$D$304),"")</f>
        <v>0</v>
      </c>
      <c r="T29" s="30">
        <f>IFERROR(LOOKUP(2,1/('Engineer Updates'!$B$5:$B$304=A29),'Engineer Updates'!$F$5:$F$304),"")</f>
        <v>0</v>
      </c>
      <c r="U29" s="30">
        <f>IFERROR(LOOKUP(2,1/('Engineer Updates'!$B$5:$B$304=A29),'Engineer Updates'!$G$5:$G$304),"")</f>
        <v>0</v>
      </c>
      <c r="V29" s="30">
        <f>IFERROR(LOOKUP(2,1/('Engineer Updates'!$B$5:$B$304=A29),'Engineer Updates'!$H$5:$H$304),"")</f>
        <v>0</v>
      </c>
      <c r="W29" s="33">
        <f>IFERROR(LOOKUP(2,1/('Engineer Updates'!$B$5:$B$304=A29),'Engineer Updates'!$I$5:$I$304),"")</f>
        <v>0</v>
      </c>
      <c r="X29" s="34" t="str">
        <f t="shared" si="1"/>
        <v/>
      </c>
      <c r="Y29" s="27" t="s">
        <v>109</v>
      </c>
    </row>
    <row r="30" spans="1:25" ht="28.8">
      <c r="A30" s="27" t="s">
        <v>187</v>
      </c>
      <c r="B30" s="27" t="s">
        <v>104</v>
      </c>
      <c r="C30" s="27" t="s">
        <v>67</v>
      </c>
      <c r="D30" s="28">
        <v>46251</v>
      </c>
      <c r="E30" s="28">
        <v>46206.335672870373</v>
      </c>
      <c r="F30" s="28">
        <v>46239.623100185185</v>
      </c>
      <c r="G30" s="29" t="s">
        <v>188</v>
      </c>
      <c r="H30" s="29" t="s">
        <v>189</v>
      </c>
      <c r="I30" s="29" t="s">
        <v>116</v>
      </c>
      <c r="J30" s="29" t="s">
        <v>168</v>
      </c>
      <c r="K30" s="30" t="str">
        <f>IFERROR(LOOKUP(2,1/('Assignment History'!$B$5:$B$204=A30),'Assignment History'!$D$5:$D$204),IFERROR(VLOOKUP(J30,Configuration!$L$5:$M$50,2,FALSE),J30))</f>
        <v>amarja.kawade@petronas.com</v>
      </c>
      <c r="L30" s="30" t="str">
        <f>IF(K30=IFERROR(VLOOKUP(J30,Configuration!$L$5:$M$50,2,FALSE),J30),"Snapshot PIC","Replacement PIC")</f>
        <v>Snapshot PIC</v>
      </c>
      <c r="M30" s="31">
        <f>IFERROR(VLOOKUP(I30,Configuration!$O$5:$P$8,2,FALSE),Configuration!$S$6)</f>
        <v>1</v>
      </c>
      <c r="N30" s="31" t="str">
        <f>IFERROR(LOOKUP(2,1/('Scope Review'!$B$5:$B$204=A30),'Scope Review'!$G$5:$G$204),"Not Reviewed")</f>
        <v>Not Reviewed</v>
      </c>
      <c r="O30" s="31" t="str">
        <f>IFERROR(LOOKUP(2,1/('Scope Review'!$B$5:$B$204=A30),'Scope Review'!$H$5:$H$204),"")</f>
        <v/>
      </c>
      <c r="P30" s="31">
        <f t="shared" si="0"/>
        <v>1</v>
      </c>
      <c r="Q30" s="32">
        <f>IFERROR(LOOKUP(2,1/('Engineer Updates'!$B$5:$B$304=A30),'Engineer Updates'!$A$5:$A$304),"")</f>
        <v>46251</v>
      </c>
      <c r="R30" s="30" t="str">
        <f>IFERROR(LOOKUP(2,1/('Engineer Updates'!$B$5:$B$304=A30),'Engineer Updates'!$E$5:$E$304),"")</f>
        <v>Not Started</v>
      </c>
      <c r="S30" s="30">
        <f>IFERROR(LOOKUP(2,1/('Engineer Updates'!$B$5:$B$304=A30),'Engineer Updates'!$D$5:$D$304),"")</f>
        <v>0</v>
      </c>
      <c r="T30" s="30">
        <f>IFERROR(LOOKUP(2,1/('Engineer Updates'!$B$5:$B$304=A30),'Engineer Updates'!$F$5:$F$304),"")</f>
        <v>0</v>
      </c>
      <c r="U30" s="30">
        <f>IFERROR(LOOKUP(2,1/('Engineer Updates'!$B$5:$B$304=A30),'Engineer Updates'!$G$5:$G$304),"")</f>
        <v>0</v>
      </c>
      <c r="V30" s="30">
        <f>IFERROR(LOOKUP(2,1/('Engineer Updates'!$B$5:$B$304=A30),'Engineer Updates'!$H$5:$H$304),"")</f>
        <v>0</v>
      </c>
      <c r="W30" s="33">
        <f>IFERROR(LOOKUP(2,1/('Engineer Updates'!$B$5:$B$304=A30),'Engineer Updates'!$I$5:$I$304),"")</f>
        <v>0</v>
      </c>
      <c r="X30" s="34" t="str">
        <f t="shared" si="1"/>
        <v/>
      </c>
      <c r="Y30" s="27" t="s">
        <v>109</v>
      </c>
    </row>
    <row r="31" spans="1:25" ht="43.2">
      <c r="A31" s="27" t="s">
        <v>190</v>
      </c>
      <c r="B31" s="27" t="s">
        <v>104</v>
      </c>
      <c r="C31" s="27" t="s">
        <v>67</v>
      </c>
      <c r="D31" s="28">
        <v>46251</v>
      </c>
      <c r="E31" s="28">
        <v>46233.109674571759</v>
      </c>
      <c r="F31" s="28">
        <v>46246.652488252315</v>
      </c>
      <c r="G31" s="29" t="s">
        <v>131</v>
      </c>
      <c r="H31" s="29" t="s">
        <v>191</v>
      </c>
      <c r="I31" s="29" t="s">
        <v>107</v>
      </c>
      <c r="J31" s="29" t="s">
        <v>168</v>
      </c>
      <c r="K31" s="30" t="str">
        <f>IFERROR(LOOKUP(2,1/('Assignment History'!$B$5:$B$204=A31),'Assignment History'!$D$5:$D$204),IFERROR(VLOOKUP(J31,Configuration!$L$5:$M$50,2,FALSE),J31))</f>
        <v>amarja.kawade@petronas.com</v>
      </c>
      <c r="L31" s="30" t="str">
        <f>IF(K31=IFERROR(VLOOKUP(J31,Configuration!$L$5:$M$50,2,FALSE),J31),"Snapshot PIC","Replacement PIC")</f>
        <v>Snapshot PIC</v>
      </c>
      <c r="M31" s="31">
        <f>IFERROR(VLOOKUP(I31,Configuration!$O$5:$P$8,2,FALSE),Configuration!$S$6)</f>
        <v>2</v>
      </c>
      <c r="N31" s="31" t="str">
        <f>IFERROR(LOOKUP(2,1/('Scope Review'!$B$5:$B$204=A31),'Scope Review'!$G$5:$G$204),"Not Reviewed")</f>
        <v>Not Reviewed</v>
      </c>
      <c r="O31" s="31" t="str">
        <f>IFERROR(LOOKUP(2,1/('Scope Review'!$B$5:$B$204=A31),'Scope Review'!$H$5:$H$204),"")</f>
        <v/>
      </c>
      <c r="P31" s="31">
        <f t="shared" si="0"/>
        <v>2</v>
      </c>
      <c r="Q31" s="32">
        <f>IFERROR(LOOKUP(2,1/('Engineer Updates'!$B$5:$B$304=A31),'Engineer Updates'!$A$5:$A$304),"")</f>
        <v>46251</v>
      </c>
      <c r="R31" s="30" t="str">
        <f>IFERROR(LOOKUP(2,1/('Engineer Updates'!$B$5:$B$304=A31),'Engineer Updates'!$E$5:$E$304),"")</f>
        <v>Not Started</v>
      </c>
      <c r="S31" s="30">
        <f>IFERROR(LOOKUP(2,1/('Engineer Updates'!$B$5:$B$304=A31),'Engineer Updates'!$D$5:$D$304),"")</f>
        <v>0</v>
      </c>
      <c r="T31" s="30">
        <f>IFERROR(LOOKUP(2,1/('Engineer Updates'!$B$5:$B$304=A31),'Engineer Updates'!$F$5:$F$304),"")</f>
        <v>0</v>
      </c>
      <c r="U31" s="30">
        <f>IFERROR(LOOKUP(2,1/('Engineer Updates'!$B$5:$B$304=A31),'Engineer Updates'!$G$5:$G$304),"")</f>
        <v>0</v>
      </c>
      <c r="V31" s="30">
        <f>IFERROR(LOOKUP(2,1/('Engineer Updates'!$B$5:$B$304=A31),'Engineer Updates'!$H$5:$H$304),"")</f>
        <v>0</v>
      </c>
      <c r="W31" s="33">
        <f>IFERROR(LOOKUP(2,1/('Engineer Updates'!$B$5:$B$304=A31),'Engineer Updates'!$I$5:$I$304),"")</f>
        <v>0</v>
      </c>
      <c r="X31" s="34" t="str">
        <f t="shared" si="1"/>
        <v/>
      </c>
      <c r="Y31" s="27" t="s">
        <v>109</v>
      </c>
    </row>
    <row r="32" spans="1:25">
      <c r="A32" s="27" t="s">
        <v>192</v>
      </c>
      <c r="B32" s="27" t="s">
        <v>104</v>
      </c>
      <c r="C32" s="27" t="s">
        <v>67</v>
      </c>
      <c r="D32" s="28">
        <v>46251</v>
      </c>
      <c r="E32" s="28">
        <v>46234.056141655092</v>
      </c>
      <c r="F32" s="28">
        <v>46246.650986736109</v>
      </c>
      <c r="G32" s="29" t="s">
        <v>193</v>
      </c>
      <c r="H32" s="29" t="s">
        <v>194</v>
      </c>
      <c r="I32" s="29" t="s">
        <v>125</v>
      </c>
      <c r="J32" s="29" t="s">
        <v>168</v>
      </c>
      <c r="K32" s="30" t="str">
        <f>IFERROR(LOOKUP(2,1/('Assignment History'!$B$5:$B$204=A32),'Assignment History'!$D$5:$D$204),IFERROR(VLOOKUP(J32,Configuration!$L$5:$M$50,2,FALSE),J32))</f>
        <v>amarja.kawade@petronas.com</v>
      </c>
      <c r="L32" s="30" t="str">
        <f>IF(K32=IFERROR(VLOOKUP(J32,Configuration!$L$5:$M$50,2,FALSE),J32),"Snapshot PIC","Replacement PIC")</f>
        <v>Snapshot PIC</v>
      </c>
      <c r="M32" s="31">
        <f>IFERROR(VLOOKUP(I32,Configuration!$O$5:$P$8,2,FALSE),Configuration!$S$6)</f>
        <v>3</v>
      </c>
      <c r="N32" s="31" t="str">
        <f>IFERROR(LOOKUP(2,1/('Scope Review'!$B$5:$B$204=A32),'Scope Review'!$G$5:$G$204),"Not Reviewed")</f>
        <v>Not Reviewed</v>
      </c>
      <c r="O32" s="31" t="str">
        <f>IFERROR(LOOKUP(2,1/('Scope Review'!$B$5:$B$204=A32),'Scope Review'!$H$5:$H$204),"")</f>
        <v/>
      </c>
      <c r="P32" s="31">
        <f t="shared" si="0"/>
        <v>3</v>
      </c>
      <c r="Q32" s="32">
        <f>IFERROR(LOOKUP(2,1/('Engineer Updates'!$B$5:$B$304=A32),'Engineer Updates'!$A$5:$A$304),"")</f>
        <v>46251</v>
      </c>
      <c r="R32" s="30" t="str">
        <f>IFERROR(LOOKUP(2,1/('Engineer Updates'!$B$5:$B$304=A32),'Engineer Updates'!$E$5:$E$304),"")</f>
        <v>Not Started</v>
      </c>
      <c r="S32" s="30">
        <f>IFERROR(LOOKUP(2,1/('Engineer Updates'!$B$5:$B$304=A32),'Engineer Updates'!$D$5:$D$304),"")</f>
        <v>0</v>
      </c>
      <c r="T32" s="30">
        <f>IFERROR(LOOKUP(2,1/('Engineer Updates'!$B$5:$B$304=A32),'Engineer Updates'!$F$5:$F$304),"")</f>
        <v>0</v>
      </c>
      <c r="U32" s="30">
        <f>IFERROR(LOOKUP(2,1/('Engineer Updates'!$B$5:$B$304=A32),'Engineer Updates'!$G$5:$G$304),"")</f>
        <v>0</v>
      </c>
      <c r="V32" s="30">
        <f>IFERROR(LOOKUP(2,1/('Engineer Updates'!$B$5:$B$304=A32),'Engineer Updates'!$H$5:$H$304),"")</f>
        <v>0</v>
      </c>
      <c r="W32" s="33">
        <f>IFERROR(LOOKUP(2,1/('Engineer Updates'!$B$5:$B$304=A32),'Engineer Updates'!$I$5:$I$304),"")</f>
        <v>0</v>
      </c>
      <c r="X32" s="34" t="str">
        <f t="shared" si="1"/>
        <v/>
      </c>
      <c r="Y32" s="27" t="s">
        <v>109</v>
      </c>
    </row>
    <row r="33" spans="1:25" ht="28.8">
      <c r="A33" s="27" t="s">
        <v>195</v>
      </c>
      <c r="B33" s="27" t="s">
        <v>104</v>
      </c>
      <c r="C33" s="27" t="s">
        <v>67</v>
      </c>
      <c r="D33" s="28">
        <v>46251</v>
      </c>
      <c r="E33" s="28">
        <v>46225.142065092594</v>
      </c>
      <c r="F33" s="28">
        <v>46239.621705937498</v>
      </c>
      <c r="G33" s="29" t="s">
        <v>196</v>
      </c>
      <c r="H33" s="29" t="s">
        <v>197</v>
      </c>
      <c r="I33" s="29" t="s">
        <v>107</v>
      </c>
      <c r="J33" s="29" t="s">
        <v>168</v>
      </c>
      <c r="K33" s="30" t="str">
        <f>IFERROR(LOOKUP(2,1/('Assignment History'!$B$5:$B$204=A33),'Assignment History'!$D$5:$D$204),IFERROR(VLOOKUP(J33,Configuration!$L$5:$M$50,2,FALSE),J33))</f>
        <v>amarja.kawade@petronas.com</v>
      </c>
      <c r="L33" s="30" t="str">
        <f>IF(K33=IFERROR(VLOOKUP(J33,Configuration!$L$5:$M$50,2,FALSE),J33),"Snapshot PIC","Replacement PIC")</f>
        <v>Snapshot PIC</v>
      </c>
      <c r="M33" s="31">
        <f>IFERROR(VLOOKUP(I33,Configuration!$O$5:$P$8,2,FALSE),Configuration!$S$6)</f>
        <v>2</v>
      </c>
      <c r="N33" s="31" t="str">
        <f>IFERROR(LOOKUP(2,1/('Scope Review'!$B$5:$B$204=A33),'Scope Review'!$G$5:$G$204),"Not Reviewed")</f>
        <v>Not Reviewed</v>
      </c>
      <c r="O33" s="31" t="str">
        <f>IFERROR(LOOKUP(2,1/('Scope Review'!$B$5:$B$204=A33),'Scope Review'!$H$5:$H$204),"")</f>
        <v/>
      </c>
      <c r="P33" s="31">
        <f t="shared" si="0"/>
        <v>2</v>
      </c>
      <c r="Q33" s="32">
        <f>IFERROR(LOOKUP(2,1/('Engineer Updates'!$B$5:$B$304=A33),'Engineer Updates'!$A$5:$A$304),"")</f>
        <v>46251</v>
      </c>
      <c r="R33" s="30" t="str">
        <f>IFERROR(LOOKUP(2,1/('Engineer Updates'!$B$5:$B$304=A33),'Engineer Updates'!$E$5:$E$304),"")</f>
        <v>Not Started</v>
      </c>
      <c r="S33" s="30">
        <f>IFERROR(LOOKUP(2,1/('Engineer Updates'!$B$5:$B$304=A33),'Engineer Updates'!$D$5:$D$304),"")</f>
        <v>0</v>
      </c>
      <c r="T33" s="30">
        <f>IFERROR(LOOKUP(2,1/('Engineer Updates'!$B$5:$B$304=A33),'Engineer Updates'!$F$5:$F$304),"")</f>
        <v>0</v>
      </c>
      <c r="U33" s="30">
        <f>IFERROR(LOOKUP(2,1/('Engineer Updates'!$B$5:$B$304=A33),'Engineer Updates'!$G$5:$G$304),"")</f>
        <v>0</v>
      </c>
      <c r="V33" s="30">
        <f>IFERROR(LOOKUP(2,1/('Engineer Updates'!$B$5:$B$304=A33),'Engineer Updates'!$H$5:$H$304),"")</f>
        <v>0</v>
      </c>
      <c r="W33" s="33">
        <f>IFERROR(LOOKUP(2,1/('Engineer Updates'!$B$5:$B$304=A33),'Engineer Updates'!$I$5:$I$304),"")</f>
        <v>0</v>
      </c>
      <c r="X33" s="34" t="str">
        <f t="shared" si="1"/>
        <v/>
      </c>
      <c r="Y33" s="27" t="s">
        <v>109</v>
      </c>
    </row>
    <row r="34" spans="1:25" ht="28.8">
      <c r="A34" s="27" t="s">
        <v>198</v>
      </c>
      <c r="B34" s="27" t="s">
        <v>104</v>
      </c>
      <c r="C34" s="27" t="s">
        <v>67</v>
      </c>
      <c r="D34" s="28">
        <v>46251</v>
      </c>
      <c r="E34" s="28">
        <v>46226.255092870371</v>
      </c>
      <c r="F34" s="28">
        <v>46239.619113125002</v>
      </c>
      <c r="G34" s="29" t="s">
        <v>182</v>
      </c>
      <c r="H34" s="29" t="s">
        <v>183</v>
      </c>
      <c r="I34" s="29" t="s">
        <v>107</v>
      </c>
      <c r="J34" s="29" t="s">
        <v>168</v>
      </c>
      <c r="K34" s="30" t="str">
        <f>IFERROR(LOOKUP(2,1/('Assignment History'!$B$5:$B$204=A34),'Assignment History'!$D$5:$D$204),IFERROR(VLOOKUP(J34,Configuration!$L$5:$M$50,2,FALSE),J34))</f>
        <v>amarja.kawade@petronas.com</v>
      </c>
      <c r="L34" s="30" t="str">
        <f>IF(K34=IFERROR(VLOOKUP(J34,Configuration!$L$5:$M$50,2,FALSE),J34),"Snapshot PIC","Replacement PIC")</f>
        <v>Snapshot PIC</v>
      </c>
      <c r="M34" s="31">
        <f>IFERROR(VLOOKUP(I34,Configuration!$O$5:$P$8,2,FALSE),Configuration!$S$6)</f>
        <v>2</v>
      </c>
      <c r="N34" s="31" t="str">
        <f>IFERROR(LOOKUP(2,1/('Scope Review'!$B$5:$B$204=A34),'Scope Review'!$G$5:$G$204),"Not Reviewed")</f>
        <v>Not Reviewed</v>
      </c>
      <c r="O34" s="31" t="str">
        <f>IFERROR(LOOKUP(2,1/('Scope Review'!$B$5:$B$204=A34),'Scope Review'!$H$5:$H$204),"")</f>
        <v/>
      </c>
      <c r="P34" s="31">
        <f t="shared" si="0"/>
        <v>2</v>
      </c>
      <c r="Q34" s="32">
        <f>IFERROR(LOOKUP(2,1/('Engineer Updates'!$B$5:$B$304=A34),'Engineer Updates'!$A$5:$A$304),"")</f>
        <v>46251</v>
      </c>
      <c r="R34" s="30" t="str">
        <f>IFERROR(LOOKUP(2,1/('Engineer Updates'!$B$5:$B$304=A34),'Engineer Updates'!$E$5:$E$304),"")</f>
        <v>Not Started</v>
      </c>
      <c r="S34" s="30">
        <f>IFERROR(LOOKUP(2,1/('Engineer Updates'!$B$5:$B$304=A34),'Engineer Updates'!$D$5:$D$304),"")</f>
        <v>0</v>
      </c>
      <c r="T34" s="30">
        <f>IFERROR(LOOKUP(2,1/('Engineer Updates'!$B$5:$B$304=A34),'Engineer Updates'!$F$5:$F$304),"")</f>
        <v>0</v>
      </c>
      <c r="U34" s="30">
        <f>IFERROR(LOOKUP(2,1/('Engineer Updates'!$B$5:$B$304=A34),'Engineer Updates'!$G$5:$G$304),"")</f>
        <v>0</v>
      </c>
      <c r="V34" s="30">
        <f>IFERROR(LOOKUP(2,1/('Engineer Updates'!$B$5:$B$304=A34),'Engineer Updates'!$H$5:$H$304),"")</f>
        <v>0</v>
      </c>
      <c r="W34" s="33">
        <f>IFERROR(LOOKUP(2,1/('Engineer Updates'!$B$5:$B$304=A34),'Engineer Updates'!$I$5:$I$304),"")</f>
        <v>0</v>
      </c>
      <c r="X34" s="34" t="str">
        <f t="shared" si="1"/>
        <v/>
      </c>
      <c r="Y34" s="27" t="s">
        <v>109</v>
      </c>
    </row>
    <row r="35" spans="1:25" ht="28.8">
      <c r="A35" s="27" t="s">
        <v>199</v>
      </c>
      <c r="B35" s="27" t="s">
        <v>104</v>
      </c>
      <c r="C35" s="27" t="s">
        <v>67</v>
      </c>
      <c r="D35" s="28">
        <v>46251</v>
      </c>
      <c r="E35" s="28">
        <v>46226.295224965281</v>
      </c>
      <c r="F35" s="28">
        <v>46239.617916550924</v>
      </c>
      <c r="G35" s="29" t="s">
        <v>200</v>
      </c>
      <c r="H35" s="29" t="s">
        <v>201</v>
      </c>
      <c r="I35" s="29" t="s">
        <v>107</v>
      </c>
      <c r="J35" s="29" t="s">
        <v>168</v>
      </c>
      <c r="K35" s="30" t="str">
        <f>IFERROR(LOOKUP(2,1/('Assignment History'!$B$5:$B$204=A35),'Assignment History'!$D$5:$D$204),IFERROR(VLOOKUP(J35,Configuration!$L$5:$M$50,2,FALSE),J35))</f>
        <v>amarja.kawade@petronas.com</v>
      </c>
      <c r="L35" s="30" t="str">
        <f>IF(K35=IFERROR(VLOOKUP(J35,Configuration!$L$5:$M$50,2,FALSE),J35),"Snapshot PIC","Replacement PIC")</f>
        <v>Snapshot PIC</v>
      </c>
      <c r="M35" s="31">
        <f>IFERROR(VLOOKUP(I35,Configuration!$O$5:$P$8,2,FALSE),Configuration!$S$6)</f>
        <v>2</v>
      </c>
      <c r="N35" s="31" t="str">
        <f>IFERROR(LOOKUP(2,1/('Scope Review'!$B$5:$B$204=A35),'Scope Review'!$G$5:$G$204),"Not Reviewed")</f>
        <v>Not Reviewed</v>
      </c>
      <c r="O35" s="31" t="str">
        <f>IFERROR(LOOKUP(2,1/('Scope Review'!$B$5:$B$204=A35),'Scope Review'!$H$5:$H$204),"")</f>
        <v/>
      </c>
      <c r="P35" s="31">
        <f t="shared" si="0"/>
        <v>2</v>
      </c>
      <c r="Q35" s="32">
        <f>IFERROR(LOOKUP(2,1/('Engineer Updates'!$B$5:$B$304=A35),'Engineer Updates'!$A$5:$A$304),"")</f>
        <v>46251</v>
      </c>
      <c r="R35" s="30" t="str">
        <f>IFERROR(LOOKUP(2,1/('Engineer Updates'!$B$5:$B$304=A35),'Engineer Updates'!$E$5:$E$304),"")</f>
        <v>Not Started</v>
      </c>
      <c r="S35" s="30">
        <f>IFERROR(LOOKUP(2,1/('Engineer Updates'!$B$5:$B$304=A35),'Engineer Updates'!$D$5:$D$304),"")</f>
        <v>0</v>
      </c>
      <c r="T35" s="30">
        <f>IFERROR(LOOKUP(2,1/('Engineer Updates'!$B$5:$B$304=A35),'Engineer Updates'!$F$5:$F$304),"")</f>
        <v>0</v>
      </c>
      <c r="U35" s="30">
        <f>IFERROR(LOOKUP(2,1/('Engineer Updates'!$B$5:$B$304=A35),'Engineer Updates'!$G$5:$G$304),"")</f>
        <v>0</v>
      </c>
      <c r="V35" s="30">
        <f>IFERROR(LOOKUP(2,1/('Engineer Updates'!$B$5:$B$304=A35),'Engineer Updates'!$H$5:$H$304),"")</f>
        <v>0</v>
      </c>
      <c r="W35" s="33">
        <f>IFERROR(LOOKUP(2,1/('Engineer Updates'!$B$5:$B$304=A35),'Engineer Updates'!$I$5:$I$304),"")</f>
        <v>0</v>
      </c>
      <c r="X35" s="34" t="str">
        <f t="shared" si="1"/>
        <v/>
      </c>
      <c r="Y35" s="27" t="s">
        <v>109</v>
      </c>
    </row>
    <row r="36" spans="1:25" ht="28.8">
      <c r="A36" s="27" t="s">
        <v>202</v>
      </c>
      <c r="B36" s="27" t="s">
        <v>104</v>
      </c>
      <c r="C36" s="27" t="s">
        <v>67</v>
      </c>
      <c r="D36" s="28">
        <v>46251</v>
      </c>
      <c r="E36" s="28">
        <v>46226.21102033565</v>
      </c>
      <c r="F36" s="28">
        <v>46239.619596921293</v>
      </c>
      <c r="G36" s="29" t="s">
        <v>203</v>
      </c>
      <c r="H36" s="29" t="s">
        <v>204</v>
      </c>
      <c r="I36" s="29" t="s">
        <v>107</v>
      </c>
      <c r="J36" s="29" t="s">
        <v>168</v>
      </c>
      <c r="K36" s="30" t="str">
        <f>IFERROR(LOOKUP(2,1/('Assignment History'!$B$5:$B$204=A36),'Assignment History'!$D$5:$D$204),IFERROR(VLOOKUP(J36,Configuration!$L$5:$M$50,2,FALSE),J36))</f>
        <v>amarja.kawade@petronas.com</v>
      </c>
      <c r="L36" s="30" t="str">
        <f>IF(K36=IFERROR(VLOOKUP(J36,Configuration!$L$5:$M$50,2,FALSE),J36),"Snapshot PIC","Replacement PIC")</f>
        <v>Snapshot PIC</v>
      </c>
      <c r="M36" s="31">
        <f>IFERROR(VLOOKUP(I36,Configuration!$O$5:$P$8,2,FALSE),Configuration!$S$6)</f>
        <v>2</v>
      </c>
      <c r="N36" s="31" t="str">
        <f>IFERROR(LOOKUP(2,1/('Scope Review'!$B$5:$B$204=A36),'Scope Review'!$G$5:$G$204),"Not Reviewed")</f>
        <v>Not Reviewed</v>
      </c>
      <c r="O36" s="31" t="str">
        <f>IFERROR(LOOKUP(2,1/('Scope Review'!$B$5:$B$204=A36),'Scope Review'!$H$5:$H$204),"")</f>
        <v/>
      </c>
      <c r="P36" s="31">
        <f t="shared" si="0"/>
        <v>2</v>
      </c>
      <c r="Q36" s="32">
        <f>IFERROR(LOOKUP(2,1/('Engineer Updates'!$B$5:$B$304=A36),'Engineer Updates'!$A$5:$A$304),"")</f>
        <v>46251</v>
      </c>
      <c r="R36" s="30" t="str">
        <f>IFERROR(LOOKUP(2,1/('Engineer Updates'!$B$5:$B$304=A36),'Engineer Updates'!$E$5:$E$304),"")</f>
        <v>Not Started</v>
      </c>
      <c r="S36" s="30">
        <f>IFERROR(LOOKUP(2,1/('Engineer Updates'!$B$5:$B$304=A36),'Engineer Updates'!$D$5:$D$304),"")</f>
        <v>0</v>
      </c>
      <c r="T36" s="30">
        <f>IFERROR(LOOKUP(2,1/('Engineer Updates'!$B$5:$B$304=A36),'Engineer Updates'!$F$5:$F$304),"")</f>
        <v>0</v>
      </c>
      <c r="U36" s="30">
        <f>IFERROR(LOOKUP(2,1/('Engineer Updates'!$B$5:$B$304=A36),'Engineer Updates'!$G$5:$G$304),"")</f>
        <v>0</v>
      </c>
      <c r="V36" s="30">
        <f>IFERROR(LOOKUP(2,1/('Engineer Updates'!$B$5:$B$304=A36),'Engineer Updates'!$H$5:$H$304),"")</f>
        <v>0</v>
      </c>
      <c r="W36" s="33">
        <f>IFERROR(LOOKUP(2,1/('Engineer Updates'!$B$5:$B$304=A36),'Engineer Updates'!$I$5:$I$304),"")</f>
        <v>0</v>
      </c>
      <c r="X36" s="34" t="str">
        <f t="shared" si="1"/>
        <v/>
      </c>
      <c r="Y36" s="27" t="s">
        <v>109</v>
      </c>
    </row>
    <row r="37" spans="1:25" ht="43.2">
      <c r="A37" s="27" t="s">
        <v>205</v>
      </c>
      <c r="B37" s="27" t="s">
        <v>104</v>
      </c>
      <c r="C37" s="27" t="s">
        <v>67</v>
      </c>
      <c r="D37" s="28">
        <v>46251</v>
      </c>
      <c r="E37" s="28">
        <v>46226.269127604166</v>
      </c>
      <c r="F37" s="28">
        <v>46239.618911516205</v>
      </c>
      <c r="G37" s="29" t="s">
        <v>206</v>
      </c>
      <c r="H37" s="29" t="s">
        <v>207</v>
      </c>
      <c r="I37" s="29" t="s">
        <v>107</v>
      </c>
      <c r="J37" s="29" t="s">
        <v>168</v>
      </c>
      <c r="K37" s="30" t="str">
        <f>IFERROR(LOOKUP(2,1/('Assignment History'!$B$5:$B$204=A37),'Assignment History'!$D$5:$D$204),IFERROR(VLOOKUP(J37,Configuration!$L$5:$M$50,2,FALSE),J37))</f>
        <v>amarja.kawade@petronas.com</v>
      </c>
      <c r="L37" s="30" t="str">
        <f>IF(K37=IFERROR(VLOOKUP(J37,Configuration!$L$5:$M$50,2,FALSE),J37),"Snapshot PIC","Replacement PIC")</f>
        <v>Snapshot PIC</v>
      </c>
      <c r="M37" s="31">
        <f>IFERROR(VLOOKUP(I37,Configuration!$O$5:$P$8,2,FALSE),Configuration!$S$6)</f>
        <v>2</v>
      </c>
      <c r="N37" s="31" t="str">
        <f>IFERROR(LOOKUP(2,1/('Scope Review'!$B$5:$B$204=A37),'Scope Review'!$G$5:$G$204),"Not Reviewed")</f>
        <v>Not Reviewed</v>
      </c>
      <c r="O37" s="31" t="str">
        <f>IFERROR(LOOKUP(2,1/('Scope Review'!$B$5:$B$204=A37),'Scope Review'!$H$5:$H$204),"")</f>
        <v/>
      </c>
      <c r="P37" s="31">
        <f t="shared" ref="P37:P68" si="2">IF(AND(C37="executing",N37&lt;&gt;"Confirmed OOS"),M37,0)</f>
        <v>2</v>
      </c>
      <c r="Q37" s="32">
        <f>IFERROR(LOOKUP(2,1/('Engineer Updates'!$B$5:$B$304=A37),'Engineer Updates'!$A$5:$A$304),"")</f>
        <v>46251</v>
      </c>
      <c r="R37" s="30" t="str">
        <f>IFERROR(LOOKUP(2,1/('Engineer Updates'!$B$5:$B$304=A37),'Engineer Updates'!$E$5:$E$304),"")</f>
        <v>Not Started</v>
      </c>
      <c r="S37" s="30">
        <f>IFERROR(LOOKUP(2,1/('Engineer Updates'!$B$5:$B$304=A37),'Engineer Updates'!$D$5:$D$304),"")</f>
        <v>0</v>
      </c>
      <c r="T37" s="30">
        <f>IFERROR(LOOKUP(2,1/('Engineer Updates'!$B$5:$B$304=A37),'Engineer Updates'!$F$5:$F$304),"")</f>
        <v>0</v>
      </c>
      <c r="U37" s="30">
        <f>IFERROR(LOOKUP(2,1/('Engineer Updates'!$B$5:$B$304=A37),'Engineer Updates'!$G$5:$G$304),"")</f>
        <v>0</v>
      </c>
      <c r="V37" s="30">
        <f>IFERROR(LOOKUP(2,1/('Engineer Updates'!$B$5:$B$304=A37),'Engineer Updates'!$H$5:$H$304),"")</f>
        <v>0</v>
      </c>
      <c r="W37" s="33">
        <f>IFERROR(LOOKUP(2,1/('Engineer Updates'!$B$5:$B$304=A37),'Engineer Updates'!$I$5:$I$304),"")</f>
        <v>0</v>
      </c>
      <c r="X37" s="34" t="str">
        <f t="shared" ref="X37:X68" si="3">IF(AND(C37="executing",ISERROR(SEARCH("@",K37))),"Executing without named engineer",IF(AND(N37="Confirmed OOS",C37="executing"),"Confirmed OOS still executing",""))</f>
        <v/>
      </c>
      <c r="Y37" s="27" t="s">
        <v>109</v>
      </c>
    </row>
    <row r="38" spans="1:25" ht="28.8">
      <c r="A38" s="27" t="s">
        <v>208</v>
      </c>
      <c r="B38" s="27" t="s">
        <v>104</v>
      </c>
      <c r="C38" s="27" t="s">
        <v>67</v>
      </c>
      <c r="D38" s="28">
        <v>46251</v>
      </c>
      <c r="E38" s="28">
        <v>46226.144208958336</v>
      </c>
      <c r="F38" s="28">
        <v>46239.620102604167</v>
      </c>
      <c r="G38" s="29" t="s">
        <v>209</v>
      </c>
      <c r="H38" s="29" t="s">
        <v>210</v>
      </c>
      <c r="I38" s="29" t="s">
        <v>107</v>
      </c>
      <c r="J38" s="29" t="s">
        <v>168</v>
      </c>
      <c r="K38" s="30" t="str">
        <f>IFERROR(LOOKUP(2,1/('Assignment History'!$B$5:$B$204=A38),'Assignment History'!$D$5:$D$204),IFERROR(VLOOKUP(J38,Configuration!$L$5:$M$50,2,FALSE),J38))</f>
        <v>amarja.kawade@petronas.com</v>
      </c>
      <c r="L38" s="30" t="str">
        <f>IF(K38=IFERROR(VLOOKUP(J38,Configuration!$L$5:$M$50,2,FALSE),J38),"Snapshot PIC","Replacement PIC")</f>
        <v>Snapshot PIC</v>
      </c>
      <c r="M38" s="31">
        <f>IFERROR(VLOOKUP(I38,Configuration!$O$5:$P$8,2,FALSE),Configuration!$S$6)</f>
        <v>2</v>
      </c>
      <c r="N38" s="31" t="str">
        <f>IFERROR(LOOKUP(2,1/('Scope Review'!$B$5:$B$204=A38),'Scope Review'!$G$5:$G$204),"Not Reviewed")</f>
        <v>Not Reviewed</v>
      </c>
      <c r="O38" s="31" t="str">
        <f>IFERROR(LOOKUP(2,1/('Scope Review'!$B$5:$B$204=A38),'Scope Review'!$H$5:$H$204),"")</f>
        <v/>
      </c>
      <c r="P38" s="31">
        <f t="shared" si="2"/>
        <v>2</v>
      </c>
      <c r="Q38" s="32">
        <f>IFERROR(LOOKUP(2,1/('Engineer Updates'!$B$5:$B$304=A38),'Engineer Updates'!$A$5:$A$304),"")</f>
        <v>46251</v>
      </c>
      <c r="R38" s="30" t="str">
        <f>IFERROR(LOOKUP(2,1/('Engineer Updates'!$B$5:$B$304=A38),'Engineer Updates'!$E$5:$E$304),"")</f>
        <v>Not Started</v>
      </c>
      <c r="S38" s="30">
        <f>IFERROR(LOOKUP(2,1/('Engineer Updates'!$B$5:$B$304=A38),'Engineer Updates'!$D$5:$D$304),"")</f>
        <v>0</v>
      </c>
      <c r="T38" s="30">
        <f>IFERROR(LOOKUP(2,1/('Engineer Updates'!$B$5:$B$304=A38),'Engineer Updates'!$F$5:$F$304),"")</f>
        <v>0</v>
      </c>
      <c r="U38" s="30">
        <f>IFERROR(LOOKUP(2,1/('Engineer Updates'!$B$5:$B$304=A38),'Engineer Updates'!$G$5:$G$304),"")</f>
        <v>0</v>
      </c>
      <c r="V38" s="30">
        <f>IFERROR(LOOKUP(2,1/('Engineer Updates'!$B$5:$B$304=A38),'Engineer Updates'!$H$5:$H$304),"")</f>
        <v>0</v>
      </c>
      <c r="W38" s="33">
        <f>IFERROR(LOOKUP(2,1/('Engineer Updates'!$B$5:$B$304=A38),'Engineer Updates'!$I$5:$I$304),"")</f>
        <v>0</v>
      </c>
      <c r="X38" s="34" t="str">
        <f t="shared" si="3"/>
        <v/>
      </c>
      <c r="Y38" s="27" t="s">
        <v>109</v>
      </c>
    </row>
    <row r="39" spans="1:25" ht="28.8">
      <c r="A39" s="27" t="s">
        <v>211</v>
      </c>
      <c r="B39" s="27" t="s">
        <v>104</v>
      </c>
      <c r="C39" s="27" t="s">
        <v>67</v>
      </c>
      <c r="D39" s="28">
        <v>46251</v>
      </c>
      <c r="E39" s="28">
        <v>46216.363403877316</v>
      </c>
      <c r="F39" s="28">
        <v>46222.859134328704</v>
      </c>
      <c r="G39" s="29" t="s">
        <v>212</v>
      </c>
      <c r="H39" s="29" t="s">
        <v>213</v>
      </c>
      <c r="I39" s="29" t="s">
        <v>107</v>
      </c>
      <c r="J39" s="29" t="s">
        <v>214</v>
      </c>
      <c r="K39" s="30" t="str">
        <f>IFERROR(LOOKUP(2,1/('Assignment History'!$B$5:$B$204=A39),'Assignment History'!$D$5:$D$204),IFERROR(VLOOKUP(J39,Configuration!$L$5:$M$50,2,FALSE),J39))</f>
        <v>amarja.kawade@petronas.com</v>
      </c>
      <c r="L39" s="30" t="str">
        <f>IF(K39=IFERROR(VLOOKUP(J39,Configuration!$L$5:$M$50,2,FALSE),J39),"Snapshot PIC","Replacement PIC")</f>
        <v>Snapshot PIC</v>
      </c>
      <c r="M39" s="31">
        <f>IFERROR(VLOOKUP(I39,Configuration!$O$5:$P$8,2,FALSE),Configuration!$S$6)</f>
        <v>2</v>
      </c>
      <c r="N39" s="31" t="str">
        <f>IFERROR(LOOKUP(2,1/('Scope Review'!$B$5:$B$204=A39),'Scope Review'!$G$5:$G$204),"Not Reviewed")</f>
        <v>Not Reviewed</v>
      </c>
      <c r="O39" s="31" t="str">
        <f>IFERROR(LOOKUP(2,1/('Scope Review'!$B$5:$B$204=A39),'Scope Review'!$H$5:$H$204),"")</f>
        <v/>
      </c>
      <c r="P39" s="31">
        <f t="shared" si="2"/>
        <v>2</v>
      </c>
      <c r="Q39" s="32">
        <f>IFERROR(LOOKUP(2,1/('Engineer Updates'!$B$5:$B$304=A39),'Engineer Updates'!$A$5:$A$304),"")</f>
        <v>46251</v>
      </c>
      <c r="R39" s="30" t="str">
        <f>IFERROR(LOOKUP(2,1/('Engineer Updates'!$B$5:$B$304=A39),'Engineer Updates'!$E$5:$E$304),"")</f>
        <v>Not Started</v>
      </c>
      <c r="S39" s="30">
        <f>IFERROR(LOOKUP(2,1/('Engineer Updates'!$B$5:$B$304=A39),'Engineer Updates'!$D$5:$D$304),"")</f>
        <v>0</v>
      </c>
      <c r="T39" s="30">
        <f>IFERROR(LOOKUP(2,1/('Engineer Updates'!$B$5:$B$304=A39),'Engineer Updates'!$F$5:$F$304),"")</f>
        <v>0</v>
      </c>
      <c r="U39" s="30">
        <f>IFERROR(LOOKUP(2,1/('Engineer Updates'!$B$5:$B$304=A39),'Engineer Updates'!$G$5:$G$304),"")</f>
        <v>0</v>
      </c>
      <c r="V39" s="30">
        <f>IFERROR(LOOKUP(2,1/('Engineer Updates'!$B$5:$B$304=A39),'Engineer Updates'!$H$5:$H$304),"")</f>
        <v>0</v>
      </c>
      <c r="W39" s="33">
        <f>IFERROR(LOOKUP(2,1/('Engineer Updates'!$B$5:$B$304=A39),'Engineer Updates'!$I$5:$I$304),"")</f>
        <v>0</v>
      </c>
      <c r="X39" s="34" t="str">
        <f t="shared" si="3"/>
        <v/>
      </c>
      <c r="Y39" s="27" t="s">
        <v>109</v>
      </c>
    </row>
    <row r="40" spans="1:25" ht="28.8">
      <c r="A40" s="27" t="s">
        <v>215</v>
      </c>
      <c r="B40" s="27" t="s">
        <v>104</v>
      </c>
      <c r="C40" s="27" t="s">
        <v>67</v>
      </c>
      <c r="D40" s="28">
        <v>46251</v>
      </c>
      <c r="E40" s="28">
        <v>46195.027428449073</v>
      </c>
      <c r="F40" s="28">
        <v>46224.110601238426</v>
      </c>
      <c r="G40" s="29" t="s">
        <v>216</v>
      </c>
      <c r="H40" s="29" t="s">
        <v>217</v>
      </c>
      <c r="I40" s="29" t="s">
        <v>107</v>
      </c>
      <c r="J40" s="29" t="s">
        <v>214</v>
      </c>
      <c r="K40" s="30" t="str">
        <f>IFERROR(LOOKUP(2,1/('Assignment History'!$B$5:$B$204=A40),'Assignment History'!$D$5:$D$204),IFERROR(VLOOKUP(J40,Configuration!$L$5:$M$50,2,FALSE),J40))</f>
        <v>amarja.kawade@petronas.com</v>
      </c>
      <c r="L40" s="30" t="str">
        <f>IF(K40=IFERROR(VLOOKUP(J40,Configuration!$L$5:$M$50,2,FALSE),J40),"Snapshot PIC","Replacement PIC")</f>
        <v>Snapshot PIC</v>
      </c>
      <c r="M40" s="31">
        <f>IFERROR(VLOOKUP(I40,Configuration!$O$5:$P$8,2,FALSE),Configuration!$S$6)</f>
        <v>2</v>
      </c>
      <c r="N40" s="31" t="str">
        <f>IFERROR(LOOKUP(2,1/('Scope Review'!$B$5:$B$204=A40),'Scope Review'!$G$5:$G$204),"Not Reviewed")</f>
        <v>Not Reviewed</v>
      </c>
      <c r="O40" s="31" t="str">
        <f>IFERROR(LOOKUP(2,1/('Scope Review'!$B$5:$B$204=A40),'Scope Review'!$H$5:$H$204),"")</f>
        <v/>
      </c>
      <c r="P40" s="31">
        <f t="shared" si="2"/>
        <v>2</v>
      </c>
      <c r="Q40" s="32">
        <f>IFERROR(LOOKUP(2,1/('Engineer Updates'!$B$5:$B$304=A40),'Engineer Updates'!$A$5:$A$304),"")</f>
        <v>46251</v>
      </c>
      <c r="R40" s="30" t="str">
        <f>IFERROR(LOOKUP(2,1/('Engineer Updates'!$B$5:$B$304=A40),'Engineer Updates'!$E$5:$E$304),"")</f>
        <v>Not Started</v>
      </c>
      <c r="S40" s="30">
        <f>IFERROR(LOOKUP(2,1/('Engineer Updates'!$B$5:$B$304=A40),'Engineer Updates'!$D$5:$D$304),"")</f>
        <v>0</v>
      </c>
      <c r="T40" s="30">
        <f>IFERROR(LOOKUP(2,1/('Engineer Updates'!$B$5:$B$304=A40),'Engineer Updates'!$F$5:$F$304),"")</f>
        <v>0</v>
      </c>
      <c r="U40" s="30">
        <f>IFERROR(LOOKUP(2,1/('Engineer Updates'!$B$5:$B$304=A40),'Engineer Updates'!$G$5:$G$304),"")</f>
        <v>0</v>
      </c>
      <c r="V40" s="30">
        <f>IFERROR(LOOKUP(2,1/('Engineer Updates'!$B$5:$B$304=A40),'Engineer Updates'!$H$5:$H$304),"")</f>
        <v>0</v>
      </c>
      <c r="W40" s="33">
        <f>IFERROR(LOOKUP(2,1/('Engineer Updates'!$B$5:$B$304=A40),'Engineer Updates'!$I$5:$I$304),"")</f>
        <v>0</v>
      </c>
      <c r="X40" s="34" t="str">
        <f t="shared" si="3"/>
        <v/>
      </c>
      <c r="Y40" s="27" t="s">
        <v>109</v>
      </c>
    </row>
    <row r="41" spans="1:25" ht="28.8">
      <c r="A41" s="27" t="s">
        <v>218</v>
      </c>
      <c r="B41" s="27" t="s">
        <v>104</v>
      </c>
      <c r="C41" s="27" t="s">
        <v>67</v>
      </c>
      <c r="D41" s="28">
        <v>46251</v>
      </c>
      <c r="E41" s="28">
        <v>46219.124604988428</v>
      </c>
      <c r="F41" s="28">
        <v>46222.858132997688</v>
      </c>
      <c r="G41" s="29" t="s">
        <v>219</v>
      </c>
      <c r="H41" s="29" t="s">
        <v>220</v>
      </c>
      <c r="I41" s="29" t="s">
        <v>116</v>
      </c>
      <c r="J41" s="29" t="s">
        <v>214</v>
      </c>
      <c r="K41" s="30" t="str">
        <f>IFERROR(LOOKUP(2,1/('Assignment History'!$B$5:$B$204=A41),'Assignment History'!$D$5:$D$204),IFERROR(VLOOKUP(J41,Configuration!$L$5:$M$50,2,FALSE),J41))</f>
        <v>amarja.kawade@petronas.com</v>
      </c>
      <c r="L41" s="30" t="str">
        <f>IF(K41=IFERROR(VLOOKUP(J41,Configuration!$L$5:$M$50,2,FALSE),J41),"Snapshot PIC","Replacement PIC")</f>
        <v>Snapshot PIC</v>
      </c>
      <c r="M41" s="31">
        <f>IFERROR(VLOOKUP(I41,Configuration!$O$5:$P$8,2,FALSE),Configuration!$S$6)</f>
        <v>1</v>
      </c>
      <c r="N41" s="31" t="str">
        <f>IFERROR(LOOKUP(2,1/('Scope Review'!$B$5:$B$204=A41),'Scope Review'!$G$5:$G$204),"Not Reviewed")</f>
        <v>Not Reviewed</v>
      </c>
      <c r="O41" s="31" t="str">
        <f>IFERROR(LOOKUP(2,1/('Scope Review'!$B$5:$B$204=A41),'Scope Review'!$H$5:$H$204),"")</f>
        <v/>
      </c>
      <c r="P41" s="31">
        <f t="shared" si="2"/>
        <v>1</v>
      </c>
      <c r="Q41" s="32">
        <f>IFERROR(LOOKUP(2,1/('Engineer Updates'!$B$5:$B$304=A41),'Engineer Updates'!$A$5:$A$304),"")</f>
        <v>46251</v>
      </c>
      <c r="R41" s="30" t="str">
        <f>IFERROR(LOOKUP(2,1/('Engineer Updates'!$B$5:$B$304=A41),'Engineer Updates'!$E$5:$E$304),"")</f>
        <v>Not Started</v>
      </c>
      <c r="S41" s="30">
        <f>IFERROR(LOOKUP(2,1/('Engineer Updates'!$B$5:$B$304=A41),'Engineer Updates'!$D$5:$D$304),"")</f>
        <v>0</v>
      </c>
      <c r="T41" s="30">
        <f>IFERROR(LOOKUP(2,1/('Engineer Updates'!$B$5:$B$304=A41),'Engineer Updates'!$F$5:$F$304),"")</f>
        <v>0</v>
      </c>
      <c r="U41" s="30">
        <f>IFERROR(LOOKUP(2,1/('Engineer Updates'!$B$5:$B$304=A41),'Engineer Updates'!$G$5:$G$304),"")</f>
        <v>0</v>
      </c>
      <c r="V41" s="30">
        <f>IFERROR(LOOKUP(2,1/('Engineer Updates'!$B$5:$B$304=A41),'Engineer Updates'!$H$5:$H$304),"")</f>
        <v>0</v>
      </c>
      <c r="W41" s="33">
        <f>IFERROR(LOOKUP(2,1/('Engineer Updates'!$B$5:$B$304=A41),'Engineer Updates'!$I$5:$I$304),"")</f>
        <v>0</v>
      </c>
      <c r="X41" s="34" t="str">
        <f t="shared" si="3"/>
        <v/>
      </c>
      <c r="Y41" s="27" t="s">
        <v>109</v>
      </c>
    </row>
    <row r="42" spans="1:25">
      <c r="A42" s="27" t="s">
        <v>221</v>
      </c>
      <c r="B42" s="27" t="s">
        <v>104</v>
      </c>
      <c r="C42" s="27" t="s">
        <v>67</v>
      </c>
      <c r="D42" s="28">
        <v>46251</v>
      </c>
      <c r="E42" s="28">
        <v>46206.46205357639</v>
      </c>
      <c r="F42" s="28">
        <v>46222.862948599533</v>
      </c>
      <c r="G42" s="29" t="s">
        <v>222</v>
      </c>
      <c r="H42" s="29" t="s">
        <v>222</v>
      </c>
      <c r="I42" s="29" t="s">
        <v>116</v>
      </c>
      <c r="J42" s="29" t="s">
        <v>214</v>
      </c>
      <c r="K42" s="30" t="str">
        <f>IFERROR(LOOKUP(2,1/('Assignment History'!$B$5:$B$204=A42),'Assignment History'!$D$5:$D$204),IFERROR(VLOOKUP(J42,Configuration!$L$5:$M$50,2,FALSE),J42))</f>
        <v>amarja.kawade@petronas.com</v>
      </c>
      <c r="L42" s="30" t="str">
        <f>IF(K42=IFERROR(VLOOKUP(J42,Configuration!$L$5:$M$50,2,FALSE),J42),"Snapshot PIC","Replacement PIC")</f>
        <v>Snapshot PIC</v>
      </c>
      <c r="M42" s="31">
        <f>IFERROR(VLOOKUP(I42,Configuration!$O$5:$P$8,2,FALSE),Configuration!$S$6)</f>
        <v>1</v>
      </c>
      <c r="N42" s="31" t="str">
        <f>IFERROR(LOOKUP(2,1/('Scope Review'!$B$5:$B$204=A42),'Scope Review'!$G$5:$G$204),"Not Reviewed")</f>
        <v>Not Reviewed</v>
      </c>
      <c r="O42" s="31" t="str">
        <f>IFERROR(LOOKUP(2,1/('Scope Review'!$B$5:$B$204=A42),'Scope Review'!$H$5:$H$204),"")</f>
        <v/>
      </c>
      <c r="P42" s="31">
        <f t="shared" si="2"/>
        <v>1</v>
      </c>
      <c r="Q42" s="32">
        <f>IFERROR(LOOKUP(2,1/('Engineer Updates'!$B$5:$B$304=A42),'Engineer Updates'!$A$5:$A$304),"")</f>
        <v>46251</v>
      </c>
      <c r="R42" s="30" t="str">
        <f>IFERROR(LOOKUP(2,1/('Engineer Updates'!$B$5:$B$304=A42),'Engineer Updates'!$E$5:$E$304),"")</f>
        <v>Not Started</v>
      </c>
      <c r="S42" s="30">
        <f>IFERROR(LOOKUP(2,1/('Engineer Updates'!$B$5:$B$304=A42),'Engineer Updates'!$D$5:$D$304),"")</f>
        <v>0</v>
      </c>
      <c r="T42" s="30">
        <f>IFERROR(LOOKUP(2,1/('Engineer Updates'!$B$5:$B$304=A42),'Engineer Updates'!$F$5:$F$304),"")</f>
        <v>0</v>
      </c>
      <c r="U42" s="30">
        <f>IFERROR(LOOKUP(2,1/('Engineer Updates'!$B$5:$B$304=A42),'Engineer Updates'!$G$5:$G$304),"")</f>
        <v>0</v>
      </c>
      <c r="V42" s="30">
        <f>IFERROR(LOOKUP(2,1/('Engineer Updates'!$B$5:$B$304=A42),'Engineer Updates'!$H$5:$H$304),"")</f>
        <v>0</v>
      </c>
      <c r="W42" s="33">
        <f>IFERROR(LOOKUP(2,1/('Engineer Updates'!$B$5:$B$304=A42),'Engineer Updates'!$I$5:$I$304),"")</f>
        <v>0</v>
      </c>
      <c r="X42" s="34" t="str">
        <f t="shared" si="3"/>
        <v/>
      </c>
      <c r="Y42" s="27" t="s">
        <v>109</v>
      </c>
    </row>
    <row r="43" spans="1:25" ht="28.8">
      <c r="A43" s="27" t="s">
        <v>223</v>
      </c>
      <c r="B43" s="27" t="s">
        <v>104</v>
      </c>
      <c r="C43" s="27" t="s">
        <v>67</v>
      </c>
      <c r="D43" s="28">
        <v>46251</v>
      </c>
      <c r="E43" s="28">
        <v>46203.391762627318</v>
      </c>
      <c r="F43" s="28">
        <v>46230.081224374997</v>
      </c>
      <c r="G43" s="29" t="s">
        <v>224</v>
      </c>
      <c r="H43" s="29" t="s">
        <v>225</v>
      </c>
      <c r="I43" s="29" t="s">
        <v>116</v>
      </c>
      <c r="J43" s="29" t="s">
        <v>126</v>
      </c>
      <c r="K43" s="30" t="str">
        <f>IFERROR(LOOKUP(2,1/('Assignment History'!$B$5:$B$204=A43),'Assignment History'!$D$5:$D$204),IFERROR(VLOOKUP(J43,Configuration!$L$5:$M$50,2,FALSE),J43))</f>
        <v>raditya.nugraha@petronas.com</v>
      </c>
      <c r="L43" s="30" t="str">
        <f>IF(K43=IFERROR(VLOOKUP(J43,Configuration!$L$5:$M$50,2,FALSE),J43),"Snapshot PIC","Replacement PIC")</f>
        <v>Replacement PIC</v>
      </c>
      <c r="M43" s="31">
        <f>IFERROR(VLOOKUP(I43,Configuration!$O$5:$P$8,2,FALSE),Configuration!$S$6)</f>
        <v>1</v>
      </c>
      <c r="N43" s="31" t="str">
        <f>IFERROR(LOOKUP(2,1/('Scope Review'!$B$5:$B$204=A43),'Scope Review'!$G$5:$G$204),"Not Reviewed")</f>
        <v>Not Reviewed</v>
      </c>
      <c r="O43" s="31" t="str">
        <f>IFERROR(LOOKUP(2,1/('Scope Review'!$B$5:$B$204=A43),'Scope Review'!$H$5:$H$204),"")</f>
        <v/>
      </c>
      <c r="P43" s="31">
        <f t="shared" si="2"/>
        <v>1</v>
      </c>
      <c r="Q43" s="32">
        <f>IFERROR(LOOKUP(2,1/('Engineer Updates'!$B$5:$B$304=A43),'Engineer Updates'!$A$5:$A$304),"")</f>
        <v>46251</v>
      </c>
      <c r="R43" s="30" t="str">
        <f>IFERROR(LOOKUP(2,1/('Engineer Updates'!$B$5:$B$304=A43),'Engineer Updates'!$E$5:$E$304),"")</f>
        <v>Not Started</v>
      </c>
      <c r="S43" s="30">
        <f>IFERROR(LOOKUP(2,1/('Engineer Updates'!$B$5:$B$304=A43),'Engineer Updates'!$D$5:$D$304),"")</f>
        <v>0</v>
      </c>
      <c r="T43" s="30">
        <f>IFERROR(LOOKUP(2,1/('Engineer Updates'!$B$5:$B$304=A43),'Engineer Updates'!$F$5:$F$304),"")</f>
        <v>0</v>
      </c>
      <c r="U43" s="30">
        <f>IFERROR(LOOKUP(2,1/('Engineer Updates'!$B$5:$B$304=A43),'Engineer Updates'!$G$5:$G$304),"")</f>
        <v>0</v>
      </c>
      <c r="V43" s="30">
        <f>IFERROR(LOOKUP(2,1/('Engineer Updates'!$B$5:$B$304=A43),'Engineer Updates'!$H$5:$H$304),"")</f>
        <v>0</v>
      </c>
      <c r="W43" s="33">
        <f>IFERROR(LOOKUP(2,1/('Engineer Updates'!$B$5:$B$304=A43),'Engineer Updates'!$I$5:$I$304),"")</f>
        <v>0</v>
      </c>
      <c r="X43" s="34" t="str">
        <f t="shared" si="3"/>
        <v/>
      </c>
      <c r="Y43" s="27" t="s">
        <v>109</v>
      </c>
    </row>
    <row r="44" spans="1:25" ht="43.2">
      <c r="A44" s="27" t="s">
        <v>226</v>
      </c>
      <c r="B44" s="27" t="s">
        <v>104</v>
      </c>
      <c r="C44" s="27" t="s">
        <v>67</v>
      </c>
      <c r="D44" s="28">
        <v>46251</v>
      </c>
      <c r="E44" s="28">
        <v>45945.388504953706</v>
      </c>
      <c r="F44" s="28">
        <v>46229.694736990743</v>
      </c>
      <c r="G44" s="29" t="s">
        <v>227</v>
      </c>
      <c r="H44" s="29" t="s">
        <v>228</v>
      </c>
      <c r="I44" s="29" t="s">
        <v>107</v>
      </c>
      <c r="J44" s="29" t="s">
        <v>126</v>
      </c>
      <c r="K44" s="30" t="str">
        <f>IFERROR(LOOKUP(2,1/('Assignment History'!$B$5:$B$204=A44),'Assignment History'!$D$5:$D$204),IFERROR(VLOOKUP(J44,Configuration!$L$5:$M$50,2,FALSE),J44))</f>
        <v>raditya.nugraha@petronas.com</v>
      </c>
      <c r="L44" s="30" t="str">
        <f>IF(K44=IFERROR(VLOOKUP(J44,Configuration!$L$5:$M$50,2,FALSE),J44),"Snapshot PIC","Replacement PIC")</f>
        <v>Replacement PIC</v>
      </c>
      <c r="M44" s="31">
        <f>IFERROR(VLOOKUP(I44,Configuration!$O$5:$P$8,2,FALSE),Configuration!$S$6)</f>
        <v>2</v>
      </c>
      <c r="N44" s="31" t="str">
        <f>IFERROR(LOOKUP(2,1/('Scope Review'!$B$5:$B$204=A44),'Scope Review'!$G$5:$G$204),"Not Reviewed")</f>
        <v>Not Reviewed</v>
      </c>
      <c r="O44" s="31" t="str">
        <f>IFERROR(LOOKUP(2,1/('Scope Review'!$B$5:$B$204=A44),'Scope Review'!$H$5:$H$204),"")</f>
        <v/>
      </c>
      <c r="P44" s="31">
        <f t="shared" si="2"/>
        <v>2</v>
      </c>
      <c r="Q44" s="32">
        <f>IFERROR(LOOKUP(2,1/('Engineer Updates'!$B$5:$B$304=A44),'Engineer Updates'!$A$5:$A$304),"")</f>
        <v>46251</v>
      </c>
      <c r="R44" s="30" t="str">
        <f>IFERROR(LOOKUP(2,1/('Engineer Updates'!$B$5:$B$304=A44),'Engineer Updates'!$E$5:$E$304),"")</f>
        <v>Not Started</v>
      </c>
      <c r="S44" s="30">
        <f>IFERROR(LOOKUP(2,1/('Engineer Updates'!$B$5:$B$304=A44),'Engineer Updates'!$D$5:$D$304),"")</f>
        <v>0</v>
      </c>
      <c r="T44" s="30">
        <f>IFERROR(LOOKUP(2,1/('Engineer Updates'!$B$5:$B$304=A44),'Engineer Updates'!$F$5:$F$304),"")</f>
        <v>0</v>
      </c>
      <c r="U44" s="30">
        <f>IFERROR(LOOKUP(2,1/('Engineer Updates'!$B$5:$B$304=A44),'Engineer Updates'!$G$5:$G$304),"")</f>
        <v>0</v>
      </c>
      <c r="V44" s="30">
        <f>IFERROR(LOOKUP(2,1/('Engineer Updates'!$B$5:$B$304=A44),'Engineer Updates'!$H$5:$H$304),"")</f>
        <v>0</v>
      </c>
      <c r="W44" s="33">
        <f>IFERROR(LOOKUP(2,1/('Engineer Updates'!$B$5:$B$304=A44),'Engineer Updates'!$I$5:$I$304),"")</f>
        <v>0</v>
      </c>
      <c r="X44" s="34" t="str">
        <f t="shared" si="3"/>
        <v/>
      </c>
      <c r="Y44" s="27" t="s">
        <v>109</v>
      </c>
    </row>
    <row r="45" spans="1:25" ht="28.8">
      <c r="A45" s="27" t="s">
        <v>229</v>
      </c>
      <c r="B45" s="27" t="s">
        <v>104</v>
      </c>
      <c r="C45" s="27" t="s">
        <v>67</v>
      </c>
      <c r="D45" s="28">
        <v>46251</v>
      </c>
      <c r="E45" s="28">
        <v>46226.244260752312</v>
      </c>
      <c r="F45" s="28">
        <v>46233.105323958334</v>
      </c>
      <c r="G45" s="29" t="s">
        <v>182</v>
      </c>
      <c r="H45" s="29" t="s">
        <v>183</v>
      </c>
      <c r="I45" s="29" t="s">
        <v>107</v>
      </c>
      <c r="J45" s="29" t="s">
        <v>230</v>
      </c>
      <c r="K45" s="30" t="str">
        <f>IFERROR(LOOKUP(2,1/('Assignment History'!$B$5:$B$204=A45),'Assignment History'!$D$5:$D$204),IFERROR(VLOOKUP(J45,Configuration!$L$5:$M$50,2,FALSE),J45))</f>
        <v>abdul.khoir@petronas.com</v>
      </c>
      <c r="L45" s="30" t="str">
        <f>IF(K45=IFERROR(VLOOKUP(J45,Configuration!$L$5:$M$50,2,FALSE),J45),"Snapshot PIC","Replacement PIC")</f>
        <v>Replacement PIC</v>
      </c>
      <c r="M45" s="31">
        <f>IFERROR(VLOOKUP(I45,Configuration!$O$5:$P$8,2,FALSE),Configuration!$S$6)</f>
        <v>2</v>
      </c>
      <c r="N45" s="31" t="str">
        <f>IFERROR(LOOKUP(2,1/('Scope Review'!$B$5:$B$204=A45),'Scope Review'!$G$5:$G$204),"Not Reviewed")</f>
        <v>Not Reviewed</v>
      </c>
      <c r="O45" s="31" t="str">
        <f>IFERROR(LOOKUP(2,1/('Scope Review'!$B$5:$B$204=A45),'Scope Review'!$H$5:$H$204),"")</f>
        <v/>
      </c>
      <c r="P45" s="31">
        <f t="shared" si="2"/>
        <v>2</v>
      </c>
      <c r="Q45" s="32">
        <f>IFERROR(LOOKUP(2,1/('Engineer Updates'!$B$5:$B$304=A45),'Engineer Updates'!$A$5:$A$304),"")</f>
        <v>46251</v>
      </c>
      <c r="R45" s="30" t="str">
        <f>IFERROR(LOOKUP(2,1/('Engineer Updates'!$B$5:$B$304=A45),'Engineer Updates'!$E$5:$E$304),"")</f>
        <v>Not Started</v>
      </c>
      <c r="S45" s="30">
        <f>IFERROR(LOOKUP(2,1/('Engineer Updates'!$B$5:$B$304=A45),'Engineer Updates'!$D$5:$D$304),"")</f>
        <v>0</v>
      </c>
      <c r="T45" s="30">
        <f>IFERROR(LOOKUP(2,1/('Engineer Updates'!$B$5:$B$304=A45),'Engineer Updates'!$F$5:$F$304),"")</f>
        <v>0</v>
      </c>
      <c r="U45" s="30">
        <f>IFERROR(LOOKUP(2,1/('Engineer Updates'!$B$5:$B$304=A45),'Engineer Updates'!$G$5:$G$304),"")</f>
        <v>0</v>
      </c>
      <c r="V45" s="30">
        <f>IFERROR(LOOKUP(2,1/('Engineer Updates'!$B$5:$B$304=A45),'Engineer Updates'!$H$5:$H$304),"")</f>
        <v>0</v>
      </c>
      <c r="W45" s="33">
        <f>IFERROR(LOOKUP(2,1/('Engineer Updates'!$B$5:$B$304=A45),'Engineer Updates'!$I$5:$I$304),"")</f>
        <v>0</v>
      </c>
      <c r="X45" s="34" t="str">
        <f t="shared" si="3"/>
        <v/>
      </c>
      <c r="Y45" s="27" t="s">
        <v>109</v>
      </c>
    </row>
    <row r="46" spans="1:25" ht="28.8">
      <c r="A46" s="27" t="s">
        <v>231</v>
      </c>
      <c r="B46" s="27" t="s">
        <v>104</v>
      </c>
      <c r="C46" s="27" t="s">
        <v>67</v>
      </c>
      <c r="D46" s="28">
        <v>46251</v>
      </c>
      <c r="E46" s="28">
        <v>46226.252932453703</v>
      </c>
      <c r="F46" s="28">
        <v>46233.104958368058</v>
      </c>
      <c r="G46" s="29" t="s">
        <v>232</v>
      </c>
      <c r="H46" s="29" t="s">
        <v>233</v>
      </c>
      <c r="I46" s="29" t="s">
        <v>107</v>
      </c>
      <c r="J46" s="29" t="s">
        <v>230</v>
      </c>
      <c r="K46" s="30" t="str">
        <f>IFERROR(LOOKUP(2,1/('Assignment History'!$B$5:$B$204=A46),'Assignment History'!$D$5:$D$204),IFERROR(VLOOKUP(J46,Configuration!$L$5:$M$50,2,FALSE),J46))</f>
        <v>mardiansyah.rayasa@petronas.com</v>
      </c>
      <c r="L46" s="30" t="str">
        <f>IF(K46=IFERROR(VLOOKUP(J46,Configuration!$L$5:$M$50,2,FALSE),J46),"Snapshot PIC","Replacement PIC")</f>
        <v>Replacement PIC</v>
      </c>
      <c r="M46" s="31">
        <f>IFERROR(VLOOKUP(I46,Configuration!$O$5:$P$8,2,FALSE),Configuration!$S$6)</f>
        <v>2</v>
      </c>
      <c r="N46" s="31" t="str">
        <f>IFERROR(LOOKUP(2,1/('Scope Review'!$B$5:$B$204=A46),'Scope Review'!$G$5:$G$204),"Not Reviewed")</f>
        <v>Not Reviewed</v>
      </c>
      <c r="O46" s="31" t="str">
        <f>IFERROR(LOOKUP(2,1/('Scope Review'!$B$5:$B$204=A46),'Scope Review'!$H$5:$H$204),"")</f>
        <v/>
      </c>
      <c r="P46" s="31">
        <f t="shared" si="2"/>
        <v>2</v>
      </c>
      <c r="Q46" s="32">
        <f>IFERROR(LOOKUP(2,1/('Engineer Updates'!$B$5:$B$304=A46),'Engineer Updates'!$A$5:$A$304),"")</f>
        <v>46251</v>
      </c>
      <c r="R46" s="30" t="str">
        <f>IFERROR(LOOKUP(2,1/('Engineer Updates'!$B$5:$B$304=A46),'Engineer Updates'!$E$5:$E$304),"")</f>
        <v>Not Started</v>
      </c>
      <c r="S46" s="30">
        <f>IFERROR(LOOKUP(2,1/('Engineer Updates'!$B$5:$B$304=A46),'Engineer Updates'!$D$5:$D$304),"")</f>
        <v>0</v>
      </c>
      <c r="T46" s="30">
        <f>IFERROR(LOOKUP(2,1/('Engineer Updates'!$B$5:$B$304=A46),'Engineer Updates'!$F$5:$F$304),"")</f>
        <v>0</v>
      </c>
      <c r="U46" s="30">
        <f>IFERROR(LOOKUP(2,1/('Engineer Updates'!$B$5:$B$304=A46),'Engineer Updates'!$G$5:$G$304),"")</f>
        <v>0</v>
      </c>
      <c r="V46" s="30">
        <f>IFERROR(LOOKUP(2,1/('Engineer Updates'!$B$5:$B$304=A46),'Engineer Updates'!$H$5:$H$304),"")</f>
        <v>0</v>
      </c>
      <c r="W46" s="33">
        <f>IFERROR(LOOKUP(2,1/('Engineer Updates'!$B$5:$B$304=A46),'Engineer Updates'!$I$5:$I$304),"")</f>
        <v>0</v>
      </c>
      <c r="X46" s="34" t="str">
        <f t="shared" si="3"/>
        <v/>
      </c>
      <c r="Y46" s="27" t="s">
        <v>109</v>
      </c>
    </row>
    <row r="47" spans="1:25" ht="28.8">
      <c r="A47" s="27" t="s">
        <v>234</v>
      </c>
      <c r="B47" s="27" t="s">
        <v>104</v>
      </c>
      <c r="C47" s="27" t="s">
        <v>67</v>
      </c>
      <c r="D47" s="28">
        <v>46251</v>
      </c>
      <c r="E47" s="28">
        <v>46232.071628449077</v>
      </c>
      <c r="F47" s="28">
        <v>46246.653610682872</v>
      </c>
      <c r="G47" s="29" t="s">
        <v>235</v>
      </c>
      <c r="H47" s="29" t="s">
        <v>236</v>
      </c>
      <c r="I47" s="29" t="s">
        <v>125</v>
      </c>
      <c r="J47" s="29" t="s">
        <v>237</v>
      </c>
      <c r="K47" s="30" t="str">
        <f>IFERROR(LOOKUP(2,1/('Assignment History'!$B$5:$B$204=A47),'Assignment History'!$D$5:$D$204),IFERROR(VLOOKUP(J47,Configuration!$L$5:$M$50,2,FALSE),J47))</f>
        <v>mardiansyah.rayasa@petronas.com</v>
      </c>
      <c r="L47" s="30" t="str">
        <f>IF(K47=IFERROR(VLOOKUP(J47,Configuration!$L$5:$M$50,2,FALSE),J47),"Snapshot PIC","Replacement PIC")</f>
        <v>Snapshot PIC</v>
      </c>
      <c r="M47" s="31">
        <f>IFERROR(VLOOKUP(I47,Configuration!$O$5:$P$8,2,FALSE),Configuration!$S$6)</f>
        <v>3</v>
      </c>
      <c r="N47" s="31" t="str">
        <f>IFERROR(LOOKUP(2,1/('Scope Review'!$B$5:$B$204=A47),'Scope Review'!$G$5:$G$204),"Not Reviewed")</f>
        <v>Not Reviewed</v>
      </c>
      <c r="O47" s="31" t="str">
        <f>IFERROR(LOOKUP(2,1/('Scope Review'!$B$5:$B$204=A47),'Scope Review'!$H$5:$H$204),"")</f>
        <v/>
      </c>
      <c r="P47" s="31">
        <f t="shared" si="2"/>
        <v>3</v>
      </c>
      <c r="Q47" s="32">
        <f>IFERROR(LOOKUP(2,1/('Engineer Updates'!$B$5:$B$304=A47),'Engineer Updates'!$A$5:$A$304),"")</f>
        <v>46251</v>
      </c>
      <c r="R47" s="30" t="str">
        <f>IFERROR(LOOKUP(2,1/('Engineer Updates'!$B$5:$B$304=A47),'Engineer Updates'!$E$5:$E$304),"")</f>
        <v>Not Started</v>
      </c>
      <c r="S47" s="30">
        <f>IFERROR(LOOKUP(2,1/('Engineer Updates'!$B$5:$B$304=A47),'Engineer Updates'!$D$5:$D$304),"")</f>
        <v>0</v>
      </c>
      <c r="T47" s="30">
        <f>IFERROR(LOOKUP(2,1/('Engineer Updates'!$B$5:$B$304=A47),'Engineer Updates'!$F$5:$F$304),"")</f>
        <v>0</v>
      </c>
      <c r="U47" s="30">
        <f>IFERROR(LOOKUP(2,1/('Engineer Updates'!$B$5:$B$304=A47),'Engineer Updates'!$G$5:$G$304),"")</f>
        <v>0</v>
      </c>
      <c r="V47" s="30">
        <f>IFERROR(LOOKUP(2,1/('Engineer Updates'!$B$5:$B$304=A47),'Engineer Updates'!$H$5:$H$304),"")</f>
        <v>0</v>
      </c>
      <c r="W47" s="33">
        <f>IFERROR(LOOKUP(2,1/('Engineer Updates'!$B$5:$B$304=A47),'Engineer Updates'!$I$5:$I$304),"")</f>
        <v>0</v>
      </c>
      <c r="X47" s="34" t="str">
        <f t="shared" si="3"/>
        <v/>
      </c>
      <c r="Y47" s="27" t="s">
        <v>109</v>
      </c>
    </row>
    <row r="48" spans="1:25" ht="86.4">
      <c r="A48" s="27" t="s">
        <v>238</v>
      </c>
      <c r="B48" s="27" t="s">
        <v>104</v>
      </c>
      <c r="C48" s="27" t="s">
        <v>67</v>
      </c>
      <c r="D48" s="28">
        <v>46251</v>
      </c>
      <c r="E48" s="28">
        <v>46239.262273391207</v>
      </c>
      <c r="F48" s="28">
        <v>46246.648167870371</v>
      </c>
      <c r="G48" s="29" t="s">
        <v>239</v>
      </c>
      <c r="H48" s="29" t="s">
        <v>240</v>
      </c>
      <c r="I48" s="29" t="s">
        <v>107</v>
      </c>
      <c r="J48" s="29" t="s">
        <v>237</v>
      </c>
      <c r="K48" s="30" t="str">
        <f>IFERROR(LOOKUP(2,1/('Assignment History'!$B$5:$B$204=A48),'Assignment History'!$D$5:$D$204),IFERROR(VLOOKUP(J48,Configuration!$L$5:$M$50,2,FALSE),J48))</f>
        <v>mardiansyah.rayasa@petronas.com</v>
      </c>
      <c r="L48" s="30" t="str">
        <f>IF(K48=IFERROR(VLOOKUP(J48,Configuration!$L$5:$M$50,2,FALSE),J48),"Snapshot PIC","Replacement PIC")</f>
        <v>Snapshot PIC</v>
      </c>
      <c r="M48" s="31">
        <f>IFERROR(VLOOKUP(I48,Configuration!$O$5:$P$8,2,FALSE),Configuration!$S$6)</f>
        <v>2</v>
      </c>
      <c r="N48" s="31" t="str">
        <f>IFERROR(LOOKUP(2,1/('Scope Review'!$B$5:$B$204=A48),'Scope Review'!$G$5:$G$204),"Not Reviewed")</f>
        <v>Not Reviewed</v>
      </c>
      <c r="O48" s="31" t="str">
        <f>IFERROR(LOOKUP(2,1/('Scope Review'!$B$5:$B$204=A48),'Scope Review'!$H$5:$H$204),"")</f>
        <v/>
      </c>
      <c r="P48" s="31">
        <f t="shared" si="2"/>
        <v>2</v>
      </c>
      <c r="Q48" s="32">
        <f>IFERROR(LOOKUP(2,1/('Engineer Updates'!$B$5:$B$304=A48),'Engineer Updates'!$A$5:$A$304),"")</f>
        <v>46251</v>
      </c>
      <c r="R48" s="30" t="str">
        <f>IFERROR(LOOKUP(2,1/('Engineer Updates'!$B$5:$B$304=A48),'Engineer Updates'!$E$5:$E$304),"")</f>
        <v>Not Started</v>
      </c>
      <c r="S48" s="30">
        <f>IFERROR(LOOKUP(2,1/('Engineer Updates'!$B$5:$B$304=A48),'Engineer Updates'!$D$5:$D$304),"")</f>
        <v>0</v>
      </c>
      <c r="T48" s="30">
        <f>IFERROR(LOOKUP(2,1/('Engineer Updates'!$B$5:$B$304=A48),'Engineer Updates'!$F$5:$F$304),"")</f>
        <v>0</v>
      </c>
      <c r="U48" s="30">
        <f>IFERROR(LOOKUP(2,1/('Engineer Updates'!$B$5:$B$304=A48),'Engineer Updates'!$G$5:$G$304),"")</f>
        <v>0</v>
      </c>
      <c r="V48" s="30">
        <f>IFERROR(LOOKUP(2,1/('Engineer Updates'!$B$5:$B$304=A48),'Engineer Updates'!$H$5:$H$304),"")</f>
        <v>0</v>
      </c>
      <c r="W48" s="33">
        <f>IFERROR(LOOKUP(2,1/('Engineer Updates'!$B$5:$B$304=A48),'Engineer Updates'!$I$5:$I$304),"")</f>
        <v>0</v>
      </c>
      <c r="X48" s="34" t="str">
        <f t="shared" si="3"/>
        <v/>
      </c>
      <c r="Y48" s="27" t="s">
        <v>109</v>
      </c>
    </row>
    <row r="49" spans="1:25" ht="86.4">
      <c r="A49" s="27" t="s">
        <v>241</v>
      </c>
      <c r="B49" s="27" t="s">
        <v>104</v>
      </c>
      <c r="C49" s="27" t="s">
        <v>67</v>
      </c>
      <c r="D49" s="28">
        <v>46251</v>
      </c>
      <c r="E49" s="28">
        <v>46239.192937905093</v>
      </c>
      <c r="F49" s="28">
        <v>46246.648452592592</v>
      </c>
      <c r="G49" s="29" t="s">
        <v>239</v>
      </c>
      <c r="H49" s="29" t="s">
        <v>242</v>
      </c>
      <c r="I49" s="29" t="s">
        <v>107</v>
      </c>
      <c r="J49" s="29" t="s">
        <v>237</v>
      </c>
      <c r="K49" s="30" t="str">
        <f>IFERROR(LOOKUP(2,1/('Assignment History'!$B$5:$B$204=A49),'Assignment History'!$D$5:$D$204),IFERROR(VLOOKUP(J49,Configuration!$L$5:$M$50,2,FALSE),J49))</f>
        <v>mardiansyah.rayasa@petronas.com</v>
      </c>
      <c r="L49" s="30" t="str">
        <f>IF(K49=IFERROR(VLOOKUP(J49,Configuration!$L$5:$M$50,2,FALSE),J49),"Snapshot PIC","Replacement PIC")</f>
        <v>Snapshot PIC</v>
      </c>
      <c r="M49" s="31">
        <f>IFERROR(VLOOKUP(I49,Configuration!$O$5:$P$8,2,FALSE),Configuration!$S$6)</f>
        <v>2</v>
      </c>
      <c r="N49" s="31" t="str">
        <f>IFERROR(LOOKUP(2,1/('Scope Review'!$B$5:$B$204=A49),'Scope Review'!$G$5:$G$204),"Not Reviewed")</f>
        <v>Not Reviewed</v>
      </c>
      <c r="O49" s="31" t="str">
        <f>IFERROR(LOOKUP(2,1/('Scope Review'!$B$5:$B$204=A49),'Scope Review'!$H$5:$H$204),"")</f>
        <v/>
      </c>
      <c r="P49" s="31">
        <f t="shared" si="2"/>
        <v>2</v>
      </c>
      <c r="Q49" s="32">
        <f>IFERROR(LOOKUP(2,1/('Engineer Updates'!$B$5:$B$304=A49),'Engineer Updates'!$A$5:$A$304),"")</f>
        <v>46251</v>
      </c>
      <c r="R49" s="30" t="str">
        <f>IFERROR(LOOKUP(2,1/('Engineer Updates'!$B$5:$B$304=A49),'Engineer Updates'!$E$5:$E$304),"")</f>
        <v>Not Started</v>
      </c>
      <c r="S49" s="30">
        <f>IFERROR(LOOKUP(2,1/('Engineer Updates'!$B$5:$B$304=A49),'Engineer Updates'!$D$5:$D$304),"")</f>
        <v>0</v>
      </c>
      <c r="T49" s="30">
        <f>IFERROR(LOOKUP(2,1/('Engineer Updates'!$B$5:$B$304=A49),'Engineer Updates'!$F$5:$F$304),"")</f>
        <v>0</v>
      </c>
      <c r="U49" s="30">
        <f>IFERROR(LOOKUP(2,1/('Engineer Updates'!$B$5:$B$304=A49),'Engineer Updates'!$G$5:$G$304),"")</f>
        <v>0</v>
      </c>
      <c r="V49" s="30">
        <f>IFERROR(LOOKUP(2,1/('Engineer Updates'!$B$5:$B$304=A49),'Engineer Updates'!$H$5:$H$304),"")</f>
        <v>0</v>
      </c>
      <c r="W49" s="33">
        <f>IFERROR(LOOKUP(2,1/('Engineer Updates'!$B$5:$B$304=A49),'Engineer Updates'!$I$5:$I$304),"")</f>
        <v>0</v>
      </c>
      <c r="X49" s="34" t="str">
        <f t="shared" si="3"/>
        <v/>
      </c>
      <c r="Y49" s="27" t="s">
        <v>109</v>
      </c>
    </row>
    <row r="50" spans="1:25">
      <c r="A50" s="27" t="s">
        <v>243</v>
      </c>
      <c r="B50" s="27" t="s">
        <v>104</v>
      </c>
      <c r="C50" s="27" t="s">
        <v>67</v>
      </c>
      <c r="D50" s="28">
        <v>46251</v>
      </c>
      <c r="E50" s="28">
        <v>46232.076016087965</v>
      </c>
      <c r="F50" s="28">
        <v>46246.653269062503</v>
      </c>
      <c r="G50" s="29" t="s">
        <v>244</v>
      </c>
      <c r="H50" s="29" t="s">
        <v>245</v>
      </c>
      <c r="I50" s="29" t="s">
        <v>125</v>
      </c>
      <c r="J50" s="29" t="s">
        <v>237</v>
      </c>
      <c r="K50" s="30" t="str">
        <f>IFERROR(LOOKUP(2,1/('Assignment History'!$B$5:$B$204=A50),'Assignment History'!$D$5:$D$204),IFERROR(VLOOKUP(J50,Configuration!$L$5:$M$50,2,FALSE),J50))</f>
        <v>mardiansyah.rayasa@petronas.com</v>
      </c>
      <c r="L50" s="30" t="str">
        <f>IF(K50=IFERROR(VLOOKUP(J50,Configuration!$L$5:$M$50,2,FALSE),J50),"Snapshot PIC","Replacement PIC")</f>
        <v>Snapshot PIC</v>
      </c>
      <c r="M50" s="31">
        <f>IFERROR(VLOOKUP(I50,Configuration!$O$5:$P$8,2,FALSE),Configuration!$S$6)</f>
        <v>3</v>
      </c>
      <c r="N50" s="31" t="str">
        <f>IFERROR(LOOKUP(2,1/('Scope Review'!$B$5:$B$204=A50),'Scope Review'!$G$5:$G$204),"Not Reviewed")</f>
        <v>Not Reviewed</v>
      </c>
      <c r="O50" s="31" t="str">
        <f>IFERROR(LOOKUP(2,1/('Scope Review'!$B$5:$B$204=A50),'Scope Review'!$H$5:$H$204),"")</f>
        <v/>
      </c>
      <c r="P50" s="31">
        <f t="shared" si="2"/>
        <v>3</v>
      </c>
      <c r="Q50" s="32">
        <f>IFERROR(LOOKUP(2,1/('Engineer Updates'!$B$5:$B$304=A50),'Engineer Updates'!$A$5:$A$304),"")</f>
        <v>46251</v>
      </c>
      <c r="R50" s="30" t="str">
        <f>IFERROR(LOOKUP(2,1/('Engineer Updates'!$B$5:$B$304=A50),'Engineer Updates'!$E$5:$E$304),"")</f>
        <v>Not Started</v>
      </c>
      <c r="S50" s="30">
        <f>IFERROR(LOOKUP(2,1/('Engineer Updates'!$B$5:$B$304=A50),'Engineer Updates'!$D$5:$D$304),"")</f>
        <v>0</v>
      </c>
      <c r="T50" s="30">
        <f>IFERROR(LOOKUP(2,1/('Engineer Updates'!$B$5:$B$304=A50),'Engineer Updates'!$F$5:$F$304),"")</f>
        <v>0</v>
      </c>
      <c r="U50" s="30">
        <f>IFERROR(LOOKUP(2,1/('Engineer Updates'!$B$5:$B$304=A50),'Engineer Updates'!$G$5:$G$304),"")</f>
        <v>0</v>
      </c>
      <c r="V50" s="30">
        <f>IFERROR(LOOKUP(2,1/('Engineer Updates'!$B$5:$B$304=A50),'Engineer Updates'!$H$5:$H$304),"")</f>
        <v>0</v>
      </c>
      <c r="W50" s="33">
        <f>IFERROR(LOOKUP(2,1/('Engineer Updates'!$B$5:$B$304=A50),'Engineer Updates'!$I$5:$I$304),"")</f>
        <v>0</v>
      </c>
      <c r="X50" s="34" t="str">
        <f t="shared" si="3"/>
        <v/>
      </c>
      <c r="Y50" s="27" t="s">
        <v>109</v>
      </c>
    </row>
    <row r="51" spans="1:25" ht="28.8">
      <c r="A51" s="27" t="s">
        <v>246</v>
      </c>
      <c r="B51" s="27" t="s">
        <v>104</v>
      </c>
      <c r="C51" s="27" t="s">
        <v>67</v>
      </c>
      <c r="D51" s="28">
        <v>46251</v>
      </c>
      <c r="E51" s="28">
        <v>46226.140965833336</v>
      </c>
      <c r="F51" s="28">
        <v>46239.620899050926</v>
      </c>
      <c r="G51" s="29" t="s">
        <v>247</v>
      </c>
      <c r="H51" s="29" t="s">
        <v>248</v>
      </c>
      <c r="I51" s="29" t="s">
        <v>107</v>
      </c>
      <c r="J51" s="29" t="s">
        <v>249</v>
      </c>
      <c r="K51" s="30" t="str">
        <f>IFERROR(LOOKUP(2,1/('Assignment History'!$B$5:$B$204=A51),'Assignment History'!$D$5:$D$204),IFERROR(VLOOKUP(J51,Configuration!$L$5:$M$50,2,FALSE),J51))</f>
        <v>abdul.khoir@petronas.com</v>
      </c>
      <c r="L51" s="30" t="str">
        <f>IF(K51=IFERROR(VLOOKUP(J51,Configuration!$L$5:$M$50,2,FALSE),J51),"Snapshot PIC","Replacement PIC")</f>
        <v>Replacement PIC</v>
      </c>
      <c r="M51" s="31">
        <f>IFERROR(VLOOKUP(I51,Configuration!$O$5:$P$8,2,FALSE),Configuration!$S$6)</f>
        <v>2</v>
      </c>
      <c r="N51" s="31" t="str">
        <f>IFERROR(LOOKUP(2,1/('Scope Review'!$B$5:$B$204=A51),'Scope Review'!$G$5:$G$204),"Not Reviewed")</f>
        <v>Not Reviewed</v>
      </c>
      <c r="O51" s="31" t="str">
        <f>IFERROR(LOOKUP(2,1/('Scope Review'!$B$5:$B$204=A51),'Scope Review'!$H$5:$H$204),"")</f>
        <v/>
      </c>
      <c r="P51" s="31">
        <f t="shared" si="2"/>
        <v>2</v>
      </c>
      <c r="Q51" s="32">
        <f>IFERROR(LOOKUP(2,1/('Engineer Updates'!$B$5:$B$304=A51),'Engineer Updates'!$A$5:$A$304),"")</f>
        <v>46251</v>
      </c>
      <c r="R51" s="30" t="str">
        <f>IFERROR(LOOKUP(2,1/('Engineer Updates'!$B$5:$B$304=A51),'Engineer Updates'!$E$5:$E$304),"")</f>
        <v>Not Started</v>
      </c>
      <c r="S51" s="30">
        <f>IFERROR(LOOKUP(2,1/('Engineer Updates'!$B$5:$B$304=A51),'Engineer Updates'!$D$5:$D$304),"")</f>
        <v>0</v>
      </c>
      <c r="T51" s="30">
        <f>IFERROR(LOOKUP(2,1/('Engineer Updates'!$B$5:$B$304=A51),'Engineer Updates'!$F$5:$F$304),"")</f>
        <v>0</v>
      </c>
      <c r="U51" s="30">
        <f>IFERROR(LOOKUP(2,1/('Engineer Updates'!$B$5:$B$304=A51),'Engineer Updates'!$G$5:$G$304),"")</f>
        <v>0</v>
      </c>
      <c r="V51" s="30">
        <f>IFERROR(LOOKUP(2,1/('Engineer Updates'!$B$5:$B$304=A51),'Engineer Updates'!$H$5:$H$304),"")</f>
        <v>0</v>
      </c>
      <c r="W51" s="33">
        <f>IFERROR(LOOKUP(2,1/('Engineer Updates'!$B$5:$B$304=A51),'Engineer Updates'!$I$5:$I$304),"")</f>
        <v>0</v>
      </c>
      <c r="X51" s="34" t="str">
        <f t="shared" si="3"/>
        <v/>
      </c>
      <c r="Y51" s="27" t="s">
        <v>109</v>
      </c>
    </row>
    <row r="52" spans="1:25" ht="28.8">
      <c r="A52" s="27" t="s">
        <v>250</v>
      </c>
      <c r="B52" s="27" t="s">
        <v>104</v>
      </c>
      <c r="C52" s="27" t="s">
        <v>67</v>
      </c>
      <c r="D52" s="28">
        <v>46251</v>
      </c>
      <c r="E52" s="28">
        <v>46196.084583148149</v>
      </c>
      <c r="F52" s="28">
        <v>46251.318264490743</v>
      </c>
      <c r="G52" s="29" t="s">
        <v>105</v>
      </c>
      <c r="H52" s="29" t="s">
        <v>106</v>
      </c>
      <c r="I52" s="29" t="s">
        <v>107</v>
      </c>
      <c r="J52" s="29" t="s">
        <v>251</v>
      </c>
      <c r="K52" s="30" t="str">
        <f>IFERROR(LOOKUP(2,1/('Assignment History'!$B$5:$B$204=A52),'Assignment History'!$D$5:$D$204),IFERROR(VLOOKUP(J52,Configuration!$L$5:$M$50,2,FALSE),J52))</f>
        <v>raditya.nugraha@petronas.com</v>
      </c>
      <c r="L52" s="30" t="str">
        <f>IF(K52=IFERROR(VLOOKUP(J52,Configuration!$L$5:$M$50,2,FALSE),J52),"Snapshot PIC","Replacement PIC")</f>
        <v>Snapshot PIC</v>
      </c>
      <c r="M52" s="31">
        <f>IFERROR(VLOOKUP(I52,Configuration!$O$5:$P$8,2,FALSE),Configuration!$S$6)</f>
        <v>2</v>
      </c>
      <c r="N52" s="31" t="str">
        <f>IFERROR(LOOKUP(2,1/('Scope Review'!$B$5:$B$204=A52),'Scope Review'!$G$5:$G$204),"Not Reviewed")</f>
        <v>Not Reviewed</v>
      </c>
      <c r="O52" s="31" t="str">
        <f>IFERROR(LOOKUP(2,1/('Scope Review'!$B$5:$B$204=A52),'Scope Review'!$H$5:$H$204),"")</f>
        <v/>
      </c>
      <c r="P52" s="31">
        <f t="shared" si="2"/>
        <v>2</v>
      </c>
      <c r="Q52" s="32">
        <f>IFERROR(LOOKUP(2,1/('Engineer Updates'!$B$5:$B$304=A52),'Engineer Updates'!$A$5:$A$304),"")</f>
        <v>46251</v>
      </c>
      <c r="R52" s="30" t="str">
        <f>IFERROR(LOOKUP(2,1/('Engineer Updates'!$B$5:$B$304=A52),'Engineer Updates'!$E$5:$E$304),"")</f>
        <v>Not Started</v>
      </c>
      <c r="S52" s="30">
        <f>IFERROR(LOOKUP(2,1/('Engineer Updates'!$B$5:$B$304=A52),'Engineer Updates'!$D$5:$D$304),"")</f>
        <v>0</v>
      </c>
      <c r="T52" s="30">
        <f>IFERROR(LOOKUP(2,1/('Engineer Updates'!$B$5:$B$304=A52),'Engineer Updates'!$F$5:$F$304),"")</f>
        <v>0</v>
      </c>
      <c r="U52" s="30">
        <f>IFERROR(LOOKUP(2,1/('Engineer Updates'!$B$5:$B$304=A52),'Engineer Updates'!$G$5:$G$304),"")</f>
        <v>0</v>
      </c>
      <c r="V52" s="30">
        <f>IFERROR(LOOKUP(2,1/('Engineer Updates'!$B$5:$B$304=A52),'Engineer Updates'!$H$5:$H$304),"")</f>
        <v>0</v>
      </c>
      <c r="W52" s="33">
        <f>IFERROR(LOOKUP(2,1/('Engineer Updates'!$B$5:$B$304=A52),'Engineer Updates'!$I$5:$I$304),"")</f>
        <v>0</v>
      </c>
      <c r="X52" s="34" t="str">
        <f t="shared" si="3"/>
        <v/>
      </c>
      <c r="Y52" s="27" t="s">
        <v>109</v>
      </c>
    </row>
    <row r="53" spans="1:25">
      <c r="A53" s="27" t="s">
        <v>252</v>
      </c>
      <c r="B53" s="27" t="s">
        <v>104</v>
      </c>
      <c r="C53" s="27" t="s">
        <v>67</v>
      </c>
      <c r="D53" s="28">
        <v>46251</v>
      </c>
      <c r="E53" s="28">
        <v>46204.212451481479</v>
      </c>
      <c r="F53" s="28">
        <v>46222.873836076389</v>
      </c>
      <c r="G53" s="29" t="s">
        <v>253</v>
      </c>
      <c r="H53" s="29" t="s">
        <v>254</v>
      </c>
      <c r="I53" s="29" t="s">
        <v>107</v>
      </c>
      <c r="J53" s="29" t="s">
        <v>255</v>
      </c>
      <c r="K53" s="30" t="str">
        <f>IFERROR(LOOKUP(2,1/('Assignment History'!$B$5:$B$204=A53),'Assignment History'!$D$5:$D$204),IFERROR(VLOOKUP(J53,Configuration!$L$5:$M$50,2,FALSE),J53))</f>
        <v>raditya.nugraha@petronas.com</v>
      </c>
      <c r="L53" s="30" t="str">
        <f>IF(K53=IFERROR(VLOOKUP(J53,Configuration!$L$5:$M$50,2,FALSE),J53),"Snapshot PIC","Replacement PIC")</f>
        <v>Replacement PIC</v>
      </c>
      <c r="M53" s="31">
        <f>IFERROR(VLOOKUP(I53,Configuration!$O$5:$P$8,2,FALSE),Configuration!$S$6)</f>
        <v>2</v>
      </c>
      <c r="N53" s="31" t="str">
        <f>IFERROR(LOOKUP(2,1/('Scope Review'!$B$5:$B$204=A53),'Scope Review'!$G$5:$G$204),"Not Reviewed")</f>
        <v>Not Reviewed</v>
      </c>
      <c r="O53" s="31" t="str">
        <f>IFERROR(LOOKUP(2,1/('Scope Review'!$B$5:$B$204=A53),'Scope Review'!$H$5:$H$204),"")</f>
        <v/>
      </c>
      <c r="P53" s="31">
        <f t="shared" si="2"/>
        <v>2</v>
      </c>
      <c r="Q53" s="32">
        <f>IFERROR(LOOKUP(2,1/('Engineer Updates'!$B$5:$B$304=A53),'Engineer Updates'!$A$5:$A$304),"")</f>
        <v>46251</v>
      </c>
      <c r="R53" s="30" t="str">
        <f>IFERROR(LOOKUP(2,1/('Engineer Updates'!$B$5:$B$304=A53),'Engineer Updates'!$E$5:$E$304),"")</f>
        <v>Not Started</v>
      </c>
      <c r="S53" s="30">
        <f>IFERROR(LOOKUP(2,1/('Engineer Updates'!$B$5:$B$304=A53),'Engineer Updates'!$D$5:$D$304),"")</f>
        <v>0</v>
      </c>
      <c r="T53" s="30">
        <f>IFERROR(LOOKUP(2,1/('Engineer Updates'!$B$5:$B$304=A53),'Engineer Updates'!$F$5:$F$304),"")</f>
        <v>0</v>
      </c>
      <c r="U53" s="30">
        <f>IFERROR(LOOKUP(2,1/('Engineer Updates'!$B$5:$B$304=A53),'Engineer Updates'!$G$5:$G$304),"")</f>
        <v>0</v>
      </c>
      <c r="V53" s="30">
        <f>IFERROR(LOOKUP(2,1/('Engineer Updates'!$B$5:$B$304=A53),'Engineer Updates'!$H$5:$H$304),"")</f>
        <v>0</v>
      </c>
      <c r="W53" s="33">
        <f>IFERROR(LOOKUP(2,1/('Engineer Updates'!$B$5:$B$304=A53),'Engineer Updates'!$I$5:$I$304),"")</f>
        <v>0</v>
      </c>
      <c r="X53" s="34" t="str">
        <f t="shared" si="3"/>
        <v/>
      </c>
      <c r="Y53" s="27" t="s">
        <v>109</v>
      </c>
    </row>
    <row r="54" spans="1:25" ht="28.8">
      <c r="A54" s="27" t="s">
        <v>256</v>
      </c>
      <c r="B54" s="27" t="s">
        <v>104</v>
      </c>
      <c r="C54" s="27" t="s">
        <v>67</v>
      </c>
      <c r="D54" s="28">
        <v>46251</v>
      </c>
      <c r="E54" s="28">
        <v>46226.26594484954</v>
      </c>
      <c r="F54" s="28">
        <v>46233.104196030094</v>
      </c>
      <c r="G54" s="29" t="s">
        <v>257</v>
      </c>
      <c r="H54" s="29" t="s">
        <v>258</v>
      </c>
      <c r="I54" s="29" t="s">
        <v>107</v>
      </c>
      <c r="J54" s="29" t="s">
        <v>259</v>
      </c>
      <c r="K54" s="30" t="str">
        <f>IFERROR(LOOKUP(2,1/('Assignment History'!$B$5:$B$204=A54),'Assignment History'!$D$5:$D$204),IFERROR(VLOOKUP(J54,Configuration!$L$5:$M$50,2,FALSE),J54))</f>
        <v>swaminadh.chirakala@petronas.com</v>
      </c>
      <c r="L54" s="30" t="str">
        <f>IF(K54=IFERROR(VLOOKUP(J54,Configuration!$L$5:$M$50,2,FALSE),J54),"Snapshot PIC","Replacement PIC")</f>
        <v>Snapshot PIC</v>
      </c>
      <c r="M54" s="31">
        <f>IFERROR(VLOOKUP(I54,Configuration!$O$5:$P$8,2,FALSE),Configuration!$S$6)</f>
        <v>2</v>
      </c>
      <c r="N54" s="31" t="str">
        <f>IFERROR(LOOKUP(2,1/('Scope Review'!$B$5:$B$204=A54),'Scope Review'!$G$5:$G$204),"Not Reviewed")</f>
        <v>Not Reviewed</v>
      </c>
      <c r="O54" s="31" t="str">
        <f>IFERROR(LOOKUP(2,1/('Scope Review'!$B$5:$B$204=A54),'Scope Review'!$H$5:$H$204),"")</f>
        <v/>
      </c>
      <c r="P54" s="31">
        <f t="shared" si="2"/>
        <v>2</v>
      </c>
      <c r="Q54" s="32">
        <f>IFERROR(LOOKUP(2,1/('Engineer Updates'!$B$5:$B$304=A54),'Engineer Updates'!$A$5:$A$304),"")</f>
        <v>46251</v>
      </c>
      <c r="R54" s="30" t="str">
        <f>IFERROR(LOOKUP(2,1/('Engineer Updates'!$B$5:$B$304=A54),'Engineer Updates'!$E$5:$E$304),"")</f>
        <v>Not Started</v>
      </c>
      <c r="S54" s="30">
        <f>IFERROR(LOOKUP(2,1/('Engineer Updates'!$B$5:$B$304=A54),'Engineer Updates'!$D$5:$D$304),"")</f>
        <v>0</v>
      </c>
      <c r="T54" s="30">
        <f>IFERROR(LOOKUP(2,1/('Engineer Updates'!$B$5:$B$304=A54),'Engineer Updates'!$F$5:$F$304),"")</f>
        <v>0</v>
      </c>
      <c r="U54" s="30">
        <f>IFERROR(LOOKUP(2,1/('Engineer Updates'!$B$5:$B$304=A54),'Engineer Updates'!$G$5:$G$304),"")</f>
        <v>0</v>
      </c>
      <c r="V54" s="30">
        <f>IFERROR(LOOKUP(2,1/('Engineer Updates'!$B$5:$B$304=A54),'Engineer Updates'!$H$5:$H$304),"")</f>
        <v>0</v>
      </c>
      <c r="W54" s="33">
        <f>IFERROR(LOOKUP(2,1/('Engineer Updates'!$B$5:$B$304=A54),'Engineer Updates'!$I$5:$I$304),"")</f>
        <v>0</v>
      </c>
      <c r="X54" s="34" t="str">
        <f t="shared" si="3"/>
        <v/>
      </c>
      <c r="Y54" s="27" t="s">
        <v>109</v>
      </c>
    </row>
    <row r="55" spans="1:25">
      <c r="A55" s="27" t="s">
        <v>260</v>
      </c>
      <c r="B55" s="27" t="s">
        <v>104</v>
      </c>
      <c r="C55" s="27" t="s">
        <v>67</v>
      </c>
      <c r="D55" s="28">
        <v>46251</v>
      </c>
      <c r="E55" s="28">
        <v>46204.162730694443</v>
      </c>
      <c r="F55" s="28">
        <v>46222.871260231484</v>
      </c>
      <c r="G55" s="29" t="s">
        <v>261</v>
      </c>
      <c r="H55" s="29" t="s">
        <v>262</v>
      </c>
      <c r="I55" s="29" t="s">
        <v>125</v>
      </c>
      <c r="J55" s="29" t="s">
        <v>259</v>
      </c>
      <c r="K55" s="30" t="str">
        <f>IFERROR(LOOKUP(2,1/('Assignment History'!$B$5:$B$204=A55),'Assignment History'!$D$5:$D$204),IFERROR(VLOOKUP(J55,Configuration!$L$5:$M$50,2,FALSE),J55))</f>
        <v>swaminadh.chirakala@petronas.com</v>
      </c>
      <c r="L55" s="30" t="str">
        <f>IF(K55=IFERROR(VLOOKUP(J55,Configuration!$L$5:$M$50,2,FALSE),J55),"Snapshot PIC","Replacement PIC")</f>
        <v>Snapshot PIC</v>
      </c>
      <c r="M55" s="31">
        <f>IFERROR(VLOOKUP(I55,Configuration!$O$5:$P$8,2,FALSE),Configuration!$S$6)</f>
        <v>3</v>
      </c>
      <c r="N55" s="31" t="str">
        <f>IFERROR(LOOKUP(2,1/('Scope Review'!$B$5:$B$204=A55),'Scope Review'!$G$5:$G$204),"Not Reviewed")</f>
        <v>Not Reviewed</v>
      </c>
      <c r="O55" s="31" t="str">
        <f>IFERROR(LOOKUP(2,1/('Scope Review'!$B$5:$B$204=A55),'Scope Review'!$H$5:$H$204),"")</f>
        <v/>
      </c>
      <c r="P55" s="31">
        <f t="shared" si="2"/>
        <v>3</v>
      </c>
      <c r="Q55" s="32">
        <f>IFERROR(LOOKUP(2,1/('Engineer Updates'!$B$5:$B$304=A55),'Engineer Updates'!$A$5:$A$304),"")</f>
        <v>46251</v>
      </c>
      <c r="R55" s="30" t="str">
        <f>IFERROR(LOOKUP(2,1/('Engineer Updates'!$B$5:$B$304=A55),'Engineer Updates'!$E$5:$E$304),"")</f>
        <v>Not Started</v>
      </c>
      <c r="S55" s="30">
        <f>IFERROR(LOOKUP(2,1/('Engineer Updates'!$B$5:$B$304=A55),'Engineer Updates'!$D$5:$D$304),"")</f>
        <v>0</v>
      </c>
      <c r="T55" s="30">
        <f>IFERROR(LOOKUP(2,1/('Engineer Updates'!$B$5:$B$304=A55),'Engineer Updates'!$F$5:$F$304),"")</f>
        <v>0</v>
      </c>
      <c r="U55" s="30">
        <f>IFERROR(LOOKUP(2,1/('Engineer Updates'!$B$5:$B$304=A55),'Engineer Updates'!$G$5:$G$304),"")</f>
        <v>0</v>
      </c>
      <c r="V55" s="30">
        <f>IFERROR(LOOKUP(2,1/('Engineer Updates'!$B$5:$B$304=A55),'Engineer Updates'!$H$5:$H$304),"")</f>
        <v>0</v>
      </c>
      <c r="W55" s="33">
        <f>IFERROR(LOOKUP(2,1/('Engineer Updates'!$B$5:$B$304=A55),'Engineer Updates'!$I$5:$I$304),"")</f>
        <v>0</v>
      </c>
      <c r="X55" s="34" t="str">
        <f t="shared" si="3"/>
        <v/>
      </c>
      <c r="Y55" s="27" t="s">
        <v>109</v>
      </c>
    </row>
    <row r="56" spans="1:25" ht="43.2">
      <c r="A56" s="27" t="s">
        <v>263</v>
      </c>
      <c r="B56" s="27" t="s">
        <v>104</v>
      </c>
      <c r="C56" s="27" t="s">
        <v>67</v>
      </c>
      <c r="D56" s="28">
        <v>46251</v>
      </c>
      <c r="E56" s="28">
        <v>46226.293494768521</v>
      </c>
      <c r="F56" s="28">
        <v>46233.103945844909</v>
      </c>
      <c r="G56" s="29" t="s">
        <v>264</v>
      </c>
      <c r="H56" s="29" t="s">
        <v>265</v>
      </c>
      <c r="I56" s="29" t="s">
        <v>107</v>
      </c>
      <c r="J56" s="29" t="s">
        <v>259</v>
      </c>
      <c r="K56" s="30" t="str">
        <f>IFERROR(LOOKUP(2,1/('Assignment History'!$B$5:$B$204=A56),'Assignment History'!$D$5:$D$204),IFERROR(VLOOKUP(J56,Configuration!$L$5:$M$50,2,FALSE),J56))</f>
        <v>swaminadh.chirakala@petronas.com</v>
      </c>
      <c r="L56" s="30" t="str">
        <f>IF(K56=IFERROR(VLOOKUP(J56,Configuration!$L$5:$M$50,2,FALSE),J56),"Snapshot PIC","Replacement PIC")</f>
        <v>Snapshot PIC</v>
      </c>
      <c r="M56" s="31">
        <f>IFERROR(VLOOKUP(I56,Configuration!$O$5:$P$8,2,FALSE),Configuration!$S$6)</f>
        <v>2</v>
      </c>
      <c r="N56" s="31" t="str">
        <f>IFERROR(LOOKUP(2,1/('Scope Review'!$B$5:$B$204=A56),'Scope Review'!$G$5:$G$204),"Not Reviewed")</f>
        <v>Not Reviewed</v>
      </c>
      <c r="O56" s="31" t="str">
        <f>IFERROR(LOOKUP(2,1/('Scope Review'!$B$5:$B$204=A56),'Scope Review'!$H$5:$H$204),"")</f>
        <v/>
      </c>
      <c r="P56" s="31">
        <f t="shared" si="2"/>
        <v>2</v>
      </c>
      <c r="Q56" s="32">
        <f>IFERROR(LOOKUP(2,1/('Engineer Updates'!$B$5:$B$304=A56),'Engineer Updates'!$A$5:$A$304),"")</f>
        <v>46251</v>
      </c>
      <c r="R56" s="30" t="str">
        <f>IFERROR(LOOKUP(2,1/('Engineer Updates'!$B$5:$B$304=A56),'Engineer Updates'!$E$5:$E$304),"")</f>
        <v>Not Started</v>
      </c>
      <c r="S56" s="30">
        <f>IFERROR(LOOKUP(2,1/('Engineer Updates'!$B$5:$B$304=A56),'Engineer Updates'!$D$5:$D$304),"")</f>
        <v>0</v>
      </c>
      <c r="T56" s="30">
        <f>IFERROR(LOOKUP(2,1/('Engineer Updates'!$B$5:$B$304=A56),'Engineer Updates'!$F$5:$F$304),"")</f>
        <v>0</v>
      </c>
      <c r="U56" s="30">
        <f>IFERROR(LOOKUP(2,1/('Engineer Updates'!$B$5:$B$304=A56),'Engineer Updates'!$G$5:$G$304),"")</f>
        <v>0</v>
      </c>
      <c r="V56" s="30">
        <f>IFERROR(LOOKUP(2,1/('Engineer Updates'!$B$5:$B$304=A56),'Engineer Updates'!$H$5:$H$304),"")</f>
        <v>0</v>
      </c>
      <c r="W56" s="33">
        <f>IFERROR(LOOKUP(2,1/('Engineer Updates'!$B$5:$B$304=A56),'Engineer Updates'!$I$5:$I$304),"")</f>
        <v>0</v>
      </c>
      <c r="X56" s="34" t="str">
        <f t="shared" si="3"/>
        <v/>
      </c>
      <c r="Y56" s="27" t="s">
        <v>109</v>
      </c>
    </row>
    <row r="57" spans="1:25" ht="28.8">
      <c r="A57" s="27" t="s">
        <v>266</v>
      </c>
      <c r="B57" s="27" t="s">
        <v>104</v>
      </c>
      <c r="C57" s="27" t="s">
        <v>67</v>
      </c>
      <c r="D57" s="28">
        <v>46251</v>
      </c>
      <c r="E57" s="28">
        <v>46196.086062152775</v>
      </c>
      <c r="F57" s="28">
        <v>46251.319507337961</v>
      </c>
      <c r="G57" s="29" t="s">
        <v>105</v>
      </c>
      <c r="H57" s="29" t="s">
        <v>106</v>
      </c>
      <c r="I57" s="29" t="s">
        <v>107</v>
      </c>
      <c r="J57" s="29" t="s">
        <v>259</v>
      </c>
      <c r="K57" s="30" t="str">
        <f>IFERROR(LOOKUP(2,1/('Assignment History'!$B$5:$B$204=A57),'Assignment History'!$D$5:$D$204),IFERROR(VLOOKUP(J57,Configuration!$L$5:$M$50,2,FALSE),J57))</f>
        <v>swaminadh.chirakala@petronas.com</v>
      </c>
      <c r="L57" s="30" t="str">
        <f>IF(K57=IFERROR(VLOOKUP(J57,Configuration!$L$5:$M$50,2,FALSE),J57),"Snapshot PIC","Replacement PIC")</f>
        <v>Snapshot PIC</v>
      </c>
      <c r="M57" s="31">
        <f>IFERROR(VLOOKUP(I57,Configuration!$O$5:$P$8,2,FALSE),Configuration!$S$6)</f>
        <v>2</v>
      </c>
      <c r="N57" s="31" t="str">
        <f>IFERROR(LOOKUP(2,1/('Scope Review'!$B$5:$B$204=A57),'Scope Review'!$G$5:$G$204),"Not Reviewed")</f>
        <v>Not Reviewed</v>
      </c>
      <c r="O57" s="31" t="str">
        <f>IFERROR(LOOKUP(2,1/('Scope Review'!$B$5:$B$204=A57),'Scope Review'!$H$5:$H$204),"")</f>
        <v/>
      </c>
      <c r="P57" s="31">
        <f t="shared" si="2"/>
        <v>2</v>
      </c>
      <c r="Q57" s="32">
        <f>IFERROR(LOOKUP(2,1/('Engineer Updates'!$B$5:$B$304=A57),'Engineer Updates'!$A$5:$A$304),"")</f>
        <v>46251</v>
      </c>
      <c r="R57" s="30" t="str">
        <f>IFERROR(LOOKUP(2,1/('Engineer Updates'!$B$5:$B$304=A57),'Engineer Updates'!$E$5:$E$304),"")</f>
        <v>Not Started</v>
      </c>
      <c r="S57" s="30">
        <f>IFERROR(LOOKUP(2,1/('Engineer Updates'!$B$5:$B$304=A57),'Engineer Updates'!$D$5:$D$304),"")</f>
        <v>0</v>
      </c>
      <c r="T57" s="30">
        <f>IFERROR(LOOKUP(2,1/('Engineer Updates'!$B$5:$B$304=A57),'Engineer Updates'!$F$5:$F$304),"")</f>
        <v>0</v>
      </c>
      <c r="U57" s="30">
        <f>IFERROR(LOOKUP(2,1/('Engineer Updates'!$B$5:$B$304=A57),'Engineer Updates'!$G$5:$G$304),"")</f>
        <v>0</v>
      </c>
      <c r="V57" s="30">
        <f>IFERROR(LOOKUP(2,1/('Engineer Updates'!$B$5:$B$304=A57),'Engineer Updates'!$H$5:$H$304),"")</f>
        <v>0</v>
      </c>
      <c r="W57" s="33">
        <f>IFERROR(LOOKUP(2,1/('Engineer Updates'!$B$5:$B$304=A57),'Engineer Updates'!$I$5:$I$304),"")</f>
        <v>0</v>
      </c>
      <c r="X57" s="34" t="str">
        <f t="shared" si="3"/>
        <v/>
      </c>
      <c r="Y57" s="27" t="s">
        <v>109</v>
      </c>
    </row>
    <row r="58" spans="1:25" ht="28.8">
      <c r="A58" s="27" t="s">
        <v>267</v>
      </c>
      <c r="B58" s="27" t="s">
        <v>104</v>
      </c>
      <c r="C58" s="27" t="s">
        <v>67</v>
      </c>
      <c r="D58" s="28">
        <v>46251</v>
      </c>
      <c r="E58" s="28">
        <v>46204.173632141203</v>
      </c>
      <c r="F58" s="28">
        <v>46239.623320162034</v>
      </c>
      <c r="G58" s="29" t="s">
        <v>268</v>
      </c>
      <c r="H58" s="29" t="s">
        <v>269</v>
      </c>
      <c r="I58" s="29" t="s">
        <v>107</v>
      </c>
      <c r="J58" s="29" t="s">
        <v>259</v>
      </c>
      <c r="K58" s="30" t="str">
        <f>IFERROR(LOOKUP(2,1/('Assignment History'!$B$5:$B$204=A58),'Assignment History'!$D$5:$D$204),IFERROR(VLOOKUP(J58,Configuration!$L$5:$M$50,2,FALSE),J58))</f>
        <v>swaminadh.chirakala@petronas.com</v>
      </c>
      <c r="L58" s="30" t="str">
        <f>IF(K58=IFERROR(VLOOKUP(J58,Configuration!$L$5:$M$50,2,FALSE),J58),"Snapshot PIC","Replacement PIC")</f>
        <v>Snapshot PIC</v>
      </c>
      <c r="M58" s="31">
        <f>IFERROR(VLOOKUP(I58,Configuration!$O$5:$P$8,2,FALSE),Configuration!$S$6)</f>
        <v>2</v>
      </c>
      <c r="N58" s="31" t="str">
        <f>IFERROR(LOOKUP(2,1/('Scope Review'!$B$5:$B$204=A58),'Scope Review'!$G$5:$G$204),"Not Reviewed")</f>
        <v>Not Reviewed</v>
      </c>
      <c r="O58" s="31" t="str">
        <f>IFERROR(LOOKUP(2,1/('Scope Review'!$B$5:$B$204=A58),'Scope Review'!$H$5:$H$204),"")</f>
        <v/>
      </c>
      <c r="P58" s="31">
        <f t="shared" si="2"/>
        <v>2</v>
      </c>
      <c r="Q58" s="32">
        <f>IFERROR(LOOKUP(2,1/('Engineer Updates'!$B$5:$B$304=A58),'Engineer Updates'!$A$5:$A$304),"")</f>
        <v>46251</v>
      </c>
      <c r="R58" s="30" t="str">
        <f>IFERROR(LOOKUP(2,1/('Engineer Updates'!$B$5:$B$304=A58),'Engineer Updates'!$E$5:$E$304),"")</f>
        <v>Not Started</v>
      </c>
      <c r="S58" s="30">
        <f>IFERROR(LOOKUP(2,1/('Engineer Updates'!$B$5:$B$304=A58),'Engineer Updates'!$D$5:$D$304),"")</f>
        <v>0</v>
      </c>
      <c r="T58" s="30">
        <f>IFERROR(LOOKUP(2,1/('Engineer Updates'!$B$5:$B$304=A58),'Engineer Updates'!$F$5:$F$304),"")</f>
        <v>0</v>
      </c>
      <c r="U58" s="30">
        <f>IFERROR(LOOKUP(2,1/('Engineer Updates'!$B$5:$B$304=A58),'Engineer Updates'!$G$5:$G$304),"")</f>
        <v>0</v>
      </c>
      <c r="V58" s="30">
        <f>IFERROR(LOOKUP(2,1/('Engineer Updates'!$B$5:$B$304=A58),'Engineer Updates'!$H$5:$H$304),"")</f>
        <v>0</v>
      </c>
      <c r="W58" s="33">
        <f>IFERROR(LOOKUP(2,1/('Engineer Updates'!$B$5:$B$304=A58),'Engineer Updates'!$I$5:$I$304),"")</f>
        <v>0</v>
      </c>
      <c r="X58" s="34" t="str">
        <f t="shared" si="3"/>
        <v/>
      </c>
      <c r="Y58" s="27" t="s">
        <v>109</v>
      </c>
    </row>
    <row r="59" spans="1:25" ht="28.8">
      <c r="A59" s="27" t="s">
        <v>270</v>
      </c>
      <c r="B59" s="27" t="s">
        <v>104</v>
      </c>
      <c r="C59" s="27" t="s">
        <v>67</v>
      </c>
      <c r="D59" s="28">
        <v>46251</v>
      </c>
      <c r="E59" s="28">
        <v>46219.351567094905</v>
      </c>
      <c r="F59" s="28">
        <v>46239.622196388889</v>
      </c>
      <c r="G59" s="29" t="s">
        <v>271</v>
      </c>
      <c r="H59" s="29" t="s">
        <v>272</v>
      </c>
      <c r="I59" s="29" t="s">
        <v>107</v>
      </c>
      <c r="J59" s="29" t="s">
        <v>259</v>
      </c>
      <c r="K59" s="30" t="str">
        <f>IFERROR(LOOKUP(2,1/('Assignment History'!$B$5:$B$204=A59),'Assignment History'!$D$5:$D$204),IFERROR(VLOOKUP(J59,Configuration!$L$5:$M$50,2,FALSE),J59))</f>
        <v>swaminadh.chirakala@petronas.com</v>
      </c>
      <c r="L59" s="30" t="str">
        <f>IF(K59=IFERROR(VLOOKUP(J59,Configuration!$L$5:$M$50,2,FALSE),J59),"Snapshot PIC","Replacement PIC")</f>
        <v>Snapshot PIC</v>
      </c>
      <c r="M59" s="31">
        <f>IFERROR(VLOOKUP(I59,Configuration!$O$5:$P$8,2,FALSE),Configuration!$S$6)</f>
        <v>2</v>
      </c>
      <c r="N59" s="31" t="str">
        <f>IFERROR(LOOKUP(2,1/('Scope Review'!$B$5:$B$204=A59),'Scope Review'!$G$5:$G$204),"Not Reviewed")</f>
        <v>Not Reviewed</v>
      </c>
      <c r="O59" s="31" t="str">
        <f>IFERROR(LOOKUP(2,1/('Scope Review'!$B$5:$B$204=A59),'Scope Review'!$H$5:$H$204),"")</f>
        <v/>
      </c>
      <c r="P59" s="31">
        <f t="shared" si="2"/>
        <v>2</v>
      </c>
      <c r="Q59" s="32">
        <f>IFERROR(LOOKUP(2,1/('Engineer Updates'!$B$5:$B$304=A59),'Engineer Updates'!$A$5:$A$304),"")</f>
        <v>46251</v>
      </c>
      <c r="R59" s="30" t="str">
        <f>IFERROR(LOOKUP(2,1/('Engineer Updates'!$B$5:$B$304=A59),'Engineer Updates'!$E$5:$E$304),"")</f>
        <v>Not Started</v>
      </c>
      <c r="S59" s="30">
        <f>IFERROR(LOOKUP(2,1/('Engineer Updates'!$B$5:$B$304=A59),'Engineer Updates'!$D$5:$D$304),"")</f>
        <v>0</v>
      </c>
      <c r="T59" s="30">
        <f>IFERROR(LOOKUP(2,1/('Engineer Updates'!$B$5:$B$304=A59),'Engineer Updates'!$F$5:$F$304),"")</f>
        <v>0</v>
      </c>
      <c r="U59" s="30">
        <f>IFERROR(LOOKUP(2,1/('Engineer Updates'!$B$5:$B$304=A59),'Engineer Updates'!$G$5:$G$304),"")</f>
        <v>0</v>
      </c>
      <c r="V59" s="30">
        <f>IFERROR(LOOKUP(2,1/('Engineer Updates'!$B$5:$B$304=A59),'Engineer Updates'!$H$5:$H$304),"")</f>
        <v>0</v>
      </c>
      <c r="W59" s="33">
        <f>IFERROR(LOOKUP(2,1/('Engineer Updates'!$B$5:$B$304=A59),'Engineer Updates'!$I$5:$I$304),"")</f>
        <v>0</v>
      </c>
      <c r="X59" s="34" t="str">
        <f t="shared" si="3"/>
        <v/>
      </c>
      <c r="Y59" s="27" t="s">
        <v>109</v>
      </c>
    </row>
    <row r="60" spans="1:25" ht="43.2">
      <c r="A60" s="27" t="s">
        <v>273</v>
      </c>
      <c r="B60" s="27" t="s">
        <v>104</v>
      </c>
      <c r="C60" s="27" t="s">
        <v>67</v>
      </c>
      <c r="D60" s="28">
        <v>46251</v>
      </c>
      <c r="E60" s="28">
        <v>46226.150340659726</v>
      </c>
      <c r="F60" s="28">
        <v>46233.106046712965</v>
      </c>
      <c r="G60" s="29" t="s">
        <v>274</v>
      </c>
      <c r="H60" s="29" t="s">
        <v>275</v>
      </c>
      <c r="I60" s="29" t="s">
        <v>107</v>
      </c>
      <c r="J60" s="29" t="s">
        <v>259</v>
      </c>
      <c r="K60" s="30" t="str">
        <f>IFERROR(LOOKUP(2,1/('Assignment History'!$B$5:$B$204=A60),'Assignment History'!$D$5:$D$204),IFERROR(VLOOKUP(J60,Configuration!$L$5:$M$50,2,FALSE),J60))</f>
        <v>swaminadh.chirakala@petronas.com</v>
      </c>
      <c r="L60" s="30" t="str">
        <f>IF(K60=IFERROR(VLOOKUP(J60,Configuration!$L$5:$M$50,2,FALSE),J60),"Snapshot PIC","Replacement PIC")</f>
        <v>Snapshot PIC</v>
      </c>
      <c r="M60" s="31">
        <f>IFERROR(VLOOKUP(I60,Configuration!$O$5:$P$8,2,FALSE),Configuration!$S$6)</f>
        <v>2</v>
      </c>
      <c r="N60" s="31" t="str">
        <f>IFERROR(LOOKUP(2,1/('Scope Review'!$B$5:$B$204=A60),'Scope Review'!$G$5:$G$204),"Not Reviewed")</f>
        <v>Not Reviewed</v>
      </c>
      <c r="O60" s="31" t="str">
        <f>IFERROR(LOOKUP(2,1/('Scope Review'!$B$5:$B$204=A60),'Scope Review'!$H$5:$H$204),"")</f>
        <v/>
      </c>
      <c r="P60" s="31">
        <f t="shared" si="2"/>
        <v>2</v>
      </c>
      <c r="Q60" s="32">
        <f>IFERROR(LOOKUP(2,1/('Engineer Updates'!$B$5:$B$304=A60),'Engineer Updates'!$A$5:$A$304),"")</f>
        <v>46251</v>
      </c>
      <c r="R60" s="30" t="str">
        <f>IFERROR(LOOKUP(2,1/('Engineer Updates'!$B$5:$B$304=A60),'Engineer Updates'!$E$5:$E$304),"")</f>
        <v>Not Started</v>
      </c>
      <c r="S60" s="30">
        <f>IFERROR(LOOKUP(2,1/('Engineer Updates'!$B$5:$B$304=A60),'Engineer Updates'!$D$5:$D$304),"")</f>
        <v>0</v>
      </c>
      <c r="T60" s="30">
        <f>IFERROR(LOOKUP(2,1/('Engineer Updates'!$B$5:$B$304=A60),'Engineer Updates'!$F$5:$F$304),"")</f>
        <v>0</v>
      </c>
      <c r="U60" s="30">
        <f>IFERROR(LOOKUP(2,1/('Engineer Updates'!$B$5:$B$304=A60),'Engineer Updates'!$G$5:$G$304),"")</f>
        <v>0</v>
      </c>
      <c r="V60" s="30">
        <f>IFERROR(LOOKUP(2,1/('Engineer Updates'!$B$5:$B$304=A60),'Engineer Updates'!$H$5:$H$304),"")</f>
        <v>0</v>
      </c>
      <c r="W60" s="33">
        <f>IFERROR(LOOKUP(2,1/('Engineer Updates'!$B$5:$B$304=A60),'Engineer Updates'!$I$5:$I$304),"")</f>
        <v>0</v>
      </c>
      <c r="X60" s="34" t="str">
        <f t="shared" si="3"/>
        <v/>
      </c>
      <c r="Y60" s="27" t="s">
        <v>109</v>
      </c>
    </row>
    <row r="61" spans="1:25" ht="43.2">
      <c r="A61" s="27" t="s">
        <v>276</v>
      </c>
      <c r="B61" s="27" t="s">
        <v>104</v>
      </c>
      <c r="C61" s="27" t="s">
        <v>67</v>
      </c>
      <c r="D61" s="28">
        <v>46251</v>
      </c>
      <c r="E61" s="28">
        <v>46226.154782592595</v>
      </c>
      <c r="F61" s="28">
        <v>46233.105761608793</v>
      </c>
      <c r="G61" s="29" t="s">
        <v>274</v>
      </c>
      <c r="H61" s="29" t="s">
        <v>275</v>
      </c>
      <c r="I61" s="29" t="s">
        <v>107</v>
      </c>
      <c r="J61" s="29" t="s">
        <v>259</v>
      </c>
      <c r="K61" s="30" t="str">
        <f>IFERROR(LOOKUP(2,1/('Assignment History'!$B$5:$B$204=A61),'Assignment History'!$D$5:$D$204),IFERROR(VLOOKUP(J61,Configuration!$L$5:$M$50,2,FALSE),J61))</f>
        <v>swaminadh.chirakala@petronas.com</v>
      </c>
      <c r="L61" s="30" t="str">
        <f>IF(K61=IFERROR(VLOOKUP(J61,Configuration!$L$5:$M$50,2,FALSE),J61),"Snapshot PIC","Replacement PIC")</f>
        <v>Snapshot PIC</v>
      </c>
      <c r="M61" s="31">
        <f>IFERROR(VLOOKUP(I61,Configuration!$O$5:$P$8,2,FALSE),Configuration!$S$6)</f>
        <v>2</v>
      </c>
      <c r="N61" s="31" t="str">
        <f>IFERROR(LOOKUP(2,1/('Scope Review'!$B$5:$B$204=A61),'Scope Review'!$G$5:$G$204),"Not Reviewed")</f>
        <v>Not Reviewed</v>
      </c>
      <c r="O61" s="31" t="str">
        <f>IFERROR(LOOKUP(2,1/('Scope Review'!$B$5:$B$204=A61),'Scope Review'!$H$5:$H$204),"")</f>
        <v/>
      </c>
      <c r="P61" s="31">
        <f t="shared" si="2"/>
        <v>2</v>
      </c>
      <c r="Q61" s="32">
        <f>IFERROR(LOOKUP(2,1/('Engineer Updates'!$B$5:$B$304=A61),'Engineer Updates'!$A$5:$A$304),"")</f>
        <v>46251</v>
      </c>
      <c r="R61" s="30" t="str">
        <f>IFERROR(LOOKUP(2,1/('Engineer Updates'!$B$5:$B$304=A61),'Engineer Updates'!$E$5:$E$304),"")</f>
        <v>Not Started</v>
      </c>
      <c r="S61" s="30">
        <f>IFERROR(LOOKUP(2,1/('Engineer Updates'!$B$5:$B$304=A61),'Engineer Updates'!$D$5:$D$304),"")</f>
        <v>0</v>
      </c>
      <c r="T61" s="30">
        <f>IFERROR(LOOKUP(2,1/('Engineer Updates'!$B$5:$B$304=A61),'Engineer Updates'!$F$5:$F$304),"")</f>
        <v>0</v>
      </c>
      <c r="U61" s="30">
        <f>IFERROR(LOOKUP(2,1/('Engineer Updates'!$B$5:$B$304=A61),'Engineer Updates'!$G$5:$G$304),"")</f>
        <v>0</v>
      </c>
      <c r="V61" s="30">
        <f>IFERROR(LOOKUP(2,1/('Engineer Updates'!$B$5:$B$304=A61),'Engineer Updates'!$H$5:$H$304),"")</f>
        <v>0</v>
      </c>
      <c r="W61" s="33">
        <f>IFERROR(LOOKUP(2,1/('Engineer Updates'!$B$5:$B$304=A61),'Engineer Updates'!$I$5:$I$304),"")</f>
        <v>0</v>
      </c>
      <c r="X61" s="34" t="str">
        <f t="shared" si="3"/>
        <v/>
      </c>
      <c r="Y61" s="27" t="s">
        <v>109</v>
      </c>
    </row>
    <row r="62" spans="1:25" ht="43.2">
      <c r="A62" s="27" t="s">
        <v>277</v>
      </c>
      <c r="B62" s="27" t="s">
        <v>104</v>
      </c>
      <c r="C62" s="27" t="s">
        <v>67</v>
      </c>
      <c r="D62" s="28">
        <v>46251</v>
      </c>
      <c r="E62" s="28">
        <v>46154.10718013889</v>
      </c>
      <c r="F62" s="28">
        <v>46237.27009903935</v>
      </c>
      <c r="G62" s="29" t="s">
        <v>278</v>
      </c>
      <c r="H62" s="29" t="s">
        <v>279</v>
      </c>
      <c r="I62" s="29" t="s">
        <v>107</v>
      </c>
      <c r="J62" s="29" t="s">
        <v>259</v>
      </c>
      <c r="K62" s="30" t="str">
        <f>IFERROR(LOOKUP(2,1/('Assignment History'!$B$5:$B$204=A62),'Assignment History'!$D$5:$D$204),IFERROR(VLOOKUP(J62,Configuration!$L$5:$M$50,2,FALSE),J62))</f>
        <v>swaminadh.chirakala@petronas.com</v>
      </c>
      <c r="L62" s="30" t="str">
        <f>IF(K62=IFERROR(VLOOKUP(J62,Configuration!$L$5:$M$50,2,FALSE),J62),"Snapshot PIC","Replacement PIC")</f>
        <v>Snapshot PIC</v>
      </c>
      <c r="M62" s="31">
        <f>IFERROR(VLOOKUP(I62,Configuration!$O$5:$P$8,2,FALSE),Configuration!$S$6)</f>
        <v>2</v>
      </c>
      <c r="N62" s="31" t="str">
        <f>IFERROR(LOOKUP(2,1/('Scope Review'!$B$5:$B$204=A62),'Scope Review'!$G$5:$G$204),"Not Reviewed")</f>
        <v>Not Reviewed</v>
      </c>
      <c r="O62" s="31" t="str">
        <f>IFERROR(LOOKUP(2,1/('Scope Review'!$B$5:$B$204=A62),'Scope Review'!$H$5:$H$204),"")</f>
        <v/>
      </c>
      <c r="P62" s="31">
        <f t="shared" si="2"/>
        <v>2</v>
      </c>
      <c r="Q62" s="32">
        <f>IFERROR(LOOKUP(2,1/('Engineer Updates'!$B$5:$B$304=A62),'Engineer Updates'!$A$5:$A$304),"")</f>
        <v>46251</v>
      </c>
      <c r="R62" s="30" t="str">
        <f>IFERROR(LOOKUP(2,1/('Engineer Updates'!$B$5:$B$304=A62),'Engineer Updates'!$E$5:$E$304),"")</f>
        <v>Not Started</v>
      </c>
      <c r="S62" s="30">
        <f>IFERROR(LOOKUP(2,1/('Engineer Updates'!$B$5:$B$304=A62),'Engineer Updates'!$D$5:$D$304),"")</f>
        <v>0</v>
      </c>
      <c r="T62" s="30">
        <f>IFERROR(LOOKUP(2,1/('Engineer Updates'!$B$5:$B$304=A62),'Engineer Updates'!$F$5:$F$304),"")</f>
        <v>0</v>
      </c>
      <c r="U62" s="30">
        <f>IFERROR(LOOKUP(2,1/('Engineer Updates'!$B$5:$B$304=A62),'Engineer Updates'!$G$5:$G$304),"")</f>
        <v>0</v>
      </c>
      <c r="V62" s="30">
        <f>IFERROR(LOOKUP(2,1/('Engineer Updates'!$B$5:$B$304=A62),'Engineer Updates'!$H$5:$H$304),"")</f>
        <v>0</v>
      </c>
      <c r="W62" s="33">
        <f>IFERROR(LOOKUP(2,1/('Engineer Updates'!$B$5:$B$304=A62),'Engineer Updates'!$I$5:$I$304),"")</f>
        <v>0</v>
      </c>
      <c r="X62" s="34" t="str">
        <f t="shared" si="3"/>
        <v/>
      </c>
      <c r="Y62" s="27" t="s">
        <v>109</v>
      </c>
    </row>
    <row r="63" spans="1:25" ht="28.8">
      <c r="A63" s="27" t="s">
        <v>280</v>
      </c>
      <c r="B63" s="27" t="s">
        <v>104</v>
      </c>
      <c r="C63" s="27" t="s">
        <v>67</v>
      </c>
      <c r="D63" s="28">
        <v>46251</v>
      </c>
      <c r="E63" s="28">
        <v>46226.10378109954</v>
      </c>
      <c r="F63" s="28">
        <v>46231.204190127311</v>
      </c>
      <c r="G63" s="29" t="s">
        <v>281</v>
      </c>
      <c r="H63" s="29" t="s">
        <v>282</v>
      </c>
      <c r="I63" s="29" t="s">
        <v>107</v>
      </c>
      <c r="J63" s="29" t="s">
        <v>259</v>
      </c>
      <c r="K63" s="30" t="str">
        <f>IFERROR(LOOKUP(2,1/('Assignment History'!$B$5:$B$204=A63),'Assignment History'!$D$5:$D$204),IFERROR(VLOOKUP(J63,Configuration!$L$5:$M$50,2,FALSE),J63))</f>
        <v>swaminadh.chirakala@petronas.com</v>
      </c>
      <c r="L63" s="30" t="str">
        <f>IF(K63=IFERROR(VLOOKUP(J63,Configuration!$L$5:$M$50,2,FALSE),J63),"Snapshot PIC","Replacement PIC")</f>
        <v>Snapshot PIC</v>
      </c>
      <c r="M63" s="31">
        <f>IFERROR(VLOOKUP(I63,Configuration!$O$5:$P$8,2,FALSE),Configuration!$S$6)</f>
        <v>2</v>
      </c>
      <c r="N63" s="31" t="str">
        <f>IFERROR(LOOKUP(2,1/('Scope Review'!$B$5:$B$204=A63),'Scope Review'!$G$5:$G$204),"Not Reviewed")</f>
        <v>Not Reviewed</v>
      </c>
      <c r="O63" s="31" t="str">
        <f>IFERROR(LOOKUP(2,1/('Scope Review'!$B$5:$B$204=A63),'Scope Review'!$H$5:$H$204),"")</f>
        <v/>
      </c>
      <c r="P63" s="31">
        <f t="shared" si="2"/>
        <v>2</v>
      </c>
      <c r="Q63" s="32">
        <f>IFERROR(LOOKUP(2,1/('Engineer Updates'!$B$5:$B$304=A63),'Engineer Updates'!$A$5:$A$304),"")</f>
        <v>46251</v>
      </c>
      <c r="R63" s="30" t="str">
        <f>IFERROR(LOOKUP(2,1/('Engineer Updates'!$B$5:$B$304=A63),'Engineer Updates'!$E$5:$E$304),"")</f>
        <v>Not Started</v>
      </c>
      <c r="S63" s="30">
        <f>IFERROR(LOOKUP(2,1/('Engineer Updates'!$B$5:$B$304=A63),'Engineer Updates'!$D$5:$D$304),"")</f>
        <v>0</v>
      </c>
      <c r="T63" s="30">
        <f>IFERROR(LOOKUP(2,1/('Engineer Updates'!$B$5:$B$304=A63),'Engineer Updates'!$F$5:$F$304),"")</f>
        <v>0</v>
      </c>
      <c r="U63" s="30">
        <f>IFERROR(LOOKUP(2,1/('Engineer Updates'!$B$5:$B$304=A63),'Engineer Updates'!$G$5:$G$304),"")</f>
        <v>0</v>
      </c>
      <c r="V63" s="30">
        <f>IFERROR(LOOKUP(2,1/('Engineer Updates'!$B$5:$B$304=A63),'Engineer Updates'!$H$5:$H$304),"")</f>
        <v>0</v>
      </c>
      <c r="W63" s="33">
        <f>IFERROR(LOOKUP(2,1/('Engineer Updates'!$B$5:$B$304=A63),'Engineer Updates'!$I$5:$I$304),"")</f>
        <v>0</v>
      </c>
      <c r="X63" s="34" t="str">
        <f t="shared" si="3"/>
        <v/>
      </c>
      <c r="Y63" s="27" t="s">
        <v>109</v>
      </c>
    </row>
    <row r="64" spans="1:25" ht="28.8">
      <c r="A64" s="27" t="s">
        <v>283</v>
      </c>
      <c r="B64" s="27" t="s">
        <v>104</v>
      </c>
      <c r="C64" s="27" t="s">
        <v>67</v>
      </c>
      <c r="D64" s="28">
        <v>46251</v>
      </c>
      <c r="E64" s="28">
        <v>46237.561653055556</v>
      </c>
      <c r="F64" s="28">
        <v>46246.650259479167</v>
      </c>
      <c r="G64" s="29" t="s">
        <v>235</v>
      </c>
      <c r="H64" s="29" t="s">
        <v>236</v>
      </c>
      <c r="I64" s="29" t="s">
        <v>125</v>
      </c>
      <c r="J64" s="29" t="s">
        <v>259</v>
      </c>
      <c r="K64" s="30" t="str">
        <f>IFERROR(LOOKUP(2,1/('Assignment History'!$B$5:$B$204=A64),'Assignment History'!$D$5:$D$204),IFERROR(VLOOKUP(J64,Configuration!$L$5:$M$50,2,FALSE),J64))</f>
        <v>swaminadh.chirakala@petronas.com</v>
      </c>
      <c r="L64" s="30" t="str">
        <f>IF(K64=IFERROR(VLOOKUP(J64,Configuration!$L$5:$M$50,2,FALSE),J64),"Snapshot PIC","Replacement PIC")</f>
        <v>Snapshot PIC</v>
      </c>
      <c r="M64" s="31">
        <f>IFERROR(VLOOKUP(I64,Configuration!$O$5:$P$8,2,FALSE),Configuration!$S$6)</f>
        <v>3</v>
      </c>
      <c r="N64" s="31" t="str">
        <f>IFERROR(LOOKUP(2,1/('Scope Review'!$B$5:$B$204=A64),'Scope Review'!$G$5:$G$204),"Not Reviewed")</f>
        <v>Not Reviewed</v>
      </c>
      <c r="O64" s="31" t="str">
        <f>IFERROR(LOOKUP(2,1/('Scope Review'!$B$5:$B$204=A64),'Scope Review'!$H$5:$H$204),"")</f>
        <v/>
      </c>
      <c r="P64" s="31">
        <f t="shared" si="2"/>
        <v>3</v>
      </c>
      <c r="Q64" s="32">
        <f>IFERROR(LOOKUP(2,1/('Engineer Updates'!$B$5:$B$304=A64),'Engineer Updates'!$A$5:$A$304),"")</f>
        <v>46251</v>
      </c>
      <c r="R64" s="30" t="str">
        <f>IFERROR(LOOKUP(2,1/('Engineer Updates'!$B$5:$B$304=A64),'Engineer Updates'!$E$5:$E$304),"")</f>
        <v>Not Started</v>
      </c>
      <c r="S64" s="30">
        <f>IFERROR(LOOKUP(2,1/('Engineer Updates'!$B$5:$B$304=A64),'Engineer Updates'!$D$5:$D$304),"")</f>
        <v>0</v>
      </c>
      <c r="T64" s="30">
        <f>IFERROR(LOOKUP(2,1/('Engineer Updates'!$B$5:$B$304=A64),'Engineer Updates'!$F$5:$F$304),"")</f>
        <v>0</v>
      </c>
      <c r="U64" s="30">
        <f>IFERROR(LOOKUP(2,1/('Engineer Updates'!$B$5:$B$304=A64),'Engineer Updates'!$G$5:$G$304),"")</f>
        <v>0</v>
      </c>
      <c r="V64" s="30">
        <f>IFERROR(LOOKUP(2,1/('Engineer Updates'!$B$5:$B$304=A64),'Engineer Updates'!$H$5:$H$304),"")</f>
        <v>0</v>
      </c>
      <c r="W64" s="33">
        <f>IFERROR(LOOKUP(2,1/('Engineer Updates'!$B$5:$B$304=A64),'Engineer Updates'!$I$5:$I$304),"")</f>
        <v>0</v>
      </c>
      <c r="X64" s="34" t="str">
        <f t="shared" si="3"/>
        <v/>
      </c>
      <c r="Y64" s="27" t="s">
        <v>109</v>
      </c>
    </row>
    <row r="65" spans="1:25" ht="43.2">
      <c r="A65" s="27" t="s">
        <v>284</v>
      </c>
      <c r="B65" s="27" t="s">
        <v>104</v>
      </c>
      <c r="C65" s="27" t="s">
        <v>67</v>
      </c>
      <c r="D65" s="28">
        <v>46251</v>
      </c>
      <c r="E65" s="28">
        <v>46240.084827303239</v>
      </c>
      <c r="F65" s="28">
        <v>46246.64777236111</v>
      </c>
      <c r="G65" s="29" t="s">
        <v>285</v>
      </c>
      <c r="H65" s="29" t="s">
        <v>286</v>
      </c>
      <c r="I65" s="29" t="s">
        <v>125</v>
      </c>
      <c r="J65" s="29" t="s">
        <v>259</v>
      </c>
      <c r="K65" s="30" t="str">
        <f>IFERROR(LOOKUP(2,1/('Assignment History'!$B$5:$B$204=A65),'Assignment History'!$D$5:$D$204),IFERROR(VLOOKUP(J65,Configuration!$L$5:$M$50,2,FALSE),J65))</f>
        <v>swaminadh.chirakala@petronas.com</v>
      </c>
      <c r="L65" s="30" t="str">
        <f>IF(K65=IFERROR(VLOOKUP(J65,Configuration!$L$5:$M$50,2,FALSE),J65),"Snapshot PIC","Replacement PIC")</f>
        <v>Snapshot PIC</v>
      </c>
      <c r="M65" s="31">
        <f>IFERROR(VLOOKUP(I65,Configuration!$O$5:$P$8,2,FALSE),Configuration!$S$6)</f>
        <v>3</v>
      </c>
      <c r="N65" s="31" t="str">
        <f>IFERROR(LOOKUP(2,1/('Scope Review'!$B$5:$B$204=A65),'Scope Review'!$G$5:$G$204),"Not Reviewed")</f>
        <v>Not Reviewed</v>
      </c>
      <c r="O65" s="31" t="str">
        <f>IFERROR(LOOKUP(2,1/('Scope Review'!$B$5:$B$204=A65),'Scope Review'!$H$5:$H$204),"")</f>
        <v/>
      </c>
      <c r="P65" s="31">
        <f t="shared" si="2"/>
        <v>3</v>
      </c>
      <c r="Q65" s="32">
        <f>IFERROR(LOOKUP(2,1/('Engineer Updates'!$B$5:$B$304=A65),'Engineer Updates'!$A$5:$A$304),"")</f>
        <v>46251</v>
      </c>
      <c r="R65" s="30" t="str">
        <f>IFERROR(LOOKUP(2,1/('Engineer Updates'!$B$5:$B$304=A65),'Engineer Updates'!$E$5:$E$304),"")</f>
        <v>Not Started</v>
      </c>
      <c r="S65" s="30">
        <f>IFERROR(LOOKUP(2,1/('Engineer Updates'!$B$5:$B$304=A65),'Engineer Updates'!$D$5:$D$304),"")</f>
        <v>0</v>
      </c>
      <c r="T65" s="30">
        <f>IFERROR(LOOKUP(2,1/('Engineer Updates'!$B$5:$B$304=A65),'Engineer Updates'!$F$5:$F$304),"")</f>
        <v>0</v>
      </c>
      <c r="U65" s="30">
        <f>IFERROR(LOOKUP(2,1/('Engineer Updates'!$B$5:$B$304=A65),'Engineer Updates'!$G$5:$G$304),"")</f>
        <v>0</v>
      </c>
      <c r="V65" s="30">
        <f>IFERROR(LOOKUP(2,1/('Engineer Updates'!$B$5:$B$304=A65),'Engineer Updates'!$H$5:$H$304),"")</f>
        <v>0</v>
      </c>
      <c r="W65" s="33">
        <f>IFERROR(LOOKUP(2,1/('Engineer Updates'!$B$5:$B$304=A65),'Engineer Updates'!$I$5:$I$304),"")</f>
        <v>0</v>
      </c>
      <c r="X65" s="34" t="str">
        <f t="shared" si="3"/>
        <v/>
      </c>
      <c r="Y65" s="27" t="s">
        <v>109</v>
      </c>
    </row>
    <row r="66" spans="1:25" ht="28.8">
      <c r="A66" s="27" t="s">
        <v>287</v>
      </c>
      <c r="B66" s="27" t="s">
        <v>104</v>
      </c>
      <c r="C66" s="27" t="s">
        <v>67</v>
      </c>
      <c r="D66" s="28">
        <v>46251</v>
      </c>
      <c r="E66" s="28">
        <v>46225.029883148149</v>
      </c>
      <c r="F66" s="28">
        <v>46239.622015520836</v>
      </c>
      <c r="G66" s="29" t="s">
        <v>128</v>
      </c>
      <c r="H66" s="29" t="s">
        <v>288</v>
      </c>
      <c r="I66" s="29" t="s">
        <v>116</v>
      </c>
      <c r="J66" s="29" t="s">
        <v>259</v>
      </c>
      <c r="K66" s="30" t="str">
        <f>IFERROR(LOOKUP(2,1/('Assignment History'!$B$5:$B$204=A66),'Assignment History'!$D$5:$D$204),IFERROR(VLOOKUP(J66,Configuration!$L$5:$M$50,2,FALSE),J66))</f>
        <v>swaminadh.chirakala@petronas.com</v>
      </c>
      <c r="L66" s="30" t="str">
        <f>IF(K66=IFERROR(VLOOKUP(J66,Configuration!$L$5:$M$50,2,FALSE),J66),"Snapshot PIC","Replacement PIC")</f>
        <v>Snapshot PIC</v>
      </c>
      <c r="M66" s="31">
        <f>IFERROR(VLOOKUP(I66,Configuration!$O$5:$P$8,2,FALSE),Configuration!$S$6)</f>
        <v>1</v>
      </c>
      <c r="N66" s="31" t="str">
        <f>IFERROR(LOOKUP(2,1/('Scope Review'!$B$5:$B$204=A66),'Scope Review'!$G$5:$G$204),"Not Reviewed")</f>
        <v>Not Reviewed</v>
      </c>
      <c r="O66" s="31" t="str">
        <f>IFERROR(LOOKUP(2,1/('Scope Review'!$B$5:$B$204=A66),'Scope Review'!$H$5:$H$204),"")</f>
        <v/>
      </c>
      <c r="P66" s="31">
        <f t="shared" si="2"/>
        <v>1</v>
      </c>
      <c r="Q66" s="32">
        <f>IFERROR(LOOKUP(2,1/('Engineer Updates'!$B$5:$B$304=A66),'Engineer Updates'!$A$5:$A$304),"")</f>
        <v>46251</v>
      </c>
      <c r="R66" s="30" t="str">
        <f>IFERROR(LOOKUP(2,1/('Engineer Updates'!$B$5:$B$304=A66),'Engineer Updates'!$E$5:$E$304),"")</f>
        <v>Not Started</v>
      </c>
      <c r="S66" s="30">
        <f>IFERROR(LOOKUP(2,1/('Engineer Updates'!$B$5:$B$304=A66),'Engineer Updates'!$D$5:$D$304),"")</f>
        <v>0</v>
      </c>
      <c r="T66" s="30">
        <f>IFERROR(LOOKUP(2,1/('Engineer Updates'!$B$5:$B$304=A66),'Engineer Updates'!$F$5:$F$304),"")</f>
        <v>0</v>
      </c>
      <c r="U66" s="30">
        <f>IFERROR(LOOKUP(2,1/('Engineer Updates'!$B$5:$B$304=A66),'Engineer Updates'!$G$5:$G$304),"")</f>
        <v>0</v>
      </c>
      <c r="V66" s="30">
        <f>IFERROR(LOOKUP(2,1/('Engineer Updates'!$B$5:$B$304=A66),'Engineer Updates'!$H$5:$H$304),"")</f>
        <v>0</v>
      </c>
      <c r="W66" s="33">
        <f>IFERROR(LOOKUP(2,1/('Engineer Updates'!$B$5:$B$304=A66),'Engineer Updates'!$I$5:$I$304),"")</f>
        <v>0</v>
      </c>
      <c r="X66" s="34" t="str">
        <f t="shared" si="3"/>
        <v/>
      </c>
      <c r="Y66" s="27" t="s">
        <v>109</v>
      </c>
    </row>
    <row r="67" spans="1:25">
      <c r="A67" s="27" t="s">
        <v>289</v>
      </c>
      <c r="B67" s="27" t="s">
        <v>104</v>
      </c>
      <c r="C67" s="27" t="s">
        <v>67</v>
      </c>
      <c r="D67" s="28">
        <v>46251</v>
      </c>
      <c r="E67" s="28">
        <v>46241.083838125</v>
      </c>
      <c r="F67" s="28">
        <v>46246.647137094908</v>
      </c>
      <c r="G67" s="29" t="s">
        <v>244</v>
      </c>
      <c r="H67" s="29" t="s">
        <v>245</v>
      </c>
      <c r="I67" s="29" t="s">
        <v>125</v>
      </c>
      <c r="J67" s="29" t="s">
        <v>259</v>
      </c>
      <c r="K67" s="30" t="str">
        <f>IFERROR(LOOKUP(2,1/('Assignment History'!$B$5:$B$204=A67),'Assignment History'!$D$5:$D$204),IFERROR(VLOOKUP(J67,Configuration!$L$5:$M$50,2,FALSE),J67))</f>
        <v>swaminadh.chirakala@petronas.com</v>
      </c>
      <c r="L67" s="30" t="str">
        <f>IF(K67=IFERROR(VLOOKUP(J67,Configuration!$L$5:$M$50,2,FALSE),J67),"Snapshot PIC","Replacement PIC")</f>
        <v>Snapshot PIC</v>
      </c>
      <c r="M67" s="31">
        <f>IFERROR(VLOOKUP(I67,Configuration!$O$5:$P$8,2,FALSE),Configuration!$S$6)</f>
        <v>3</v>
      </c>
      <c r="N67" s="31" t="str">
        <f>IFERROR(LOOKUP(2,1/('Scope Review'!$B$5:$B$204=A67),'Scope Review'!$G$5:$G$204),"Not Reviewed")</f>
        <v>Not Reviewed</v>
      </c>
      <c r="O67" s="31" t="str">
        <f>IFERROR(LOOKUP(2,1/('Scope Review'!$B$5:$B$204=A67),'Scope Review'!$H$5:$H$204),"")</f>
        <v/>
      </c>
      <c r="P67" s="31">
        <f t="shared" si="2"/>
        <v>3</v>
      </c>
      <c r="Q67" s="32">
        <f>IFERROR(LOOKUP(2,1/('Engineer Updates'!$B$5:$B$304=A67),'Engineer Updates'!$A$5:$A$304),"")</f>
        <v>46251</v>
      </c>
      <c r="R67" s="30" t="str">
        <f>IFERROR(LOOKUP(2,1/('Engineer Updates'!$B$5:$B$304=A67),'Engineer Updates'!$E$5:$E$304),"")</f>
        <v>Not Started</v>
      </c>
      <c r="S67" s="30">
        <f>IFERROR(LOOKUP(2,1/('Engineer Updates'!$B$5:$B$304=A67),'Engineer Updates'!$D$5:$D$304),"")</f>
        <v>0</v>
      </c>
      <c r="T67" s="30">
        <f>IFERROR(LOOKUP(2,1/('Engineer Updates'!$B$5:$B$304=A67),'Engineer Updates'!$F$5:$F$304),"")</f>
        <v>0</v>
      </c>
      <c r="U67" s="30">
        <f>IFERROR(LOOKUP(2,1/('Engineer Updates'!$B$5:$B$304=A67),'Engineer Updates'!$G$5:$G$304),"")</f>
        <v>0</v>
      </c>
      <c r="V67" s="30">
        <f>IFERROR(LOOKUP(2,1/('Engineer Updates'!$B$5:$B$304=A67),'Engineer Updates'!$H$5:$H$304),"")</f>
        <v>0</v>
      </c>
      <c r="W67" s="33">
        <f>IFERROR(LOOKUP(2,1/('Engineer Updates'!$B$5:$B$304=A67),'Engineer Updates'!$I$5:$I$304),"")</f>
        <v>0</v>
      </c>
      <c r="X67" s="34" t="str">
        <f t="shared" si="3"/>
        <v/>
      </c>
      <c r="Y67" s="27" t="s">
        <v>109</v>
      </c>
    </row>
    <row r="68" spans="1:25" ht="28.8">
      <c r="A68" s="27" t="s">
        <v>290</v>
      </c>
      <c r="B68" s="27" t="s">
        <v>104</v>
      </c>
      <c r="C68" s="27" t="s">
        <v>67</v>
      </c>
      <c r="D68" s="28">
        <v>46251</v>
      </c>
      <c r="E68" s="28">
        <v>46227.274995428241</v>
      </c>
      <c r="F68" s="28">
        <v>46231.203670787036</v>
      </c>
      <c r="G68" s="29" t="s">
        <v>291</v>
      </c>
      <c r="H68" s="29" t="s">
        <v>292</v>
      </c>
      <c r="I68" s="29" t="s">
        <v>125</v>
      </c>
      <c r="J68" s="29" t="s">
        <v>259</v>
      </c>
      <c r="K68" s="30" t="str">
        <f>IFERROR(LOOKUP(2,1/('Assignment History'!$B$5:$B$204=A68),'Assignment History'!$D$5:$D$204),IFERROR(VLOOKUP(J68,Configuration!$L$5:$M$50,2,FALSE),J68))</f>
        <v>swaminadh.chirakala@petronas.com</v>
      </c>
      <c r="L68" s="30" t="str">
        <f>IF(K68=IFERROR(VLOOKUP(J68,Configuration!$L$5:$M$50,2,FALSE),J68),"Snapshot PIC","Replacement PIC")</f>
        <v>Snapshot PIC</v>
      </c>
      <c r="M68" s="31">
        <f>IFERROR(VLOOKUP(I68,Configuration!$O$5:$P$8,2,FALSE),Configuration!$S$6)</f>
        <v>3</v>
      </c>
      <c r="N68" s="31" t="str">
        <f>IFERROR(LOOKUP(2,1/('Scope Review'!$B$5:$B$204=A68),'Scope Review'!$G$5:$G$204),"Not Reviewed")</f>
        <v>Not Reviewed</v>
      </c>
      <c r="O68" s="31" t="str">
        <f>IFERROR(LOOKUP(2,1/('Scope Review'!$B$5:$B$204=A68),'Scope Review'!$H$5:$H$204),"")</f>
        <v/>
      </c>
      <c r="P68" s="31">
        <f t="shared" si="2"/>
        <v>3</v>
      </c>
      <c r="Q68" s="32">
        <f>IFERROR(LOOKUP(2,1/('Engineer Updates'!$B$5:$B$304=A68),'Engineer Updates'!$A$5:$A$304),"")</f>
        <v>46251</v>
      </c>
      <c r="R68" s="30" t="str">
        <f>IFERROR(LOOKUP(2,1/('Engineer Updates'!$B$5:$B$304=A68),'Engineer Updates'!$E$5:$E$304),"")</f>
        <v>Not Started</v>
      </c>
      <c r="S68" s="30">
        <f>IFERROR(LOOKUP(2,1/('Engineer Updates'!$B$5:$B$304=A68),'Engineer Updates'!$D$5:$D$304),"")</f>
        <v>0</v>
      </c>
      <c r="T68" s="30">
        <f>IFERROR(LOOKUP(2,1/('Engineer Updates'!$B$5:$B$304=A68),'Engineer Updates'!$F$5:$F$304),"")</f>
        <v>0</v>
      </c>
      <c r="U68" s="30">
        <f>IFERROR(LOOKUP(2,1/('Engineer Updates'!$B$5:$B$304=A68),'Engineer Updates'!$G$5:$G$304),"")</f>
        <v>0</v>
      </c>
      <c r="V68" s="30">
        <f>IFERROR(LOOKUP(2,1/('Engineer Updates'!$B$5:$B$304=A68),'Engineer Updates'!$H$5:$H$304),"")</f>
        <v>0</v>
      </c>
      <c r="W68" s="33">
        <f>IFERROR(LOOKUP(2,1/('Engineer Updates'!$B$5:$B$304=A68),'Engineer Updates'!$I$5:$I$304),"")</f>
        <v>0</v>
      </c>
      <c r="X68" s="34" t="str">
        <f t="shared" si="3"/>
        <v/>
      </c>
      <c r="Y68" s="27" t="s">
        <v>109</v>
      </c>
    </row>
    <row r="69" spans="1:25">
      <c r="A69" s="27" t="s">
        <v>293</v>
      </c>
      <c r="B69" s="27" t="s">
        <v>104</v>
      </c>
      <c r="C69" s="27" t="s">
        <v>67</v>
      </c>
      <c r="D69" s="28">
        <v>46251</v>
      </c>
      <c r="E69" s="28">
        <v>46237.571238159719</v>
      </c>
      <c r="F69" s="28">
        <v>46246.649919479169</v>
      </c>
      <c r="G69" s="29" t="s">
        <v>244</v>
      </c>
      <c r="H69" s="29" t="s">
        <v>245</v>
      </c>
      <c r="I69" s="29" t="s">
        <v>125</v>
      </c>
      <c r="J69" s="29" t="s">
        <v>259</v>
      </c>
      <c r="K69" s="30" t="str">
        <f>IFERROR(LOOKUP(2,1/('Assignment History'!$B$5:$B$204=A69),'Assignment History'!$D$5:$D$204),IFERROR(VLOOKUP(J69,Configuration!$L$5:$M$50,2,FALSE),J69))</f>
        <v>swaminadh.chirakala@petronas.com</v>
      </c>
      <c r="L69" s="30" t="str">
        <f>IF(K69=IFERROR(VLOOKUP(J69,Configuration!$L$5:$M$50,2,FALSE),J69),"Snapshot PIC","Replacement PIC")</f>
        <v>Snapshot PIC</v>
      </c>
      <c r="M69" s="31">
        <f>IFERROR(VLOOKUP(I69,Configuration!$O$5:$P$8,2,FALSE),Configuration!$S$6)</f>
        <v>3</v>
      </c>
      <c r="N69" s="31" t="str">
        <f>IFERROR(LOOKUP(2,1/('Scope Review'!$B$5:$B$204=A69),'Scope Review'!$G$5:$G$204),"Not Reviewed")</f>
        <v>Not Reviewed</v>
      </c>
      <c r="O69" s="31" t="str">
        <f>IFERROR(LOOKUP(2,1/('Scope Review'!$B$5:$B$204=A69),'Scope Review'!$H$5:$H$204),"")</f>
        <v/>
      </c>
      <c r="P69" s="31">
        <f t="shared" ref="P69:P100" si="4">IF(AND(C69="executing",N69&lt;&gt;"Confirmed OOS"),M69,0)</f>
        <v>3</v>
      </c>
      <c r="Q69" s="32">
        <f>IFERROR(LOOKUP(2,1/('Engineer Updates'!$B$5:$B$304=A69),'Engineer Updates'!$A$5:$A$304),"")</f>
        <v>46251</v>
      </c>
      <c r="R69" s="30" t="str">
        <f>IFERROR(LOOKUP(2,1/('Engineer Updates'!$B$5:$B$304=A69),'Engineer Updates'!$E$5:$E$304),"")</f>
        <v>Not Started</v>
      </c>
      <c r="S69" s="30">
        <f>IFERROR(LOOKUP(2,1/('Engineer Updates'!$B$5:$B$304=A69),'Engineer Updates'!$D$5:$D$304),"")</f>
        <v>0</v>
      </c>
      <c r="T69" s="30">
        <f>IFERROR(LOOKUP(2,1/('Engineer Updates'!$B$5:$B$304=A69),'Engineer Updates'!$F$5:$F$304),"")</f>
        <v>0</v>
      </c>
      <c r="U69" s="30">
        <f>IFERROR(LOOKUP(2,1/('Engineer Updates'!$B$5:$B$304=A69),'Engineer Updates'!$G$5:$G$304),"")</f>
        <v>0</v>
      </c>
      <c r="V69" s="30">
        <f>IFERROR(LOOKUP(2,1/('Engineer Updates'!$B$5:$B$304=A69),'Engineer Updates'!$H$5:$H$304),"")</f>
        <v>0</v>
      </c>
      <c r="W69" s="33">
        <f>IFERROR(LOOKUP(2,1/('Engineer Updates'!$B$5:$B$304=A69),'Engineer Updates'!$I$5:$I$304),"")</f>
        <v>0</v>
      </c>
      <c r="X69" s="34" t="str">
        <f t="shared" ref="X69:X100" si="5">IF(AND(C69="executing",ISERROR(SEARCH("@",K69))),"Executing without named engineer",IF(AND(N69="Confirmed OOS",C69="executing"),"Confirmed OOS still executing",""))</f>
        <v/>
      </c>
      <c r="Y69" s="27" t="s">
        <v>109</v>
      </c>
    </row>
    <row r="70" spans="1:25" ht="28.8">
      <c r="A70" s="27" t="s">
        <v>294</v>
      </c>
      <c r="B70" s="27" t="s">
        <v>104</v>
      </c>
      <c r="C70" s="27" t="s">
        <v>67</v>
      </c>
      <c r="D70" s="28">
        <v>46251</v>
      </c>
      <c r="E70" s="28">
        <v>46226.123866539354</v>
      </c>
      <c r="F70" s="28">
        <v>46233.106772916668</v>
      </c>
      <c r="G70" s="29" t="s">
        <v>200</v>
      </c>
      <c r="H70" s="29" t="s">
        <v>201</v>
      </c>
      <c r="I70" s="29" t="s">
        <v>107</v>
      </c>
      <c r="J70" s="29" t="s">
        <v>295</v>
      </c>
      <c r="K70" s="30" t="str">
        <f>IFERROR(LOOKUP(2,1/('Assignment History'!$B$5:$B$204=A70),'Assignment History'!$D$5:$D$204),IFERROR(VLOOKUP(J70,Configuration!$L$5:$M$50,2,FALSE),J70))</f>
        <v>abdul.khoir@petronas.com</v>
      </c>
      <c r="L70" s="30" t="str">
        <f>IF(K70=IFERROR(VLOOKUP(J70,Configuration!$L$5:$M$50,2,FALSE),J70),"Snapshot PIC","Replacement PIC")</f>
        <v>Replacement PIC</v>
      </c>
      <c r="M70" s="31">
        <f>IFERROR(VLOOKUP(I70,Configuration!$O$5:$P$8,2,FALSE),Configuration!$S$6)</f>
        <v>2</v>
      </c>
      <c r="N70" s="31" t="str">
        <f>IFERROR(LOOKUP(2,1/('Scope Review'!$B$5:$B$204=A70),'Scope Review'!$G$5:$G$204),"Not Reviewed")</f>
        <v>Not Reviewed</v>
      </c>
      <c r="O70" s="31" t="str">
        <f>IFERROR(LOOKUP(2,1/('Scope Review'!$B$5:$B$204=A70),'Scope Review'!$H$5:$H$204),"")</f>
        <v/>
      </c>
      <c r="P70" s="31">
        <f t="shared" si="4"/>
        <v>2</v>
      </c>
      <c r="Q70" s="32">
        <f>IFERROR(LOOKUP(2,1/('Engineer Updates'!$B$5:$B$304=A70),'Engineer Updates'!$A$5:$A$304),"")</f>
        <v>46251</v>
      </c>
      <c r="R70" s="30" t="str">
        <f>IFERROR(LOOKUP(2,1/('Engineer Updates'!$B$5:$B$304=A70),'Engineer Updates'!$E$5:$E$304),"")</f>
        <v>Not Started</v>
      </c>
      <c r="S70" s="30">
        <f>IFERROR(LOOKUP(2,1/('Engineer Updates'!$B$5:$B$304=A70),'Engineer Updates'!$D$5:$D$304),"")</f>
        <v>0</v>
      </c>
      <c r="T70" s="30">
        <f>IFERROR(LOOKUP(2,1/('Engineer Updates'!$B$5:$B$304=A70),'Engineer Updates'!$F$5:$F$304),"")</f>
        <v>0</v>
      </c>
      <c r="U70" s="30">
        <f>IFERROR(LOOKUP(2,1/('Engineer Updates'!$B$5:$B$304=A70),'Engineer Updates'!$G$5:$G$304),"")</f>
        <v>0</v>
      </c>
      <c r="V70" s="30">
        <f>IFERROR(LOOKUP(2,1/('Engineer Updates'!$B$5:$B$304=A70),'Engineer Updates'!$H$5:$H$304),"")</f>
        <v>0</v>
      </c>
      <c r="W70" s="33">
        <f>IFERROR(LOOKUP(2,1/('Engineer Updates'!$B$5:$B$304=A70),'Engineer Updates'!$I$5:$I$304),"")</f>
        <v>0</v>
      </c>
      <c r="X70" s="34" t="str">
        <f t="shared" si="5"/>
        <v/>
      </c>
      <c r="Y70" s="27" t="s">
        <v>109</v>
      </c>
    </row>
    <row r="71" spans="1:25" ht="43.2">
      <c r="A71" s="27" t="s">
        <v>296</v>
      </c>
      <c r="B71" s="27" t="s">
        <v>104</v>
      </c>
      <c r="C71" s="27" t="s">
        <v>67</v>
      </c>
      <c r="D71" s="28">
        <v>46251</v>
      </c>
      <c r="E71" s="28">
        <v>46225.146818310182</v>
      </c>
      <c r="F71" s="28">
        <v>46233.107110266203</v>
      </c>
      <c r="G71" s="29" t="s">
        <v>297</v>
      </c>
      <c r="H71" s="29" t="s">
        <v>298</v>
      </c>
      <c r="I71" s="29" t="s">
        <v>107</v>
      </c>
      <c r="J71" s="29" t="s">
        <v>295</v>
      </c>
      <c r="K71" s="30" t="str">
        <f>IFERROR(LOOKUP(2,1/('Assignment History'!$B$5:$B$204=A71),'Assignment History'!$D$5:$D$204),IFERROR(VLOOKUP(J71,Configuration!$L$5:$M$50,2,FALSE),J71))</f>
        <v>arun.karuppiah@petronas.com</v>
      </c>
      <c r="L71" s="30" t="str">
        <f>IF(K71=IFERROR(VLOOKUP(J71,Configuration!$L$5:$M$50,2,FALSE),J71),"Snapshot PIC","Replacement PIC")</f>
        <v>Replacement PIC</v>
      </c>
      <c r="M71" s="31">
        <f>IFERROR(VLOOKUP(I71,Configuration!$O$5:$P$8,2,FALSE),Configuration!$S$6)</f>
        <v>2</v>
      </c>
      <c r="N71" s="31" t="str">
        <f>IFERROR(LOOKUP(2,1/('Scope Review'!$B$5:$B$204=A71),'Scope Review'!$G$5:$G$204),"Not Reviewed")</f>
        <v>Not Reviewed</v>
      </c>
      <c r="O71" s="31" t="str">
        <f>IFERROR(LOOKUP(2,1/('Scope Review'!$B$5:$B$204=A71),'Scope Review'!$H$5:$H$204),"")</f>
        <v/>
      </c>
      <c r="P71" s="31">
        <f t="shared" si="4"/>
        <v>2</v>
      </c>
      <c r="Q71" s="32">
        <f>IFERROR(LOOKUP(2,1/('Engineer Updates'!$B$5:$B$304=A71),'Engineer Updates'!$A$5:$A$304),"")</f>
        <v>46251</v>
      </c>
      <c r="R71" s="30" t="str">
        <f>IFERROR(LOOKUP(2,1/('Engineer Updates'!$B$5:$B$304=A71),'Engineer Updates'!$E$5:$E$304),"")</f>
        <v>Not Started</v>
      </c>
      <c r="S71" s="30">
        <f>IFERROR(LOOKUP(2,1/('Engineer Updates'!$B$5:$B$304=A71),'Engineer Updates'!$D$5:$D$304),"")</f>
        <v>0</v>
      </c>
      <c r="T71" s="30">
        <f>IFERROR(LOOKUP(2,1/('Engineer Updates'!$B$5:$B$304=A71),'Engineer Updates'!$F$5:$F$304),"")</f>
        <v>0</v>
      </c>
      <c r="U71" s="30">
        <f>IFERROR(LOOKUP(2,1/('Engineer Updates'!$B$5:$B$304=A71),'Engineer Updates'!$G$5:$G$304),"")</f>
        <v>0</v>
      </c>
      <c r="V71" s="30">
        <f>IFERROR(LOOKUP(2,1/('Engineer Updates'!$B$5:$B$304=A71),'Engineer Updates'!$H$5:$H$304),"")</f>
        <v>0</v>
      </c>
      <c r="W71" s="33">
        <f>IFERROR(LOOKUP(2,1/('Engineer Updates'!$B$5:$B$304=A71),'Engineer Updates'!$I$5:$I$304),"")</f>
        <v>0</v>
      </c>
      <c r="X71" s="34" t="str">
        <f t="shared" si="5"/>
        <v/>
      </c>
      <c r="Y71" s="27" t="s">
        <v>109</v>
      </c>
    </row>
    <row r="72" spans="1:25" ht="28.8">
      <c r="A72" s="27" t="s">
        <v>299</v>
      </c>
      <c r="B72" s="27" t="s">
        <v>104</v>
      </c>
      <c r="C72" s="27" t="s">
        <v>67</v>
      </c>
      <c r="D72" s="28">
        <v>46251</v>
      </c>
      <c r="E72" s="28">
        <v>46204.171763726852</v>
      </c>
      <c r="F72" s="28">
        <v>46231.203152268521</v>
      </c>
      <c r="G72" s="29" t="s">
        <v>268</v>
      </c>
      <c r="H72" s="29" t="s">
        <v>300</v>
      </c>
      <c r="I72" s="29" t="s">
        <v>125</v>
      </c>
      <c r="J72" s="29" t="s">
        <v>295</v>
      </c>
      <c r="K72" s="30" t="str">
        <f>IFERROR(LOOKUP(2,1/('Assignment History'!$B$5:$B$204=A72),'Assignment History'!$D$5:$D$204),IFERROR(VLOOKUP(J72,Configuration!$L$5:$M$50,2,FALSE),J72))</f>
        <v>raditya.nugraha@petronas.com</v>
      </c>
      <c r="L72" s="30" t="str">
        <f>IF(K72=IFERROR(VLOOKUP(J72,Configuration!$L$5:$M$50,2,FALSE),J72),"Snapshot PIC","Replacement PIC")</f>
        <v>Replacement PIC</v>
      </c>
      <c r="M72" s="31">
        <f>IFERROR(VLOOKUP(I72,Configuration!$O$5:$P$8,2,FALSE),Configuration!$S$6)</f>
        <v>3</v>
      </c>
      <c r="N72" s="31" t="str">
        <f>IFERROR(LOOKUP(2,1/('Scope Review'!$B$5:$B$204=A72),'Scope Review'!$G$5:$G$204),"Not Reviewed")</f>
        <v>Not Reviewed</v>
      </c>
      <c r="O72" s="31" t="str">
        <f>IFERROR(LOOKUP(2,1/('Scope Review'!$B$5:$B$204=A72),'Scope Review'!$H$5:$H$204),"")</f>
        <v/>
      </c>
      <c r="P72" s="31">
        <f t="shared" si="4"/>
        <v>3</v>
      </c>
      <c r="Q72" s="32">
        <f>IFERROR(LOOKUP(2,1/('Engineer Updates'!$B$5:$B$304=A72),'Engineer Updates'!$A$5:$A$304),"")</f>
        <v>46251</v>
      </c>
      <c r="R72" s="30" t="str">
        <f>IFERROR(LOOKUP(2,1/('Engineer Updates'!$B$5:$B$304=A72),'Engineer Updates'!$E$5:$E$304),"")</f>
        <v>Not Started</v>
      </c>
      <c r="S72" s="30">
        <f>IFERROR(LOOKUP(2,1/('Engineer Updates'!$B$5:$B$304=A72),'Engineer Updates'!$D$5:$D$304),"")</f>
        <v>0</v>
      </c>
      <c r="T72" s="30">
        <f>IFERROR(LOOKUP(2,1/('Engineer Updates'!$B$5:$B$304=A72),'Engineer Updates'!$F$5:$F$304),"")</f>
        <v>0</v>
      </c>
      <c r="U72" s="30">
        <f>IFERROR(LOOKUP(2,1/('Engineer Updates'!$B$5:$B$304=A72),'Engineer Updates'!$G$5:$G$304),"")</f>
        <v>0</v>
      </c>
      <c r="V72" s="30">
        <f>IFERROR(LOOKUP(2,1/('Engineer Updates'!$B$5:$B$304=A72),'Engineer Updates'!$H$5:$H$304),"")</f>
        <v>0</v>
      </c>
      <c r="W72" s="33">
        <f>IFERROR(LOOKUP(2,1/('Engineer Updates'!$B$5:$B$304=A72),'Engineer Updates'!$I$5:$I$304),"")</f>
        <v>0</v>
      </c>
      <c r="X72" s="34" t="str">
        <f t="shared" si="5"/>
        <v/>
      </c>
      <c r="Y72" s="27" t="s">
        <v>109</v>
      </c>
    </row>
    <row r="73" spans="1:25" ht="28.8">
      <c r="A73" s="27" t="s">
        <v>301</v>
      </c>
      <c r="B73" s="27" t="s">
        <v>104</v>
      </c>
      <c r="C73" s="27" t="s">
        <v>67</v>
      </c>
      <c r="D73" s="28">
        <v>46251</v>
      </c>
      <c r="E73" s="28">
        <v>46213.153485821756</v>
      </c>
      <c r="F73" s="28">
        <v>46222.859591030094</v>
      </c>
      <c r="G73" s="29" t="s">
        <v>302</v>
      </c>
      <c r="H73" s="29" t="s">
        <v>303</v>
      </c>
      <c r="I73" s="29" t="s">
        <v>125</v>
      </c>
      <c r="J73" s="29" t="s">
        <v>295</v>
      </c>
      <c r="K73" s="30" t="str">
        <f>IFERROR(LOOKUP(2,1/('Assignment History'!$B$5:$B$204=A73),'Assignment History'!$D$5:$D$204),IFERROR(VLOOKUP(J73,Configuration!$L$5:$M$50,2,FALSE),J73))</f>
        <v>arun.karuppiah@petronas.com</v>
      </c>
      <c r="L73" s="30" t="str">
        <f>IF(K73=IFERROR(VLOOKUP(J73,Configuration!$L$5:$M$50,2,FALSE),J73),"Snapshot PIC","Replacement PIC")</f>
        <v>Replacement PIC</v>
      </c>
      <c r="M73" s="31">
        <f>IFERROR(VLOOKUP(I73,Configuration!$O$5:$P$8,2,FALSE),Configuration!$S$6)</f>
        <v>3</v>
      </c>
      <c r="N73" s="31" t="str">
        <f>IFERROR(LOOKUP(2,1/('Scope Review'!$B$5:$B$204=A73),'Scope Review'!$G$5:$G$204),"Not Reviewed")</f>
        <v>Not Reviewed</v>
      </c>
      <c r="O73" s="31" t="str">
        <f>IFERROR(LOOKUP(2,1/('Scope Review'!$B$5:$B$204=A73),'Scope Review'!$H$5:$H$204),"")</f>
        <v/>
      </c>
      <c r="P73" s="31">
        <f t="shared" si="4"/>
        <v>3</v>
      </c>
      <c r="Q73" s="32">
        <f>IFERROR(LOOKUP(2,1/('Engineer Updates'!$B$5:$B$304=A73),'Engineer Updates'!$A$5:$A$304),"")</f>
        <v>46251</v>
      </c>
      <c r="R73" s="30" t="str">
        <f>IFERROR(LOOKUP(2,1/('Engineer Updates'!$B$5:$B$304=A73),'Engineer Updates'!$E$5:$E$304),"")</f>
        <v>Not Started</v>
      </c>
      <c r="S73" s="30">
        <f>IFERROR(LOOKUP(2,1/('Engineer Updates'!$B$5:$B$304=A73),'Engineer Updates'!$D$5:$D$304),"")</f>
        <v>0</v>
      </c>
      <c r="T73" s="30">
        <f>IFERROR(LOOKUP(2,1/('Engineer Updates'!$B$5:$B$304=A73),'Engineer Updates'!$F$5:$F$304),"")</f>
        <v>0</v>
      </c>
      <c r="U73" s="30">
        <f>IFERROR(LOOKUP(2,1/('Engineer Updates'!$B$5:$B$304=A73),'Engineer Updates'!$G$5:$G$304),"")</f>
        <v>0</v>
      </c>
      <c r="V73" s="30">
        <f>IFERROR(LOOKUP(2,1/('Engineer Updates'!$B$5:$B$304=A73),'Engineer Updates'!$H$5:$H$304),"")</f>
        <v>0</v>
      </c>
      <c r="W73" s="33">
        <f>IFERROR(LOOKUP(2,1/('Engineer Updates'!$B$5:$B$304=A73),'Engineer Updates'!$I$5:$I$304),"")</f>
        <v>0</v>
      </c>
      <c r="X73" s="34" t="str">
        <f t="shared" si="5"/>
        <v/>
      </c>
      <c r="Y73" s="27" t="s">
        <v>109</v>
      </c>
    </row>
    <row r="74" spans="1:25" ht="28.8">
      <c r="A74" s="27" t="s">
        <v>304</v>
      </c>
      <c r="B74" s="27" t="s">
        <v>104</v>
      </c>
      <c r="C74" s="27" t="s">
        <v>67</v>
      </c>
      <c r="D74" s="28">
        <v>46251</v>
      </c>
      <c r="E74" s="28">
        <v>46219.115175960651</v>
      </c>
      <c r="F74" s="28">
        <v>46222.85863195602</v>
      </c>
      <c r="G74" s="29" t="s">
        <v>219</v>
      </c>
      <c r="H74" s="29" t="s">
        <v>220</v>
      </c>
      <c r="I74" s="29" t="s">
        <v>107</v>
      </c>
      <c r="J74" s="29" t="s">
        <v>295</v>
      </c>
      <c r="K74" s="30" t="str">
        <f>IFERROR(LOOKUP(2,1/('Assignment History'!$B$5:$B$204=A74),'Assignment History'!$D$5:$D$204),IFERROR(VLOOKUP(J74,Configuration!$L$5:$M$50,2,FALSE),J74))</f>
        <v>arun.karuppiah@petronas.com</v>
      </c>
      <c r="L74" s="30" t="str">
        <f>IF(K74=IFERROR(VLOOKUP(J74,Configuration!$L$5:$M$50,2,FALSE),J74),"Snapshot PIC","Replacement PIC")</f>
        <v>Replacement PIC</v>
      </c>
      <c r="M74" s="31">
        <f>IFERROR(VLOOKUP(I74,Configuration!$O$5:$P$8,2,FALSE),Configuration!$S$6)</f>
        <v>2</v>
      </c>
      <c r="N74" s="31" t="str">
        <f>IFERROR(LOOKUP(2,1/('Scope Review'!$B$5:$B$204=A74),'Scope Review'!$G$5:$G$204),"Not Reviewed")</f>
        <v>Not Reviewed</v>
      </c>
      <c r="O74" s="31" t="str">
        <f>IFERROR(LOOKUP(2,1/('Scope Review'!$B$5:$B$204=A74),'Scope Review'!$H$5:$H$204),"")</f>
        <v/>
      </c>
      <c r="P74" s="31">
        <f t="shared" si="4"/>
        <v>2</v>
      </c>
      <c r="Q74" s="32">
        <f>IFERROR(LOOKUP(2,1/('Engineer Updates'!$B$5:$B$304=A74),'Engineer Updates'!$A$5:$A$304),"")</f>
        <v>46251</v>
      </c>
      <c r="R74" s="30" t="str">
        <f>IFERROR(LOOKUP(2,1/('Engineer Updates'!$B$5:$B$304=A74),'Engineer Updates'!$E$5:$E$304),"")</f>
        <v>Not Started</v>
      </c>
      <c r="S74" s="30">
        <f>IFERROR(LOOKUP(2,1/('Engineer Updates'!$B$5:$B$304=A74),'Engineer Updates'!$D$5:$D$304),"")</f>
        <v>0</v>
      </c>
      <c r="T74" s="30">
        <f>IFERROR(LOOKUP(2,1/('Engineer Updates'!$B$5:$B$304=A74),'Engineer Updates'!$F$5:$F$304),"")</f>
        <v>0</v>
      </c>
      <c r="U74" s="30">
        <f>IFERROR(LOOKUP(2,1/('Engineer Updates'!$B$5:$B$304=A74),'Engineer Updates'!$G$5:$G$304),"")</f>
        <v>0</v>
      </c>
      <c r="V74" s="30">
        <f>IFERROR(LOOKUP(2,1/('Engineer Updates'!$B$5:$B$304=A74),'Engineer Updates'!$H$5:$H$304),"")</f>
        <v>0</v>
      </c>
      <c r="W74" s="33">
        <f>IFERROR(LOOKUP(2,1/('Engineer Updates'!$B$5:$B$304=A74),'Engineer Updates'!$I$5:$I$304),"")</f>
        <v>0</v>
      </c>
      <c r="X74" s="34" t="str">
        <f t="shared" si="5"/>
        <v/>
      </c>
      <c r="Y74" s="27" t="s">
        <v>109</v>
      </c>
    </row>
    <row r="75" spans="1:25" ht="28.8">
      <c r="A75" s="27" t="s">
        <v>305</v>
      </c>
      <c r="B75" s="27" t="s">
        <v>104</v>
      </c>
      <c r="C75" s="27" t="s">
        <v>67</v>
      </c>
      <c r="D75" s="28">
        <v>46251</v>
      </c>
      <c r="E75" s="28">
        <v>46210.336582268515</v>
      </c>
      <c r="F75" s="28">
        <v>46222.86333241898</v>
      </c>
      <c r="G75" s="29" t="s">
        <v>306</v>
      </c>
      <c r="H75" s="29" t="s">
        <v>307</v>
      </c>
      <c r="I75" s="29" t="s">
        <v>116</v>
      </c>
      <c r="J75" s="29" t="s">
        <v>295</v>
      </c>
      <c r="K75" s="30" t="str">
        <f>IFERROR(LOOKUP(2,1/('Assignment History'!$B$5:$B$204=A75),'Assignment History'!$D$5:$D$204),IFERROR(VLOOKUP(J75,Configuration!$L$5:$M$50,2,FALSE),J75))</f>
        <v>arun.karuppiah@petronas.com</v>
      </c>
      <c r="L75" s="30" t="str">
        <f>IF(K75=IFERROR(VLOOKUP(J75,Configuration!$L$5:$M$50,2,FALSE),J75),"Snapshot PIC","Replacement PIC")</f>
        <v>Replacement PIC</v>
      </c>
      <c r="M75" s="31">
        <f>IFERROR(VLOOKUP(I75,Configuration!$O$5:$P$8,2,FALSE),Configuration!$S$6)</f>
        <v>1</v>
      </c>
      <c r="N75" s="31" t="str">
        <f>IFERROR(LOOKUP(2,1/('Scope Review'!$B$5:$B$204=A75),'Scope Review'!$G$5:$G$204),"Not Reviewed")</f>
        <v>Not Reviewed</v>
      </c>
      <c r="O75" s="31" t="str">
        <f>IFERROR(LOOKUP(2,1/('Scope Review'!$B$5:$B$204=A75),'Scope Review'!$H$5:$H$204),"")</f>
        <v/>
      </c>
      <c r="P75" s="31">
        <f t="shared" si="4"/>
        <v>1</v>
      </c>
      <c r="Q75" s="32">
        <f>IFERROR(LOOKUP(2,1/('Engineer Updates'!$B$5:$B$304=A75),'Engineer Updates'!$A$5:$A$304),"")</f>
        <v>46251</v>
      </c>
      <c r="R75" s="30" t="str">
        <f>IFERROR(LOOKUP(2,1/('Engineer Updates'!$B$5:$B$304=A75),'Engineer Updates'!$E$5:$E$304),"")</f>
        <v>Not Started</v>
      </c>
      <c r="S75" s="30">
        <f>IFERROR(LOOKUP(2,1/('Engineer Updates'!$B$5:$B$304=A75),'Engineer Updates'!$D$5:$D$304),"")</f>
        <v>0</v>
      </c>
      <c r="T75" s="30">
        <f>IFERROR(LOOKUP(2,1/('Engineer Updates'!$B$5:$B$304=A75),'Engineer Updates'!$F$5:$F$304),"")</f>
        <v>0</v>
      </c>
      <c r="U75" s="30">
        <f>IFERROR(LOOKUP(2,1/('Engineer Updates'!$B$5:$B$304=A75),'Engineer Updates'!$G$5:$G$304),"")</f>
        <v>0</v>
      </c>
      <c r="V75" s="30">
        <f>IFERROR(LOOKUP(2,1/('Engineer Updates'!$B$5:$B$304=A75),'Engineer Updates'!$H$5:$H$304),"")</f>
        <v>0</v>
      </c>
      <c r="W75" s="33">
        <f>IFERROR(LOOKUP(2,1/('Engineer Updates'!$B$5:$B$304=A75),'Engineer Updates'!$I$5:$I$304),"")</f>
        <v>0</v>
      </c>
      <c r="X75" s="34" t="str">
        <f t="shared" si="5"/>
        <v/>
      </c>
      <c r="Y75" s="27" t="s">
        <v>109</v>
      </c>
    </row>
    <row r="76" spans="1:25" ht="28.8">
      <c r="A76" s="27" t="s">
        <v>308</v>
      </c>
      <c r="B76" s="27" t="s">
        <v>146</v>
      </c>
      <c r="C76" s="27" t="s">
        <v>67</v>
      </c>
      <c r="D76" s="28">
        <v>46251</v>
      </c>
      <c r="E76" s="28">
        <v>46223.31209334491</v>
      </c>
      <c r="F76" s="28">
        <v>46231.200593657406</v>
      </c>
      <c r="G76" s="29" t="s">
        <v>309</v>
      </c>
      <c r="H76" s="29" t="s">
        <v>310</v>
      </c>
      <c r="I76" s="29" t="s">
        <v>125</v>
      </c>
      <c r="J76" s="29" t="s">
        <v>158</v>
      </c>
      <c r="K76" s="30" t="str">
        <f>IFERROR(LOOKUP(2,1/('Assignment History'!$B$5:$B$204=A76),'Assignment History'!$D$5:$D$204),IFERROR(VLOOKUP(J76,Configuration!$L$5:$M$50,2,FALSE),J76))</f>
        <v>abdul.khoir@petronas.com</v>
      </c>
      <c r="L76" s="30" t="str">
        <f>IF(K76=IFERROR(VLOOKUP(J76,Configuration!$L$5:$M$50,2,FALSE),J76),"Snapshot PIC","Replacement PIC")</f>
        <v>Snapshot PIC</v>
      </c>
      <c r="M76" s="31">
        <f>IFERROR(VLOOKUP(I76,Configuration!$O$5:$P$8,2,FALSE),Configuration!$S$6)</f>
        <v>3</v>
      </c>
      <c r="N76" s="31" t="str">
        <f>IFERROR(LOOKUP(2,1/('Scope Review'!$B$5:$B$204=A76),'Scope Review'!$G$5:$G$204),"Not Reviewed")</f>
        <v>Not Reviewed</v>
      </c>
      <c r="O76" s="31" t="str">
        <f>IFERROR(LOOKUP(2,1/('Scope Review'!$B$5:$B$204=A76),'Scope Review'!$H$5:$H$204),"")</f>
        <v/>
      </c>
      <c r="P76" s="31">
        <f t="shared" si="4"/>
        <v>3</v>
      </c>
      <c r="Q76" s="32">
        <f>IFERROR(LOOKUP(2,1/('Engineer Updates'!$B$5:$B$304=A76),'Engineer Updates'!$A$5:$A$304),"")</f>
        <v>46251</v>
      </c>
      <c r="R76" s="30" t="str">
        <f>IFERROR(LOOKUP(2,1/('Engineer Updates'!$B$5:$B$304=A76),'Engineer Updates'!$E$5:$E$304),"")</f>
        <v>Not Started</v>
      </c>
      <c r="S76" s="30">
        <f>IFERROR(LOOKUP(2,1/('Engineer Updates'!$B$5:$B$304=A76),'Engineer Updates'!$D$5:$D$304),"")</f>
        <v>0</v>
      </c>
      <c r="T76" s="30">
        <f>IFERROR(LOOKUP(2,1/('Engineer Updates'!$B$5:$B$304=A76),'Engineer Updates'!$F$5:$F$304),"")</f>
        <v>0</v>
      </c>
      <c r="U76" s="30">
        <f>IFERROR(LOOKUP(2,1/('Engineer Updates'!$B$5:$B$304=A76),'Engineer Updates'!$G$5:$G$304),"")</f>
        <v>0</v>
      </c>
      <c r="V76" s="30">
        <f>IFERROR(LOOKUP(2,1/('Engineer Updates'!$B$5:$B$304=A76),'Engineer Updates'!$H$5:$H$304),"")</f>
        <v>0</v>
      </c>
      <c r="W76" s="33">
        <f>IFERROR(LOOKUP(2,1/('Engineer Updates'!$B$5:$B$304=A76),'Engineer Updates'!$I$5:$I$304),"")</f>
        <v>0</v>
      </c>
      <c r="X76" s="34" t="str">
        <f t="shared" si="5"/>
        <v/>
      </c>
      <c r="Y76" s="27" t="s">
        <v>149</v>
      </c>
    </row>
    <row r="77" spans="1:25">
      <c r="A77" s="27" t="s">
        <v>311</v>
      </c>
      <c r="B77" s="27" t="s">
        <v>146</v>
      </c>
      <c r="C77" s="27" t="s">
        <v>67</v>
      </c>
      <c r="D77" s="28">
        <v>46251</v>
      </c>
      <c r="E77" s="28">
        <v>46212.141928333331</v>
      </c>
      <c r="F77" s="28">
        <v>46219.037344803241</v>
      </c>
      <c r="G77" s="29" t="s">
        <v>224</v>
      </c>
      <c r="H77" s="29" t="s">
        <v>224</v>
      </c>
      <c r="I77" s="29" t="s">
        <v>125</v>
      </c>
      <c r="J77" s="29" t="s">
        <v>158</v>
      </c>
      <c r="K77" s="30" t="str">
        <f>IFERROR(LOOKUP(2,1/('Assignment History'!$B$5:$B$204=A77),'Assignment History'!$D$5:$D$204),IFERROR(VLOOKUP(J77,Configuration!$L$5:$M$50,2,FALSE),J77))</f>
        <v>abdul.khoir@petronas.com</v>
      </c>
      <c r="L77" s="30" t="str">
        <f>IF(K77=IFERROR(VLOOKUP(J77,Configuration!$L$5:$M$50,2,FALSE),J77),"Snapshot PIC","Replacement PIC")</f>
        <v>Snapshot PIC</v>
      </c>
      <c r="M77" s="31">
        <f>IFERROR(VLOOKUP(I77,Configuration!$O$5:$P$8,2,FALSE),Configuration!$S$6)</f>
        <v>3</v>
      </c>
      <c r="N77" s="31" t="str">
        <f>IFERROR(LOOKUP(2,1/('Scope Review'!$B$5:$B$204=A77),'Scope Review'!$G$5:$G$204),"Not Reviewed")</f>
        <v>Not Reviewed</v>
      </c>
      <c r="O77" s="31" t="str">
        <f>IFERROR(LOOKUP(2,1/('Scope Review'!$B$5:$B$204=A77),'Scope Review'!$H$5:$H$204),"")</f>
        <v/>
      </c>
      <c r="P77" s="31">
        <f t="shared" si="4"/>
        <v>3</v>
      </c>
      <c r="Q77" s="32">
        <f>IFERROR(LOOKUP(2,1/('Engineer Updates'!$B$5:$B$304=A77),'Engineer Updates'!$A$5:$A$304),"")</f>
        <v>46251</v>
      </c>
      <c r="R77" s="30" t="str">
        <f>IFERROR(LOOKUP(2,1/('Engineer Updates'!$B$5:$B$304=A77),'Engineer Updates'!$E$5:$E$304),"")</f>
        <v>Not Started</v>
      </c>
      <c r="S77" s="30">
        <f>IFERROR(LOOKUP(2,1/('Engineer Updates'!$B$5:$B$304=A77),'Engineer Updates'!$D$5:$D$304),"")</f>
        <v>0</v>
      </c>
      <c r="T77" s="30">
        <f>IFERROR(LOOKUP(2,1/('Engineer Updates'!$B$5:$B$304=A77),'Engineer Updates'!$F$5:$F$304),"")</f>
        <v>0</v>
      </c>
      <c r="U77" s="30">
        <f>IFERROR(LOOKUP(2,1/('Engineer Updates'!$B$5:$B$304=A77),'Engineer Updates'!$G$5:$G$304),"")</f>
        <v>0</v>
      </c>
      <c r="V77" s="30">
        <f>IFERROR(LOOKUP(2,1/('Engineer Updates'!$B$5:$B$304=A77),'Engineer Updates'!$H$5:$H$304),"")</f>
        <v>0</v>
      </c>
      <c r="W77" s="33">
        <f>IFERROR(LOOKUP(2,1/('Engineer Updates'!$B$5:$B$304=A77),'Engineer Updates'!$I$5:$I$304),"")</f>
        <v>0</v>
      </c>
      <c r="X77" s="34" t="str">
        <f t="shared" si="5"/>
        <v/>
      </c>
      <c r="Y77" s="27" t="s">
        <v>149</v>
      </c>
    </row>
    <row r="78" spans="1:25" ht="28.8">
      <c r="A78" s="27" t="s">
        <v>312</v>
      </c>
      <c r="B78" s="27" t="s">
        <v>146</v>
      </c>
      <c r="C78" s="27" t="s">
        <v>67</v>
      </c>
      <c r="D78" s="28">
        <v>46251</v>
      </c>
      <c r="E78" s="28">
        <v>46223.310973958331</v>
      </c>
      <c r="F78" s="28">
        <v>46231.200194050929</v>
      </c>
      <c r="G78" s="29" t="s">
        <v>309</v>
      </c>
      <c r="H78" s="29" t="s">
        <v>310</v>
      </c>
      <c r="I78" s="29" t="s">
        <v>125</v>
      </c>
      <c r="J78" s="29" t="s">
        <v>158</v>
      </c>
      <c r="K78" s="30" t="str">
        <f>IFERROR(LOOKUP(2,1/('Assignment History'!$B$5:$B$204=A78),'Assignment History'!$D$5:$D$204),IFERROR(VLOOKUP(J78,Configuration!$L$5:$M$50,2,FALSE),J78))</f>
        <v>abdul.khoir@petronas.com</v>
      </c>
      <c r="L78" s="30" t="str">
        <f>IF(K78=IFERROR(VLOOKUP(J78,Configuration!$L$5:$M$50,2,FALSE),J78),"Snapshot PIC","Replacement PIC")</f>
        <v>Snapshot PIC</v>
      </c>
      <c r="M78" s="31">
        <f>IFERROR(VLOOKUP(I78,Configuration!$O$5:$P$8,2,FALSE),Configuration!$S$6)</f>
        <v>3</v>
      </c>
      <c r="N78" s="31" t="str">
        <f>IFERROR(LOOKUP(2,1/('Scope Review'!$B$5:$B$204=A78),'Scope Review'!$G$5:$G$204),"Not Reviewed")</f>
        <v>Not Reviewed</v>
      </c>
      <c r="O78" s="31" t="str">
        <f>IFERROR(LOOKUP(2,1/('Scope Review'!$B$5:$B$204=A78),'Scope Review'!$H$5:$H$204),"")</f>
        <v/>
      </c>
      <c r="P78" s="31">
        <f t="shared" si="4"/>
        <v>3</v>
      </c>
      <c r="Q78" s="32">
        <f>IFERROR(LOOKUP(2,1/('Engineer Updates'!$B$5:$B$304=A78),'Engineer Updates'!$A$5:$A$304),"")</f>
        <v>46251</v>
      </c>
      <c r="R78" s="30" t="str">
        <f>IFERROR(LOOKUP(2,1/('Engineer Updates'!$B$5:$B$304=A78),'Engineer Updates'!$E$5:$E$304),"")</f>
        <v>Not Started</v>
      </c>
      <c r="S78" s="30">
        <f>IFERROR(LOOKUP(2,1/('Engineer Updates'!$B$5:$B$304=A78),'Engineer Updates'!$D$5:$D$304),"")</f>
        <v>0</v>
      </c>
      <c r="T78" s="30">
        <f>IFERROR(LOOKUP(2,1/('Engineer Updates'!$B$5:$B$304=A78),'Engineer Updates'!$F$5:$F$304),"")</f>
        <v>0</v>
      </c>
      <c r="U78" s="30">
        <f>IFERROR(LOOKUP(2,1/('Engineer Updates'!$B$5:$B$304=A78),'Engineer Updates'!$G$5:$G$304),"")</f>
        <v>0</v>
      </c>
      <c r="V78" s="30">
        <f>IFERROR(LOOKUP(2,1/('Engineer Updates'!$B$5:$B$304=A78),'Engineer Updates'!$H$5:$H$304),"")</f>
        <v>0</v>
      </c>
      <c r="W78" s="33">
        <f>IFERROR(LOOKUP(2,1/('Engineer Updates'!$B$5:$B$304=A78),'Engineer Updates'!$I$5:$I$304),"")</f>
        <v>0</v>
      </c>
      <c r="X78" s="34" t="str">
        <f t="shared" si="5"/>
        <v/>
      </c>
      <c r="Y78" s="27" t="s">
        <v>149</v>
      </c>
    </row>
    <row r="79" spans="1:25">
      <c r="A79" s="27" t="s">
        <v>313</v>
      </c>
      <c r="B79" s="27" t="s">
        <v>146</v>
      </c>
      <c r="C79" s="27" t="s">
        <v>67</v>
      </c>
      <c r="D79" s="28">
        <v>46251</v>
      </c>
      <c r="E79" s="28">
        <v>46218.141300960648</v>
      </c>
      <c r="F79" s="28">
        <v>46225.368280706018</v>
      </c>
      <c r="G79" s="29" t="s">
        <v>314</v>
      </c>
      <c r="H79" s="29" t="s">
        <v>314</v>
      </c>
      <c r="I79" s="29" t="s">
        <v>125</v>
      </c>
      <c r="J79" s="29" t="s">
        <v>158</v>
      </c>
      <c r="K79" s="30" t="str">
        <f>IFERROR(LOOKUP(2,1/('Assignment History'!$B$5:$B$204=A79),'Assignment History'!$D$5:$D$204),IFERROR(VLOOKUP(J79,Configuration!$L$5:$M$50,2,FALSE),J79))</f>
        <v>abdul.khoir@petronas.com</v>
      </c>
      <c r="L79" s="30" t="str">
        <f>IF(K79=IFERROR(VLOOKUP(J79,Configuration!$L$5:$M$50,2,FALSE),J79),"Snapshot PIC","Replacement PIC")</f>
        <v>Snapshot PIC</v>
      </c>
      <c r="M79" s="31">
        <f>IFERROR(VLOOKUP(I79,Configuration!$O$5:$P$8,2,FALSE),Configuration!$S$6)</f>
        <v>3</v>
      </c>
      <c r="N79" s="31" t="str">
        <f>IFERROR(LOOKUP(2,1/('Scope Review'!$B$5:$B$204=A79),'Scope Review'!$G$5:$G$204),"Not Reviewed")</f>
        <v>Not Reviewed</v>
      </c>
      <c r="O79" s="31" t="str">
        <f>IFERROR(LOOKUP(2,1/('Scope Review'!$B$5:$B$204=A79),'Scope Review'!$H$5:$H$204),"")</f>
        <v/>
      </c>
      <c r="P79" s="31">
        <f t="shared" si="4"/>
        <v>3</v>
      </c>
      <c r="Q79" s="32">
        <f>IFERROR(LOOKUP(2,1/('Engineer Updates'!$B$5:$B$304=A79),'Engineer Updates'!$A$5:$A$304),"")</f>
        <v>46251</v>
      </c>
      <c r="R79" s="30" t="str">
        <f>IFERROR(LOOKUP(2,1/('Engineer Updates'!$B$5:$B$304=A79),'Engineer Updates'!$E$5:$E$304),"")</f>
        <v>Not Started</v>
      </c>
      <c r="S79" s="30">
        <f>IFERROR(LOOKUP(2,1/('Engineer Updates'!$B$5:$B$304=A79),'Engineer Updates'!$D$5:$D$304),"")</f>
        <v>0</v>
      </c>
      <c r="T79" s="30">
        <f>IFERROR(LOOKUP(2,1/('Engineer Updates'!$B$5:$B$304=A79),'Engineer Updates'!$F$5:$F$304),"")</f>
        <v>0</v>
      </c>
      <c r="U79" s="30">
        <f>IFERROR(LOOKUP(2,1/('Engineer Updates'!$B$5:$B$304=A79),'Engineer Updates'!$G$5:$G$304),"")</f>
        <v>0</v>
      </c>
      <c r="V79" s="30">
        <f>IFERROR(LOOKUP(2,1/('Engineer Updates'!$B$5:$B$304=A79),'Engineer Updates'!$H$5:$H$304),"")</f>
        <v>0</v>
      </c>
      <c r="W79" s="33">
        <f>IFERROR(LOOKUP(2,1/('Engineer Updates'!$B$5:$B$304=A79),'Engineer Updates'!$I$5:$I$304),"")</f>
        <v>0</v>
      </c>
      <c r="X79" s="34" t="str">
        <f t="shared" si="5"/>
        <v/>
      </c>
      <c r="Y79" s="27" t="s">
        <v>149</v>
      </c>
    </row>
    <row r="80" spans="1:25" ht="43.2">
      <c r="A80" s="27" t="s">
        <v>315</v>
      </c>
      <c r="B80" s="27" t="s">
        <v>146</v>
      </c>
      <c r="C80" s="27" t="s">
        <v>67</v>
      </c>
      <c r="D80" s="28">
        <v>46251</v>
      </c>
      <c r="E80" s="28">
        <v>46198.15172267361</v>
      </c>
      <c r="F80" s="28">
        <v>46203.285801307873</v>
      </c>
      <c r="G80" s="29" t="s">
        <v>316</v>
      </c>
      <c r="H80" s="29" t="s">
        <v>317</v>
      </c>
      <c r="I80" s="29" t="s">
        <v>107</v>
      </c>
      <c r="J80" s="29" t="s">
        <v>158</v>
      </c>
      <c r="K80" s="30" t="str">
        <f>IFERROR(LOOKUP(2,1/('Assignment History'!$B$5:$B$204=A80),'Assignment History'!$D$5:$D$204),IFERROR(VLOOKUP(J80,Configuration!$L$5:$M$50,2,FALSE),J80))</f>
        <v>abdul.khoir@petronas.com</v>
      </c>
      <c r="L80" s="30" t="str">
        <f>IF(K80=IFERROR(VLOOKUP(J80,Configuration!$L$5:$M$50,2,FALSE),J80),"Snapshot PIC","Replacement PIC")</f>
        <v>Snapshot PIC</v>
      </c>
      <c r="M80" s="31">
        <f>IFERROR(VLOOKUP(I80,Configuration!$O$5:$P$8,2,FALSE),Configuration!$S$6)</f>
        <v>2</v>
      </c>
      <c r="N80" s="31" t="str">
        <f>IFERROR(LOOKUP(2,1/('Scope Review'!$B$5:$B$204=A80),'Scope Review'!$G$5:$G$204),"Not Reviewed")</f>
        <v>Not Reviewed</v>
      </c>
      <c r="O80" s="31" t="str">
        <f>IFERROR(LOOKUP(2,1/('Scope Review'!$B$5:$B$204=A80),'Scope Review'!$H$5:$H$204),"")</f>
        <v/>
      </c>
      <c r="P80" s="31">
        <f t="shared" si="4"/>
        <v>2</v>
      </c>
      <c r="Q80" s="32">
        <f>IFERROR(LOOKUP(2,1/('Engineer Updates'!$B$5:$B$304=A80),'Engineer Updates'!$A$5:$A$304),"")</f>
        <v>46251</v>
      </c>
      <c r="R80" s="30" t="str">
        <f>IFERROR(LOOKUP(2,1/('Engineer Updates'!$B$5:$B$304=A80),'Engineer Updates'!$E$5:$E$304),"")</f>
        <v>Not Started</v>
      </c>
      <c r="S80" s="30">
        <f>IFERROR(LOOKUP(2,1/('Engineer Updates'!$B$5:$B$304=A80),'Engineer Updates'!$D$5:$D$304),"")</f>
        <v>0</v>
      </c>
      <c r="T80" s="30">
        <f>IFERROR(LOOKUP(2,1/('Engineer Updates'!$B$5:$B$304=A80),'Engineer Updates'!$F$5:$F$304),"")</f>
        <v>0</v>
      </c>
      <c r="U80" s="30">
        <f>IFERROR(LOOKUP(2,1/('Engineer Updates'!$B$5:$B$304=A80),'Engineer Updates'!$G$5:$G$304),"")</f>
        <v>0</v>
      </c>
      <c r="V80" s="30">
        <f>IFERROR(LOOKUP(2,1/('Engineer Updates'!$B$5:$B$304=A80),'Engineer Updates'!$H$5:$H$304),"")</f>
        <v>0</v>
      </c>
      <c r="W80" s="33">
        <f>IFERROR(LOOKUP(2,1/('Engineer Updates'!$B$5:$B$304=A80),'Engineer Updates'!$I$5:$I$304),"")</f>
        <v>0</v>
      </c>
      <c r="X80" s="34" t="str">
        <f t="shared" si="5"/>
        <v/>
      </c>
      <c r="Y80" s="27" t="s">
        <v>149</v>
      </c>
    </row>
    <row r="81" spans="1:25" ht="43.2">
      <c r="A81" s="27" t="s">
        <v>318</v>
      </c>
      <c r="B81" s="27" t="s">
        <v>146</v>
      </c>
      <c r="C81" s="27" t="s">
        <v>67</v>
      </c>
      <c r="D81" s="28">
        <v>46251</v>
      </c>
      <c r="E81" s="28">
        <v>46225.157867696762</v>
      </c>
      <c r="F81" s="28">
        <v>46225.366409664355</v>
      </c>
      <c r="G81" s="29" t="s">
        <v>319</v>
      </c>
      <c r="H81" s="29" t="s">
        <v>320</v>
      </c>
      <c r="I81" s="29" t="s">
        <v>107</v>
      </c>
      <c r="J81" s="29" t="s">
        <v>158</v>
      </c>
      <c r="K81" s="30" t="str">
        <f>IFERROR(LOOKUP(2,1/('Assignment History'!$B$5:$B$204=A81),'Assignment History'!$D$5:$D$204),IFERROR(VLOOKUP(J81,Configuration!$L$5:$M$50,2,FALSE),J81))</f>
        <v>abdul.khoir@petronas.com</v>
      </c>
      <c r="L81" s="30" t="str">
        <f>IF(K81=IFERROR(VLOOKUP(J81,Configuration!$L$5:$M$50,2,FALSE),J81),"Snapshot PIC","Replacement PIC")</f>
        <v>Snapshot PIC</v>
      </c>
      <c r="M81" s="31">
        <f>IFERROR(VLOOKUP(I81,Configuration!$O$5:$P$8,2,FALSE),Configuration!$S$6)</f>
        <v>2</v>
      </c>
      <c r="N81" s="31" t="str">
        <f>IFERROR(LOOKUP(2,1/('Scope Review'!$B$5:$B$204=A81),'Scope Review'!$G$5:$G$204),"Not Reviewed")</f>
        <v>Not Reviewed</v>
      </c>
      <c r="O81" s="31" t="str">
        <f>IFERROR(LOOKUP(2,1/('Scope Review'!$B$5:$B$204=A81),'Scope Review'!$H$5:$H$204),"")</f>
        <v/>
      </c>
      <c r="P81" s="31">
        <f t="shared" si="4"/>
        <v>2</v>
      </c>
      <c r="Q81" s="32">
        <f>IFERROR(LOOKUP(2,1/('Engineer Updates'!$B$5:$B$304=A81),'Engineer Updates'!$A$5:$A$304),"")</f>
        <v>46251</v>
      </c>
      <c r="R81" s="30" t="str">
        <f>IFERROR(LOOKUP(2,1/('Engineer Updates'!$B$5:$B$304=A81),'Engineer Updates'!$E$5:$E$304),"")</f>
        <v>Not Started</v>
      </c>
      <c r="S81" s="30">
        <f>IFERROR(LOOKUP(2,1/('Engineer Updates'!$B$5:$B$304=A81),'Engineer Updates'!$D$5:$D$304),"")</f>
        <v>0</v>
      </c>
      <c r="T81" s="30">
        <f>IFERROR(LOOKUP(2,1/('Engineer Updates'!$B$5:$B$304=A81),'Engineer Updates'!$F$5:$F$304),"")</f>
        <v>0</v>
      </c>
      <c r="U81" s="30">
        <f>IFERROR(LOOKUP(2,1/('Engineer Updates'!$B$5:$B$304=A81),'Engineer Updates'!$G$5:$G$304),"")</f>
        <v>0</v>
      </c>
      <c r="V81" s="30">
        <f>IFERROR(LOOKUP(2,1/('Engineer Updates'!$B$5:$B$304=A81),'Engineer Updates'!$H$5:$H$304),"")</f>
        <v>0</v>
      </c>
      <c r="W81" s="33">
        <f>IFERROR(LOOKUP(2,1/('Engineer Updates'!$B$5:$B$304=A81),'Engineer Updates'!$I$5:$I$304),"")</f>
        <v>0</v>
      </c>
      <c r="X81" s="34" t="str">
        <f t="shared" si="5"/>
        <v/>
      </c>
      <c r="Y81" s="27" t="s">
        <v>149</v>
      </c>
    </row>
    <row r="82" spans="1:25" ht="43.2">
      <c r="A82" s="27" t="s">
        <v>321</v>
      </c>
      <c r="B82" s="27" t="s">
        <v>146</v>
      </c>
      <c r="C82" s="27" t="s">
        <v>67</v>
      </c>
      <c r="D82" s="28">
        <v>46251</v>
      </c>
      <c r="E82" s="28">
        <v>46227.136849074072</v>
      </c>
      <c r="F82" s="28">
        <v>46233.102639467594</v>
      </c>
      <c r="G82" s="29" t="s">
        <v>322</v>
      </c>
      <c r="H82" s="29" t="s">
        <v>323</v>
      </c>
      <c r="I82" s="29" t="s">
        <v>125</v>
      </c>
      <c r="J82" s="29" t="s">
        <v>162</v>
      </c>
      <c r="K82" s="30" t="str">
        <f>IFERROR(LOOKUP(2,1/('Assignment History'!$B$5:$B$204=A82),'Assignment History'!$D$5:$D$204),IFERROR(VLOOKUP(J82,Configuration!$L$5:$M$50,2,FALSE),J82))</f>
        <v>abhishek.bhowate@petronas.com</v>
      </c>
      <c r="L82" s="30" t="str">
        <f>IF(K82=IFERROR(VLOOKUP(J82,Configuration!$L$5:$M$50,2,FALSE),J82),"Snapshot PIC","Replacement PIC")</f>
        <v>Snapshot PIC</v>
      </c>
      <c r="M82" s="31">
        <f>IFERROR(VLOOKUP(I82,Configuration!$O$5:$P$8,2,FALSE),Configuration!$S$6)</f>
        <v>3</v>
      </c>
      <c r="N82" s="31" t="str">
        <f>IFERROR(LOOKUP(2,1/('Scope Review'!$B$5:$B$204=A82),'Scope Review'!$G$5:$G$204),"Not Reviewed")</f>
        <v>Not Reviewed</v>
      </c>
      <c r="O82" s="31" t="str">
        <f>IFERROR(LOOKUP(2,1/('Scope Review'!$B$5:$B$204=A82),'Scope Review'!$H$5:$H$204),"")</f>
        <v/>
      </c>
      <c r="P82" s="31">
        <f t="shared" si="4"/>
        <v>3</v>
      </c>
      <c r="Q82" s="32">
        <f>IFERROR(LOOKUP(2,1/('Engineer Updates'!$B$5:$B$304=A82),'Engineer Updates'!$A$5:$A$304),"")</f>
        <v>46251</v>
      </c>
      <c r="R82" s="30" t="str">
        <f>IFERROR(LOOKUP(2,1/('Engineer Updates'!$B$5:$B$304=A82),'Engineer Updates'!$E$5:$E$304),"")</f>
        <v>Not Started</v>
      </c>
      <c r="S82" s="30">
        <f>IFERROR(LOOKUP(2,1/('Engineer Updates'!$B$5:$B$304=A82),'Engineer Updates'!$D$5:$D$304),"")</f>
        <v>0</v>
      </c>
      <c r="T82" s="30">
        <f>IFERROR(LOOKUP(2,1/('Engineer Updates'!$B$5:$B$304=A82),'Engineer Updates'!$F$5:$F$304),"")</f>
        <v>0</v>
      </c>
      <c r="U82" s="30">
        <f>IFERROR(LOOKUP(2,1/('Engineer Updates'!$B$5:$B$304=A82),'Engineer Updates'!$G$5:$G$304),"")</f>
        <v>0</v>
      </c>
      <c r="V82" s="30">
        <f>IFERROR(LOOKUP(2,1/('Engineer Updates'!$B$5:$B$304=A82),'Engineer Updates'!$H$5:$H$304),"")</f>
        <v>0</v>
      </c>
      <c r="W82" s="33">
        <f>IFERROR(LOOKUP(2,1/('Engineer Updates'!$B$5:$B$304=A82),'Engineer Updates'!$I$5:$I$304),"")</f>
        <v>0</v>
      </c>
      <c r="X82" s="34" t="str">
        <f t="shared" si="5"/>
        <v/>
      </c>
      <c r="Y82" s="27" t="s">
        <v>149</v>
      </c>
    </row>
    <row r="83" spans="1:25">
      <c r="A83" s="27" t="s">
        <v>324</v>
      </c>
      <c r="B83" s="27" t="s">
        <v>146</v>
      </c>
      <c r="C83" s="27" t="s">
        <v>67</v>
      </c>
      <c r="D83" s="28">
        <v>46251</v>
      </c>
      <c r="E83" s="28">
        <v>46231.391528587963</v>
      </c>
      <c r="F83" s="28">
        <v>46233.101292349536</v>
      </c>
      <c r="G83" s="29" t="s">
        <v>325</v>
      </c>
      <c r="H83" s="29" t="s">
        <v>326</v>
      </c>
      <c r="I83" s="29" t="s">
        <v>107</v>
      </c>
      <c r="J83" s="29" t="s">
        <v>162</v>
      </c>
      <c r="K83" s="30" t="str">
        <f>IFERROR(LOOKUP(2,1/('Assignment History'!$B$5:$B$204=A83),'Assignment History'!$D$5:$D$204),IFERROR(VLOOKUP(J83,Configuration!$L$5:$M$50,2,FALSE),J83))</f>
        <v>abhishek.bhowate@petronas.com</v>
      </c>
      <c r="L83" s="30" t="str">
        <f>IF(K83=IFERROR(VLOOKUP(J83,Configuration!$L$5:$M$50,2,FALSE),J83),"Snapshot PIC","Replacement PIC")</f>
        <v>Snapshot PIC</v>
      </c>
      <c r="M83" s="31">
        <f>IFERROR(VLOOKUP(I83,Configuration!$O$5:$P$8,2,FALSE),Configuration!$S$6)</f>
        <v>2</v>
      </c>
      <c r="N83" s="31" t="str">
        <f>IFERROR(LOOKUP(2,1/('Scope Review'!$B$5:$B$204=A83),'Scope Review'!$G$5:$G$204),"Not Reviewed")</f>
        <v>Not Reviewed</v>
      </c>
      <c r="O83" s="31" t="str">
        <f>IFERROR(LOOKUP(2,1/('Scope Review'!$B$5:$B$204=A83),'Scope Review'!$H$5:$H$204),"")</f>
        <v/>
      </c>
      <c r="P83" s="31">
        <f t="shared" si="4"/>
        <v>2</v>
      </c>
      <c r="Q83" s="32">
        <f>IFERROR(LOOKUP(2,1/('Engineer Updates'!$B$5:$B$304=A83),'Engineer Updates'!$A$5:$A$304),"")</f>
        <v>46251</v>
      </c>
      <c r="R83" s="30" t="str">
        <f>IFERROR(LOOKUP(2,1/('Engineer Updates'!$B$5:$B$304=A83),'Engineer Updates'!$E$5:$E$304),"")</f>
        <v>Not Started</v>
      </c>
      <c r="S83" s="30">
        <f>IFERROR(LOOKUP(2,1/('Engineer Updates'!$B$5:$B$304=A83),'Engineer Updates'!$D$5:$D$304),"")</f>
        <v>0</v>
      </c>
      <c r="T83" s="30">
        <f>IFERROR(LOOKUP(2,1/('Engineer Updates'!$B$5:$B$304=A83),'Engineer Updates'!$F$5:$F$304),"")</f>
        <v>0</v>
      </c>
      <c r="U83" s="30">
        <f>IFERROR(LOOKUP(2,1/('Engineer Updates'!$B$5:$B$304=A83),'Engineer Updates'!$G$5:$G$304),"")</f>
        <v>0</v>
      </c>
      <c r="V83" s="30">
        <f>IFERROR(LOOKUP(2,1/('Engineer Updates'!$B$5:$B$304=A83),'Engineer Updates'!$H$5:$H$304),"")</f>
        <v>0</v>
      </c>
      <c r="W83" s="33">
        <f>IFERROR(LOOKUP(2,1/('Engineer Updates'!$B$5:$B$304=A83),'Engineer Updates'!$I$5:$I$304),"")</f>
        <v>0</v>
      </c>
      <c r="X83" s="34" t="str">
        <f t="shared" si="5"/>
        <v/>
      </c>
      <c r="Y83" s="27" t="s">
        <v>149</v>
      </c>
    </row>
    <row r="84" spans="1:25" ht="43.2">
      <c r="A84" s="27" t="s">
        <v>327</v>
      </c>
      <c r="B84" s="27" t="s">
        <v>146</v>
      </c>
      <c r="C84" s="27" t="s">
        <v>67</v>
      </c>
      <c r="D84" s="28">
        <v>46251</v>
      </c>
      <c r="E84" s="28">
        <v>46225.007476365739</v>
      </c>
      <c r="F84" s="28">
        <v>46233.102915844909</v>
      </c>
      <c r="G84" s="29" t="s">
        <v>322</v>
      </c>
      <c r="H84" s="29" t="s">
        <v>323</v>
      </c>
      <c r="I84" s="29" t="s">
        <v>125</v>
      </c>
      <c r="J84" s="29" t="s">
        <v>162</v>
      </c>
      <c r="K84" s="30" t="str">
        <f>IFERROR(LOOKUP(2,1/('Assignment History'!$B$5:$B$204=A84),'Assignment History'!$D$5:$D$204),IFERROR(VLOOKUP(J84,Configuration!$L$5:$M$50,2,FALSE),J84))</f>
        <v>abhishek.bhowate@petronas.com</v>
      </c>
      <c r="L84" s="30" t="str">
        <f>IF(K84=IFERROR(VLOOKUP(J84,Configuration!$L$5:$M$50,2,FALSE),J84),"Snapshot PIC","Replacement PIC")</f>
        <v>Snapshot PIC</v>
      </c>
      <c r="M84" s="31">
        <f>IFERROR(VLOOKUP(I84,Configuration!$O$5:$P$8,2,FALSE),Configuration!$S$6)</f>
        <v>3</v>
      </c>
      <c r="N84" s="31" t="str">
        <f>IFERROR(LOOKUP(2,1/('Scope Review'!$B$5:$B$204=A84),'Scope Review'!$G$5:$G$204),"Not Reviewed")</f>
        <v>Not Reviewed</v>
      </c>
      <c r="O84" s="31" t="str">
        <f>IFERROR(LOOKUP(2,1/('Scope Review'!$B$5:$B$204=A84),'Scope Review'!$H$5:$H$204),"")</f>
        <v/>
      </c>
      <c r="P84" s="31">
        <f t="shared" si="4"/>
        <v>3</v>
      </c>
      <c r="Q84" s="32">
        <f>IFERROR(LOOKUP(2,1/('Engineer Updates'!$B$5:$B$304=A84),'Engineer Updates'!$A$5:$A$304),"")</f>
        <v>46251</v>
      </c>
      <c r="R84" s="30" t="str">
        <f>IFERROR(LOOKUP(2,1/('Engineer Updates'!$B$5:$B$304=A84),'Engineer Updates'!$E$5:$E$304),"")</f>
        <v>Not Started</v>
      </c>
      <c r="S84" s="30">
        <f>IFERROR(LOOKUP(2,1/('Engineer Updates'!$B$5:$B$304=A84),'Engineer Updates'!$D$5:$D$304),"")</f>
        <v>0</v>
      </c>
      <c r="T84" s="30">
        <f>IFERROR(LOOKUP(2,1/('Engineer Updates'!$B$5:$B$304=A84),'Engineer Updates'!$F$5:$F$304),"")</f>
        <v>0</v>
      </c>
      <c r="U84" s="30">
        <f>IFERROR(LOOKUP(2,1/('Engineer Updates'!$B$5:$B$304=A84),'Engineer Updates'!$G$5:$G$304),"")</f>
        <v>0</v>
      </c>
      <c r="V84" s="30">
        <f>IFERROR(LOOKUP(2,1/('Engineer Updates'!$B$5:$B$304=A84),'Engineer Updates'!$H$5:$H$304),"")</f>
        <v>0</v>
      </c>
      <c r="W84" s="33">
        <f>IFERROR(LOOKUP(2,1/('Engineer Updates'!$B$5:$B$304=A84),'Engineer Updates'!$I$5:$I$304),"")</f>
        <v>0</v>
      </c>
      <c r="X84" s="34" t="str">
        <f t="shared" si="5"/>
        <v/>
      </c>
      <c r="Y84" s="27" t="s">
        <v>149</v>
      </c>
    </row>
    <row r="85" spans="1:25" ht="28.8">
      <c r="A85" s="27" t="s">
        <v>328</v>
      </c>
      <c r="B85" s="27" t="s">
        <v>146</v>
      </c>
      <c r="C85" s="27" t="s">
        <v>67</v>
      </c>
      <c r="D85" s="28">
        <v>46251</v>
      </c>
      <c r="E85" s="28">
        <v>46237.502958680554</v>
      </c>
      <c r="F85" s="28">
        <v>46243.274047013889</v>
      </c>
      <c r="G85" s="29" t="s">
        <v>329</v>
      </c>
      <c r="H85" s="29" t="s">
        <v>330</v>
      </c>
      <c r="I85" s="29" t="s">
        <v>107</v>
      </c>
      <c r="J85" s="29" t="s">
        <v>168</v>
      </c>
      <c r="K85" s="30" t="str">
        <f>IFERROR(LOOKUP(2,1/('Assignment History'!$B$5:$B$204=A85),'Assignment History'!$D$5:$D$204),IFERROR(VLOOKUP(J85,Configuration!$L$5:$M$50,2,FALSE),J85))</f>
        <v>amarja.kawade@petronas.com</v>
      </c>
      <c r="L85" s="30" t="str">
        <f>IF(K85=IFERROR(VLOOKUP(J85,Configuration!$L$5:$M$50,2,FALSE),J85),"Snapshot PIC","Replacement PIC")</f>
        <v>Snapshot PIC</v>
      </c>
      <c r="M85" s="31">
        <f>IFERROR(VLOOKUP(I85,Configuration!$O$5:$P$8,2,FALSE),Configuration!$S$6)</f>
        <v>2</v>
      </c>
      <c r="N85" s="31" t="str">
        <f>IFERROR(LOOKUP(2,1/('Scope Review'!$B$5:$B$204=A85),'Scope Review'!$G$5:$G$204),"Not Reviewed")</f>
        <v>Not Reviewed</v>
      </c>
      <c r="O85" s="31" t="str">
        <f>IFERROR(LOOKUP(2,1/('Scope Review'!$B$5:$B$204=A85),'Scope Review'!$H$5:$H$204),"")</f>
        <v/>
      </c>
      <c r="P85" s="31">
        <f t="shared" si="4"/>
        <v>2</v>
      </c>
      <c r="Q85" s="32">
        <f>IFERROR(LOOKUP(2,1/('Engineer Updates'!$B$5:$B$304=A85),'Engineer Updates'!$A$5:$A$304),"")</f>
        <v>46251</v>
      </c>
      <c r="R85" s="30" t="str">
        <f>IFERROR(LOOKUP(2,1/('Engineer Updates'!$B$5:$B$304=A85),'Engineer Updates'!$E$5:$E$304),"")</f>
        <v>Not Started</v>
      </c>
      <c r="S85" s="30">
        <f>IFERROR(LOOKUP(2,1/('Engineer Updates'!$B$5:$B$304=A85),'Engineer Updates'!$D$5:$D$304),"")</f>
        <v>0</v>
      </c>
      <c r="T85" s="30">
        <f>IFERROR(LOOKUP(2,1/('Engineer Updates'!$B$5:$B$304=A85),'Engineer Updates'!$F$5:$F$304),"")</f>
        <v>0</v>
      </c>
      <c r="U85" s="30">
        <f>IFERROR(LOOKUP(2,1/('Engineer Updates'!$B$5:$B$304=A85),'Engineer Updates'!$G$5:$G$304),"")</f>
        <v>0</v>
      </c>
      <c r="V85" s="30">
        <f>IFERROR(LOOKUP(2,1/('Engineer Updates'!$B$5:$B$304=A85),'Engineer Updates'!$H$5:$H$304),"")</f>
        <v>0</v>
      </c>
      <c r="W85" s="33">
        <f>IFERROR(LOOKUP(2,1/('Engineer Updates'!$B$5:$B$304=A85),'Engineer Updates'!$I$5:$I$304),"")</f>
        <v>0</v>
      </c>
      <c r="X85" s="34" t="str">
        <f t="shared" si="5"/>
        <v/>
      </c>
      <c r="Y85" s="27" t="s">
        <v>149</v>
      </c>
    </row>
    <row r="86" spans="1:25" ht="28.8">
      <c r="A86" s="27" t="s">
        <v>331</v>
      </c>
      <c r="B86" s="27" t="s">
        <v>146</v>
      </c>
      <c r="C86" s="27" t="s">
        <v>67</v>
      </c>
      <c r="D86" s="28">
        <v>46251</v>
      </c>
      <c r="E86" s="28">
        <v>46231.397869432869</v>
      </c>
      <c r="F86" s="28">
        <v>46233.099746377316</v>
      </c>
      <c r="G86" s="29" t="s">
        <v>332</v>
      </c>
      <c r="H86" s="29" t="s">
        <v>333</v>
      </c>
      <c r="I86" s="29" t="s">
        <v>107</v>
      </c>
      <c r="J86" s="29" t="s">
        <v>168</v>
      </c>
      <c r="K86" s="30" t="str">
        <f>IFERROR(LOOKUP(2,1/('Assignment History'!$B$5:$B$204=A86),'Assignment History'!$D$5:$D$204),IFERROR(VLOOKUP(J86,Configuration!$L$5:$M$50,2,FALSE),J86))</f>
        <v>amarja.kawade@petronas.com</v>
      </c>
      <c r="L86" s="30" t="str">
        <f>IF(K86=IFERROR(VLOOKUP(J86,Configuration!$L$5:$M$50,2,FALSE),J86),"Snapshot PIC","Replacement PIC")</f>
        <v>Snapshot PIC</v>
      </c>
      <c r="M86" s="31">
        <f>IFERROR(VLOOKUP(I86,Configuration!$O$5:$P$8,2,FALSE),Configuration!$S$6)</f>
        <v>2</v>
      </c>
      <c r="N86" s="31" t="str">
        <f>IFERROR(LOOKUP(2,1/('Scope Review'!$B$5:$B$204=A86),'Scope Review'!$G$5:$G$204),"Not Reviewed")</f>
        <v>Not Reviewed</v>
      </c>
      <c r="O86" s="31" t="str">
        <f>IFERROR(LOOKUP(2,1/('Scope Review'!$B$5:$B$204=A86),'Scope Review'!$H$5:$H$204),"")</f>
        <v/>
      </c>
      <c r="P86" s="31">
        <f t="shared" si="4"/>
        <v>2</v>
      </c>
      <c r="Q86" s="32">
        <f>IFERROR(LOOKUP(2,1/('Engineer Updates'!$B$5:$B$304=A86),'Engineer Updates'!$A$5:$A$304),"")</f>
        <v>46251</v>
      </c>
      <c r="R86" s="30" t="str">
        <f>IFERROR(LOOKUP(2,1/('Engineer Updates'!$B$5:$B$304=A86),'Engineer Updates'!$E$5:$E$304),"")</f>
        <v>Not Started</v>
      </c>
      <c r="S86" s="30">
        <f>IFERROR(LOOKUP(2,1/('Engineer Updates'!$B$5:$B$304=A86),'Engineer Updates'!$D$5:$D$304),"")</f>
        <v>0</v>
      </c>
      <c r="T86" s="30">
        <f>IFERROR(LOOKUP(2,1/('Engineer Updates'!$B$5:$B$304=A86),'Engineer Updates'!$F$5:$F$304),"")</f>
        <v>0</v>
      </c>
      <c r="U86" s="30">
        <f>IFERROR(LOOKUP(2,1/('Engineer Updates'!$B$5:$B$304=A86),'Engineer Updates'!$G$5:$G$304),"")</f>
        <v>0</v>
      </c>
      <c r="V86" s="30">
        <f>IFERROR(LOOKUP(2,1/('Engineer Updates'!$B$5:$B$304=A86),'Engineer Updates'!$H$5:$H$304),"")</f>
        <v>0</v>
      </c>
      <c r="W86" s="33">
        <f>IFERROR(LOOKUP(2,1/('Engineer Updates'!$B$5:$B$304=A86),'Engineer Updates'!$I$5:$I$304),"")</f>
        <v>0</v>
      </c>
      <c r="X86" s="34" t="str">
        <f t="shared" si="5"/>
        <v/>
      </c>
      <c r="Y86" s="27" t="s">
        <v>149</v>
      </c>
    </row>
    <row r="87" spans="1:25" ht="28.8">
      <c r="A87" s="27" t="s">
        <v>334</v>
      </c>
      <c r="B87" s="27" t="s">
        <v>146</v>
      </c>
      <c r="C87" s="27" t="s">
        <v>67</v>
      </c>
      <c r="D87" s="28">
        <v>46251</v>
      </c>
      <c r="E87" s="28">
        <v>46237.211060590278</v>
      </c>
      <c r="F87" s="28">
        <v>46243.274711018516</v>
      </c>
      <c r="G87" s="29" t="s">
        <v>335</v>
      </c>
      <c r="H87" s="29" t="s">
        <v>336</v>
      </c>
      <c r="I87" s="29" t="s">
        <v>107</v>
      </c>
      <c r="J87" s="29" t="s">
        <v>168</v>
      </c>
      <c r="K87" s="30" t="str">
        <f>IFERROR(LOOKUP(2,1/('Assignment History'!$B$5:$B$204=A87),'Assignment History'!$D$5:$D$204),IFERROR(VLOOKUP(J87,Configuration!$L$5:$M$50,2,FALSE),J87))</f>
        <v>amarja.kawade@petronas.com</v>
      </c>
      <c r="L87" s="30" t="str">
        <f>IF(K87=IFERROR(VLOOKUP(J87,Configuration!$L$5:$M$50,2,FALSE),J87),"Snapshot PIC","Replacement PIC")</f>
        <v>Snapshot PIC</v>
      </c>
      <c r="M87" s="31">
        <f>IFERROR(VLOOKUP(I87,Configuration!$O$5:$P$8,2,FALSE),Configuration!$S$6)</f>
        <v>2</v>
      </c>
      <c r="N87" s="31" t="str">
        <f>IFERROR(LOOKUP(2,1/('Scope Review'!$B$5:$B$204=A87),'Scope Review'!$G$5:$G$204),"Not Reviewed")</f>
        <v>Not Reviewed</v>
      </c>
      <c r="O87" s="31" t="str">
        <f>IFERROR(LOOKUP(2,1/('Scope Review'!$B$5:$B$204=A87),'Scope Review'!$H$5:$H$204),"")</f>
        <v/>
      </c>
      <c r="P87" s="31">
        <f t="shared" si="4"/>
        <v>2</v>
      </c>
      <c r="Q87" s="32">
        <f>IFERROR(LOOKUP(2,1/('Engineer Updates'!$B$5:$B$304=A87),'Engineer Updates'!$A$5:$A$304),"")</f>
        <v>46251</v>
      </c>
      <c r="R87" s="30" t="str">
        <f>IFERROR(LOOKUP(2,1/('Engineer Updates'!$B$5:$B$304=A87),'Engineer Updates'!$E$5:$E$304),"")</f>
        <v>Not Started</v>
      </c>
      <c r="S87" s="30">
        <f>IFERROR(LOOKUP(2,1/('Engineer Updates'!$B$5:$B$304=A87),'Engineer Updates'!$D$5:$D$304),"")</f>
        <v>0</v>
      </c>
      <c r="T87" s="30">
        <f>IFERROR(LOOKUP(2,1/('Engineer Updates'!$B$5:$B$304=A87),'Engineer Updates'!$F$5:$F$304),"")</f>
        <v>0</v>
      </c>
      <c r="U87" s="30">
        <f>IFERROR(LOOKUP(2,1/('Engineer Updates'!$B$5:$B$304=A87),'Engineer Updates'!$G$5:$G$304),"")</f>
        <v>0</v>
      </c>
      <c r="V87" s="30">
        <f>IFERROR(LOOKUP(2,1/('Engineer Updates'!$B$5:$B$304=A87),'Engineer Updates'!$H$5:$H$304),"")</f>
        <v>0</v>
      </c>
      <c r="W87" s="33">
        <f>IFERROR(LOOKUP(2,1/('Engineer Updates'!$B$5:$B$304=A87),'Engineer Updates'!$I$5:$I$304),"")</f>
        <v>0</v>
      </c>
      <c r="X87" s="34" t="str">
        <f t="shared" si="5"/>
        <v/>
      </c>
      <c r="Y87" s="27" t="s">
        <v>149</v>
      </c>
    </row>
    <row r="88" spans="1:25">
      <c r="A88" s="27" t="s">
        <v>337</v>
      </c>
      <c r="B88" s="27" t="s">
        <v>146</v>
      </c>
      <c r="C88" s="27" t="s">
        <v>67</v>
      </c>
      <c r="D88" s="28">
        <v>46251</v>
      </c>
      <c r="E88" s="28">
        <v>46246.635681412037</v>
      </c>
      <c r="F88" s="28">
        <v>46249.355909687503</v>
      </c>
      <c r="G88" s="29" t="s">
        <v>338</v>
      </c>
      <c r="H88" s="29" t="s">
        <v>339</v>
      </c>
      <c r="I88" s="29" t="s">
        <v>116</v>
      </c>
      <c r="J88" s="29" t="s">
        <v>340</v>
      </c>
      <c r="K88" s="30" t="str">
        <f>IFERROR(LOOKUP(2,1/('Assignment History'!$B$5:$B$204=A88),'Assignment History'!$D$5:$D$204),IFERROR(VLOOKUP(J88,Configuration!$L$5:$M$50,2,FALSE),J88))</f>
        <v>arun.karuppiah@petronas.com</v>
      </c>
      <c r="L88" s="30" t="str">
        <f>IF(K88=IFERROR(VLOOKUP(J88,Configuration!$L$5:$M$50,2,FALSE),J88),"Snapshot PIC","Replacement PIC")</f>
        <v>Snapshot PIC</v>
      </c>
      <c r="M88" s="31">
        <f>IFERROR(VLOOKUP(I88,Configuration!$O$5:$P$8,2,FALSE),Configuration!$S$6)</f>
        <v>1</v>
      </c>
      <c r="N88" s="31" t="str">
        <f>IFERROR(LOOKUP(2,1/('Scope Review'!$B$5:$B$204=A88),'Scope Review'!$G$5:$G$204),"Not Reviewed")</f>
        <v>Not Reviewed</v>
      </c>
      <c r="O88" s="31" t="str">
        <f>IFERROR(LOOKUP(2,1/('Scope Review'!$B$5:$B$204=A88),'Scope Review'!$H$5:$H$204),"")</f>
        <v/>
      </c>
      <c r="P88" s="31">
        <f t="shared" si="4"/>
        <v>1</v>
      </c>
      <c r="Q88" s="32">
        <f>IFERROR(LOOKUP(2,1/('Engineer Updates'!$B$5:$B$304=A88),'Engineer Updates'!$A$5:$A$304),"")</f>
        <v>46251</v>
      </c>
      <c r="R88" s="30" t="str">
        <f>IFERROR(LOOKUP(2,1/('Engineer Updates'!$B$5:$B$304=A88),'Engineer Updates'!$E$5:$E$304),"")</f>
        <v>Not Started</v>
      </c>
      <c r="S88" s="30">
        <f>IFERROR(LOOKUP(2,1/('Engineer Updates'!$B$5:$B$304=A88),'Engineer Updates'!$D$5:$D$304),"")</f>
        <v>0</v>
      </c>
      <c r="T88" s="30">
        <f>IFERROR(LOOKUP(2,1/('Engineer Updates'!$B$5:$B$304=A88),'Engineer Updates'!$F$5:$F$304),"")</f>
        <v>0</v>
      </c>
      <c r="U88" s="30">
        <f>IFERROR(LOOKUP(2,1/('Engineer Updates'!$B$5:$B$304=A88),'Engineer Updates'!$G$5:$G$304),"")</f>
        <v>0</v>
      </c>
      <c r="V88" s="30">
        <f>IFERROR(LOOKUP(2,1/('Engineer Updates'!$B$5:$B$304=A88),'Engineer Updates'!$H$5:$H$304),"")</f>
        <v>0</v>
      </c>
      <c r="W88" s="33">
        <f>IFERROR(LOOKUP(2,1/('Engineer Updates'!$B$5:$B$304=A88),'Engineer Updates'!$I$5:$I$304),"")</f>
        <v>0</v>
      </c>
      <c r="X88" s="34" t="str">
        <f t="shared" si="5"/>
        <v/>
      </c>
      <c r="Y88" s="27" t="s">
        <v>149</v>
      </c>
    </row>
    <row r="89" spans="1:25">
      <c r="A89" s="27" t="s">
        <v>341</v>
      </c>
      <c r="B89" s="27" t="s">
        <v>146</v>
      </c>
      <c r="C89" s="27" t="s">
        <v>67</v>
      </c>
      <c r="D89" s="28">
        <v>46251</v>
      </c>
      <c r="E89" s="28">
        <v>46247.049233344907</v>
      </c>
      <c r="F89" s="28">
        <v>46249.193385092593</v>
      </c>
      <c r="G89" s="29" t="s">
        <v>151</v>
      </c>
      <c r="H89" s="29" t="s">
        <v>152</v>
      </c>
      <c r="I89" s="29" t="s">
        <v>107</v>
      </c>
      <c r="J89" s="29" t="s">
        <v>340</v>
      </c>
      <c r="K89" s="30" t="str">
        <f>IFERROR(LOOKUP(2,1/('Assignment History'!$B$5:$B$204=A89),'Assignment History'!$D$5:$D$204),IFERROR(VLOOKUP(J89,Configuration!$L$5:$M$50,2,FALSE),J89))</f>
        <v>arun.karuppiah@petronas.com</v>
      </c>
      <c r="L89" s="30" t="str">
        <f>IF(K89=IFERROR(VLOOKUP(J89,Configuration!$L$5:$M$50,2,FALSE),J89),"Snapshot PIC","Replacement PIC")</f>
        <v>Snapshot PIC</v>
      </c>
      <c r="M89" s="31">
        <f>IFERROR(VLOOKUP(I89,Configuration!$O$5:$P$8,2,FALSE),Configuration!$S$6)</f>
        <v>2</v>
      </c>
      <c r="N89" s="31" t="str">
        <f>IFERROR(LOOKUP(2,1/('Scope Review'!$B$5:$B$204=A89),'Scope Review'!$G$5:$G$204),"Not Reviewed")</f>
        <v>Not Reviewed</v>
      </c>
      <c r="O89" s="31" t="str">
        <f>IFERROR(LOOKUP(2,1/('Scope Review'!$B$5:$B$204=A89),'Scope Review'!$H$5:$H$204),"")</f>
        <v/>
      </c>
      <c r="P89" s="31">
        <f t="shared" si="4"/>
        <v>2</v>
      </c>
      <c r="Q89" s="32">
        <f>IFERROR(LOOKUP(2,1/('Engineer Updates'!$B$5:$B$304=A89),'Engineer Updates'!$A$5:$A$304),"")</f>
        <v>46251</v>
      </c>
      <c r="R89" s="30" t="str">
        <f>IFERROR(LOOKUP(2,1/('Engineer Updates'!$B$5:$B$304=A89),'Engineer Updates'!$E$5:$E$304),"")</f>
        <v>Not Started</v>
      </c>
      <c r="S89" s="30">
        <f>IFERROR(LOOKUP(2,1/('Engineer Updates'!$B$5:$B$304=A89),'Engineer Updates'!$D$5:$D$304),"")</f>
        <v>0</v>
      </c>
      <c r="T89" s="30">
        <f>IFERROR(LOOKUP(2,1/('Engineer Updates'!$B$5:$B$304=A89),'Engineer Updates'!$F$5:$F$304),"")</f>
        <v>0</v>
      </c>
      <c r="U89" s="30">
        <f>IFERROR(LOOKUP(2,1/('Engineer Updates'!$B$5:$B$304=A89),'Engineer Updates'!$G$5:$G$304),"")</f>
        <v>0</v>
      </c>
      <c r="V89" s="30">
        <f>IFERROR(LOOKUP(2,1/('Engineer Updates'!$B$5:$B$304=A89),'Engineer Updates'!$H$5:$H$304),"")</f>
        <v>0</v>
      </c>
      <c r="W89" s="33">
        <f>IFERROR(LOOKUP(2,1/('Engineer Updates'!$B$5:$B$304=A89),'Engineer Updates'!$I$5:$I$304),"")</f>
        <v>0</v>
      </c>
      <c r="X89" s="34" t="str">
        <f t="shared" si="5"/>
        <v/>
      </c>
      <c r="Y89" s="27" t="s">
        <v>149</v>
      </c>
    </row>
    <row r="90" spans="1:25" ht="28.8">
      <c r="A90" s="27" t="s">
        <v>342</v>
      </c>
      <c r="B90" s="27" t="s">
        <v>146</v>
      </c>
      <c r="C90" s="27" t="s">
        <v>67</v>
      </c>
      <c r="D90" s="28">
        <v>46251</v>
      </c>
      <c r="E90" s="28">
        <v>46204.163972627313</v>
      </c>
      <c r="F90" s="28">
        <v>46222.854783726849</v>
      </c>
      <c r="G90" s="29" t="s">
        <v>343</v>
      </c>
      <c r="H90" s="29" t="s">
        <v>344</v>
      </c>
      <c r="I90" s="29" t="s">
        <v>116</v>
      </c>
      <c r="J90" s="29" t="s">
        <v>230</v>
      </c>
      <c r="K90" s="30" t="str">
        <f>IFERROR(LOOKUP(2,1/('Assignment History'!$B$5:$B$204=A90),'Assignment History'!$D$5:$D$204),IFERROR(VLOOKUP(J90,Configuration!$L$5:$M$50,2,FALSE),J90))</f>
        <v>k.saktivelu@petronas.com</v>
      </c>
      <c r="L90" s="30" t="str">
        <f>IF(K90=IFERROR(VLOOKUP(J90,Configuration!$L$5:$M$50,2,FALSE),J90),"Snapshot PIC","Replacement PIC")</f>
        <v>Snapshot PIC</v>
      </c>
      <c r="M90" s="31">
        <f>IFERROR(VLOOKUP(I90,Configuration!$O$5:$P$8,2,FALSE),Configuration!$S$6)</f>
        <v>1</v>
      </c>
      <c r="N90" s="31" t="str">
        <f>IFERROR(LOOKUP(2,1/('Scope Review'!$B$5:$B$204=A90),'Scope Review'!$G$5:$G$204),"Not Reviewed")</f>
        <v>Not Reviewed</v>
      </c>
      <c r="O90" s="31" t="str">
        <f>IFERROR(LOOKUP(2,1/('Scope Review'!$B$5:$B$204=A90),'Scope Review'!$H$5:$H$204),"")</f>
        <v/>
      </c>
      <c r="P90" s="31">
        <f t="shared" si="4"/>
        <v>1</v>
      </c>
      <c r="Q90" s="32">
        <f>IFERROR(LOOKUP(2,1/('Engineer Updates'!$B$5:$B$304=A90),'Engineer Updates'!$A$5:$A$304),"")</f>
        <v>46251</v>
      </c>
      <c r="R90" s="30" t="str">
        <f>IFERROR(LOOKUP(2,1/('Engineer Updates'!$B$5:$B$304=A90),'Engineer Updates'!$E$5:$E$304),"")</f>
        <v>Not Started</v>
      </c>
      <c r="S90" s="30">
        <f>IFERROR(LOOKUP(2,1/('Engineer Updates'!$B$5:$B$304=A90),'Engineer Updates'!$D$5:$D$304),"")</f>
        <v>0</v>
      </c>
      <c r="T90" s="30">
        <f>IFERROR(LOOKUP(2,1/('Engineer Updates'!$B$5:$B$304=A90),'Engineer Updates'!$F$5:$F$304),"")</f>
        <v>0</v>
      </c>
      <c r="U90" s="30">
        <f>IFERROR(LOOKUP(2,1/('Engineer Updates'!$B$5:$B$304=A90),'Engineer Updates'!$G$5:$G$304),"")</f>
        <v>0</v>
      </c>
      <c r="V90" s="30">
        <f>IFERROR(LOOKUP(2,1/('Engineer Updates'!$B$5:$B$304=A90),'Engineer Updates'!$H$5:$H$304),"")</f>
        <v>0</v>
      </c>
      <c r="W90" s="33">
        <f>IFERROR(LOOKUP(2,1/('Engineer Updates'!$B$5:$B$304=A90),'Engineer Updates'!$I$5:$I$304),"")</f>
        <v>0</v>
      </c>
      <c r="X90" s="34" t="str">
        <f t="shared" si="5"/>
        <v/>
      </c>
      <c r="Y90" s="27" t="s">
        <v>149</v>
      </c>
    </row>
    <row r="91" spans="1:25" ht="57.6">
      <c r="A91" s="27" t="s">
        <v>345</v>
      </c>
      <c r="B91" s="27" t="s">
        <v>146</v>
      </c>
      <c r="C91" s="27" t="s">
        <v>67</v>
      </c>
      <c r="D91" s="28">
        <v>46251</v>
      </c>
      <c r="E91" s="28">
        <v>46227.353034155094</v>
      </c>
      <c r="F91" s="28">
        <v>46233.10234542824</v>
      </c>
      <c r="G91" s="29" t="s">
        <v>346</v>
      </c>
      <c r="H91" s="29" t="s">
        <v>347</v>
      </c>
      <c r="I91" s="29" t="s">
        <v>107</v>
      </c>
      <c r="J91" s="29" t="s">
        <v>230</v>
      </c>
      <c r="K91" s="30" t="str">
        <f>IFERROR(LOOKUP(2,1/('Assignment History'!$B$5:$B$204=A91),'Assignment History'!$D$5:$D$204),IFERROR(VLOOKUP(J91,Configuration!$L$5:$M$50,2,FALSE),J91))</f>
        <v>k.saktivelu@petronas.com</v>
      </c>
      <c r="L91" s="30" t="str">
        <f>IF(K91=IFERROR(VLOOKUP(J91,Configuration!$L$5:$M$50,2,FALSE),J91),"Snapshot PIC","Replacement PIC")</f>
        <v>Snapshot PIC</v>
      </c>
      <c r="M91" s="31">
        <f>IFERROR(VLOOKUP(I91,Configuration!$O$5:$P$8,2,FALSE),Configuration!$S$6)</f>
        <v>2</v>
      </c>
      <c r="N91" s="31" t="str">
        <f>IFERROR(LOOKUP(2,1/('Scope Review'!$B$5:$B$204=A91),'Scope Review'!$G$5:$G$204),"Not Reviewed")</f>
        <v>Not Reviewed</v>
      </c>
      <c r="O91" s="31" t="str">
        <f>IFERROR(LOOKUP(2,1/('Scope Review'!$B$5:$B$204=A91),'Scope Review'!$H$5:$H$204),"")</f>
        <v/>
      </c>
      <c r="P91" s="31">
        <f t="shared" si="4"/>
        <v>2</v>
      </c>
      <c r="Q91" s="32">
        <f>IFERROR(LOOKUP(2,1/('Engineer Updates'!$B$5:$B$304=A91),'Engineer Updates'!$A$5:$A$304),"")</f>
        <v>46251</v>
      </c>
      <c r="R91" s="30" t="str">
        <f>IFERROR(LOOKUP(2,1/('Engineer Updates'!$B$5:$B$304=A91),'Engineer Updates'!$E$5:$E$304),"")</f>
        <v>Not Started</v>
      </c>
      <c r="S91" s="30">
        <f>IFERROR(LOOKUP(2,1/('Engineer Updates'!$B$5:$B$304=A91),'Engineer Updates'!$D$5:$D$304),"")</f>
        <v>0</v>
      </c>
      <c r="T91" s="30">
        <f>IFERROR(LOOKUP(2,1/('Engineer Updates'!$B$5:$B$304=A91),'Engineer Updates'!$F$5:$F$304),"")</f>
        <v>0</v>
      </c>
      <c r="U91" s="30">
        <f>IFERROR(LOOKUP(2,1/('Engineer Updates'!$B$5:$B$304=A91),'Engineer Updates'!$G$5:$G$304),"")</f>
        <v>0</v>
      </c>
      <c r="V91" s="30">
        <f>IFERROR(LOOKUP(2,1/('Engineer Updates'!$B$5:$B$304=A91),'Engineer Updates'!$H$5:$H$304),"")</f>
        <v>0</v>
      </c>
      <c r="W91" s="33">
        <f>IFERROR(LOOKUP(2,1/('Engineer Updates'!$B$5:$B$304=A91),'Engineer Updates'!$I$5:$I$304),"")</f>
        <v>0</v>
      </c>
      <c r="X91" s="34" t="str">
        <f t="shared" si="5"/>
        <v/>
      </c>
      <c r="Y91" s="27" t="s">
        <v>149</v>
      </c>
    </row>
    <row r="92" spans="1:25" ht="28.8">
      <c r="A92" s="27" t="s">
        <v>348</v>
      </c>
      <c r="B92" s="27" t="s">
        <v>146</v>
      </c>
      <c r="C92" s="27" t="s">
        <v>67</v>
      </c>
      <c r="D92" s="28">
        <v>46251</v>
      </c>
      <c r="E92" s="28">
        <v>46204.162991134261</v>
      </c>
      <c r="F92" s="28">
        <v>46222.855439988423</v>
      </c>
      <c r="G92" s="29" t="s">
        <v>343</v>
      </c>
      <c r="H92" s="29" t="s">
        <v>344</v>
      </c>
      <c r="I92" s="29" t="s">
        <v>116</v>
      </c>
      <c r="J92" s="29" t="s">
        <v>230</v>
      </c>
      <c r="K92" s="30" t="str">
        <f>IFERROR(LOOKUP(2,1/('Assignment History'!$B$5:$B$204=A92),'Assignment History'!$D$5:$D$204),IFERROR(VLOOKUP(J92,Configuration!$L$5:$M$50,2,FALSE),J92))</f>
        <v>k.saktivelu@petronas.com</v>
      </c>
      <c r="L92" s="30" t="str">
        <f>IF(K92=IFERROR(VLOOKUP(J92,Configuration!$L$5:$M$50,2,FALSE),J92),"Snapshot PIC","Replacement PIC")</f>
        <v>Snapshot PIC</v>
      </c>
      <c r="M92" s="31">
        <f>IFERROR(VLOOKUP(I92,Configuration!$O$5:$P$8,2,FALSE),Configuration!$S$6)</f>
        <v>1</v>
      </c>
      <c r="N92" s="31" t="str">
        <f>IFERROR(LOOKUP(2,1/('Scope Review'!$B$5:$B$204=A92),'Scope Review'!$G$5:$G$204),"Not Reviewed")</f>
        <v>Not Reviewed</v>
      </c>
      <c r="O92" s="31" t="str">
        <f>IFERROR(LOOKUP(2,1/('Scope Review'!$B$5:$B$204=A92),'Scope Review'!$H$5:$H$204),"")</f>
        <v/>
      </c>
      <c r="P92" s="31">
        <f t="shared" si="4"/>
        <v>1</v>
      </c>
      <c r="Q92" s="32">
        <f>IFERROR(LOOKUP(2,1/('Engineer Updates'!$B$5:$B$304=A92),'Engineer Updates'!$A$5:$A$304),"")</f>
        <v>46251</v>
      </c>
      <c r="R92" s="30" t="str">
        <f>IFERROR(LOOKUP(2,1/('Engineer Updates'!$B$5:$B$304=A92),'Engineer Updates'!$E$5:$E$304),"")</f>
        <v>Not Started</v>
      </c>
      <c r="S92" s="30">
        <f>IFERROR(LOOKUP(2,1/('Engineer Updates'!$B$5:$B$304=A92),'Engineer Updates'!$D$5:$D$304),"")</f>
        <v>0</v>
      </c>
      <c r="T92" s="30">
        <f>IFERROR(LOOKUP(2,1/('Engineer Updates'!$B$5:$B$304=A92),'Engineer Updates'!$F$5:$F$304),"")</f>
        <v>0</v>
      </c>
      <c r="U92" s="30">
        <f>IFERROR(LOOKUP(2,1/('Engineer Updates'!$B$5:$B$304=A92),'Engineer Updates'!$G$5:$G$304),"")</f>
        <v>0</v>
      </c>
      <c r="V92" s="30">
        <f>IFERROR(LOOKUP(2,1/('Engineer Updates'!$B$5:$B$304=A92),'Engineer Updates'!$H$5:$H$304),"")</f>
        <v>0</v>
      </c>
      <c r="W92" s="33">
        <f>IFERROR(LOOKUP(2,1/('Engineer Updates'!$B$5:$B$304=A92),'Engineer Updates'!$I$5:$I$304),"")</f>
        <v>0</v>
      </c>
      <c r="X92" s="34" t="str">
        <f t="shared" si="5"/>
        <v/>
      </c>
      <c r="Y92" s="27" t="s">
        <v>149</v>
      </c>
    </row>
    <row r="93" spans="1:25" ht="57.6">
      <c r="A93" s="27" t="s">
        <v>349</v>
      </c>
      <c r="B93" s="27" t="s">
        <v>146</v>
      </c>
      <c r="C93" s="27" t="s">
        <v>67</v>
      </c>
      <c r="D93" s="28">
        <v>46251</v>
      </c>
      <c r="E93" s="28">
        <v>46227.355753564814</v>
      </c>
      <c r="F93" s="28">
        <v>46233.102050868052</v>
      </c>
      <c r="G93" s="29" t="s">
        <v>346</v>
      </c>
      <c r="H93" s="29" t="s">
        <v>347</v>
      </c>
      <c r="I93" s="29" t="s">
        <v>107</v>
      </c>
      <c r="J93" s="29" t="s">
        <v>230</v>
      </c>
      <c r="K93" s="30" t="str">
        <f>IFERROR(LOOKUP(2,1/('Assignment History'!$B$5:$B$204=A93),'Assignment History'!$D$5:$D$204),IFERROR(VLOOKUP(J93,Configuration!$L$5:$M$50,2,FALSE),J93))</f>
        <v>k.saktivelu@petronas.com</v>
      </c>
      <c r="L93" s="30" t="str">
        <f>IF(K93=IFERROR(VLOOKUP(J93,Configuration!$L$5:$M$50,2,FALSE),J93),"Snapshot PIC","Replacement PIC")</f>
        <v>Snapshot PIC</v>
      </c>
      <c r="M93" s="31">
        <f>IFERROR(VLOOKUP(I93,Configuration!$O$5:$P$8,2,FALSE),Configuration!$S$6)</f>
        <v>2</v>
      </c>
      <c r="N93" s="31" t="str">
        <f>IFERROR(LOOKUP(2,1/('Scope Review'!$B$5:$B$204=A93),'Scope Review'!$G$5:$G$204),"Not Reviewed")</f>
        <v>Not Reviewed</v>
      </c>
      <c r="O93" s="31" t="str">
        <f>IFERROR(LOOKUP(2,1/('Scope Review'!$B$5:$B$204=A93),'Scope Review'!$H$5:$H$204),"")</f>
        <v/>
      </c>
      <c r="P93" s="31">
        <f t="shared" si="4"/>
        <v>2</v>
      </c>
      <c r="Q93" s="32">
        <f>IFERROR(LOOKUP(2,1/('Engineer Updates'!$B$5:$B$304=A93),'Engineer Updates'!$A$5:$A$304),"")</f>
        <v>46251</v>
      </c>
      <c r="R93" s="30" t="str">
        <f>IFERROR(LOOKUP(2,1/('Engineer Updates'!$B$5:$B$304=A93),'Engineer Updates'!$E$5:$E$304),"")</f>
        <v>Not Started</v>
      </c>
      <c r="S93" s="30">
        <f>IFERROR(LOOKUP(2,1/('Engineer Updates'!$B$5:$B$304=A93),'Engineer Updates'!$D$5:$D$304),"")</f>
        <v>0</v>
      </c>
      <c r="T93" s="30">
        <f>IFERROR(LOOKUP(2,1/('Engineer Updates'!$B$5:$B$304=A93),'Engineer Updates'!$F$5:$F$304),"")</f>
        <v>0</v>
      </c>
      <c r="U93" s="30">
        <f>IFERROR(LOOKUP(2,1/('Engineer Updates'!$B$5:$B$304=A93),'Engineer Updates'!$G$5:$G$304),"")</f>
        <v>0</v>
      </c>
      <c r="V93" s="30">
        <f>IFERROR(LOOKUP(2,1/('Engineer Updates'!$B$5:$B$304=A93),'Engineer Updates'!$H$5:$H$304),"")</f>
        <v>0</v>
      </c>
      <c r="W93" s="33">
        <f>IFERROR(LOOKUP(2,1/('Engineer Updates'!$B$5:$B$304=A93),'Engineer Updates'!$I$5:$I$304),"")</f>
        <v>0</v>
      </c>
      <c r="X93" s="34" t="str">
        <f t="shared" si="5"/>
        <v/>
      </c>
      <c r="Y93" s="27" t="s">
        <v>149</v>
      </c>
    </row>
    <row r="94" spans="1:25" ht="28.8">
      <c r="A94" s="27" t="s">
        <v>350</v>
      </c>
      <c r="B94" s="27" t="s">
        <v>146</v>
      </c>
      <c r="C94" s="27" t="s">
        <v>67</v>
      </c>
      <c r="D94" s="28">
        <v>46251</v>
      </c>
      <c r="E94" s="28">
        <v>46246.173350740741</v>
      </c>
      <c r="F94" s="28">
        <v>46249.226012465275</v>
      </c>
      <c r="G94" s="29" t="s">
        <v>351</v>
      </c>
      <c r="H94" s="29" t="s">
        <v>352</v>
      </c>
      <c r="I94" s="29" t="s">
        <v>116</v>
      </c>
      <c r="J94" s="29" t="s">
        <v>237</v>
      </c>
      <c r="K94" s="30" t="str">
        <f>IFERROR(LOOKUP(2,1/('Assignment History'!$B$5:$B$204=A94),'Assignment History'!$D$5:$D$204),IFERROR(VLOOKUP(J94,Configuration!$L$5:$M$50,2,FALSE),J94))</f>
        <v>mardiansyah.rayasa@petronas.com</v>
      </c>
      <c r="L94" s="30" t="str">
        <f>IF(K94=IFERROR(VLOOKUP(J94,Configuration!$L$5:$M$50,2,FALSE),J94),"Snapshot PIC","Replacement PIC")</f>
        <v>Snapshot PIC</v>
      </c>
      <c r="M94" s="31">
        <f>IFERROR(VLOOKUP(I94,Configuration!$O$5:$P$8,2,FALSE),Configuration!$S$6)</f>
        <v>1</v>
      </c>
      <c r="N94" s="31" t="str">
        <f>IFERROR(LOOKUP(2,1/('Scope Review'!$B$5:$B$204=A94),'Scope Review'!$G$5:$G$204),"Not Reviewed")</f>
        <v>Not Reviewed</v>
      </c>
      <c r="O94" s="31" t="str">
        <f>IFERROR(LOOKUP(2,1/('Scope Review'!$B$5:$B$204=A94),'Scope Review'!$H$5:$H$204),"")</f>
        <v/>
      </c>
      <c r="P94" s="31">
        <f t="shared" si="4"/>
        <v>1</v>
      </c>
      <c r="Q94" s="32">
        <f>IFERROR(LOOKUP(2,1/('Engineer Updates'!$B$5:$B$304=A94),'Engineer Updates'!$A$5:$A$304),"")</f>
        <v>46251</v>
      </c>
      <c r="R94" s="30" t="str">
        <f>IFERROR(LOOKUP(2,1/('Engineer Updates'!$B$5:$B$304=A94),'Engineer Updates'!$E$5:$E$304),"")</f>
        <v>Not Started</v>
      </c>
      <c r="S94" s="30">
        <f>IFERROR(LOOKUP(2,1/('Engineer Updates'!$B$5:$B$304=A94),'Engineer Updates'!$D$5:$D$304),"")</f>
        <v>0</v>
      </c>
      <c r="T94" s="30">
        <f>IFERROR(LOOKUP(2,1/('Engineer Updates'!$B$5:$B$304=A94),'Engineer Updates'!$F$5:$F$304),"")</f>
        <v>0</v>
      </c>
      <c r="U94" s="30">
        <f>IFERROR(LOOKUP(2,1/('Engineer Updates'!$B$5:$B$304=A94),'Engineer Updates'!$G$5:$G$304),"")</f>
        <v>0</v>
      </c>
      <c r="V94" s="30">
        <f>IFERROR(LOOKUP(2,1/('Engineer Updates'!$B$5:$B$304=A94),'Engineer Updates'!$H$5:$H$304),"")</f>
        <v>0</v>
      </c>
      <c r="W94" s="33">
        <f>IFERROR(LOOKUP(2,1/('Engineer Updates'!$B$5:$B$304=A94),'Engineer Updates'!$I$5:$I$304),"")</f>
        <v>0</v>
      </c>
      <c r="X94" s="34" t="str">
        <f t="shared" si="5"/>
        <v/>
      </c>
      <c r="Y94" s="27" t="s">
        <v>149</v>
      </c>
    </row>
    <row r="95" spans="1:25" ht="28.8">
      <c r="A95" s="27" t="s">
        <v>353</v>
      </c>
      <c r="B95" s="27" t="s">
        <v>146</v>
      </c>
      <c r="C95" s="27" t="s">
        <v>67</v>
      </c>
      <c r="D95" s="28">
        <v>46251</v>
      </c>
      <c r="E95" s="28">
        <v>46233.110432719906</v>
      </c>
      <c r="F95" s="28">
        <v>46238.16621505787</v>
      </c>
      <c r="G95" s="29" t="s">
        <v>354</v>
      </c>
      <c r="H95" s="29" t="s">
        <v>355</v>
      </c>
      <c r="I95" s="29" t="s">
        <v>125</v>
      </c>
      <c r="J95" s="29" t="s">
        <v>237</v>
      </c>
      <c r="K95" s="30" t="str">
        <f>IFERROR(LOOKUP(2,1/('Assignment History'!$B$5:$B$204=A95),'Assignment History'!$D$5:$D$204),IFERROR(VLOOKUP(J95,Configuration!$L$5:$M$50,2,FALSE),J95))</f>
        <v>mardiansyah.rayasa@petronas.com</v>
      </c>
      <c r="L95" s="30" t="str">
        <f>IF(K95=IFERROR(VLOOKUP(J95,Configuration!$L$5:$M$50,2,FALSE),J95),"Snapshot PIC","Replacement PIC")</f>
        <v>Snapshot PIC</v>
      </c>
      <c r="M95" s="31">
        <f>IFERROR(VLOOKUP(I95,Configuration!$O$5:$P$8,2,FALSE),Configuration!$S$6)</f>
        <v>3</v>
      </c>
      <c r="N95" s="31" t="str">
        <f>IFERROR(LOOKUP(2,1/('Scope Review'!$B$5:$B$204=A95),'Scope Review'!$G$5:$G$204),"Not Reviewed")</f>
        <v>Not Reviewed</v>
      </c>
      <c r="O95" s="31" t="str">
        <f>IFERROR(LOOKUP(2,1/('Scope Review'!$B$5:$B$204=A95),'Scope Review'!$H$5:$H$204),"")</f>
        <v/>
      </c>
      <c r="P95" s="31">
        <f t="shared" si="4"/>
        <v>3</v>
      </c>
      <c r="Q95" s="32">
        <f>IFERROR(LOOKUP(2,1/('Engineer Updates'!$B$5:$B$304=A95),'Engineer Updates'!$A$5:$A$304),"")</f>
        <v>46251</v>
      </c>
      <c r="R95" s="30" t="str">
        <f>IFERROR(LOOKUP(2,1/('Engineer Updates'!$B$5:$B$304=A95),'Engineer Updates'!$E$5:$E$304),"")</f>
        <v>Not Started</v>
      </c>
      <c r="S95" s="30">
        <f>IFERROR(LOOKUP(2,1/('Engineer Updates'!$B$5:$B$304=A95),'Engineer Updates'!$D$5:$D$304),"")</f>
        <v>0</v>
      </c>
      <c r="T95" s="30">
        <f>IFERROR(LOOKUP(2,1/('Engineer Updates'!$B$5:$B$304=A95),'Engineer Updates'!$F$5:$F$304),"")</f>
        <v>0</v>
      </c>
      <c r="U95" s="30">
        <f>IFERROR(LOOKUP(2,1/('Engineer Updates'!$B$5:$B$304=A95),'Engineer Updates'!$G$5:$G$304),"")</f>
        <v>0</v>
      </c>
      <c r="V95" s="30">
        <f>IFERROR(LOOKUP(2,1/('Engineer Updates'!$B$5:$B$304=A95),'Engineer Updates'!$H$5:$H$304),"")</f>
        <v>0</v>
      </c>
      <c r="W95" s="33">
        <f>IFERROR(LOOKUP(2,1/('Engineer Updates'!$B$5:$B$304=A95),'Engineer Updates'!$I$5:$I$304),"")</f>
        <v>0</v>
      </c>
      <c r="X95" s="34" t="str">
        <f t="shared" si="5"/>
        <v/>
      </c>
      <c r="Y95" s="27" t="s">
        <v>149</v>
      </c>
    </row>
    <row r="96" spans="1:25" ht="28.8">
      <c r="A96" s="27" t="s">
        <v>356</v>
      </c>
      <c r="B96" s="27" t="s">
        <v>146</v>
      </c>
      <c r="C96" s="27" t="s">
        <v>67</v>
      </c>
      <c r="D96" s="28">
        <v>46251</v>
      </c>
      <c r="E96" s="28">
        <v>46244.343212916669</v>
      </c>
      <c r="F96" s="28">
        <v>46247.304909398146</v>
      </c>
      <c r="G96" s="29" t="s">
        <v>357</v>
      </c>
      <c r="H96" s="29" t="s">
        <v>358</v>
      </c>
      <c r="I96" s="29" t="s">
        <v>116</v>
      </c>
      <c r="J96" s="29" t="s">
        <v>237</v>
      </c>
      <c r="K96" s="30" t="str">
        <f>IFERROR(LOOKUP(2,1/('Assignment History'!$B$5:$B$204=A96),'Assignment History'!$D$5:$D$204),IFERROR(VLOOKUP(J96,Configuration!$L$5:$M$50,2,FALSE),J96))</f>
        <v>mardiansyah.rayasa@petronas.com</v>
      </c>
      <c r="L96" s="30" t="str">
        <f>IF(K96=IFERROR(VLOOKUP(J96,Configuration!$L$5:$M$50,2,FALSE),J96),"Snapshot PIC","Replacement PIC")</f>
        <v>Snapshot PIC</v>
      </c>
      <c r="M96" s="31">
        <f>IFERROR(VLOOKUP(I96,Configuration!$O$5:$P$8,2,FALSE),Configuration!$S$6)</f>
        <v>1</v>
      </c>
      <c r="N96" s="31" t="str">
        <f>IFERROR(LOOKUP(2,1/('Scope Review'!$B$5:$B$204=A96),'Scope Review'!$G$5:$G$204),"Not Reviewed")</f>
        <v>Not Reviewed</v>
      </c>
      <c r="O96" s="31" t="str">
        <f>IFERROR(LOOKUP(2,1/('Scope Review'!$B$5:$B$204=A96),'Scope Review'!$H$5:$H$204),"")</f>
        <v/>
      </c>
      <c r="P96" s="31">
        <f t="shared" si="4"/>
        <v>1</v>
      </c>
      <c r="Q96" s="32">
        <f>IFERROR(LOOKUP(2,1/('Engineer Updates'!$B$5:$B$304=A96),'Engineer Updates'!$A$5:$A$304),"")</f>
        <v>46251</v>
      </c>
      <c r="R96" s="30" t="str">
        <f>IFERROR(LOOKUP(2,1/('Engineer Updates'!$B$5:$B$304=A96),'Engineer Updates'!$E$5:$E$304),"")</f>
        <v>Not Started</v>
      </c>
      <c r="S96" s="30">
        <f>IFERROR(LOOKUP(2,1/('Engineer Updates'!$B$5:$B$304=A96),'Engineer Updates'!$D$5:$D$304),"")</f>
        <v>0</v>
      </c>
      <c r="T96" s="30">
        <f>IFERROR(LOOKUP(2,1/('Engineer Updates'!$B$5:$B$304=A96),'Engineer Updates'!$F$5:$F$304),"")</f>
        <v>0</v>
      </c>
      <c r="U96" s="30">
        <f>IFERROR(LOOKUP(2,1/('Engineer Updates'!$B$5:$B$304=A96),'Engineer Updates'!$G$5:$G$304),"")</f>
        <v>0</v>
      </c>
      <c r="V96" s="30">
        <f>IFERROR(LOOKUP(2,1/('Engineer Updates'!$B$5:$B$304=A96),'Engineer Updates'!$H$5:$H$304),"")</f>
        <v>0</v>
      </c>
      <c r="W96" s="33">
        <f>IFERROR(LOOKUP(2,1/('Engineer Updates'!$B$5:$B$304=A96),'Engineer Updates'!$I$5:$I$304),"")</f>
        <v>0</v>
      </c>
      <c r="X96" s="34" t="str">
        <f t="shared" si="5"/>
        <v/>
      </c>
      <c r="Y96" s="27" t="s">
        <v>149</v>
      </c>
    </row>
    <row r="97" spans="1:25" ht="43.2">
      <c r="A97" s="27" t="s">
        <v>359</v>
      </c>
      <c r="B97" s="27" t="s">
        <v>146</v>
      </c>
      <c r="C97" s="27" t="s">
        <v>67</v>
      </c>
      <c r="D97" s="28">
        <v>46251</v>
      </c>
      <c r="E97" s="28">
        <v>46245.382851111113</v>
      </c>
      <c r="F97" s="28">
        <v>46249.352948148146</v>
      </c>
      <c r="G97" s="29" t="s">
        <v>360</v>
      </c>
      <c r="H97" s="29" t="s">
        <v>361</v>
      </c>
      <c r="I97" s="29" t="s">
        <v>107</v>
      </c>
      <c r="J97" s="29" t="s">
        <v>251</v>
      </c>
      <c r="K97" s="30" t="str">
        <f>IFERROR(LOOKUP(2,1/('Assignment History'!$B$5:$B$204=A97),'Assignment History'!$D$5:$D$204),IFERROR(VLOOKUP(J97,Configuration!$L$5:$M$50,2,FALSE),J97))</f>
        <v>raditya.nugraha@petronas.com</v>
      </c>
      <c r="L97" s="30" t="str">
        <f>IF(K97=IFERROR(VLOOKUP(J97,Configuration!$L$5:$M$50,2,FALSE),J97),"Snapshot PIC","Replacement PIC")</f>
        <v>Snapshot PIC</v>
      </c>
      <c r="M97" s="31">
        <f>IFERROR(VLOOKUP(I97,Configuration!$O$5:$P$8,2,FALSE),Configuration!$S$6)</f>
        <v>2</v>
      </c>
      <c r="N97" s="31" t="str">
        <f>IFERROR(LOOKUP(2,1/('Scope Review'!$B$5:$B$204=A97),'Scope Review'!$G$5:$G$204),"Not Reviewed")</f>
        <v>Not Reviewed</v>
      </c>
      <c r="O97" s="31" t="str">
        <f>IFERROR(LOOKUP(2,1/('Scope Review'!$B$5:$B$204=A97),'Scope Review'!$H$5:$H$204),"")</f>
        <v/>
      </c>
      <c r="P97" s="31">
        <f t="shared" si="4"/>
        <v>2</v>
      </c>
      <c r="Q97" s="32">
        <f>IFERROR(LOOKUP(2,1/('Engineer Updates'!$B$5:$B$304=A97),'Engineer Updates'!$A$5:$A$304),"")</f>
        <v>46251</v>
      </c>
      <c r="R97" s="30" t="str">
        <f>IFERROR(LOOKUP(2,1/('Engineer Updates'!$B$5:$B$304=A97),'Engineer Updates'!$E$5:$E$304),"")</f>
        <v>Not Started</v>
      </c>
      <c r="S97" s="30">
        <f>IFERROR(LOOKUP(2,1/('Engineer Updates'!$B$5:$B$304=A97),'Engineer Updates'!$D$5:$D$304),"")</f>
        <v>0</v>
      </c>
      <c r="T97" s="30">
        <f>IFERROR(LOOKUP(2,1/('Engineer Updates'!$B$5:$B$304=A97),'Engineer Updates'!$F$5:$F$304),"")</f>
        <v>0</v>
      </c>
      <c r="U97" s="30">
        <f>IFERROR(LOOKUP(2,1/('Engineer Updates'!$B$5:$B$304=A97),'Engineer Updates'!$G$5:$G$304),"")</f>
        <v>0</v>
      </c>
      <c r="V97" s="30">
        <f>IFERROR(LOOKUP(2,1/('Engineer Updates'!$B$5:$B$304=A97),'Engineer Updates'!$H$5:$H$304),"")</f>
        <v>0</v>
      </c>
      <c r="W97" s="33">
        <f>IFERROR(LOOKUP(2,1/('Engineer Updates'!$B$5:$B$304=A97),'Engineer Updates'!$I$5:$I$304),"")</f>
        <v>0</v>
      </c>
      <c r="X97" s="34" t="str">
        <f t="shared" si="5"/>
        <v/>
      </c>
      <c r="Y97" s="27" t="s">
        <v>149</v>
      </c>
    </row>
    <row r="98" spans="1:25">
      <c r="A98" s="27" t="s">
        <v>362</v>
      </c>
      <c r="B98" s="27" t="s">
        <v>146</v>
      </c>
      <c r="C98" s="27" t="s">
        <v>67</v>
      </c>
      <c r="D98" s="28">
        <v>46251</v>
      </c>
      <c r="E98" s="28">
        <v>46217.442103761576</v>
      </c>
      <c r="F98" s="28">
        <v>46233.103235925926</v>
      </c>
      <c r="G98" s="29" t="s">
        <v>363</v>
      </c>
      <c r="H98" s="29" t="s">
        <v>364</v>
      </c>
      <c r="I98" s="29" t="s">
        <v>125</v>
      </c>
      <c r="J98" s="29" t="s">
        <v>295</v>
      </c>
      <c r="K98" s="30" t="str">
        <f>IFERROR(LOOKUP(2,1/('Assignment History'!$B$5:$B$204=A98),'Assignment History'!$D$5:$D$204),IFERROR(VLOOKUP(J98,Configuration!$L$5:$M$50,2,FALSE),J98))</f>
        <v>venkatesh.kalikivayi@petronas.com</v>
      </c>
      <c r="L98" s="30" t="str">
        <f>IF(K98=IFERROR(VLOOKUP(J98,Configuration!$L$5:$M$50,2,FALSE),J98),"Snapshot PIC","Replacement PIC")</f>
        <v>Snapshot PIC</v>
      </c>
      <c r="M98" s="31">
        <f>IFERROR(VLOOKUP(I98,Configuration!$O$5:$P$8,2,FALSE),Configuration!$S$6)</f>
        <v>3</v>
      </c>
      <c r="N98" s="31" t="str">
        <f>IFERROR(LOOKUP(2,1/('Scope Review'!$B$5:$B$204=A98),'Scope Review'!$G$5:$G$204),"Not Reviewed")</f>
        <v>Not Reviewed</v>
      </c>
      <c r="O98" s="31" t="str">
        <f>IFERROR(LOOKUP(2,1/('Scope Review'!$B$5:$B$204=A98),'Scope Review'!$H$5:$H$204),"")</f>
        <v/>
      </c>
      <c r="P98" s="31">
        <f t="shared" si="4"/>
        <v>3</v>
      </c>
      <c r="Q98" s="32">
        <f>IFERROR(LOOKUP(2,1/('Engineer Updates'!$B$5:$B$304=A98),'Engineer Updates'!$A$5:$A$304),"")</f>
        <v>46251</v>
      </c>
      <c r="R98" s="30" t="str">
        <f>IFERROR(LOOKUP(2,1/('Engineer Updates'!$B$5:$B$304=A98),'Engineer Updates'!$E$5:$E$304),"")</f>
        <v>Not Started</v>
      </c>
      <c r="S98" s="30">
        <f>IFERROR(LOOKUP(2,1/('Engineer Updates'!$B$5:$B$304=A98),'Engineer Updates'!$D$5:$D$304),"")</f>
        <v>0</v>
      </c>
      <c r="T98" s="30">
        <f>IFERROR(LOOKUP(2,1/('Engineer Updates'!$B$5:$B$304=A98),'Engineer Updates'!$F$5:$F$304),"")</f>
        <v>0</v>
      </c>
      <c r="U98" s="30">
        <f>IFERROR(LOOKUP(2,1/('Engineer Updates'!$B$5:$B$304=A98),'Engineer Updates'!$G$5:$G$304),"")</f>
        <v>0</v>
      </c>
      <c r="V98" s="30">
        <f>IFERROR(LOOKUP(2,1/('Engineer Updates'!$B$5:$B$304=A98),'Engineer Updates'!$H$5:$H$304),"")</f>
        <v>0</v>
      </c>
      <c r="W98" s="33">
        <f>IFERROR(LOOKUP(2,1/('Engineer Updates'!$B$5:$B$304=A98),'Engineer Updates'!$I$5:$I$304),"")</f>
        <v>0</v>
      </c>
      <c r="X98" s="34" t="str">
        <f t="shared" si="5"/>
        <v/>
      </c>
      <c r="Y98" s="27" t="s">
        <v>149</v>
      </c>
    </row>
    <row r="99" spans="1:25" ht="28.8">
      <c r="A99" s="27" t="s">
        <v>365</v>
      </c>
      <c r="B99" s="27" t="s">
        <v>146</v>
      </c>
      <c r="C99" s="27" t="s">
        <v>67</v>
      </c>
      <c r="D99" s="28">
        <v>46251</v>
      </c>
      <c r="E99" s="28">
        <v>46233.074819097223</v>
      </c>
      <c r="F99" s="28">
        <v>46233.100357083335</v>
      </c>
      <c r="G99" s="29" t="s">
        <v>354</v>
      </c>
      <c r="H99" s="29" t="s">
        <v>355</v>
      </c>
      <c r="I99" s="29" t="s">
        <v>125</v>
      </c>
      <c r="J99" s="29" t="s">
        <v>295</v>
      </c>
      <c r="K99" s="30" t="str">
        <f>IFERROR(LOOKUP(2,1/('Assignment History'!$B$5:$B$204=A99),'Assignment History'!$D$5:$D$204),IFERROR(VLOOKUP(J99,Configuration!$L$5:$M$50,2,FALSE),J99))</f>
        <v>venkatesh.kalikivayi@petronas.com</v>
      </c>
      <c r="L99" s="30" t="str">
        <f>IF(K99=IFERROR(VLOOKUP(J99,Configuration!$L$5:$M$50,2,FALSE),J99),"Snapshot PIC","Replacement PIC")</f>
        <v>Snapshot PIC</v>
      </c>
      <c r="M99" s="31">
        <f>IFERROR(VLOOKUP(I99,Configuration!$O$5:$P$8,2,FALSE),Configuration!$S$6)</f>
        <v>3</v>
      </c>
      <c r="N99" s="31" t="str">
        <f>IFERROR(LOOKUP(2,1/('Scope Review'!$B$5:$B$204=A99),'Scope Review'!$G$5:$G$204),"Not Reviewed")</f>
        <v>Not Reviewed</v>
      </c>
      <c r="O99" s="31" t="str">
        <f>IFERROR(LOOKUP(2,1/('Scope Review'!$B$5:$B$204=A99),'Scope Review'!$H$5:$H$204),"")</f>
        <v/>
      </c>
      <c r="P99" s="31">
        <f t="shared" si="4"/>
        <v>3</v>
      </c>
      <c r="Q99" s="32">
        <f>IFERROR(LOOKUP(2,1/('Engineer Updates'!$B$5:$B$304=A99),'Engineer Updates'!$A$5:$A$304),"")</f>
        <v>46251</v>
      </c>
      <c r="R99" s="30" t="str">
        <f>IFERROR(LOOKUP(2,1/('Engineer Updates'!$B$5:$B$304=A99),'Engineer Updates'!$E$5:$E$304),"")</f>
        <v>Not Started</v>
      </c>
      <c r="S99" s="30">
        <f>IFERROR(LOOKUP(2,1/('Engineer Updates'!$B$5:$B$304=A99),'Engineer Updates'!$D$5:$D$304),"")</f>
        <v>0</v>
      </c>
      <c r="T99" s="30">
        <f>IFERROR(LOOKUP(2,1/('Engineer Updates'!$B$5:$B$304=A99),'Engineer Updates'!$F$5:$F$304),"")</f>
        <v>0</v>
      </c>
      <c r="U99" s="30">
        <f>IFERROR(LOOKUP(2,1/('Engineer Updates'!$B$5:$B$304=A99),'Engineer Updates'!$G$5:$G$304),"")</f>
        <v>0</v>
      </c>
      <c r="V99" s="30">
        <f>IFERROR(LOOKUP(2,1/('Engineer Updates'!$B$5:$B$304=A99),'Engineer Updates'!$H$5:$H$304),"")</f>
        <v>0</v>
      </c>
      <c r="W99" s="33">
        <f>IFERROR(LOOKUP(2,1/('Engineer Updates'!$B$5:$B$304=A99),'Engineer Updates'!$I$5:$I$304),"")</f>
        <v>0</v>
      </c>
      <c r="X99" s="34" t="str">
        <f t="shared" si="5"/>
        <v/>
      </c>
      <c r="Y99" s="27" t="s">
        <v>149</v>
      </c>
    </row>
    <row r="100" spans="1:25" ht="43.2">
      <c r="A100" s="27" t="s">
        <v>366</v>
      </c>
      <c r="B100" s="27" t="s">
        <v>146</v>
      </c>
      <c r="C100" s="27" t="s">
        <v>67</v>
      </c>
      <c r="D100" s="28">
        <v>46251</v>
      </c>
      <c r="E100" s="28">
        <v>46225.100457233799</v>
      </c>
      <c r="F100" s="28">
        <v>46233.103644826391</v>
      </c>
      <c r="G100" s="29" t="s">
        <v>367</v>
      </c>
      <c r="H100" s="29" t="s">
        <v>368</v>
      </c>
      <c r="I100" s="29" t="s">
        <v>107</v>
      </c>
      <c r="J100" s="29" t="s">
        <v>295</v>
      </c>
      <c r="K100" s="30" t="str">
        <f>IFERROR(LOOKUP(2,1/('Assignment History'!$B$5:$B$204=A100),'Assignment History'!$D$5:$D$204),IFERROR(VLOOKUP(J100,Configuration!$L$5:$M$50,2,FALSE),J100))</f>
        <v>venkatesh.kalikivayi@petronas.com</v>
      </c>
      <c r="L100" s="30" t="str">
        <f>IF(K100=IFERROR(VLOOKUP(J100,Configuration!$L$5:$M$50,2,FALSE),J100),"Snapshot PIC","Replacement PIC")</f>
        <v>Snapshot PIC</v>
      </c>
      <c r="M100" s="31">
        <f>IFERROR(VLOOKUP(I100,Configuration!$O$5:$P$8,2,FALSE),Configuration!$S$6)</f>
        <v>2</v>
      </c>
      <c r="N100" s="31" t="str">
        <f>IFERROR(LOOKUP(2,1/('Scope Review'!$B$5:$B$204=A100),'Scope Review'!$G$5:$G$204),"Not Reviewed")</f>
        <v>Not Reviewed</v>
      </c>
      <c r="O100" s="31" t="str">
        <f>IFERROR(LOOKUP(2,1/('Scope Review'!$B$5:$B$204=A100),'Scope Review'!$H$5:$H$204),"")</f>
        <v/>
      </c>
      <c r="P100" s="31">
        <f t="shared" si="4"/>
        <v>2</v>
      </c>
      <c r="Q100" s="32">
        <f>IFERROR(LOOKUP(2,1/('Engineer Updates'!$B$5:$B$304=A100),'Engineer Updates'!$A$5:$A$304),"")</f>
        <v>46251</v>
      </c>
      <c r="R100" s="30" t="str">
        <f>IFERROR(LOOKUP(2,1/('Engineer Updates'!$B$5:$B$304=A100),'Engineer Updates'!$E$5:$E$304),"")</f>
        <v>Not Started</v>
      </c>
      <c r="S100" s="30">
        <f>IFERROR(LOOKUP(2,1/('Engineer Updates'!$B$5:$B$304=A100),'Engineer Updates'!$D$5:$D$304),"")</f>
        <v>0</v>
      </c>
      <c r="T100" s="30">
        <f>IFERROR(LOOKUP(2,1/('Engineer Updates'!$B$5:$B$304=A100),'Engineer Updates'!$F$5:$F$304),"")</f>
        <v>0</v>
      </c>
      <c r="U100" s="30">
        <f>IFERROR(LOOKUP(2,1/('Engineer Updates'!$B$5:$B$304=A100),'Engineer Updates'!$G$5:$G$304),"")</f>
        <v>0</v>
      </c>
      <c r="V100" s="30">
        <f>IFERROR(LOOKUP(2,1/('Engineer Updates'!$B$5:$B$304=A100),'Engineer Updates'!$H$5:$H$304),"")</f>
        <v>0</v>
      </c>
      <c r="W100" s="33">
        <f>IFERROR(LOOKUP(2,1/('Engineer Updates'!$B$5:$B$304=A100),'Engineer Updates'!$I$5:$I$304),"")</f>
        <v>0</v>
      </c>
      <c r="X100" s="34" t="str">
        <f t="shared" si="5"/>
        <v/>
      </c>
      <c r="Y100" s="27" t="s">
        <v>149</v>
      </c>
    </row>
  </sheetData>
  <mergeCells count="2">
    <mergeCell ref="A1:Y1"/>
    <mergeCell ref="A2:Y2"/>
  </mergeCells>
  <conditionalFormatting sqref="C5:C100">
    <cfRule type="containsText" dxfId="13" priority="1" operator="containsText" text="processing"/>
    <cfRule type="containsText" dxfId="12" priority="2" operator="containsText" text="executing"/>
  </conditionalFormatting>
  <conditionalFormatting sqref="X5:X100">
    <cfRule type="notContainsBlanks" dxfId="11" priority="3"/>
  </conditionalFormatting>
  <pageMargins left="0.7" right="0.7" top="0.75" bottom="0.75" header="0.3" footer="0.3"/>
  <drawing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04"/>
  <sheetViews>
    <sheetView showGridLines="0" workbookViewId="0">
      <pane ySplit="4" topLeftCell="A35" activePane="bottomLeft" state="frozen"/>
      <selection pane="bottomLeft" activeCell="C44" sqref="C44"/>
    </sheetView>
  </sheetViews>
  <sheetFormatPr defaultColWidth="9" defaultRowHeight="14.4"/>
  <cols>
    <col min="1" max="1" width="15" style="1" customWidth="1"/>
    <col min="2" max="2" width="18" style="1" customWidth="1"/>
    <col min="3" max="3" width="15" style="1" customWidth="1"/>
    <col min="4" max="5" width="34" style="1" customWidth="1"/>
    <col min="6" max="6" width="18" style="1" customWidth="1"/>
    <col min="7" max="7" width="34" style="1" customWidth="1"/>
    <col min="8" max="8" width="24" style="1" customWidth="1"/>
    <col min="9" max="9" width="30" style="1" customWidth="1"/>
    <col min="10" max="10" width="20" style="1" customWidth="1"/>
    <col min="11" max="11" width="27" style="1" customWidth="1"/>
    <col min="12" max="12" width="20" style="1" customWidth="1"/>
    <col min="13" max="13" width="42" style="1" customWidth="1"/>
    <col min="14" max="14" width="40" style="1" customWidth="1"/>
    <col min="15" max="15" width="16" style="1" customWidth="1"/>
    <col min="16" max="16" width="40" style="1" customWidth="1"/>
    <col min="17" max="16384" width="9" style="1"/>
  </cols>
  <sheetData>
    <row r="1" spans="1:16" ht="30" customHeight="1">
      <c r="A1" s="51" t="s">
        <v>369</v>
      </c>
      <c r="B1" s="51"/>
      <c r="C1" s="51"/>
      <c r="D1" s="51"/>
      <c r="E1" s="51"/>
      <c r="F1" s="51"/>
      <c r="G1" s="51"/>
      <c r="H1" s="51"/>
      <c r="I1" s="51"/>
      <c r="J1" s="51"/>
      <c r="K1" s="51"/>
      <c r="L1" s="51"/>
      <c r="M1" s="51"/>
      <c r="N1" s="51"/>
      <c r="O1" s="51"/>
      <c r="P1" s="51"/>
    </row>
    <row r="2" spans="1:16" ht="24" customHeight="1">
      <c r="A2" s="52" t="s">
        <v>370</v>
      </c>
      <c r="B2" s="52"/>
      <c r="C2" s="52"/>
      <c r="D2" s="52"/>
      <c r="E2" s="52"/>
      <c r="F2" s="52"/>
      <c r="G2" s="52"/>
      <c r="H2" s="52"/>
      <c r="I2" s="52"/>
      <c r="J2" s="52"/>
      <c r="K2" s="52"/>
      <c r="L2" s="52"/>
      <c r="M2" s="52"/>
      <c r="N2" s="52"/>
      <c r="O2" s="52"/>
      <c r="P2" s="52"/>
    </row>
    <row r="4" spans="1:16" ht="32.1" customHeight="1">
      <c r="A4" s="2" t="s">
        <v>371</v>
      </c>
      <c r="B4" s="3" t="s">
        <v>79</v>
      </c>
      <c r="C4" s="3" t="s">
        <v>372</v>
      </c>
      <c r="D4" s="3" t="s">
        <v>38</v>
      </c>
      <c r="E4" s="3" t="s">
        <v>373</v>
      </c>
      <c r="F4" s="3" t="s">
        <v>374</v>
      </c>
      <c r="G4" s="3" t="s">
        <v>375</v>
      </c>
      <c r="H4" s="3" t="s">
        <v>376</v>
      </c>
      <c r="I4" s="3" t="s">
        <v>377</v>
      </c>
      <c r="J4" s="3" t="s">
        <v>378</v>
      </c>
      <c r="K4" s="3" t="s">
        <v>379</v>
      </c>
      <c r="L4" s="3" t="s">
        <v>380</v>
      </c>
      <c r="M4" s="3" t="s">
        <v>381</v>
      </c>
      <c r="N4" s="3" t="s">
        <v>382</v>
      </c>
      <c r="O4" s="3" t="s">
        <v>383</v>
      </c>
      <c r="P4" s="4" t="s">
        <v>384</v>
      </c>
    </row>
    <row r="5" spans="1:16">
      <c r="A5" s="35">
        <v>46252</v>
      </c>
      <c r="B5" s="36" t="s">
        <v>229</v>
      </c>
      <c r="C5" s="37" t="str">
        <f>IF(B5="","",IFERROR(INDEX('Task Master'!$C$5:$C$100,MATCH(B5,'Task Master'!$A$5:$A$100,0)),""))</f>
        <v>executing</v>
      </c>
      <c r="D5" s="37" t="str">
        <f>IF(B5="","",IFERROR(INDEX('Task Master'!$J$5:$J$100,MATCH(B5,'Task Master'!$A$5:$A$100,0)),""))</f>
        <v>K.saktivelu@petronas.com</v>
      </c>
      <c r="E5" s="37" t="str">
        <f>IF(B5="","",IFERROR(INDEX('Task Master'!$K$5:$K$100,MATCH(B5,'Task Master'!$A$5:$A$100,0)),""))</f>
        <v>abdul.khoir@petronas.com</v>
      </c>
      <c r="F5" s="36" t="s">
        <v>5371</v>
      </c>
      <c r="G5" s="36" t="s">
        <v>437</v>
      </c>
      <c r="H5" s="36" t="s">
        <v>477</v>
      </c>
      <c r="I5" s="36" t="s">
        <v>5372</v>
      </c>
      <c r="J5" s="38">
        <v>46252</v>
      </c>
      <c r="K5" s="36" t="s">
        <v>470</v>
      </c>
      <c r="L5" s="38"/>
      <c r="M5" s="39"/>
      <c r="N5" s="39"/>
      <c r="O5" s="40" t="str">
        <f t="shared" ref="O5:O36" si="0">IF(OR(A5="",B5=""),"",IF(OR(K5="Achieved",K5="Out-of-Scope Confirmed"),"Yes","No"))</f>
        <v>No</v>
      </c>
      <c r="P5" s="39"/>
    </row>
    <row r="6" spans="1:16">
      <c r="A6" s="35">
        <v>46252</v>
      </c>
      <c r="B6" s="36" t="s">
        <v>294</v>
      </c>
      <c r="C6" s="37" t="str">
        <f>IF(B6="","",IFERROR(INDEX('Task Master'!$C$5:$C$100,MATCH(B6,'Task Master'!$A$5:$A$100,0)),""))</f>
        <v>executing</v>
      </c>
      <c r="D6" s="37" t="str">
        <f>IF(B6="","",IFERROR(INDEX('Task Master'!$J$5:$J$100,MATCH(B6,'Task Master'!$A$5:$A$100,0)),""))</f>
        <v>venkatesh.kalikivayi@petronas.com</v>
      </c>
      <c r="E6" s="37" t="str">
        <f>IF(B6="","",IFERROR(INDEX('Task Master'!$K$5:$K$100,MATCH(B6,'Task Master'!$A$5:$A$100,0)),""))</f>
        <v>abdul.khoir@petronas.com</v>
      </c>
      <c r="F6" s="36" t="s">
        <v>5371</v>
      </c>
      <c r="G6" s="36" t="s">
        <v>295</v>
      </c>
      <c r="H6" s="36" t="s">
        <v>477</v>
      </c>
      <c r="I6" s="36" t="s">
        <v>5372</v>
      </c>
      <c r="J6" s="38">
        <v>46252</v>
      </c>
      <c r="K6" s="36" t="s">
        <v>470</v>
      </c>
      <c r="L6" s="38"/>
      <c r="M6" s="39"/>
      <c r="N6" s="39"/>
      <c r="O6" s="40" t="str">
        <f t="shared" si="0"/>
        <v>No</v>
      </c>
      <c r="P6" s="39"/>
    </row>
    <row r="7" spans="1:16">
      <c r="A7" s="35">
        <v>46252</v>
      </c>
      <c r="B7" s="36" t="s">
        <v>231</v>
      </c>
      <c r="C7" s="37" t="str">
        <f>IF(B7="","",IFERROR(INDEX('Task Master'!$C$5:$C$100,MATCH(B7,'Task Master'!$A$5:$A$100,0)),""))</f>
        <v>executing</v>
      </c>
      <c r="D7" s="37" t="str">
        <f>IF(B7="","",IFERROR(INDEX('Task Master'!$J$5:$J$100,MATCH(B7,'Task Master'!$A$5:$A$100,0)),""))</f>
        <v>K.saktivelu@petronas.com</v>
      </c>
      <c r="E7" s="37" t="str">
        <f>IF(B7="","",IFERROR(INDEX('Task Master'!$K$5:$K$100,MATCH(B7,'Task Master'!$A$5:$A$100,0)),""))</f>
        <v>mardiansyah.rayasa@petronas.com</v>
      </c>
      <c r="F7" s="36" t="s">
        <v>5371</v>
      </c>
      <c r="G7" s="36" t="s">
        <v>437</v>
      </c>
      <c r="H7" s="36" t="s">
        <v>477</v>
      </c>
      <c r="I7" s="36" t="s">
        <v>5372</v>
      </c>
      <c r="J7" s="38">
        <v>46252</v>
      </c>
      <c r="K7" s="36" t="s">
        <v>470</v>
      </c>
      <c r="L7" s="38"/>
      <c r="M7" s="39"/>
      <c r="N7" s="39"/>
      <c r="O7" s="40" t="str">
        <f t="shared" si="0"/>
        <v>No</v>
      </c>
      <c r="P7" s="39"/>
    </row>
    <row r="8" spans="1:16">
      <c r="A8" s="35">
        <v>46252</v>
      </c>
      <c r="B8" s="36" t="s">
        <v>159</v>
      </c>
      <c r="C8" s="37" t="str">
        <f>IF(B8="","",IFERROR(INDEX('Task Master'!$C$5:$C$100,MATCH(B8,'Task Master'!$A$5:$A$100,0)),""))</f>
        <v>executing</v>
      </c>
      <c r="D8" s="37" t="str">
        <f>IF(B8="","",IFERROR(INDEX('Task Master'!$J$5:$J$100,MATCH(B8,'Task Master'!$A$5:$A$100,0)),""))</f>
        <v>abhishek.bhowate@petronas.com</v>
      </c>
      <c r="E8" s="37" t="str">
        <f>IF(B8="","",IFERROR(INDEX('Task Master'!$K$5:$K$100,MATCH(B8,'Task Master'!$A$5:$A$100,0)),""))</f>
        <v>abdul.khoir@petronas.com</v>
      </c>
      <c r="F8" s="36" t="s">
        <v>5371</v>
      </c>
      <c r="G8" s="36" t="s">
        <v>162</v>
      </c>
      <c r="H8" s="36" t="s">
        <v>477</v>
      </c>
      <c r="I8" s="36" t="s">
        <v>5372</v>
      </c>
      <c r="J8" s="38">
        <v>46252</v>
      </c>
      <c r="K8" s="36" t="s">
        <v>470</v>
      </c>
      <c r="L8" s="38"/>
      <c r="M8" s="39"/>
      <c r="N8" s="39"/>
      <c r="O8" s="40" t="str">
        <f t="shared" si="0"/>
        <v>No</v>
      </c>
      <c r="P8" s="39"/>
    </row>
    <row r="9" spans="1:16">
      <c r="A9" s="35">
        <v>46252</v>
      </c>
      <c r="B9" s="36" t="s">
        <v>246</v>
      </c>
      <c r="C9" s="37" t="str">
        <f>IF(B9="","",IFERROR(INDEX('Task Master'!$C$5:$C$100,MATCH(B9,'Task Master'!$A$5:$A$100,0)),""))</f>
        <v>executing</v>
      </c>
      <c r="D9" s="37" t="str">
        <f>IF(B9="","",IFERROR(INDEX('Task Master'!$J$5:$J$100,MATCH(B9,'Task Master'!$A$5:$A$100,0)),""))</f>
        <v>nilesh.sankpal@petronas.com</v>
      </c>
      <c r="E9" s="37" t="str">
        <f>IF(B9="","",IFERROR(INDEX('Task Master'!$K$5:$K$100,MATCH(B9,'Task Master'!$A$5:$A$100,0)),""))</f>
        <v>abdul.khoir@petronas.com</v>
      </c>
      <c r="F9" s="36" t="s">
        <v>5371</v>
      </c>
      <c r="G9" s="36" t="s">
        <v>249</v>
      </c>
      <c r="H9" s="36" t="s">
        <v>477</v>
      </c>
      <c r="I9" s="36" t="s">
        <v>5372</v>
      </c>
      <c r="J9" s="38">
        <v>46252</v>
      </c>
      <c r="K9" s="36" t="s">
        <v>470</v>
      </c>
      <c r="L9" s="38"/>
      <c r="M9" s="39"/>
      <c r="N9" s="39"/>
      <c r="O9" s="40" t="str">
        <f t="shared" si="0"/>
        <v>No</v>
      </c>
      <c r="P9" s="39"/>
    </row>
    <row r="10" spans="1:16">
      <c r="A10" s="35">
        <v>46255</v>
      </c>
      <c r="B10" s="36" t="s">
        <v>215</v>
      </c>
      <c r="C10" s="37" t="str">
        <f>IF(B10="","",IFERROR(INDEX('Task Master'!$C$5:$C$100,MATCH(B10,'Task Master'!$A$5:$A$100,0)),""))</f>
        <v>executing</v>
      </c>
      <c r="D10" s="37" t="str">
        <f>IF(B10="","",IFERROR(INDEX('Task Master'!$J$5:$J$100,MATCH(B10,'Task Master'!$A$5:$A$100,0)),""))</f>
        <v>amarja.kawde@petronas.com</v>
      </c>
      <c r="E10" s="37" t="str">
        <f>IF(B10="","",IFERROR(INDEX('Task Master'!$K$5:$K$100,MATCH(B10,'Task Master'!$A$5:$A$100,0)),""))</f>
        <v>amarja.kawade@petronas.com</v>
      </c>
      <c r="F10" s="36" t="s">
        <v>5373</v>
      </c>
      <c r="G10" s="36" t="s">
        <v>168</v>
      </c>
      <c r="H10" s="36" t="s">
        <v>467</v>
      </c>
      <c r="I10" s="36" t="s">
        <v>5372</v>
      </c>
      <c r="J10" s="38">
        <v>46252</v>
      </c>
      <c r="K10" s="36" t="s">
        <v>470</v>
      </c>
      <c r="L10" s="38"/>
      <c r="M10" s="39"/>
      <c r="N10" s="39"/>
      <c r="O10" s="40" t="str">
        <f t="shared" si="0"/>
        <v>No</v>
      </c>
      <c r="P10" s="39"/>
    </row>
    <row r="11" spans="1:16">
      <c r="A11" s="35">
        <v>46255</v>
      </c>
      <c r="B11" s="36" t="s">
        <v>172</v>
      </c>
      <c r="C11" s="37" t="str">
        <f>IF(B11="","",IFERROR(INDEX('Task Master'!$C$5:$C$100,MATCH(B11,'Task Master'!$A$5:$A$100,0)),""))</f>
        <v>executing</v>
      </c>
      <c r="D11" s="37" t="str">
        <f>IF(B11="","",IFERROR(INDEX('Task Master'!$J$5:$J$100,MATCH(B11,'Task Master'!$A$5:$A$100,0)),""))</f>
        <v>amarja.kawade@petronas.com</v>
      </c>
      <c r="E11" s="37" t="str">
        <f>IF(B11="","",IFERROR(INDEX('Task Master'!$K$5:$K$100,MATCH(B11,'Task Master'!$A$5:$A$100,0)),""))</f>
        <v>amarja.kawade@petronas.com</v>
      </c>
      <c r="F11" s="36" t="s">
        <v>5373</v>
      </c>
      <c r="G11" s="36" t="s">
        <v>168</v>
      </c>
      <c r="H11" s="36" t="s">
        <v>467</v>
      </c>
      <c r="I11" s="36" t="s">
        <v>5372</v>
      </c>
      <c r="J11" s="38">
        <v>46252</v>
      </c>
      <c r="K11" s="36" t="s">
        <v>470</v>
      </c>
      <c r="L11" s="38"/>
      <c r="M11" s="39"/>
      <c r="N11" s="39"/>
      <c r="O11" s="40" t="str">
        <f t="shared" si="0"/>
        <v>No</v>
      </c>
      <c r="P11" s="39"/>
    </row>
    <row r="12" spans="1:16">
      <c r="A12" s="35">
        <v>46255</v>
      </c>
      <c r="B12" s="36" t="s">
        <v>187</v>
      </c>
      <c r="C12" s="37" t="str">
        <f>IF(B12="","",IFERROR(INDEX('Task Master'!$C$5:$C$100,MATCH(B12,'Task Master'!$A$5:$A$100,0)),""))</f>
        <v>executing</v>
      </c>
      <c r="D12" s="37" t="str">
        <f>IF(B12="","",IFERROR(INDEX('Task Master'!$J$5:$J$100,MATCH(B12,'Task Master'!$A$5:$A$100,0)),""))</f>
        <v>amarja.kawade@petronas.com</v>
      </c>
      <c r="E12" s="37" t="str">
        <f>IF(B12="","",IFERROR(INDEX('Task Master'!$K$5:$K$100,MATCH(B12,'Task Master'!$A$5:$A$100,0)),""))</f>
        <v>amarja.kawade@petronas.com</v>
      </c>
      <c r="F12" s="36" t="s">
        <v>5373</v>
      </c>
      <c r="G12" s="36" t="s">
        <v>168</v>
      </c>
      <c r="H12" s="36" t="s">
        <v>467</v>
      </c>
      <c r="I12" s="36" t="s">
        <v>5372</v>
      </c>
      <c r="J12" s="38">
        <v>46252</v>
      </c>
      <c r="K12" s="36" t="s">
        <v>470</v>
      </c>
      <c r="L12" s="38"/>
      <c r="M12" s="39"/>
      <c r="N12" s="39"/>
      <c r="O12" s="40" t="str">
        <f t="shared" si="0"/>
        <v>No</v>
      </c>
      <c r="P12" s="39"/>
    </row>
    <row r="13" spans="1:16">
      <c r="A13" s="35">
        <v>46255</v>
      </c>
      <c r="B13" s="36" t="s">
        <v>221</v>
      </c>
      <c r="C13" s="37" t="str">
        <f>IF(B13="","",IFERROR(INDEX('Task Master'!$C$5:$C$100,MATCH(B13,'Task Master'!$A$5:$A$100,0)),""))</f>
        <v>executing</v>
      </c>
      <c r="D13" s="37" t="str">
        <f>IF(B13="","",IFERROR(INDEX('Task Master'!$J$5:$J$100,MATCH(B13,'Task Master'!$A$5:$A$100,0)),""))</f>
        <v>amarja.kawde@petronas.com</v>
      </c>
      <c r="E13" s="37" t="str">
        <f>IF(B13="","",IFERROR(INDEX('Task Master'!$K$5:$K$100,MATCH(B13,'Task Master'!$A$5:$A$100,0)),""))</f>
        <v>amarja.kawade@petronas.com</v>
      </c>
      <c r="F13" s="36" t="s">
        <v>5373</v>
      </c>
      <c r="G13" s="36" t="s">
        <v>168</v>
      </c>
      <c r="H13" s="36" t="s">
        <v>467</v>
      </c>
      <c r="I13" s="36" t="s">
        <v>5372</v>
      </c>
      <c r="J13" s="38">
        <v>46252</v>
      </c>
      <c r="K13" s="36" t="s">
        <v>470</v>
      </c>
      <c r="L13" s="38"/>
      <c r="M13" s="39"/>
      <c r="N13" s="39"/>
      <c r="O13" s="40" t="str">
        <f t="shared" si="0"/>
        <v>No</v>
      </c>
      <c r="P13" s="39"/>
    </row>
    <row r="14" spans="1:16">
      <c r="A14" s="35">
        <v>46255</v>
      </c>
      <c r="B14" s="36" t="s">
        <v>211</v>
      </c>
      <c r="C14" s="37" t="str">
        <f>IF(B14="","",IFERROR(INDEX('Task Master'!$C$5:$C$100,MATCH(B14,'Task Master'!$A$5:$A$100,0)),""))</f>
        <v>executing</v>
      </c>
      <c r="D14" s="37" t="str">
        <f>IF(B14="","",IFERROR(INDEX('Task Master'!$J$5:$J$100,MATCH(B14,'Task Master'!$A$5:$A$100,0)),""))</f>
        <v>amarja.kawde@petronas.com</v>
      </c>
      <c r="E14" s="37" t="str">
        <f>IF(B14="","",IFERROR(INDEX('Task Master'!$K$5:$K$100,MATCH(B14,'Task Master'!$A$5:$A$100,0)),""))</f>
        <v>amarja.kawade@petronas.com</v>
      </c>
      <c r="F14" s="36" t="s">
        <v>5373</v>
      </c>
      <c r="G14" s="36" t="s">
        <v>168</v>
      </c>
      <c r="H14" s="36" t="s">
        <v>467</v>
      </c>
      <c r="I14" s="36" t="s">
        <v>5372</v>
      </c>
      <c r="J14" s="38">
        <v>46252</v>
      </c>
      <c r="K14" s="36" t="s">
        <v>470</v>
      </c>
      <c r="L14" s="38"/>
      <c r="M14" s="39"/>
      <c r="N14" s="39"/>
      <c r="O14" s="40" t="str">
        <f t="shared" si="0"/>
        <v>No</v>
      </c>
      <c r="P14" s="39"/>
    </row>
    <row r="15" spans="1:16">
      <c r="A15" s="35">
        <v>46255</v>
      </c>
      <c r="B15" s="36" t="s">
        <v>218</v>
      </c>
      <c r="C15" s="37" t="str">
        <f>IF(B15="","",IFERROR(INDEX('Task Master'!$C$5:$C$100,MATCH(B15,'Task Master'!$A$5:$A$100,0)),""))</f>
        <v>executing</v>
      </c>
      <c r="D15" s="37" t="str">
        <f>IF(B15="","",IFERROR(INDEX('Task Master'!$J$5:$J$100,MATCH(B15,'Task Master'!$A$5:$A$100,0)),""))</f>
        <v>amarja.kawde@petronas.com</v>
      </c>
      <c r="E15" s="37" t="str">
        <f>IF(B15="","",IFERROR(INDEX('Task Master'!$K$5:$K$100,MATCH(B15,'Task Master'!$A$5:$A$100,0)),""))</f>
        <v>amarja.kawade@petronas.com</v>
      </c>
      <c r="F15" s="36" t="s">
        <v>5373</v>
      </c>
      <c r="G15" s="36" t="s">
        <v>168</v>
      </c>
      <c r="H15" s="36" t="s">
        <v>467</v>
      </c>
      <c r="I15" s="36" t="s">
        <v>5372</v>
      </c>
      <c r="J15" s="38">
        <v>46252</v>
      </c>
      <c r="K15" s="36" t="s">
        <v>470</v>
      </c>
      <c r="L15" s="38"/>
      <c r="M15" s="39"/>
      <c r="N15" s="39"/>
      <c r="O15" s="40" t="str">
        <f t="shared" si="0"/>
        <v>No</v>
      </c>
      <c r="P15" s="39"/>
    </row>
    <row r="16" spans="1:16">
      <c r="A16" s="35">
        <v>46255</v>
      </c>
      <c r="B16" s="36" t="s">
        <v>195</v>
      </c>
      <c r="C16" s="37" t="str">
        <f>IF(B16="","",IFERROR(INDEX('Task Master'!$C$5:$C$100,MATCH(B16,'Task Master'!$A$5:$A$100,0)),""))</f>
        <v>executing</v>
      </c>
      <c r="D16" s="37" t="str">
        <f>IF(B16="","",IFERROR(INDEX('Task Master'!$J$5:$J$100,MATCH(B16,'Task Master'!$A$5:$A$100,0)),""))</f>
        <v>amarja.kawade@petronas.com</v>
      </c>
      <c r="E16" s="37" t="str">
        <f>IF(B16="","",IFERROR(INDEX('Task Master'!$K$5:$K$100,MATCH(B16,'Task Master'!$A$5:$A$100,0)),""))</f>
        <v>amarja.kawade@petronas.com</v>
      </c>
      <c r="F16" s="36" t="s">
        <v>5373</v>
      </c>
      <c r="G16" s="36" t="s">
        <v>168</v>
      </c>
      <c r="H16" s="36" t="s">
        <v>467</v>
      </c>
      <c r="I16" s="36" t="s">
        <v>5372</v>
      </c>
      <c r="J16" s="38">
        <v>46252</v>
      </c>
      <c r="K16" s="36" t="s">
        <v>470</v>
      </c>
      <c r="L16" s="38"/>
      <c r="M16" s="39"/>
      <c r="N16" s="39"/>
      <c r="O16" s="40" t="str">
        <f t="shared" si="0"/>
        <v>No</v>
      </c>
      <c r="P16" s="39"/>
    </row>
    <row r="17" spans="1:16">
      <c r="A17" s="35">
        <v>46255</v>
      </c>
      <c r="B17" s="36" t="s">
        <v>169</v>
      </c>
      <c r="C17" s="37" t="str">
        <f>IF(B17="","",IFERROR(INDEX('Task Master'!$C$5:$C$100,MATCH(B17,'Task Master'!$A$5:$A$100,0)),""))</f>
        <v>executing</v>
      </c>
      <c r="D17" s="37" t="str">
        <f>IF(B17="","",IFERROR(INDEX('Task Master'!$J$5:$J$100,MATCH(B17,'Task Master'!$A$5:$A$100,0)),""))</f>
        <v>amarja.kawade@petronas.com</v>
      </c>
      <c r="E17" s="37" t="str">
        <f>IF(B17="","",IFERROR(INDEX('Task Master'!$K$5:$K$100,MATCH(B17,'Task Master'!$A$5:$A$100,0)),""))</f>
        <v>amarja.kawade@petronas.com</v>
      </c>
      <c r="F17" s="36" t="s">
        <v>5373</v>
      </c>
      <c r="G17" s="36" t="s">
        <v>168</v>
      </c>
      <c r="H17" s="36" t="s">
        <v>467</v>
      </c>
      <c r="I17" s="36" t="s">
        <v>5372</v>
      </c>
      <c r="J17" s="38">
        <v>46252</v>
      </c>
      <c r="K17" s="36" t="s">
        <v>470</v>
      </c>
      <c r="L17" s="38"/>
      <c r="M17" s="39"/>
      <c r="N17" s="39"/>
      <c r="O17" s="40" t="str">
        <f t="shared" si="0"/>
        <v>No</v>
      </c>
      <c r="P17" s="39"/>
    </row>
    <row r="18" spans="1:16">
      <c r="A18" s="35">
        <v>46255</v>
      </c>
      <c r="B18" s="36" t="s">
        <v>208</v>
      </c>
      <c r="C18" s="37" t="str">
        <f>IF(B18="","",IFERROR(INDEX('Task Master'!$C$5:$C$100,MATCH(B18,'Task Master'!$A$5:$A$100,0)),""))</f>
        <v>executing</v>
      </c>
      <c r="D18" s="37" t="str">
        <f>IF(B18="","",IFERROR(INDEX('Task Master'!$J$5:$J$100,MATCH(B18,'Task Master'!$A$5:$A$100,0)),""))</f>
        <v>amarja.kawade@petronas.com</v>
      </c>
      <c r="E18" s="37" t="str">
        <f>IF(B18="","",IFERROR(INDEX('Task Master'!$K$5:$K$100,MATCH(B18,'Task Master'!$A$5:$A$100,0)),""))</f>
        <v>amarja.kawade@petronas.com</v>
      </c>
      <c r="F18" s="36" t="s">
        <v>5373</v>
      </c>
      <c r="G18" s="36" t="s">
        <v>168</v>
      </c>
      <c r="H18" s="36" t="s">
        <v>467</v>
      </c>
      <c r="I18" s="36" t="s">
        <v>5372</v>
      </c>
      <c r="J18" s="38">
        <v>46252</v>
      </c>
      <c r="K18" s="36" t="s">
        <v>470</v>
      </c>
      <c r="L18" s="38"/>
      <c r="M18" s="39"/>
      <c r="N18" s="39"/>
      <c r="O18" s="40" t="str">
        <f t="shared" si="0"/>
        <v>No</v>
      </c>
      <c r="P18" s="39"/>
    </row>
    <row r="19" spans="1:16">
      <c r="A19" s="35">
        <v>46255</v>
      </c>
      <c r="B19" s="36" t="s">
        <v>184</v>
      </c>
      <c r="C19" s="37" t="str">
        <f>IF(B19="","",IFERROR(INDEX('Task Master'!$C$5:$C$100,MATCH(B19,'Task Master'!$A$5:$A$100,0)),""))</f>
        <v>executing</v>
      </c>
      <c r="D19" s="37" t="str">
        <f>IF(B19="","",IFERROR(INDEX('Task Master'!$J$5:$J$100,MATCH(B19,'Task Master'!$A$5:$A$100,0)),""))</f>
        <v>amarja.kawade@petronas.com</v>
      </c>
      <c r="E19" s="37" t="str">
        <f>IF(B19="","",IFERROR(INDEX('Task Master'!$K$5:$K$100,MATCH(B19,'Task Master'!$A$5:$A$100,0)),""))</f>
        <v>amarja.kawade@petronas.com</v>
      </c>
      <c r="F19" s="36" t="s">
        <v>5373</v>
      </c>
      <c r="G19" s="36" t="s">
        <v>168</v>
      </c>
      <c r="H19" s="36" t="s">
        <v>467</v>
      </c>
      <c r="I19" s="36" t="s">
        <v>5372</v>
      </c>
      <c r="J19" s="38">
        <v>46252</v>
      </c>
      <c r="K19" s="36" t="s">
        <v>470</v>
      </c>
      <c r="L19" s="38"/>
      <c r="M19" s="39"/>
      <c r="N19" s="39"/>
      <c r="O19" s="40" t="str">
        <f t="shared" si="0"/>
        <v>No</v>
      </c>
      <c r="P19" s="39"/>
    </row>
    <row r="20" spans="1:16">
      <c r="A20" s="35">
        <v>46255</v>
      </c>
      <c r="B20" s="36" t="s">
        <v>202</v>
      </c>
      <c r="C20" s="37" t="str">
        <f>IF(B20="","",IFERROR(INDEX('Task Master'!$C$5:$C$100,MATCH(B20,'Task Master'!$A$5:$A$100,0)),""))</f>
        <v>executing</v>
      </c>
      <c r="D20" s="37" t="str">
        <f>IF(B20="","",IFERROR(INDEX('Task Master'!$J$5:$J$100,MATCH(B20,'Task Master'!$A$5:$A$100,0)),""))</f>
        <v>amarja.kawade@petronas.com</v>
      </c>
      <c r="E20" s="37" t="str">
        <f>IF(B20="","",IFERROR(INDEX('Task Master'!$K$5:$K$100,MATCH(B20,'Task Master'!$A$5:$A$100,0)),""))</f>
        <v>amarja.kawade@petronas.com</v>
      </c>
      <c r="F20" s="36" t="s">
        <v>5373</v>
      </c>
      <c r="G20" s="36" t="s">
        <v>168</v>
      </c>
      <c r="H20" s="36" t="s">
        <v>467</v>
      </c>
      <c r="I20" s="36" t="s">
        <v>5372</v>
      </c>
      <c r="J20" s="38">
        <v>46252</v>
      </c>
      <c r="K20" s="36" t="s">
        <v>470</v>
      </c>
      <c r="L20" s="38"/>
      <c r="M20" s="39"/>
      <c r="N20" s="39"/>
      <c r="O20" s="40" t="str">
        <f t="shared" si="0"/>
        <v>No</v>
      </c>
      <c r="P20" s="39"/>
    </row>
    <row r="21" spans="1:16">
      <c r="A21" s="35">
        <v>46255</v>
      </c>
      <c r="B21" s="36" t="s">
        <v>181</v>
      </c>
      <c r="C21" s="37" t="str">
        <f>IF(B21="","",IFERROR(INDEX('Task Master'!$C$5:$C$100,MATCH(B21,'Task Master'!$A$5:$A$100,0)),""))</f>
        <v>executing</v>
      </c>
      <c r="D21" s="37" t="str">
        <f>IF(B21="","",IFERROR(INDEX('Task Master'!$J$5:$J$100,MATCH(B21,'Task Master'!$A$5:$A$100,0)),""))</f>
        <v>amarja.kawade@petronas.com</v>
      </c>
      <c r="E21" s="37" t="str">
        <f>IF(B21="","",IFERROR(INDEX('Task Master'!$K$5:$K$100,MATCH(B21,'Task Master'!$A$5:$A$100,0)),""))</f>
        <v>amarja.kawade@petronas.com</v>
      </c>
      <c r="F21" s="36" t="s">
        <v>5373</v>
      </c>
      <c r="G21" s="36" t="s">
        <v>168</v>
      </c>
      <c r="H21" s="36" t="s">
        <v>467</v>
      </c>
      <c r="I21" s="36" t="s">
        <v>5372</v>
      </c>
      <c r="J21" s="38">
        <v>46252</v>
      </c>
      <c r="K21" s="36" t="s">
        <v>470</v>
      </c>
      <c r="L21" s="38"/>
      <c r="M21" s="39"/>
      <c r="N21" s="39"/>
      <c r="O21" s="40" t="str">
        <f t="shared" si="0"/>
        <v>No</v>
      </c>
      <c r="P21" s="39"/>
    </row>
    <row r="22" spans="1:16">
      <c r="A22" s="35">
        <v>46255</v>
      </c>
      <c r="B22" s="36" t="s">
        <v>198</v>
      </c>
      <c r="C22" s="37" t="str">
        <f>IF(B22="","",IFERROR(INDEX('Task Master'!$C$5:$C$100,MATCH(B22,'Task Master'!$A$5:$A$100,0)),""))</f>
        <v>executing</v>
      </c>
      <c r="D22" s="37" t="str">
        <f>IF(B22="","",IFERROR(INDEX('Task Master'!$J$5:$J$100,MATCH(B22,'Task Master'!$A$5:$A$100,0)),""))</f>
        <v>amarja.kawade@petronas.com</v>
      </c>
      <c r="E22" s="37" t="str">
        <f>IF(B22="","",IFERROR(INDEX('Task Master'!$K$5:$K$100,MATCH(B22,'Task Master'!$A$5:$A$100,0)),""))</f>
        <v>amarja.kawade@petronas.com</v>
      </c>
      <c r="F22" s="36" t="s">
        <v>5373</v>
      </c>
      <c r="G22" s="36" t="s">
        <v>168</v>
      </c>
      <c r="H22" s="36" t="s">
        <v>467</v>
      </c>
      <c r="I22" s="36" t="s">
        <v>5372</v>
      </c>
      <c r="J22" s="38">
        <v>46252</v>
      </c>
      <c r="K22" s="36" t="s">
        <v>470</v>
      </c>
      <c r="L22" s="38"/>
      <c r="M22" s="39"/>
      <c r="N22" s="39"/>
      <c r="O22" s="40" t="str">
        <f t="shared" si="0"/>
        <v>No</v>
      </c>
      <c r="P22" s="39"/>
    </row>
    <row r="23" spans="1:16">
      <c r="A23" s="35">
        <v>46255</v>
      </c>
      <c r="B23" s="36" t="s">
        <v>175</v>
      </c>
      <c r="C23" s="37" t="str">
        <f>IF(B23="","",IFERROR(INDEX('Task Master'!$C$5:$C$100,MATCH(B23,'Task Master'!$A$5:$A$100,0)),""))</f>
        <v>executing</v>
      </c>
      <c r="D23" s="37" t="str">
        <f>IF(B23="","",IFERROR(INDEX('Task Master'!$J$5:$J$100,MATCH(B23,'Task Master'!$A$5:$A$100,0)),""))</f>
        <v>amarja.kawade@petronas.com</v>
      </c>
      <c r="E23" s="37" t="str">
        <f>IF(B23="","",IFERROR(INDEX('Task Master'!$K$5:$K$100,MATCH(B23,'Task Master'!$A$5:$A$100,0)),""))</f>
        <v>amarja.kawade@petronas.com</v>
      </c>
      <c r="F23" s="36" t="s">
        <v>5373</v>
      </c>
      <c r="G23" s="36" t="s">
        <v>168</v>
      </c>
      <c r="H23" s="36" t="s">
        <v>467</v>
      </c>
      <c r="I23" s="36" t="s">
        <v>5372</v>
      </c>
      <c r="J23" s="38">
        <v>46252</v>
      </c>
      <c r="K23" s="36" t="s">
        <v>470</v>
      </c>
      <c r="L23" s="38"/>
      <c r="M23" s="39"/>
      <c r="N23" s="39"/>
      <c r="O23" s="40" t="str">
        <f t="shared" si="0"/>
        <v>No</v>
      </c>
      <c r="P23" s="39"/>
    </row>
    <row r="24" spans="1:16">
      <c r="A24" s="35">
        <v>46255</v>
      </c>
      <c r="B24" s="36" t="s">
        <v>205</v>
      </c>
      <c r="C24" s="37" t="str">
        <f>IF(B24="","",IFERROR(INDEX('Task Master'!$C$5:$C$100,MATCH(B24,'Task Master'!$A$5:$A$100,0)),""))</f>
        <v>executing</v>
      </c>
      <c r="D24" s="37" t="str">
        <f>IF(B24="","",IFERROR(INDEX('Task Master'!$J$5:$J$100,MATCH(B24,'Task Master'!$A$5:$A$100,0)),""))</f>
        <v>amarja.kawade@petronas.com</v>
      </c>
      <c r="E24" s="37" t="str">
        <f>IF(B24="","",IFERROR(INDEX('Task Master'!$K$5:$K$100,MATCH(B24,'Task Master'!$A$5:$A$100,0)),""))</f>
        <v>amarja.kawade@petronas.com</v>
      </c>
      <c r="F24" s="36" t="s">
        <v>5373</v>
      </c>
      <c r="G24" s="36" t="s">
        <v>168</v>
      </c>
      <c r="H24" s="36" t="s">
        <v>467</v>
      </c>
      <c r="I24" s="36" t="s">
        <v>5372</v>
      </c>
      <c r="J24" s="38">
        <v>46252</v>
      </c>
      <c r="K24" s="36" t="s">
        <v>470</v>
      </c>
      <c r="L24" s="38"/>
      <c r="M24" s="39"/>
      <c r="N24" s="39"/>
      <c r="O24" s="40" t="str">
        <f t="shared" si="0"/>
        <v>No</v>
      </c>
      <c r="P24" s="39"/>
    </row>
    <row r="25" spans="1:16">
      <c r="A25" s="35">
        <v>46255</v>
      </c>
      <c r="B25" s="36" t="s">
        <v>199</v>
      </c>
      <c r="C25" s="37" t="str">
        <f>IF(B25="","",IFERROR(INDEX('Task Master'!$C$5:$C$100,MATCH(B25,'Task Master'!$A$5:$A$100,0)),""))</f>
        <v>executing</v>
      </c>
      <c r="D25" s="37" t="str">
        <f>IF(B25="","",IFERROR(INDEX('Task Master'!$J$5:$J$100,MATCH(B25,'Task Master'!$A$5:$A$100,0)),""))</f>
        <v>amarja.kawade@petronas.com</v>
      </c>
      <c r="E25" s="37" t="str">
        <f>IF(B25="","",IFERROR(INDEX('Task Master'!$K$5:$K$100,MATCH(B25,'Task Master'!$A$5:$A$100,0)),""))</f>
        <v>amarja.kawade@petronas.com</v>
      </c>
      <c r="F25" s="36" t="s">
        <v>5373</v>
      </c>
      <c r="G25" s="36" t="s">
        <v>168</v>
      </c>
      <c r="H25" s="36" t="s">
        <v>467</v>
      </c>
      <c r="I25" s="36" t="s">
        <v>5372</v>
      </c>
      <c r="J25" s="38">
        <v>46252</v>
      </c>
      <c r="K25" s="36" t="s">
        <v>470</v>
      </c>
      <c r="L25" s="38"/>
      <c r="M25" s="39"/>
      <c r="N25" s="39"/>
      <c r="O25" s="40" t="str">
        <f t="shared" si="0"/>
        <v>No</v>
      </c>
      <c r="P25" s="39"/>
    </row>
    <row r="26" spans="1:16">
      <c r="A26" s="35">
        <v>46255</v>
      </c>
      <c r="B26" s="36" t="s">
        <v>190</v>
      </c>
      <c r="C26" s="37" t="str">
        <f>IF(B26="","",IFERROR(INDEX('Task Master'!$C$5:$C$100,MATCH(B26,'Task Master'!$A$5:$A$100,0)),""))</f>
        <v>executing</v>
      </c>
      <c r="D26" s="37" t="str">
        <f>IF(B26="","",IFERROR(INDEX('Task Master'!$J$5:$J$100,MATCH(B26,'Task Master'!$A$5:$A$100,0)),""))</f>
        <v>amarja.kawade@petronas.com</v>
      </c>
      <c r="E26" s="37" t="str">
        <f>IF(B26="","",IFERROR(INDEX('Task Master'!$K$5:$K$100,MATCH(B26,'Task Master'!$A$5:$A$100,0)),""))</f>
        <v>amarja.kawade@petronas.com</v>
      </c>
      <c r="F26" s="36" t="s">
        <v>5373</v>
      </c>
      <c r="G26" s="36" t="s">
        <v>168</v>
      </c>
      <c r="H26" s="36" t="s">
        <v>467</v>
      </c>
      <c r="I26" s="36" t="s">
        <v>5372</v>
      </c>
      <c r="J26" s="38">
        <v>46252</v>
      </c>
      <c r="K26" s="36" t="s">
        <v>470</v>
      </c>
      <c r="L26" s="38"/>
      <c r="M26" s="39"/>
      <c r="N26" s="39"/>
      <c r="O26" s="40" t="str">
        <f t="shared" si="0"/>
        <v>No</v>
      </c>
      <c r="P26" s="39"/>
    </row>
    <row r="27" spans="1:16">
      <c r="A27" s="35">
        <v>46255</v>
      </c>
      <c r="B27" s="36" t="s">
        <v>166</v>
      </c>
      <c r="C27" s="37" t="str">
        <f>IF(B27="","",IFERROR(INDEX('Task Master'!$C$5:$C$100,MATCH(B27,'Task Master'!$A$5:$A$100,0)),""))</f>
        <v>executing</v>
      </c>
      <c r="D27" s="37" t="str">
        <f>IF(B27="","",IFERROR(INDEX('Task Master'!$J$5:$J$100,MATCH(B27,'Task Master'!$A$5:$A$100,0)),""))</f>
        <v>amarja.kawade@petronas.com</v>
      </c>
      <c r="E27" s="37" t="str">
        <f>IF(B27="","",IFERROR(INDEX('Task Master'!$K$5:$K$100,MATCH(B27,'Task Master'!$A$5:$A$100,0)),""))</f>
        <v>amarja.kawade@petronas.com</v>
      </c>
      <c r="F27" s="36" t="s">
        <v>5373</v>
      </c>
      <c r="G27" s="36" t="s">
        <v>168</v>
      </c>
      <c r="H27" s="36" t="s">
        <v>467</v>
      </c>
      <c r="I27" s="36" t="s">
        <v>5372</v>
      </c>
      <c r="J27" s="38">
        <v>46252</v>
      </c>
      <c r="K27" s="36" t="s">
        <v>470</v>
      </c>
      <c r="L27" s="38"/>
      <c r="M27" s="39"/>
      <c r="N27" s="39"/>
      <c r="O27" s="40" t="str">
        <f t="shared" si="0"/>
        <v>No</v>
      </c>
      <c r="P27" s="39"/>
    </row>
    <row r="28" spans="1:16">
      <c r="A28" s="35">
        <v>46255</v>
      </c>
      <c r="B28" s="36" t="s">
        <v>192</v>
      </c>
      <c r="C28" s="37" t="str">
        <f>IF(B28="","",IFERROR(INDEX('Task Master'!$C$5:$C$100,MATCH(B28,'Task Master'!$A$5:$A$100,0)),""))</f>
        <v>executing</v>
      </c>
      <c r="D28" s="37" t="str">
        <f>IF(B28="","",IFERROR(INDEX('Task Master'!$J$5:$J$100,MATCH(B28,'Task Master'!$A$5:$A$100,0)),""))</f>
        <v>amarja.kawade@petronas.com</v>
      </c>
      <c r="E28" s="37" t="str">
        <f>IF(B28="","",IFERROR(INDEX('Task Master'!$K$5:$K$100,MATCH(B28,'Task Master'!$A$5:$A$100,0)),""))</f>
        <v>amarja.kawade@petronas.com</v>
      </c>
      <c r="F28" s="36" t="s">
        <v>5373</v>
      </c>
      <c r="G28" s="36" t="s">
        <v>168</v>
      </c>
      <c r="H28" s="36" t="s">
        <v>467</v>
      </c>
      <c r="I28" s="36" t="s">
        <v>5372</v>
      </c>
      <c r="J28" s="38">
        <v>46252</v>
      </c>
      <c r="K28" s="36" t="s">
        <v>470</v>
      </c>
      <c r="L28" s="38"/>
      <c r="M28" s="39"/>
      <c r="N28" s="39"/>
      <c r="O28" s="40" t="str">
        <f t="shared" si="0"/>
        <v>No</v>
      </c>
      <c r="P28" s="39"/>
    </row>
    <row r="29" spans="1:16">
      <c r="A29" s="35">
        <v>46255</v>
      </c>
      <c r="B29" s="36" t="s">
        <v>178</v>
      </c>
      <c r="C29" s="37" t="str">
        <f>IF(B29="","",IFERROR(INDEX('Task Master'!$C$5:$C$100,MATCH(B29,'Task Master'!$A$5:$A$100,0)),""))</f>
        <v>executing</v>
      </c>
      <c r="D29" s="37" t="str">
        <f>IF(B29="","",IFERROR(INDEX('Task Master'!$J$5:$J$100,MATCH(B29,'Task Master'!$A$5:$A$100,0)),""))</f>
        <v>amarja.kawade@petronas.com</v>
      </c>
      <c r="E29" s="37" t="str">
        <f>IF(B29="","",IFERROR(INDEX('Task Master'!$K$5:$K$100,MATCH(B29,'Task Master'!$A$5:$A$100,0)),""))</f>
        <v>amarja.kawade@petronas.com</v>
      </c>
      <c r="F29" s="36" t="s">
        <v>5373</v>
      </c>
      <c r="G29" s="36" t="s">
        <v>168</v>
      </c>
      <c r="H29" s="36" t="s">
        <v>467</v>
      </c>
      <c r="I29" s="36" t="s">
        <v>5372</v>
      </c>
      <c r="J29" s="38">
        <v>46252</v>
      </c>
      <c r="K29" s="36" t="s">
        <v>470</v>
      </c>
      <c r="L29" s="38"/>
      <c r="M29" s="39"/>
      <c r="N29" s="39"/>
      <c r="O29" s="40" t="str">
        <f t="shared" si="0"/>
        <v>No</v>
      </c>
      <c r="P29" s="39"/>
    </row>
    <row r="30" spans="1:16">
      <c r="A30" s="35">
        <v>46255</v>
      </c>
      <c r="B30" s="36" t="s">
        <v>277</v>
      </c>
      <c r="C30" s="37" t="str">
        <f>IF(B30="","",IFERROR(INDEX('Task Master'!$C$5:$C$100,MATCH(B30,'Task Master'!$A$5:$A$100,0)),""))</f>
        <v>executing</v>
      </c>
      <c r="D30" s="37" t="str">
        <f>IF(B30="","",IFERROR(INDEX('Task Master'!$J$5:$J$100,MATCH(B30,'Task Master'!$A$5:$A$100,0)),""))</f>
        <v>swaminadh.chirakala@petronas.com</v>
      </c>
      <c r="E30" s="37" t="str">
        <f>IF(B30="","",IFERROR(INDEX('Task Master'!$K$5:$K$100,MATCH(B30,'Task Master'!$A$5:$A$100,0)),""))</f>
        <v>swaminadh.chirakala@petronas.com</v>
      </c>
      <c r="F30" s="36" t="s">
        <v>5373</v>
      </c>
      <c r="G30" s="36" t="s">
        <v>259</v>
      </c>
      <c r="H30" s="36" t="s">
        <v>467</v>
      </c>
      <c r="I30" s="36" t="s">
        <v>5372</v>
      </c>
      <c r="J30" s="38">
        <v>46252</v>
      </c>
      <c r="K30" s="36" t="s">
        <v>470</v>
      </c>
      <c r="L30" s="38"/>
      <c r="M30" s="39"/>
      <c r="N30" s="39"/>
      <c r="O30" s="40" t="str">
        <f t="shared" si="0"/>
        <v>No</v>
      </c>
      <c r="P30" s="39"/>
    </row>
    <row r="31" spans="1:16">
      <c r="A31" s="35">
        <v>46255</v>
      </c>
      <c r="B31" s="36" t="s">
        <v>266</v>
      </c>
      <c r="C31" s="37" t="str">
        <f>IF(B31="","",IFERROR(INDEX('Task Master'!$C$5:$C$100,MATCH(B31,'Task Master'!$A$5:$A$100,0)),""))</f>
        <v>executing</v>
      </c>
      <c r="D31" s="37" t="str">
        <f>IF(B31="","",IFERROR(INDEX('Task Master'!$J$5:$J$100,MATCH(B31,'Task Master'!$A$5:$A$100,0)),""))</f>
        <v>swaminadh.chirakala@petronas.com</v>
      </c>
      <c r="E31" s="37" t="str">
        <f>IF(B31="","",IFERROR(INDEX('Task Master'!$K$5:$K$100,MATCH(B31,'Task Master'!$A$5:$A$100,0)),""))</f>
        <v>swaminadh.chirakala@petronas.com</v>
      </c>
      <c r="F31" s="36" t="s">
        <v>5373</v>
      </c>
      <c r="G31" s="36" t="s">
        <v>259</v>
      </c>
      <c r="H31" s="36" t="s">
        <v>467</v>
      </c>
      <c r="I31" s="36" t="s">
        <v>5372</v>
      </c>
      <c r="J31" s="38">
        <v>46252</v>
      </c>
      <c r="K31" s="36" t="s">
        <v>470</v>
      </c>
      <c r="L31" s="38"/>
      <c r="M31" s="39"/>
      <c r="N31" s="39"/>
      <c r="O31" s="40" t="str">
        <f t="shared" si="0"/>
        <v>No</v>
      </c>
      <c r="P31" s="39"/>
    </row>
    <row r="32" spans="1:16">
      <c r="A32" s="35">
        <v>46255</v>
      </c>
      <c r="B32" s="36" t="s">
        <v>260</v>
      </c>
      <c r="C32" s="37" t="str">
        <f>IF(B32="","",IFERROR(INDEX('Task Master'!$C$5:$C$100,MATCH(B32,'Task Master'!$A$5:$A$100,0)),""))</f>
        <v>executing</v>
      </c>
      <c r="D32" s="37" t="str">
        <f>IF(B32="","",IFERROR(INDEX('Task Master'!$J$5:$J$100,MATCH(B32,'Task Master'!$A$5:$A$100,0)),""))</f>
        <v>swaminadh.chirakala@petronas.com</v>
      </c>
      <c r="E32" s="37" t="str">
        <f>IF(B32="","",IFERROR(INDEX('Task Master'!$K$5:$K$100,MATCH(B32,'Task Master'!$A$5:$A$100,0)),""))</f>
        <v>swaminadh.chirakala@petronas.com</v>
      </c>
      <c r="F32" s="36" t="s">
        <v>5373</v>
      </c>
      <c r="G32" s="36" t="s">
        <v>259</v>
      </c>
      <c r="H32" s="36" t="s">
        <v>467</v>
      </c>
      <c r="I32" s="36" t="s">
        <v>5372</v>
      </c>
      <c r="J32" s="38">
        <v>46252</v>
      </c>
      <c r="K32" s="36" t="s">
        <v>470</v>
      </c>
      <c r="L32" s="38"/>
      <c r="M32" s="39"/>
      <c r="N32" s="39"/>
      <c r="O32" s="40" t="str">
        <f t="shared" si="0"/>
        <v>No</v>
      </c>
      <c r="P32" s="39"/>
    </row>
    <row r="33" spans="1:16">
      <c r="A33" s="35">
        <v>46255</v>
      </c>
      <c r="B33" s="36" t="s">
        <v>267</v>
      </c>
      <c r="C33" s="37" t="str">
        <f>IF(B33="","",IFERROR(INDEX('Task Master'!$C$5:$C$100,MATCH(B33,'Task Master'!$A$5:$A$100,0)),""))</f>
        <v>executing</v>
      </c>
      <c r="D33" s="37" t="str">
        <f>IF(B33="","",IFERROR(INDEX('Task Master'!$J$5:$J$100,MATCH(B33,'Task Master'!$A$5:$A$100,0)),""))</f>
        <v>swaminadh.chirakala@petronas.com</v>
      </c>
      <c r="E33" s="37" t="str">
        <f>IF(B33="","",IFERROR(INDEX('Task Master'!$K$5:$K$100,MATCH(B33,'Task Master'!$A$5:$A$100,0)),""))</f>
        <v>swaminadh.chirakala@petronas.com</v>
      </c>
      <c r="F33" s="36" t="s">
        <v>5373</v>
      </c>
      <c r="G33" s="36" t="s">
        <v>259</v>
      </c>
      <c r="H33" s="36" t="s">
        <v>467</v>
      </c>
      <c r="I33" s="36" t="s">
        <v>5372</v>
      </c>
      <c r="J33" s="38">
        <v>46252</v>
      </c>
      <c r="K33" s="36" t="s">
        <v>470</v>
      </c>
      <c r="L33" s="38"/>
      <c r="M33" s="39"/>
      <c r="N33" s="39"/>
      <c r="O33" s="40" t="str">
        <f t="shared" si="0"/>
        <v>No</v>
      </c>
      <c r="P33" s="39"/>
    </row>
    <row r="34" spans="1:16">
      <c r="A34" s="35">
        <v>46255</v>
      </c>
      <c r="B34" s="36" t="s">
        <v>270</v>
      </c>
      <c r="C34" s="37" t="str">
        <f>IF(B34="","",IFERROR(INDEX('Task Master'!$C$5:$C$100,MATCH(B34,'Task Master'!$A$5:$A$100,0)),""))</f>
        <v>executing</v>
      </c>
      <c r="D34" s="37" t="str">
        <f>IF(B34="","",IFERROR(INDEX('Task Master'!$J$5:$J$100,MATCH(B34,'Task Master'!$A$5:$A$100,0)),""))</f>
        <v>swaminadh.chirakala@petronas.com</v>
      </c>
      <c r="E34" s="37" t="str">
        <f>IF(B34="","",IFERROR(INDEX('Task Master'!$K$5:$K$100,MATCH(B34,'Task Master'!$A$5:$A$100,0)),""))</f>
        <v>swaminadh.chirakala@petronas.com</v>
      </c>
      <c r="F34" s="36" t="s">
        <v>5373</v>
      </c>
      <c r="G34" s="36" t="s">
        <v>259</v>
      </c>
      <c r="H34" s="36" t="s">
        <v>467</v>
      </c>
      <c r="I34" s="36" t="s">
        <v>5372</v>
      </c>
      <c r="J34" s="38">
        <v>46252</v>
      </c>
      <c r="K34" s="36" t="s">
        <v>470</v>
      </c>
      <c r="L34" s="38"/>
      <c r="M34" s="39"/>
      <c r="N34" s="39"/>
      <c r="O34" s="40" t="str">
        <f t="shared" si="0"/>
        <v>No</v>
      </c>
      <c r="P34" s="39"/>
    </row>
    <row r="35" spans="1:16">
      <c r="A35" s="35">
        <v>46255</v>
      </c>
      <c r="B35" s="36" t="s">
        <v>287</v>
      </c>
      <c r="C35" s="37" t="str">
        <f>IF(B35="","",IFERROR(INDEX('Task Master'!$C$5:$C$100,MATCH(B35,'Task Master'!$A$5:$A$100,0)),""))</f>
        <v>executing</v>
      </c>
      <c r="D35" s="37" t="str">
        <f>IF(B35="","",IFERROR(INDEX('Task Master'!$J$5:$J$100,MATCH(B35,'Task Master'!$A$5:$A$100,0)),""))</f>
        <v>swaminadh.chirakala@petronas.com</v>
      </c>
      <c r="E35" s="37" t="str">
        <f>IF(B35="","",IFERROR(INDEX('Task Master'!$K$5:$K$100,MATCH(B35,'Task Master'!$A$5:$A$100,0)),""))</f>
        <v>swaminadh.chirakala@petronas.com</v>
      </c>
      <c r="F35" s="36" t="s">
        <v>5373</v>
      </c>
      <c r="G35" s="36" t="s">
        <v>259</v>
      </c>
      <c r="H35" s="36" t="s">
        <v>467</v>
      </c>
      <c r="I35" s="36" t="s">
        <v>5372</v>
      </c>
      <c r="J35" s="38">
        <v>46252</v>
      </c>
      <c r="K35" s="36" t="s">
        <v>470</v>
      </c>
      <c r="L35" s="38"/>
      <c r="M35" s="39"/>
      <c r="N35" s="39"/>
      <c r="O35" s="40" t="str">
        <f t="shared" si="0"/>
        <v>No</v>
      </c>
      <c r="P35" s="39"/>
    </row>
    <row r="36" spans="1:16">
      <c r="A36" s="35">
        <v>46255</v>
      </c>
      <c r="B36" s="36" t="s">
        <v>280</v>
      </c>
      <c r="C36" s="37" t="str">
        <f>IF(B36="","",IFERROR(INDEX('Task Master'!$C$5:$C$100,MATCH(B36,'Task Master'!$A$5:$A$100,0)),""))</f>
        <v>executing</v>
      </c>
      <c r="D36" s="37" t="str">
        <f>IF(B36="","",IFERROR(INDEX('Task Master'!$J$5:$J$100,MATCH(B36,'Task Master'!$A$5:$A$100,0)),""))</f>
        <v>swaminadh.chirakala@petronas.com</v>
      </c>
      <c r="E36" s="37" t="str">
        <f>IF(B36="","",IFERROR(INDEX('Task Master'!$K$5:$K$100,MATCH(B36,'Task Master'!$A$5:$A$100,0)),""))</f>
        <v>swaminadh.chirakala@petronas.com</v>
      </c>
      <c r="F36" s="36" t="s">
        <v>5373</v>
      </c>
      <c r="G36" s="36" t="s">
        <v>259</v>
      </c>
      <c r="H36" s="36" t="s">
        <v>467</v>
      </c>
      <c r="I36" s="36" t="s">
        <v>5372</v>
      </c>
      <c r="J36" s="38">
        <v>46252</v>
      </c>
      <c r="K36" s="36" t="s">
        <v>470</v>
      </c>
      <c r="L36" s="38"/>
      <c r="M36" s="39"/>
      <c r="N36" s="39"/>
      <c r="O36" s="40" t="str">
        <f t="shared" si="0"/>
        <v>No</v>
      </c>
      <c r="P36" s="39"/>
    </row>
    <row r="37" spans="1:16">
      <c r="A37" s="35">
        <v>46255</v>
      </c>
      <c r="B37" s="36" t="s">
        <v>273</v>
      </c>
      <c r="C37" s="37" t="str">
        <f>IF(B37="","",IFERROR(INDEX('Task Master'!$C$5:$C$100,MATCH(B37,'Task Master'!$A$5:$A$100,0)),""))</f>
        <v>executing</v>
      </c>
      <c r="D37" s="37" t="str">
        <f>IF(B37="","",IFERROR(INDEX('Task Master'!$J$5:$J$100,MATCH(B37,'Task Master'!$A$5:$A$100,0)),""))</f>
        <v>swaminadh.chirakala@petronas.com</v>
      </c>
      <c r="E37" s="37" t="str">
        <f>IF(B37="","",IFERROR(INDEX('Task Master'!$K$5:$K$100,MATCH(B37,'Task Master'!$A$5:$A$100,0)),""))</f>
        <v>swaminadh.chirakala@petronas.com</v>
      </c>
      <c r="F37" s="36" t="s">
        <v>5373</v>
      </c>
      <c r="G37" s="36" t="s">
        <v>259</v>
      </c>
      <c r="H37" s="36" t="s">
        <v>467</v>
      </c>
      <c r="I37" s="36" t="s">
        <v>5372</v>
      </c>
      <c r="J37" s="38">
        <v>46252</v>
      </c>
      <c r="K37" s="36" t="s">
        <v>470</v>
      </c>
      <c r="L37" s="38"/>
      <c r="M37" s="39"/>
      <c r="N37" s="39"/>
      <c r="O37" s="40" t="str">
        <f t="shared" ref="O37:O68" si="1">IF(OR(A37="",B37=""),"",IF(OR(K37="Achieved",K37="Out-of-Scope Confirmed"),"Yes","No"))</f>
        <v>No</v>
      </c>
      <c r="P37" s="39"/>
    </row>
    <row r="38" spans="1:16">
      <c r="A38" s="35">
        <v>46255</v>
      </c>
      <c r="B38" s="36" t="s">
        <v>276</v>
      </c>
      <c r="C38" s="37" t="str">
        <f>IF(B38="","",IFERROR(INDEX('Task Master'!$C$5:$C$100,MATCH(B38,'Task Master'!$A$5:$A$100,0)),""))</f>
        <v>executing</v>
      </c>
      <c r="D38" s="37" t="str">
        <f>IF(B38="","",IFERROR(INDEX('Task Master'!$J$5:$J$100,MATCH(B38,'Task Master'!$A$5:$A$100,0)),""))</f>
        <v>swaminadh.chirakala@petronas.com</v>
      </c>
      <c r="E38" s="37" t="str">
        <f>IF(B38="","",IFERROR(INDEX('Task Master'!$K$5:$K$100,MATCH(B38,'Task Master'!$A$5:$A$100,0)),""))</f>
        <v>swaminadh.chirakala@petronas.com</v>
      </c>
      <c r="F38" s="36" t="s">
        <v>5373</v>
      </c>
      <c r="G38" s="36" t="s">
        <v>259</v>
      </c>
      <c r="H38" s="36" t="s">
        <v>467</v>
      </c>
      <c r="I38" s="36" t="s">
        <v>5372</v>
      </c>
      <c r="J38" s="38">
        <v>46252</v>
      </c>
      <c r="K38" s="36" t="s">
        <v>470</v>
      </c>
      <c r="L38" s="38"/>
      <c r="M38" s="39"/>
      <c r="N38" s="39"/>
      <c r="O38" s="40" t="str">
        <f t="shared" si="1"/>
        <v>No</v>
      </c>
      <c r="P38" s="39"/>
    </row>
    <row r="39" spans="1:16">
      <c r="A39" s="35">
        <v>46255</v>
      </c>
      <c r="B39" s="36" t="s">
        <v>256</v>
      </c>
      <c r="C39" s="37" t="str">
        <f>IF(B39="","",IFERROR(INDEX('Task Master'!$C$5:$C$100,MATCH(B39,'Task Master'!$A$5:$A$100,0)),""))</f>
        <v>executing</v>
      </c>
      <c r="D39" s="37" t="str">
        <f>IF(B39="","",IFERROR(INDEX('Task Master'!$J$5:$J$100,MATCH(B39,'Task Master'!$A$5:$A$100,0)),""))</f>
        <v>swaminadh.chirakala@petronas.com</v>
      </c>
      <c r="E39" s="37" t="str">
        <f>IF(B39="","",IFERROR(INDEX('Task Master'!$K$5:$K$100,MATCH(B39,'Task Master'!$A$5:$A$100,0)),""))</f>
        <v>swaminadh.chirakala@petronas.com</v>
      </c>
      <c r="F39" s="36" t="s">
        <v>5373</v>
      </c>
      <c r="G39" s="36" t="s">
        <v>259</v>
      </c>
      <c r="H39" s="36" t="s">
        <v>467</v>
      </c>
      <c r="I39" s="36" t="s">
        <v>5372</v>
      </c>
      <c r="J39" s="38">
        <v>46252</v>
      </c>
      <c r="K39" s="36" t="s">
        <v>470</v>
      </c>
      <c r="L39" s="38"/>
      <c r="M39" s="39"/>
      <c r="N39" s="39"/>
      <c r="O39" s="40" t="str">
        <f t="shared" si="1"/>
        <v>No</v>
      </c>
      <c r="P39" s="39"/>
    </row>
    <row r="40" spans="1:16">
      <c r="A40" s="35">
        <v>46255</v>
      </c>
      <c r="B40" s="36" t="s">
        <v>263</v>
      </c>
      <c r="C40" s="37" t="str">
        <f>IF(B40="","",IFERROR(INDEX('Task Master'!$C$5:$C$100,MATCH(B40,'Task Master'!$A$5:$A$100,0)),""))</f>
        <v>executing</v>
      </c>
      <c r="D40" s="37" t="str">
        <f>IF(B40="","",IFERROR(INDEX('Task Master'!$J$5:$J$100,MATCH(B40,'Task Master'!$A$5:$A$100,0)),""))</f>
        <v>swaminadh.chirakala@petronas.com</v>
      </c>
      <c r="E40" s="37" t="str">
        <f>IF(B40="","",IFERROR(INDEX('Task Master'!$K$5:$K$100,MATCH(B40,'Task Master'!$A$5:$A$100,0)),""))</f>
        <v>swaminadh.chirakala@petronas.com</v>
      </c>
      <c r="F40" s="36" t="s">
        <v>5373</v>
      </c>
      <c r="G40" s="36" t="s">
        <v>259</v>
      </c>
      <c r="H40" s="36" t="s">
        <v>467</v>
      </c>
      <c r="I40" s="36" t="s">
        <v>5372</v>
      </c>
      <c r="J40" s="38">
        <v>46252</v>
      </c>
      <c r="K40" s="36" t="s">
        <v>470</v>
      </c>
      <c r="L40" s="38"/>
      <c r="M40" s="39"/>
      <c r="N40" s="39"/>
      <c r="O40" s="40" t="str">
        <f t="shared" si="1"/>
        <v>No</v>
      </c>
      <c r="P40" s="39"/>
    </row>
    <row r="41" spans="1:16">
      <c r="A41" s="35">
        <v>46255</v>
      </c>
      <c r="B41" s="36" t="s">
        <v>290</v>
      </c>
      <c r="C41" s="37" t="str">
        <f>IF(B41="","",IFERROR(INDEX('Task Master'!$C$5:$C$100,MATCH(B41,'Task Master'!$A$5:$A$100,0)),""))</f>
        <v>executing</v>
      </c>
      <c r="D41" s="37" t="str">
        <f>IF(B41="","",IFERROR(INDEX('Task Master'!$J$5:$J$100,MATCH(B41,'Task Master'!$A$5:$A$100,0)),""))</f>
        <v>swaminadh.chirakala@petronas.com</v>
      </c>
      <c r="E41" s="37" t="str">
        <f>IF(B41="","",IFERROR(INDEX('Task Master'!$K$5:$K$100,MATCH(B41,'Task Master'!$A$5:$A$100,0)),""))</f>
        <v>swaminadh.chirakala@petronas.com</v>
      </c>
      <c r="F41" s="36" t="s">
        <v>5373</v>
      </c>
      <c r="G41" s="36" t="s">
        <v>259</v>
      </c>
      <c r="H41" s="36" t="s">
        <v>467</v>
      </c>
      <c r="I41" s="36" t="s">
        <v>5372</v>
      </c>
      <c r="J41" s="38">
        <v>46252</v>
      </c>
      <c r="K41" s="36" t="s">
        <v>470</v>
      </c>
      <c r="L41" s="38"/>
      <c r="M41" s="39"/>
      <c r="N41" s="39"/>
      <c r="O41" s="40" t="str">
        <f t="shared" si="1"/>
        <v>No</v>
      </c>
      <c r="P41" s="39"/>
    </row>
    <row r="42" spans="1:16">
      <c r="A42" s="35">
        <v>46255</v>
      </c>
      <c r="B42" s="36" t="s">
        <v>283</v>
      </c>
      <c r="C42" s="37" t="str">
        <f>IF(B42="","",IFERROR(INDEX('Task Master'!$C$5:$C$100,MATCH(B42,'Task Master'!$A$5:$A$100,0)),""))</f>
        <v>executing</v>
      </c>
      <c r="D42" s="37" t="str">
        <f>IF(B42="","",IFERROR(INDEX('Task Master'!$J$5:$J$100,MATCH(B42,'Task Master'!$A$5:$A$100,0)),""))</f>
        <v>swaminadh.chirakala@petronas.com</v>
      </c>
      <c r="E42" s="37" t="str">
        <f>IF(B42="","",IFERROR(INDEX('Task Master'!$K$5:$K$100,MATCH(B42,'Task Master'!$A$5:$A$100,0)),""))</f>
        <v>swaminadh.chirakala@petronas.com</v>
      </c>
      <c r="F42" s="36" t="s">
        <v>5373</v>
      </c>
      <c r="G42" s="36" t="s">
        <v>259</v>
      </c>
      <c r="H42" s="36" t="s">
        <v>467</v>
      </c>
      <c r="I42" s="36" t="s">
        <v>5372</v>
      </c>
      <c r="J42" s="38">
        <v>46252</v>
      </c>
      <c r="K42" s="36" t="s">
        <v>470</v>
      </c>
      <c r="L42" s="38"/>
      <c r="M42" s="39"/>
      <c r="N42" s="39"/>
      <c r="O42" s="40" t="str">
        <f t="shared" si="1"/>
        <v>No</v>
      </c>
      <c r="P42" s="39"/>
    </row>
    <row r="43" spans="1:16">
      <c r="A43" s="35">
        <v>46255</v>
      </c>
      <c r="B43" s="36" t="s">
        <v>293</v>
      </c>
      <c r="C43" s="37" t="str">
        <f>IF(B43="","",IFERROR(INDEX('Task Master'!$C$5:$C$100,MATCH(B43,'Task Master'!$A$5:$A$100,0)),""))</f>
        <v>executing</v>
      </c>
      <c r="D43" s="37" t="str">
        <f>IF(B43="","",IFERROR(INDEX('Task Master'!$J$5:$J$100,MATCH(B43,'Task Master'!$A$5:$A$100,0)),""))</f>
        <v>swaminadh.chirakala@petronas.com</v>
      </c>
      <c r="E43" s="37" t="str">
        <f>IF(B43="","",IFERROR(INDEX('Task Master'!$K$5:$K$100,MATCH(B43,'Task Master'!$A$5:$A$100,0)),""))</f>
        <v>swaminadh.chirakala@petronas.com</v>
      </c>
      <c r="F43" s="36" t="s">
        <v>5373</v>
      </c>
      <c r="G43" s="36" t="s">
        <v>259</v>
      </c>
      <c r="H43" s="36" t="s">
        <v>467</v>
      </c>
      <c r="I43" s="36" t="s">
        <v>5372</v>
      </c>
      <c r="J43" s="38">
        <v>46252</v>
      </c>
      <c r="K43" s="36" t="s">
        <v>470</v>
      </c>
      <c r="L43" s="38"/>
      <c r="M43" s="39"/>
      <c r="N43" s="39"/>
      <c r="O43" s="40" t="str">
        <f t="shared" si="1"/>
        <v>No</v>
      </c>
      <c r="P43" s="39"/>
    </row>
    <row r="44" spans="1:16">
      <c r="A44" s="35">
        <v>46255</v>
      </c>
      <c r="B44" s="36" t="s">
        <v>284</v>
      </c>
      <c r="C44" s="37" t="str">
        <f>IF(B44="","",IFERROR(INDEX('Task Master'!$C$5:$C$100,MATCH(B44,'Task Master'!$A$5:$A$100,0)),""))</f>
        <v>executing</v>
      </c>
      <c r="D44" s="37" t="str">
        <f>IF(B44="","",IFERROR(INDEX('Task Master'!$J$5:$J$100,MATCH(B44,'Task Master'!$A$5:$A$100,0)),""))</f>
        <v>swaminadh.chirakala@petronas.com</v>
      </c>
      <c r="E44" s="37" t="str">
        <f>IF(B44="","",IFERROR(INDEX('Task Master'!$K$5:$K$100,MATCH(B44,'Task Master'!$A$5:$A$100,0)),""))</f>
        <v>swaminadh.chirakala@petronas.com</v>
      </c>
      <c r="F44" s="36" t="s">
        <v>5373</v>
      </c>
      <c r="G44" s="36" t="s">
        <v>259</v>
      </c>
      <c r="H44" s="36" t="s">
        <v>467</v>
      </c>
      <c r="I44" s="36" t="s">
        <v>5372</v>
      </c>
      <c r="J44" s="38">
        <v>46252</v>
      </c>
      <c r="K44" s="36" t="s">
        <v>470</v>
      </c>
      <c r="L44" s="38"/>
      <c r="M44" s="39"/>
      <c r="N44" s="39"/>
      <c r="O44" s="40" t="str">
        <f t="shared" si="1"/>
        <v>No</v>
      </c>
      <c r="P44" s="39"/>
    </row>
    <row r="45" spans="1:16">
      <c r="A45" s="35">
        <v>46255</v>
      </c>
      <c r="B45" s="36" t="s">
        <v>289</v>
      </c>
      <c r="C45" s="37" t="str">
        <f>IF(B45="","",IFERROR(INDEX('Task Master'!$C$5:$C$100,MATCH(B45,'Task Master'!$A$5:$A$100,0)),""))</f>
        <v>executing</v>
      </c>
      <c r="D45" s="37" t="str">
        <f>IF(B45="","",IFERROR(INDEX('Task Master'!$J$5:$J$100,MATCH(B45,'Task Master'!$A$5:$A$100,0)),""))</f>
        <v>swaminadh.chirakala@petronas.com</v>
      </c>
      <c r="E45" s="37" t="str">
        <f>IF(B45="","",IFERROR(INDEX('Task Master'!$K$5:$K$100,MATCH(B45,'Task Master'!$A$5:$A$100,0)),""))</f>
        <v>swaminadh.chirakala@petronas.com</v>
      </c>
      <c r="F45" s="36" t="s">
        <v>5373</v>
      </c>
      <c r="G45" s="36" t="s">
        <v>259</v>
      </c>
      <c r="H45" s="36" t="s">
        <v>467</v>
      </c>
      <c r="I45" s="36" t="s">
        <v>5372</v>
      </c>
      <c r="J45" s="38">
        <v>46252</v>
      </c>
      <c r="K45" s="36" t="s">
        <v>470</v>
      </c>
      <c r="L45" s="38"/>
      <c r="M45" s="39"/>
      <c r="N45" s="39"/>
      <c r="O45" s="40" t="str">
        <f t="shared" si="1"/>
        <v>No</v>
      </c>
      <c r="P45" s="39"/>
    </row>
    <row r="46" spans="1:16">
      <c r="A46" s="35">
        <v>46255</v>
      </c>
      <c r="B46" s="36" t="s">
        <v>156</v>
      </c>
      <c r="C46" s="37" t="str">
        <f>IF(B46="","",IFERROR(INDEX('Task Master'!$C$5:$C$100,MATCH(B46,'Task Master'!$A$5:$A$100,0)),""))</f>
        <v>executing</v>
      </c>
      <c r="D46" s="37" t="str">
        <f>IF(B46="","",IFERROR(INDEX('Task Master'!$J$5:$J$100,MATCH(B46,'Task Master'!$A$5:$A$100,0)),""))</f>
        <v>abdul.khoir@petronas.com</v>
      </c>
      <c r="E46" s="37" t="str">
        <f>IF(B46="","",IFERROR(INDEX('Task Master'!$K$5:$K$100,MATCH(B46,'Task Master'!$A$5:$A$100,0)),""))</f>
        <v>abdul.khoir@petronas.com</v>
      </c>
      <c r="F46" s="36" t="s">
        <v>5373</v>
      </c>
      <c r="G46" s="36" t="s">
        <v>158</v>
      </c>
      <c r="H46" s="36" t="s">
        <v>467</v>
      </c>
      <c r="I46" s="36" t="s">
        <v>5372</v>
      </c>
      <c r="J46" s="38">
        <v>46252</v>
      </c>
      <c r="K46" s="36" t="s">
        <v>470</v>
      </c>
      <c r="L46" s="38"/>
      <c r="M46" s="39"/>
      <c r="N46" s="39"/>
      <c r="O46" s="40" t="str">
        <f t="shared" si="1"/>
        <v>No</v>
      </c>
      <c r="P46" s="39"/>
    </row>
    <row r="47" spans="1:16">
      <c r="A47" s="35">
        <v>46255</v>
      </c>
      <c r="B47" s="36" t="s">
        <v>234</v>
      </c>
      <c r="C47" s="37" t="str">
        <f>IF(B47="","",IFERROR(INDEX('Task Master'!$C$5:$C$100,MATCH(B47,'Task Master'!$A$5:$A$100,0)),""))</f>
        <v>executing</v>
      </c>
      <c r="D47" s="37" t="str">
        <f>IF(B47="","",IFERROR(INDEX('Task Master'!$J$5:$J$100,MATCH(B47,'Task Master'!$A$5:$A$100,0)),""))</f>
        <v>mardiansyah.rayasa@petronas.com</v>
      </c>
      <c r="E47" s="37" t="str">
        <f>IF(B47="","",IFERROR(INDEX('Task Master'!$K$5:$K$100,MATCH(B47,'Task Master'!$A$5:$A$100,0)),""))</f>
        <v>mardiansyah.rayasa@petronas.com</v>
      </c>
      <c r="F47" s="36" t="s">
        <v>5373</v>
      </c>
      <c r="G47" s="36" t="s">
        <v>237</v>
      </c>
      <c r="H47" s="36" t="s">
        <v>467</v>
      </c>
      <c r="I47" s="36" t="s">
        <v>5372</v>
      </c>
      <c r="J47" s="38">
        <v>46252</v>
      </c>
      <c r="K47" s="36" t="s">
        <v>470</v>
      </c>
      <c r="L47" s="38"/>
      <c r="M47" s="39"/>
      <c r="N47" s="39"/>
      <c r="O47" s="40" t="str">
        <f t="shared" ref="O47:O50" si="2">IF(OR(A47="",B47=""),"",IF(OR(K47="Achieved",K47="Out-of-Scope Confirmed"),"Yes","No"))</f>
        <v>No</v>
      </c>
      <c r="P47" s="39"/>
    </row>
    <row r="48" spans="1:16">
      <c r="A48" s="35">
        <v>46255</v>
      </c>
      <c r="B48" s="36" t="s">
        <v>243</v>
      </c>
      <c r="C48" s="37" t="str">
        <f>IF(B48="","",IFERROR(INDEX('Task Master'!$C$5:$C$100,MATCH(B48,'Task Master'!$A$5:$A$100,0)),""))</f>
        <v>executing</v>
      </c>
      <c r="D48" s="37" t="str">
        <f>IF(B48="","",IFERROR(INDEX('Task Master'!$J$5:$J$100,MATCH(B48,'Task Master'!$A$5:$A$100,0)),""))</f>
        <v>mardiansyah.rayasa@petronas.com</v>
      </c>
      <c r="E48" s="37" t="str">
        <f>IF(B48="","",IFERROR(INDEX('Task Master'!$K$5:$K$100,MATCH(B48,'Task Master'!$A$5:$A$100,0)),""))</f>
        <v>mardiansyah.rayasa@petronas.com</v>
      </c>
      <c r="F48" s="36" t="s">
        <v>5373</v>
      </c>
      <c r="G48" s="36" t="s">
        <v>237</v>
      </c>
      <c r="H48" s="36" t="s">
        <v>467</v>
      </c>
      <c r="I48" s="36" t="s">
        <v>5372</v>
      </c>
      <c r="J48" s="38">
        <v>46252</v>
      </c>
      <c r="K48" s="36" t="s">
        <v>470</v>
      </c>
      <c r="L48" s="38"/>
      <c r="M48" s="39"/>
      <c r="N48" s="39"/>
      <c r="O48" s="40" t="str">
        <f t="shared" si="2"/>
        <v>No</v>
      </c>
      <c r="P48" s="39"/>
    </row>
    <row r="49" spans="1:16">
      <c r="A49" s="35">
        <v>46255</v>
      </c>
      <c r="B49" s="36" t="s">
        <v>241</v>
      </c>
      <c r="C49" s="37" t="str">
        <f>IF(B49="","",IFERROR(INDEX('Task Master'!$C$5:$C$100,MATCH(B49,'Task Master'!$A$5:$A$100,0)),""))</f>
        <v>executing</v>
      </c>
      <c r="D49" s="37" t="str">
        <f>IF(B49="","",IFERROR(INDEX('Task Master'!$J$5:$J$100,MATCH(B49,'Task Master'!$A$5:$A$100,0)),""))</f>
        <v>mardiansyah.rayasa@petronas.com</v>
      </c>
      <c r="E49" s="37" t="str">
        <f>IF(B49="","",IFERROR(INDEX('Task Master'!$K$5:$K$100,MATCH(B49,'Task Master'!$A$5:$A$100,0)),""))</f>
        <v>mardiansyah.rayasa@petronas.com</v>
      </c>
      <c r="F49" s="36" t="s">
        <v>5373</v>
      </c>
      <c r="G49" s="36" t="s">
        <v>237</v>
      </c>
      <c r="H49" s="36" t="s">
        <v>467</v>
      </c>
      <c r="I49" s="36" t="s">
        <v>5372</v>
      </c>
      <c r="J49" s="38">
        <v>46252</v>
      </c>
      <c r="K49" s="36" t="s">
        <v>470</v>
      </c>
      <c r="L49" s="38"/>
      <c r="M49" s="39"/>
      <c r="N49" s="39"/>
      <c r="O49" s="40" t="str">
        <f t="shared" si="2"/>
        <v>No</v>
      </c>
      <c r="P49" s="39"/>
    </row>
    <row r="50" spans="1:16">
      <c r="A50" s="35">
        <v>46255</v>
      </c>
      <c r="B50" s="36" t="s">
        <v>238</v>
      </c>
      <c r="C50" s="37" t="str">
        <f>IF(B50="","",IFERROR(INDEX('Task Master'!$C$5:$C$100,MATCH(B50,'Task Master'!$A$5:$A$100,0)),""))</f>
        <v>executing</v>
      </c>
      <c r="D50" s="37" t="str">
        <f>IF(B50="","",IFERROR(INDEX('Task Master'!$J$5:$J$100,MATCH(B50,'Task Master'!$A$5:$A$100,0)),""))</f>
        <v>mardiansyah.rayasa@petronas.com</v>
      </c>
      <c r="E50" s="37" t="str">
        <f>IF(B50="","",IFERROR(INDEX('Task Master'!$K$5:$K$100,MATCH(B50,'Task Master'!$A$5:$A$100,0)),""))</f>
        <v>mardiansyah.rayasa@petronas.com</v>
      </c>
      <c r="F50" s="36" t="s">
        <v>5373</v>
      </c>
      <c r="G50" s="36" t="s">
        <v>237</v>
      </c>
      <c r="H50" s="36" t="s">
        <v>467</v>
      </c>
      <c r="I50" s="36" t="s">
        <v>5372</v>
      </c>
      <c r="J50" s="38">
        <v>46252</v>
      </c>
      <c r="K50" s="36" t="s">
        <v>470</v>
      </c>
      <c r="L50" s="38"/>
      <c r="M50" s="39"/>
      <c r="N50" s="39"/>
      <c r="O50" s="40" t="str">
        <f t="shared" si="2"/>
        <v>No</v>
      </c>
      <c r="P50" s="39"/>
    </row>
    <row r="51" spans="1:16">
      <c r="A51" s="35">
        <v>46255</v>
      </c>
      <c r="B51" s="36" t="s">
        <v>250</v>
      </c>
      <c r="C51" s="37" t="str">
        <f>IF(B51="","",IFERROR(INDEX('Task Master'!$C$5:$C$100,MATCH(B51,'Task Master'!$A$5:$A$100,0)),""))</f>
        <v>executing</v>
      </c>
      <c r="D51" s="37" t="str">
        <f>IF(B51="","",IFERROR(INDEX('Task Master'!$J$5:$J$100,MATCH(B51,'Task Master'!$A$5:$A$100,0)),""))</f>
        <v>raditya.nugraha@petronas.com</v>
      </c>
      <c r="E51" s="37" t="str">
        <f>IF(B51="","",IFERROR(INDEX('Task Master'!$K$5:$K$100,MATCH(B51,'Task Master'!$A$5:$A$100,0)),""))</f>
        <v>raditya.nugraha@petronas.com</v>
      </c>
      <c r="F51" s="36" t="s">
        <v>5371</v>
      </c>
      <c r="G51" s="36" t="s">
        <v>251</v>
      </c>
      <c r="H51" s="36" t="s">
        <v>467</v>
      </c>
      <c r="I51" s="36" t="s">
        <v>5372</v>
      </c>
      <c r="J51" s="38">
        <v>46252</v>
      </c>
      <c r="K51" s="36" t="s">
        <v>470</v>
      </c>
      <c r="L51" s="38"/>
      <c r="M51" s="39"/>
      <c r="N51" s="39"/>
      <c r="O51" s="40" t="str">
        <f t="shared" ref="O51:O65" si="3">IF(OR(A51="",B51=""),"",IF(OR(K51="Achieved",K51="Out-of-Scope Confirmed"),"Yes","No"))</f>
        <v>No</v>
      </c>
      <c r="P51" s="39"/>
    </row>
    <row r="52" spans="1:16">
      <c r="A52" s="35">
        <v>46255</v>
      </c>
      <c r="B52" s="36" t="s">
        <v>226</v>
      </c>
      <c r="C52" s="37" t="str">
        <f>IF(B52="","",IFERROR(INDEX('Task Master'!$C$5:$C$100,MATCH(B52,'Task Master'!$A$5:$A$100,0)),""))</f>
        <v>executing</v>
      </c>
      <c r="D52" s="37" t="str">
        <f>IF(B52="","",IFERROR(INDEX('Task Master'!$J$5:$J$100,MATCH(B52,'Task Master'!$A$5:$A$100,0)),""))</f>
        <v>IMS - CLOUD CSSP EXECUTOR</v>
      </c>
      <c r="E52" s="37" t="str">
        <f>IF(B52="","",IFERROR(INDEX('Task Master'!$K$5:$K$100,MATCH(B52,'Task Master'!$A$5:$A$100,0)),""))</f>
        <v>raditya.nugraha@petronas.com</v>
      </c>
      <c r="F52" s="36" t="s">
        <v>5371</v>
      </c>
      <c r="G52" s="36" t="s">
        <v>126</v>
      </c>
      <c r="H52" s="36" t="s">
        <v>467</v>
      </c>
      <c r="I52" s="36" t="s">
        <v>5372</v>
      </c>
      <c r="J52" s="38">
        <v>46252</v>
      </c>
      <c r="K52" s="36" t="s">
        <v>470</v>
      </c>
      <c r="L52" s="38"/>
      <c r="M52" s="39"/>
      <c r="N52" s="39"/>
      <c r="O52" s="40" t="str">
        <f t="shared" si="3"/>
        <v>No</v>
      </c>
      <c r="P52" s="39"/>
    </row>
    <row r="53" spans="1:16">
      <c r="A53" s="35">
        <v>46255</v>
      </c>
      <c r="B53" s="36" t="s">
        <v>223</v>
      </c>
      <c r="C53" s="37" t="str">
        <f>IF(B53="","",IFERROR(INDEX('Task Master'!$C$5:$C$100,MATCH(B53,'Task Master'!$A$5:$A$100,0)),""))</f>
        <v>executing</v>
      </c>
      <c r="D53" s="37" t="str">
        <f>IF(B53="","",IFERROR(INDEX('Task Master'!$J$5:$J$100,MATCH(B53,'Task Master'!$A$5:$A$100,0)),""))</f>
        <v>IMS - CLOUD CSSP EXECUTOR</v>
      </c>
      <c r="E53" s="37" t="str">
        <f>IF(B53="","",IFERROR(INDEX('Task Master'!$K$5:$K$100,MATCH(B53,'Task Master'!$A$5:$A$100,0)),""))</f>
        <v>raditya.nugraha@petronas.com</v>
      </c>
      <c r="F53" s="36" t="s">
        <v>5371</v>
      </c>
      <c r="G53" s="36" t="s">
        <v>126</v>
      </c>
      <c r="H53" s="36" t="s">
        <v>467</v>
      </c>
      <c r="I53" s="36" t="s">
        <v>5372</v>
      </c>
      <c r="J53" s="38">
        <v>46252</v>
      </c>
      <c r="K53" s="36" t="s">
        <v>470</v>
      </c>
      <c r="L53" s="38"/>
      <c r="M53" s="39"/>
      <c r="N53" s="39"/>
      <c r="O53" s="40" t="str">
        <f t="shared" si="3"/>
        <v>No</v>
      </c>
      <c r="P53" s="39"/>
    </row>
    <row r="54" spans="1:16">
      <c r="A54" s="35">
        <v>46255</v>
      </c>
      <c r="B54" s="36" t="s">
        <v>299</v>
      </c>
      <c r="C54" s="37" t="str">
        <f>IF(B54="","",IFERROR(INDEX('Task Master'!$C$5:$C$100,MATCH(B54,'Task Master'!$A$5:$A$100,0)),""))</f>
        <v>executing</v>
      </c>
      <c r="D54" s="37" t="str">
        <f>IF(B54="","",IFERROR(INDEX('Task Master'!$J$5:$J$100,MATCH(B54,'Task Master'!$A$5:$A$100,0)),""))</f>
        <v>venkatesh.kalikivayi@petronas.com</v>
      </c>
      <c r="E54" s="37" t="str">
        <f>IF(B54="","",IFERROR(INDEX('Task Master'!$K$5:$K$100,MATCH(B54,'Task Master'!$A$5:$A$100,0)),""))</f>
        <v>raditya.nugraha@petronas.com</v>
      </c>
      <c r="F54" s="36" t="s">
        <v>5371</v>
      </c>
      <c r="G54" s="36" t="s">
        <v>295</v>
      </c>
      <c r="H54" s="36" t="s">
        <v>467</v>
      </c>
      <c r="I54" s="36" t="s">
        <v>5372</v>
      </c>
      <c r="J54" s="38">
        <v>46252</v>
      </c>
      <c r="K54" s="36" t="s">
        <v>470</v>
      </c>
      <c r="L54" s="38"/>
      <c r="M54" s="39"/>
      <c r="N54" s="39"/>
      <c r="O54" s="40" t="str">
        <f t="shared" si="3"/>
        <v>No</v>
      </c>
      <c r="P54" s="39"/>
    </row>
    <row r="55" spans="1:16">
      <c r="A55" s="35">
        <v>46255</v>
      </c>
      <c r="B55" s="36" t="s">
        <v>252</v>
      </c>
      <c r="C55" s="37" t="str">
        <f>IF(B55="","",IFERROR(INDEX('Task Master'!$C$5:$C$100,MATCH(B55,'Task Master'!$A$5:$A$100,0)),""))</f>
        <v>executing</v>
      </c>
      <c r="D55" s="37" t="str">
        <f>IF(B55="","",IFERROR(INDEX('Task Master'!$J$5:$J$100,MATCH(B55,'Task Master'!$A$5:$A$100,0)),""))</f>
        <v>sairam.villa@petronas.com</v>
      </c>
      <c r="E55" s="37" t="str">
        <f>IF(B55="","",IFERROR(INDEX('Task Master'!$K$5:$K$100,MATCH(B55,'Task Master'!$A$5:$A$100,0)),""))</f>
        <v>raditya.nugraha@petronas.com</v>
      </c>
      <c r="F55" s="36" t="s">
        <v>5371</v>
      </c>
      <c r="G55" s="36" t="s">
        <v>255</v>
      </c>
      <c r="H55" s="36" t="s">
        <v>467</v>
      </c>
      <c r="I55" s="36" t="s">
        <v>5372</v>
      </c>
      <c r="J55" s="38">
        <v>46252</v>
      </c>
      <c r="K55" s="36" t="s">
        <v>470</v>
      </c>
      <c r="L55" s="38"/>
      <c r="M55" s="39"/>
      <c r="N55" s="39"/>
      <c r="O55" s="40" t="str">
        <f t="shared" si="3"/>
        <v>No</v>
      </c>
      <c r="P55" s="39"/>
    </row>
    <row r="56" spans="1:16">
      <c r="A56" s="35">
        <v>46255</v>
      </c>
      <c r="B56" s="36" t="s">
        <v>163</v>
      </c>
      <c r="C56" s="37" t="str">
        <f>IF(B56="","",IFERROR(INDEX('Task Master'!$C$5:$C$100,MATCH(B56,'Task Master'!$A$5:$A$100,0)),""))</f>
        <v>executing</v>
      </c>
      <c r="D56" s="37" t="str">
        <f>IF(B56="","",IFERROR(INDEX('Task Master'!$J$5:$J$100,MATCH(B56,'Task Master'!$A$5:$A$100,0)),""))</f>
        <v>abhishek.bhowate@petronas.com</v>
      </c>
      <c r="E56" s="37" t="str">
        <f>IF(B56="","",IFERROR(INDEX('Task Master'!$K$5:$K$100,MATCH(B56,'Task Master'!$A$5:$A$100,0)),""))</f>
        <v>arun.karuppiah@petronas.com</v>
      </c>
      <c r="F56" s="36" t="s">
        <v>5371</v>
      </c>
      <c r="G56" s="36" t="s">
        <v>162</v>
      </c>
      <c r="H56" s="36" t="s">
        <v>467</v>
      </c>
      <c r="I56" s="36" t="s">
        <v>5372</v>
      </c>
      <c r="J56" s="38">
        <v>46252</v>
      </c>
      <c r="K56" s="36" t="s">
        <v>470</v>
      </c>
      <c r="L56" s="38"/>
      <c r="M56" s="39"/>
      <c r="N56" s="39"/>
      <c r="O56" s="40" t="str">
        <f t="shared" si="3"/>
        <v>No</v>
      </c>
      <c r="P56" s="39"/>
    </row>
    <row r="57" spans="1:16">
      <c r="A57" s="35">
        <v>46255</v>
      </c>
      <c r="B57" s="36" t="s">
        <v>305</v>
      </c>
      <c r="C57" s="37" t="str">
        <f>IF(B57="","",IFERROR(INDEX('Task Master'!$C$5:$C$100,MATCH(B57,'Task Master'!$A$5:$A$100,0)),""))</f>
        <v>executing</v>
      </c>
      <c r="D57" s="37" t="str">
        <f>IF(B57="","",IFERROR(INDEX('Task Master'!$J$5:$J$100,MATCH(B57,'Task Master'!$A$5:$A$100,0)),""))</f>
        <v>venkatesh.kalikivayi@petronas.com</v>
      </c>
      <c r="E57" s="37" t="str">
        <f>IF(B57="","",IFERROR(INDEX('Task Master'!$K$5:$K$100,MATCH(B57,'Task Master'!$A$5:$A$100,0)),""))</f>
        <v>arun.karuppiah@petronas.com</v>
      </c>
      <c r="F57" s="36" t="s">
        <v>5371</v>
      </c>
      <c r="G57" s="36" t="s">
        <v>295</v>
      </c>
      <c r="H57" s="36" t="s">
        <v>467</v>
      </c>
      <c r="I57" s="36" t="s">
        <v>5372</v>
      </c>
      <c r="J57" s="38">
        <v>46252</v>
      </c>
      <c r="K57" s="36" t="s">
        <v>470</v>
      </c>
      <c r="L57" s="38"/>
      <c r="M57" s="39"/>
      <c r="N57" s="39"/>
      <c r="O57" s="40" t="str">
        <f t="shared" si="3"/>
        <v>No</v>
      </c>
      <c r="P57" s="39"/>
    </row>
    <row r="58" spans="1:16">
      <c r="A58" s="35">
        <v>46255</v>
      </c>
      <c r="B58" s="36" t="s">
        <v>301</v>
      </c>
      <c r="C58" s="37" t="str">
        <f>IF(B58="","",IFERROR(INDEX('Task Master'!$C$5:$C$100,MATCH(B58,'Task Master'!$A$5:$A$100,0)),""))</f>
        <v>executing</v>
      </c>
      <c r="D58" s="37" t="str">
        <f>IF(B58="","",IFERROR(INDEX('Task Master'!$J$5:$J$100,MATCH(B58,'Task Master'!$A$5:$A$100,0)),""))</f>
        <v>venkatesh.kalikivayi@petronas.com</v>
      </c>
      <c r="E58" s="37" t="str">
        <f>IF(B58="","",IFERROR(INDEX('Task Master'!$K$5:$K$100,MATCH(B58,'Task Master'!$A$5:$A$100,0)),""))</f>
        <v>arun.karuppiah@petronas.com</v>
      </c>
      <c r="F58" s="36" t="s">
        <v>5371</v>
      </c>
      <c r="G58" s="36" t="s">
        <v>295</v>
      </c>
      <c r="H58" s="36" t="s">
        <v>467</v>
      </c>
      <c r="I58" s="36" t="s">
        <v>5372</v>
      </c>
      <c r="J58" s="38">
        <v>46252</v>
      </c>
      <c r="K58" s="36" t="s">
        <v>470</v>
      </c>
      <c r="L58" s="38"/>
      <c r="M58" s="39"/>
      <c r="N58" s="39"/>
      <c r="O58" s="40" t="str">
        <f t="shared" si="3"/>
        <v>No</v>
      </c>
      <c r="P58" s="39"/>
    </row>
    <row r="59" spans="1:16">
      <c r="A59" s="35">
        <v>46255</v>
      </c>
      <c r="B59" s="36" t="s">
        <v>304</v>
      </c>
      <c r="C59" s="37" t="str">
        <f>IF(B59="","",IFERROR(INDEX('Task Master'!$C$5:$C$100,MATCH(B59,'Task Master'!$A$5:$A$100,0)),""))</f>
        <v>executing</v>
      </c>
      <c r="D59" s="37" t="str">
        <f>IF(B59="","",IFERROR(INDEX('Task Master'!$J$5:$J$100,MATCH(B59,'Task Master'!$A$5:$A$100,0)),""))</f>
        <v>venkatesh.kalikivayi@petronas.com</v>
      </c>
      <c r="E59" s="37" t="str">
        <f>IF(B59="","",IFERROR(INDEX('Task Master'!$K$5:$K$100,MATCH(B59,'Task Master'!$A$5:$A$100,0)),""))</f>
        <v>arun.karuppiah@petronas.com</v>
      </c>
      <c r="F59" s="36" t="s">
        <v>5371</v>
      </c>
      <c r="G59" s="36" t="s">
        <v>295</v>
      </c>
      <c r="H59" s="36" t="s">
        <v>467</v>
      </c>
      <c r="I59" s="36" t="s">
        <v>5372</v>
      </c>
      <c r="J59" s="38">
        <v>46252</v>
      </c>
      <c r="K59" s="36" t="s">
        <v>470</v>
      </c>
      <c r="L59" s="38"/>
      <c r="M59" s="39"/>
      <c r="N59" s="39"/>
      <c r="O59" s="40" t="str">
        <f t="shared" si="3"/>
        <v>No</v>
      </c>
      <c r="P59" s="39"/>
    </row>
    <row r="60" spans="1:16">
      <c r="A60" s="35">
        <v>46255</v>
      </c>
      <c r="B60" s="36" t="s">
        <v>296</v>
      </c>
      <c r="C60" s="37" t="str">
        <f>IF(B60="","",IFERROR(INDEX('Task Master'!$C$5:$C$100,MATCH(B60,'Task Master'!$A$5:$A$100,0)),""))</f>
        <v>executing</v>
      </c>
      <c r="D60" s="37" t="str">
        <f>IF(B60="","",IFERROR(INDEX('Task Master'!$J$5:$J$100,MATCH(B60,'Task Master'!$A$5:$A$100,0)),""))</f>
        <v>venkatesh.kalikivayi@petronas.com</v>
      </c>
      <c r="E60" s="37" t="str">
        <f>IF(B60="","",IFERROR(INDEX('Task Master'!$K$5:$K$100,MATCH(B60,'Task Master'!$A$5:$A$100,0)),""))</f>
        <v>arun.karuppiah@petronas.com</v>
      </c>
      <c r="F60" s="36" t="s">
        <v>5371</v>
      </c>
      <c r="G60" s="36" t="s">
        <v>295</v>
      </c>
      <c r="H60" s="36" t="s">
        <v>467</v>
      </c>
      <c r="I60" s="36" t="s">
        <v>5372</v>
      </c>
      <c r="J60" s="38">
        <v>46252</v>
      </c>
      <c r="K60" s="36" t="s">
        <v>470</v>
      </c>
      <c r="L60" s="38"/>
      <c r="M60" s="39"/>
      <c r="N60" s="39"/>
      <c r="O60" s="40" t="str">
        <f t="shared" si="3"/>
        <v>No</v>
      </c>
      <c r="P60" s="39"/>
    </row>
    <row r="61" spans="1:16">
      <c r="A61" s="35">
        <v>46255</v>
      </c>
      <c r="B61" s="36" t="s">
        <v>294</v>
      </c>
      <c r="C61" s="37" t="str">
        <f>IF(B61="","",IFERROR(INDEX('Task Master'!$C$5:$C$100,MATCH(B61,'Task Master'!$A$5:$A$100,0)),""))</f>
        <v>executing</v>
      </c>
      <c r="D61" s="37" t="str">
        <f>IF(B61="","",IFERROR(INDEX('Task Master'!$J$5:$J$100,MATCH(B61,'Task Master'!$A$5:$A$100,0)),""))</f>
        <v>venkatesh.kalikivayi@petronas.com</v>
      </c>
      <c r="E61" s="37" t="str">
        <f>IF(B61="","",IFERROR(INDEX('Task Master'!$K$5:$K$100,MATCH(B61,'Task Master'!$A$5:$A$100,0)),""))</f>
        <v>abdul.khoir@petronas.com</v>
      </c>
      <c r="F61" s="36" t="s">
        <v>5371</v>
      </c>
      <c r="G61" s="36" t="s">
        <v>295</v>
      </c>
      <c r="H61" s="36" t="s">
        <v>467</v>
      </c>
      <c r="I61" s="36" t="s">
        <v>5372</v>
      </c>
      <c r="J61" s="38">
        <v>46252</v>
      </c>
      <c r="K61" s="36" t="s">
        <v>470</v>
      </c>
      <c r="L61" s="38"/>
      <c r="M61" s="39"/>
      <c r="N61" s="39"/>
      <c r="O61" s="40" t="str">
        <f t="shared" si="3"/>
        <v>No</v>
      </c>
      <c r="P61" s="39"/>
    </row>
    <row r="62" spans="1:16">
      <c r="A62" s="35">
        <v>46255</v>
      </c>
      <c r="B62" s="36" t="s">
        <v>159</v>
      </c>
      <c r="C62" s="37" t="str">
        <f>IF(B62="","",IFERROR(INDEX('Task Master'!$C$5:$C$100,MATCH(B62,'Task Master'!$A$5:$A$100,0)),""))</f>
        <v>executing</v>
      </c>
      <c r="D62" s="37" t="str">
        <f>IF(B62="","",IFERROR(INDEX('Task Master'!$J$5:$J$100,MATCH(B62,'Task Master'!$A$5:$A$100,0)),""))</f>
        <v>abhishek.bhowate@petronas.com</v>
      </c>
      <c r="E62" s="37" t="str">
        <f>IF(B62="","",IFERROR(INDEX('Task Master'!$K$5:$K$100,MATCH(B62,'Task Master'!$A$5:$A$100,0)),""))</f>
        <v>abdul.khoir@petronas.com</v>
      </c>
      <c r="F62" s="36" t="s">
        <v>5371</v>
      </c>
      <c r="G62" s="36" t="s">
        <v>162</v>
      </c>
      <c r="H62" s="36" t="s">
        <v>467</v>
      </c>
      <c r="I62" s="36" t="s">
        <v>5372</v>
      </c>
      <c r="J62" s="38">
        <v>46252</v>
      </c>
      <c r="K62" s="36" t="s">
        <v>470</v>
      </c>
      <c r="L62" s="38"/>
      <c r="M62" s="39"/>
      <c r="N62" s="39"/>
      <c r="O62" s="40" t="str">
        <f t="shared" si="3"/>
        <v>No</v>
      </c>
      <c r="P62" s="39"/>
    </row>
    <row r="63" spans="1:16">
      <c r="A63" s="35">
        <v>46255</v>
      </c>
      <c r="B63" s="36" t="s">
        <v>246</v>
      </c>
      <c r="C63" s="37" t="str">
        <f>IF(B63="","",IFERROR(INDEX('Task Master'!$C$5:$C$100,MATCH(B63,'Task Master'!$A$5:$A$100,0)),""))</f>
        <v>executing</v>
      </c>
      <c r="D63" s="37" t="str">
        <f>IF(B63="","",IFERROR(INDEX('Task Master'!$J$5:$J$100,MATCH(B63,'Task Master'!$A$5:$A$100,0)),""))</f>
        <v>nilesh.sankpal@petronas.com</v>
      </c>
      <c r="E63" s="37" t="str">
        <f>IF(B63="","",IFERROR(INDEX('Task Master'!$K$5:$K$100,MATCH(B63,'Task Master'!$A$5:$A$100,0)),""))</f>
        <v>abdul.khoir@petronas.com</v>
      </c>
      <c r="F63" s="36" t="s">
        <v>5371</v>
      </c>
      <c r="G63" s="36" t="s">
        <v>249</v>
      </c>
      <c r="H63" s="36" t="s">
        <v>467</v>
      </c>
      <c r="I63" s="36" t="s">
        <v>5372</v>
      </c>
      <c r="J63" s="38">
        <v>46252</v>
      </c>
      <c r="K63" s="36" t="s">
        <v>470</v>
      </c>
      <c r="L63" s="38"/>
      <c r="M63" s="39"/>
      <c r="N63" s="39"/>
      <c r="O63" s="40" t="str">
        <f t="shared" si="3"/>
        <v>No</v>
      </c>
      <c r="P63" s="39"/>
    </row>
    <row r="64" spans="1:16">
      <c r="A64" s="35">
        <v>46255</v>
      </c>
      <c r="B64" s="36" t="s">
        <v>229</v>
      </c>
      <c r="C64" s="37" t="str">
        <f>IF(B64="","",IFERROR(INDEX('Task Master'!$C$5:$C$100,MATCH(B64,'Task Master'!$A$5:$A$100,0)),""))</f>
        <v>executing</v>
      </c>
      <c r="D64" s="37" t="str">
        <f>IF(B64="","",IFERROR(INDEX('Task Master'!$J$5:$J$100,MATCH(B64,'Task Master'!$A$5:$A$100,0)),""))</f>
        <v>K.saktivelu@petronas.com</v>
      </c>
      <c r="E64" s="37" t="str">
        <f>IF(B64="","",IFERROR(INDEX('Task Master'!$K$5:$K$100,MATCH(B64,'Task Master'!$A$5:$A$100,0)),""))</f>
        <v>abdul.khoir@petronas.com</v>
      </c>
      <c r="F64" s="36" t="s">
        <v>5371</v>
      </c>
      <c r="G64" s="36" t="s">
        <v>437</v>
      </c>
      <c r="H64" s="36" t="s">
        <v>467</v>
      </c>
      <c r="I64" s="36" t="s">
        <v>5372</v>
      </c>
      <c r="J64" s="38">
        <v>46252</v>
      </c>
      <c r="K64" s="36" t="s">
        <v>470</v>
      </c>
      <c r="L64" s="38"/>
      <c r="M64" s="39"/>
      <c r="N64" s="39"/>
      <c r="O64" s="40" t="str">
        <f t="shared" si="3"/>
        <v>No</v>
      </c>
      <c r="P64" s="39"/>
    </row>
    <row r="65" spans="1:16">
      <c r="A65" s="35">
        <v>46255</v>
      </c>
      <c r="B65" s="36" t="s">
        <v>231</v>
      </c>
      <c r="C65" s="37" t="str">
        <f>IF(B65="","",IFERROR(INDEX('Task Master'!$C$5:$C$100,MATCH(B65,'Task Master'!$A$5:$A$100,0)),""))</f>
        <v>executing</v>
      </c>
      <c r="D65" s="37" t="str">
        <f>IF(B65="","",IFERROR(INDEX('Task Master'!$J$5:$J$100,MATCH(B65,'Task Master'!$A$5:$A$100,0)),""))</f>
        <v>K.saktivelu@petronas.com</v>
      </c>
      <c r="E65" s="37" t="str">
        <f>IF(B65="","",IFERROR(INDEX('Task Master'!$K$5:$K$100,MATCH(B65,'Task Master'!$A$5:$A$100,0)),""))</f>
        <v>mardiansyah.rayasa@petronas.com</v>
      </c>
      <c r="F65" s="36" t="s">
        <v>5371</v>
      </c>
      <c r="G65" s="36" t="s">
        <v>437</v>
      </c>
      <c r="H65" s="36" t="s">
        <v>467</v>
      </c>
      <c r="I65" s="36" t="s">
        <v>5372</v>
      </c>
      <c r="J65" s="38">
        <v>46252</v>
      </c>
      <c r="K65" s="36" t="s">
        <v>470</v>
      </c>
      <c r="L65" s="38"/>
      <c r="M65" s="39"/>
      <c r="N65" s="39"/>
      <c r="O65" s="40" t="str">
        <f t="shared" si="3"/>
        <v>No</v>
      </c>
      <c r="P65" s="39"/>
    </row>
    <row r="66" spans="1:16">
      <c r="A66" s="35"/>
      <c r="B66" s="36"/>
      <c r="C66" s="37" t="str">
        <f>IF(B66="","",IFERROR(INDEX('Task Master'!$C$5:$C$100,MATCH(B66,'Task Master'!$A$5:$A$100,0)),""))</f>
        <v/>
      </c>
      <c r="D66" s="37" t="str">
        <f>IF(B66="","",IFERROR(INDEX('Task Master'!$J$5:$J$100,MATCH(B66,'Task Master'!$A$5:$A$100,0)),""))</f>
        <v/>
      </c>
      <c r="E66" s="37" t="str">
        <f>IF(B66="","",IFERROR(INDEX('Task Master'!$K$5:$K$100,MATCH(B66,'Task Master'!$A$5:$A$100,0)),""))</f>
        <v/>
      </c>
      <c r="F66" s="36"/>
      <c r="G66" s="36"/>
      <c r="H66" s="36"/>
      <c r="I66" s="36"/>
      <c r="J66" s="38"/>
      <c r="K66" s="36"/>
      <c r="L66" s="38"/>
      <c r="M66" s="39"/>
      <c r="N66" s="39"/>
      <c r="O66" s="40" t="str">
        <f t="shared" si="1"/>
        <v/>
      </c>
      <c r="P66" s="39"/>
    </row>
    <row r="67" spans="1:16">
      <c r="A67" s="35"/>
      <c r="B67" s="36"/>
      <c r="C67" s="37" t="str">
        <f>IF(B67="","",IFERROR(INDEX('Task Master'!$C$5:$C$100,MATCH(B67,'Task Master'!$A$5:$A$100,0)),""))</f>
        <v/>
      </c>
      <c r="D67" s="37" t="str">
        <f>IF(B67="","",IFERROR(INDEX('Task Master'!$J$5:$J$100,MATCH(B67,'Task Master'!$A$5:$A$100,0)),""))</f>
        <v/>
      </c>
      <c r="E67" s="37" t="str">
        <f>IF(B67="","",IFERROR(INDEX('Task Master'!$K$5:$K$100,MATCH(B67,'Task Master'!$A$5:$A$100,0)),""))</f>
        <v/>
      </c>
      <c r="F67" s="36"/>
      <c r="G67" s="36"/>
      <c r="H67" s="36"/>
      <c r="I67" s="36"/>
      <c r="J67" s="38"/>
      <c r="K67" s="36"/>
      <c r="L67" s="38"/>
      <c r="M67" s="39"/>
      <c r="N67" s="39"/>
      <c r="O67" s="40" t="str">
        <f t="shared" si="1"/>
        <v/>
      </c>
      <c r="P67" s="39"/>
    </row>
    <row r="68" spans="1:16">
      <c r="A68" s="35"/>
      <c r="B68" s="36"/>
      <c r="C68" s="37" t="str">
        <f>IF(B68="","",IFERROR(INDEX('Task Master'!$C$5:$C$100,MATCH(B68,'Task Master'!$A$5:$A$100,0)),""))</f>
        <v/>
      </c>
      <c r="D68" s="37" t="str">
        <f>IF(B68="","",IFERROR(INDEX('Task Master'!$J$5:$J$100,MATCH(B68,'Task Master'!$A$5:$A$100,0)),""))</f>
        <v/>
      </c>
      <c r="E68" s="37" t="str">
        <f>IF(B68="","",IFERROR(INDEX('Task Master'!$K$5:$K$100,MATCH(B68,'Task Master'!$A$5:$A$100,0)),""))</f>
        <v/>
      </c>
      <c r="F68" s="36"/>
      <c r="G68" s="36"/>
      <c r="H68" s="36"/>
      <c r="I68" s="36"/>
      <c r="J68" s="38"/>
      <c r="K68" s="36"/>
      <c r="L68" s="38"/>
      <c r="M68" s="39"/>
      <c r="N68" s="39"/>
      <c r="O68" s="40" t="str">
        <f t="shared" si="1"/>
        <v/>
      </c>
      <c r="P68" s="39"/>
    </row>
    <row r="69" spans="1:16">
      <c r="A69" s="35"/>
      <c r="B69" s="36"/>
      <c r="C69" s="37" t="str">
        <f>IF(B69="","",IFERROR(INDEX('Task Master'!$C$5:$C$100,MATCH(B69,'Task Master'!$A$5:$A$100,0)),""))</f>
        <v/>
      </c>
      <c r="D69" s="37" t="str">
        <f>IF(B69="","",IFERROR(INDEX('Task Master'!$J$5:$J$100,MATCH(B69,'Task Master'!$A$5:$A$100,0)),""))</f>
        <v/>
      </c>
      <c r="E69" s="37" t="str">
        <f>IF(B69="","",IFERROR(INDEX('Task Master'!$K$5:$K$100,MATCH(B69,'Task Master'!$A$5:$A$100,0)),""))</f>
        <v/>
      </c>
      <c r="F69" s="36"/>
      <c r="G69" s="36"/>
      <c r="H69" s="36"/>
      <c r="I69" s="36"/>
      <c r="J69" s="38"/>
      <c r="K69" s="36"/>
      <c r="L69" s="38"/>
      <c r="M69" s="39"/>
      <c r="N69" s="39"/>
      <c r="O69" s="40" t="str">
        <f t="shared" ref="O69:O100" si="4">IF(OR(A69="",B69=""),"",IF(OR(K69="Achieved",K69="Out-of-Scope Confirmed"),"Yes","No"))</f>
        <v/>
      </c>
      <c r="P69" s="39"/>
    </row>
    <row r="70" spans="1:16">
      <c r="A70" s="35"/>
      <c r="B70" s="36"/>
      <c r="C70" s="37" t="str">
        <f>IF(B70="","",IFERROR(INDEX('Task Master'!$C$5:$C$100,MATCH(B70,'Task Master'!$A$5:$A$100,0)),""))</f>
        <v/>
      </c>
      <c r="D70" s="37" t="str">
        <f>IF(B70="","",IFERROR(INDEX('Task Master'!$J$5:$J$100,MATCH(B70,'Task Master'!$A$5:$A$100,0)),""))</f>
        <v/>
      </c>
      <c r="E70" s="37" t="str">
        <f>IF(B70="","",IFERROR(INDEX('Task Master'!$K$5:$K$100,MATCH(B70,'Task Master'!$A$5:$A$100,0)),""))</f>
        <v/>
      </c>
      <c r="F70" s="36"/>
      <c r="G70" s="36"/>
      <c r="H70" s="36"/>
      <c r="I70" s="36"/>
      <c r="J70" s="38"/>
      <c r="K70" s="36"/>
      <c r="L70" s="38"/>
      <c r="M70" s="39"/>
      <c r="N70" s="39"/>
      <c r="O70" s="40" t="str">
        <f t="shared" si="4"/>
        <v/>
      </c>
      <c r="P70" s="39"/>
    </row>
    <row r="71" spans="1:16">
      <c r="A71" s="35"/>
      <c r="B71" s="36"/>
      <c r="C71" s="37" t="str">
        <f>IF(B71="","",IFERROR(INDEX('Task Master'!$C$5:$C$100,MATCH(B71,'Task Master'!$A$5:$A$100,0)),""))</f>
        <v/>
      </c>
      <c r="D71" s="37" t="str">
        <f>IF(B71="","",IFERROR(INDEX('Task Master'!$J$5:$J$100,MATCH(B71,'Task Master'!$A$5:$A$100,0)),""))</f>
        <v/>
      </c>
      <c r="E71" s="37" t="str">
        <f>IF(B71="","",IFERROR(INDEX('Task Master'!$K$5:$K$100,MATCH(B71,'Task Master'!$A$5:$A$100,0)),""))</f>
        <v/>
      </c>
      <c r="F71" s="36"/>
      <c r="G71" s="36"/>
      <c r="H71" s="36"/>
      <c r="I71" s="36"/>
      <c r="J71" s="38"/>
      <c r="K71" s="36"/>
      <c r="L71" s="38"/>
      <c r="M71" s="39"/>
      <c r="N71" s="39"/>
      <c r="O71" s="40" t="str">
        <f t="shared" si="4"/>
        <v/>
      </c>
      <c r="P71" s="39"/>
    </row>
    <row r="72" spans="1:16">
      <c r="A72" s="35"/>
      <c r="B72" s="36"/>
      <c r="C72" s="37" t="str">
        <f>IF(B72="","",IFERROR(INDEX('Task Master'!$C$5:$C$100,MATCH(B72,'Task Master'!$A$5:$A$100,0)),""))</f>
        <v/>
      </c>
      <c r="D72" s="37" t="str">
        <f>IF(B72="","",IFERROR(INDEX('Task Master'!$J$5:$J$100,MATCH(B72,'Task Master'!$A$5:$A$100,0)),""))</f>
        <v/>
      </c>
      <c r="E72" s="37" t="str">
        <f>IF(B72="","",IFERROR(INDEX('Task Master'!$K$5:$K$100,MATCH(B72,'Task Master'!$A$5:$A$100,0)),""))</f>
        <v/>
      </c>
      <c r="F72" s="36"/>
      <c r="G72" s="36"/>
      <c r="H72" s="36"/>
      <c r="I72" s="36"/>
      <c r="J72" s="38"/>
      <c r="K72" s="36"/>
      <c r="L72" s="38"/>
      <c r="M72" s="39"/>
      <c r="N72" s="39"/>
      <c r="O72" s="40" t="str">
        <f t="shared" si="4"/>
        <v/>
      </c>
      <c r="P72" s="39"/>
    </row>
    <row r="73" spans="1:16">
      <c r="A73" s="35"/>
      <c r="B73" s="36"/>
      <c r="C73" s="37" t="str">
        <f>IF(B73="","",IFERROR(INDEX('Task Master'!$C$5:$C$100,MATCH(B73,'Task Master'!$A$5:$A$100,0)),""))</f>
        <v/>
      </c>
      <c r="D73" s="37" t="str">
        <f>IF(B73="","",IFERROR(INDEX('Task Master'!$J$5:$J$100,MATCH(B73,'Task Master'!$A$5:$A$100,0)),""))</f>
        <v/>
      </c>
      <c r="E73" s="37" t="str">
        <f>IF(B73="","",IFERROR(INDEX('Task Master'!$K$5:$K$100,MATCH(B73,'Task Master'!$A$5:$A$100,0)),""))</f>
        <v/>
      </c>
      <c r="F73" s="36"/>
      <c r="G73" s="36"/>
      <c r="H73" s="36"/>
      <c r="I73" s="36"/>
      <c r="J73" s="38"/>
      <c r="K73" s="36"/>
      <c r="L73" s="38"/>
      <c r="M73" s="39"/>
      <c r="N73" s="39"/>
      <c r="O73" s="40" t="str">
        <f t="shared" si="4"/>
        <v/>
      </c>
      <c r="P73" s="39"/>
    </row>
    <row r="74" spans="1:16">
      <c r="A74" s="35"/>
      <c r="B74" s="36"/>
      <c r="C74" s="37" t="str">
        <f>IF(B74="","",IFERROR(INDEX('Task Master'!$C$5:$C$100,MATCH(B74,'Task Master'!$A$5:$A$100,0)),""))</f>
        <v/>
      </c>
      <c r="D74" s="37" t="str">
        <f>IF(B74="","",IFERROR(INDEX('Task Master'!$J$5:$J$100,MATCH(B74,'Task Master'!$A$5:$A$100,0)),""))</f>
        <v/>
      </c>
      <c r="E74" s="37" t="str">
        <f>IF(B74="","",IFERROR(INDEX('Task Master'!$K$5:$K$100,MATCH(B74,'Task Master'!$A$5:$A$100,0)),""))</f>
        <v/>
      </c>
      <c r="F74" s="36"/>
      <c r="G74" s="36"/>
      <c r="H74" s="36"/>
      <c r="I74" s="36"/>
      <c r="J74" s="38"/>
      <c r="K74" s="36"/>
      <c r="L74" s="38"/>
      <c r="M74" s="39"/>
      <c r="N74" s="39"/>
      <c r="O74" s="40" t="str">
        <f t="shared" si="4"/>
        <v/>
      </c>
      <c r="P74" s="39"/>
    </row>
    <row r="75" spans="1:16">
      <c r="A75" s="35"/>
      <c r="B75" s="36"/>
      <c r="C75" s="37" t="str">
        <f>IF(B75="","",IFERROR(INDEX('Task Master'!$C$5:$C$100,MATCH(B75,'Task Master'!$A$5:$A$100,0)),""))</f>
        <v/>
      </c>
      <c r="D75" s="37" t="str">
        <f>IF(B75="","",IFERROR(INDEX('Task Master'!$J$5:$J$100,MATCH(B75,'Task Master'!$A$5:$A$100,0)),""))</f>
        <v/>
      </c>
      <c r="E75" s="37" t="str">
        <f>IF(B75="","",IFERROR(INDEX('Task Master'!$K$5:$K$100,MATCH(B75,'Task Master'!$A$5:$A$100,0)),""))</f>
        <v/>
      </c>
      <c r="F75" s="36"/>
      <c r="G75" s="36"/>
      <c r="H75" s="36"/>
      <c r="I75" s="36"/>
      <c r="J75" s="38"/>
      <c r="K75" s="36"/>
      <c r="L75" s="38"/>
      <c r="M75" s="39"/>
      <c r="N75" s="39"/>
      <c r="O75" s="40" t="str">
        <f t="shared" si="4"/>
        <v/>
      </c>
      <c r="P75" s="39"/>
    </row>
    <row r="76" spans="1:16">
      <c r="A76" s="35"/>
      <c r="B76" s="36"/>
      <c r="C76" s="37" t="str">
        <f>IF(B76="","",IFERROR(INDEX('Task Master'!$C$5:$C$100,MATCH(B76,'Task Master'!$A$5:$A$100,0)),""))</f>
        <v/>
      </c>
      <c r="D76" s="37" t="str">
        <f>IF(B76="","",IFERROR(INDEX('Task Master'!$J$5:$J$100,MATCH(B76,'Task Master'!$A$5:$A$100,0)),""))</f>
        <v/>
      </c>
      <c r="E76" s="37" t="str">
        <f>IF(B76="","",IFERROR(INDEX('Task Master'!$K$5:$K$100,MATCH(B76,'Task Master'!$A$5:$A$100,0)),""))</f>
        <v/>
      </c>
      <c r="F76" s="36"/>
      <c r="G76" s="36"/>
      <c r="H76" s="36"/>
      <c r="I76" s="36"/>
      <c r="J76" s="38"/>
      <c r="K76" s="36"/>
      <c r="L76" s="38"/>
      <c r="M76" s="39"/>
      <c r="N76" s="39"/>
      <c r="O76" s="40" t="str">
        <f t="shared" si="4"/>
        <v/>
      </c>
      <c r="P76" s="39"/>
    </row>
    <row r="77" spans="1:16">
      <c r="A77" s="35"/>
      <c r="B77" s="36"/>
      <c r="C77" s="37" t="str">
        <f>IF(B77="","",IFERROR(INDEX('Task Master'!$C$5:$C$100,MATCH(B77,'Task Master'!$A$5:$A$100,0)),""))</f>
        <v/>
      </c>
      <c r="D77" s="37" t="str">
        <f>IF(B77="","",IFERROR(INDEX('Task Master'!$J$5:$J$100,MATCH(B77,'Task Master'!$A$5:$A$100,0)),""))</f>
        <v/>
      </c>
      <c r="E77" s="37" t="str">
        <f>IF(B77="","",IFERROR(INDEX('Task Master'!$K$5:$K$100,MATCH(B77,'Task Master'!$A$5:$A$100,0)),""))</f>
        <v/>
      </c>
      <c r="F77" s="36"/>
      <c r="G77" s="36"/>
      <c r="H77" s="36"/>
      <c r="I77" s="36"/>
      <c r="J77" s="38"/>
      <c r="K77" s="36"/>
      <c r="L77" s="38"/>
      <c r="M77" s="39"/>
      <c r="N77" s="39"/>
      <c r="O77" s="40" t="str">
        <f t="shared" si="4"/>
        <v/>
      </c>
      <c r="P77" s="39"/>
    </row>
    <row r="78" spans="1:16">
      <c r="A78" s="35"/>
      <c r="B78" s="36"/>
      <c r="C78" s="37" t="str">
        <f>IF(B78="","",IFERROR(INDEX('Task Master'!$C$5:$C$100,MATCH(B78,'Task Master'!$A$5:$A$100,0)),""))</f>
        <v/>
      </c>
      <c r="D78" s="37" t="str">
        <f>IF(B78="","",IFERROR(INDEX('Task Master'!$J$5:$J$100,MATCH(B78,'Task Master'!$A$5:$A$100,0)),""))</f>
        <v/>
      </c>
      <c r="E78" s="37" t="str">
        <f>IF(B78="","",IFERROR(INDEX('Task Master'!$K$5:$K$100,MATCH(B78,'Task Master'!$A$5:$A$100,0)),""))</f>
        <v/>
      </c>
      <c r="F78" s="36"/>
      <c r="G78" s="36"/>
      <c r="H78" s="36"/>
      <c r="I78" s="36"/>
      <c r="J78" s="38"/>
      <c r="K78" s="36"/>
      <c r="L78" s="38"/>
      <c r="M78" s="39"/>
      <c r="N78" s="39"/>
      <c r="O78" s="40" t="str">
        <f t="shared" si="4"/>
        <v/>
      </c>
      <c r="P78" s="39"/>
    </row>
    <row r="79" spans="1:16">
      <c r="A79" s="35"/>
      <c r="B79" s="36"/>
      <c r="C79" s="37" t="str">
        <f>IF(B79="","",IFERROR(INDEX('Task Master'!$C$5:$C$100,MATCH(B79,'Task Master'!$A$5:$A$100,0)),""))</f>
        <v/>
      </c>
      <c r="D79" s="37" t="str">
        <f>IF(B79="","",IFERROR(INDEX('Task Master'!$J$5:$J$100,MATCH(B79,'Task Master'!$A$5:$A$100,0)),""))</f>
        <v/>
      </c>
      <c r="E79" s="37" t="str">
        <f>IF(B79="","",IFERROR(INDEX('Task Master'!$K$5:$K$100,MATCH(B79,'Task Master'!$A$5:$A$100,0)),""))</f>
        <v/>
      </c>
      <c r="F79" s="36"/>
      <c r="G79" s="36"/>
      <c r="H79" s="36"/>
      <c r="I79" s="36"/>
      <c r="J79" s="38"/>
      <c r="K79" s="36"/>
      <c r="L79" s="38"/>
      <c r="M79" s="39"/>
      <c r="N79" s="39"/>
      <c r="O79" s="40" t="str">
        <f t="shared" si="4"/>
        <v/>
      </c>
      <c r="P79" s="39"/>
    </row>
    <row r="80" spans="1:16">
      <c r="A80" s="35"/>
      <c r="B80" s="36"/>
      <c r="C80" s="37" t="str">
        <f>IF(B80="","",IFERROR(INDEX('Task Master'!$C$5:$C$100,MATCH(B80,'Task Master'!$A$5:$A$100,0)),""))</f>
        <v/>
      </c>
      <c r="D80" s="37" t="str">
        <f>IF(B80="","",IFERROR(INDEX('Task Master'!$J$5:$J$100,MATCH(B80,'Task Master'!$A$5:$A$100,0)),""))</f>
        <v/>
      </c>
      <c r="E80" s="37" t="str">
        <f>IF(B80="","",IFERROR(INDEX('Task Master'!$K$5:$K$100,MATCH(B80,'Task Master'!$A$5:$A$100,0)),""))</f>
        <v/>
      </c>
      <c r="F80" s="36"/>
      <c r="G80" s="36"/>
      <c r="H80" s="36"/>
      <c r="I80" s="36"/>
      <c r="J80" s="38"/>
      <c r="K80" s="36"/>
      <c r="L80" s="38"/>
      <c r="M80" s="39"/>
      <c r="N80" s="39"/>
      <c r="O80" s="40" t="str">
        <f t="shared" si="4"/>
        <v/>
      </c>
      <c r="P80" s="39"/>
    </row>
    <row r="81" spans="1:16">
      <c r="A81" s="35"/>
      <c r="B81" s="36"/>
      <c r="C81" s="37" t="str">
        <f>IF(B81="","",IFERROR(INDEX('Task Master'!$C$5:$C$100,MATCH(B81,'Task Master'!$A$5:$A$100,0)),""))</f>
        <v/>
      </c>
      <c r="D81" s="37" t="str">
        <f>IF(B81="","",IFERROR(INDEX('Task Master'!$J$5:$J$100,MATCH(B81,'Task Master'!$A$5:$A$100,0)),""))</f>
        <v/>
      </c>
      <c r="E81" s="37" t="str">
        <f>IF(B81="","",IFERROR(INDEX('Task Master'!$K$5:$K$100,MATCH(B81,'Task Master'!$A$5:$A$100,0)),""))</f>
        <v/>
      </c>
      <c r="F81" s="36"/>
      <c r="G81" s="36"/>
      <c r="H81" s="36"/>
      <c r="I81" s="36"/>
      <c r="J81" s="38"/>
      <c r="K81" s="36"/>
      <c r="L81" s="38"/>
      <c r="M81" s="39"/>
      <c r="N81" s="39"/>
      <c r="O81" s="40" t="str">
        <f t="shared" si="4"/>
        <v/>
      </c>
      <c r="P81" s="39"/>
    </row>
    <row r="82" spans="1:16">
      <c r="A82" s="35"/>
      <c r="B82" s="36"/>
      <c r="C82" s="37" t="str">
        <f>IF(B82="","",IFERROR(INDEX('Task Master'!$C$5:$C$100,MATCH(B82,'Task Master'!$A$5:$A$100,0)),""))</f>
        <v/>
      </c>
      <c r="D82" s="37" t="str">
        <f>IF(B82="","",IFERROR(INDEX('Task Master'!$J$5:$J$100,MATCH(B82,'Task Master'!$A$5:$A$100,0)),""))</f>
        <v/>
      </c>
      <c r="E82" s="37" t="str">
        <f>IF(B82="","",IFERROR(INDEX('Task Master'!$K$5:$K$100,MATCH(B82,'Task Master'!$A$5:$A$100,0)),""))</f>
        <v/>
      </c>
      <c r="F82" s="36"/>
      <c r="G82" s="36"/>
      <c r="H82" s="36"/>
      <c r="I82" s="36"/>
      <c r="J82" s="38"/>
      <c r="K82" s="36"/>
      <c r="L82" s="38"/>
      <c r="M82" s="39"/>
      <c r="N82" s="39"/>
      <c r="O82" s="40" t="str">
        <f t="shared" si="4"/>
        <v/>
      </c>
      <c r="P82" s="39"/>
    </row>
    <row r="83" spans="1:16">
      <c r="A83" s="35"/>
      <c r="B83" s="36"/>
      <c r="C83" s="37" t="str">
        <f>IF(B83="","",IFERROR(INDEX('Task Master'!$C$5:$C$100,MATCH(B83,'Task Master'!$A$5:$A$100,0)),""))</f>
        <v/>
      </c>
      <c r="D83" s="37" t="str">
        <f>IF(B83="","",IFERROR(INDEX('Task Master'!$J$5:$J$100,MATCH(B83,'Task Master'!$A$5:$A$100,0)),""))</f>
        <v/>
      </c>
      <c r="E83" s="37" t="str">
        <f>IF(B83="","",IFERROR(INDEX('Task Master'!$K$5:$K$100,MATCH(B83,'Task Master'!$A$5:$A$100,0)),""))</f>
        <v/>
      </c>
      <c r="F83" s="36"/>
      <c r="G83" s="36"/>
      <c r="H83" s="36"/>
      <c r="I83" s="36"/>
      <c r="J83" s="38"/>
      <c r="K83" s="36"/>
      <c r="L83" s="38"/>
      <c r="M83" s="39"/>
      <c r="N83" s="39"/>
      <c r="O83" s="40" t="str">
        <f t="shared" si="4"/>
        <v/>
      </c>
      <c r="P83" s="39"/>
    </row>
    <row r="84" spans="1:16">
      <c r="A84" s="35"/>
      <c r="B84" s="36"/>
      <c r="C84" s="37" t="str">
        <f>IF(B84="","",IFERROR(INDEX('Task Master'!$C$5:$C$100,MATCH(B84,'Task Master'!$A$5:$A$100,0)),""))</f>
        <v/>
      </c>
      <c r="D84" s="37" t="str">
        <f>IF(B84="","",IFERROR(INDEX('Task Master'!$J$5:$J$100,MATCH(B84,'Task Master'!$A$5:$A$100,0)),""))</f>
        <v/>
      </c>
      <c r="E84" s="37" t="str">
        <f>IF(B84="","",IFERROR(INDEX('Task Master'!$K$5:$K$100,MATCH(B84,'Task Master'!$A$5:$A$100,0)),""))</f>
        <v/>
      </c>
      <c r="F84" s="36"/>
      <c r="G84" s="36"/>
      <c r="H84" s="36"/>
      <c r="I84" s="36"/>
      <c r="J84" s="38"/>
      <c r="K84" s="36"/>
      <c r="L84" s="38"/>
      <c r="M84" s="39"/>
      <c r="N84" s="39"/>
      <c r="O84" s="40" t="str">
        <f t="shared" si="4"/>
        <v/>
      </c>
      <c r="P84" s="39"/>
    </row>
    <row r="85" spans="1:16">
      <c r="A85" s="35"/>
      <c r="B85" s="36"/>
      <c r="C85" s="37" t="str">
        <f>IF(B85="","",IFERROR(INDEX('Task Master'!$C$5:$C$100,MATCH(B85,'Task Master'!$A$5:$A$100,0)),""))</f>
        <v/>
      </c>
      <c r="D85" s="37" t="str">
        <f>IF(B85="","",IFERROR(INDEX('Task Master'!$J$5:$J$100,MATCH(B85,'Task Master'!$A$5:$A$100,0)),""))</f>
        <v/>
      </c>
      <c r="E85" s="37" t="str">
        <f>IF(B85="","",IFERROR(INDEX('Task Master'!$K$5:$K$100,MATCH(B85,'Task Master'!$A$5:$A$100,0)),""))</f>
        <v/>
      </c>
      <c r="F85" s="36"/>
      <c r="G85" s="36"/>
      <c r="H85" s="36"/>
      <c r="I85" s="36"/>
      <c r="J85" s="38"/>
      <c r="K85" s="36"/>
      <c r="L85" s="38"/>
      <c r="M85" s="39"/>
      <c r="N85" s="39"/>
      <c r="O85" s="40" t="str">
        <f t="shared" si="4"/>
        <v/>
      </c>
      <c r="P85" s="39"/>
    </row>
    <row r="86" spans="1:16">
      <c r="A86" s="35"/>
      <c r="B86" s="36"/>
      <c r="C86" s="37" t="str">
        <f>IF(B86="","",IFERROR(INDEX('Task Master'!$C$5:$C$100,MATCH(B86,'Task Master'!$A$5:$A$100,0)),""))</f>
        <v/>
      </c>
      <c r="D86" s="37" t="str">
        <f>IF(B86="","",IFERROR(INDEX('Task Master'!$J$5:$J$100,MATCH(B86,'Task Master'!$A$5:$A$100,0)),""))</f>
        <v/>
      </c>
      <c r="E86" s="37" t="str">
        <f>IF(B86="","",IFERROR(INDEX('Task Master'!$K$5:$K$100,MATCH(B86,'Task Master'!$A$5:$A$100,0)),""))</f>
        <v/>
      </c>
      <c r="F86" s="36"/>
      <c r="G86" s="36"/>
      <c r="H86" s="36"/>
      <c r="I86" s="36"/>
      <c r="J86" s="38"/>
      <c r="K86" s="36"/>
      <c r="L86" s="38"/>
      <c r="M86" s="39"/>
      <c r="N86" s="39"/>
      <c r="O86" s="40" t="str">
        <f t="shared" si="4"/>
        <v/>
      </c>
      <c r="P86" s="39"/>
    </row>
    <row r="87" spans="1:16">
      <c r="A87" s="35"/>
      <c r="B87" s="36"/>
      <c r="C87" s="37" t="str">
        <f>IF(B87="","",IFERROR(INDEX('Task Master'!$C$5:$C$100,MATCH(B87,'Task Master'!$A$5:$A$100,0)),""))</f>
        <v/>
      </c>
      <c r="D87" s="37" t="str">
        <f>IF(B87="","",IFERROR(INDEX('Task Master'!$J$5:$J$100,MATCH(B87,'Task Master'!$A$5:$A$100,0)),""))</f>
        <v/>
      </c>
      <c r="E87" s="37" t="str">
        <f>IF(B87="","",IFERROR(INDEX('Task Master'!$K$5:$K$100,MATCH(B87,'Task Master'!$A$5:$A$100,0)),""))</f>
        <v/>
      </c>
      <c r="F87" s="36"/>
      <c r="G87" s="36"/>
      <c r="H87" s="36"/>
      <c r="I87" s="36"/>
      <c r="J87" s="38"/>
      <c r="K87" s="36"/>
      <c r="L87" s="38"/>
      <c r="M87" s="39"/>
      <c r="N87" s="39"/>
      <c r="O87" s="40" t="str">
        <f t="shared" si="4"/>
        <v/>
      </c>
      <c r="P87" s="39"/>
    </row>
    <row r="88" spans="1:16">
      <c r="A88" s="35"/>
      <c r="B88" s="36"/>
      <c r="C88" s="37" t="str">
        <f>IF(B88="","",IFERROR(INDEX('Task Master'!$C$5:$C$100,MATCH(B88,'Task Master'!$A$5:$A$100,0)),""))</f>
        <v/>
      </c>
      <c r="D88" s="37" t="str">
        <f>IF(B88="","",IFERROR(INDEX('Task Master'!$J$5:$J$100,MATCH(B88,'Task Master'!$A$5:$A$100,0)),""))</f>
        <v/>
      </c>
      <c r="E88" s="37" t="str">
        <f>IF(B88="","",IFERROR(INDEX('Task Master'!$K$5:$K$100,MATCH(B88,'Task Master'!$A$5:$A$100,0)),""))</f>
        <v/>
      </c>
      <c r="F88" s="36"/>
      <c r="G88" s="36"/>
      <c r="H88" s="36"/>
      <c r="I88" s="36"/>
      <c r="J88" s="38"/>
      <c r="K88" s="36"/>
      <c r="L88" s="38"/>
      <c r="M88" s="39"/>
      <c r="N88" s="39"/>
      <c r="O88" s="40" t="str">
        <f t="shared" si="4"/>
        <v/>
      </c>
      <c r="P88" s="39"/>
    </row>
    <row r="89" spans="1:16">
      <c r="A89" s="35"/>
      <c r="B89" s="36"/>
      <c r="C89" s="37" t="str">
        <f>IF(B89="","",IFERROR(INDEX('Task Master'!$C$5:$C$100,MATCH(B89,'Task Master'!$A$5:$A$100,0)),""))</f>
        <v/>
      </c>
      <c r="D89" s="37" t="str">
        <f>IF(B89="","",IFERROR(INDEX('Task Master'!$J$5:$J$100,MATCH(B89,'Task Master'!$A$5:$A$100,0)),""))</f>
        <v/>
      </c>
      <c r="E89" s="37" t="str">
        <f>IF(B89="","",IFERROR(INDEX('Task Master'!$K$5:$K$100,MATCH(B89,'Task Master'!$A$5:$A$100,0)),""))</f>
        <v/>
      </c>
      <c r="F89" s="36"/>
      <c r="G89" s="36"/>
      <c r="H89" s="36"/>
      <c r="I89" s="36"/>
      <c r="J89" s="38"/>
      <c r="K89" s="36"/>
      <c r="L89" s="38"/>
      <c r="M89" s="39"/>
      <c r="N89" s="39"/>
      <c r="O89" s="40" t="str">
        <f t="shared" si="4"/>
        <v/>
      </c>
      <c r="P89" s="39"/>
    </row>
    <row r="90" spans="1:16">
      <c r="A90" s="35"/>
      <c r="B90" s="36"/>
      <c r="C90" s="37" t="str">
        <f>IF(B90="","",IFERROR(INDEX('Task Master'!$C$5:$C$100,MATCH(B90,'Task Master'!$A$5:$A$100,0)),""))</f>
        <v/>
      </c>
      <c r="D90" s="37" t="str">
        <f>IF(B90="","",IFERROR(INDEX('Task Master'!$J$5:$J$100,MATCH(B90,'Task Master'!$A$5:$A$100,0)),""))</f>
        <v/>
      </c>
      <c r="E90" s="37" t="str">
        <f>IF(B90="","",IFERROR(INDEX('Task Master'!$K$5:$K$100,MATCH(B90,'Task Master'!$A$5:$A$100,0)),""))</f>
        <v/>
      </c>
      <c r="F90" s="36"/>
      <c r="G90" s="36"/>
      <c r="H90" s="36"/>
      <c r="I90" s="36"/>
      <c r="J90" s="38"/>
      <c r="K90" s="36"/>
      <c r="L90" s="38"/>
      <c r="M90" s="39"/>
      <c r="N90" s="39"/>
      <c r="O90" s="40" t="str">
        <f t="shared" si="4"/>
        <v/>
      </c>
      <c r="P90" s="39"/>
    </row>
    <row r="91" spans="1:16">
      <c r="A91" s="35"/>
      <c r="B91" s="36"/>
      <c r="C91" s="37" t="str">
        <f>IF(B91="","",IFERROR(INDEX('Task Master'!$C$5:$C$100,MATCH(B91,'Task Master'!$A$5:$A$100,0)),""))</f>
        <v/>
      </c>
      <c r="D91" s="37" t="str">
        <f>IF(B91="","",IFERROR(INDEX('Task Master'!$J$5:$J$100,MATCH(B91,'Task Master'!$A$5:$A$100,0)),""))</f>
        <v/>
      </c>
      <c r="E91" s="37" t="str">
        <f>IF(B91="","",IFERROR(INDEX('Task Master'!$K$5:$K$100,MATCH(B91,'Task Master'!$A$5:$A$100,0)),""))</f>
        <v/>
      </c>
      <c r="F91" s="36"/>
      <c r="G91" s="36"/>
      <c r="H91" s="36"/>
      <c r="I91" s="36"/>
      <c r="J91" s="38"/>
      <c r="K91" s="36"/>
      <c r="L91" s="38"/>
      <c r="M91" s="39"/>
      <c r="N91" s="39"/>
      <c r="O91" s="40" t="str">
        <f t="shared" si="4"/>
        <v/>
      </c>
      <c r="P91" s="39"/>
    </row>
    <row r="92" spans="1:16">
      <c r="A92" s="35"/>
      <c r="B92" s="36"/>
      <c r="C92" s="37" t="str">
        <f>IF(B92="","",IFERROR(INDEX('Task Master'!$C$5:$C$100,MATCH(B92,'Task Master'!$A$5:$A$100,0)),""))</f>
        <v/>
      </c>
      <c r="D92" s="37" t="str">
        <f>IF(B92="","",IFERROR(INDEX('Task Master'!$J$5:$J$100,MATCH(B92,'Task Master'!$A$5:$A$100,0)),""))</f>
        <v/>
      </c>
      <c r="E92" s="37" t="str">
        <f>IF(B92="","",IFERROR(INDEX('Task Master'!$K$5:$K$100,MATCH(B92,'Task Master'!$A$5:$A$100,0)),""))</f>
        <v/>
      </c>
      <c r="F92" s="36"/>
      <c r="G92" s="36"/>
      <c r="H92" s="36"/>
      <c r="I92" s="36"/>
      <c r="J92" s="38"/>
      <c r="K92" s="36"/>
      <c r="L92" s="38"/>
      <c r="M92" s="39"/>
      <c r="N92" s="39"/>
      <c r="O92" s="40" t="str">
        <f t="shared" si="4"/>
        <v/>
      </c>
      <c r="P92" s="39"/>
    </row>
    <row r="93" spans="1:16">
      <c r="A93" s="35"/>
      <c r="B93" s="36"/>
      <c r="C93" s="37" t="str">
        <f>IF(B93="","",IFERROR(INDEX('Task Master'!$C$5:$C$100,MATCH(B93,'Task Master'!$A$5:$A$100,0)),""))</f>
        <v/>
      </c>
      <c r="D93" s="37" t="str">
        <f>IF(B93="","",IFERROR(INDEX('Task Master'!$J$5:$J$100,MATCH(B93,'Task Master'!$A$5:$A$100,0)),""))</f>
        <v/>
      </c>
      <c r="E93" s="37" t="str">
        <f>IF(B93="","",IFERROR(INDEX('Task Master'!$K$5:$K$100,MATCH(B93,'Task Master'!$A$5:$A$100,0)),""))</f>
        <v/>
      </c>
      <c r="F93" s="36"/>
      <c r="G93" s="36"/>
      <c r="H93" s="36"/>
      <c r="I93" s="36"/>
      <c r="J93" s="38"/>
      <c r="K93" s="36"/>
      <c r="L93" s="38"/>
      <c r="M93" s="39"/>
      <c r="N93" s="39"/>
      <c r="O93" s="40" t="str">
        <f t="shared" si="4"/>
        <v/>
      </c>
      <c r="P93" s="39"/>
    </row>
    <row r="94" spans="1:16">
      <c r="A94" s="35"/>
      <c r="B94" s="36"/>
      <c r="C94" s="37" t="str">
        <f>IF(B94="","",IFERROR(INDEX('Task Master'!$C$5:$C$100,MATCH(B94,'Task Master'!$A$5:$A$100,0)),""))</f>
        <v/>
      </c>
      <c r="D94" s="37" t="str">
        <f>IF(B94="","",IFERROR(INDEX('Task Master'!$J$5:$J$100,MATCH(B94,'Task Master'!$A$5:$A$100,0)),""))</f>
        <v/>
      </c>
      <c r="E94" s="37" t="str">
        <f>IF(B94="","",IFERROR(INDEX('Task Master'!$K$5:$K$100,MATCH(B94,'Task Master'!$A$5:$A$100,0)),""))</f>
        <v/>
      </c>
      <c r="F94" s="36"/>
      <c r="G94" s="36"/>
      <c r="H94" s="36"/>
      <c r="I94" s="36"/>
      <c r="J94" s="38"/>
      <c r="K94" s="36"/>
      <c r="L94" s="38"/>
      <c r="M94" s="39"/>
      <c r="N94" s="39"/>
      <c r="O94" s="40" t="str">
        <f t="shared" si="4"/>
        <v/>
      </c>
      <c r="P94" s="39"/>
    </row>
    <row r="95" spans="1:16">
      <c r="A95" s="35"/>
      <c r="B95" s="36"/>
      <c r="C95" s="37" t="str">
        <f>IF(B95="","",IFERROR(INDEX('Task Master'!$C$5:$C$100,MATCH(B95,'Task Master'!$A$5:$A$100,0)),""))</f>
        <v/>
      </c>
      <c r="D95" s="37" t="str">
        <f>IF(B95="","",IFERROR(INDEX('Task Master'!$J$5:$J$100,MATCH(B95,'Task Master'!$A$5:$A$100,0)),""))</f>
        <v/>
      </c>
      <c r="E95" s="37" t="str">
        <f>IF(B95="","",IFERROR(INDEX('Task Master'!$K$5:$K$100,MATCH(B95,'Task Master'!$A$5:$A$100,0)),""))</f>
        <v/>
      </c>
      <c r="F95" s="36"/>
      <c r="G95" s="36"/>
      <c r="H95" s="36"/>
      <c r="I95" s="36"/>
      <c r="J95" s="38"/>
      <c r="K95" s="36"/>
      <c r="L95" s="38"/>
      <c r="M95" s="39"/>
      <c r="N95" s="39"/>
      <c r="O95" s="40" t="str">
        <f t="shared" si="4"/>
        <v/>
      </c>
      <c r="P95" s="39"/>
    </row>
    <row r="96" spans="1:16">
      <c r="A96" s="35"/>
      <c r="B96" s="36"/>
      <c r="C96" s="37" t="str">
        <f>IF(B96="","",IFERROR(INDEX('Task Master'!$C$5:$C$100,MATCH(B96,'Task Master'!$A$5:$A$100,0)),""))</f>
        <v/>
      </c>
      <c r="D96" s="37" t="str">
        <f>IF(B96="","",IFERROR(INDEX('Task Master'!$J$5:$J$100,MATCH(B96,'Task Master'!$A$5:$A$100,0)),""))</f>
        <v/>
      </c>
      <c r="E96" s="37" t="str">
        <f>IF(B96="","",IFERROR(INDEX('Task Master'!$K$5:$K$100,MATCH(B96,'Task Master'!$A$5:$A$100,0)),""))</f>
        <v/>
      </c>
      <c r="F96" s="36"/>
      <c r="G96" s="36"/>
      <c r="H96" s="36"/>
      <c r="I96" s="36"/>
      <c r="J96" s="38"/>
      <c r="K96" s="36"/>
      <c r="L96" s="38"/>
      <c r="M96" s="39"/>
      <c r="N96" s="39"/>
      <c r="O96" s="40" t="str">
        <f t="shared" si="4"/>
        <v/>
      </c>
      <c r="P96" s="39"/>
    </row>
    <row r="97" spans="1:16">
      <c r="A97" s="35"/>
      <c r="B97" s="36"/>
      <c r="C97" s="37" t="str">
        <f>IF(B97="","",IFERROR(INDEX('Task Master'!$C$5:$C$100,MATCH(B97,'Task Master'!$A$5:$A$100,0)),""))</f>
        <v/>
      </c>
      <c r="D97" s="37" t="str">
        <f>IF(B97="","",IFERROR(INDEX('Task Master'!$J$5:$J$100,MATCH(B97,'Task Master'!$A$5:$A$100,0)),""))</f>
        <v/>
      </c>
      <c r="E97" s="37" t="str">
        <f>IF(B97="","",IFERROR(INDEX('Task Master'!$K$5:$K$100,MATCH(B97,'Task Master'!$A$5:$A$100,0)),""))</f>
        <v/>
      </c>
      <c r="F97" s="36"/>
      <c r="G97" s="36"/>
      <c r="H97" s="36"/>
      <c r="I97" s="36"/>
      <c r="J97" s="38"/>
      <c r="K97" s="36"/>
      <c r="L97" s="38"/>
      <c r="M97" s="39"/>
      <c r="N97" s="39"/>
      <c r="O97" s="40" t="str">
        <f t="shared" si="4"/>
        <v/>
      </c>
      <c r="P97" s="39"/>
    </row>
    <row r="98" spans="1:16">
      <c r="A98" s="35"/>
      <c r="B98" s="36"/>
      <c r="C98" s="37" t="str">
        <f>IF(B98="","",IFERROR(INDEX('Task Master'!$C$5:$C$100,MATCH(B98,'Task Master'!$A$5:$A$100,0)),""))</f>
        <v/>
      </c>
      <c r="D98" s="37" t="str">
        <f>IF(B98="","",IFERROR(INDEX('Task Master'!$J$5:$J$100,MATCH(B98,'Task Master'!$A$5:$A$100,0)),""))</f>
        <v/>
      </c>
      <c r="E98" s="37" t="str">
        <f>IF(B98="","",IFERROR(INDEX('Task Master'!$K$5:$K$100,MATCH(B98,'Task Master'!$A$5:$A$100,0)),""))</f>
        <v/>
      </c>
      <c r="F98" s="36"/>
      <c r="G98" s="36"/>
      <c r="H98" s="36"/>
      <c r="I98" s="36"/>
      <c r="J98" s="38"/>
      <c r="K98" s="36"/>
      <c r="L98" s="38"/>
      <c r="M98" s="39"/>
      <c r="N98" s="39"/>
      <c r="O98" s="40" t="str">
        <f t="shared" si="4"/>
        <v/>
      </c>
      <c r="P98" s="39"/>
    </row>
    <row r="99" spans="1:16">
      <c r="A99" s="35"/>
      <c r="B99" s="36"/>
      <c r="C99" s="37" t="str">
        <f>IF(B99="","",IFERROR(INDEX('Task Master'!$C$5:$C$100,MATCH(B99,'Task Master'!$A$5:$A$100,0)),""))</f>
        <v/>
      </c>
      <c r="D99" s="37" t="str">
        <f>IF(B99="","",IFERROR(INDEX('Task Master'!$J$5:$J$100,MATCH(B99,'Task Master'!$A$5:$A$100,0)),""))</f>
        <v/>
      </c>
      <c r="E99" s="37" t="str">
        <f>IF(B99="","",IFERROR(INDEX('Task Master'!$K$5:$K$100,MATCH(B99,'Task Master'!$A$5:$A$100,0)),""))</f>
        <v/>
      </c>
      <c r="F99" s="36"/>
      <c r="G99" s="36"/>
      <c r="H99" s="36"/>
      <c r="I99" s="36"/>
      <c r="J99" s="38"/>
      <c r="K99" s="36"/>
      <c r="L99" s="38"/>
      <c r="M99" s="39"/>
      <c r="N99" s="39"/>
      <c r="O99" s="40" t="str">
        <f t="shared" si="4"/>
        <v/>
      </c>
      <c r="P99" s="39"/>
    </row>
    <row r="100" spans="1:16">
      <c r="A100" s="35"/>
      <c r="B100" s="36"/>
      <c r="C100" s="37" t="str">
        <f>IF(B100="","",IFERROR(INDEX('Task Master'!$C$5:$C$100,MATCH(B100,'Task Master'!$A$5:$A$100,0)),""))</f>
        <v/>
      </c>
      <c r="D100" s="37" t="str">
        <f>IF(B100="","",IFERROR(INDEX('Task Master'!$J$5:$J$100,MATCH(B100,'Task Master'!$A$5:$A$100,0)),""))</f>
        <v/>
      </c>
      <c r="E100" s="37" t="str">
        <f>IF(B100="","",IFERROR(INDEX('Task Master'!$K$5:$K$100,MATCH(B100,'Task Master'!$A$5:$A$100,0)),""))</f>
        <v/>
      </c>
      <c r="F100" s="36"/>
      <c r="G100" s="36"/>
      <c r="H100" s="36"/>
      <c r="I100" s="36"/>
      <c r="J100" s="38"/>
      <c r="K100" s="36"/>
      <c r="L100" s="38"/>
      <c r="M100" s="39"/>
      <c r="N100" s="39"/>
      <c r="O100" s="40" t="str">
        <f t="shared" si="4"/>
        <v/>
      </c>
      <c r="P100" s="39"/>
    </row>
    <row r="101" spans="1:16">
      <c r="A101" s="35"/>
      <c r="B101" s="36"/>
      <c r="C101" s="37" t="str">
        <f>IF(B101="","",IFERROR(INDEX('Task Master'!$C$5:$C$100,MATCH(B101,'Task Master'!$A$5:$A$100,0)),""))</f>
        <v/>
      </c>
      <c r="D101" s="37" t="str">
        <f>IF(B101="","",IFERROR(INDEX('Task Master'!$J$5:$J$100,MATCH(B101,'Task Master'!$A$5:$A$100,0)),""))</f>
        <v/>
      </c>
      <c r="E101" s="37" t="str">
        <f>IF(B101="","",IFERROR(INDEX('Task Master'!$K$5:$K$100,MATCH(B101,'Task Master'!$A$5:$A$100,0)),""))</f>
        <v/>
      </c>
      <c r="F101" s="36"/>
      <c r="G101" s="36"/>
      <c r="H101" s="36"/>
      <c r="I101" s="36"/>
      <c r="J101" s="38"/>
      <c r="K101" s="36"/>
      <c r="L101" s="38"/>
      <c r="M101" s="39"/>
      <c r="N101" s="39"/>
      <c r="O101" s="40" t="str">
        <f t="shared" ref="O101:O132" si="5">IF(OR(A101="",B101=""),"",IF(OR(K101="Achieved",K101="Out-of-Scope Confirmed"),"Yes","No"))</f>
        <v/>
      </c>
      <c r="P101" s="39"/>
    </row>
    <row r="102" spans="1:16">
      <c r="A102" s="35"/>
      <c r="B102" s="36"/>
      <c r="C102" s="37" t="str">
        <f>IF(B102="","",IFERROR(INDEX('Task Master'!$C$5:$C$100,MATCH(B102,'Task Master'!$A$5:$A$100,0)),""))</f>
        <v/>
      </c>
      <c r="D102" s="37" t="str">
        <f>IF(B102="","",IFERROR(INDEX('Task Master'!$J$5:$J$100,MATCH(B102,'Task Master'!$A$5:$A$100,0)),""))</f>
        <v/>
      </c>
      <c r="E102" s="37" t="str">
        <f>IF(B102="","",IFERROR(INDEX('Task Master'!$K$5:$K$100,MATCH(B102,'Task Master'!$A$5:$A$100,0)),""))</f>
        <v/>
      </c>
      <c r="F102" s="36"/>
      <c r="G102" s="36"/>
      <c r="H102" s="36"/>
      <c r="I102" s="36"/>
      <c r="J102" s="38"/>
      <c r="K102" s="36"/>
      <c r="L102" s="38"/>
      <c r="M102" s="39"/>
      <c r="N102" s="39"/>
      <c r="O102" s="40" t="str">
        <f t="shared" si="5"/>
        <v/>
      </c>
      <c r="P102" s="39"/>
    </row>
    <row r="103" spans="1:16">
      <c r="A103" s="35"/>
      <c r="B103" s="36"/>
      <c r="C103" s="37" t="str">
        <f>IF(B103="","",IFERROR(INDEX('Task Master'!$C$5:$C$100,MATCH(B103,'Task Master'!$A$5:$A$100,0)),""))</f>
        <v/>
      </c>
      <c r="D103" s="37" t="str">
        <f>IF(B103="","",IFERROR(INDEX('Task Master'!$J$5:$J$100,MATCH(B103,'Task Master'!$A$5:$A$100,0)),""))</f>
        <v/>
      </c>
      <c r="E103" s="37" t="str">
        <f>IF(B103="","",IFERROR(INDEX('Task Master'!$K$5:$K$100,MATCH(B103,'Task Master'!$A$5:$A$100,0)),""))</f>
        <v/>
      </c>
      <c r="F103" s="36"/>
      <c r="G103" s="36"/>
      <c r="H103" s="36"/>
      <c r="I103" s="36"/>
      <c r="J103" s="38"/>
      <c r="K103" s="36"/>
      <c r="L103" s="38"/>
      <c r="M103" s="39"/>
      <c r="N103" s="39"/>
      <c r="O103" s="40" t="str">
        <f t="shared" si="5"/>
        <v/>
      </c>
      <c r="P103" s="39"/>
    </row>
    <row r="104" spans="1:16">
      <c r="A104" s="35"/>
      <c r="B104" s="36"/>
      <c r="C104" s="37" t="str">
        <f>IF(B104="","",IFERROR(INDEX('Task Master'!$C$5:$C$100,MATCH(B104,'Task Master'!$A$5:$A$100,0)),""))</f>
        <v/>
      </c>
      <c r="D104" s="37" t="str">
        <f>IF(B104="","",IFERROR(INDEX('Task Master'!$J$5:$J$100,MATCH(B104,'Task Master'!$A$5:$A$100,0)),""))</f>
        <v/>
      </c>
      <c r="E104" s="37" t="str">
        <f>IF(B104="","",IFERROR(INDEX('Task Master'!$K$5:$K$100,MATCH(B104,'Task Master'!$A$5:$A$100,0)),""))</f>
        <v/>
      </c>
      <c r="F104" s="36"/>
      <c r="G104" s="36"/>
      <c r="H104" s="36"/>
      <c r="I104" s="36"/>
      <c r="J104" s="38"/>
      <c r="K104" s="36"/>
      <c r="L104" s="38"/>
      <c r="M104" s="39"/>
      <c r="N104" s="39"/>
      <c r="O104" s="40" t="str">
        <f t="shared" si="5"/>
        <v/>
      </c>
      <c r="P104" s="39"/>
    </row>
    <row r="105" spans="1:16">
      <c r="A105" s="35"/>
      <c r="B105" s="36"/>
      <c r="C105" s="37" t="str">
        <f>IF(B105="","",IFERROR(INDEX('Task Master'!$C$5:$C$100,MATCH(B105,'Task Master'!$A$5:$A$100,0)),""))</f>
        <v/>
      </c>
      <c r="D105" s="37" t="str">
        <f>IF(B105="","",IFERROR(INDEX('Task Master'!$J$5:$J$100,MATCH(B105,'Task Master'!$A$5:$A$100,0)),""))</f>
        <v/>
      </c>
      <c r="E105" s="37" t="str">
        <f>IF(B105="","",IFERROR(INDEX('Task Master'!$K$5:$K$100,MATCH(B105,'Task Master'!$A$5:$A$100,0)),""))</f>
        <v/>
      </c>
      <c r="F105" s="36"/>
      <c r="G105" s="36"/>
      <c r="H105" s="36"/>
      <c r="I105" s="36"/>
      <c r="J105" s="38"/>
      <c r="K105" s="36"/>
      <c r="L105" s="38"/>
      <c r="M105" s="39"/>
      <c r="N105" s="39"/>
      <c r="O105" s="40" t="str">
        <f t="shared" si="5"/>
        <v/>
      </c>
      <c r="P105" s="39"/>
    </row>
    <row r="106" spans="1:16">
      <c r="A106" s="35"/>
      <c r="B106" s="36"/>
      <c r="C106" s="37" t="str">
        <f>IF(B106="","",IFERROR(INDEX('Task Master'!$C$5:$C$100,MATCH(B106,'Task Master'!$A$5:$A$100,0)),""))</f>
        <v/>
      </c>
      <c r="D106" s="37" t="str">
        <f>IF(B106="","",IFERROR(INDEX('Task Master'!$J$5:$J$100,MATCH(B106,'Task Master'!$A$5:$A$100,0)),""))</f>
        <v/>
      </c>
      <c r="E106" s="37" t="str">
        <f>IF(B106="","",IFERROR(INDEX('Task Master'!$K$5:$K$100,MATCH(B106,'Task Master'!$A$5:$A$100,0)),""))</f>
        <v/>
      </c>
      <c r="F106" s="36"/>
      <c r="G106" s="36"/>
      <c r="H106" s="36"/>
      <c r="I106" s="36"/>
      <c r="J106" s="38"/>
      <c r="K106" s="36"/>
      <c r="L106" s="38"/>
      <c r="M106" s="39"/>
      <c r="N106" s="39"/>
      <c r="O106" s="40" t="str">
        <f t="shared" si="5"/>
        <v/>
      </c>
      <c r="P106" s="39"/>
    </row>
    <row r="107" spans="1:16">
      <c r="A107" s="35"/>
      <c r="B107" s="36"/>
      <c r="C107" s="37" t="str">
        <f>IF(B107="","",IFERROR(INDEX('Task Master'!$C$5:$C$100,MATCH(B107,'Task Master'!$A$5:$A$100,0)),""))</f>
        <v/>
      </c>
      <c r="D107" s="37" t="str">
        <f>IF(B107="","",IFERROR(INDEX('Task Master'!$J$5:$J$100,MATCH(B107,'Task Master'!$A$5:$A$100,0)),""))</f>
        <v/>
      </c>
      <c r="E107" s="37" t="str">
        <f>IF(B107="","",IFERROR(INDEX('Task Master'!$K$5:$K$100,MATCH(B107,'Task Master'!$A$5:$A$100,0)),""))</f>
        <v/>
      </c>
      <c r="F107" s="36"/>
      <c r="G107" s="36"/>
      <c r="H107" s="36"/>
      <c r="I107" s="36"/>
      <c r="J107" s="38"/>
      <c r="K107" s="36"/>
      <c r="L107" s="38"/>
      <c r="M107" s="39"/>
      <c r="N107" s="39"/>
      <c r="O107" s="40" t="str">
        <f t="shared" si="5"/>
        <v/>
      </c>
      <c r="P107" s="39"/>
    </row>
    <row r="108" spans="1:16">
      <c r="A108" s="35"/>
      <c r="B108" s="36"/>
      <c r="C108" s="37" t="str">
        <f>IF(B108="","",IFERROR(INDEX('Task Master'!$C$5:$C$100,MATCH(B108,'Task Master'!$A$5:$A$100,0)),""))</f>
        <v/>
      </c>
      <c r="D108" s="37" t="str">
        <f>IF(B108="","",IFERROR(INDEX('Task Master'!$J$5:$J$100,MATCH(B108,'Task Master'!$A$5:$A$100,0)),""))</f>
        <v/>
      </c>
      <c r="E108" s="37" t="str">
        <f>IF(B108="","",IFERROR(INDEX('Task Master'!$K$5:$K$100,MATCH(B108,'Task Master'!$A$5:$A$100,0)),""))</f>
        <v/>
      </c>
      <c r="F108" s="36"/>
      <c r="G108" s="36"/>
      <c r="H108" s="36"/>
      <c r="I108" s="36"/>
      <c r="J108" s="38"/>
      <c r="K108" s="36"/>
      <c r="L108" s="38"/>
      <c r="M108" s="39"/>
      <c r="N108" s="39"/>
      <c r="O108" s="40" t="str">
        <f t="shared" si="5"/>
        <v/>
      </c>
      <c r="P108" s="39"/>
    </row>
    <row r="109" spans="1:16">
      <c r="A109" s="35"/>
      <c r="B109" s="36"/>
      <c r="C109" s="37" t="str">
        <f>IF(B109="","",IFERROR(INDEX('Task Master'!$C$5:$C$100,MATCH(B109,'Task Master'!$A$5:$A$100,0)),""))</f>
        <v/>
      </c>
      <c r="D109" s="37" t="str">
        <f>IF(B109="","",IFERROR(INDEX('Task Master'!$J$5:$J$100,MATCH(B109,'Task Master'!$A$5:$A$100,0)),""))</f>
        <v/>
      </c>
      <c r="E109" s="37" t="str">
        <f>IF(B109="","",IFERROR(INDEX('Task Master'!$K$5:$K$100,MATCH(B109,'Task Master'!$A$5:$A$100,0)),""))</f>
        <v/>
      </c>
      <c r="F109" s="36"/>
      <c r="G109" s="36"/>
      <c r="H109" s="36"/>
      <c r="I109" s="36"/>
      <c r="J109" s="38"/>
      <c r="K109" s="36"/>
      <c r="L109" s="38"/>
      <c r="M109" s="39"/>
      <c r="N109" s="39"/>
      <c r="O109" s="40" t="str">
        <f t="shared" si="5"/>
        <v/>
      </c>
      <c r="P109" s="39"/>
    </row>
    <row r="110" spans="1:16">
      <c r="A110" s="35"/>
      <c r="B110" s="36"/>
      <c r="C110" s="37" t="str">
        <f>IF(B110="","",IFERROR(INDEX('Task Master'!$C$5:$C$100,MATCH(B110,'Task Master'!$A$5:$A$100,0)),""))</f>
        <v/>
      </c>
      <c r="D110" s="37" t="str">
        <f>IF(B110="","",IFERROR(INDEX('Task Master'!$J$5:$J$100,MATCH(B110,'Task Master'!$A$5:$A$100,0)),""))</f>
        <v/>
      </c>
      <c r="E110" s="37" t="str">
        <f>IF(B110="","",IFERROR(INDEX('Task Master'!$K$5:$K$100,MATCH(B110,'Task Master'!$A$5:$A$100,0)),""))</f>
        <v/>
      </c>
      <c r="F110" s="36"/>
      <c r="G110" s="36"/>
      <c r="H110" s="36"/>
      <c r="I110" s="36"/>
      <c r="J110" s="38"/>
      <c r="K110" s="36"/>
      <c r="L110" s="38"/>
      <c r="M110" s="39"/>
      <c r="N110" s="39"/>
      <c r="O110" s="40" t="str">
        <f t="shared" si="5"/>
        <v/>
      </c>
      <c r="P110" s="39"/>
    </row>
    <row r="111" spans="1:16">
      <c r="A111" s="35"/>
      <c r="B111" s="36"/>
      <c r="C111" s="37" t="str">
        <f>IF(B111="","",IFERROR(INDEX('Task Master'!$C$5:$C$100,MATCH(B111,'Task Master'!$A$5:$A$100,0)),""))</f>
        <v/>
      </c>
      <c r="D111" s="37" t="str">
        <f>IF(B111="","",IFERROR(INDEX('Task Master'!$J$5:$J$100,MATCH(B111,'Task Master'!$A$5:$A$100,0)),""))</f>
        <v/>
      </c>
      <c r="E111" s="37" t="str">
        <f>IF(B111="","",IFERROR(INDEX('Task Master'!$K$5:$K$100,MATCH(B111,'Task Master'!$A$5:$A$100,0)),""))</f>
        <v/>
      </c>
      <c r="F111" s="36"/>
      <c r="G111" s="36"/>
      <c r="H111" s="36"/>
      <c r="I111" s="36"/>
      <c r="J111" s="38"/>
      <c r="K111" s="36"/>
      <c r="L111" s="38"/>
      <c r="M111" s="39"/>
      <c r="N111" s="39"/>
      <c r="O111" s="40" t="str">
        <f t="shared" si="5"/>
        <v/>
      </c>
      <c r="P111" s="39"/>
    </row>
    <row r="112" spans="1:16">
      <c r="A112" s="35"/>
      <c r="B112" s="36"/>
      <c r="C112" s="37" t="str">
        <f>IF(B112="","",IFERROR(INDEX('Task Master'!$C$5:$C$100,MATCH(B112,'Task Master'!$A$5:$A$100,0)),""))</f>
        <v/>
      </c>
      <c r="D112" s="37" t="str">
        <f>IF(B112="","",IFERROR(INDEX('Task Master'!$J$5:$J$100,MATCH(B112,'Task Master'!$A$5:$A$100,0)),""))</f>
        <v/>
      </c>
      <c r="E112" s="37" t="str">
        <f>IF(B112="","",IFERROR(INDEX('Task Master'!$K$5:$K$100,MATCH(B112,'Task Master'!$A$5:$A$100,0)),""))</f>
        <v/>
      </c>
      <c r="F112" s="36"/>
      <c r="G112" s="36"/>
      <c r="H112" s="36"/>
      <c r="I112" s="36"/>
      <c r="J112" s="38"/>
      <c r="K112" s="36"/>
      <c r="L112" s="38"/>
      <c r="M112" s="39"/>
      <c r="N112" s="39"/>
      <c r="O112" s="40" t="str">
        <f t="shared" si="5"/>
        <v/>
      </c>
      <c r="P112" s="39"/>
    </row>
    <row r="113" spans="1:16">
      <c r="A113" s="35"/>
      <c r="B113" s="36"/>
      <c r="C113" s="37" t="str">
        <f>IF(B113="","",IFERROR(INDEX('Task Master'!$C$5:$C$100,MATCH(B113,'Task Master'!$A$5:$A$100,0)),""))</f>
        <v/>
      </c>
      <c r="D113" s="37" t="str">
        <f>IF(B113="","",IFERROR(INDEX('Task Master'!$J$5:$J$100,MATCH(B113,'Task Master'!$A$5:$A$100,0)),""))</f>
        <v/>
      </c>
      <c r="E113" s="37" t="str">
        <f>IF(B113="","",IFERROR(INDEX('Task Master'!$K$5:$K$100,MATCH(B113,'Task Master'!$A$5:$A$100,0)),""))</f>
        <v/>
      </c>
      <c r="F113" s="36"/>
      <c r="G113" s="36"/>
      <c r="H113" s="36"/>
      <c r="I113" s="36"/>
      <c r="J113" s="38"/>
      <c r="K113" s="36"/>
      <c r="L113" s="38"/>
      <c r="M113" s="39"/>
      <c r="N113" s="39"/>
      <c r="O113" s="40" t="str">
        <f t="shared" si="5"/>
        <v/>
      </c>
      <c r="P113" s="39"/>
    </row>
    <row r="114" spans="1:16">
      <c r="A114" s="35"/>
      <c r="B114" s="36"/>
      <c r="C114" s="37" t="str">
        <f>IF(B114="","",IFERROR(INDEX('Task Master'!$C$5:$C$100,MATCH(B114,'Task Master'!$A$5:$A$100,0)),""))</f>
        <v/>
      </c>
      <c r="D114" s="37" t="str">
        <f>IF(B114="","",IFERROR(INDEX('Task Master'!$J$5:$J$100,MATCH(B114,'Task Master'!$A$5:$A$100,0)),""))</f>
        <v/>
      </c>
      <c r="E114" s="37" t="str">
        <f>IF(B114="","",IFERROR(INDEX('Task Master'!$K$5:$K$100,MATCH(B114,'Task Master'!$A$5:$A$100,0)),""))</f>
        <v/>
      </c>
      <c r="F114" s="36"/>
      <c r="G114" s="36"/>
      <c r="H114" s="36"/>
      <c r="I114" s="36"/>
      <c r="J114" s="38"/>
      <c r="K114" s="36"/>
      <c r="L114" s="38"/>
      <c r="M114" s="39"/>
      <c r="N114" s="39"/>
      <c r="O114" s="40" t="str">
        <f t="shared" si="5"/>
        <v/>
      </c>
      <c r="P114" s="39"/>
    </row>
    <row r="115" spans="1:16">
      <c r="A115" s="35"/>
      <c r="B115" s="36"/>
      <c r="C115" s="37" t="str">
        <f>IF(B115="","",IFERROR(INDEX('Task Master'!$C$5:$C$100,MATCH(B115,'Task Master'!$A$5:$A$100,0)),""))</f>
        <v/>
      </c>
      <c r="D115" s="37" t="str">
        <f>IF(B115="","",IFERROR(INDEX('Task Master'!$J$5:$J$100,MATCH(B115,'Task Master'!$A$5:$A$100,0)),""))</f>
        <v/>
      </c>
      <c r="E115" s="37" t="str">
        <f>IF(B115="","",IFERROR(INDEX('Task Master'!$K$5:$K$100,MATCH(B115,'Task Master'!$A$5:$A$100,0)),""))</f>
        <v/>
      </c>
      <c r="F115" s="36"/>
      <c r="G115" s="36"/>
      <c r="H115" s="36"/>
      <c r="I115" s="36"/>
      <c r="J115" s="38"/>
      <c r="K115" s="36"/>
      <c r="L115" s="38"/>
      <c r="M115" s="39"/>
      <c r="N115" s="39"/>
      <c r="O115" s="40" t="str">
        <f t="shared" si="5"/>
        <v/>
      </c>
      <c r="P115" s="39"/>
    </row>
    <row r="116" spans="1:16">
      <c r="A116" s="35"/>
      <c r="B116" s="36"/>
      <c r="C116" s="37" t="str">
        <f>IF(B116="","",IFERROR(INDEX('Task Master'!$C$5:$C$100,MATCH(B116,'Task Master'!$A$5:$A$100,0)),""))</f>
        <v/>
      </c>
      <c r="D116" s="37" t="str">
        <f>IF(B116="","",IFERROR(INDEX('Task Master'!$J$5:$J$100,MATCH(B116,'Task Master'!$A$5:$A$100,0)),""))</f>
        <v/>
      </c>
      <c r="E116" s="37" t="str">
        <f>IF(B116="","",IFERROR(INDEX('Task Master'!$K$5:$K$100,MATCH(B116,'Task Master'!$A$5:$A$100,0)),""))</f>
        <v/>
      </c>
      <c r="F116" s="36"/>
      <c r="G116" s="36"/>
      <c r="H116" s="36"/>
      <c r="I116" s="36"/>
      <c r="J116" s="38"/>
      <c r="K116" s="36"/>
      <c r="L116" s="38"/>
      <c r="M116" s="39"/>
      <c r="N116" s="39"/>
      <c r="O116" s="40" t="str">
        <f t="shared" si="5"/>
        <v/>
      </c>
      <c r="P116" s="39"/>
    </row>
    <row r="117" spans="1:16">
      <c r="A117" s="35"/>
      <c r="B117" s="36"/>
      <c r="C117" s="37" t="str">
        <f>IF(B117="","",IFERROR(INDEX('Task Master'!$C$5:$C$100,MATCH(B117,'Task Master'!$A$5:$A$100,0)),""))</f>
        <v/>
      </c>
      <c r="D117" s="37" t="str">
        <f>IF(B117="","",IFERROR(INDEX('Task Master'!$J$5:$J$100,MATCH(B117,'Task Master'!$A$5:$A$100,0)),""))</f>
        <v/>
      </c>
      <c r="E117" s="37" t="str">
        <f>IF(B117="","",IFERROR(INDEX('Task Master'!$K$5:$K$100,MATCH(B117,'Task Master'!$A$5:$A$100,0)),""))</f>
        <v/>
      </c>
      <c r="F117" s="36"/>
      <c r="G117" s="36"/>
      <c r="H117" s="36"/>
      <c r="I117" s="36"/>
      <c r="J117" s="38"/>
      <c r="K117" s="36"/>
      <c r="L117" s="38"/>
      <c r="M117" s="39"/>
      <c r="N117" s="39"/>
      <c r="O117" s="40" t="str">
        <f t="shared" si="5"/>
        <v/>
      </c>
      <c r="P117" s="39"/>
    </row>
    <row r="118" spans="1:16">
      <c r="A118" s="35"/>
      <c r="B118" s="36"/>
      <c r="C118" s="37" t="str">
        <f>IF(B118="","",IFERROR(INDEX('Task Master'!$C$5:$C$100,MATCH(B118,'Task Master'!$A$5:$A$100,0)),""))</f>
        <v/>
      </c>
      <c r="D118" s="37" t="str">
        <f>IF(B118="","",IFERROR(INDEX('Task Master'!$J$5:$J$100,MATCH(B118,'Task Master'!$A$5:$A$100,0)),""))</f>
        <v/>
      </c>
      <c r="E118" s="37" t="str">
        <f>IF(B118="","",IFERROR(INDEX('Task Master'!$K$5:$K$100,MATCH(B118,'Task Master'!$A$5:$A$100,0)),""))</f>
        <v/>
      </c>
      <c r="F118" s="36"/>
      <c r="G118" s="36"/>
      <c r="H118" s="36"/>
      <c r="I118" s="36"/>
      <c r="J118" s="38"/>
      <c r="K118" s="36"/>
      <c r="L118" s="38"/>
      <c r="M118" s="39"/>
      <c r="N118" s="39"/>
      <c r="O118" s="40" t="str">
        <f t="shared" si="5"/>
        <v/>
      </c>
      <c r="P118" s="39"/>
    </row>
    <row r="119" spans="1:16">
      <c r="A119" s="35"/>
      <c r="B119" s="36"/>
      <c r="C119" s="37" t="str">
        <f>IF(B119="","",IFERROR(INDEX('Task Master'!$C$5:$C$100,MATCH(B119,'Task Master'!$A$5:$A$100,0)),""))</f>
        <v/>
      </c>
      <c r="D119" s="37" t="str">
        <f>IF(B119="","",IFERROR(INDEX('Task Master'!$J$5:$J$100,MATCH(B119,'Task Master'!$A$5:$A$100,0)),""))</f>
        <v/>
      </c>
      <c r="E119" s="37" t="str">
        <f>IF(B119="","",IFERROR(INDEX('Task Master'!$K$5:$K$100,MATCH(B119,'Task Master'!$A$5:$A$100,0)),""))</f>
        <v/>
      </c>
      <c r="F119" s="36"/>
      <c r="G119" s="36"/>
      <c r="H119" s="36"/>
      <c r="I119" s="36"/>
      <c r="J119" s="38"/>
      <c r="K119" s="36"/>
      <c r="L119" s="38"/>
      <c r="M119" s="39"/>
      <c r="N119" s="39"/>
      <c r="O119" s="40" t="str">
        <f t="shared" si="5"/>
        <v/>
      </c>
      <c r="P119" s="39"/>
    </row>
    <row r="120" spans="1:16">
      <c r="A120" s="35"/>
      <c r="B120" s="36"/>
      <c r="C120" s="37" t="str">
        <f>IF(B120="","",IFERROR(INDEX('Task Master'!$C$5:$C$100,MATCH(B120,'Task Master'!$A$5:$A$100,0)),""))</f>
        <v/>
      </c>
      <c r="D120" s="37" t="str">
        <f>IF(B120="","",IFERROR(INDEX('Task Master'!$J$5:$J$100,MATCH(B120,'Task Master'!$A$5:$A$100,0)),""))</f>
        <v/>
      </c>
      <c r="E120" s="37" t="str">
        <f>IF(B120="","",IFERROR(INDEX('Task Master'!$K$5:$K$100,MATCH(B120,'Task Master'!$A$5:$A$100,0)),""))</f>
        <v/>
      </c>
      <c r="F120" s="36"/>
      <c r="G120" s="36"/>
      <c r="H120" s="36"/>
      <c r="I120" s="36"/>
      <c r="J120" s="38"/>
      <c r="K120" s="36"/>
      <c r="L120" s="38"/>
      <c r="M120" s="39"/>
      <c r="N120" s="39"/>
      <c r="O120" s="40" t="str">
        <f t="shared" si="5"/>
        <v/>
      </c>
      <c r="P120" s="39"/>
    </row>
    <row r="121" spans="1:16">
      <c r="A121" s="35"/>
      <c r="B121" s="36"/>
      <c r="C121" s="37" t="str">
        <f>IF(B121="","",IFERROR(INDEX('Task Master'!$C$5:$C$100,MATCH(B121,'Task Master'!$A$5:$A$100,0)),""))</f>
        <v/>
      </c>
      <c r="D121" s="37" t="str">
        <f>IF(B121="","",IFERROR(INDEX('Task Master'!$J$5:$J$100,MATCH(B121,'Task Master'!$A$5:$A$100,0)),""))</f>
        <v/>
      </c>
      <c r="E121" s="37" t="str">
        <f>IF(B121="","",IFERROR(INDEX('Task Master'!$K$5:$K$100,MATCH(B121,'Task Master'!$A$5:$A$100,0)),""))</f>
        <v/>
      </c>
      <c r="F121" s="36"/>
      <c r="G121" s="36"/>
      <c r="H121" s="36"/>
      <c r="I121" s="36"/>
      <c r="J121" s="38"/>
      <c r="K121" s="36"/>
      <c r="L121" s="38"/>
      <c r="M121" s="39"/>
      <c r="N121" s="39"/>
      <c r="O121" s="40" t="str">
        <f t="shared" si="5"/>
        <v/>
      </c>
      <c r="P121" s="39"/>
    </row>
    <row r="122" spans="1:16">
      <c r="A122" s="35"/>
      <c r="B122" s="36"/>
      <c r="C122" s="37" t="str">
        <f>IF(B122="","",IFERROR(INDEX('Task Master'!$C$5:$C$100,MATCH(B122,'Task Master'!$A$5:$A$100,0)),""))</f>
        <v/>
      </c>
      <c r="D122" s="37" t="str">
        <f>IF(B122="","",IFERROR(INDEX('Task Master'!$J$5:$J$100,MATCH(B122,'Task Master'!$A$5:$A$100,0)),""))</f>
        <v/>
      </c>
      <c r="E122" s="37" t="str">
        <f>IF(B122="","",IFERROR(INDEX('Task Master'!$K$5:$K$100,MATCH(B122,'Task Master'!$A$5:$A$100,0)),""))</f>
        <v/>
      </c>
      <c r="F122" s="36"/>
      <c r="G122" s="36"/>
      <c r="H122" s="36"/>
      <c r="I122" s="36"/>
      <c r="J122" s="38"/>
      <c r="K122" s="36"/>
      <c r="L122" s="38"/>
      <c r="M122" s="39"/>
      <c r="N122" s="39"/>
      <c r="O122" s="40" t="str">
        <f t="shared" si="5"/>
        <v/>
      </c>
      <c r="P122" s="39"/>
    </row>
    <row r="123" spans="1:16">
      <c r="A123" s="35"/>
      <c r="B123" s="36"/>
      <c r="C123" s="37" t="str">
        <f>IF(B123="","",IFERROR(INDEX('Task Master'!$C$5:$C$100,MATCH(B123,'Task Master'!$A$5:$A$100,0)),""))</f>
        <v/>
      </c>
      <c r="D123" s="37" t="str">
        <f>IF(B123="","",IFERROR(INDEX('Task Master'!$J$5:$J$100,MATCH(B123,'Task Master'!$A$5:$A$100,0)),""))</f>
        <v/>
      </c>
      <c r="E123" s="37" t="str">
        <f>IF(B123="","",IFERROR(INDEX('Task Master'!$K$5:$K$100,MATCH(B123,'Task Master'!$A$5:$A$100,0)),""))</f>
        <v/>
      </c>
      <c r="F123" s="36"/>
      <c r="G123" s="36"/>
      <c r="H123" s="36"/>
      <c r="I123" s="36"/>
      <c r="J123" s="38"/>
      <c r="K123" s="36"/>
      <c r="L123" s="38"/>
      <c r="M123" s="39"/>
      <c r="N123" s="39"/>
      <c r="O123" s="40" t="str">
        <f t="shared" si="5"/>
        <v/>
      </c>
      <c r="P123" s="39"/>
    </row>
    <row r="124" spans="1:16">
      <c r="A124" s="35"/>
      <c r="B124" s="36"/>
      <c r="C124" s="37" t="str">
        <f>IF(B124="","",IFERROR(INDEX('Task Master'!$C$5:$C$100,MATCH(B124,'Task Master'!$A$5:$A$100,0)),""))</f>
        <v/>
      </c>
      <c r="D124" s="37" t="str">
        <f>IF(B124="","",IFERROR(INDEX('Task Master'!$J$5:$J$100,MATCH(B124,'Task Master'!$A$5:$A$100,0)),""))</f>
        <v/>
      </c>
      <c r="E124" s="37" t="str">
        <f>IF(B124="","",IFERROR(INDEX('Task Master'!$K$5:$K$100,MATCH(B124,'Task Master'!$A$5:$A$100,0)),""))</f>
        <v/>
      </c>
      <c r="F124" s="36"/>
      <c r="G124" s="36"/>
      <c r="H124" s="36"/>
      <c r="I124" s="36"/>
      <c r="J124" s="38"/>
      <c r="K124" s="36"/>
      <c r="L124" s="38"/>
      <c r="M124" s="39"/>
      <c r="N124" s="39"/>
      <c r="O124" s="40" t="str">
        <f t="shared" si="5"/>
        <v/>
      </c>
      <c r="P124" s="39"/>
    </row>
    <row r="125" spans="1:16">
      <c r="A125" s="35"/>
      <c r="B125" s="36"/>
      <c r="C125" s="37" t="str">
        <f>IF(B125="","",IFERROR(INDEX('Task Master'!$C$5:$C$100,MATCH(B125,'Task Master'!$A$5:$A$100,0)),""))</f>
        <v/>
      </c>
      <c r="D125" s="37" t="str">
        <f>IF(B125="","",IFERROR(INDEX('Task Master'!$J$5:$J$100,MATCH(B125,'Task Master'!$A$5:$A$100,0)),""))</f>
        <v/>
      </c>
      <c r="E125" s="37" t="str">
        <f>IF(B125="","",IFERROR(INDEX('Task Master'!$K$5:$K$100,MATCH(B125,'Task Master'!$A$5:$A$100,0)),""))</f>
        <v/>
      </c>
      <c r="F125" s="36"/>
      <c r="G125" s="36"/>
      <c r="H125" s="36"/>
      <c r="I125" s="36"/>
      <c r="J125" s="38"/>
      <c r="K125" s="36"/>
      <c r="L125" s="38"/>
      <c r="M125" s="39"/>
      <c r="N125" s="39"/>
      <c r="O125" s="40" t="str">
        <f t="shared" si="5"/>
        <v/>
      </c>
      <c r="P125" s="39"/>
    </row>
    <row r="126" spans="1:16">
      <c r="A126" s="35"/>
      <c r="B126" s="36"/>
      <c r="C126" s="37" t="str">
        <f>IF(B126="","",IFERROR(INDEX('Task Master'!$C$5:$C$100,MATCH(B126,'Task Master'!$A$5:$A$100,0)),""))</f>
        <v/>
      </c>
      <c r="D126" s="37" t="str">
        <f>IF(B126="","",IFERROR(INDEX('Task Master'!$J$5:$J$100,MATCH(B126,'Task Master'!$A$5:$A$100,0)),""))</f>
        <v/>
      </c>
      <c r="E126" s="37" t="str">
        <f>IF(B126="","",IFERROR(INDEX('Task Master'!$K$5:$K$100,MATCH(B126,'Task Master'!$A$5:$A$100,0)),""))</f>
        <v/>
      </c>
      <c r="F126" s="36"/>
      <c r="G126" s="36"/>
      <c r="H126" s="36"/>
      <c r="I126" s="36"/>
      <c r="J126" s="38"/>
      <c r="K126" s="36"/>
      <c r="L126" s="38"/>
      <c r="M126" s="39"/>
      <c r="N126" s="39"/>
      <c r="O126" s="40" t="str">
        <f t="shared" si="5"/>
        <v/>
      </c>
      <c r="P126" s="39"/>
    </row>
    <row r="127" spans="1:16">
      <c r="A127" s="35"/>
      <c r="B127" s="36"/>
      <c r="C127" s="37" t="str">
        <f>IF(B127="","",IFERROR(INDEX('Task Master'!$C$5:$C$100,MATCH(B127,'Task Master'!$A$5:$A$100,0)),""))</f>
        <v/>
      </c>
      <c r="D127" s="37" t="str">
        <f>IF(B127="","",IFERROR(INDEX('Task Master'!$J$5:$J$100,MATCH(B127,'Task Master'!$A$5:$A$100,0)),""))</f>
        <v/>
      </c>
      <c r="E127" s="37" t="str">
        <f>IF(B127="","",IFERROR(INDEX('Task Master'!$K$5:$K$100,MATCH(B127,'Task Master'!$A$5:$A$100,0)),""))</f>
        <v/>
      </c>
      <c r="F127" s="36"/>
      <c r="G127" s="36"/>
      <c r="H127" s="36"/>
      <c r="I127" s="36"/>
      <c r="J127" s="38"/>
      <c r="K127" s="36"/>
      <c r="L127" s="38"/>
      <c r="M127" s="39"/>
      <c r="N127" s="39"/>
      <c r="O127" s="40" t="str">
        <f t="shared" si="5"/>
        <v/>
      </c>
      <c r="P127" s="39"/>
    </row>
    <row r="128" spans="1:16">
      <c r="A128" s="35"/>
      <c r="B128" s="36"/>
      <c r="C128" s="37" t="str">
        <f>IF(B128="","",IFERROR(INDEX('Task Master'!$C$5:$C$100,MATCH(B128,'Task Master'!$A$5:$A$100,0)),""))</f>
        <v/>
      </c>
      <c r="D128" s="37" t="str">
        <f>IF(B128="","",IFERROR(INDEX('Task Master'!$J$5:$J$100,MATCH(B128,'Task Master'!$A$5:$A$100,0)),""))</f>
        <v/>
      </c>
      <c r="E128" s="37" t="str">
        <f>IF(B128="","",IFERROR(INDEX('Task Master'!$K$5:$K$100,MATCH(B128,'Task Master'!$A$5:$A$100,0)),""))</f>
        <v/>
      </c>
      <c r="F128" s="36"/>
      <c r="G128" s="36"/>
      <c r="H128" s="36"/>
      <c r="I128" s="36"/>
      <c r="J128" s="38"/>
      <c r="K128" s="36"/>
      <c r="L128" s="38"/>
      <c r="M128" s="39"/>
      <c r="N128" s="39"/>
      <c r="O128" s="40" t="str">
        <f t="shared" si="5"/>
        <v/>
      </c>
      <c r="P128" s="39"/>
    </row>
    <row r="129" spans="1:16">
      <c r="A129" s="35"/>
      <c r="B129" s="36"/>
      <c r="C129" s="37" t="str">
        <f>IF(B129="","",IFERROR(INDEX('Task Master'!$C$5:$C$100,MATCH(B129,'Task Master'!$A$5:$A$100,0)),""))</f>
        <v/>
      </c>
      <c r="D129" s="37" t="str">
        <f>IF(B129="","",IFERROR(INDEX('Task Master'!$J$5:$J$100,MATCH(B129,'Task Master'!$A$5:$A$100,0)),""))</f>
        <v/>
      </c>
      <c r="E129" s="37" t="str">
        <f>IF(B129="","",IFERROR(INDEX('Task Master'!$K$5:$K$100,MATCH(B129,'Task Master'!$A$5:$A$100,0)),""))</f>
        <v/>
      </c>
      <c r="F129" s="36"/>
      <c r="G129" s="36"/>
      <c r="H129" s="36"/>
      <c r="I129" s="36"/>
      <c r="J129" s="38"/>
      <c r="K129" s="36"/>
      <c r="L129" s="38"/>
      <c r="M129" s="39"/>
      <c r="N129" s="39"/>
      <c r="O129" s="40" t="str">
        <f t="shared" si="5"/>
        <v/>
      </c>
      <c r="P129" s="39"/>
    </row>
    <row r="130" spans="1:16">
      <c r="A130" s="35"/>
      <c r="B130" s="36"/>
      <c r="C130" s="37" t="str">
        <f>IF(B130="","",IFERROR(INDEX('Task Master'!$C$5:$C$100,MATCH(B130,'Task Master'!$A$5:$A$100,0)),""))</f>
        <v/>
      </c>
      <c r="D130" s="37" t="str">
        <f>IF(B130="","",IFERROR(INDEX('Task Master'!$J$5:$J$100,MATCH(B130,'Task Master'!$A$5:$A$100,0)),""))</f>
        <v/>
      </c>
      <c r="E130" s="37" t="str">
        <f>IF(B130="","",IFERROR(INDEX('Task Master'!$K$5:$K$100,MATCH(B130,'Task Master'!$A$5:$A$100,0)),""))</f>
        <v/>
      </c>
      <c r="F130" s="36"/>
      <c r="G130" s="36"/>
      <c r="H130" s="36"/>
      <c r="I130" s="36"/>
      <c r="J130" s="38"/>
      <c r="K130" s="36"/>
      <c r="L130" s="38"/>
      <c r="M130" s="39"/>
      <c r="N130" s="39"/>
      <c r="O130" s="40" t="str">
        <f t="shared" si="5"/>
        <v/>
      </c>
      <c r="P130" s="39"/>
    </row>
    <row r="131" spans="1:16">
      <c r="A131" s="35"/>
      <c r="B131" s="36"/>
      <c r="C131" s="37" t="str">
        <f>IF(B131="","",IFERROR(INDEX('Task Master'!$C$5:$C$100,MATCH(B131,'Task Master'!$A$5:$A$100,0)),""))</f>
        <v/>
      </c>
      <c r="D131" s="37" t="str">
        <f>IF(B131="","",IFERROR(INDEX('Task Master'!$J$5:$J$100,MATCH(B131,'Task Master'!$A$5:$A$100,0)),""))</f>
        <v/>
      </c>
      <c r="E131" s="37" t="str">
        <f>IF(B131="","",IFERROR(INDEX('Task Master'!$K$5:$K$100,MATCH(B131,'Task Master'!$A$5:$A$100,0)),""))</f>
        <v/>
      </c>
      <c r="F131" s="36"/>
      <c r="G131" s="36"/>
      <c r="H131" s="36"/>
      <c r="I131" s="36"/>
      <c r="J131" s="38"/>
      <c r="K131" s="36"/>
      <c r="L131" s="38"/>
      <c r="M131" s="39"/>
      <c r="N131" s="39"/>
      <c r="O131" s="40" t="str">
        <f t="shared" si="5"/>
        <v/>
      </c>
      <c r="P131" s="39"/>
    </row>
    <row r="132" spans="1:16">
      <c r="A132" s="35"/>
      <c r="B132" s="36"/>
      <c r="C132" s="37" t="str">
        <f>IF(B132="","",IFERROR(INDEX('Task Master'!$C$5:$C$100,MATCH(B132,'Task Master'!$A$5:$A$100,0)),""))</f>
        <v/>
      </c>
      <c r="D132" s="37" t="str">
        <f>IF(B132="","",IFERROR(INDEX('Task Master'!$J$5:$J$100,MATCH(B132,'Task Master'!$A$5:$A$100,0)),""))</f>
        <v/>
      </c>
      <c r="E132" s="37" t="str">
        <f>IF(B132="","",IFERROR(INDEX('Task Master'!$K$5:$K$100,MATCH(B132,'Task Master'!$A$5:$A$100,0)),""))</f>
        <v/>
      </c>
      <c r="F132" s="36"/>
      <c r="G132" s="36"/>
      <c r="H132" s="36"/>
      <c r="I132" s="36"/>
      <c r="J132" s="38"/>
      <c r="K132" s="36"/>
      <c r="L132" s="38"/>
      <c r="M132" s="39"/>
      <c r="N132" s="39"/>
      <c r="O132" s="40" t="str">
        <f t="shared" si="5"/>
        <v/>
      </c>
      <c r="P132" s="39"/>
    </row>
    <row r="133" spans="1:16">
      <c r="A133" s="35"/>
      <c r="B133" s="36"/>
      <c r="C133" s="37" t="str">
        <f>IF(B133="","",IFERROR(INDEX('Task Master'!$C$5:$C$100,MATCH(B133,'Task Master'!$A$5:$A$100,0)),""))</f>
        <v/>
      </c>
      <c r="D133" s="37" t="str">
        <f>IF(B133="","",IFERROR(INDEX('Task Master'!$J$5:$J$100,MATCH(B133,'Task Master'!$A$5:$A$100,0)),""))</f>
        <v/>
      </c>
      <c r="E133" s="37" t="str">
        <f>IF(B133="","",IFERROR(INDEX('Task Master'!$K$5:$K$100,MATCH(B133,'Task Master'!$A$5:$A$100,0)),""))</f>
        <v/>
      </c>
      <c r="F133" s="36"/>
      <c r="G133" s="36"/>
      <c r="H133" s="36"/>
      <c r="I133" s="36"/>
      <c r="J133" s="38"/>
      <c r="K133" s="36"/>
      <c r="L133" s="38"/>
      <c r="M133" s="39"/>
      <c r="N133" s="39"/>
      <c r="O133" s="40" t="str">
        <f t="shared" ref="O133:O164" si="6">IF(OR(A133="",B133=""),"",IF(OR(K133="Achieved",K133="Out-of-Scope Confirmed"),"Yes","No"))</f>
        <v/>
      </c>
      <c r="P133" s="39"/>
    </row>
    <row r="134" spans="1:16">
      <c r="A134" s="35"/>
      <c r="B134" s="36"/>
      <c r="C134" s="37" t="str">
        <f>IF(B134="","",IFERROR(INDEX('Task Master'!$C$5:$C$100,MATCH(B134,'Task Master'!$A$5:$A$100,0)),""))</f>
        <v/>
      </c>
      <c r="D134" s="37" t="str">
        <f>IF(B134="","",IFERROR(INDEX('Task Master'!$J$5:$J$100,MATCH(B134,'Task Master'!$A$5:$A$100,0)),""))</f>
        <v/>
      </c>
      <c r="E134" s="37" t="str">
        <f>IF(B134="","",IFERROR(INDEX('Task Master'!$K$5:$K$100,MATCH(B134,'Task Master'!$A$5:$A$100,0)),""))</f>
        <v/>
      </c>
      <c r="F134" s="36"/>
      <c r="G134" s="36"/>
      <c r="H134" s="36"/>
      <c r="I134" s="36"/>
      <c r="J134" s="38"/>
      <c r="K134" s="36"/>
      <c r="L134" s="38"/>
      <c r="M134" s="39"/>
      <c r="N134" s="39"/>
      <c r="O134" s="40" t="str">
        <f t="shared" si="6"/>
        <v/>
      </c>
      <c r="P134" s="39"/>
    </row>
    <row r="135" spans="1:16">
      <c r="A135" s="35"/>
      <c r="B135" s="36"/>
      <c r="C135" s="37" t="str">
        <f>IF(B135="","",IFERROR(INDEX('Task Master'!$C$5:$C$100,MATCH(B135,'Task Master'!$A$5:$A$100,0)),""))</f>
        <v/>
      </c>
      <c r="D135" s="37" t="str">
        <f>IF(B135="","",IFERROR(INDEX('Task Master'!$J$5:$J$100,MATCH(B135,'Task Master'!$A$5:$A$100,0)),""))</f>
        <v/>
      </c>
      <c r="E135" s="37" t="str">
        <f>IF(B135="","",IFERROR(INDEX('Task Master'!$K$5:$K$100,MATCH(B135,'Task Master'!$A$5:$A$100,0)),""))</f>
        <v/>
      </c>
      <c r="F135" s="36"/>
      <c r="G135" s="36"/>
      <c r="H135" s="36"/>
      <c r="I135" s="36"/>
      <c r="J135" s="38"/>
      <c r="K135" s="36"/>
      <c r="L135" s="38"/>
      <c r="M135" s="39"/>
      <c r="N135" s="39"/>
      <c r="O135" s="40" t="str">
        <f t="shared" si="6"/>
        <v/>
      </c>
      <c r="P135" s="39"/>
    </row>
    <row r="136" spans="1:16">
      <c r="A136" s="35"/>
      <c r="B136" s="36"/>
      <c r="C136" s="37" t="str">
        <f>IF(B136="","",IFERROR(INDEX('Task Master'!$C$5:$C$100,MATCH(B136,'Task Master'!$A$5:$A$100,0)),""))</f>
        <v/>
      </c>
      <c r="D136" s="37" t="str">
        <f>IF(B136="","",IFERROR(INDEX('Task Master'!$J$5:$J$100,MATCH(B136,'Task Master'!$A$5:$A$100,0)),""))</f>
        <v/>
      </c>
      <c r="E136" s="37" t="str">
        <f>IF(B136="","",IFERROR(INDEX('Task Master'!$K$5:$K$100,MATCH(B136,'Task Master'!$A$5:$A$100,0)),""))</f>
        <v/>
      </c>
      <c r="F136" s="36"/>
      <c r="G136" s="36"/>
      <c r="H136" s="36"/>
      <c r="I136" s="36"/>
      <c r="J136" s="38"/>
      <c r="K136" s="36"/>
      <c r="L136" s="38"/>
      <c r="M136" s="39"/>
      <c r="N136" s="39"/>
      <c r="O136" s="40" t="str">
        <f t="shared" si="6"/>
        <v/>
      </c>
      <c r="P136" s="39"/>
    </row>
    <row r="137" spans="1:16">
      <c r="A137" s="35"/>
      <c r="B137" s="36"/>
      <c r="C137" s="37" t="str">
        <f>IF(B137="","",IFERROR(INDEX('Task Master'!$C$5:$C$100,MATCH(B137,'Task Master'!$A$5:$A$100,0)),""))</f>
        <v/>
      </c>
      <c r="D137" s="37" t="str">
        <f>IF(B137="","",IFERROR(INDEX('Task Master'!$J$5:$J$100,MATCH(B137,'Task Master'!$A$5:$A$100,0)),""))</f>
        <v/>
      </c>
      <c r="E137" s="37" t="str">
        <f>IF(B137="","",IFERROR(INDEX('Task Master'!$K$5:$K$100,MATCH(B137,'Task Master'!$A$5:$A$100,0)),""))</f>
        <v/>
      </c>
      <c r="F137" s="36"/>
      <c r="G137" s="36"/>
      <c r="H137" s="36"/>
      <c r="I137" s="36"/>
      <c r="J137" s="38"/>
      <c r="K137" s="36"/>
      <c r="L137" s="38"/>
      <c r="M137" s="39"/>
      <c r="N137" s="39"/>
      <c r="O137" s="40" t="str">
        <f t="shared" si="6"/>
        <v/>
      </c>
      <c r="P137" s="39"/>
    </row>
    <row r="138" spans="1:16">
      <c r="A138" s="35"/>
      <c r="B138" s="36"/>
      <c r="C138" s="37" t="str">
        <f>IF(B138="","",IFERROR(INDEX('Task Master'!$C$5:$C$100,MATCH(B138,'Task Master'!$A$5:$A$100,0)),""))</f>
        <v/>
      </c>
      <c r="D138" s="37" t="str">
        <f>IF(B138="","",IFERROR(INDEX('Task Master'!$J$5:$J$100,MATCH(B138,'Task Master'!$A$5:$A$100,0)),""))</f>
        <v/>
      </c>
      <c r="E138" s="37" t="str">
        <f>IF(B138="","",IFERROR(INDEX('Task Master'!$K$5:$K$100,MATCH(B138,'Task Master'!$A$5:$A$100,0)),""))</f>
        <v/>
      </c>
      <c r="F138" s="36"/>
      <c r="G138" s="36"/>
      <c r="H138" s="36"/>
      <c r="I138" s="36"/>
      <c r="J138" s="38"/>
      <c r="K138" s="36"/>
      <c r="L138" s="38"/>
      <c r="M138" s="39"/>
      <c r="N138" s="39"/>
      <c r="O138" s="40" t="str">
        <f t="shared" si="6"/>
        <v/>
      </c>
      <c r="P138" s="39"/>
    </row>
    <row r="139" spans="1:16">
      <c r="A139" s="35"/>
      <c r="B139" s="36"/>
      <c r="C139" s="37" t="str">
        <f>IF(B139="","",IFERROR(INDEX('Task Master'!$C$5:$C$100,MATCH(B139,'Task Master'!$A$5:$A$100,0)),""))</f>
        <v/>
      </c>
      <c r="D139" s="37" t="str">
        <f>IF(B139="","",IFERROR(INDEX('Task Master'!$J$5:$J$100,MATCH(B139,'Task Master'!$A$5:$A$100,0)),""))</f>
        <v/>
      </c>
      <c r="E139" s="37" t="str">
        <f>IF(B139="","",IFERROR(INDEX('Task Master'!$K$5:$K$100,MATCH(B139,'Task Master'!$A$5:$A$100,0)),""))</f>
        <v/>
      </c>
      <c r="F139" s="36"/>
      <c r="G139" s="36"/>
      <c r="H139" s="36"/>
      <c r="I139" s="36"/>
      <c r="J139" s="38"/>
      <c r="K139" s="36"/>
      <c r="L139" s="38"/>
      <c r="M139" s="39"/>
      <c r="N139" s="39"/>
      <c r="O139" s="40" t="str">
        <f t="shared" si="6"/>
        <v/>
      </c>
      <c r="P139" s="39"/>
    </row>
    <row r="140" spans="1:16">
      <c r="A140" s="35"/>
      <c r="B140" s="36"/>
      <c r="C140" s="37" t="str">
        <f>IF(B140="","",IFERROR(INDEX('Task Master'!$C$5:$C$100,MATCH(B140,'Task Master'!$A$5:$A$100,0)),""))</f>
        <v/>
      </c>
      <c r="D140" s="37" t="str">
        <f>IF(B140="","",IFERROR(INDEX('Task Master'!$J$5:$J$100,MATCH(B140,'Task Master'!$A$5:$A$100,0)),""))</f>
        <v/>
      </c>
      <c r="E140" s="37" t="str">
        <f>IF(B140="","",IFERROR(INDEX('Task Master'!$K$5:$K$100,MATCH(B140,'Task Master'!$A$5:$A$100,0)),""))</f>
        <v/>
      </c>
      <c r="F140" s="36"/>
      <c r="G140" s="36"/>
      <c r="H140" s="36"/>
      <c r="I140" s="36"/>
      <c r="J140" s="38"/>
      <c r="K140" s="36"/>
      <c r="L140" s="38"/>
      <c r="M140" s="39"/>
      <c r="N140" s="39"/>
      <c r="O140" s="40" t="str">
        <f t="shared" si="6"/>
        <v/>
      </c>
      <c r="P140" s="39"/>
    </row>
    <row r="141" spans="1:16">
      <c r="A141" s="35"/>
      <c r="B141" s="36"/>
      <c r="C141" s="37" t="str">
        <f>IF(B141="","",IFERROR(INDEX('Task Master'!$C$5:$C$100,MATCH(B141,'Task Master'!$A$5:$A$100,0)),""))</f>
        <v/>
      </c>
      <c r="D141" s="37" t="str">
        <f>IF(B141="","",IFERROR(INDEX('Task Master'!$J$5:$J$100,MATCH(B141,'Task Master'!$A$5:$A$100,0)),""))</f>
        <v/>
      </c>
      <c r="E141" s="37" t="str">
        <f>IF(B141="","",IFERROR(INDEX('Task Master'!$K$5:$K$100,MATCH(B141,'Task Master'!$A$5:$A$100,0)),""))</f>
        <v/>
      </c>
      <c r="F141" s="36"/>
      <c r="G141" s="36"/>
      <c r="H141" s="36"/>
      <c r="I141" s="36"/>
      <c r="J141" s="38"/>
      <c r="K141" s="36"/>
      <c r="L141" s="38"/>
      <c r="M141" s="39"/>
      <c r="N141" s="39"/>
      <c r="O141" s="40" t="str">
        <f t="shared" si="6"/>
        <v/>
      </c>
      <c r="P141" s="39"/>
    </row>
    <row r="142" spans="1:16">
      <c r="A142" s="35"/>
      <c r="B142" s="36"/>
      <c r="C142" s="37" t="str">
        <f>IF(B142="","",IFERROR(INDEX('Task Master'!$C$5:$C$100,MATCH(B142,'Task Master'!$A$5:$A$100,0)),""))</f>
        <v/>
      </c>
      <c r="D142" s="37" t="str">
        <f>IF(B142="","",IFERROR(INDEX('Task Master'!$J$5:$J$100,MATCH(B142,'Task Master'!$A$5:$A$100,0)),""))</f>
        <v/>
      </c>
      <c r="E142" s="37" t="str">
        <f>IF(B142="","",IFERROR(INDEX('Task Master'!$K$5:$K$100,MATCH(B142,'Task Master'!$A$5:$A$100,0)),""))</f>
        <v/>
      </c>
      <c r="F142" s="36"/>
      <c r="G142" s="36"/>
      <c r="H142" s="36"/>
      <c r="I142" s="36"/>
      <c r="J142" s="38"/>
      <c r="K142" s="36"/>
      <c r="L142" s="38"/>
      <c r="M142" s="39"/>
      <c r="N142" s="39"/>
      <c r="O142" s="40" t="str">
        <f t="shared" si="6"/>
        <v/>
      </c>
      <c r="P142" s="39"/>
    </row>
    <row r="143" spans="1:16">
      <c r="A143" s="35"/>
      <c r="B143" s="36"/>
      <c r="C143" s="37" t="str">
        <f>IF(B143="","",IFERROR(INDEX('Task Master'!$C$5:$C$100,MATCH(B143,'Task Master'!$A$5:$A$100,0)),""))</f>
        <v/>
      </c>
      <c r="D143" s="37" t="str">
        <f>IF(B143="","",IFERROR(INDEX('Task Master'!$J$5:$J$100,MATCH(B143,'Task Master'!$A$5:$A$100,0)),""))</f>
        <v/>
      </c>
      <c r="E143" s="37" t="str">
        <f>IF(B143="","",IFERROR(INDEX('Task Master'!$K$5:$K$100,MATCH(B143,'Task Master'!$A$5:$A$100,0)),""))</f>
        <v/>
      </c>
      <c r="F143" s="36"/>
      <c r="G143" s="36"/>
      <c r="H143" s="36"/>
      <c r="I143" s="36"/>
      <c r="J143" s="38"/>
      <c r="K143" s="36"/>
      <c r="L143" s="38"/>
      <c r="M143" s="39"/>
      <c r="N143" s="39"/>
      <c r="O143" s="40" t="str">
        <f t="shared" si="6"/>
        <v/>
      </c>
      <c r="P143" s="39"/>
    </row>
    <row r="144" spans="1:16">
      <c r="A144" s="35"/>
      <c r="B144" s="36"/>
      <c r="C144" s="37" t="str">
        <f>IF(B144="","",IFERROR(INDEX('Task Master'!$C$5:$C$100,MATCH(B144,'Task Master'!$A$5:$A$100,0)),""))</f>
        <v/>
      </c>
      <c r="D144" s="37" t="str">
        <f>IF(B144="","",IFERROR(INDEX('Task Master'!$J$5:$J$100,MATCH(B144,'Task Master'!$A$5:$A$100,0)),""))</f>
        <v/>
      </c>
      <c r="E144" s="37" t="str">
        <f>IF(B144="","",IFERROR(INDEX('Task Master'!$K$5:$K$100,MATCH(B144,'Task Master'!$A$5:$A$100,0)),""))</f>
        <v/>
      </c>
      <c r="F144" s="36"/>
      <c r="G144" s="36"/>
      <c r="H144" s="36"/>
      <c r="I144" s="36"/>
      <c r="J144" s="38"/>
      <c r="K144" s="36"/>
      <c r="L144" s="38"/>
      <c r="M144" s="39"/>
      <c r="N144" s="39"/>
      <c r="O144" s="40" t="str">
        <f t="shared" si="6"/>
        <v/>
      </c>
      <c r="P144" s="39"/>
    </row>
    <row r="145" spans="1:16">
      <c r="A145" s="35"/>
      <c r="B145" s="36"/>
      <c r="C145" s="37" t="str">
        <f>IF(B145="","",IFERROR(INDEX('Task Master'!$C$5:$C$100,MATCH(B145,'Task Master'!$A$5:$A$100,0)),""))</f>
        <v/>
      </c>
      <c r="D145" s="37" t="str">
        <f>IF(B145="","",IFERROR(INDEX('Task Master'!$J$5:$J$100,MATCH(B145,'Task Master'!$A$5:$A$100,0)),""))</f>
        <v/>
      </c>
      <c r="E145" s="37" t="str">
        <f>IF(B145="","",IFERROR(INDEX('Task Master'!$K$5:$K$100,MATCH(B145,'Task Master'!$A$5:$A$100,0)),""))</f>
        <v/>
      </c>
      <c r="F145" s="36"/>
      <c r="G145" s="36"/>
      <c r="H145" s="36"/>
      <c r="I145" s="36"/>
      <c r="J145" s="38"/>
      <c r="K145" s="36"/>
      <c r="L145" s="38"/>
      <c r="M145" s="39"/>
      <c r="N145" s="39"/>
      <c r="O145" s="40" t="str">
        <f t="shared" si="6"/>
        <v/>
      </c>
      <c r="P145" s="39"/>
    </row>
    <row r="146" spans="1:16">
      <c r="A146" s="35"/>
      <c r="B146" s="36"/>
      <c r="C146" s="37" t="str">
        <f>IF(B146="","",IFERROR(INDEX('Task Master'!$C$5:$C$100,MATCH(B146,'Task Master'!$A$5:$A$100,0)),""))</f>
        <v/>
      </c>
      <c r="D146" s="37" t="str">
        <f>IF(B146="","",IFERROR(INDEX('Task Master'!$J$5:$J$100,MATCH(B146,'Task Master'!$A$5:$A$100,0)),""))</f>
        <v/>
      </c>
      <c r="E146" s="37" t="str">
        <f>IF(B146="","",IFERROR(INDEX('Task Master'!$K$5:$K$100,MATCH(B146,'Task Master'!$A$5:$A$100,0)),""))</f>
        <v/>
      </c>
      <c r="F146" s="36"/>
      <c r="G146" s="36"/>
      <c r="H146" s="36"/>
      <c r="I146" s="36"/>
      <c r="J146" s="38"/>
      <c r="K146" s="36"/>
      <c r="L146" s="38"/>
      <c r="M146" s="39"/>
      <c r="N146" s="39"/>
      <c r="O146" s="40" t="str">
        <f t="shared" si="6"/>
        <v/>
      </c>
      <c r="P146" s="39"/>
    </row>
    <row r="147" spans="1:16">
      <c r="A147" s="35"/>
      <c r="B147" s="36"/>
      <c r="C147" s="37" t="str">
        <f>IF(B147="","",IFERROR(INDEX('Task Master'!$C$5:$C$100,MATCH(B147,'Task Master'!$A$5:$A$100,0)),""))</f>
        <v/>
      </c>
      <c r="D147" s="37" t="str">
        <f>IF(B147="","",IFERROR(INDEX('Task Master'!$J$5:$J$100,MATCH(B147,'Task Master'!$A$5:$A$100,0)),""))</f>
        <v/>
      </c>
      <c r="E147" s="37" t="str">
        <f>IF(B147="","",IFERROR(INDEX('Task Master'!$K$5:$K$100,MATCH(B147,'Task Master'!$A$5:$A$100,0)),""))</f>
        <v/>
      </c>
      <c r="F147" s="36"/>
      <c r="G147" s="36"/>
      <c r="H147" s="36"/>
      <c r="I147" s="36"/>
      <c r="J147" s="38"/>
      <c r="K147" s="36"/>
      <c r="L147" s="38"/>
      <c r="M147" s="39"/>
      <c r="N147" s="39"/>
      <c r="O147" s="40" t="str">
        <f t="shared" si="6"/>
        <v/>
      </c>
      <c r="P147" s="39"/>
    </row>
    <row r="148" spans="1:16">
      <c r="A148" s="35"/>
      <c r="B148" s="36"/>
      <c r="C148" s="37" t="str">
        <f>IF(B148="","",IFERROR(INDEX('Task Master'!$C$5:$C$100,MATCH(B148,'Task Master'!$A$5:$A$100,0)),""))</f>
        <v/>
      </c>
      <c r="D148" s="37" t="str">
        <f>IF(B148="","",IFERROR(INDEX('Task Master'!$J$5:$J$100,MATCH(B148,'Task Master'!$A$5:$A$100,0)),""))</f>
        <v/>
      </c>
      <c r="E148" s="37" t="str">
        <f>IF(B148="","",IFERROR(INDEX('Task Master'!$K$5:$K$100,MATCH(B148,'Task Master'!$A$5:$A$100,0)),""))</f>
        <v/>
      </c>
      <c r="F148" s="36"/>
      <c r="G148" s="36"/>
      <c r="H148" s="36"/>
      <c r="I148" s="36"/>
      <c r="J148" s="38"/>
      <c r="K148" s="36"/>
      <c r="L148" s="38"/>
      <c r="M148" s="39"/>
      <c r="N148" s="39"/>
      <c r="O148" s="40" t="str">
        <f t="shared" si="6"/>
        <v/>
      </c>
      <c r="P148" s="39"/>
    </row>
    <row r="149" spans="1:16">
      <c r="A149" s="35"/>
      <c r="B149" s="36"/>
      <c r="C149" s="37" t="str">
        <f>IF(B149="","",IFERROR(INDEX('Task Master'!$C$5:$C$100,MATCH(B149,'Task Master'!$A$5:$A$100,0)),""))</f>
        <v/>
      </c>
      <c r="D149" s="37" t="str">
        <f>IF(B149="","",IFERROR(INDEX('Task Master'!$J$5:$J$100,MATCH(B149,'Task Master'!$A$5:$A$100,0)),""))</f>
        <v/>
      </c>
      <c r="E149" s="37" t="str">
        <f>IF(B149="","",IFERROR(INDEX('Task Master'!$K$5:$K$100,MATCH(B149,'Task Master'!$A$5:$A$100,0)),""))</f>
        <v/>
      </c>
      <c r="F149" s="36"/>
      <c r="G149" s="36"/>
      <c r="H149" s="36"/>
      <c r="I149" s="36"/>
      <c r="J149" s="38"/>
      <c r="K149" s="36"/>
      <c r="L149" s="38"/>
      <c r="M149" s="39"/>
      <c r="N149" s="39"/>
      <c r="O149" s="40" t="str">
        <f t="shared" si="6"/>
        <v/>
      </c>
      <c r="P149" s="39"/>
    </row>
    <row r="150" spans="1:16">
      <c r="A150" s="35"/>
      <c r="B150" s="36"/>
      <c r="C150" s="37" t="str">
        <f>IF(B150="","",IFERROR(INDEX('Task Master'!$C$5:$C$100,MATCH(B150,'Task Master'!$A$5:$A$100,0)),""))</f>
        <v/>
      </c>
      <c r="D150" s="37" t="str">
        <f>IF(B150="","",IFERROR(INDEX('Task Master'!$J$5:$J$100,MATCH(B150,'Task Master'!$A$5:$A$100,0)),""))</f>
        <v/>
      </c>
      <c r="E150" s="37" t="str">
        <f>IF(B150="","",IFERROR(INDEX('Task Master'!$K$5:$K$100,MATCH(B150,'Task Master'!$A$5:$A$100,0)),""))</f>
        <v/>
      </c>
      <c r="F150" s="36"/>
      <c r="G150" s="36"/>
      <c r="H150" s="36"/>
      <c r="I150" s="36"/>
      <c r="J150" s="38"/>
      <c r="K150" s="36"/>
      <c r="L150" s="38"/>
      <c r="M150" s="39"/>
      <c r="N150" s="39"/>
      <c r="O150" s="40" t="str">
        <f t="shared" si="6"/>
        <v/>
      </c>
      <c r="P150" s="39"/>
    </row>
    <row r="151" spans="1:16">
      <c r="A151" s="35"/>
      <c r="B151" s="36"/>
      <c r="C151" s="37" t="str">
        <f>IF(B151="","",IFERROR(INDEX('Task Master'!$C$5:$C$100,MATCH(B151,'Task Master'!$A$5:$A$100,0)),""))</f>
        <v/>
      </c>
      <c r="D151" s="37" t="str">
        <f>IF(B151="","",IFERROR(INDEX('Task Master'!$J$5:$J$100,MATCH(B151,'Task Master'!$A$5:$A$100,0)),""))</f>
        <v/>
      </c>
      <c r="E151" s="37" t="str">
        <f>IF(B151="","",IFERROR(INDEX('Task Master'!$K$5:$K$100,MATCH(B151,'Task Master'!$A$5:$A$100,0)),""))</f>
        <v/>
      </c>
      <c r="F151" s="36"/>
      <c r="G151" s="36"/>
      <c r="H151" s="36"/>
      <c r="I151" s="36"/>
      <c r="J151" s="38"/>
      <c r="K151" s="36"/>
      <c r="L151" s="38"/>
      <c r="M151" s="39"/>
      <c r="N151" s="39"/>
      <c r="O151" s="40" t="str">
        <f t="shared" si="6"/>
        <v/>
      </c>
      <c r="P151" s="39"/>
    </row>
    <row r="152" spans="1:16">
      <c r="A152" s="35"/>
      <c r="B152" s="36"/>
      <c r="C152" s="37" t="str">
        <f>IF(B152="","",IFERROR(INDEX('Task Master'!$C$5:$C$100,MATCH(B152,'Task Master'!$A$5:$A$100,0)),""))</f>
        <v/>
      </c>
      <c r="D152" s="37" t="str">
        <f>IF(B152="","",IFERROR(INDEX('Task Master'!$J$5:$J$100,MATCH(B152,'Task Master'!$A$5:$A$100,0)),""))</f>
        <v/>
      </c>
      <c r="E152" s="37" t="str">
        <f>IF(B152="","",IFERROR(INDEX('Task Master'!$K$5:$K$100,MATCH(B152,'Task Master'!$A$5:$A$100,0)),""))</f>
        <v/>
      </c>
      <c r="F152" s="36"/>
      <c r="G152" s="36"/>
      <c r="H152" s="36"/>
      <c r="I152" s="36"/>
      <c r="J152" s="38"/>
      <c r="K152" s="36"/>
      <c r="L152" s="38"/>
      <c r="M152" s="39"/>
      <c r="N152" s="39"/>
      <c r="O152" s="40" t="str">
        <f t="shared" si="6"/>
        <v/>
      </c>
      <c r="P152" s="39"/>
    </row>
    <row r="153" spans="1:16">
      <c r="A153" s="35"/>
      <c r="B153" s="36"/>
      <c r="C153" s="37" t="str">
        <f>IF(B153="","",IFERROR(INDEX('Task Master'!$C$5:$C$100,MATCH(B153,'Task Master'!$A$5:$A$100,0)),""))</f>
        <v/>
      </c>
      <c r="D153" s="37" t="str">
        <f>IF(B153="","",IFERROR(INDEX('Task Master'!$J$5:$J$100,MATCH(B153,'Task Master'!$A$5:$A$100,0)),""))</f>
        <v/>
      </c>
      <c r="E153" s="37" t="str">
        <f>IF(B153="","",IFERROR(INDEX('Task Master'!$K$5:$K$100,MATCH(B153,'Task Master'!$A$5:$A$100,0)),""))</f>
        <v/>
      </c>
      <c r="F153" s="36"/>
      <c r="G153" s="36"/>
      <c r="H153" s="36"/>
      <c r="I153" s="36"/>
      <c r="J153" s="38"/>
      <c r="K153" s="36"/>
      <c r="L153" s="38"/>
      <c r="M153" s="39"/>
      <c r="N153" s="39"/>
      <c r="O153" s="40" t="str">
        <f t="shared" si="6"/>
        <v/>
      </c>
      <c r="P153" s="39"/>
    </row>
    <row r="154" spans="1:16">
      <c r="A154" s="35"/>
      <c r="B154" s="36"/>
      <c r="C154" s="37" t="str">
        <f>IF(B154="","",IFERROR(INDEX('Task Master'!$C$5:$C$100,MATCH(B154,'Task Master'!$A$5:$A$100,0)),""))</f>
        <v/>
      </c>
      <c r="D154" s="37" t="str">
        <f>IF(B154="","",IFERROR(INDEX('Task Master'!$J$5:$J$100,MATCH(B154,'Task Master'!$A$5:$A$100,0)),""))</f>
        <v/>
      </c>
      <c r="E154" s="37" t="str">
        <f>IF(B154="","",IFERROR(INDEX('Task Master'!$K$5:$K$100,MATCH(B154,'Task Master'!$A$5:$A$100,0)),""))</f>
        <v/>
      </c>
      <c r="F154" s="36"/>
      <c r="G154" s="36"/>
      <c r="H154" s="36"/>
      <c r="I154" s="36"/>
      <c r="J154" s="38"/>
      <c r="K154" s="36"/>
      <c r="L154" s="38"/>
      <c r="M154" s="39"/>
      <c r="N154" s="39"/>
      <c r="O154" s="40" t="str">
        <f t="shared" si="6"/>
        <v/>
      </c>
      <c r="P154" s="39"/>
    </row>
    <row r="155" spans="1:16">
      <c r="A155" s="35"/>
      <c r="B155" s="36"/>
      <c r="C155" s="37" t="str">
        <f>IF(B155="","",IFERROR(INDEX('Task Master'!$C$5:$C$100,MATCH(B155,'Task Master'!$A$5:$A$100,0)),""))</f>
        <v/>
      </c>
      <c r="D155" s="37" t="str">
        <f>IF(B155="","",IFERROR(INDEX('Task Master'!$J$5:$J$100,MATCH(B155,'Task Master'!$A$5:$A$100,0)),""))</f>
        <v/>
      </c>
      <c r="E155" s="37" t="str">
        <f>IF(B155="","",IFERROR(INDEX('Task Master'!$K$5:$K$100,MATCH(B155,'Task Master'!$A$5:$A$100,0)),""))</f>
        <v/>
      </c>
      <c r="F155" s="36"/>
      <c r="G155" s="36"/>
      <c r="H155" s="36"/>
      <c r="I155" s="36"/>
      <c r="J155" s="38"/>
      <c r="K155" s="36"/>
      <c r="L155" s="38"/>
      <c r="M155" s="39"/>
      <c r="N155" s="39"/>
      <c r="O155" s="40" t="str">
        <f t="shared" si="6"/>
        <v/>
      </c>
      <c r="P155" s="39"/>
    </row>
    <row r="156" spans="1:16">
      <c r="A156" s="35"/>
      <c r="B156" s="36"/>
      <c r="C156" s="37" t="str">
        <f>IF(B156="","",IFERROR(INDEX('Task Master'!$C$5:$C$100,MATCH(B156,'Task Master'!$A$5:$A$100,0)),""))</f>
        <v/>
      </c>
      <c r="D156" s="37" t="str">
        <f>IF(B156="","",IFERROR(INDEX('Task Master'!$J$5:$J$100,MATCH(B156,'Task Master'!$A$5:$A$100,0)),""))</f>
        <v/>
      </c>
      <c r="E156" s="37" t="str">
        <f>IF(B156="","",IFERROR(INDEX('Task Master'!$K$5:$K$100,MATCH(B156,'Task Master'!$A$5:$A$100,0)),""))</f>
        <v/>
      </c>
      <c r="F156" s="36"/>
      <c r="G156" s="36"/>
      <c r="H156" s="36"/>
      <c r="I156" s="36"/>
      <c r="J156" s="38"/>
      <c r="K156" s="36"/>
      <c r="L156" s="38"/>
      <c r="M156" s="39"/>
      <c r="N156" s="39"/>
      <c r="O156" s="40" t="str">
        <f t="shared" si="6"/>
        <v/>
      </c>
      <c r="P156" s="39"/>
    </row>
    <row r="157" spans="1:16">
      <c r="A157" s="35"/>
      <c r="B157" s="36"/>
      <c r="C157" s="37" t="str">
        <f>IF(B157="","",IFERROR(INDEX('Task Master'!$C$5:$C$100,MATCH(B157,'Task Master'!$A$5:$A$100,0)),""))</f>
        <v/>
      </c>
      <c r="D157" s="37" t="str">
        <f>IF(B157="","",IFERROR(INDEX('Task Master'!$J$5:$J$100,MATCH(B157,'Task Master'!$A$5:$A$100,0)),""))</f>
        <v/>
      </c>
      <c r="E157" s="37" t="str">
        <f>IF(B157="","",IFERROR(INDEX('Task Master'!$K$5:$K$100,MATCH(B157,'Task Master'!$A$5:$A$100,0)),""))</f>
        <v/>
      </c>
      <c r="F157" s="36"/>
      <c r="G157" s="36"/>
      <c r="H157" s="36"/>
      <c r="I157" s="36"/>
      <c r="J157" s="38"/>
      <c r="K157" s="36"/>
      <c r="L157" s="38"/>
      <c r="M157" s="39"/>
      <c r="N157" s="39"/>
      <c r="O157" s="40" t="str">
        <f t="shared" si="6"/>
        <v/>
      </c>
      <c r="P157" s="39"/>
    </row>
    <row r="158" spans="1:16">
      <c r="A158" s="35"/>
      <c r="B158" s="36"/>
      <c r="C158" s="37" t="str">
        <f>IF(B158="","",IFERROR(INDEX('Task Master'!$C$5:$C$100,MATCH(B158,'Task Master'!$A$5:$A$100,0)),""))</f>
        <v/>
      </c>
      <c r="D158" s="37" t="str">
        <f>IF(B158="","",IFERROR(INDEX('Task Master'!$J$5:$J$100,MATCH(B158,'Task Master'!$A$5:$A$100,0)),""))</f>
        <v/>
      </c>
      <c r="E158" s="37" t="str">
        <f>IF(B158="","",IFERROR(INDEX('Task Master'!$K$5:$K$100,MATCH(B158,'Task Master'!$A$5:$A$100,0)),""))</f>
        <v/>
      </c>
      <c r="F158" s="36"/>
      <c r="G158" s="36"/>
      <c r="H158" s="36"/>
      <c r="I158" s="36"/>
      <c r="J158" s="38"/>
      <c r="K158" s="36"/>
      <c r="L158" s="38"/>
      <c r="M158" s="39"/>
      <c r="N158" s="39"/>
      <c r="O158" s="40" t="str">
        <f t="shared" si="6"/>
        <v/>
      </c>
      <c r="P158" s="39"/>
    </row>
    <row r="159" spans="1:16">
      <c r="A159" s="35"/>
      <c r="B159" s="36"/>
      <c r="C159" s="37" t="str">
        <f>IF(B159="","",IFERROR(INDEX('Task Master'!$C$5:$C$100,MATCH(B159,'Task Master'!$A$5:$A$100,0)),""))</f>
        <v/>
      </c>
      <c r="D159" s="37" t="str">
        <f>IF(B159="","",IFERROR(INDEX('Task Master'!$J$5:$J$100,MATCH(B159,'Task Master'!$A$5:$A$100,0)),""))</f>
        <v/>
      </c>
      <c r="E159" s="37" t="str">
        <f>IF(B159="","",IFERROR(INDEX('Task Master'!$K$5:$K$100,MATCH(B159,'Task Master'!$A$5:$A$100,0)),""))</f>
        <v/>
      </c>
      <c r="F159" s="36"/>
      <c r="G159" s="36"/>
      <c r="H159" s="36"/>
      <c r="I159" s="36"/>
      <c r="J159" s="38"/>
      <c r="K159" s="36"/>
      <c r="L159" s="38"/>
      <c r="M159" s="39"/>
      <c r="N159" s="39"/>
      <c r="O159" s="40" t="str">
        <f t="shared" si="6"/>
        <v/>
      </c>
      <c r="P159" s="39"/>
    </row>
    <row r="160" spans="1:16">
      <c r="A160" s="35"/>
      <c r="B160" s="36"/>
      <c r="C160" s="37" t="str">
        <f>IF(B160="","",IFERROR(INDEX('Task Master'!$C$5:$C$100,MATCH(B160,'Task Master'!$A$5:$A$100,0)),""))</f>
        <v/>
      </c>
      <c r="D160" s="37" t="str">
        <f>IF(B160="","",IFERROR(INDEX('Task Master'!$J$5:$J$100,MATCH(B160,'Task Master'!$A$5:$A$100,0)),""))</f>
        <v/>
      </c>
      <c r="E160" s="37" t="str">
        <f>IF(B160="","",IFERROR(INDEX('Task Master'!$K$5:$K$100,MATCH(B160,'Task Master'!$A$5:$A$100,0)),""))</f>
        <v/>
      </c>
      <c r="F160" s="36"/>
      <c r="G160" s="36"/>
      <c r="H160" s="36"/>
      <c r="I160" s="36"/>
      <c r="J160" s="38"/>
      <c r="K160" s="36"/>
      <c r="L160" s="38"/>
      <c r="M160" s="39"/>
      <c r="N160" s="39"/>
      <c r="O160" s="40" t="str">
        <f t="shared" si="6"/>
        <v/>
      </c>
      <c r="P160" s="39"/>
    </row>
    <row r="161" spans="1:16">
      <c r="A161" s="35"/>
      <c r="B161" s="36"/>
      <c r="C161" s="37" t="str">
        <f>IF(B161="","",IFERROR(INDEX('Task Master'!$C$5:$C$100,MATCH(B161,'Task Master'!$A$5:$A$100,0)),""))</f>
        <v/>
      </c>
      <c r="D161" s="37" t="str">
        <f>IF(B161="","",IFERROR(INDEX('Task Master'!$J$5:$J$100,MATCH(B161,'Task Master'!$A$5:$A$100,0)),""))</f>
        <v/>
      </c>
      <c r="E161" s="37" t="str">
        <f>IF(B161="","",IFERROR(INDEX('Task Master'!$K$5:$K$100,MATCH(B161,'Task Master'!$A$5:$A$100,0)),""))</f>
        <v/>
      </c>
      <c r="F161" s="36"/>
      <c r="G161" s="36"/>
      <c r="H161" s="36"/>
      <c r="I161" s="36"/>
      <c r="J161" s="38"/>
      <c r="K161" s="36"/>
      <c r="L161" s="38"/>
      <c r="M161" s="39"/>
      <c r="N161" s="39"/>
      <c r="O161" s="40" t="str">
        <f t="shared" si="6"/>
        <v/>
      </c>
      <c r="P161" s="39"/>
    </row>
    <row r="162" spans="1:16">
      <c r="A162" s="35"/>
      <c r="B162" s="36"/>
      <c r="C162" s="37" t="str">
        <f>IF(B162="","",IFERROR(INDEX('Task Master'!$C$5:$C$100,MATCH(B162,'Task Master'!$A$5:$A$100,0)),""))</f>
        <v/>
      </c>
      <c r="D162" s="37" t="str">
        <f>IF(B162="","",IFERROR(INDEX('Task Master'!$J$5:$J$100,MATCH(B162,'Task Master'!$A$5:$A$100,0)),""))</f>
        <v/>
      </c>
      <c r="E162" s="37" t="str">
        <f>IF(B162="","",IFERROR(INDEX('Task Master'!$K$5:$K$100,MATCH(B162,'Task Master'!$A$5:$A$100,0)),""))</f>
        <v/>
      </c>
      <c r="F162" s="36"/>
      <c r="G162" s="36"/>
      <c r="H162" s="36"/>
      <c r="I162" s="36"/>
      <c r="J162" s="38"/>
      <c r="K162" s="36"/>
      <c r="L162" s="38"/>
      <c r="M162" s="39"/>
      <c r="N162" s="39"/>
      <c r="O162" s="40" t="str">
        <f t="shared" si="6"/>
        <v/>
      </c>
      <c r="P162" s="39"/>
    </row>
    <row r="163" spans="1:16">
      <c r="A163" s="35"/>
      <c r="B163" s="36"/>
      <c r="C163" s="37" t="str">
        <f>IF(B163="","",IFERROR(INDEX('Task Master'!$C$5:$C$100,MATCH(B163,'Task Master'!$A$5:$A$100,0)),""))</f>
        <v/>
      </c>
      <c r="D163" s="37" t="str">
        <f>IF(B163="","",IFERROR(INDEX('Task Master'!$J$5:$J$100,MATCH(B163,'Task Master'!$A$5:$A$100,0)),""))</f>
        <v/>
      </c>
      <c r="E163" s="37" t="str">
        <f>IF(B163="","",IFERROR(INDEX('Task Master'!$K$5:$K$100,MATCH(B163,'Task Master'!$A$5:$A$100,0)),""))</f>
        <v/>
      </c>
      <c r="F163" s="36"/>
      <c r="G163" s="36"/>
      <c r="H163" s="36"/>
      <c r="I163" s="36"/>
      <c r="J163" s="38"/>
      <c r="K163" s="36"/>
      <c r="L163" s="38"/>
      <c r="M163" s="39"/>
      <c r="N163" s="39"/>
      <c r="O163" s="40" t="str">
        <f t="shared" si="6"/>
        <v/>
      </c>
      <c r="P163" s="39"/>
    </row>
    <row r="164" spans="1:16">
      <c r="A164" s="35"/>
      <c r="B164" s="36"/>
      <c r="C164" s="37" t="str">
        <f>IF(B164="","",IFERROR(INDEX('Task Master'!$C$5:$C$100,MATCH(B164,'Task Master'!$A$5:$A$100,0)),""))</f>
        <v/>
      </c>
      <c r="D164" s="37" t="str">
        <f>IF(B164="","",IFERROR(INDEX('Task Master'!$J$5:$J$100,MATCH(B164,'Task Master'!$A$5:$A$100,0)),""))</f>
        <v/>
      </c>
      <c r="E164" s="37" t="str">
        <f>IF(B164="","",IFERROR(INDEX('Task Master'!$K$5:$K$100,MATCH(B164,'Task Master'!$A$5:$A$100,0)),""))</f>
        <v/>
      </c>
      <c r="F164" s="36"/>
      <c r="G164" s="36"/>
      <c r="H164" s="36"/>
      <c r="I164" s="36"/>
      <c r="J164" s="38"/>
      <c r="K164" s="36"/>
      <c r="L164" s="38"/>
      <c r="M164" s="39"/>
      <c r="N164" s="39"/>
      <c r="O164" s="40" t="str">
        <f t="shared" si="6"/>
        <v/>
      </c>
      <c r="P164" s="39"/>
    </row>
    <row r="165" spans="1:16">
      <c r="A165" s="35"/>
      <c r="B165" s="36"/>
      <c r="C165" s="37" t="str">
        <f>IF(B165="","",IFERROR(INDEX('Task Master'!$C$5:$C$100,MATCH(B165,'Task Master'!$A$5:$A$100,0)),""))</f>
        <v/>
      </c>
      <c r="D165" s="37" t="str">
        <f>IF(B165="","",IFERROR(INDEX('Task Master'!$J$5:$J$100,MATCH(B165,'Task Master'!$A$5:$A$100,0)),""))</f>
        <v/>
      </c>
      <c r="E165" s="37" t="str">
        <f>IF(B165="","",IFERROR(INDEX('Task Master'!$K$5:$K$100,MATCH(B165,'Task Master'!$A$5:$A$100,0)),""))</f>
        <v/>
      </c>
      <c r="F165" s="36"/>
      <c r="G165" s="36"/>
      <c r="H165" s="36"/>
      <c r="I165" s="36"/>
      <c r="J165" s="38"/>
      <c r="K165" s="36"/>
      <c r="L165" s="38"/>
      <c r="M165" s="39"/>
      <c r="N165" s="39"/>
      <c r="O165" s="40" t="str">
        <f t="shared" ref="O165:O196" si="7">IF(OR(A165="",B165=""),"",IF(OR(K165="Achieved",K165="Out-of-Scope Confirmed"),"Yes","No"))</f>
        <v/>
      </c>
      <c r="P165" s="39"/>
    </row>
    <row r="166" spans="1:16">
      <c r="A166" s="35"/>
      <c r="B166" s="36"/>
      <c r="C166" s="37" t="str">
        <f>IF(B166="","",IFERROR(INDEX('Task Master'!$C$5:$C$100,MATCH(B166,'Task Master'!$A$5:$A$100,0)),""))</f>
        <v/>
      </c>
      <c r="D166" s="37" t="str">
        <f>IF(B166="","",IFERROR(INDEX('Task Master'!$J$5:$J$100,MATCH(B166,'Task Master'!$A$5:$A$100,0)),""))</f>
        <v/>
      </c>
      <c r="E166" s="37" t="str">
        <f>IF(B166="","",IFERROR(INDEX('Task Master'!$K$5:$K$100,MATCH(B166,'Task Master'!$A$5:$A$100,0)),""))</f>
        <v/>
      </c>
      <c r="F166" s="36"/>
      <c r="G166" s="36"/>
      <c r="H166" s="36"/>
      <c r="I166" s="36"/>
      <c r="J166" s="38"/>
      <c r="K166" s="36"/>
      <c r="L166" s="38"/>
      <c r="M166" s="39"/>
      <c r="N166" s="39"/>
      <c r="O166" s="40" t="str">
        <f t="shared" si="7"/>
        <v/>
      </c>
      <c r="P166" s="39"/>
    </row>
    <row r="167" spans="1:16">
      <c r="A167" s="35"/>
      <c r="B167" s="36"/>
      <c r="C167" s="37" t="str">
        <f>IF(B167="","",IFERROR(INDEX('Task Master'!$C$5:$C$100,MATCH(B167,'Task Master'!$A$5:$A$100,0)),""))</f>
        <v/>
      </c>
      <c r="D167" s="37" t="str">
        <f>IF(B167="","",IFERROR(INDEX('Task Master'!$J$5:$J$100,MATCH(B167,'Task Master'!$A$5:$A$100,0)),""))</f>
        <v/>
      </c>
      <c r="E167" s="37" t="str">
        <f>IF(B167="","",IFERROR(INDEX('Task Master'!$K$5:$K$100,MATCH(B167,'Task Master'!$A$5:$A$100,0)),""))</f>
        <v/>
      </c>
      <c r="F167" s="36"/>
      <c r="G167" s="36"/>
      <c r="H167" s="36"/>
      <c r="I167" s="36"/>
      <c r="J167" s="38"/>
      <c r="K167" s="36"/>
      <c r="L167" s="38"/>
      <c r="M167" s="39"/>
      <c r="N167" s="39"/>
      <c r="O167" s="40" t="str">
        <f t="shared" si="7"/>
        <v/>
      </c>
      <c r="P167" s="39"/>
    </row>
    <row r="168" spans="1:16">
      <c r="A168" s="35"/>
      <c r="B168" s="36"/>
      <c r="C168" s="37" t="str">
        <f>IF(B168="","",IFERROR(INDEX('Task Master'!$C$5:$C$100,MATCH(B168,'Task Master'!$A$5:$A$100,0)),""))</f>
        <v/>
      </c>
      <c r="D168" s="37" t="str">
        <f>IF(B168="","",IFERROR(INDEX('Task Master'!$J$5:$J$100,MATCH(B168,'Task Master'!$A$5:$A$100,0)),""))</f>
        <v/>
      </c>
      <c r="E168" s="37" t="str">
        <f>IF(B168="","",IFERROR(INDEX('Task Master'!$K$5:$K$100,MATCH(B168,'Task Master'!$A$5:$A$100,0)),""))</f>
        <v/>
      </c>
      <c r="F168" s="36"/>
      <c r="G168" s="36"/>
      <c r="H168" s="36"/>
      <c r="I168" s="36"/>
      <c r="J168" s="38"/>
      <c r="K168" s="36"/>
      <c r="L168" s="38"/>
      <c r="M168" s="39"/>
      <c r="N168" s="39"/>
      <c r="O168" s="40" t="str">
        <f t="shared" si="7"/>
        <v/>
      </c>
      <c r="P168" s="39"/>
    </row>
    <row r="169" spans="1:16">
      <c r="A169" s="35"/>
      <c r="B169" s="36"/>
      <c r="C169" s="37" t="str">
        <f>IF(B169="","",IFERROR(INDEX('Task Master'!$C$5:$C$100,MATCH(B169,'Task Master'!$A$5:$A$100,0)),""))</f>
        <v/>
      </c>
      <c r="D169" s="37" t="str">
        <f>IF(B169="","",IFERROR(INDEX('Task Master'!$J$5:$J$100,MATCH(B169,'Task Master'!$A$5:$A$100,0)),""))</f>
        <v/>
      </c>
      <c r="E169" s="37" t="str">
        <f>IF(B169="","",IFERROR(INDEX('Task Master'!$K$5:$K$100,MATCH(B169,'Task Master'!$A$5:$A$100,0)),""))</f>
        <v/>
      </c>
      <c r="F169" s="36"/>
      <c r="G169" s="36"/>
      <c r="H169" s="36"/>
      <c r="I169" s="36"/>
      <c r="J169" s="38"/>
      <c r="K169" s="36"/>
      <c r="L169" s="38"/>
      <c r="M169" s="39"/>
      <c r="N169" s="39"/>
      <c r="O169" s="40" t="str">
        <f t="shared" si="7"/>
        <v/>
      </c>
      <c r="P169" s="39"/>
    </row>
    <row r="170" spans="1:16">
      <c r="A170" s="35"/>
      <c r="B170" s="36"/>
      <c r="C170" s="37" t="str">
        <f>IF(B170="","",IFERROR(INDEX('Task Master'!$C$5:$C$100,MATCH(B170,'Task Master'!$A$5:$A$100,0)),""))</f>
        <v/>
      </c>
      <c r="D170" s="37" t="str">
        <f>IF(B170="","",IFERROR(INDEX('Task Master'!$J$5:$J$100,MATCH(B170,'Task Master'!$A$5:$A$100,0)),""))</f>
        <v/>
      </c>
      <c r="E170" s="37" t="str">
        <f>IF(B170="","",IFERROR(INDEX('Task Master'!$K$5:$K$100,MATCH(B170,'Task Master'!$A$5:$A$100,0)),""))</f>
        <v/>
      </c>
      <c r="F170" s="36"/>
      <c r="G170" s="36"/>
      <c r="H170" s="36"/>
      <c r="I170" s="36"/>
      <c r="J170" s="38"/>
      <c r="K170" s="36"/>
      <c r="L170" s="38"/>
      <c r="M170" s="39"/>
      <c r="N170" s="39"/>
      <c r="O170" s="40" t="str">
        <f t="shared" si="7"/>
        <v/>
      </c>
      <c r="P170" s="39"/>
    </row>
    <row r="171" spans="1:16">
      <c r="A171" s="35"/>
      <c r="B171" s="36"/>
      <c r="C171" s="37" t="str">
        <f>IF(B171="","",IFERROR(INDEX('Task Master'!$C$5:$C$100,MATCH(B171,'Task Master'!$A$5:$A$100,0)),""))</f>
        <v/>
      </c>
      <c r="D171" s="37" t="str">
        <f>IF(B171="","",IFERROR(INDEX('Task Master'!$J$5:$J$100,MATCH(B171,'Task Master'!$A$5:$A$100,0)),""))</f>
        <v/>
      </c>
      <c r="E171" s="37" t="str">
        <f>IF(B171="","",IFERROR(INDEX('Task Master'!$K$5:$K$100,MATCH(B171,'Task Master'!$A$5:$A$100,0)),""))</f>
        <v/>
      </c>
      <c r="F171" s="36"/>
      <c r="G171" s="36"/>
      <c r="H171" s="36"/>
      <c r="I171" s="36"/>
      <c r="J171" s="38"/>
      <c r="K171" s="36"/>
      <c r="L171" s="38"/>
      <c r="M171" s="39"/>
      <c r="N171" s="39"/>
      <c r="O171" s="40" t="str">
        <f t="shared" si="7"/>
        <v/>
      </c>
      <c r="P171" s="39"/>
    </row>
    <row r="172" spans="1:16">
      <c r="A172" s="35"/>
      <c r="B172" s="36"/>
      <c r="C172" s="37" t="str">
        <f>IF(B172="","",IFERROR(INDEX('Task Master'!$C$5:$C$100,MATCH(B172,'Task Master'!$A$5:$A$100,0)),""))</f>
        <v/>
      </c>
      <c r="D172" s="37" t="str">
        <f>IF(B172="","",IFERROR(INDEX('Task Master'!$J$5:$J$100,MATCH(B172,'Task Master'!$A$5:$A$100,0)),""))</f>
        <v/>
      </c>
      <c r="E172" s="37" t="str">
        <f>IF(B172="","",IFERROR(INDEX('Task Master'!$K$5:$K$100,MATCH(B172,'Task Master'!$A$5:$A$100,0)),""))</f>
        <v/>
      </c>
      <c r="F172" s="36"/>
      <c r="G172" s="36"/>
      <c r="H172" s="36"/>
      <c r="I172" s="36"/>
      <c r="J172" s="38"/>
      <c r="K172" s="36"/>
      <c r="L172" s="38"/>
      <c r="M172" s="39"/>
      <c r="N172" s="39"/>
      <c r="O172" s="40" t="str">
        <f t="shared" si="7"/>
        <v/>
      </c>
      <c r="P172" s="39"/>
    </row>
    <row r="173" spans="1:16">
      <c r="A173" s="35"/>
      <c r="B173" s="36"/>
      <c r="C173" s="37" t="str">
        <f>IF(B173="","",IFERROR(INDEX('Task Master'!$C$5:$C$100,MATCH(B173,'Task Master'!$A$5:$A$100,0)),""))</f>
        <v/>
      </c>
      <c r="D173" s="37" t="str">
        <f>IF(B173="","",IFERROR(INDEX('Task Master'!$J$5:$J$100,MATCH(B173,'Task Master'!$A$5:$A$100,0)),""))</f>
        <v/>
      </c>
      <c r="E173" s="37" t="str">
        <f>IF(B173="","",IFERROR(INDEX('Task Master'!$K$5:$K$100,MATCH(B173,'Task Master'!$A$5:$A$100,0)),""))</f>
        <v/>
      </c>
      <c r="F173" s="36"/>
      <c r="G173" s="36"/>
      <c r="H173" s="36"/>
      <c r="I173" s="36"/>
      <c r="J173" s="38"/>
      <c r="K173" s="36"/>
      <c r="L173" s="38"/>
      <c r="M173" s="39"/>
      <c r="N173" s="39"/>
      <c r="O173" s="40" t="str">
        <f t="shared" si="7"/>
        <v/>
      </c>
      <c r="P173" s="39"/>
    </row>
    <row r="174" spans="1:16">
      <c r="A174" s="35"/>
      <c r="B174" s="36"/>
      <c r="C174" s="37" t="str">
        <f>IF(B174="","",IFERROR(INDEX('Task Master'!$C$5:$C$100,MATCH(B174,'Task Master'!$A$5:$A$100,0)),""))</f>
        <v/>
      </c>
      <c r="D174" s="37" t="str">
        <f>IF(B174="","",IFERROR(INDEX('Task Master'!$J$5:$J$100,MATCH(B174,'Task Master'!$A$5:$A$100,0)),""))</f>
        <v/>
      </c>
      <c r="E174" s="37" t="str">
        <f>IF(B174="","",IFERROR(INDEX('Task Master'!$K$5:$K$100,MATCH(B174,'Task Master'!$A$5:$A$100,0)),""))</f>
        <v/>
      </c>
      <c r="F174" s="36"/>
      <c r="G174" s="36"/>
      <c r="H174" s="36"/>
      <c r="I174" s="36"/>
      <c r="J174" s="38"/>
      <c r="K174" s="36"/>
      <c r="L174" s="38"/>
      <c r="M174" s="39"/>
      <c r="N174" s="39"/>
      <c r="O174" s="40" t="str">
        <f t="shared" si="7"/>
        <v/>
      </c>
      <c r="P174" s="39"/>
    </row>
    <row r="175" spans="1:16">
      <c r="A175" s="35"/>
      <c r="B175" s="36"/>
      <c r="C175" s="37" t="str">
        <f>IF(B175="","",IFERROR(INDEX('Task Master'!$C$5:$C$100,MATCH(B175,'Task Master'!$A$5:$A$100,0)),""))</f>
        <v/>
      </c>
      <c r="D175" s="37" t="str">
        <f>IF(B175="","",IFERROR(INDEX('Task Master'!$J$5:$J$100,MATCH(B175,'Task Master'!$A$5:$A$100,0)),""))</f>
        <v/>
      </c>
      <c r="E175" s="37" t="str">
        <f>IF(B175="","",IFERROR(INDEX('Task Master'!$K$5:$K$100,MATCH(B175,'Task Master'!$A$5:$A$100,0)),""))</f>
        <v/>
      </c>
      <c r="F175" s="36"/>
      <c r="G175" s="36"/>
      <c r="H175" s="36"/>
      <c r="I175" s="36"/>
      <c r="J175" s="38"/>
      <c r="K175" s="36"/>
      <c r="L175" s="38"/>
      <c r="M175" s="39"/>
      <c r="N175" s="39"/>
      <c r="O175" s="40" t="str">
        <f t="shared" si="7"/>
        <v/>
      </c>
      <c r="P175" s="39"/>
    </row>
    <row r="176" spans="1:16">
      <c r="A176" s="35"/>
      <c r="B176" s="36"/>
      <c r="C176" s="37" t="str">
        <f>IF(B176="","",IFERROR(INDEX('Task Master'!$C$5:$C$100,MATCH(B176,'Task Master'!$A$5:$A$100,0)),""))</f>
        <v/>
      </c>
      <c r="D176" s="37" t="str">
        <f>IF(B176="","",IFERROR(INDEX('Task Master'!$J$5:$J$100,MATCH(B176,'Task Master'!$A$5:$A$100,0)),""))</f>
        <v/>
      </c>
      <c r="E176" s="37" t="str">
        <f>IF(B176="","",IFERROR(INDEX('Task Master'!$K$5:$K$100,MATCH(B176,'Task Master'!$A$5:$A$100,0)),""))</f>
        <v/>
      </c>
      <c r="F176" s="36"/>
      <c r="G176" s="36"/>
      <c r="H176" s="36"/>
      <c r="I176" s="36"/>
      <c r="J176" s="38"/>
      <c r="K176" s="36"/>
      <c r="L176" s="38"/>
      <c r="M176" s="39"/>
      <c r="N176" s="39"/>
      <c r="O176" s="40" t="str">
        <f t="shared" si="7"/>
        <v/>
      </c>
      <c r="P176" s="39"/>
    </row>
    <row r="177" spans="1:16">
      <c r="A177" s="35"/>
      <c r="B177" s="36"/>
      <c r="C177" s="37" t="str">
        <f>IF(B177="","",IFERROR(INDEX('Task Master'!$C$5:$C$100,MATCH(B177,'Task Master'!$A$5:$A$100,0)),""))</f>
        <v/>
      </c>
      <c r="D177" s="37" t="str">
        <f>IF(B177="","",IFERROR(INDEX('Task Master'!$J$5:$J$100,MATCH(B177,'Task Master'!$A$5:$A$100,0)),""))</f>
        <v/>
      </c>
      <c r="E177" s="37" t="str">
        <f>IF(B177="","",IFERROR(INDEX('Task Master'!$K$5:$K$100,MATCH(B177,'Task Master'!$A$5:$A$100,0)),""))</f>
        <v/>
      </c>
      <c r="F177" s="36"/>
      <c r="G177" s="36"/>
      <c r="H177" s="36"/>
      <c r="I177" s="36"/>
      <c r="J177" s="38"/>
      <c r="K177" s="36"/>
      <c r="L177" s="38"/>
      <c r="M177" s="39"/>
      <c r="N177" s="39"/>
      <c r="O177" s="40" t="str">
        <f t="shared" si="7"/>
        <v/>
      </c>
      <c r="P177" s="39"/>
    </row>
    <row r="178" spans="1:16">
      <c r="A178" s="35"/>
      <c r="B178" s="36"/>
      <c r="C178" s="37" t="str">
        <f>IF(B178="","",IFERROR(INDEX('Task Master'!$C$5:$C$100,MATCH(B178,'Task Master'!$A$5:$A$100,0)),""))</f>
        <v/>
      </c>
      <c r="D178" s="37" t="str">
        <f>IF(B178="","",IFERROR(INDEX('Task Master'!$J$5:$J$100,MATCH(B178,'Task Master'!$A$5:$A$100,0)),""))</f>
        <v/>
      </c>
      <c r="E178" s="37" t="str">
        <f>IF(B178="","",IFERROR(INDEX('Task Master'!$K$5:$K$100,MATCH(B178,'Task Master'!$A$5:$A$100,0)),""))</f>
        <v/>
      </c>
      <c r="F178" s="36"/>
      <c r="G178" s="36"/>
      <c r="H178" s="36"/>
      <c r="I178" s="36"/>
      <c r="J178" s="38"/>
      <c r="K178" s="36"/>
      <c r="L178" s="38"/>
      <c r="M178" s="39"/>
      <c r="N178" s="39"/>
      <c r="O178" s="40" t="str">
        <f t="shared" si="7"/>
        <v/>
      </c>
      <c r="P178" s="39"/>
    </row>
    <row r="179" spans="1:16">
      <c r="A179" s="35"/>
      <c r="B179" s="36"/>
      <c r="C179" s="37" t="str">
        <f>IF(B179="","",IFERROR(INDEX('Task Master'!$C$5:$C$100,MATCH(B179,'Task Master'!$A$5:$A$100,0)),""))</f>
        <v/>
      </c>
      <c r="D179" s="37" t="str">
        <f>IF(B179="","",IFERROR(INDEX('Task Master'!$J$5:$J$100,MATCH(B179,'Task Master'!$A$5:$A$100,0)),""))</f>
        <v/>
      </c>
      <c r="E179" s="37" t="str">
        <f>IF(B179="","",IFERROR(INDEX('Task Master'!$K$5:$K$100,MATCH(B179,'Task Master'!$A$5:$A$100,0)),""))</f>
        <v/>
      </c>
      <c r="F179" s="36"/>
      <c r="G179" s="36"/>
      <c r="H179" s="36"/>
      <c r="I179" s="36"/>
      <c r="J179" s="38"/>
      <c r="K179" s="36"/>
      <c r="L179" s="38"/>
      <c r="M179" s="39"/>
      <c r="N179" s="39"/>
      <c r="O179" s="40" t="str">
        <f t="shared" si="7"/>
        <v/>
      </c>
      <c r="P179" s="39"/>
    </row>
    <row r="180" spans="1:16">
      <c r="A180" s="35"/>
      <c r="B180" s="36"/>
      <c r="C180" s="37" t="str">
        <f>IF(B180="","",IFERROR(INDEX('Task Master'!$C$5:$C$100,MATCH(B180,'Task Master'!$A$5:$A$100,0)),""))</f>
        <v/>
      </c>
      <c r="D180" s="37" t="str">
        <f>IF(B180="","",IFERROR(INDEX('Task Master'!$J$5:$J$100,MATCH(B180,'Task Master'!$A$5:$A$100,0)),""))</f>
        <v/>
      </c>
      <c r="E180" s="37" t="str">
        <f>IF(B180="","",IFERROR(INDEX('Task Master'!$K$5:$K$100,MATCH(B180,'Task Master'!$A$5:$A$100,0)),""))</f>
        <v/>
      </c>
      <c r="F180" s="36"/>
      <c r="G180" s="36"/>
      <c r="H180" s="36"/>
      <c r="I180" s="36"/>
      <c r="J180" s="38"/>
      <c r="K180" s="36"/>
      <c r="L180" s="38"/>
      <c r="M180" s="39"/>
      <c r="N180" s="39"/>
      <c r="O180" s="40" t="str">
        <f t="shared" si="7"/>
        <v/>
      </c>
      <c r="P180" s="39"/>
    </row>
    <row r="181" spans="1:16">
      <c r="A181" s="35"/>
      <c r="B181" s="36"/>
      <c r="C181" s="37" t="str">
        <f>IF(B181="","",IFERROR(INDEX('Task Master'!$C$5:$C$100,MATCH(B181,'Task Master'!$A$5:$A$100,0)),""))</f>
        <v/>
      </c>
      <c r="D181" s="37" t="str">
        <f>IF(B181="","",IFERROR(INDEX('Task Master'!$J$5:$J$100,MATCH(B181,'Task Master'!$A$5:$A$100,0)),""))</f>
        <v/>
      </c>
      <c r="E181" s="37" t="str">
        <f>IF(B181="","",IFERROR(INDEX('Task Master'!$K$5:$K$100,MATCH(B181,'Task Master'!$A$5:$A$100,0)),""))</f>
        <v/>
      </c>
      <c r="F181" s="36"/>
      <c r="G181" s="36"/>
      <c r="H181" s="36"/>
      <c r="I181" s="36"/>
      <c r="J181" s="38"/>
      <c r="K181" s="36"/>
      <c r="L181" s="38"/>
      <c r="M181" s="39"/>
      <c r="N181" s="39"/>
      <c r="O181" s="40" t="str">
        <f t="shared" si="7"/>
        <v/>
      </c>
      <c r="P181" s="39"/>
    </row>
    <row r="182" spans="1:16">
      <c r="A182" s="35"/>
      <c r="B182" s="36"/>
      <c r="C182" s="37" t="str">
        <f>IF(B182="","",IFERROR(INDEX('Task Master'!$C$5:$C$100,MATCH(B182,'Task Master'!$A$5:$A$100,0)),""))</f>
        <v/>
      </c>
      <c r="D182" s="37" t="str">
        <f>IF(B182="","",IFERROR(INDEX('Task Master'!$J$5:$J$100,MATCH(B182,'Task Master'!$A$5:$A$100,0)),""))</f>
        <v/>
      </c>
      <c r="E182" s="37" t="str">
        <f>IF(B182="","",IFERROR(INDEX('Task Master'!$K$5:$K$100,MATCH(B182,'Task Master'!$A$5:$A$100,0)),""))</f>
        <v/>
      </c>
      <c r="F182" s="36"/>
      <c r="G182" s="36"/>
      <c r="H182" s="36"/>
      <c r="I182" s="36"/>
      <c r="J182" s="38"/>
      <c r="K182" s="36"/>
      <c r="L182" s="38"/>
      <c r="M182" s="39"/>
      <c r="N182" s="39"/>
      <c r="O182" s="40" t="str">
        <f t="shared" si="7"/>
        <v/>
      </c>
      <c r="P182" s="39"/>
    </row>
    <row r="183" spans="1:16">
      <c r="A183" s="35"/>
      <c r="B183" s="36"/>
      <c r="C183" s="37" t="str">
        <f>IF(B183="","",IFERROR(INDEX('Task Master'!$C$5:$C$100,MATCH(B183,'Task Master'!$A$5:$A$100,0)),""))</f>
        <v/>
      </c>
      <c r="D183" s="37" t="str">
        <f>IF(B183="","",IFERROR(INDEX('Task Master'!$J$5:$J$100,MATCH(B183,'Task Master'!$A$5:$A$100,0)),""))</f>
        <v/>
      </c>
      <c r="E183" s="37" t="str">
        <f>IF(B183="","",IFERROR(INDEX('Task Master'!$K$5:$K$100,MATCH(B183,'Task Master'!$A$5:$A$100,0)),""))</f>
        <v/>
      </c>
      <c r="F183" s="36"/>
      <c r="G183" s="36"/>
      <c r="H183" s="36"/>
      <c r="I183" s="36"/>
      <c r="J183" s="38"/>
      <c r="K183" s="36"/>
      <c r="L183" s="38"/>
      <c r="M183" s="39"/>
      <c r="N183" s="39"/>
      <c r="O183" s="40" t="str">
        <f t="shared" si="7"/>
        <v/>
      </c>
      <c r="P183" s="39"/>
    </row>
    <row r="184" spans="1:16">
      <c r="A184" s="35"/>
      <c r="B184" s="36"/>
      <c r="C184" s="37" t="str">
        <f>IF(B184="","",IFERROR(INDEX('Task Master'!$C$5:$C$100,MATCH(B184,'Task Master'!$A$5:$A$100,0)),""))</f>
        <v/>
      </c>
      <c r="D184" s="37" t="str">
        <f>IF(B184="","",IFERROR(INDEX('Task Master'!$J$5:$J$100,MATCH(B184,'Task Master'!$A$5:$A$100,0)),""))</f>
        <v/>
      </c>
      <c r="E184" s="37" t="str">
        <f>IF(B184="","",IFERROR(INDEX('Task Master'!$K$5:$K$100,MATCH(B184,'Task Master'!$A$5:$A$100,0)),""))</f>
        <v/>
      </c>
      <c r="F184" s="36"/>
      <c r="G184" s="36"/>
      <c r="H184" s="36"/>
      <c r="I184" s="36"/>
      <c r="J184" s="38"/>
      <c r="K184" s="36"/>
      <c r="L184" s="38"/>
      <c r="M184" s="39"/>
      <c r="N184" s="39"/>
      <c r="O184" s="40" t="str">
        <f t="shared" si="7"/>
        <v/>
      </c>
      <c r="P184" s="39"/>
    </row>
    <row r="185" spans="1:16">
      <c r="A185" s="35"/>
      <c r="B185" s="36"/>
      <c r="C185" s="37" t="str">
        <f>IF(B185="","",IFERROR(INDEX('Task Master'!$C$5:$C$100,MATCH(B185,'Task Master'!$A$5:$A$100,0)),""))</f>
        <v/>
      </c>
      <c r="D185" s="37" t="str">
        <f>IF(B185="","",IFERROR(INDEX('Task Master'!$J$5:$J$100,MATCH(B185,'Task Master'!$A$5:$A$100,0)),""))</f>
        <v/>
      </c>
      <c r="E185" s="37" t="str">
        <f>IF(B185="","",IFERROR(INDEX('Task Master'!$K$5:$K$100,MATCH(B185,'Task Master'!$A$5:$A$100,0)),""))</f>
        <v/>
      </c>
      <c r="F185" s="36"/>
      <c r="G185" s="36"/>
      <c r="H185" s="36"/>
      <c r="I185" s="36"/>
      <c r="J185" s="38"/>
      <c r="K185" s="36"/>
      <c r="L185" s="38"/>
      <c r="M185" s="39"/>
      <c r="N185" s="39"/>
      <c r="O185" s="40" t="str">
        <f t="shared" si="7"/>
        <v/>
      </c>
      <c r="P185" s="39"/>
    </row>
    <row r="186" spans="1:16">
      <c r="A186" s="35"/>
      <c r="B186" s="36"/>
      <c r="C186" s="37" t="str">
        <f>IF(B186="","",IFERROR(INDEX('Task Master'!$C$5:$C$100,MATCH(B186,'Task Master'!$A$5:$A$100,0)),""))</f>
        <v/>
      </c>
      <c r="D186" s="37" t="str">
        <f>IF(B186="","",IFERROR(INDEX('Task Master'!$J$5:$J$100,MATCH(B186,'Task Master'!$A$5:$A$100,0)),""))</f>
        <v/>
      </c>
      <c r="E186" s="37" t="str">
        <f>IF(B186="","",IFERROR(INDEX('Task Master'!$K$5:$K$100,MATCH(B186,'Task Master'!$A$5:$A$100,0)),""))</f>
        <v/>
      </c>
      <c r="F186" s="36"/>
      <c r="G186" s="36"/>
      <c r="H186" s="36"/>
      <c r="I186" s="36"/>
      <c r="J186" s="38"/>
      <c r="K186" s="36"/>
      <c r="L186" s="38"/>
      <c r="M186" s="39"/>
      <c r="N186" s="39"/>
      <c r="O186" s="40" t="str">
        <f t="shared" si="7"/>
        <v/>
      </c>
      <c r="P186" s="39"/>
    </row>
    <row r="187" spans="1:16">
      <c r="A187" s="35"/>
      <c r="B187" s="36"/>
      <c r="C187" s="37" t="str">
        <f>IF(B187="","",IFERROR(INDEX('Task Master'!$C$5:$C$100,MATCH(B187,'Task Master'!$A$5:$A$100,0)),""))</f>
        <v/>
      </c>
      <c r="D187" s="37" t="str">
        <f>IF(B187="","",IFERROR(INDEX('Task Master'!$J$5:$J$100,MATCH(B187,'Task Master'!$A$5:$A$100,0)),""))</f>
        <v/>
      </c>
      <c r="E187" s="37" t="str">
        <f>IF(B187="","",IFERROR(INDEX('Task Master'!$K$5:$K$100,MATCH(B187,'Task Master'!$A$5:$A$100,0)),""))</f>
        <v/>
      </c>
      <c r="F187" s="36"/>
      <c r="G187" s="36"/>
      <c r="H187" s="36"/>
      <c r="I187" s="36"/>
      <c r="J187" s="38"/>
      <c r="K187" s="36"/>
      <c r="L187" s="38"/>
      <c r="M187" s="39"/>
      <c r="N187" s="39"/>
      <c r="O187" s="40" t="str">
        <f t="shared" si="7"/>
        <v/>
      </c>
      <c r="P187" s="39"/>
    </row>
    <row r="188" spans="1:16">
      <c r="A188" s="35"/>
      <c r="B188" s="36"/>
      <c r="C188" s="37" t="str">
        <f>IF(B188="","",IFERROR(INDEX('Task Master'!$C$5:$C$100,MATCH(B188,'Task Master'!$A$5:$A$100,0)),""))</f>
        <v/>
      </c>
      <c r="D188" s="37" t="str">
        <f>IF(B188="","",IFERROR(INDEX('Task Master'!$J$5:$J$100,MATCH(B188,'Task Master'!$A$5:$A$100,0)),""))</f>
        <v/>
      </c>
      <c r="E188" s="37" t="str">
        <f>IF(B188="","",IFERROR(INDEX('Task Master'!$K$5:$K$100,MATCH(B188,'Task Master'!$A$5:$A$100,0)),""))</f>
        <v/>
      </c>
      <c r="F188" s="36"/>
      <c r="G188" s="36"/>
      <c r="H188" s="36"/>
      <c r="I188" s="36"/>
      <c r="J188" s="38"/>
      <c r="K188" s="36"/>
      <c r="L188" s="38"/>
      <c r="M188" s="39"/>
      <c r="N188" s="39"/>
      <c r="O188" s="40" t="str">
        <f t="shared" si="7"/>
        <v/>
      </c>
      <c r="P188" s="39"/>
    </row>
    <row r="189" spans="1:16">
      <c r="A189" s="35"/>
      <c r="B189" s="36"/>
      <c r="C189" s="37" t="str">
        <f>IF(B189="","",IFERROR(INDEX('Task Master'!$C$5:$C$100,MATCH(B189,'Task Master'!$A$5:$A$100,0)),""))</f>
        <v/>
      </c>
      <c r="D189" s="37" t="str">
        <f>IF(B189="","",IFERROR(INDEX('Task Master'!$J$5:$J$100,MATCH(B189,'Task Master'!$A$5:$A$100,0)),""))</f>
        <v/>
      </c>
      <c r="E189" s="37" t="str">
        <f>IF(B189="","",IFERROR(INDEX('Task Master'!$K$5:$K$100,MATCH(B189,'Task Master'!$A$5:$A$100,0)),""))</f>
        <v/>
      </c>
      <c r="F189" s="36"/>
      <c r="G189" s="36"/>
      <c r="H189" s="36"/>
      <c r="I189" s="36"/>
      <c r="J189" s="38"/>
      <c r="K189" s="36"/>
      <c r="L189" s="38"/>
      <c r="M189" s="39"/>
      <c r="N189" s="39"/>
      <c r="O189" s="40" t="str">
        <f t="shared" si="7"/>
        <v/>
      </c>
      <c r="P189" s="39"/>
    </row>
    <row r="190" spans="1:16">
      <c r="A190" s="35"/>
      <c r="B190" s="36"/>
      <c r="C190" s="37" t="str">
        <f>IF(B190="","",IFERROR(INDEX('Task Master'!$C$5:$C$100,MATCH(B190,'Task Master'!$A$5:$A$100,0)),""))</f>
        <v/>
      </c>
      <c r="D190" s="37" t="str">
        <f>IF(B190="","",IFERROR(INDEX('Task Master'!$J$5:$J$100,MATCH(B190,'Task Master'!$A$5:$A$100,0)),""))</f>
        <v/>
      </c>
      <c r="E190" s="37" t="str">
        <f>IF(B190="","",IFERROR(INDEX('Task Master'!$K$5:$K$100,MATCH(B190,'Task Master'!$A$5:$A$100,0)),""))</f>
        <v/>
      </c>
      <c r="F190" s="36"/>
      <c r="G190" s="36"/>
      <c r="H190" s="36"/>
      <c r="I190" s="36"/>
      <c r="J190" s="38"/>
      <c r="K190" s="36"/>
      <c r="L190" s="38"/>
      <c r="M190" s="39"/>
      <c r="N190" s="39"/>
      <c r="O190" s="40" t="str">
        <f t="shared" si="7"/>
        <v/>
      </c>
      <c r="P190" s="39"/>
    </row>
    <row r="191" spans="1:16">
      <c r="A191" s="35"/>
      <c r="B191" s="36"/>
      <c r="C191" s="37" t="str">
        <f>IF(B191="","",IFERROR(INDEX('Task Master'!$C$5:$C$100,MATCH(B191,'Task Master'!$A$5:$A$100,0)),""))</f>
        <v/>
      </c>
      <c r="D191" s="37" t="str">
        <f>IF(B191="","",IFERROR(INDEX('Task Master'!$J$5:$J$100,MATCH(B191,'Task Master'!$A$5:$A$100,0)),""))</f>
        <v/>
      </c>
      <c r="E191" s="37" t="str">
        <f>IF(B191="","",IFERROR(INDEX('Task Master'!$K$5:$K$100,MATCH(B191,'Task Master'!$A$5:$A$100,0)),""))</f>
        <v/>
      </c>
      <c r="F191" s="36"/>
      <c r="G191" s="36"/>
      <c r="H191" s="36"/>
      <c r="I191" s="36"/>
      <c r="J191" s="38"/>
      <c r="K191" s="36"/>
      <c r="L191" s="38"/>
      <c r="M191" s="39"/>
      <c r="N191" s="39"/>
      <c r="O191" s="40" t="str">
        <f t="shared" si="7"/>
        <v/>
      </c>
      <c r="P191" s="39"/>
    </row>
    <row r="192" spans="1:16">
      <c r="A192" s="35"/>
      <c r="B192" s="36"/>
      <c r="C192" s="37" t="str">
        <f>IF(B192="","",IFERROR(INDEX('Task Master'!$C$5:$C$100,MATCH(B192,'Task Master'!$A$5:$A$100,0)),""))</f>
        <v/>
      </c>
      <c r="D192" s="37" t="str">
        <f>IF(B192="","",IFERROR(INDEX('Task Master'!$J$5:$J$100,MATCH(B192,'Task Master'!$A$5:$A$100,0)),""))</f>
        <v/>
      </c>
      <c r="E192" s="37" t="str">
        <f>IF(B192="","",IFERROR(INDEX('Task Master'!$K$5:$K$100,MATCH(B192,'Task Master'!$A$5:$A$100,0)),""))</f>
        <v/>
      </c>
      <c r="F192" s="36"/>
      <c r="G192" s="36"/>
      <c r="H192" s="36"/>
      <c r="I192" s="36"/>
      <c r="J192" s="38"/>
      <c r="K192" s="36"/>
      <c r="L192" s="38"/>
      <c r="M192" s="39"/>
      <c r="N192" s="39"/>
      <c r="O192" s="40" t="str">
        <f t="shared" si="7"/>
        <v/>
      </c>
      <c r="P192" s="39"/>
    </row>
    <row r="193" spans="1:16">
      <c r="A193" s="35"/>
      <c r="B193" s="36"/>
      <c r="C193" s="37" t="str">
        <f>IF(B193="","",IFERROR(INDEX('Task Master'!$C$5:$C$100,MATCH(B193,'Task Master'!$A$5:$A$100,0)),""))</f>
        <v/>
      </c>
      <c r="D193" s="37" t="str">
        <f>IF(B193="","",IFERROR(INDEX('Task Master'!$J$5:$J$100,MATCH(B193,'Task Master'!$A$5:$A$100,0)),""))</f>
        <v/>
      </c>
      <c r="E193" s="37" t="str">
        <f>IF(B193="","",IFERROR(INDEX('Task Master'!$K$5:$K$100,MATCH(B193,'Task Master'!$A$5:$A$100,0)),""))</f>
        <v/>
      </c>
      <c r="F193" s="36"/>
      <c r="G193" s="36"/>
      <c r="H193" s="36"/>
      <c r="I193" s="36"/>
      <c r="J193" s="38"/>
      <c r="K193" s="36"/>
      <c r="L193" s="38"/>
      <c r="M193" s="39"/>
      <c r="N193" s="39"/>
      <c r="O193" s="40" t="str">
        <f t="shared" si="7"/>
        <v/>
      </c>
      <c r="P193" s="39"/>
    </row>
    <row r="194" spans="1:16">
      <c r="A194" s="35"/>
      <c r="B194" s="36"/>
      <c r="C194" s="37" t="str">
        <f>IF(B194="","",IFERROR(INDEX('Task Master'!$C$5:$C$100,MATCH(B194,'Task Master'!$A$5:$A$100,0)),""))</f>
        <v/>
      </c>
      <c r="D194" s="37" t="str">
        <f>IF(B194="","",IFERROR(INDEX('Task Master'!$J$5:$J$100,MATCH(B194,'Task Master'!$A$5:$A$100,0)),""))</f>
        <v/>
      </c>
      <c r="E194" s="37" t="str">
        <f>IF(B194="","",IFERROR(INDEX('Task Master'!$K$5:$K$100,MATCH(B194,'Task Master'!$A$5:$A$100,0)),""))</f>
        <v/>
      </c>
      <c r="F194" s="36"/>
      <c r="G194" s="36"/>
      <c r="H194" s="36"/>
      <c r="I194" s="36"/>
      <c r="J194" s="38"/>
      <c r="K194" s="36"/>
      <c r="L194" s="38"/>
      <c r="M194" s="39"/>
      <c r="N194" s="39"/>
      <c r="O194" s="40" t="str">
        <f t="shared" si="7"/>
        <v/>
      </c>
      <c r="P194" s="39"/>
    </row>
    <row r="195" spans="1:16">
      <c r="A195" s="35"/>
      <c r="B195" s="36"/>
      <c r="C195" s="37" t="str">
        <f>IF(B195="","",IFERROR(INDEX('Task Master'!$C$5:$C$100,MATCH(B195,'Task Master'!$A$5:$A$100,0)),""))</f>
        <v/>
      </c>
      <c r="D195" s="37" t="str">
        <f>IF(B195="","",IFERROR(INDEX('Task Master'!$J$5:$J$100,MATCH(B195,'Task Master'!$A$5:$A$100,0)),""))</f>
        <v/>
      </c>
      <c r="E195" s="37" t="str">
        <f>IF(B195="","",IFERROR(INDEX('Task Master'!$K$5:$K$100,MATCH(B195,'Task Master'!$A$5:$A$100,0)),""))</f>
        <v/>
      </c>
      <c r="F195" s="36"/>
      <c r="G195" s="36"/>
      <c r="H195" s="36"/>
      <c r="I195" s="36"/>
      <c r="J195" s="38"/>
      <c r="K195" s="36"/>
      <c r="L195" s="38"/>
      <c r="M195" s="39"/>
      <c r="N195" s="39"/>
      <c r="O195" s="40" t="str">
        <f t="shared" si="7"/>
        <v/>
      </c>
      <c r="P195" s="39"/>
    </row>
    <row r="196" spans="1:16">
      <c r="A196" s="35"/>
      <c r="B196" s="36"/>
      <c r="C196" s="37" t="str">
        <f>IF(B196="","",IFERROR(INDEX('Task Master'!$C$5:$C$100,MATCH(B196,'Task Master'!$A$5:$A$100,0)),""))</f>
        <v/>
      </c>
      <c r="D196" s="37" t="str">
        <f>IF(B196="","",IFERROR(INDEX('Task Master'!$J$5:$J$100,MATCH(B196,'Task Master'!$A$5:$A$100,0)),""))</f>
        <v/>
      </c>
      <c r="E196" s="37" t="str">
        <f>IF(B196="","",IFERROR(INDEX('Task Master'!$K$5:$K$100,MATCH(B196,'Task Master'!$A$5:$A$100,0)),""))</f>
        <v/>
      </c>
      <c r="F196" s="36"/>
      <c r="G196" s="36"/>
      <c r="H196" s="36"/>
      <c r="I196" s="36"/>
      <c r="J196" s="38"/>
      <c r="K196" s="36"/>
      <c r="L196" s="38"/>
      <c r="M196" s="39"/>
      <c r="N196" s="39"/>
      <c r="O196" s="40" t="str">
        <f t="shared" si="7"/>
        <v/>
      </c>
      <c r="P196" s="39"/>
    </row>
    <row r="197" spans="1:16">
      <c r="A197" s="35"/>
      <c r="B197" s="36"/>
      <c r="C197" s="37" t="str">
        <f>IF(B197="","",IFERROR(INDEX('Task Master'!$C$5:$C$100,MATCH(B197,'Task Master'!$A$5:$A$100,0)),""))</f>
        <v/>
      </c>
      <c r="D197" s="37" t="str">
        <f>IF(B197="","",IFERROR(INDEX('Task Master'!$J$5:$J$100,MATCH(B197,'Task Master'!$A$5:$A$100,0)),""))</f>
        <v/>
      </c>
      <c r="E197" s="37" t="str">
        <f>IF(B197="","",IFERROR(INDEX('Task Master'!$K$5:$K$100,MATCH(B197,'Task Master'!$A$5:$A$100,0)),""))</f>
        <v/>
      </c>
      <c r="F197" s="36"/>
      <c r="G197" s="36"/>
      <c r="H197" s="36"/>
      <c r="I197" s="36"/>
      <c r="J197" s="38"/>
      <c r="K197" s="36"/>
      <c r="L197" s="38"/>
      <c r="M197" s="39"/>
      <c r="N197" s="39"/>
      <c r="O197" s="40" t="str">
        <f t="shared" ref="O197:O204" si="8">IF(OR(A197="",B197=""),"",IF(OR(K197="Achieved",K197="Out-of-Scope Confirmed"),"Yes","No"))</f>
        <v/>
      </c>
      <c r="P197" s="39"/>
    </row>
    <row r="198" spans="1:16">
      <c r="A198" s="35"/>
      <c r="B198" s="36"/>
      <c r="C198" s="37" t="str">
        <f>IF(B198="","",IFERROR(INDEX('Task Master'!$C$5:$C$100,MATCH(B198,'Task Master'!$A$5:$A$100,0)),""))</f>
        <v/>
      </c>
      <c r="D198" s="37" t="str">
        <f>IF(B198="","",IFERROR(INDEX('Task Master'!$J$5:$J$100,MATCH(B198,'Task Master'!$A$5:$A$100,0)),""))</f>
        <v/>
      </c>
      <c r="E198" s="37" t="str">
        <f>IF(B198="","",IFERROR(INDEX('Task Master'!$K$5:$K$100,MATCH(B198,'Task Master'!$A$5:$A$100,0)),""))</f>
        <v/>
      </c>
      <c r="F198" s="36"/>
      <c r="G198" s="36"/>
      <c r="H198" s="36"/>
      <c r="I198" s="36"/>
      <c r="J198" s="38"/>
      <c r="K198" s="36"/>
      <c r="L198" s="38"/>
      <c r="M198" s="39"/>
      <c r="N198" s="39"/>
      <c r="O198" s="40" t="str">
        <f t="shared" si="8"/>
        <v/>
      </c>
      <c r="P198" s="39"/>
    </row>
    <row r="199" spans="1:16">
      <c r="A199" s="35"/>
      <c r="B199" s="36"/>
      <c r="C199" s="37" t="str">
        <f>IF(B199="","",IFERROR(INDEX('Task Master'!$C$5:$C$100,MATCH(B199,'Task Master'!$A$5:$A$100,0)),""))</f>
        <v/>
      </c>
      <c r="D199" s="37" t="str">
        <f>IF(B199="","",IFERROR(INDEX('Task Master'!$J$5:$J$100,MATCH(B199,'Task Master'!$A$5:$A$100,0)),""))</f>
        <v/>
      </c>
      <c r="E199" s="37" t="str">
        <f>IF(B199="","",IFERROR(INDEX('Task Master'!$K$5:$K$100,MATCH(B199,'Task Master'!$A$5:$A$100,0)),""))</f>
        <v/>
      </c>
      <c r="F199" s="36"/>
      <c r="G199" s="36"/>
      <c r="H199" s="36"/>
      <c r="I199" s="36"/>
      <c r="J199" s="38"/>
      <c r="K199" s="36"/>
      <c r="L199" s="38"/>
      <c r="M199" s="39"/>
      <c r="N199" s="39"/>
      <c r="O199" s="40" t="str">
        <f t="shared" si="8"/>
        <v/>
      </c>
      <c r="P199" s="39"/>
    </row>
    <row r="200" spans="1:16">
      <c r="A200" s="35"/>
      <c r="B200" s="36"/>
      <c r="C200" s="37" t="str">
        <f>IF(B200="","",IFERROR(INDEX('Task Master'!$C$5:$C$100,MATCH(B200,'Task Master'!$A$5:$A$100,0)),""))</f>
        <v/>
      </c>
      <c r="D200" s="37" t="str">
        <f>IF(B200="","",IFERROR(INDEX('Task Master'!$J$5:$J$100,MATCH(B200,'Task Master'!$A$5:$A$100,0)),""))</f>
        <v/>
      </c>
      <c r="E200" s="37" t="str">
        <f>IF(B200="","",IFERROR(INDEX('Task Master'!$K$5:$K$100,MATCH(B200,'Task Master'!$A$5:$A$100,0)),""))</f>
        <v/>
      </c>
      <c r="F200" s="36"/>
      <c r="G200" s="36"/>
      <c r="H200" s="36"/>
      <c r="I200" s="36"/>
      <c r="J200" s="38"/>
      <c r="K200" s="36"/>
      <c r="L200" s="38"/>
      <c r="M200" s="39"/>
      <c r="N200" s="39"/>
      <c r="O200" s="40" t="str">
        <f t="shared" si="8"/>
        <v/>
      </c>
      <c r="P200" s="39"/>
    </row>
    <row r="201" spans="1:16">
      <c r="A201" s="35"/>
      <c r="B201" s="36"/>
      <c r="C201" s="37" t="str">
        <f>IF(B201="","",IFERROR(INDEX('Task Master'!$C$5:$C$100,MATCH(B201,'Task Master'!$A$5:$A$100,0)),""))</f>
        <v/>
      </c>
      <c r="D201" s="37" t="str">
        <f>IF(B201="","",IFERROR(INDEX('Task Master'!$J$5:$J$100,MATCH(B201,'Task Master'!$A$5:$A$100,0)),""))</f>
        <v/>
      </c>
      <c r="E201" s="37" t="str">
        <f>IF(B201="","",IFERROR(INDEX('Task Master'!$K$5:$K$100,MATCH(B201,'Task Master'!$A$5:$A$100,0)),""))</f>
        <v/>
      </c>
      <c r="F201" s="36"/>
      <c r="G201" s="36"/>
      <c r="H201" s="36"/>
      <c r="I201" s="36"/>
      <c r="J201" s="38"/>
      <c r="K201" s="36"/>
      <c r="L201" s="38"/>
      <c r="M201" s="39"/>
      <c r="N201" s="39"/>
      <c r="O201" s="40" t="str">
        <f t="shared" si="8"/>
        <v/>
      </c>
      <c r="P201" s="39"/>
    </row>
    <row r="202" spans="1:16">
      <c r="A202" s="35"/>
      <c r="B202" s="36"/>
      <c r="C202" s="37" t="str">
        <f>IF(B202="","",IFERROR(INDEX('Task Master'!$C$5:$C$100,MATCH(B202,'Task Master'!$A$5:$A$100,0)),""))</f>
        <v/>
      </c>
      <c r="D202" s="37" t="str">
        <f>IF(B202="","",IFERROR(INDEX('Task Master'!$J$5:$J$100,MATCH(B202,'Task Master'!$A$5:$A$100,0)),""))</f>
        <v/>
      </c>
      <c r="E202" s="37" t="str">
        <f>IF(B202="","",IFERROR(INDEX('Task Master'!$K$5:$K$100,MATCH(B202,'Task Master'!$A$5:$A$100,0)),""))</f>
        <v/>
      </c>
      <c r="F202" s="36"/>
      <c r="G202" s="36"/>
      <c r="H202" s="36"/>
      <c r="I202" s="36"/>
      <c r="J202" s="38"/>
      <c r="K202" s="36"/>
      <c r="L202" s="38"/>
      <c r="M202" s="39"/>
      <c r="N202" s="39"/>
      <c r="O202" s="40" t="str">
        <f t="shared" si="8"/>
        <v/>
      </c>
      <c r="P202" s="39"/>
    </row>
    <row r="203" spans="1:16">
      <c r="A203" s="35"/>
      <c r="B203" s="36"/>
      <c r="C203" s="37" t="str">
        <f>IF(B203="","",IFERROR(INDEX('Task Master'!$C$5:$C$100,MATCH(B203,'Task Master'!$A$5:$A$100,0)),""))</f>
        <v/>
      </c>
      <c r="D203" s="37" t="str">
        <f>IF(B203="","",IFERROR(INDEX('Task Master'!$J$5:$J$100,MATCH(B203,'Task Master'!$A$5:$A$100,0)),""))</f>
        <v/>
      </c>
      <c r="E203" s="37" t="str">
        <f>IF(B203="","",IFERROR(INDEX('Task Master'!$K$5:$K$100,MATCH(B203,'Task Master'!$A$5:$A$100,0)),""))</f>
        <v/>
      </c>
      <c r="F203" s="36"/>
      <c r="G203" s="36"/>
      <c r="H203" s="36"/>
      <c r="I203" s="36"/>
      <c r="J203" s="38"/>
      <c r="K203" s="36"/>
      <c r="L203" s="38"/>
      <c r="M203" s="39"/>
      <c r="N203" s="39"/>
      <c r="O203" s="40" t="str">
        <f t="shared" si="8"/>
        <v/>
      </c>
      <c r="P203" s="39"/>
    </row>
    <row r="204" spans="1:16">
      <c r="A204" s="35"/>
      <c r="B204" s="36"/>
      <c r="C204" s="37" t="str">
        <f>IF(B204="","",IFERROR(INDEX('Task Master'!$C$5:$C$100,MATCH(B204,'Task Master'!$A$5:$A$100,0)),""))</f>
        <v/>
      </c>
      <c r="D204" s="37" t="str">
        <f>IF(B204="","",IFERROR(INDEX('Task Master'!$J$5:$J$100,MATCH(B204,'Task Master'!$A$5:$A$100,0)),""))</f>
        <v/>
      </c>
      <c r="E204" s="37" t="str">
        <f>IF(B204="","",IFERROR(INDEX('Task Master'!$K$5:$K$100,MATCH(B204,'Task Master'!$A$5:$A$100,0)),""))</f>
        <v/>
      </c>
      <c r="F204" s="36"/>
      <c r="G204" s="36"/>
      <c r="H204" s="36"/>
      <c r="I204" s="36"/>
      <c r="J204" s="38"/>
      <c r="K204" s="36"/>
      <c r="L204" s="38"/>
      <c r="M204" s="39"/>
      <c r="N204" s="39"/>
      <c r="O204" s="40" t="str">
        <f t="shared" si="8"/>
        <v/>
      </c>
      <c r="P204" s="39"/>
    </row>
  </sheetData>
  <mergeCells count="2">
    <mergeCell ref="A1:P1"/>
    <mergeCell ref="A2:P2"/>
  </mergeCells>
  <conditionalFormatting sqref="K5:K204">
    <cfRule type="containsText" dxfId="10" priority="1" operator="containsText" text="Achieved"/>
    <cfRule type="containsText" dxfId="9" priority="2" operator="containsText" text="Blocked"/>
    <cfRule type="containsText" dxfId="8" priority="4" operator="containsText" text="Out-of-Scope"/>
  </conditionalFormatting>
  <dataValidations count="3">
    <dataValidation type="list" sqref="F5:F204" xr:uid="{00000000-0002-0000-0300-000001000000}">
      <formula1>"No,Yes"</formula1>
    </dataValidation>
    <dataValidation type="list" sqref="H5:H204" xr:uid="{00000000-0002-0000-0300-000002000000}">
      <formula1>"Complete Task,Confirm Out-of-Scope"</formula1>
    </dataValidation>
    <dataValidation type="list" sqref="K5:K204" xr:uid="{00000000-0002-0000-0300-000003000000}">
      <formula1>"Not Started,In Progress,Achieved,Blocked,Missed,Out-of-Scope Submitted,Out-of-Scope Confirmed"</formula1>
    </dataValidation>
  </dataValidations>
  <pageMargins left="0.7" right="0.7" top="0.75" bottom="0.75" header="0.3" footer="0.3"/>
  <drawing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xr:uid="{00000000-0002-0000-0300-000000000000}">
          <x14:formula1>
            <xm:f>'Task Master'!$A$5:$A$100</xm:f>
          </x14:formula1>
          <xm:sqref>B5:B204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79998168889431442"/>
  </sheetPr>
  <dimension ref="A1:N304"/>
  <sheetViews>
    <sheetView showGridLines="0" tabSelected="1" workbookViewId="0">
      <pane ySplit="4" topLeftCell="A5" activePane="bottomLeft" state="frozen"/>
      <selection pane="bottomLeft" activeCell="E18" sqref="E18"/>
    </sheetView>
  </sheetViews>
  <sheetFormatPr defaultColWidth="9" defaultRowHeight="14.4"/>
  <cols>
    <col min="1" max="1" width="20" style="1" customWidth="1"/>
    <col min="2" max="2" width="18" style="1" customWidth="1"/>
    <col min="3" max="3" width="34" style="1" customWidth="1"/>
    <col min="4" max="4" width="31" style="1" customWidth="1"/>
    <col min="5" max="5" width="27" style="1" customWidth="1"/>
    <col min="6" max="6" width="45" style="1" customWidth="1"/>
    <col min="7" max="7" width="38" style="1" customWidth="1"/>
    <col min="8" max="8" width="35" style="1" customWidth="1"/>
    <col min="9" max="9" width="15" style="1" customWidth="1"/>
    <col min="10" max="10" width="24" style="1" customWidth="1"/>
    <col min="11" max="11" width="18" style="1" customWidth="1"/>
    <col min="12" max="12" width="38" style="1" customWidth="1"/>
    <col min="13" max="13" width="30" style="1" customWidth="1"/>
    <col min="14" max="14" width="12" style="1" customWidth="1"/>
    <col min="15" max="16384" width="9" style="1"/>
  </cols>
  <sheetData>
    <row r="1" spans="1:14" ht="30" customHeight="1">
      <c r="A1" s="51" t="s">
        <v>385</v>
      </c>
      <c r="B1" s="51"/>
      <c r="C1" s="51"/>
      <c r="D1" s="51"/>
      <c r="E1" s="51"/>
      <c r="F1" s="51"/>
      <c r="G1" s="51"/>
      <c r="H1" s="51"/>
      <c r="I1" s="51"/>
      <c r="J1" s="51"/>
      <c r="K1" s="51"/>
      <c r="L1" s="51"/>
      <c r="M1" s="51"/>
      <c r="N1" s="51"/>
    </row>
    <row r="2" spans="1:14" ht="24" customHeight="1">
      <c r="A2" s="52" t="s">
        <v>386</v>
      </c>
      <c r="B2" s="52"/>
      <c r="C2" s="52"/>
      <c r="D2" s="52"/>
      <c r="E2" s="52"/>
      <c r="F2" s="52"/>
      <c r="G2" s="52"/>
      <c r="H2" s="52"/>
      <c r="I2" s="52"/>
      <c r="J2" s="52"/>
      <c r="K2" s="52"/>
      <c r="L2" s="52"/>
      <c r="M2" s="52"/>
      <c r="N2" s="52"/>
    </row>
    <row r="4" spans="1:14" ht="32.1" customHeight="1">
      <c r="A4" s="2" t="s">
        <v>387</v>
      </c>
      <c r="B4" s="3" t="s">
        <v>79</v>
      </c>
      <c r="C4" s="3" t="s">
        <v>388</v>
      </c>
      <c r="D4" s="3" t="s">
        <v>389</v>
      </c>
      <c r="E4" s="3" t="s">
        <v>390</v>
      </c>
      <c r="F4" s="3" t="s">
        <v>391</v>
      </c>
      <c r="G4" s="3" t="s">
        <v>98</v>
      </c>
      <c r="H4" s="3" t="s">
        <v>99</v>
      </c>
      <c r="I4" s="3" t="s">
        <v>100</v>
      </c>
      <c r="J4" s="3" t="s">
        <v>392</v>
      </c>
      <c r="K4" s="3" t="s">
        <v>393</v>
      </c>
      <c r="L4" s="3" t="s">
        <v>394</v>
      </c>
      <c r="M4" s="3" t="s">
        <v>395</v>
      </c>
      <c r="N4" s="4" t="s">
        <v>396</v>
      </c>
    </row>
    <row r="5" spans="1:14">
      <c r="A5" s="38">
        <v>46251</v>
      </c>
      <c r="B5" s="36" t="s">
        <v>156</v>
      </c>
      <c r="C5" s="37" t="str">
        <f>IF(B5="","",IFERROR(INDEX('Task Master'!$K$5:$K$100,MATCH(B5,'Task Master'!$A$5:$A$100,0)),""))</f>
        <v>abdul.khoir@petronas.com</v>
      </c>
      <c r="D5" s="36"/>
      <c r="E5" s="36" t="s">
        <v>397</v>
      </c>
      <c r="F5" s="39"/>
      <c r="G5" s="39"/>
      <c r="H5" s="39"/>
      <c r="I5" s="41"/>
      <c r="J5" s="39" t="s">
        <v>398</v>
      </c>
      <c r="K5" s="39"/>
      <c r="L5" s="39"/>
      <c r="M5" s="39" t="s">
        <v>399</v>
      </c>
      <c r="N5" s="37" t="e">
        <f ca="1">IF(OR(A5="",B5=""),"",A5=_xludf.MAXIFS($A$5:$A$304,$B$5:$B$304,B5))</f>
        <v>#NAME?</v>
      </c>
    </row>
    <row r="6" spans="1:14">
      <c r="A6" s="38">
        <v>46251</v>
      </c>
      <c r="B6" s="36" t="s">
        <v>159</v>
      </c>
      <c r="C6" s="37" t="str">
        <f>IF(B6="","",IFERROR(INDEX('Task Master'!$K$5:$K$100,MATCH(B6,'Task Master'!$A$5:$A$100,0)),""))</f>
        <v>abdul.khoir@petronas.com</v>
      </c>
      <c r="D6" s="36"/>
      <c r="E6" s="36" t="s">
        <v>397</v>
      </c>
      <c r="F6" s="39"/>
      <c r="G6" s="39"/>
      <c r="H6" s="39"/>
      <c r="I6" s="41"/>
      <c r="J6" s="39" t="s">
        <v>398</v>
      </c>
      <c r="K6" s="39"/>
      <c r="L6" s="39"/>
      <c r="M6" s="39" t="s">
        <v>399</v>
      </c>
      <c r="N6" s="37" t="e">
        <f ca="1">IF(OR(A6="",B6=""),"",A6=_xludf.MAXIFS($A$5:$A$304,$B$5:$B$304,B6))</f>
        <v>#NAME?</v>
      </c>
    </row>
    <row r="7" spans="1:14">
      <c r="A7" s="38">
        <v>46251</v>
      </c>
      <c r="B7" s="36" t="s">
        <v>163</v>
      </c>
      <c r="C7" s="37" t="str">
        <f>IF(B7="","",IFERROR(INDEX('Task Master'!$K$5:$K$100,MATCH(B7,'Task Master'!$A$5:$A$100,0)),""))</f>
        <v>arun.karuppiah@petronas.com</v>
      </c>
      <c r="D7" s="36"/>
      <c r="E7" s="36" t="s">
        <v>397</v>
      </c>
      <c r="F7" s="39"/>
      <c r="G7" s="39"/>
      <c r="H7" s="39"/>
      <c r="I7" s="41"/>
      <c r="J7" s="39" t="s">
        <v>398</v>
      </c>
      <c r="K7" s="39"/>
      <c r="L7" s="39"/>
      <c r="M7" s="39" t="s">
        <v>399</v>
      </c>
      <c r="N7" s="37" t="e">
        <f ca="1">IF(OR(A7="",B7=""),"",A7=_xludf.MAXIFS($A$5:$A$304,$B$5:$B$304,B7))</f>
        <v>#NAME?</v>
      </c>
    </row>
    <row r="8" spans="1:14">
      <c r="A8" s="38">
        <v>46251</v>
      </c>
      <c r="B8" s="36" t="s">
        <v>166</v>
      </c>
      <c r="C8" s="37" t="str">
        <f>IF(B8="","",IFERROR(INDEX('Task Master'!$K$5:$K$100,MATCH(B8,'Task Master'!$A$5:$A$100,0)),""))</f>
        <v>amarja.kawade@petronas.com</v>
      </c>
      <c r="D8" s="36"/>
      <c r="E8" s="36" t="s">
        <v>397</v>
      </c>
      <c r="F8" s="39"/>
      <c r="G8" s="39"/>
      <c r="H8" s="39"/>
      <c r="I8" s="41"/>
      <c r="J8" s="39" t="s">
        <v>398</v>
      </c>
      <c r="K8" s="39"/>
      <c r="L8" s="39"/>
      <c r="M8" s="39" t="s">
        <v>399</v>
      </c>
      <c r="N8" s="37" t="e">
        <f ca="1">IF(OR(A8="",B8=""),"",A8=_xludf.MAXIFS($A$5:$A$304,$B$5:$B$304,B8))</f>
        <v>#NAME?</v>
      </c>
    </row>
    <row r="9" spans="1:14">
      <c r="A9" s="38">
        <v>46251</v>
      </c>
      <c r="B9" s="36" t="s">
        <v>169</v>
      </c>
      <c r="C9" s="37" t="str">
        <f>IF(B9="","",IFERROR(INDEX('Task Master'!$K$5:$K$100,MATCH(B9,'Task Master'!$A$5:$A$100,0)),""))</f>
        <v>amarja.kawade@petronas.com</v>
      </c>
      <c r="D9" s="36"/>
      <c r="E9" s="36" t="s">
        <v>397</v>
      </c>
      <c r="F9" s="39"/>
      <c r="G9" s="39"/>
      <c r="H9" s="39"/>
      <c r="I9" s="41"/>
      <c r="J9" s="39" t="s">
        <v>398</v>
      </c>
      <c r="K9" s="39"/>
      <c r="L9" s="39"/>
      <c r="M9" s="39" t="s">
        <v>399</v>
      </c>
      <c r="N9" s="37" t="e">
        <f ca="1">IF(OR(A9="",B9=""),"",A9=_xludf.MAXIFS($A$5:$A$304,$B$5:$B$304,B9))</f>
        <v>#NAME?</v>
      </c>
    </row>
    <row r="10" spans="1:14">
      <c r="A10" s="38">
        <v>46251</v>
      </c>
      <c r="B10" s="36" t="s">
        <v>172</v>
      </c>
      <c r="C10" s="37" t="str">
        <f>IF(B10="","",IFERROR(INDEX('Task Master'!$K$5:$K$100,MATCH(B10,'Task Master'!$A$5:$A$100,0)),""))</f>
        <v>amarja.kawade@petronas.com</v>
      </c>
      <c r="D10" s="36"/>
      <c r="E10" s="36" t="s">
        <v>397</v>
      </c>
      <c r="F10" s="39"/>
      <c r="G10" s="39"/>
      <c r="H10" s="39"/>
      <c r="I10" s="41"/>
      <c r="J10" s="39" t="s">
        <v>398</v>
      </c>
      <c r="K10" s="39"/>
      <c r="L10" s="39"/>
      <c r="M10" s="39" t="s">
        <v>399</v>
      </c>
      <c r="N10" s="37" t="e">
        <f ca="1">IF(OR(A10="",B10=""),"",A10=_xludf.MAXIFS($A$5:$A$304,$B$5:$B$304,B10))</f>
        <v>#NAME?</v>
      </c>
    </row>
    <row r="11" spans="1:14">
      <c r="A11" s="38">
        <v>46251</v>
      </c>
      <c r="B11" s="36" t="s">
        <v>175</v>
      </c>
      <c r="C11" s="37" t="str">
        <f>IF(B11="","",IFERROR(INDEX('Task Master'!$K$5:$K$100,MATCH(B11,'Task Master'!$A$5:$A$100,0)),""))</f>
        <v>amarja.kawade@petronas.com</v>
      </c>
      <c r="D11" s="36"/>
      <c r="E11" s="36" t="s">
        <v>397</v>
      </c>
      <c r="F11" s="39"/>
      <c r="G11" s="39"/>
      <c r="H11" s="39"/>
      <c r="I11" s="41"/>
      <c r="J11" s="39" t="s">
        <v>398</v>
      </c>
      <c r="K11" s="39"/>
      <c r="L11" s="39"/>
      <c r="M11" s="39" t="s">
        <v>399</v>
      </c>
      <c r="N11" s="37" t="e">
        <f ca="1">IF(OR(A11="",B11=""),"",A11=_xludf.MAXIFS($A$5:$A$304,$B$5:$B$304,B11))</f>
        <v>#NAME?</v>
      </c>
    </row>
    <row r="12" spans="1:14">
      <c r="A12" s="38">
        <v>46251</v>
      </c>
      <c r="B12" s="36" t="s">
        <v>178</v>
      </c>
      <c r="C12" s="37" t="str">
        <f>IF(B12="","",IFERROR(INDEX('Task Master'!$K$5:$K$100,MATCH(B12,'Task Master'!$A$5:$A$100,0)),""))</f>
        <v>amarja.kawade@petronas.com</v>
      </c>
      <c r="D12" s="36"/>
      <c r="E12" s="36" t="s">
        <v>397</v>
      </c>
      <c r="F12" s="39"/>
      <c r="G12" s="39"/>
      <c r="H12" s="39"/>
      <c r="I12" s="41"/>
      <c r="J12" s="39" t="s">
        <v>398</v>
      </c>
      <c r="K12" s="39"/>
      <c r="L12" s="39"/>
      <c r="M12" s="39" t="s">
        <v>399</v>
      </c>
      <c r="N12" s="37" t="e">
        <f ca="1">IF(OR(A12="",B12=""),"",A12=_xludf.MAXIFS($A$5:$A$304,$B$5:$B$304,B12))</f>
        <v>#NAME?</v>
      </c>
    </row>
    <row r="13" spans="1:14">
      <c r="A13" s="38">
        <v>46251</v>
      </c>
      <c r="B13" s="36" t="s">
        <v>181</v>
      </c>
      <c r="C13" s="37" t="str">
        <f>IF(B13="","",IFERROR(INDEX('Task Master'!$K$5:$K$100,MATCH(B13,'Task Master'!$A$5:$A$100,0)),""))</f>
        <v>amarja.kawade@petronas.com</v>
      </c>
      <c r="D13" s="36"/>
      <c r="E13" s="36" t="s">
        <v>397</v>
      </c>
      <c r="F13" s="39"/>
      <c r="G13" s="39"/>
      <c r="H13" s="39"/>
      <c r="I13" s="41"/>
      <c r="J13" s="39" t="s">
        <v>398</v>
      </c>
      <c r="K13" s="39"/>
      <c r="L13" s="39"/>
      <c r="M13" s="39" t="s">
        <v>399</v>
      </c>
      <c r="N13" s="37" t="e">
        <f ca="1">IF(OR(A13="",B13=""),"",A13=_xludf.MAXIFS($A$5:$A$304,$B$5:$B$304,B13))</f>
        <v>#NAME?</v>
      </c>
    </row>
    <row r="14" spans="1:14">
      <c r="A14" s="38">
        <v>46251</v>
      </c>
      <c r="B14" s="36" t="s">
        <v>184</v>
      </c>
      <c r="C14" s="37" t="str">
        <f>IF(B14="","",IFERROR(INDEX('Task Master'!$K$5:$K$100,MATCH(B14,'Task Master'!$A$5:$A$100,0)),""))</f>
        <v>amarja.kawade@petronas.com</v>
      </c>
      <c r="D14" s="36"/>
      <c r="E14" s="36" t="s">
        <v>397</v>
      </c>
      <c r="F14" s="39"/>
      <c r="G14" s="39"/>
      <c r="H14" s="39"/>
      <c r="I14" s="41"/>
      <c r="J14" s="39" t="s">
        <v>398</v>
      </c>
      <c r="K14" s="39"/>
      <c r="L14" s="39"/>
      <c r="M14" s="39" t="s">
        <v>399</v>
      </c>
      <c r="N14" s="37" t="e">
        <f ca="1">IF(OR(A14="",B14=""),"",A14=_xludf.MAXIFS($A$5:$A$304,$B$5:$B$304,B14))</f>
        <v>#NAME?</v>
      </c>
    </row>
    <row r="15" spans="1:14">
      <c r="A15" s="38">
        <v>46251</v>
      </c>
      <c r="B15" s="36" t="s">
        <v>187</v>
      </c>
      <c r="C15" s="37" t="str">
        <f>IF(B15="","",IFERROR(INDEX('Task Master'!$K$5:$K$100,MATCH(B15,'Task Master'!$A$5:$A$100,0)),""))</f>
        <v>amarja.kawade@petronas.com</v>
      </c>
      <c r="D15" s="36"/>
      <c r="E15" s="36" t="s">
        <v>397</v>
      </c>
      <c r="F15" s="39"/>
      <c r="G15" s="39"/>
      <c r="H15" s="39"/>
      <c r="I15" s="41"/>
      <c r="J15" s="39" t="s">
        <v>398</v>
      </c>
      <c r="K15" s="39"/>
      <c r="L15" s="39"/>
      <c r="M15" s="39" t="s">
        <v>399</v>
      </c>
      <c r="N15" s="37" t="e">
        <f ca="1">IF(OR(A15="",B15=""),"",A15=_xludf.MAXIFS($A$5:$A$304,$B$5:$B$304,B15))</f>
        <v>#NAME?</v>
      </c>
    </row>
    <row r="16" spans="1:14">
      <c r="A16" s="38">
        <v>46251</v>
      </c>
      <c r="B16" s="36" t="s">
        <v>190</v>
      </c>
      <c r="C16" s="37" t="str">
        <f>IF(B16="","",IFERROR(INDEX('Task Master'!$K$5:$K$100,MATCH(B16,'Task Master'!$A$5:$A$100,0)),""))</f>
        <v>amarja.kawade@petronas.com</v>
      </c>
      <c r="D16" s="36"/>
      <c r="E16" s="36" t="s">
        <v>397</v>
      </c>
      <c r="F16" s="39"/>
      <c r="G16" s="39"/>
      <c r="H16" s="39"/>
      <c r="I16" s="41"/>
      <c r="J16" s="39" t="s">
        <v>398</v>
      </c>
      <c r="K16" s="39"/>
      <c r="L16" s="39"/>
      <c r="M16" s="39" t="s">
        <v>399</v>
      </c>
      <c r="N16" s="37" t="e">
        <f ca="1">IF(OR(A16="",B16=""),"",A16=_xludf.MAXIFS($A$5:$A$304,$B$5:$B$304,B16))</f>
        <v>#NAME?</v>
      </c>
    </row>
    <row r="17" spans="1:14">
      <c r="A17" s="38">
        <v>46251</v>
      </c>
      <c r="B17" s="36" t="s">
        <v>192</v>
      </c>
      <c r="C17" s="37" t="str">
        <f>IF(B17="","",IFERROR(INDEX('Task Master'!$K$5:$K$100,MATCH(B17,'Task Master'!$A$5:$A$100,0)),""))</f>
        <v>amarja.kawade@petronas.com</v>
      </c>
      <c r="D17" s="36"/>
      <c r="E17" s="36" t="s">
        <v>397</v>
      </c>
      <c r="F17" s="39"/>
      <c r="G17" s="39"/>
      <c r="H17" s="39"/>
      <c r="I17" s="41"/>
      <c r="J17" s="39" t="s">
        <v>398</v>
      </c>
      <c r="K17" s="39"/>
      <c r="L17" s="39"/>
      <c r="M17" s="39" t="s">
        <v>399</v>
      </c>
      <c r="N17" s="37" t="e">
        <f ca="1">IF(OR(A17="",B17=""),"",A17=_xludf.MAXIFS($A$5:$A$304,$B$5:$B$304,B17))</f>
        <v>#NAME?</v>
      </c>
    </row>
    <row r="18" spans="1:14">
      <c r="A18" s="38">
        <v>46251</v>
      </c>
      <c r="B18" s="36" t="s">
        <v>195</v>
      </c>
      <c r="C18" s="37" t="str">
        <f>IF(B18="","",IFERROR(INDEX('Task Master'!$K$5:$K$100,MATCH(B18,'Task Master'!$A$5:$A$100,0)),""))</f>
        <v>amarja.kawade@petronas.com</v>
      </c>
      <c r="D18" s="36"/>
      <c r="E18" s="36" t="s">
        <v>397</v>
      </c>
      <c r="F18" s="39"/>
      <c r="G18" s="39"/>
      <c r="H18" s="39"/>
      <c r="I18" s="41"/>
      <c r="J18" s="39" t="s">
        <v>398</v>
      </c>
      <c r="K18" s="39"/>
      <c r="L18" s="39"/>
      <c r="M18" s="39" t="s">
        <v>399</v>
      </c>
      <c r="N18" s="37" t="e">
        <f ca="1">IF(OR(A18="",B18=""),"",A18=_xludf.MAXIFS($A$5:$A$304,$B$5:$B$304,B18))</f>
        <v>#NAME?</v>
      </c>
    </row>
    <row r="19" spans="1:14">
      <c r="A19" s="38">
        <v>46251</v>
      </c>
      <c r="B19" s="36" t="s">
        <v>198</v>
      </c>
      <c r="C19" s="37" t="str">
        <f>IF(B19="","",IFERROR(INDEX('Task Master'!$K$5:$K$100,MATCH(B19,'Task Master'!$A$5:$A$100,0)),""))</f>
        <v>amarja.kawade@petronas.com</v>
      </c>
      <c r="D19" s="36"/>
      <c r="E19" s="36" t="s">
        <v>397</v>
      </c>
      <c r="F19" s="39"/>
      <c r="G19" s="39"/>
      <c r="H19" s="39"/>
      <c r="I19" s="41"/>
      <c r="J19" s="39" t="s">
        <v>398</v>
      </c>
      <c r="K19" s="39"/>
      <c r="L19" s="39"/>
      <c r="M19" s="39" t="s">
        <v>399</v>
      </c>
      <c r="N19" s="37" t="e">
        <f ca="1">IF(OR(A19="",B19=""),"",A19=_xludf.MAXIFS($A$5:$A$304,$B$5:$B$304,B19))</f>
        <v>#NAME?</v>
      </c>
    </row>
    <row r="20" spans="1:14">
      <c r="A20" s="38">
        <v>46251</v>
      </c>
      <c r="B20" s="36" t="s">
        <v>199</v>
      </c>
      <c r="C20" s="37" t="str">
        <f>IF(B20="","",IFERROR(INDEX('Task Master'!$K$5:$K$100,MATCH(B20,'Task Master'!$A$5:$A$100,0)),""))</f>
        <v>amarja.kawade@petronas.com</v>
      </c>
      <c r="D20" s="36"/>
      <c r="E20" s="36" t="s">
        <v>397</v>
      </c>
      <c r="F20" s="39"/>
      <c r="G20" s="39"/>
      <c r="H20" s="39"/>
      <c r="I20" s="41"/>
      <c r="J20" s="39" t="s">
        <v>398</v>
      </c>
      <c r="K20" s="39"/>
      <c r="L20" s="39"/>
      <c r="M20" s="39" t="s">
        <v>399</v>
      </c>
      <c r="N20" s="37" t="e">
        <f ca="1">IF(OR(A20="",B20=""),"",A20=_xludf.MAXIFS($A$5:$A$304,$B$5:$B$304,B20))</f>
        <v>#NAME?</v>
      </c>
    </row>
    <row r="21" spans="1:14">
      <c r="A21" s="38">
        <v>46251</v>
      </c>
      <c r="B21" s="36" t="s">
        <v>202</v>
      </c>
      <c r="C21" s="37" t="str">
        <f>IF(B21="","",IFERROR(INDEX('Task Master'!$K$5:$K$100,MATCH(B21,'Task Master'!$A$5:$A$100,0)),""))</f>
        <v>amarja.kawade@petronas.com</v>
      </c>
      <c r="D21" s="36"/>
      <c r="E21" s="36" t="s">
        <v>397</v>
      </c>
      <c r="F21" s="39"/>
      <c r="G21" s="39"/>
      <c r="H21" s="39"/>
      <c r="I21" s="41"/>
      <c r="J21" s="39" t="s">
        <v>398</v>
      </c>
      <c r="K21" s="39"/>
      <c r="L21" s="39"/>
      <c r="M21" s="39" t="s">
        <v>399</v>
      </c>
      <c r="N21" s="37" t="e">
        <f ca="1">IF(OR(A21="",B21=""),"",A21=_xludf.MAXIFS($A$5:$A$304,$B$5:$B$304,B21))</f>
        <v>#NAME?</v>
      </c>
    </row>
    <row r="22" spans="1:14">
      <c r="A22" s="38">
        <v>46251</v>
      </c>
      <c r="B22" s="36" t="s">
        <v>205</v>
      </c>
      <c r="C22" s="37" t="str">
        <f>IF(B22="","",IFERROR(INDEX('Task Master'!$K$5:$K$100,MATCH(B22,'Task Master'!$A$5:$A$100,0)),""))</f>
        <v>amarja.kawade@petronas.com</v>
      </c>
      <c r="D22" s="36"/>
      <c r="E22" s="36" t="s">
        <v>397</v>
      </c>
      <c r="F22" s="39"/>
      <c r="G22" s="39"/>
      <c r="H22" s="39"/>
      <c r="I22" s="41"/>
      <c r="J22" s="39" t="s">
        <v>398</v>
      </c>
      <c r="K22" s="39"/>
      <c r="L22" s="39"/>
      <c r="M22" s="39" t="s">
        <v>399</v>
      </c>
      <c r="N22" s="37" t="e">
        <f ca="1">IF(OR(A22="",B22=""),"",A22=_xludf.MAXIFS($A$5:$A$304,$B$5:$B$304,B22))</f>
        <v>#NAME?</v>
      </c>
    </row>
    <row r="23" spans="1:14">
      <c r="A23" s="38">
        <v>46251</v>
      </c>
      <c r="B23" s="36" t="s">
        <v>208</v>
      </c>
      <c r="C23" s="37" t="str">
        <f>IF(B23="","",IFERROR(INDEX('Task Master'!$K$5:$K$100,MATCH(B23,'Task Master'!$A$5:$A$100,0)),""))</f>
        <v>amarja.kawade@petronas.com</v>
      </c>
      <c r="D23" s="36"/>
      <c r="E23" s="36" t="s">
        <v>397</v>
      </c>
      <c r="F23" s="39"/>
      <c r="G23" s="39"/>
      <c r="H23" s="39"/>
      <c r="I23" s="41"/>
      <c r="J23" s="39" t="s">
        <v>398</v>
      </c>
      <c r="K23" s="39"/>
      <c r="L23" s="39"/>
      <c r="M23" s="39" t="s">
        <v>399</v>
      </c>
      <c r="N23" s="37" t="e">
        <f ca="1">IF(OR(A23="",B23=""),"",A23=_xludf.MAXIFS($A$5:$A$304,$B$5:$B$304,B23))</f>
        <v>#NAME?</v>
      </c>
    </row>
    <row r="24" spans="1:14">
      <c r="A24" s="38">
        <v>46251</v>
      </c>
      <c r="B24" s="36" t="s">
        <v>211</v>
      </c>
      <c r="C24" s="37" t="str">
        <f>IF(B24="","",IFERROR(INDEX('Task Master'!$K$5:$K$100,MATCH(B24,'Task Master'!$A$5:$A$100,0)),""))</f>
        <v>amarja.kawade@petronas.com</v>
      </c>
      <c r="D24" s="36"/>
      <c r="E24" s="36" t="s">
        <v>397</v>
      </c>
      <c r="F24" s="39"/>
      <c r="G24" s="39"/>
      <c r="H24" s="39"/>
      <c r="I24" s="41"/>
      <c r="J24" s="39" t="s">
        <v>398</v>
      </c>
      <c r="K24" s="39"/>
      <c r="L24" s="39"/>
      <c r="M24" s="39" t="s">
        <v>399</v>
      </c>
      <c r="N24" s="37" t="e">
        <f ca="1">IF(OR(A24="",B24=""),"",A24=_xludf.MAXIFS($A$5:$A$304,$B$5:$B$304,B24))</f>
        <v>#NAME?</v>
      </c>
    </row>
    <row r="25" spans="1:14">
      <c r="A25" s="38">
        <v>46251</v>
      </c>
      <c r="B25" s="36" t="s">
        <v>215</v>
      </c>
      <c r="C25" s="37" t="str">
        <f>IF(B25="","",IFERROR(INDEX('Task Master'!$K$5:$K$100,MATCH(B25,'Task Master'!$A$5:$A$100,0)),""))</f>
        <v>amarja.kawade@petronas.com</v>
      </c>
      <c r="D25" s="36"/>
      <c r="E25" s="36" t="s">
        <v>397</v>
      </c>
      <c r="F25" s="39"/>
      <c r="G25" s="39"/>
      <c r="H25" s="39"/>
      <c r="I25" s="41"/>
      <c r="J25" s="39" t="s">
        <v>398</v>
      </c>
      <c r="K25" s="39"/>
      <c r="L25" s="39"/>
      <c r="M25" s="39" t="s">
        <v>399</v>
      </c>
      <c r="N25" s="37" t="e">
        <f ca="1">IF(OR(A25="",B25=""),"",A25=_xludf.MAXIFS($A$5:$A$304,$B$5:$B$304,B25))</f>
        <v>#NAME?</v>
      </c>
    </row>
    <row r="26" spans="1:14">
      <c r="A26" s="38">
        <v>46251</v>
      </c>
      <c r="B26" s="36" t="s">
        <v>218</v>
      </c>
      <c r="C26" s="37" t="str">
        <f>IF(B26="","",IFERROR(INDEX('Task Master'!$K$5:$K$100,MATCH(B26,'Task Master'!$A$5:$A$100,0)),""))</f>
        <v>amarja.kawade@petronas.com</v>
      </c>
      <c r="D26" s="36"/>
      <c r="E26" s="36" t="s">
        <v>397</v>
      </c>
      <c r="F26" s="39"/>
      <c r="G26" s="39"/>
      <c r="H26" s="39"/>
      <c r="I26" s="41"/>
      <c r="J26" s="39" t="s">
        <v>398</v>
      </c>
      <c r="K26" s="39"/>
      <c r="L26" s="39"/>
      <c r="M26" s="39" t="s">
        <v>399</v>
      </c>
      <c r="N26" s="37" t="e">
        <f ca="1">IF(OR(A26="",B26=""),"",A26=_xludf.MAXIFS($A$5:$A$304,$B$5:$B$304,B26))</f>
        <v>#NAME?</v>
      </c>
    </row>
    <row r="27" spans="1:14">
      <c r="A27" s="38">
        <v>46251</v>
      </c>
      <c r="B27" s="36" t="s">
        <v>221</v>
      </c>
      <c r="C27" s="37" t="str">
        <f>IF(B27="","",IFERROR(INDEX('Task Master'!$K$5:$K$100,MATCH(B27,'Task Master'!$A$5:$A$100,0)),""))</f>
        <v>amarja.kawade@petronas.com</v>
      </c>
      <c r="D27" s="36"/>
      <c r="E27" s="36" t="s">
        <v>397</v>
      </c>
      <c r="F27" s="39"/>
      <c r="G27" s="39"/>
      <c r="H27" s="39"/>
      <c r="I27" s="41"/>
      <c r="J27" s="39" t="s">
        <v>398</v>
      </c>
      <c r="K27" s="39"/>
      <c r="L27" s="39"/>
      <c r="M27" s="39" t="s">
        <v>399</v>
      </c>
      <c r="N27" s="37" t="e">
        <f ca="1">IF(OR(A27="",B27=""),"",A27=_xludf.MAXIFS($A$5:$A$304,$B$5:$B$304,B27))</f>
        <v>#NAME?</v>
      </c>
    </row>
    <row r="28" spans="1:14">
      <c r="A28" s="38">
        <v>46251</v>
      </c>
      <c r="B28" s="36" t="s">
        <v>223</v>
      </c>
      <c r="C28" s="37" t="str">
        <f>IF(B28="","",IFERROR(INDEX('Task Master'!$K$5:$K$100,MATCH(B28,'Task Master'!$A$5:$A$100,0)),""))</f>
        <v>raditya.nugraha@petronas.com</v>
      </c>
      <c r="D28" s="36"/>
      <c r="E28" s="36" t="s">
        <v>397</v>
      </c>
      <c r="F28" s="39"/>
      <c r="G28" s="39"/>
      <c r="H28" s="39"/>
      <c r="I28" s="41"/>
      <c r="J28" s="39" t="s">
        <v>398</v>
      </c>
      <c r="K28" s="39"/>
      <c r="L28" s="39"/>
      <c r="M28" s="39" t="s">
        <v>399</v>
      </c>
      <c r="N28" s="37" t="e">
        <f ca="1">IF(OR(A28="",B28=""),"",A28=_xludf.MAXIFS($A$5:$A$304,$B$5:$B$304,B28))</f>
        <v>#NAME?</v>
      </c>
    </row>
    <row r="29" spans="1:14">
      <c r="A29" s="38">
        <v>46251</v>
      </c>
      <c r="B29" s="36" t="s">
        <v>226</v>
      </c>
      <c r="C29" s="37" t="str">
        <f>IF(B29="","",IFERROR(INDEX('Task Master'!$K$5:$K$100,MATCH(B29,'Task Master'!$A$5:$A$100,0)),""))</f>
        <v>raditya.nugraha@petronas.com</v>
      </c>
      <c r="D29" s="36"/>
      <c r="E29" s="36" t="s">
        <v>397</v>
      </c>
      <c r="F29" s="39"/>
      <c r="G29" s="39"/>
      <c r="H29" s="39"/>
      <c r="I29" s="41"/>
      <c r="J29" s="39" t="s">
        <v>398</v>
      </c>
      <c r="K29" s="39"/>
      <c r="L29" s="39"/>
      <c r="M29" s="39" t="s">
        <v>399</v>
      </c>
      <c r="N29" s="37" t="e">
        <f ca="1">IF(OR(A29="",B29=""),"",A29=_xludf.MAXIFS($A$5:$A$304,$B$5:$B$304,B29))</f>
        <v>#NAME?</v>
      </c>
    </row>
    <row r="30" spans="1:14">
      <c r="A30" s="38">
        <v>46251</v>
      </c>
      <c r="B30" s="36" t="s">
        <v>229</v>
      </c>
      <c r="C30" s="37" t="str">
        <f>IF(B30="","",IFERROR(INDEX('Task Master'!$K$5:$K$100,MATCH(B30,'Task Master'!$A$5:$A$100,0)),""))</f>
        <v>abdul.khoir@petronas.com</v>
      </c>
      <c r="D30" s="36"/>
      <c r="E30" s="36" t="s">
        <v>397</v>
      </c>
      <c r="F30" s="39"/>
      <c r="G30" s="39"/>
      <c r="H30" s="39"/>
      <c r="I30" s="41"/>
      <c r="J30" s="39" t="s">
        <v>398</v>
      </c>
      <c r="K30" s="39"/>
      <c r="L30" s="39"/>
      <c r="M30" s="39" t="s">
        <v>399</v>
      </c>
      <c r="N30" s="37" t="e">
        <f ca="1">IF(OR(A30="",B30=""),"",A30=_xludf.MAXIFS($A$5:$A$304,$B$5:$B$304,B30))</f>
        <v>#NAME?</v>
      </c>
    </row>
    <row r="31" spans="1:14">
      <c r="A31" s="38">
        <v>46251</v>
      </c>
      <c r="B31" s="36" t="s">
        <v>231</v>
      </c>
      <c r="C31" s="37" t="str">
        <f>IF(B31="","",IFERROR(INDEX('Task Master'!$K$5:$K$100,MATCH(B31,'Task Master'!$A$5:$A$100,0)),""))</f>
        <v>mardiansyah.rayasa@petronas.com</v>
      </c>
      <c r="D31" s="36"/>
      <c r="E31" s="36" t="s">
        <v>397</v>
      </c>
      <c r="F31" s="39"/>
      <c r="G31" s="39"/>
      <c r="H31" s="39"/>
      <c r="I31" s="41"/>
      <c r="J31" s="39" t="s">
        <v>398</v>
      </c>
      <c r="K31" s="39"/>
      <c r="L31" s="39"/>
      <c r="M31" s="39" t="s">
        <v>399</v>
      </c>
      <c r="N31" s="37" t="e">
        <f ca="1">IF(OR(A31="",B31=""),"",A31=_xludf.MAXIFS($A$5:$A$304,$B$5:$B$304,B31))</f>
        <v>#NAME?</v>
      </c>
    </row>
    <row r="32" spans="1:14">
      <c r="A32" s="38">
        <v>46251</v>
      </c>
      <c r="B32" s="36" t="s">
        <v>234</v>
      </c>
      <c r="C32" s="37" t="str">
        <f>IF(B32="","",IFERROR(INDEX('Task Master'!$K$5:$K$100,MATCH(B32,'Task Master'!$A$5:$A$100,0)),""))</f>
        <v>mardiansyah.rayasa@petronas.com</v>
      </c>
      <c r="D32" s="36"/>
      <c r="E32" s="36" t="s">
        <v>397</v>
      </c>
      <c r="F32" s="39"/>
      <c r="G32" s="39"/>
      <c r="H32" s="39"/>
      <c r="I32" s="41"/>
      <c r="J32" s="39" t="s">
        <v>398</v>
      </c>
      <c r="K32" s="39"/>
      <c r="L32" s="39"/>
      <c r="M32" s="39" t="s">
        <v>399</v>
      </c>
      <c r="N32" s="37" t="e">
        <f ca="1">IF(OR(A32="",B32=""),"",A32=_xludf.MAXIFS($A$5:$A$304,$B$5:$B$304,B32))</f>
        <v>#NAME?</v>
      </c>
    </row>
    <row r="33" spans="1:14">
      <c r="A33" s="38">
        <v>46251</v>
      </c>
      <c r="B33" s="36" t="s">
        <v>238</v>
      </c>
      <c r="C33" s="37" t="str">
        <f>IF(B33="","",IFERROR(INDEX('Task Master'!$K$5:$K$100,MATCH(B33,'Task Master'!$A$5:$A$100,0)),""))</f>
        <v>mardiansyah.rayasa@petronas.com</v>
      </c>
      <c r="D33" s="36"/>
      <c r="E33" s="36" t="s">
        <v>397</v>
      </c>
      <c r="F33" s="39"/>
      <c r="G33" s="39"/>
      <c r="H33" s="39"/>
      <c r="I33" s="41"/>
      <c r="J33" s="39" t="s">
        <v>398</v>
      </c>
      <c r="K33" s="39"/>
      <c r="L33" s="39"/>
      <c r="M33" s="39" t="s">
        <v>399</v>
      </c>
      <c r="N33" s="37" t="e">
        <f ca="1">IF(OR(A33="",B33=""),"",A33=_xludf.MAXIFS($A$5:$A$304,$B$5:$B$304,B33))</f>
        <v>#NAME?</v>
      </c>
    </row>
    <row r="34" spans="1:14">
      <c r="A34" s="38">
        <v>46251</v>
      </c>
      <c r="B34" s="36" t="s">
        <v>241</v>
      </c>
      <c r="C34" s="37" t="str">
        <f>IF(B34="","",IFERROR(INDEX('Task Master'!$K$5:$K$100,MATCH(B34,'Task Master'!$A$5:$A$100,0)),""))</f>
        <v>mardiansyah.rayasa@petronas.com</v>
      </c>
      <c r="D34" s="36"/>
      <c r="E34" s="36" t="s">
        <v>397</v>
      </c>
      <c r="F34" s="39"/>
      <c r="G34" s="39"/>
      <c r="H34" s="39"/>
      <c r="I34" s="41"/>
      <c r="J34" s="39" t="s">
        <v>398</v>
      </c>
      <c r="K34" s="39"/>
      <c r="L34" s="39"/>
      <c r="M34" s="39" t="s">
        <v>399</v>
      </c>
      <c r="N34" s="37" t="e">
        <f ca="1">IF(OR(A34="",B34=""),"",A34=_xludf.MAXIFS($A$5:$A$304,$B$5:$B$304,B34))</f>
        <v>#NAME?</v>
      </c>
    </row>
    <row r="35" spans="1:14">
      <c r="A35" s="38">
        <v>46251</v>
      </c>
      <c r="B35" s="36" t="s">
        <v>243</v>
      </c>
      <c r="C35" s="37" t="str">
        <f>IF(B35="","",IFERROR(INDEX('Task Master'!$K$5:$K$100,MATCH(B35,'Task Master'!$A$5:$A$100,0)),""))</f>
        <v>mardiansyah.rayasa@petronas.com</v>
      </c>
      <c r="D35" s="36"/>
      <c r="E35" s="36" t="s">
        <v>397</v>
      </c>
      <c r="F35" s="39"/>
      <c r="G35" s="39"/>
      <c r="H35" s="39"/>
      <c r="I35" s="41"/>
      <c r="J35" s="39" t="s">
        <v>398</v>
      </c>
      <c r="K35" s="39"/>
      <c r="L35" s="39"/>
      <c r="M35" s="39" t="s">
        <v>399</v>
      </c>
      <c r="N35" s="37" t="e">
        <f ca="1">IF(OR(A35="",B35=""),"",A35=_xludf.MAXIFS($A$5:$A$304,$B$5:$B$304,B35))</f>
        <v>#NAME?</v>
      </c>
    </row>
    <row r="36" spans="1:14">
      <c r="A36" s="38">
        <v>46251</v>
      </c>
      <c r="B36" s="36" t="s">
        <v>246</v>
      </c>
      <c r="C36" s="37" t="str">
        <f>IF(B36="","",IFERROR(INDEX('Task Master'!$K$5:$K$100,MATCH(B36,'Task Master'!$A$5:$A$100,0)),""))</f>
        <v>abdul.khoir@petronas.com</v>
      </c>
      <c r="D36" s="36"/>
      <c r="E36" s="36" t="s">
        <v>397</v>
      </c>
      <c r="F36" s="39"/>
      <c r="G36" s="39"/>
      <c r="H36" s="39"/>
      <c r="I36" s="41"/>
      <c r="J36" s="39" t="s">
        <v>398</v>
      </c>
      <c r="K36" s="39"/>
      <c r="L36" s="39"/>
      <c r="M36" s="39" t="s">
        <v>399</v>
      </c>
      <c r="N36" s="37" t="e">
        <f ca="1">IF(OR(A36="",B36=""),"",A36=_xludf.MAXIFS($A$5:$A$304,$B$5:$B$304,B36))</f>
        <v>#NAME?</v>
      </c>
    </row>
    <row r="37" spans="1:14">
      <c r="A37" s="38">
        <v>46251</v>
      </c>
      <c r="B37" s="36" t="s">
        <v>250</v>
      </c>
      <c r="C37" s="37" t="str">
        <f>IF(B37="","",IFERROR(INDEX('Task Master'!$K$5:$K$100,MATCH(B37,'Task Master'!$A$5:$A$100,0)),""))</f>
        <v>raditya.nugraha@petronas.com</v>
      </c>
      <c r="D37" s="36"/>
      <c r="E37" s="36" t="s">
        <v>397</v>
      </c>
      <c r="F37" s="39"/>
      <c r="G37" s="39"/>
      <c r="H37" s="39"/>
      <c r="I37" s="41"/>
      <c r="J37" s="39" t="s">
        <v>398</v>
      </c>
      <c r="K37" s="39"/>
      <c r="L37" s="39"/>
      <c r="M37" s="39" t="s">
        <v>399</v>
      </c>
      <c r="N37" s="37" t="e">
        <f ca="1">IF(OR(A37="",B37=""),"",A37=_xludf.MAXIFS($A$5:$A$304,$B$5:$B$304,B37))</f>
        <v>#NAME?</v>
      </c>
    </row>
    <row r="38" spans="1:14">
      <c r="A38" s="38">
        <v>46251</v>
      </c>
      <c r="B38" s="36" t="s">
        <v>252</v>
      </c>
      <c r="C38" s="37" t="str">
        <f>IF(B38="","",IFERROR(INDEX('Task Master'!$K$5:$K$100,MATCH(B38,'Task Master'!$A$5:$A$100,0)),""))</f>
        <v>raditya.nugraha@petronas.com</v>
      </c>
      <c r="D38" s="36"/>
      <c r="E38" s="36" t="s">
        <v>397</v>
      </c>
      <c r="F38" s="39"/>
      <c r="G38" s="39"/>
      <c r="H38" s="39"/>
      <c r="I38" s="41"/>
      <c r="J38" s="39" t="s">
        <v>398</v>
      </c>
      <c r="K38" s="39"/>
      <c r="L38" s="39"/>
      <c r="M38" s="39" t="s">
        <v>399</v>
      </c>
      <c r="N38" s="37" t="e">
        <f ca="1">IF(OR(A38="",B38=""),"",A38=_xludf.MAXIFS($A$5:$A$304,$B$5:$B$304,B38))</f>
        <v>#NAME?</v>
      </c>
    </row>
    <row r="39" spans="1:14">
      <c r="A39" s="38">
        <v>46251</v>
      </c>
      <c r="B39" s="36" t="s">
        <v>256</v>
      </c>
      <c r="C39" s="37" t="str">
        <f>IF(B39="","",IFERROR(INDEX('Task Master'!$K$5:$K$100,MATCH(B39,'Task Master'!$A$5:$A$100,0)),""))</f>
        <v>swaminadh.chirakala@petronas.com</v>
      </c>
      <c r="D39" s="36"/>
      <c r="E39" s="36" t="s">
        <v>397</v>
      </c>
      <c r="F39" s="39"/>
      <c r="G39" s="39"/>
      <c r="H39" s="39"/>
      <c r="I39" s="41"/>
      <c r="J39" s="39" t="s">
        <v>398</v>
      </c>
      <c r="K39" s="39"/>
      <c r="L39" s="39"/>
      <c r="M39" s="39" t="s">
        <v>399</v>
      </c>
      <c r="N39" s="37" t="e">
        <f ca="1">IF(OR(A39="",B39=""),"",A39=_xludf.MAXIFS($A$5:$A$304,$B$5:$B$304,B39))</f>
        <v>#NAME?</v>
      </c>
    </row>
    <row r="40" spans="1:14">
      <c r="A40" s="38">
        <v>46251</v>
      </c>
      <c r="B40" s="36" t="s">
        <v>260</v>
      </c>
      <c r="C40" s="37" t="str">
        <f>IF(B40="","",IFERROR(INDEX('Task Master'!$K$5:$K$100,MATCH(B40,'Task Master'!$A$5:$A$100,0)),""))</f>
        <v>swaminadh.chirakala@petronas.com</v>
      </c>
      <c r="D40" s="36"/>
      <c r="E40" s="36" t="s">
        <v>397</v>
      </c>
      <c r="F40" s="39"/>
      <c r="G40" s="39"/>
      <c r="H40" s="39"/>
      <c r="I40" s="41"/>
      <c r="J40" s="39" t="s">
        <v>398</v>
      </c>
      <c r="K40" s="39"/>
      <c r="L40" s="39"/>
      <c r="M40" s="39" t="s">
        <v>399</v>
      </c>
      <c r="N40" s="37" t="e">
        <f ca="1">IF(OR(A40="",B40=""),"",A40=_xludf.MAXIFS($A$5:$A$304,$B$5:$B$304,B40))</f>
        <v>#NAME?</v>
      </c>
    </row>
    <row r="41" spans="1:14">
      <c r="A41" s="38">
        <v>46251</v>
      </c>
      <c r="B41" s="36" t="s">
        <v>263</v>
      </c>
      <c r="C41" s="37" t="str">
        <f>IF(B41="","",IFERROR(INDEX('Task Master'!$K$5:$K$100,MATCH(B41,'Task Master'!$A$5:$A$100,0)),""))</f>
        <v>swaminadh.chirakala@petronas.com</v>
      </c>
      <c r="D41" s="36"/>
      <c r="E41" s="36" t="s">
        <v>397</v>
      </c>
      <c r="F41" s="39"/>
      <c r="G41" s="39"/>
      <c r="H41" s="39"/>
      <c r="I41" s="41"/>
      <c r="J41" s="39" t="s">
        <v>398</v>
      </c>
      <c r="K41" s="39"/>
      <c r="L41" s="39"/>
      <c r="M41" s="39" t="s">
        <v>399</v>
      </c>
      <c r="N41" s="37" t="e">
        <f ca="1">IF(OR(A41="",B41=""),"",A41=_xludf.MAXIFS($A$5:$A$304,$B$5:$B$304,B41))</f>
        <v>#NAME?</v>
      </c>
    </row>
    <row r="42" spans="1:14">
      <c r="A42" s="38">
        <v>46251</v>
      </c>
      <c r="B42" s="36" t="s">
        <v>266</v>
      </c>
      <c r="C42" s="37" t="str">
        <f>IF(B42="","",IFERROR(INDEX('Task Master'!$K$5:$K$100,MATCH(B42,'Task Master'!$A$5:$A$100,0)),""))</f>
        <v>swaminadh.chirakala@petronas.com</v>
      </c>
      <c r="D42" s="36"/>
      <c r="E42" s="36" t="s">
        <v>397</v>
      </c>
      <c r="F42" s="39"/>
      <c r="G42" s="39"/>
      <c r="H42" s="39"/>
      <c r="I42" s="41"/>
      <c r="J42" s="39" t="s">
        <v>398</v>
      </c>
      <c r="K42" s="39"/>
      <c r="L42" s="39"/>
      <c r="M42" s="39" t="s">
        <v>399</v>
      </c>
      <c r="N42" s="37" t="e">
        <f ca="1">IF(OR(A42="",B42=""),"",A42=_xludf.MAXIFS($A$5:$A$304,$B$5:$B$304,B42))</f>
        <v>#NAME?</v>
      </c>
    </row>
    <row r="43" spans="1:14">
      <c r="A43" s="38">
        <v>46251</v>
      </c>
      <c r="B43" s="36" t="s">
        <v>267</v>
      </c>
      <c r="C43" s="37" t="str">
        <f>IF(B43="","",IFERROR(INDEX('Task Master'!$K$5:$K$100,MATCH(B43,'Task Master'!$A$5:$A$100,0)),""))</f>
        <v>swaminadh.chirakala@petronas.com</v>
      </c>
      <c r="D43" s="36"/>
      <c r="E43" s="36" t="s">
        <v>397</v>
      </c>
      <c r="F43" s="39"/>
      <c r="G43" s="39"/>
      <c r="H43" s="39"/>
      <c r="I43" s="41"/>
      <c r="J43" s="39" t="s">
        <v>398</v>
      </c>
      <c r="K43" s="39"/>
      <c r="L43" s="39"/>
      <c r="M43" s="39" t="s">
        <v>399</v>
      </c>
      <c r="N43" s="37" t="e">
        <f ca="1">IF(OR(A43="",B43=""),"",A43=_xludf.MAXIFS($A$5:$A$304,$B$5:$B$304,B43))</f>
        <v>#NAME?</v>
      </c>
    </row>
    <row r="44" spans="1:14">
      <c r="A44" s="38">
        <v>46251</v>
      </c>
      <c r="B44" s="36" t="s">
        <v>270</v>
      </c>
      <c r="C44" s="37" t="str">
        <f>IF(B44="","",IFERROR(INDEX('Task Master'!$K$5:$K$100,MATCH(B44,'Task Master'!$A$5:$A$100,0)),""))</f>
        <v>swaminadh.chirakala@petronas.com</v>
      </c>
      <c r="D44" s="36"/>
      <c r="E44" s="36" t="s">
        <v>397</v>
      </c>
      <c r="F44" s="39"/>
      <c r="G44" s="39"/>
      <c r="H44" s="39"/>
      <c r="I44" s="41"/>
      <c r="J44" s="39" t="s">
        <v>398</v>
      </c>
      <c r="K44" s="39"/>
      <c r="L44" s="39"/>
      <c r="M44" s="39" t="s">
        <v>399</v>
      </c>
      <c r="N44" s="37" t="e">
        <f ca="1">IF(OR(A44="",B44=""),"",A44=_xludf.MAXIFS($A$5:$A$304,$B$5:$B$304,B44))</f>
        <v>#NAME?</v>
      </c>
    </row>
    <row r="45" spans="1:14">
      <c r="A45" s="38">
        <v>46251</v>
      </c>
      <c r="B45" s="36" t="s">
        <v>273</v>
      </c>
      <c r="C45" s="37" t="str">
        <f>IF(B45="","",IFERROR(INDEX('Task Master'!$K$5:$K$100,MATCH(B45,'Task Master'!$A$5:$A$100,0)),""))</f>
        <v>swaminadh.chirakala@petronas.com</v>
      </c>
      <c r="D45" s="36"/>
      <c r="E45" s="36" t="s">
        <v>397</v>
      </c>
      <c r="F45" s="39"/>
      <c r="G45" s="39"/>
      <c r="H45" s="39"/>
      <c r="I45" s="41"/>
      <c r="J45" s="39" t="s">
        <v>398</v>
      </c>
      <c r="K45" s="39"/>
      <c r="L45" s="39"/>
      <c r="M45" s="39" t="s">
        <v>399</v>
      </c>
      <c r="N45" s="37" t="e">
        <f ca="1">IF(OR(A45="",B45=""),"",A45=_xludf.MAXIFS($A$5:$A$304,$B$5:$B$304,B45))</f>
        <v>#NAME?</v>
      </c>
    </row>
    <row r="46" spans="1:14">
      <c r="A46" s="38">
        <v>46251</v>
      </c>
      <c r="B46" s="36" t="s">
        <v>276</v>
      </c>
      <c r="C46" s="37" t="str">
        <f>IF(B46="","",IFERROR(INDEX('Task Master'!$K$5:$K$100,MATCH(B46,'Task Master'!$A$5:$A$100,0)),""))</f>
        <v>swaminadh.chirakala@petronas.com</v>
      </c>
      <c r="D46" s="36"/>
      <c r="E46" s="36" t="s">
        <v>397</v>
      </c>
      <c r="F46" s="39"/>
      <c r="G46" s="39"/>
      <c r="H46" s="39"/>
      <c r="I46" s="41"/>
      <c r="J46" s="39" t="s">
        <v>398</v>
      </c>
      <c r="K46" s="39"/>
      <c r="L46" s="39"/>
      <c r="M46" s="39" t="s">
        <v>399</v>
      </c>
      <c r="N46" s="37" t="e">
        <f ca="1">IF(OR(A46="",B46=""),"",A46=_xludf.MAXIFS($A$5:$A$304,$B$5:$B$304,B46))</f>
        <v>#NAME?</v>
      </c>
    </row>
    <row r="47" spans="1:14">
      <c r="A47" s="38">
        <v>46251</v>
      </c>
      <c r="B47" s="36" t="s">
        <v>277</v>
      </c>
      <c r="C47" s="37" t="str">
        <f>IF(B47="","",IFERROR(INDEX('Task Master'!$K$5:$K$100,MATCH(B47,'Task Master'!$A$5:$A$100,0)),""))</f>
        <v>swaminadh.chirakala@petronas.com</v>
      </c>
      <c r="D47" s="36"/>
      <c r="E47" s="36" t="s">
        <v>397</v>
      </c>
      <c r="F47" s="39"/>
      <c r="G47" s="39"/>
      <c r="H47" s="39"/>
      <c r="I47" s="41"/>
      <c r="J47" s="39" t="s">
        <v>398</v>
      </c>
      <c r="K47" s="39"/>
      <c r="L47" s="39"/>
      <c r="M47" s="39" t="s">
        <v>399</v>
      </c>
      <c r="N47" s="37" t="e">
        <f ca="1">IF(OR(A47="",B47=""),"",A47=_xludf.MAXIFS($A$5:$A$304,$B$5:$B$304,B47))</f>
        <v>#NAME?</v>
      </c>
    </row>
    <row r="48" spans="1:14">
      <c r="A48" s="38">
        <v>46251</v>
      </c>
      <c r="B48" s="36" t="s">
        <v>280</v>
      </c>
      <c r="C48" s="37" t="str">
        <f>IF(B48="","",IFERROR(INDEX('Task Master'!$K$5:$K$100,MATCH(B48,'Task Master'!$A$5:$A$100,0)),""))</f>
        <v>swaminadh.chirakala@petronas.com</v>
      </c>
      <c r="D48" s="36"/>
      <c r="E48" s="36" t="s">
        <v>397</v>
      </c>
      <c r="F48" s="39"/>
      <c r="G48" s="39"/>
      <c r="H48" s="39"/>
      <c r="I48" s="41"/>
      <c r="J48" s="39" t="s">
        <v>398</v>
      </c>
      <c r="K48" s="39"/>
      <c r="L48" s="39"/>
      <c r="M48" s="39" t="s">
        <v>399</v>
      </c>
      <c r="N48" s="37" t="e">
        <f ca="1">IF(OR(A48="",B48=""),"",A48=_xludf.MAXIFS($A$5:$A$304,$B$5:$B$304,B48))</f>
        <v>#NAME?</v>
      </c>
    </row>
    <row r="49" spans="1:14">
      <c r="A49" s="38">
        <v>46251</v>
      </c>
      <c r="B49" s="36" t="s">
        <v>283</v>
      </c>
      <c r="C49" s="37" t="str">
        <f>IF(B49="","",IFERROR(INDEX('Task Master'!$K$5:$K$100,MATCH(B49,'Task Master'!$A$5:$A$100,0)),""))</f>
        <v>swaminadh.chirakala@petronas.com</v>
      </c>
      <c r="D49" s="36"/>
      <c r="E49" s="36" t="s">
        <v>397</v>
      </c>
      <c r="F49" s="39"/>
      <c r="G49" s="39"/>
      <c r="H49" s="39"/>
      <c r="I49" s="41"/>
      <c r="J49" s="39" t="s">
        <v>398</v>
      </c>
      <c r="K49" s="39"/>
      <c r="L49" s="39"/>
      <c r="M49" s="39" t="s">
        <v>399</v>
      </c>
      <c r="N49" s="37" t="e">
        <f ca="1">IF(OR(A49="",B49=""),"",A49=_xludf.MAXIFS($A$5:$A$304,$B$5:$B$304,B49))</f>
        <v>#NAME?</v>
      </c>
    </row>
    <row r="50" spans="1:14">
      <c r="A50" s="38">
        <v>46251</v>
      </c>
      <c r="B50" s="36" t="s">
        <v>284</v>
      </c>
      <c r="C50" s="37" t="str">
        <f>IF(B50="","",IFERROR(INDEX('Task Master'!$K$5:$K$100,MATCH(B50,'Task Master'!$A$5:$A$100,0)),""))</f>
        <v>swaminadh.chirakala@petronas.com</v>
      </c>
      <c r="D50" s="36"/>
      <c r="E50" s="36" t="s">
        <v>397</v>
      </c>
      <c r="F50" s="39"/>
      <c r="G50" s="39"/>
      <c r="H50" s="39"/>
      <c r="I50" s="41"/>
      <c r="J50" s="39" t="s">
        <v>398</v>
      </c>
      <c r="K50" s="39"/>
      <c r="L50" s="39"/>
      <c r="M50" s="39" t="s">
        <v>399</v>
      </c>
      <c r="N50" s="37" t="e">
        <f ca="1">IF(OR(A50="",B50=""),"",A50=_xludf.MAXIFS($A$5:$A$304,$B$5:$B$304,B50))</f>
        <v>#NAME?</v>
      </c>
    </row>
    <row r="51" spans="1:14">
      <c r="A51" s="38">
        <v>46251</v>
      </c>
      <c r="B51" s="36" t="s">
        <v>287</v>
      </c>
      <c r="C51" s="37" t="str">
        <f>IF(B51="","",IFERROR(INDEX('Task Master'!$K$5:$K$100,MATCH(B51,'Task Master'!$A$5:$A$100,0)),""))</f>
        <v>swaminadh.chirakala@petronas.com</v>
      </c>
      <c r="D51" s="36"/>
      <c r="E51" s="36" t="s">
        <v>397</v>
      </c>
      <c r="F51" s="39"/>
      <c r="G51" s="39"/>
      <c r="H51" s="39"/>
      <c r="I51" s="41"/>
      <c r="J51" s="39" t="s">
        <v>398</v>
      </c>
      <c r="K51" s="39"/>
      <c r="L51" s="39"/>
      <c r="M51" s="39" t="s">
        <v>399</v>
      </c>
      <c r="N51" s="37" t="e">
        <f ca="1">IF(OR(A51="",B51=""),"",A51=_xludf.MAXIFS($A$5:$A$304,$B$5:$B$304,B51))</f>
        <v>#NAME?</v>
      </c>
    </row>
    <row r="52" spans="1:14">
      <c r="A52" s="38">
        <v>46251</v>
      </c>
      <c r="B52" s="36" t="s">
        <v>289</v>
      </c>
      <c r="C52" s="37" t="str">
        <f>IF(B52="","",IFERROR(INDEX('Task Master'!$K$5:$K$100,MATCH(B52,'Task Master'!$A$5:$A$100,0)),""))</f>
        <v>swaminadh.chirakala@petronas.com</v>
      </c>
      <c r="D52" s="36"/>
      <c r="E52" s="36" t="s">
        <v>397</v>
      </c>
      <c r="F52" s="39"/>
      <c r="G52" s="39"/>
      <c r="H52" s="39"/>
      <c r="I52" s="41"/>
      <c r="J52" s="39" t="s">
        <v>398</v>
      </c>
      <c r="K52" s="39"/>
      <c r="L52" s="39"/>
      <c r="M52" s="39" t="s">
        <v>399</v>
      </c>
      <c r="N52" s="37" t="e">
        <f ca="1">IF(OR(A52="",B52=""),"",A52=_xludf.MAXIFS($A$5:$A$304,$B$5:$B$304,B52))</f>
        <v>#NAME?</v>
      </c>
    </row>
    <row r="53" spans="1:14">
      <c r="A53" s="38">
        <v>46251</v>
      </c>
      <c r="B53" s="36" t="s">
        <v>290</v>
      </c>
      <c r="C53" s="37" t="str">
        <f>IF(B53="","",IFERROR(INDEX('Task Master'!$K$5:$K$100,MATCH(B53,'Task Master'!$A$5:$A$100,0)),""))</f>
        <v>swaminadh.chirakala@petronas.com</v>
      </c>
      <c r="D53" s="36"/>
      <c r="E53" s="36" t="s">
        <v>397</v>
      </c>
      <c r="F53" s="39"/>
      <c r="G53" s="39"/>
      <c r="H53" s="39"/>
      <c r="I53" s="41"/>
      <c r="J53" s="39" t="s">
        <v>398</v>
      </c>
      <c r="K53" s="39"/>
      <c r="L53" s="39"/>
      <c r="M53" s="39" t="s">
        <v>399</v>
      </c>
      <c r="N53" s="37" t="e">
        <f ca="1">IF(OR(A53="",B53=""),"",A53=_xludf.MAXIFS($A$5:$A$304,$B$5:$B$304,B53))</f>
        <v>#NAME?</v>
      </c>
    </row>
    <row r="54" spans="1:14">
      <c r="A54" s="38">
        <v>46251</v>
      </c>
      <c r="B54" s="36" t="s">
        <v>293</v>
      </c>
      <c r="C54" s="37" t="str">
        <f>IF(B54="","",IFERROR(INDEX('Task Master'!$K$5:$K$100,MATCH(B54,'Task Master'!$A$5:$A$100,0)),""))</f>
        <v>swaminadh.chirakala@petronas.com</v>
      </c>
      <c r="D54" s="36"/>
      <c r="E54" s="36" t="s">
        <v>397</v>
      </c>
      <c r="F54" s="39"/>
      <c r="G54" s="39"/>
      <c r="H54" s="39"/>
      <c r="I54" s="41"/>
      <c r="J54" s="39" t="s">
        <v>398</v>
      </c>
      <c r="K54" s="39"/>
      <c r="L54" s="39"/>
      <c r="M54" s="39" t="s">
        <v>399</v>
      </c>
      <c r="N54" s="37" t="e">
        <f ca="1">IF(OR(A54="",B54=""),"",A54=_xludf.MAXIFS($A$5:$A$304,$B$5:$B$304,B54))</f>
        <v>#NAME?</v>
      </c>
    </row>
    <row r="55" spans="1:14">
      <c r="A55" s="38">
        <v>46251</v>
      </c>
      <c r="B55" s="36" t="s">
        <v>294</v>
      </c>
      <c r="C55" s="37" t="str">
        <f>IF(B55="","",IFERROR(INDEX('Task Master'!$K$5:$K$100,MATCH(B55,'Task Master'!$A$5:$A$100,0)),""))</f>
        <v>abdul.khoir@petronas.com</v>
      </c>
      <c r="D55" s="36"/>
      <c r="E55" s="36" t="s">
        <v>397</v>
      </c>
      <c r="F55" s="39"/>
      <c r="G55" s="39"/>
      <c r="H55" s="39"/>
      <c r="I55" s="41"/>
      <c r="J55" s="39" t="s">
        <v>398</v>
      </c>
      <c r="K55" s="39"/>
      <c r="L55" s="39"/>
      <c r="M55" s="39" t="s">
        <v>399</v>
      </c>
      <c r="N55" s="37" t="e">
        <f ca="1">IF(OR(A55="",B55=""),"",A55=_xludf.MAXIFS($A$5:$A$304,$B$5:$B$304,B55))</f>
        <v>#NAME?</v>
      </c>
    </row>
    <row r="56" spans="1:14">
      <c r="A56" s="38">
        <v>46251</v>
      </c>
      <c r="B56" s="36" t="s">
        <v>296</v>
      </c>
      <c r="C56" s="37" t="str">
        <f>IF(B56="","",IFERROR(INDEX('Task Master'!$K$5:$K$100,MATCH(B56,'Task Master'!$A$5:$A$100,0)),""))</f>
        <v>arun.karuppiah@petronas.com</v>
      </c>
      <c r="D56" s="36"/>
      <c r="E56" s="36" t="s">
        <v>397</v>
      </c>
      <c r="F56" s="39"/>
      <c r="G56" s="39"/>
      <c r="H56" s="39"/>
      <c r="I56" s="41"/>
      <c r="J56" s="39" t="s">
        <v>398</v>
      </c>
      <c r="K56" s="39"/>
      <c r="L56" s="39"/>
      <c r="M56" s="39" t="s">
        <v>399</v>
      </c>
      <c r="N56" s="37" t="e">
        <f ca="1">IF(OR(A56="",B56=""),"",A56=_xludf.MAXIFS($A$5:$A$304,$B$5:$B$304,B56))</f>
        <v>#NAME?</v>
      </c>
    </row>
    <row r="57" spans="1:14">
      <c r="A57" s="38">
        <v>46251</v>
      </c>
      <c r="B57" s="36" t="s">
        <v>299</v>
      </c>
      <c r="C57" s="37" t="str">
        <f>IF(B57="","",IFERROR(INDEX('Task Master'!$K$5:$K$100,MATCH(B57,'Task Master'!$A$5:$A$100,0)),""))</f>
        <v>raditya.nugraha@petronas.com</v>
      </c>
      <c r="D57" s="36"/>
      <c r="E57" s="36" t="s">
        <v>397</v>
      </c>
      <c r="F57" s="39"/>
      <c r="G57" s="39"/>
      <c r="H57" s="39"/>
      <c r="I57" s="41"/>
      <c r="J57" s="39" t="s">
        <v>398</v>
      </c>
      <c r="K57" s="39"/>
      <c r="L57" s="39"/>
      <c r="M57" s="39" t="s">
        <v>399</v>
      </c>
      <c r="N57" s="37" t="e">
        <f ca="1">IF(OR(A57="",B57=""),"",A57=_xludf.MAXIFS($A$5:$A$304,$B$5:$B$304,B57))</f>
        <v>#NAME?</v>
      </c>
    </row>
    <row r="58" spans="1:14">
      <c r="A58" s="38">
        <v>46251</v>
      </c>
      <c r="B58" s="36" t="s">
        <v>301</v>
      </c>
      <c r="C58" s="37" t="str">
        <f>IF(B58="","",IFERROR(INDEX('Task Master'!$K$5:$K$100,MATCH(B58,'Task Master'!$A$5:$A$100,0)),""))</f>
        <v>arun.karuppiah@petronas.com</v>
      </c>
      <c r="D58" s="36"/>
      <c r="E58" s="36" t="s">
        <v>397</v>
      </c>
      <c r="F58" s="39"/>
      <c r="G58" s="39"/>
      <c r="H58" s="39"/>
      <c r="I58" s="41"/>
      <c r="J58" s="39" t="s">
        <v>398</v>
      </c>
      <c r="K58" s="39"/>
      <c r="L58" s="39"/>
      <c r="M58" s="39" t="s">
        <v>399</v>
      </c>
      <c r="N58" s="37" t="e">
        <f ca="1">IF(OR(A58="",B58=""),"",A58=_xludf.MAXIFS($A$5:$A$304,$B$5:$B$304,B58))</f>
        <v>#NAME?</v>
      </c>
    </row>
    <row r="59" spans="1:14">
      <c r="A59" s="38">
        <v>46251</v>
      </c>
      <c r="B59" s="36" t="s">
        <v>304</v>
      </c>
      <c r="C59" s="37" t="str">
        <f>IF(B59="","",IFERROR(INDEX('Task Master'!$K$5:$K$100,MATCH(B59,'Task Master'!$A$5:$A$100,0)),""))</f>
        <v>arun.karuppiah@petronas.com</v>
      </c>
      <c r="D59" s="36"/>
      <c r="E59" s="36" t="s">
        <v>397</v>
      </c>
      <c r="F59" s="39"/>
      <c r="G59" s="39"/>
      <c r="H59" s="39"/>
      <c r="I59" s="41"/>
      <c r="J59" s="39" t="s">
        <v>398</v>
      </c>
      <c r="K59" s="39"/>
      <c r="L59" s="39"/>
      <c r="M59" s="39" t="s">
        <v>399</v>
      </c>
      <c r="N59" s="37" t="e">
        <f ca="1">IF(OR(A59="",B59=""),"",A59=_xludf.MAXIFS($A$5:$A$304,$B$5:$B$304,B59))</f>
        <v>#NAME?</v>
      </c>
    </row>
    <row r="60" spans="1:14">
      <c r="A60" s="38">
        <v>46251</v>
      </c>
      <c r="B60" s="36" t="s">
        <v>305</v>
      </c>
      <c r="C60" s="37" t="str">
        <f>IF(B60="","",IFERROR(INDEX('Task Master'!$K$5:$K$100,MATCH(B60,'Task Master'!$A$5:$A$100,0)),""))</f>
        <v>arun.karuppiah@petronas.com</v>
      </c>
      <c r="D60" s="36"/>
      <c r="E60" s="36" t="s">
        <v>397</v>
      </c>
      <c r="F60" s="39"/>
      <c r="G60" s="39"/>
      <c r="H60" s="39"/>
      <c r="I60" s="41"/>
      <c r="J60" s="39" t="s">
        <v>398</v>
      </c>
      <c r="K60" s="39"/>
      <c r="L60" s="39"/>
      <c r="M60" s="39" t="s">
        <v>399</v>
      </c>
      <c r="N60" s="37" t="e">
        <f ca="1">IF(OR(A60="",B60=""),"",A60=_xludf.MAXIFS($A$5:$A$304,$B$5:$B$304,B60))</f>
        <v>#NAME?</v>
      </c>
    </row>
    <row r="61" spans="1:14">
      <c r="A61" s="38">
        <v>46251</v>
      </c>
      <c r="B61" s="36" t="s">
        <v>308</v>
      </c>
      <c r="C61" s="37" t="str">
        <f>IF(B61="","",IFERROR(INDEX('Task Master'!$K$5:$K$100,MATCH(B61,'Task Master'!$A$5:$A$100,0)),""))</f>
        <v>abdul.khoir@petronas.com</v>
      </c>
      <c r="D61" s="36"/>
      <c r="E61" s="36" t="s">
        <v>397</v>
      </c>
      <c r="F61" s="39"/>
      <c r="G61" s="39"/>
      <c r="H61" s="39"/>
      <c r="I61" s="41"/>
      <c r="J61" s="39" t="s">
        <v>398</v>
      </c>
      <c r="K61" s="39"/>
      <c r="L61" s="39"/>
      <c r="M61" s="39" t="s">
        <v>399</v>
      </c>
      <c r="N61" s="37" t="e">
        <f ca="1">IF(OR(A61="",B61=""),"",A61=_xludf.MAXIFS($A$5:$A$304,$B$5:$B$304,B61))</f>
        <v>#NAME?</v>
      </c>
    </row>
    <row r="62" spans="1:14">
      <c r="A62" s="38">
        <v>46251</v>
      </c>
      <c r="B62" s="36" t="s">
        <v>311</v>
      </c>
      <c r="C62" s="37" t="str">
        <f>IF(B62="","",IFERROR(INDEX('Task Master'!$K$5:$K$100,MATCH(B62,'Task Master'!$A$5:$A$100,0)),""))</f>
        <v>abdul.khoir@petronas.com</v>
      </c>
      <c r="D62" s="36"/>
      <c r="E62" s="36" t="s">
        <v>397</v>
      </c>
      <c r="F62" s="39"/>
      <c r="G62" s="39"/>
      <c r="H62" s="39"/>
      <c r="I62" s="41"/>
      <c r="J62" s="39" t="s">
        <v>398</v>
      </c>
      <c r="K62" s="39"/>
      <c r="L62" s="39"/>
      <c r="M62" s="39" t="s">
        <v>399</v>
      </c>
      <c r="N62" s="37" t="e">
        <f ca="1">IF(OR(A62="",B62=""),"",A62=_xludf.MAXIFS($A$5:$A$304,$B$5:$B$304,B62))</f>
        <v>#NAME?</v>
      </c>
    </row>
    <row r="63" spans="1:14">
      <c r="A63" s="38">
        <v>46251</v>
      </c>
      <c r="B63" s="36" t="s">
        <v>312</v>
      </c>
      <c r="C63" s="37" t="str">
        <f>IF(B63="","",IFERROR(INDEX('Task Master'!$K$5:$K$100,MATCH(B63,'Task Master'!$A$5:$A$100,0)),""))</f>
        <v>abdul.khoir@petronas.com</v>
      </c>
      <c r="D63" s="36"/>
      <c r="E63" s="36" t="s">
        <v>397</v>
      </c>
      <c r="F63" s="39"/>
      <c r="G63" s="39"/>
      <c r="H63" s="39"/>
      <c r="I63" s="41"/>
      <c r="J63" s="39" t="s">
        <v>398</v>
      </c>
      <c r="K63" s="39"/>
      <c r="L63" s="39"/>
      <c r="M63" s="39" t="s">
        <v>399</v>
      </c>
      <c r="N63" s="37" t="e">
        <f ca="1">IF(OR(A63="",B63=""),"",A63=_xludf.MAXIFS($A$5:$A$304,$B$5:$B$304,B63))</f>
        <v>#NAME?</v>
      </c>
    </row>
    <row r="64" spans="1:14">
      <c r="A64" s="38">
        <v>46251</v>
      </c>
      <c r="B64" s="36" t="s">
        <v>313</v>
      </c>
      <c r="C64" s="37" t="str">
        <f>IF(B64="","",IFERROR(INDEX('Task Master'!$K$5:$K$100,MATCH(B64,'Task Master'!$A$5:$A$100,0)),""))</f>
        <v>abdul.khoir@petronas.com</v>
      </c>
      <c r="D64" s="36"/>
      <c r="E64" s="36" t="s">
        <v>397</v>
      </c>
      <c r="F64" s="39"/>
      <c r="G64" s="39"/>
      <c r="H64" s="39"/>
      <c r="I64" s="41"/>
      <c r="J64" s="39" t="s">
        <v>398</v>
      </c>
      <c r="K64" s="39"/>
      <c r="L64" s="39"/>
      <c r="M64" s="39" t="s">
        <v>399</v>
      </c>
      <c r="N64" s="37" t="e">
        <f ca="1">IF(OR(A64="",B64=""),"",A64=_xludf.MAXIFS($A$5:$A$304,$B$5:$B$304,B64))</f>
        <v>#NAME?</v>
      </c>
    </row>
    <row r="65" spans="1:14">
      <c r="A65" s="38">
        <v>46251</v>
      </c>
      <c r="B65" s="36" t="s">
        <v>315</v>
      </c>
      <c r="C65" s="37" t="str">
        <f>IF(B65="","",IFERROR(INDEX('Task Master'!$K$5:$K$100,MATCH(B65,'Task Master'!$A$5:$A$100,0)),""))</f>
        <v>abdul.khoir@petronas.com</v>
      </c>
      <c r="D65" s="36"/>
      <c r="E65" s="36" t="s">
        <v>397</v>
      </c>
      <c r="F65" s="39"/>
      <c r="G65" s="39"/>
      <c r="H65" s="39"/>
      <c r="I65" s="41"/>
      <c r="J65" s="39" t="s">
        <v>398</v>
      </c>
      <c r="K65" s="39"/>
      <c r="L65" s="39"/>
      <c r="M65" s="39" t="s">
        <v>399</v>
      </c>
      <c r="N65" s="37" t="e">
        <f ca="1">IF(OR(A65="",B65=""),"",A65=_xludf.MAXIFS($A$5:$A$304,$B$5:$B$304,B65))</f>
        <v>#NAME?</v>
      </c>
    </row>
    <row r="66" spans="1:14">
      <c r="A66" s="38">
        <v>46251</v>
      </c>
      <c r="B66" s="36" t="s">
        <v>318</v>
      </c>
      <c r="C66" s="37" t="str">
        <f>IF(B66="","",IFERROR(INDEX('Task Master'!$K$5:$K$100,MATCH(B66,'Task Master'!$A$5:$A$100,0)),""))</f>
        <v>abdul.khoir@petronas.com</v>
      </c>
      <c r="D66" s="36"/>
      <c r="E66" s="36" t="s">
        <v>397</v>
      </c>
      <c r="F66" s="39"/>
      <c r="G66" s="39"/>
      <c r="H66" s="39"/>
      <c r="I66" s="41"/>
      <c r="J66" s="39" t="s">
        <v>398</v>
      </c>
      <c r="K66" s="39"/>
      <c r="L66" s="39"/>
      <c r="M66" s="39" t="s">
        <v>399</v>
      </c>
      <c r="N66" s="37" t="e">
        <f ca="1">IF(OR(A66="",B66=""),"",A66=_xludf.MAXIFS($A$5:$A$304,$B$5:$B$304,B66))</f>
        <v>#NAME?</v>
      </c>
    </row>
    <row r="67" spans="1:14">
      <c r="A67" s="38">
        <v>46251</v>
      </c>
      <c r="B67" s="36" t="s">
        <v>321</v>
      </c>
      <c r="C67" s="37" t="str">
        <f>IF(B67="","",IFERROR(INDEX('Task Master'!$K$5:$K$100,MATCH(B67,'Task Master'!$A$5:$A$100,0)),""))</f>
        <v>abhishek.bhowate@petronas.com</v>
      </c>
      <c r="D67" s="36"/>
      <c r="E67" s="36" t="s">
        <v>397</v>
      </c>
      <c r="F67" s="39"/>
      <c r="G67" s="39"/>
      <c r="H67" s="39"/>
      <c r="I67" s="41"/>
      <c r="J67" s="39" t="s">
        <v>398</v>
      </c>
      <c r="K67" s="39"/>
      <c r="L67" s="39"/>
      <c r="M67" s="39" t="s">
        <v>399</v>
      </c>
      <c r="N67" s="37" t="e">
        <f ca="1">IF(OR(A67="",B67=""),"",A67=_xludf.MAXIFS($A$5:$A$304,$B$5:$B$304,B67))</f>
        <v>#NAME?</v>
      </c>
    </row>
    <row r="68" spans="1:14">
      <c r="A68" s="38">
        <v>46251</v>
      </c>
      <c r="B68" s="36" t="s">
        <v>324</v>
      </c>
      <c r="C68" s="37" t="str">
        <f>IF(B68="","",IFERROR(INDEX('Task Master'!$K$5:$K$100,MATCH(B68,'Task Master'!$A$5:$A$100,0)),""))</f>
        <v>abhishek.bhowate@petronas.com</v>
      </c>
      <c r="D68" s="36"/>
      <c r="E68" s="36" t="s">
        <v>397</v>
      </c>
      <c r="F68" s="39"/>
      <c r="G68" s="39"/>
      <c r="H68" s="39"/>
      <c r="I68" s="41"/>
      <c r="J68" s="39" t="s">
        <v>398</v>
      </c>
      <c r="K68" s="39"/>
      <c r="L68" s="39"/>
      <c r="M68" s="39" t="s">
        <v>399</v>
      </c>
      <c r="N68" s="37" t="e">
        <f ca="1">IF(OR(A68="",B68=""),"",A68=_xludf.MAXIFS($A$5:$A$304,$B$5:$B$304,B68))</f>
        <v>#NAME?</v>
      </c>
    </row>
    <row r="69" spans="1:14">
      <c r="A69" s="38">
        <v>46251</v>
      </c>
      <c r="B69" s="36" t="s">
        <v>327</v>
      </c>
      <c r="C69" s="37" t="str">
        <f>IF(B69="","",IFERROR(INDEX('Task Master'!$K$5:$K$100,MATCH(B69,'Task Master'!$A$5:$A$100,0)),""))</f>
        <v>abhishek.bhowate@petronas.com</v>
      </c>
      <c r="D69" s="36"/>
      <c r="E69" s="36" t="s">
        <v>397</v>
      </c>
      <c r="F69" s="39"/>
      <c r="G69" s="39"/>
      <c r="H69" s="39"/>
      <c r="I69" s="41"/>
      <c r="J69" s="39" t="s">
        <v>398</v>
      </c>
      <c r="K69" s="39"/>
      <c r="L69" s="39"/>
      <c r="M69" s="39" t="s">
        <v>399</v>
      </c>
      <c r="N69" s="37" t="e">
        <f ca="1">IF(OR(A69="",B69=""),"",A69=_xludf.MAXIFS($A$5:$A$304,$B$5:$B$304,B69))</f>
        <v>#NAME?</v>
      </c>
    </row>
    <row r="70" spans="1:14">
      <c r="A70" s="38">
        <v>46251</v>
      </c>
      <c r="B70" s="36" t="s">
        <v>328</v>
      </c>
      <c r="C70" s="37" t="str">
        <f>IF(B70="","",IFERROR(INDEX('Task Master'!$K$5:$K$100,MATCH(B70,'Task Master'!$A$5:$A$100,0)),""))</f>
        <v>amarja.kawade@petronas.com</v>
      </c>
      <c r="D70" s="36"/>
      <c r="E70" s="36" t="s">
        <v>397</v>
      </c>
      <c r="F70" s="39"/>
      <c r="G70" s="39"/>
      <c r="H70" s="39"/>
      <c r="I70" s="41"/>
      <c r="J70" s="39" t="s">
        <v>398</v>
      </c>
      <c r="K70" s="39"/>
      <c r="L70" s="39"/>
      <c r="M70" s="39" t="s">
        <v>399</v>
      </c>
      <c r="N70" s="37" t="e">
        <f ca="1">IF(OR(A70="",B70=""),"",A70=_xludf.MAXIFS($A$5:$A$304,$B$5:$B$304,B70))</f>
        <v>#NAME?</v>
      </c>
    </row>
    <row r="71" spans="1:14">
      <c r="A71" s="38">
        <v>46251</v>
      </c>
      <c r="B71" s="36" t="s">
        <v>331</v>
      </c>
      <c r="C71" s="37" t="str">
        <f>IF(B71="","",IFERROR(INDEX('Task Master'!$K$5:$K$100,MATCH(B71,'Task Master'!$A$5:$A$100,0)),""))</f>
        <v>amarja.kawade@petronas.com</v>
      </c>
      <c r="D71" s="36"/>
      <c r="E71" s="36" t="s">
        <v>397</v>
      </c>
      <c r="F71" s="39"/>
      <c r="G71" s="39"/>
      <c r="H71" s="39"/>
      <c r="I71" s="41"/>
      <c r="J71" s="39" t="s">
        <v>398</v>
      </c>
      <c r="K71" s="39"/>
      <c r="L71" s="39"/>
      <c r="M71" s="39" t="s">
        <v>399</v>
      </c>
      <c r="N71" s="37" t="e">
        <f ca="1">IF(OR(A71="",B71=""),"",A71=_xludf.MAXIFS($A$5:$A$304,$B$5:$B$304,B71))</f>
        <v>#NAME?</v>
      </c>
    </row>
    <row r="72" spans="1:14">
      <c r="A72" s="38">
        <v>46251</v>
      </c>
      <c r="B72" s="36" t="s">
        <v>334</v>
      </c>
      <c r="C72" s="37" t="str">
        <f>IF(B72="","",IFERROR(INDEX('Task Master'!$K$5:$K$100,MATCH(B72,'Task Master'!$A$5:$A$100,0)),""))</f>
        <v>amarja.kawade@petronas.com</v>
      </c>
      <c r="D72" s="36"/>
      <c r="E72" s="36" t="s">
        <v>397</v>
      </c>
      <c r="F72" s="39"/>
      <c r="G72" s="39"/>
      <c r="H72" s="39"/>
      <c r="I72" s="41"/>
      <c r="J72" s="39" t="s">
        <v>398</v>
      </c>
      <c r="K72" s="39"/>
      <c r="L72" s="39"/>
      <c r="M72" s="39" t="s">
        <v>399</v>
      </c>
      <c r="N72" s="37" t="e">
        <f ca="1">IF(OR(A72="",B72=""),"",A72=_xludf.MAXIFS($A$5:$A$304,$B$5:$B$304,B72))</f>
        <v>#NAME?</v>
      </c>
    </row>
    <row r="73" spans="1:14">
      <c r="A73" s="38">
        <v>46251</v>
      </c>
      <c r="B73" s="36" t="s">
        <v>337</v>
      </c>
      <c r="C73" s="37" t="str">
        <f>IF(B73="","",IFERROR(INDEX('Task Master'!$K$5:$K$100,MATCH(B73,'Task Master'!$A$5:$A$100,0)),""))</f>
        <v>arun.karuppiah@petronas.com</v>
      </c>
      <c r="D73" s="36"/>
      <c r="E73" s="36" t="s">
        <v>397</v>
      </c>
      <c r="F73" s="39"/>
      <c r="G73" s="39"/>
      <c r="H73" s="39"/>
      <c r="I73" s="41"/>
      <c r="J73" s="39" t="s">
        <v>398</v>
      </c>
      <c r="K73" s="39"/>
      <c r="L73" s="39"/>
      <c r="M73" s="39" t="s">
        <v>399</v>
      </c>
      <c r="N73" s="37" t="e">
        <f ca="1">IF(OR(A73="",B73=""),"",A73=_xludf.MAXIFS($A$5:$A$304,$B$5:$B$304,B73))</f>
        <v>#NAME?</v>
      </c>
    </row>
    <row r="74" spans="1:14">
      <c r="A74" s="38">
        <v>46251</v>
      </c>
      <c r="B74" s="36" t="s">
        <v>341</v>
      </c>
      <c r="C74" s="37" t="str">
        <f>IF(B74="","",IFERROR(INDEX('Task Master'!$K$5:$K$100,MATCH(B74,'Task Master'!$A$5:$A$100,0)),""))</f>
        <v>arun.karuppiah@petronas.com</v>
      </c>
      <c r="D74" s="36"/>
      <c r="E74" s="36" t="s">
        <v>397</v>
      </c>
      <c r="F74" s="39"/>
      <c r="G74" s="39"/>
      <c r="H74" s="39"/>
      <c r="I74" s="41"/>
      <c r="J74" s="39" t="s">
        <v>398</v>
      </c>
      <c r="K74" s="39"/>
      <c r="L74" s="39"/>
      <c r="M74" s="39" t="s">
        <v>399</v>
      </c>
      <c r="N74" s="37" t="e">
        <f ca="1">IF(OR(A74="",B74=""),"",A74=_xludf.MAXIFS($A$5:$A$304,$B$5:$B$304,B74))</f>
        <v>#NAME?</v>
      </c>
    </row>
    <row r="75" spans="1:14">
      <c r="A75" s="38">
        <v>46251</v>
      </c>
      <c r="B75" s="36" t="s">
        <v>342</v>
      </c>
      <c r="C75" s="37" t="str">
        <f>IF(B75="","",IFERROR(INDEX('Task Master'!$K$5:$K$100,MATCH(B75,'Task Master'!$A$5:$A$100,0)),""))</f>
        <v>k.saktivelu@petronas.com</v>
      </c>
      <c r="D75" s="36"/>
      <c r="E75" s="36" t="s">
        <v>397</v>
      </c>
      <c r="F75" s="39"/>
      <c r="G75" s="39"/>
      <c r="H75" s="39"/>
      <c r="I75" s="41"/>
      <c r="J75" s="39" t="s">
        <v>398</v>
      </c>
      <c r="K75" s="39"/>
      <c r="L75" s="39"/>
      <c r="M75" s="39" t="s">
        <v>399</v>
      </c>
      <c r="N75" s="37" t="e">
        <f ca="1">IF(OR(A75="",B75=""),"",A75=_xludf.MAXIFS($A$5:$A$304,$B$5:$B$304,B75))</f>
        <v>#NAME?</v>
      </c>
    </row>
    <row r="76" spans="1:14">
      <c r="A76" s="38">
        <v>46251</v>
      </c>
      <c r="B76" s="36" t="s">
        <v>345</v>
      </c>
      <c r="C76" s="37" t="str">
        <f>IF(B76="","",IFERROR(INDEX('Task Master'!$K$5:$K$100,MATCH(B76,'Task Master'!$A$5:$A$100,0)),""))</f>
        <v>k.saktivelu@petronas.com</v>
      </c>
      <c r="D76" s="36"/>
      <c r="E76" s="36" t="s">
        <v>397</v>
      </c>
      <c r="F76" s="39"/>
      <c r="G76" s="39"/>
      <c r="H76" s="39"/>
      <c r="I76" s="41"/>
      <c r="J76" s="39" t="s">
        <v>398</v>
      </c>
      <c r="K76" s="39"/>
      <c r="L76" s="39"/>
      <c r="M76" s="39" t="s">
        <v>399</v>
      </c>
      <c r="N76" s="37" t="e">
        <f ca="1">IF(OR(A76="",B76=""),"",A76=_xludf.MAXIFS($A$5:$A$304,$B$5:$B$304,B76))</f>
        <v>#NAME?</v>
      </c>
    </row>
    <row r="77" spans="1:14">
      <c r="A77" s="38">
        <v>46251</v>
      </c>
      <c r="B77" s="36" t="s">
        <v>348</v>
      </c>
      <c r="C77" s="37" t="str">
        <f>IF(B77="","",IFERROR(INDEX('Task Master'!$K$5:$K$100,MATCH(B77,'Task Master'!$A$5:$A$100,0)),""))</f>
        <v>k.saktivelu@petronas.com</v>
      </c>
      <c r="D77" s="36"/>
      <c r="E77" s="36" t="s">
        <v>397</v>
      </c>
      <c r="F77" s="39"/>
      <c r="G77" s="39"/>
      <c r="H77" s="39"/>
      <c r="I77" s="41"/>
      <c r="J77" s="39" t="s">
        <v>398</v>
      </c>
      <c r="K77" s="39"/>
      <c r="L77" s="39"/>
      <c r="M77" s="39" t="s">
        <v>399</v>
      </c>
      <c r="N77" s="37" t="e">
        <f ca="1">IF(OR(A77="",B77=""),"",A77=_xludf.MAXIFS($A$5:$A$304,$B$5:$B$304,B77))</f>
        <v>#NAME?</v>
      </c>
    </row>
    <row r="78" spans="1:14">
      <c r="A78" s="38">
        <v>46251</v>
      </c>
      <c r="B78" s="36" t="s">
        <v>349</v>
      </c>
      <c r="C78" s="37" t="str">
        <f>IF(B78="","",IFERROR(INDEX('Task Master'!$K$5:$K$100,MATCH(B78,'Task Master'!$A$5:$A$100,0)),""))</f>
        <v>k.saktivelu@petronas.com</v>
      </c>
      <c r="D78" s="36"/>
      <c r="E78" s="36" t="s">
        <v>397</v>
      </c>
      <c r="F78" s="39"/>
      <c r="G78" s="39"/>
      <c r="H78" s="39"/>
      <c r="I78" s="41"/>
      <c r="J78" s="39" t="s">
        <v>398</v>
      </c>
      <c r="K78" s="39"/>
      <c r="L78" s="39"/>
      <c r="M78" s="39" t="s">
        <v>399</v>
      </c>
      <c r="N78" s="37" t="e">
        <f ca="1">IF(OR(A78="",B78=""),"",A78=_xludf.MAXIFS($A$5:$A$304,$B$5:$B$304,B78))</f>
        <v>#NAME?</v>
      </c>
    </row>
    <row r="79" spans="1:14">
      <c r="A79" s="38">
        <v>46251</v>
      </c>
      <c r="B79" s="36" t="s">
        <v>350</v>
      </c>
      <c r="C79" s="37" t="str">
        <f>IF(B79="","",IFERROR(INDEX('Task Master'!$K$5:$K$100,MATCH(B79,'Task Master'!$A$5:$A$100,0)),""))</f>
        <v>mardiansyah.rayasa@petronas.com</v>
      </c>
      <c r="D79" s="36"/>
      <c r="E79" s="36" t="s">
        <v>397</v>
      </c>
      <c r="F79" s="39"/>
      <c r="G79" s="39"/>
      <c r="H79" s="39"/>
      <c r="I79" s="41"/>
      <c r="J79" s="39" t="s">
        <v>398</v>
      </c>
      <c r="K79" s="39"/>
      <c r="L79" s="39"/>
      <c r="M79" s="39" t="s">
        <v>399</v>
      </c>
      <c r="N79" s="37" t="e">
        <f ca="1">IF(OR(A79="",B79=""),"",A79=_xludf.MAXIFS($A$5:$A$304,$B$5:$B$304,B79))</f>
        <v>#NAME?</v>
      </c>
    </row>
    <row r="80" spans="1:14">
      <c r="A80" s="38">
        <v>46251</v>
      </c>
      <c r="B80" s="36" t="s">
        <v>353</v>
      </c>
      <c r="C80" s="37" t="str">
        <f>IF(B80="","",IFERROR(INDEX('Task Master'!$K$5:$K$100,MATCH(B80,'Task Master'!$A$5:$A$100,0)),""))</f>
        <v>mardiansyah.rayasa@petronas.com</v>
      </c>
      <c r="D80" s="36"/>
      <c r="E80" s="36" t="s">
        <v>397</v>
      </c>
      <c r="F80" s="39"/>
      <c r="G80" s="39"/>
      <c r="H80" s="39"/>
      <c r="I80" s="41"/>
      <c r="J80" s="39" t="s">
        <v>398</v>
      </c>
      <c r="K80" s="39"/>
      <c r="L80" s="39"/>
      <c r="M80" s="39" t="s">
        <v>399</v>
      </c>
      <c r="N80" s="37" t="e">
        <f ca="1">IF(OR(A80="",B80=""),"",A80=_xludf.MAXIFS($A$5:$A$304,$B$5:$B$304,B80))</f>
        <v>#NAME?</v>
      </c>
    </row>
    <row r="81" spans="1:14">
      <c r="A81" s="38">
        <v>46251</v>
      </c>
      <c r="B81" s="36" t="s">
        <v>356</v>
      </c>
      <c r="C81" s="37" t="str">
        <f>IF(B81="","",IFERROR(INDEX('Task Master'!$K$5:$K$100,MATCH(B81,'Task Master'!$A$5:$A$100,0)),""))</f>
        <v>mardiansyah.rayasa@petronas.com</v>
      </c>
      <c r="D81" s="36"/>
      <c r="E81" s="36" t="s">
        <v>397</v>
      </c>
      <c r="F81" s="39"/>
      <c r="G81" s="39"/>
      <c r="H81" s="39"/>
      <c r="I81" s="41"/>
      <c r="J81" s="39" t="s">
        <v>398</v>
      </c>
      <c r="K81" s="39"/>
      <c r="L81" s="39"/>
      <c r="M81" s="39" t="s">
        <v>399</v>
      </c>
      <c r="N81" s="37" t="e">
        <f ca="1">IF(OR(A81="",B81=""),"",A81=_xludf.MAXIFS($A$5:$A$304,$B$5:$B$304,B81))</f>
        <v>#NAME?</v>
      </c>
    </row>
    <row r="82" spans="1:14">
      <c r="A82" s="38">
        <v>46251</v>
      </c>
      <c r="B82" s="36" t="s">
        <v>359</v>
      </c>
      <c r="C82" s="37" t="str">
        <f>IF(B82="","",IFERROR(INDEX('Task Master'!$K$5:$K$100,MATCH(B82,'Task Master'!$A$5:$A$100,0)),""))</f>
        <v>raditya.nugraha@petronas.com</v>
      </c>
      <c r="D82" s="36"/>
      <c r="E82" s="36" t="s">
        <v>397</v>
      </c>
      <c r="F82" s="39"/>
      <c r="G82" s="39"/>
      <c r="H82" s="39"/>
      <c r="I82" s="41"/>
      <c r="J82" s="39" t="s">
        <v>398</v>
      </c>
      <c r="K82" s="39"/>
      <c r="L82" s="39"/>
      <c r="M82" s="39" t="s">
        <v>399</v>
      </c>
      <c r="N82" s="37" t="e">
        <f ca="1">IF(OR(A82="",B82=""),"",A82=_xludf.MAXIFS($A$5:$A$304,$B$5:$B$304,B82))</f>
        <v>#NAME?</v>
      </c>
    </row>
    <row r="83" spans="1:14">
      <c r="A83" s="38">
        <v>46251</v>
      </c>
      <c r="B83" s="36" t="s">
        <v>362</v>
      </c>
      <c r="C83" s="37" t="str">
        <f>IF(B83="","",IFERROR(INDEX('Task Master'!$K$5:$K$100,MATCH(B83,'Task Master'!$A$5:$A$100,0)),""))</f>
        <v>venkatesh.kalikivayi@petronas.com</v>
      </c>
      <c r="D83" s="36"/>
      <c r="E83" s="36" t="s">
        <v>397</v>
      </c>
      <c r="F83" s="39"/>
      <c r="G83" s="39"/>
      <c r="H83" s="39"/>
      <c r="I83" s="41"/>
      <c r="J83" s="39" t="s">
        <v>398</v>
      </c>
      <c r="K83" s="39"/>
      <c r="L83" s="39"/>
      <c r="M83" s="39" t="s">
        <v>399</v>
      </c>
      <c r="N83" s="37" t="e">
        <f ca="1">IF(OR(A83="",B83=""),"",A83=_xludf.MAXIFS($A$5:$A$304,$B$5:$B$304,B83))</f>
        <v>#NAME?</v>
      </c>
    </row>
    <row r="84" spans="1:14">
      <c r="A84" s="38">
        <v>46251</v>
      </c>
      <c r="B84" s="36" t="s">
        <v>365</v>
      </c>
      <c r="C84" s="37" t="str">
        <f>IF(B84="","",IFERROR(INDEX('Task Master'!$K$5:$K$100,MATCH(B84,'Task Master'!$A$5:$A$100,0)),""))</f>
        <v>venkatesh.kalikivayi@petronas.com</v>
      </c>
      <c r="D84" s="36"/>
      <c r="E84" s="36" t="s">
        <v>397</v>
      </c>
      <c r="F84" s="39"/>
      <c r="G84" s="39"/>
      <c r="H84" s="39"/>
      <c r="I84" s="41"/>
      <c r="J84" s="39" t="s">
        <v>398</v>
      </c>
      <c r="K84" s="39"/>
      <c r="L84" s="39"/>
      <c r="M84" s="39" t="s">
        <v>399</v>
      </c>
      <c r="N84" s="37" t="e">
        <f ca="1">IF(OR(A84="",B84=""),"",A84=_xludf.MAXIFS($A$5:$A$304,$B$5:$B$304,B84))</f>
        <v>#NAME?</v>
      </c>
    </row>
    <row r="85" spans="1:14">
      <c r="A85" s="38">
        <v>46251</v>
      </c>
      <c r="B85" s="36" t="s">
        <v>366</v>
      </c>
      <c r="C85" s="37" t="str">
        <f>IF(B85="","",IFERROR(INDEX('Task Master'!$K$5:$K$100,MATCH(B85,'Task Master'!$A$5:$A$100,0)),""))</f>
        <v>venkatesh.kalikivayi@petronas.com</v>
      </c>
      <c r="D85" s="36"/>
      <c r="E85" s="36" t="s">
        <v>397</v>
      </c>
      <c r="F85" s="39"/>
      <c r="G85" s="39"/>
      <c r="H85" s="39"/>
      <c r="I85" s="41"/>
      <c r="J85" s="39" t="s">
        <v>398</v>
      </c>
      <c r="K85" s="39"/>
      <c r="L85" s="39"/>
      <c r="M85" s="39" t="s">
        <v>399</v>
      </c>
      <c r="N85" s="37" t="e">
        <f ca="1">IF(OR(A85="",B85=""),"",A85=_xludf.MAXIFS($A$5:$A$304,$B$5:$B$304,B85))</f>
        <v>#NAME?</v>
      </c>
    </row>
    <row r="86" spans="1:14">
      <c r="A86" s="38"/>
      <c r="B86" s="36"/>
      <c r="C86" s="37" t="str">
        <f>IF(B86="","",IFERROR(INDEX('Task Master'!$K$5:$K$100,MATCH(B86,'Task Master'!$A$5:$A$100,0)),""))</f>
        <v/>
      </c>
      <c r="D86" s="36"/>
      <c r="E86" s="36"/>
      <c r="F86" s="39"/>
      <c r="G86" s="39"/>
      <c r="H86" s="39"/>
      <c r="I86" s="41"/>
      <c r="J86" s="39"/>
      <c r="K86" s="39"/>
      <c r="L86" s="39"/>
      <c r="M86" s="39"/>
      <c r="N86" s="37" t="str">
        <f>IF(OR(A86="",B86=""),"",A86=_xludf.MAXIFS($A$5:$A$304,$B$5:$B$304,B86))</f>
        <v/>
      </c>
    </row>
    <row r="87" spans="1:14">
      <c r="A87" s="38"/>
      <c r="B87" s="36"/>
      <c r="C87" s="37" t="str">
        <f>IF(B87="","",IFERROR(INDEX('Task Master'!$K$5:$K$100,MATCH(B87,'Task Master'!$A$5:$A$100,0)),""))</f>
        <v/>
      </c>
      <c r="D87" s="36"/>
      <c r="E87" s="36"/>
      <c r="F87" s="39"/>
      <c r="G87" s="39"/>
      <c r="H87" s="39"/>
      <c r="I87" s="41"/>
      <c r="J87" s="39"/>
      <c r="K87" s="39"/>
      <c r="L87" s="39"/>
      <c r="M87" s="39"/>
      <c r="N87" s="37" t="str">
        <f>IF(OR(A87="",B87=""),"",A87=_xludf.MAXIFS($A$5:$A$304,$B$5:$B$304,B87))</f>
        <v/>
      </c>
    </row>
    <row r="88" spans="1:14">
      <c r="A88" s="38"/>
      <c r="B88" s="36"/>
      <c r="C88" s="37" t="str">
        <f>IF(B88="","",IFERROR(INDEX('Task Master'!$K$5:$K$100,MATCH(B88,'Task Master'!$A$5:$A$100,0)),""))</f>
        <v/>
      </c>
      <c r="D88" s="36"/>
      <c r="E88" s="36"/>
      <c r="F88" s="39"/>
      <c r="G88" s="39"/>
      <c r="H88" s="39"/>
      <c r="I88" s="41"/>
      <c r="J88" s="39"/>
      <c r="K88" s="39"/>
      <c r="L88" s="39"/>
      <c r="M88" s="39"/>
      <c r="N88" s="37" t="str">
        <f>IF(OR(A88="",B88=""),"",A88=_xludf.MAXIFS($A$5:$A$304,$B$5:$B$304,B88))</f>
        <v/>
      </c>
    </row>
    <row r="89" spans="1:14">
      <c r="A89" s="38"/>
      <c r="B89" s="36"/>
      <c r="C89" s="37" t="str">
        <f>IF(B89="","",IFERROR(INDEX('Task Master'!$K$5:$K$100,MATCH(B89,'Task Master'!$A$5:$A$100,0)),""))</f>
        <v/>
      </c>
      <c r="D89" s="36"/>
      <c r="E89" s="36"/>
      <c r="F89" s="39"/>
      <c r="G89" s="39"/>
      <c r="H89" s="39"/>
      <c r="I89" s="41"/>
      <c r="J89" s="39"/>
      <c r="K89" s="39"/>
      <c r="L89" s="39"/>
      <c r="M89" s="39"/>
      <c r="N89" s="37" t="str">
        <f>IF(OR(A89="",B89=""),"",A89=_xludf.MAXIFS($A$5:$A$304,$B$5:$B$304,B89))</f>
        <v/>
      </c>
    </row>
    <row r="90" spans="1:14">
      <c r="A90" s="38"/>
      <c r="B90" s="36"/>
      <c r="C90" s="37" t="str">
        <f>IF(B90="","",IFERROR(INDEX('Task Master'!$K$5:$K$100,MATCH(B90,'Task Master'!$A$5:$A$100,0)),""))</f>
        <v/>
      </c>
      <c r="D90" s="36"/>
      <c r="E90" s="36"/>
      <c r="F90" s="39"/>
      <c r="G90" s="39"/>
      <c r="H90" s="39"/>
      <c r="I90" s="41"/>
      <c r="J90" s="39"/>
      <c r="K90" s="39"/>
      <c r="L90" s="39"/>
      <c r="M90" s="39"/>
      <c r="N90" s="37" t="str">
        <f>IF(OR(A90="",B90=""),"",A90=_xludf.MAXIFS($A$5:$A$304,$B$5:$B$304,B90))</f>
        <v/>
      </c>
    </row>
    <row r="91" spans="1:14">
      <c r="A91" s="38"/>
      <c r="B91" s="36"/>
      <c r="C91" s="37" t="str">
        <f>IF(B91="","",IFERROR(INDEX('Task Master'!$K$5:$K$100,MATCH(B91,'Task Master'!$A$5:$A$100,0)),""))</f>
        <v/>
      </c>
      <c r="D91" s="36"/>
      <c r="E91" s="36"/>
      <c r="F91" s="39"/>
      <c r="G91" s="39"/>
      <c r="H91" s="39"/>
      <c r="I91" s="41"/>
      <c r="J91" s="39"/>
      <c r="K91" s="39"/>
      <c r="L91" s="39"/>
      <c r="M91" s="39"/>
      <c r="N91" s="37" t="str">
        <f>IF(OR(A91="",B91=""),"",A91=_xludf.MAXIFS($A$5:$A$304,$B$5:$B$304,B91))</f>
        <v/>
      </c>
    </row>
    <row r="92" spans="1:14">
      <c r="A92" s="38"/>
      <c r="B92" s="36"/>
      <c r="C92" s="37" t="str">
        <f>IF(B92="","",IFERROR(INDEX('Task Master'!$K$5:$K$100,MATCH(B92,'Task Master'!$A$5:$A$100,0)),""))</f>
        <v/>
      </c>
      <c r="D92" s="36"/>
      <c r="E92" s="36"/>
      <c r="F92" s="39"/>
      <c r="G92" s="39"/>
      <c r="H92" s="39"/>
      <c r="I92" s="41"/>
      <c r="J92" s="39"/>
      <c r="K92" s="39"/>
      <c r="L92" s="39"/>
      <c r="M92" s="39"/>
      <c r="N92" s="37" t="str">
        <f>IF(OR(A92="",B92=""),"",A92=_xludf.MAXIFS($A$5:$A$304,$B$5:$B$304,B92))</f>
        <v/>
      </c>
    </row>
    <row r="93" spans="1:14">
      <c r="A93" s="38"/>
      <c r="B93" s="36"/>
      <c r="C93" s="37" t="str">
        <f>IF(B93="","",IFERROR(INDEX('Task Master'!$K$5:$K$100,MATCH(B93,'Task Master'!$A$5:$A$100,0)),""))</f>
        <v/>
      </c>
      <c r="D93" s="36"/>
      <c r="E93" s="36"/>
      <c r="F93" s="39"/>
      <c r="G93" s="39"/>
      <c r="H93" s="39"/>
      <c r="I93" s="41"/>
      <c r="J93" s="39"/>
      <c r="K93" s="39"/>
      <c r="L93" s="39"/>
      <c r="M93" s="39"/>
      <c r="N93" s="37" t="str">
        <f>IF(OR(A93="",B93=""),"",A93=_xludf.MAXIFS($A$5:$A$304,$B$5:$B$304,B93))</f>
        <v/>
      </c>
    </row>
    <row r="94" spans="1:14">
      <c r="A94" s="38"/>
      <c r="B94" s="36"/>
      <c r="C94" s="37" t="str">
        <f>IF(B94="","",IFERROR(INDEX('Task Master'!$K$5:$K$100,MATCH(B94,'Task Master'!$A$5:$A$100,0)),""))</f>
        <v/>
      </c>
      <c r="D94" s="36"/>
      <c r="E94" s="36"/>
      <c r="F94" s="39"/>
      <c r="G94" s="39"/>
      <c r="H94" s="39"/>
      <c r="I94" s="41"/>
      <c r="J94" s="39"/>
      <c r="K94" s="39"/>
      <c r="L94" s="39"/>
      <c r="M94" s="39"/>
      <c r="N94" s="37" t="str">
        <f>IF(OR(A94="",B94=""),"",A94=_xludf.MAXIFS($A$5:$A$304,$B$5:$B$304,B94))</f>
        <v/>
      </c>
    </row>
    <row r="95" spans="1:14">
      <c r="A95" s="38"/>
      <c r="B95" s="36"/>
      <c r="C95" s="37" t="str">
        <f>IF(B95="","",IFERROR(INDEX('Task Master'!$K$5:$K$100,MATCH(B95,'Task Master'!$A$5:$A$100,0)),""))</f>
        <v/>
      </c>
      <c r="D95" s="36"/>
      <c r="E95" s="36"/>
      <c r="F95" s="39"/>
      <c r="G95" s="39"/>
      <c r="H95" s="39"/>
      <c r="I95" s="41"/>
      <c r="J95" s="39"/>
      <c r="K95" s="39"/>
      <c r="L95" s="39"/>
      <c r="M95" s="39"/>
      <c r="N95" s="37" t="str">
        <f>IF(OR(A95="",B95=""),"",A95=_xludf.MAXIFS($A$5:$A$304,$B$5:$B$304,B95))</f>
        <v/>
      </c>
    </row>
    <row r="96" spans="1:14">
      <c r="A96" s="38"/>
      <c r="B96" s="36"/>
      <c r="C96" s="37" t="str">
        <f>IF(B96="","",IFERROR(INDEX('Task Master'!$K$5:$K$100,MATCH(B96,'Task Master'!$A$5:$A$100,0)),""))</f>
        <v/>
      </c>
      <c r="D96" s="36"/>
      <c r="E96" s="36"/>
      <c r="F96" s="39"/>
      <c r="G96" s="39"/>
      <c r="H96" s="39"/>
      <c r="I96" s="41"/>
      <c r="J96" s="39"/>
      <c r="K96" s="39"/>
      <c r="L96" s="39"/>
      <c r="M96" s="39"/>
      <c r="N96" s="37" t="str">
        <f>IF(OR(A96="",B96=""),"",A96=_xludf.MAXIFS($A$5:$A$304,$B$5:$B$304,B96))</f>
        <v/>
      </c>
    </row>
    <row r="97" spans="1:14">
      <c r="A97" s="38"/>
      <c r="B97" s="36"/>
      <c r="C97" s="37" t="str">
        <f>IF(B97="","",IFERROR(INDEX('Task Master'!$K$5:$K$100,MATCH(B97,'Task Master'!$A$5:$A$100,0)),""))</f>
        <v/>
      </c>
      <c r="D97" s="36"/>
      <c r="E97" s="36"/>
      <c r="F97" s="39"/>
      <c r="G97" s="39"/>
      <c r="H97" s="39"/>
      <c r="I97" s="41"/>
      <c r="J97" s="39"/>
      <c r="K97" s="39"/>
      <c r="L97" s="39"/>
      <c r="M97" s="39"/>
      <c r="N97" s="37" t="str">
        <f>IF(OR(A97="",B97=""),"",A97=_xludf.MAXIFS($A$5:$A$304,$B$5:$B$304,B97))</f>
        <v/>
      </c>
    </row>
    <row r="98" spans="1:14">
      <c r="A98" s="38"/>
      <c r="B98" s="36"/>
      <c r="C98" s="37" t="str">
        <f>IF(B98="","",IFERROR(INDEX('Task Master'!$K$5:$K$100,MATCH(B98,'Task Master'!$A$5:$A$100,0)),""))</f>
        <v/>
      </c>
      <c r="D98" s="36"/>
      <c r="E98" s="36"/>
      <c r="F98" s="39"/>
      <c r="G98" s="39"/>
      <c r="H98" s="39"/>
      <c r="I98" s="41"/>
      <c r="J98" s="39"/>
      <c r="K98" s="39"/>
      <c r="L98" s="39"/>
      <c r="M98" s="39"/>
      <c r="N98" s="37" t="str">
        <f>IF(OR(A98="",B98=""),"",A98=_xludf.MAXIFS($A$5:$A$304,$B$5:$B$304,B98))</f>
        <v/>
      </c>
    </row>
    <row r="99" spans="1:14">
      <c r="A99" s="38"/>
      <c r="B99" s="36"/>
      <c r="C99" s="37" t="str">
        <f>IF(B99="","",IFERROR(INDEX('Task Master'!$K$5:$K$100,MATCH(B99,'Task Master'!$A$5:$A$100,0)),""))</f>
        <v/>
      </c>
      <c r="D99" s="36"/>
      <c r="E99" s="36"/>
      <c r="F99" s="39"/>
      <c r="G99" s="39"/>
      <c r="H99" s="39"/>
      <c r="I99" s="41"/>
      <c r="J99" s="39"/>
      <c r="K99" s="39"/>
      <c r="L99" s="39"/>
      <c r="M99" s="39"/>
      <c r="N99" s="37" t="str">
        <f>IF(OR(A99="",B99=""),"",A99=_xludf.MAXIFS($A$5:$A$304,$B$5:$B$304,B99))</f>
        <v/>
      </c>
    </row>
    <row r="100" spans="1:14">
      <c r="A100" s="38"/>
      <c r="B100" s="36"/>
      <c r="C100" s="37" t="str">
        <f>IF(B100="","",IFERROR(INDEX('Task Master'!$K$5:$K$100,MATCH(B100,'Task Master'!$A$5:$A$100,0)),""))</f>
        <v/>
      </c>
      <c r="D100" s="36"/>
      <c r="E100" s="36"/>
      <c r="F100" s="39"/>
      <c r="G100" s="39"/>
      <c r="H100" s="39"/>
      <c r="I100" s="41"/>
      <c r="J100" s="39"/>
      <c r="K100" s="39"/>
      <c r="L100" s="39"/>
      <c r="M100" s="39"/>
      <c r="N100" s="37" t="str">
        <f>IF(OR(A100="",B100=""),"",A100=_xludf.MAXIFS($A$5:$A$304,$B$5:$B$304,B100))</f>
        <v/>
      </c>
    </row>
    <row r="101" spans="1:14">
      <c r="A101" s="38"/>
      <c r="B101" s="36"/>
      <c r="C101" s="37" t="str">
        <f>IF(B101="","",IFERROR(INDEX('Task Master'!$K$5:$K$100,MATCH(B101,'Task Master'!$A$5:$A$100,0)),""))</f>
        <v/>
      </c>
      <c r="D101" s="36"/>
      <c r="E101" s="36"/>
      <c r="F101" s="39"/>
      <c r="G101" s="39"/>
      <c r="H101" s="39"/>
      <c r="I101" s="41"/>
      <c r="J101" s="39"/>
      <c r="K101" s="39"/>
      <c r="L101" s="39"/>
      <c r="M101" s="39"/>
      <c r="N101" s="37" t="str">
        <f>IF(OR(A101="",B101=""),"",A101=_xludf.MAXIFS($A$5:$A$304,$B$5:$B$304,B101))</f>
        <v/>
      </c>
    </row>
    <row r="102" spans="1:14">
      <c r="A102" s="38"/>
      <c r="B102" s="36"/>
      <c r="C102" s="37" t="str">
        <f>IF(B102="","",IFERROR(INDEX('Task Master'!$K$5:$K$100,MATCH(B102,'Task Master'!$A$5:$A$100,0)),""))</f>
        <v/>
      </c>
      <c r="D102" s="36"/>
      <c r="E102" s="36"/>
      <c r="F102" s="39"/>
      <c r="G102" s="39"/>
      <c r="H102" s="39"/>
      <c r="I102" s="41"/>
      <c r="J102" s="39"/>
      <c r="K102" s="39"/>
      <c r="L102" s="39"/>
      <c r="M102" s="39"/>
      <c r="N102" s="37" t="str">
        <f>IF(OR(A102="",B102=""),"",A102=_xludf.MAXIFS($A$5:$A$304,$B$5:$B$304,B102))</f>
        <v/>
      </c>
    </row>
    <row r="103" spans="1:14">
      <c r="A103" s="38"/>
      <c r="B103" s="36"/>
      <c r="C103" s="37" t="str">
        <f>IF(B103="","",IFERROR(INDEX('Task Master'!$K$5:$K$100,MATCH(B103,'Task Master'!$A$5:$A$100,0)),""))</f>
        <v/>
      </c>
      <c r="D103" s="36"/>
      <c r="E103" s="36"/>
      <c r="F103" s="39"/>
      <c r="G103" s="39"/>
      <c r="H103" s="39"/>
      <c r="I103" s="41"/>
      <c r="J103" s="39"/>
      <c r="K103" s="39"/>
      <c r="L103" s="39"/>
      <c r="M103" s="39"/>
      <c r="N103" s="37" t="str">
        <f>IF(OR(A103="",B103=""),"",A103=_xludf.MAXIFS($A$5:$A$304,$B$5:$B$304,B103))</f>
        <v/>
      </c>
    </row>
    <row r="104" spans="1:14">
      <c r="A104" s="38"/>
      <c r="B104" s="36"/>
      <c r="C104" s="37" t="str">
        <f>IF(B104="","",IFERROR(INDEX('Task Master'!$K$5:$K$100,MATCH(B104,'Task Master'!$A$5:$A$100,0)),""))</f>
        <v/>
      </c>
      <c r="D104" s="36"/>
      <c r="E104" s="36"/>
      <c r="F104" s="39"/>
      <c r="G104" s="39"/>
      <c r="H104" s="39"/>
      <c r="I104" s="41"/>
      <c r="J104" s="39"/>
      <c r="K104" s="39"/>
      <c r="L104" s="39"/>
      <c r="M104" s="39"/>
      <c r="N104" s="37" t="str">
        <f>IF(OR(A104="",B104=""),"",A104=_xludf.MAXIFS($A$5:$A$304,$B$5:$B$304,B104))</f>
        <v/>
      </c>
    </row>
    <row r="105" spans="1:14">
      <c r="A105" s="38"/>
      <c r="B105" s="36"/>
      <c r="C105" s="37" t="str">
        <f>IF(B105="","",IFERROR(INDEX('Task Master'!$K$5:$K$100,MATCH(B105,'Task Master'!$A$5:$A$100,0)),""))</f>
        <v/>
      </c>
      <c r="D105" s="36"/>
      <c r="E105" s="36"/>
      <c r="F105" s="39"/>
      <c r="G105" s="39"/>
      <c r="H105" s="39"/>
      <c r="I105" s="41"/>
      <c r="J105" s="39"/>
      <c r="K105" s="39"/>
      <c r="L105" s="39"/>
      <c r="M105" s="39"/>
      <c r="N105" s="37" t="str">
        <f>IF(OR(A105="",B105=""),"",A105=_xludf.MAXIFS($A$5:$A$304,$B$5:$B$304,B105))</f>
        <v/>
      </c>
    </row>
    <row r="106" spans="1:14">
      <c r="A106" s="38"/>
      <c r="B106" s="36"/>
      <c r="C106" s="37" t="str">
        <f>IF(B106="","",IFERROR(INDEX('Task Master'!$K$5:$K$100,MATCH(B106,'Task Master'!$A$5:$A$100,0)),""))</f>
        <v/>
      </c>
      <c r="D106" s="36"/>
      <c r="E106" s="36"/>
      <c r="F106" s="39"/>
      <c r="G106" s="39"/>
      <c r="H106" s="39"/>
      <c r="I106" s="41"/>
      <c r="J106" s="39"/>
      <c r="K106" s="39"/>
      <c r="L106" s="39"/>
      <c r="M106" s="39"/>
      <c r="N106" s="37" t="str">
        <f>IF(OR(A106="",B106=""),"",A106=_xludf.MAXIFS($A$5:$A$304,$B$5:$B$304,B106))</f>
        <v/>
      </c>
    </row>
    <row r="107" spans="1:14">
      <c r="A107" s="38"/>
      <c r="B107" s="36"/>
      <c r="C107" s="37" t="str">
        <f>IF(B107="","",IFERROR(INDEX('Task Master'!$K$5:$K$100,MATCH(B107,'Task Master'!$A$5:$A$100,0)),""))</f>
        <v/>
      </c>
      <c r="D107" s="36"/>
      <c r="E107" s="36"/>
      <c r="F107" s="39"/>
      <c r="G107" s="39"/>
      <c r="H107" s="39"/>
      <c r="I107" s="41"/>
      <c r="J107" s="39"/>
      <c r="K107" s="39"/>
      <c r="L107" s="39"/>
      <c r="M107" s="39"/>
      <c r="N107" s="37" t="str">
        <f>IF(OR(A107="",B107=""),"",A107=_xludf.MAXIFS($A$5:$A$304,$B$5:$B$304,B107))</f>
        <v/>
      </c>
    </row>
    <row r="108" spans="1:14">
      <c r="A108" s="38"/>
      <c r="B108" s="36"/>
      <c r="C108" s="37" t="str">
        <f>IF(B108="","",IFERROR(INDEX('Task Master'!$K$5:$K$100,MATCH(B108,'Task Master'!$A$5:$A$100,0)),""))</f>
        <v/>
      </c>
      <c r="D108" s="36"/>
      <c r="E108" s="36"/>
      <c r="F108" s="39"/>
      <c r="G108" s="39"/>
      <c r="H108" s="39"/>
      <c r="I108" s="41"/>
      <c r="J108" s="39"/>
      <c r="K108" s="39"/>
      <c r="L108" s="39"/>
      <c r="M108" s="39"/>
      <c r="N108" s="37" t="str">
        <f>IF(OR(A108="",B108=""),"",A108=_xludf.MAXIFS($A$5:$A$304,$B$5:$B$304,B108))</f>
        <v/>
      </c>
    </row>
    <row r="109" spans="1:14">
      <c r="A109" s="38"/>
      <c r="B109" s="36"/>
      <c r="C109" s="37" t="str">
        <f>IF(B109="","",IFERROR(INDEX('Task Master'!$K$5:$K$100,MATCH(B109,'Task Master'!$A$5:$A$100,0)),""))</f>
        <v/>
      </c>
      <c r="D109" s="36"/>
      <c r="E109" s="36"/>
      <c r="F109" s="39"/>
      <c r="G109" s="39"/>
      <c r="H109" s="39"/>
      <c r="I109" s="41"/>
      <c r="J109" s="39"/>
      <c r="K109" s="39"/>
      <c r="L109" s="39"/>
      <c r="M109" s="39"/>
      <c r="N109" s="37" t="str">
        <f>IF(OR(A109="",B109=""),"",A109=_xludf.MAXIFS($A$5:$A$304,$B$5:$B$304,B109))</f>
        <v/>
      </c>
    </row>
    <row r="110" spans="1:14">
      <c r="A110" s="38"/>
      <c r="B110" s="36"/>
      <c r="C110" s="37" t="str">
        <f>IF(B110="","",IFERROR(INDEX('Task Master'!$K$5:$K$100,MATCH(B110,'Task Master'!$A$5:$A$100,0)),""))</f>
        <v/>
      </c>
      <c r="D110" s="36"/>
      <c r="E110" s="36"/>
      <c r="F110" s="39"/>
      <c r="G110" s="39"/>
      <c r="H110" s="39"/>
      <c r="I110" s="41"/>
      <c r="J110" s="39"/>
      <c r="K110" s="39"/>
      <c r="L110" s="39"/>
      <c r="M110" s="39"/>
      <c r="N110" s="37" t="str">
        <f>IF(OR(A110="",B110=""),"",A110=_xludf.MAXIFS($A$5:$A$304,$B$5:$B$304,B110))</f>
        <v/>
      </c>
    </row>
    <row r="111" spans="1:14">
      <c r="A111" s="38"/>
      <c r="B111" s="36"/>
      <c r="C111" s="37" t="str">
        <f>IF(B111="","",IFERROR(INDEX('Task Master'!$K$5:$K$100,MATCH(B111,'Task Master'!$A$5:$A$100,0)),""))</f>
        <v/>
      </c>
      <c r="D111" s="36"/>
      <c r="E111" s="36"/>
      <c r="F111" s="39"/>
      <c r="G111" s="39"/>
      <c r="H111" s="39"/>
      <c r="I111" s="41"/>
      <c r="J111" s="39"/>
      <c r="K111" s="39"/>
      <c r="L111" s="39"/>
      <c r="M111" s="39"/>
      <c r="N111" s="37" t="str">
        <f>IF(OR(A111="",B111=""),"",A111=_xludf.MAXIFS($A$5:$A$304,$B$5:$B$304,B111))</f>
        <v/>
      </c>
    </row>
    <row r="112" spans="1:14">
      <c r="A112" s="38"/>
      <c r="B112" s="36"/>
      <c r="C112" s="37" t="str">
        <f>IF(B112="","",IFERROR(INDEX('Task Master'!$K$5:$K$100,MATCH(B112,'Task Master'!$A$5:$A$100,0)),""))</f>
        <v/>
      </c>
      <c r="D112" s="36"/>
      <c r="E112" s="36"/>
      <c r="F112" s="39"/>
      <c r="G112" s="39"/>
      <c r="H112" s="39"/>
      <c r="I112" s="41"/>
      <c r="J112" s="39"/>
      <c r="K112" s="39"/>
      <c r="L112" s="39"/>
      <c r="M112" s="39"/>
      <c r="N112" s="37" t="str">
        <f>IF(OR(A112="",B112=""),"",A112=_xludf.MAXIFS($A$5:$A$304,$B$5:$B$304,B112))</f>
        <v/>
      </c>
    </row>
    <row r="113" spans="1:14">
      <c r="A113" s="38"/>
      <c r="B113" s="36"/>
      <c r="C113" s="37" t="str">
        <f>IF(B113="","",IFERROR(INDEX('Task Master'!$K$5:$K$100,MATCH(B113,'Task Master'!$A$5:$A$100,0)),""))</f>
        <v/>
      </c>
      <c r="D113" s="36"/>
      <c r="E113" s="36"/>
      <c r="F113" s="39"/>
      <c r="G113" s="39"/>
      <c r="H113" s="39"/>
      <c r="I113" s="41"/>
      <c r="J113" s="39"/>
      <c r="K113" s="39"/>
      <c r="L113" s="39"/>
      <c r="M113" s="39"/>
      <c r="N113" s="37" t="str">
        <f>IF(OR(A113="",B113=""),"",A113=_xludf.MAXIFS($A$5:$A$304,$B$5:$B$304,B113))</f>
        <v/>
      </c>
    </row>
    <row r="114" spans="1:14">
      <c r="A114" s="38"/>
      <c r="B114" s="36"/>
      <c r="C114" s="37" t="str">
        <f>IF(B114="","",IFERROR(INDEX('Task Master'!$K$5:$K$100,MATCH(B114,'Task Master'!$A$5:$A$100,0)),""))</f>
        <v/>
      </c>
      <c r="D114" s="36"/>
      <c r="E114" s="36"/>
      <c r="F114" s="39"/>
      <c r="G114" s="39"/>
      <c r="H114" s="39"/>
      <c r="I114" s="41"/>
      <c r="J114" s="39"/>
      <c r="K114" s="39"/>
      <c r="L114" s="39"/>
      <c r="M114" s="39"/>
      <c r="N114" s="37" t="str">
        <f>IF(OR(A114="",B114=""),"",A114=_xludf.MAXIFS($A$5:$A$304,$B$5:$B$304,B114))</f>
        <v/>
      </c>
    </row>
    <row r="115" spans="1:14">
      <c r="A115" s="38"/>
      <c r="B115" s="36"/>
      <c r="C115" s="37" t="str">
        <f>IF(B115="","",IFERROR(INDEX('Task Master'!$K$5:$K$100,MATCH(B115,'Task Master'!$A$5:$A$100,0)),""))</f>
        <v/>
      </c>
      <c r="D115" s="36"/>
      <c r="E115" s="36"/>
      <c r="F115" s="39"/>
      <c r="G115" s="39"/>
      <c r="H115" s="39"/>
      <c r="I115" s="41"/>
      <c r="J115" s="39"/>
      <c r="K115" s="39"/>
      <c r="L115" s="39"/>
      <c r="M115" s="39"/>
      <c r="N115" s="37" t="str">
        <f>IF(OR(A115="",B115=""),"",A115=_xludf.MAXIFS($A$5:$A$304,$B$5:$B$304,B115))</f>
        <v/>
      </c>
    </row>
    <row r="116" spans="1:14">
      <c r="A116" s="38"/>
      <c r="B116" s="36"/>
      <c r="C116" s="37" t="str">
        <f>IF(B116="","",IFERROR(INDEX('Task Master'!$K$5:$K$100,MATCH(B116,'Task Master'!$A$5:$A$100,0)),""))</f>
        <v/>
      </c>
      <c r="D116" s="36"/>
      <c r="E116" s="36"/>
      <c r="F116" s="39"/>
      <c r="G116" s="39"/>
      <c r="H116" s="39"/>
      <c r="I116" s="41"/>
      <c r="J116" s="39"/>
      <c r="K116" s="39"/>
      <c r="L116" s="39"/>
      <c r="M116" s="39"/>
      <c r="N116" s="37" t="str">
        <f>IF(OR(A116="",B116=""),"",A116=_xludf.MAXIFS($A$5:$A$304,$B$5:$B$304,B116))</f>
        <v/>
      </c>
    </row>
    <row r="117" spans="1:14">
      <c r="A117" s="38"/>
      <c r="B117" s="36"/>
      <c r="C117" s="37" t="str">
        <f>IF(B117="","",IFERROR(INDEX('Task Master'!$K$5:$K$100,MATCH(B117,'Task Master'!$A$5:$A$100,0)),""))</f>
        <v/>
      </c>
      <c r="D117" s="36"/>
      <c r="E117" s="36"/>
      <c r="F117" s="39"/>
      <c r="G117" s="39"/>
      <c r="H117" s="39"/>
      <c r="I117" s="41"/>
      <c r="J117" s="39"/>
      <c r="K117" s="39"/>
      <c r="L117" s="39"/>
      <c r="M117" s="39"/>
      <c r="N117" s="37" t="str">
        <f>IF(OR(A117="",B117=""),"",A117=_xludf.MAXIFS($A$5:$A$304,$B$5:$B$304,B117))</f>
        <v/>
      </c>
    </row>
    <row r="118" spans="1:14">
      <c r="A118" s="38"/>
      <c r="B118" s="36"/>
      <c r="C118" s="37" t="str">
        <f>IF(B118="","",IFERROR(INDEX('Task Master'!$K$5:$K$100,MATCH(B118,'Task Master'!$A$5:$A$100,0)),""))</f>
        <v/>
      </c>
      <c r="D118" s="36"/>
      <c r="E118" s="36"/>
      <c r="F118" s="39"/>
      <c r="G118" s="39"/>
      <c r="H118" s="39"/>
      <c r="I118" s="41"/>
      <c r="J118" s="39"/>
      <c r="K118" s="39"/>
      <c r="L118" s="39"/>
      <c r="M118" s="39"/>
      <c r="N118" s="37" t="str">
        <f>IF(OR(A118="",B118=""),"",A118=_xludf.MAXIFS($A$5:$A$304,$B$5:$B$304,B118))</f>
        <v/>
      </c>
    </row>
    <row r="119" spans="1:14">
      <c r="A119" s="38"/>
      <c r="B119" s="36"/>
      <c r="C119" s="37" t="str">
        <f>IF(B119="","",IFERROR(INDEX('Task Master'!$K$5:$K$100,MATCH(B119,'Task Master'!$A$5:$A$100,0)),""))</f>
        <v/>
      </c>
      <c r="D119" s="36"/>
      <c r="E119" s="36"/>
      <c r="F119" s="39"/>
      <c r="G119" s="39"/>
      <c r="H119" s="39"/>
      <c r="I119" s="41"/>
      <c r="J119" s="39"/>
      <c r="K119" s="39"/>
      <c r="L119" s="39"/>
      <c r="M119" s="39"/>
      <c r="N119" s="37" t="str">
        <f>IF(OR(A119="",B119=""),"",A119=_xludf.MAXIFS($A$5:$A$304,$B$5:$B$304,B119))</f>
        <v/>
      </c>
    </row>
    <row r="120" spans="1:14">
      <c r="A120" s="38"/>
      <c r="B120" s="36"/>
      <c r="C120" s="37" t="str">
        <f>IF(B120="","",IFERROR(INDEX('Task Master'!$K$5:$K$100,MATCH(B120,'Task Master'!$A$5:$A$100,0)),""))</f>
        <v/>
      </c>
      <c r="D120" s="36"/>
      <c r="E120" s="36"/>
      <c r="F120" s="39"/>
      <c r="G120" s="39"/>
      <c r="H120" s="39"/>
      <c r="I120" s="41"/>
      <c r="J120" s="39"/>
      <c r="K120" s="39"/>
      <c r="L120" s="39"/>
      <c r="M120" s="39"/>
      <c r="N120" s="37" t="str">
        <f>IF(OR(A120="",B120=""),"",A120=_xludf.MAXIFS($A$5:$A$304,$B$5:$B$304,B120))</f>
        <v/>
      </c>
    </row>
    <row r="121" spans="1:14">
      <c r="A121" s="38"/>
      <c r="B121" s="36"/>
      <c r="C121" s="37" t="str">
        <f>IF(B121="","",IFERROR(INDEX('Task Master'!$K$5:$K$100,MATCH(B121,'Task Master'!$A$5:$A$100,0)),""))</f>
        <v/>
      </c>
      <c r="D121" s="36"/>
      <c r="E121" s="36"/>
      <c r="F121" s="39"/>
      <c r="G121" s="39"/>
      <c r="H121" s="39"/>
      <c r="I121" s="41"/>
      <c r="J121" s="39"/>
      <c r="K121" s="39"/>
      <c r="L121" s="39"/>
      <c r="M121" s="39"/>
      <c r="N121" s="37" t="str">
        <f>IF(OR(A121="",B121=""),"",A121=_xludf.MAXIFS($A$5:$A$304,$B$5:$B$304,B121))</f>
        <v/>
      </c>
    </row>
    <row r="122" spans="1:14">
      <c r="A122" s="38"/>
      <c r="B122" s="36"/>
      <c r="C122" s="37" t="str">
        <f>IF(B122="","",IFERROR(INDEX('Task Master'!$K$5:$K$100,MATCH(B122,'Task Master'!$A$5:$A$100,0)),""))</f>
        <v/>
      </c>
      <c r="D122" s="36"/>
      <c r="E122" s="36"/>
      <c r="F122" s="39"/>
      <c r="G122" s="39"/>
      <c r="H122" s="39"/>
      <c r="I122" s="41"/>
      <c r="J122" s="39"/>
      <c r="K122" s="39"/>
      <c r="L122" s="39"/>
      <c r="M122" s="39"/>
      <c r="N122" s="37" t="str">
        <f>IF(OR(A122="",B122=""),"",A122=_xludf.MAXIFS($A$5:$A$304,$B$5:$B$304,B122))</f>
        <v/>
      </c>
    </row>
    <row r="123" spans="1:14">
      <c r="A123" s="38"/>
      <c r="B123" s="36"/>
      <c r="C123" s="37" t="str">
        <f>IF(B123="","",IFERROR(INDEX('Task Master'!$K$5:$K$100,MATCH(B123,'Task Master'!$A$5:$A$100,0)),""))</f>
        <v/>
      </c>
      <c r="D123" s="36"/>
      <c r="E123" s="36"/>
      <c r="F123" s="39"/>
      <c r="G123" s="39"/>
      <c r="H123" s="39"/>
      <c r="I123" s="41"/>
      <c r="J123" s="39"/>
      <c r="K123" s="39"/>
      <c r="L123" s="39"/>
      <c r="M123" s="39"/>
      <c r="N123" s="37" t="str">
        <f>IF(OR(A123="",B123=""),"",A123=_xludf.MAXIFS($A$5:$A$304,$B$5:$B$304,B123))</f>
        <v/>
      </c>
    </row>
    <row r="124" spans="1:14">
      <c r="A124" s="38"/>
      <c r="B124" s="36"/>
      <c r="C124" s="37" t="str">
        <f>IF(B124="","",IFERROR(INDEX('Task Master'!$K$5:$K$100,MATCH(B124,'Task Master'!$A$5:$A$100,0)),""))</f>
        <v/>
      </c>
      <c r="D124" s="36"/>
      <c r="E124" s="36"/>
      <c r="F124" s="39"/>
      <c r="G124" s="39"/>
      <c r="H124" s="39"/>
      <c r="I124" s="41"/>
      <c r="J124" s="39"/>
      <c r="K124" s="39"/>
      <c r="L124" s="39"/>
      <c r="M124" s="39"/>
      <c r="N124" s="37" t="str">
        <f>IF(OR(A124="",B124=""),"",A124=_xludf.MAXIFS($A$5:$A$304,$B$5:$B$304,B124))</f>
        <v/>
      </c>
    </row>
    <row r="125" spans="1:14">
      <c r="A125" s="38"/>
      <c r="B125" s="36"/>
      <c r="C125" s="37" t="str">
        <f>IF(B125="","",IFERROR(INDEX('Task Master'!$K$5:$K$100,MATCH(B125,'Task Master'!$A$5:$A$100,0)),""))</f>
        <v/>
      </c>
      <c r="D125" s="36"/>
      <c r="E125" s="36"/>
      <c r="F125" s="39"/>
      <c r="G125" s="39"/>
      <c r="H125" s="39"/>
      <c r="I125" s="41"/>
      <c r="J125" s="39"/>
      <c r="K125" s="39"/>
      <c r="L125" s="39"/>
      <c r="M125" s="39"/>
      <c r="N125" s="37" t="str">
        <f>IF(OR(A125="",B125=""),"",A125=_xludf.MAXIFS($A$5:$A$304,$B$5:$B$304,B125))</f>
        <v/>
      </c>
    </row>
    <row r="126" spans="1:14">
      <c r="A126" s="38"/>
      <c r="B126" s="36"/>
      <c r="C126" s="37" t="str">
        <f>IF(B126="","",IFERROR(INDEX('Task Master'!$K$5:$K$100,MATCH(B126,'Task Master'!$A$5:$A$100,0)),""))</f>
        <v/>
      </c>
      <c r="D126" s="36"/>
      <c r="E126" s="36"/>
      <c r="F126" s="39"/>
      <c r="G126" s="39"/>
      <c r="H126" s="39"/>
      <c r="I126" s="41"/>
      <c r="J126" s="39"/>
      <c r="K126" s="39"/>
      <c r="L126" s="39"/>
      <c r="M126" s="39"/>
      <c r="N126" s="37" t="str">
        <f>IF(OR(A126="",B126=""),"",A126=_xludf.MAXIFS($A$5:$A$304,$B$5:$B$304,B126))</f>
        <v/>
      </c>
    </row>
    <row r="127" spans="1:14">
      <c r="A127" s="38"/>
      <c r="B127" s="36"/>
      <c r="C127" s="37" t="str">
        <f>IF(B127="","",IFERROR(INDEX('Task Master'!$K$5:$K$100,MATCH(B127,'Task Master'!$A$5:$A$100,0)),""))</f>
        <v/>
      </c>
      <c r="D127" s="36"/>
      <c r="E127" s="36"/>
      <c r="F127" s="39"/>
      <c r="G127" s="39"/>
      <c r="H127" s="39"/>
      <c r="I127" s="41"/>
      <c r="J127" s="39"/>
      <c r="K127" s="39"/>
      <c r="L127" s="39"/>
      <c r="M127" s="39"/>
      <c r="N127" s="37" t="str">
        <f>IF(OR(A127="",B127=""),"",A127=_xludf.MAXIFS($A$5:$A$304,$B$5:$B$304,B127))</f>
        <v/>
      </c>
    </row>
    <row r="128" spans="1:14">
      <c r="A128" s="38"/>
      <c r="B128" s="36"/>
      <c r="C128" s="37" t="str">
        <f>IF(B128="","",IFERROR(INDEX('Task Master'!$K$5:$K$100,MATCH(B128,'Task Master'!$A$5:$A$100,0)),""))</f>
        <v/>
      </c>
      <c r="D128" s="36"/>
      <c r="E128" s="36"/>
      <c r="F128" s="39"/>
      <c r="G128" s="39"/>
      <c r="H128" s="39"/>
      <c r="I128" s="41"/>
      <c r="J128" s="39"/>
      <c r="K128" s="39"/>
      <c r="L128" s="39"/>
      <c r="M128" s="39"/>
      <c r="N128" s="37" t="str">
        <f>IF(OR(A128="",B128=""),"",A128=_xludf.MAXIFS($A$5:$A$304,$B$5:$B$304,B128))</f>
        <v/>
      </c>
    </row>
    <row r="129" spans="1:14">
      <c r="A129" s="38"/>
      <c r="B129" s="36"/>
      <c r="C129" s="37" t="str">
        <f>IF(B129="","",IFERROR(INDEX('Task Master'!$K$5:$K$100,MATCH(B129,'Task Master'!$A$5:$A$100,0)),""))</f>
        <v/>
      </c>
      <c r="D129" s="36"/>
      <c r="E129" s="36"/>
      <c r="F129" s="39"/>
      <c r="G129" s="39"/>
      <c r="H129" s="39"/>
      <c r="I129" s="41"/>
      <c r="J129" s="39"/>
      <c r="K129" s="39"/>
      <c r="L129" s="39"/>
      <c r="M129" s="39"/>
      <c r="N129" s="37" t="str">
        <f>IF(OR(A129="",B129=""),"",A129=_xludf.MAXIFS($A$5:$A$304,$B$5:$B$304,B129))</f>
        <v/>
      </c>
    </row>
    <row r="130" spans="1:14">
      <c r="A130" s="38"/>
      <c r="B130" s="36"/>
      <c r="C130" s="37" t="str">
        <f>IF(B130="","",IFERROR(INDEX('Task Master'!$K$5:$K$100,MATCH(B130,'Task Master'!$A$5:$A$100,0)),""))</f>
        <v/>
      </c>
      <c r="D130" s="36"/>
      <c r="E130" s="36"/>
      <c r="F130" s="39"/>
      <c r="G130" s="39"/>
      <c r="H130" s="39"/>
      <c r="I130" s="41"/>
      <c r="J130" s="39"/>
      <c r="K130" s="39"/>
      <c r="L130" s="39"/>
      <c r="M130" s="39"/>
      <c r="N130" s="37" t="str">
        <f>IF(OR(A130="",B130=""),"",A130=_xludf.MAXIFS($A$5:$A$304,$B$5:$B$304,B130))</f>
        <v/>
      </c>
    </row>
    <row r="131" spans="1:14">
      <c r="A131" s="38"/>
      <c r="B131" s="36"/>
      <c r="C131" s="37" t="str">
        <f>IF(B131="","",IFERROR(INDEX('Task Master'!$K$5:$K$100,MATCH(B131,'Task Master'!$A$5:$A$100,0)),""))</f>
        <v/>
      </c>
      <c r="D131" s="36"/>
      <c r="E131" s="36"/>
      <c r="F131" s="39"/>
      <c r="G131" s="39"/>
      <c r="H131" s="39"/>
      <c r="I131" s="41"/>
      <c r="J131" s="39"/>
      <c r="K131" s="39"/>
      <c r="L131" s="39"/>
      <c r="M131" s="39"/>
      <c r="N131" s="37" t="str">
        <f>IF(OR(A131="",B131=""),"",A131=_xludf.MAXIFS($A$5:$A$304,$B$5:$B$304,B131))</f>
        <v/>
      </c>
    </row>
    <row r="132" spans="1:14">
      <c r="A132" s="38"/>
      <c r="B132" s="36"/>
      <c r="C132" s="37" t="str">
        <f>IF(B132="","",IFERROR(INDEX('Task Master'!$K$5:$K$100,MATCH(B132,'Task Master'!$A$5:$A$100,0)),""))</f>
        <v/>
      </c>
      <c r="D132" s="36"/>
      <c r="E132" s="36"/>
      <c r="F132" s="39"/>
      <c r="G132" s="39"/>
      <c r="H132" s="39"/>
      <c r="I132" s="41"/>
      <c r="J132" s="39"/>
      <c r="K132" s="39"/>
      <c r="L132" s="39"/>
      <c r="M132" s="39"/>
      <c r="N132" s="37" t="str">
        <f>IF(OR(A132="",B132=""),"",A132=_xludf.MAXIFS($A$5:$A$304,$B$5:$B$304,B132))</f>
        <v/>
      </c>
    </row>
    <row r="133" spans="1:14">
      <c r="A133" s="38"/>
      <c r="B133" s="36"/>
      <c r="C133" s="37" t="str">
        <f>IF(B133="","",IFERROR(INDEX('Task Master'!$K$5:$K$100,MATCH(B133,'Task Master'!$A$5:$A$100,0)),""))</f>
        <v/>
      </c>
      <c r="D133" s="36"/>
      <c r="E133" s="36"/>
      <c r="F133" s="39"/>
      <c r="G133" s="39"/>
      <c r="H133" s="39"/>
      <c r="I133" s="41"/>
      <c r="J133" s="39"/>
      <c r="K133" s="39"/>
      <c r="L133" s="39"/>
      <c r="M133" s="39"/>
      <c r="N133" s="37" t="str">
        <f>IF(OR(A133="",B133=""),"",A133=_xludf.MAXIFS($A$5:$A$304,$B$5:$B$304,B133))</f>
        <v/>
      </c>
    </row>
    <row r="134" spans="1:14">
      <c r="A134" s="38"/>
      <c r="B134" s="36"/>
      <c r="C134" s="37" t="str">
        <f>IF(B134="","",IFERROR(INDEX('Task Master'!$K$5:$K$100,MATCH(B134,'Task Master'!$A$5:$A$100,0)),""))</f>
        <v/>
      </c>
      <c r="D134" s="36"/>
      <c r="E134" s="36"/>
      <c r="F134" s="39"/>
      <c r="G134" s="39"/>
      <c r="H134" s="39"/>
      <c r="I134" s="41"/>
      <c r="J134" s="39"/>
      <c r="K134" s="39"/>
      <c r="L134" s="39"/>
      <c r="M134" s="39"/>
      <c r="N134" s="37" t="str">
        <f>IF(OR(A134="",B134=""),"",A134=_xludf.MAXIFS($A$5:$A$304,$B$5:$B$304,B134))</f>
        <v/>
      </c>
    </row>
    <row r="135" spans="1:14">
      <c r="A135" s="38"/>
      <c r="B135" s="36"/>
      <c r="C135" s="37" t="str">
        <f>IF(B135="","",IFERROR(INDEX('Task Master'!$K$5:$K$100,MATCH(B135,'Task Master'!$A$5:$A$100,0)),""))</f>
        <v/>
      </c>
      <c r="D135" s="36"/>
      <c r="E135" s="36"/>
      <c r="F135" s="39"/>
      <c r="G135" s="39"/>
      <c r="H135" s="39"/>
      <c r="I135" s="41"/>
      <c r="J135" s="39"/>
      <c r="K135" s="39"/>
      <c r="L135" s="39"/>
      <c r="M135" s="39"/>
      <c r="N135" s="37" t="str">
        <f>IF(OR(A135="",B135=""),"",A135=_xludf.MAXIFS($A$5:$A$304,$B$5:$B$304,B135))</f>
        <v/>
      </c>
    </row>
    <row r="136" spans="1:14">
      <c r="A136" s="38"/>
      <c r="B136" s="36"/>
      <c r="C136" s="37" t="str">
        <f>IF(B136="","",IFERROR(INDEX('Task Master'!$K$5:$K$100,MATCH(B136,'Task Master'!$A$5:$A$100,0)),""))</f>
        <v/>
      </c>
      <c r="D136" s="36"/>
      <c r="E136" s="36"/>
      <c r="F136" s="39"/>
      <c r="G136" s="39"/>
      <c r="H136" s="39"/>
      <c r="I136" s="41"/>
      <c r="J136" s="39"/>
      <c r="K136" s="39"/>
      <c r="L136" s="39"/>
      <c r="M136" s="39"/>
      <c r="N136" s="37" t="str">
        <f>IF(OR(A136="",B136=""),"",A136=_xludf.MAXIFS($A$5:$A$304,$B$5:$B$304,B136))</f>
        <v/>
      </c>
    </row>
    <row r="137" spans="1:14">
      <c r="A137" s="38"/>
      <c r="B137" s="36"/>
      <c r="C137" s="37" t="str">
        <f>IF(B137="","",IFERROR(INDEX('Task Master'!$K$5:$K$100,MATCH(B137,'Task Master'!$A$5:$A$100,0)),""))</f>
        <v/>
      </c>
      <c r="D137" s="36"/>
      <c r="E137" s="36"/>
      <c r="F137" s="39"/>
      <c r="G137" s="39"/>
      <c r="H137" s="39"/>
      <c r="I137" s="41"/>
      <c r="J137" s="39"/>
      <c r="K137" s="39"/>
      <c r="L137" s="39"/>
      <c r="M137" s="39"/>
      <c r="N137" s="37" t="str">
        <f>IF(OR(A137="",B137=""),"",A137=_xludf.MAXIFS($A$5:$A$304,$B$5:$B$304,B137))</f>
        <v/>
      </c>
    </row>
    <row r="138" spans="1:14">
      <c r="A138" s="38"/>
      <c r="B138" s="36"/>
      <c r="C138" s="37" t="str">
        <f>IF(B138="","",IFERROR(INDEX('Task Master'!$K$5:$K$100,MATCH(B138,'Task Master'!$A$5:$A$100,0)),""))</f>
        <v/>
      </c>
      <c r="D138" s="36"/>
      <c r="E138" s="36"/>
      <c r="F138" s="39"/>
      <c r="G138" s="39"/>
      <c r="H138" s="39"/>
      <c r="I138" s="41"/>
      <c r="J138" s="39"/>
      <c r="K138" s="39"/>
      <c r="L138" s="39"/>
      <c r="M138" s="39"/>
      <c r="N138" s="37" t="str">
        <f>IF(OR(A138="",B138=""),"",A138=_xludf.MAXIFS($A$5:$A$304,$B$5:$B$304,B138))</f>
        <v/>
      </c>
    </row>
    <row r="139" spans="1:14">
      <c r="A139" s="38"/>
      <c r="B139" s="36"/>
      <c r="C139" s="37" t="str">
        <f>IF(B139="","",IFERROR(INDEX('Task Master'!$K$5:$K$100,MATCH(B139,'Task Master'!$A$5:$A$100,0)),""))</f>
        <v/>
      </c>
      <c r="D139" s="36"/>
      <c r="E139" s="36"/>
      <c r="F139" s="39"/>
      <c r="G139" s="39"/>
      <c r="H139" s="39"/>
      <c r="I139" s="41"/>
      <c r="J139" s="39"/>
      <c r="K139" s="39"/>
      <c r="L139" s="39"/>
      <c r="M139" s="39"/>
      <c r="N139" s="37" t="str">
        <f>IF(OR(A139="",B139=""),"",A139=_xludf.MAXIFS($A$5:$A$304,$B$5:$B$304,B139))</f>
        <v/>
      </c>
    </row>
    <row r="140" spans="1:14">
      <c r="A140" s="38"/>
      <c r="B140" s="36"/>
      <c r="C140" s="37" t="str">
        <f>IF(B140="","",IFERROR(INDEX('Task Master'!$K$5:$K$100,MATCH(B140,'Task Master'!$A$5:$A$100,0)),""))</f>
        <v/>
      </c>
      <c r="D140" s="36"/>
      <c r="E140" s="36"/>
      <c r="F140" s="39"/>
      <c r="G140" s="39"/>
      <c r="H140" s="39"/>
      <c r="I140" s="41"/>
      <c r="J140" s="39"/>
      <c r="K140" s="39"/>
      <c r="L140" s="39"/>
      <c r="M140" s="39"/>
      <c r="N140" s="37" t="str">
        <f>IF(OR(A140="",B140=""),"",A140=_xludf.MAXIFS($A$5:$A$304,$B$5:$B$304,B140))</f>
        <v/>
      </c>
    </row>
    <row r="141" spans="1:14">
      <c r="A141" s="38"/>
      <c r="B141" s="36"/>
      <c r="C141" s="37" t="str">
        <f>IF(B141="","",IFERROR(INDEX('Task Master'!$K$5:$K$100,MATCH(B141,'Task Master'!$A$5:$A$100,0)),""))</f>
        <v/>
      </c>
      <c r="D141" s="36"/>
      <c r="E141" s="36"/>
      <c r="F141" s="39"/>
      <c r="G141" s="39"/>
      <c r="H141" s="39"/>
      <c r="I141" s="41"/>
      <c r="J141" s="39"/>
      <c r="K141" s="39"/>
      <c r="L141" s="39"/>
      <c r="M141" s="39"/>
      <c r="N141" s="37" t="str">
        <f>IF(OR(A141="",B141=""),"",A141=_xludf.MAXIFS($A$5:$A$304,$B$5:$B$304,B141))</f>
        <v/>
      </c>
    </row>
    <row r="142" spans="1:14">
      <c r="A142" s="38"/>
      <c r="B142" s="36"/>
      <c r="C142" s="37" t="str">
        <f>IF(B142="","",IFERROR(INDEX('Task Master'!$K$5:$K$100,MATCH(B142,'Task Master'!$A$5:$A$100,0)),""))</f>
        <v/>
      </c>
      <c r="D142" s="36"/>
      <c r="E142" s="36"/>
      <c r="F142" s="39"/>
      <c r="G142" s="39"/>
      <c r="H142" s="39"/>
      <c r="I142" s="41"/>
      <c r="J142" s="39"/>
      <c r="K142" s="39"/>
      <c r="L142" s="39"/>
      <c r="M142" s="39"/>
      <c r="N142" s="37" t="str">
        <f>IF(OR(A142="",B142=""),"",A142=_xludf.MAXIFS($A$5:$A$304,$B$5:$B$304,B142))</f>
        <v/>
      </c>
    </row>
    <row r="143" spans="1:14">
      <c r="A143" s="38"/>
      <c r="B143" s="36"/>
      <c r="C143" s="37" t="str">
        <f>IF(B143="","",IFERROR(INDEX('Task Master'!$K$5:$K$100,MATCH(B143,'Task Master'!$A$5:$A$100,0)),""))</f>
        <v/>
      </c>
      <c r="D143" s="36"/>
      <c r="E143" s="36"/>
      <c r="F143" s="39"/>
      <c r="G143" s="39"/>
      <c r="H143" s="39"/>
      <c r="I143" s="41"/>
      <c r="J143" s="39"/>
      <c r="K143" s="39"/>
      <c r="L143" s="39"/>
      <c r="M143" s="39"/>
      <c r="N143" s="37" t="str">
        <f>IF(OR(A143="",B143=""),"",A143=_xludf.MAXIFS($A$5:$A$304,$B$5:$B$304,B143))</f>
        <v/>
      </c>
    </row>
    <row r="144" spans="1:14">
      <c r="A144" s="38"/>
      <c r="B144" s="36"/>
      <c r="C144" s="37" t="str">
        <f>IF(B144="","",IFERROR(INDEX('Task Master'!$K$5:$K$100,MATCH(B144,'Task Master'!$A$5:$A$100,0)),""))</f>
        <v/>
      </c>
      <c r="D144" s="36"/>
      <c r="E144" s="36"/>
      <c r="F144" s="39"/>
      <c r="G144" s="39"/>
      <c r="H144" s="39"/>
      <c r="I144" s="41"/>
      <c r="J144" s="39"/>
      <c r="K144" s="39"/>
      <c r="L144" s="39"/>
      <c r="M144" s="39"/>
      <c r="N144" s="37" t="str">
        <f>IF(OR(A144="",B144=""),"",A144=_xludf.MAXIFS($A$5:$A$304,$B$5:$B$304,B144))</f>
        <v/>
      </c>
    </row>
    <row r="145" spans="1:14">
      <c r="A145" s="38"/>
      <c r="B145" s="36"/>
      <c r="C145" s="37" t="str">
        <f>IF(B145="","",IFERROR(INDEX('Task Master'!$K$5:$K$100,MATCH(B145,'Task Master'!$A$5:$A$100,0)),""))</f>
        <v/>
      </c>
      <c r="D145" s="36"/>
      <c r="E145" s="36"/>
      <c r="F145" s="39"/>
      <c r="G145" s="39"/>
      <c r="H145" s="39"/>
      <c r="I145" s="41"/>
      <c r="J145" s="39"/>
      <c r="K145" s="39"/>
      <c r="L145" s="39"/>
      <c r="M145" s="39"/>
      <c r="N145" s="37" t="str">
        <f>IF(OR(A145="",B145=""),"",A145=_xludf.MAXIFS($A$5:$A$304,$B$5:$B$304,B145))</f>
        <v/>
      </c>
    </row>
    <row r="146" spans="1:14">
      <c r="A146" s="38"/>
      <c r="B146" s="36"/>
      <c r="C146" s="37" t="str">
        <f>IF(B146="","",IFERROR(INDEX('Task Master'!$K$5:$K$100,MATCH(B146,'Task Master'!$A$5:$A$100,0)),""))</f>
        <v/>
      </c>
      <c r="D146" s="36"/>
      <c r="E146" s="36"/>
      <c r="F146" s="39"/>
      <c r="G146" s="39"/>
      <c r="H146" s="39"/>
      <c r="I146" s="41"/>
      <c r="J146" s="39"/>
      <c r="K146" s="39"/>
      <c r="L146" s="39"/>
      <c r="M146" s="39"/>
      <c r="N146" s="37" t="str">
        <f>IF(OR(A146="",B146=""),"",A146=_xludf.MAXIFS($A$5:$A$304,$B$5:$B$304,B146))</f>
        <v/>
      </c>
    </row>
    <row r="147" spans="1:14">
      <c r="A147" s="38"/>
      <c r="B147" s="36"/>
      <c r="C147" s="37" t="str">
        <f>IF(B147="","",IFERROR(INDEX('Task Master'!$K$5:$K$100,MATCH(B147,'Task Master'!$A$5:$A$100,0)),""))</f>
        <v/>
      </c>
      <c r="D147" s="36"/>
      <c r="E147" s="36"/>
      <c r="F147" s="39"/>
      <c r="G147" s="39"/>
      <c r="H147" s="39"/>
      <c r="I147" s="41"/>
      <c r="J147" s="39"/>
      <c r="K147" s="39"/>
      <c r="L147" s="39"/>
      <c r="M147" s="39"/>
      <c r="N147" s="37" t="str">
        <f>IF(OR(A147="",B147=""),"",A147=_xludf.MAXIFS($A$5:$A$304,$B$5:$B$304,B147))</f>
        <v/>
      </c>
    </row>
    <row r="148" spans="1:14">
      <c r="A148" s="38"/>
      <c r="B148" s="36"/>
      <c r="C148" s="37" t="str">
        <f>IF(B148="","",IFERROR(INDEX('Task Master'!$K$5:$K$100,MATCH(B148,'Task Master'!$A$5:$A$100,0)),""))</f>
        <v/>
      </c>
      <c r="D148" s="36"/>
      <c r="E148" s="36"/>
      <c r="F148" s="39"/>
      <c r="G148" s="39"/>
      <c r="H148" s="39"/>
      <c r="I148" s="41"/>
      <c r="J148" s="39"/>
      <c r="K148" s="39"/>
      <c r="L148" s="39"/>
      <c r="M148" s="39"/>
      <c r="N148" s="37" t="str">
        <f>IF(OR(A148="",B148=""),"",A148=_xludf.MAXIFS($A$5:$A$304,$B$5:$B$304,B148))</f>
        <v/>
      </c>
    </row>
    <row r="149" spans="1:14">
      <c r="A149" s="38"/>
      <c r="B149" s="36"/>
      <c r="C149" s="37" t="str">
        <f>IF(B149="","",IFERROR(INDEX('Task Master'!$K$5:$K$100,MATCH(B149,'Task Master'!$A$5:$A$100,0)),""))</f>
        <v/>
      </c>
      <c r="D149" s="36"/>
      <c r="E149" s="36"/>
      <c r="F149" s="39"/>
      <c r="G149" s="39"/>
      <c r="H149" s="39"/>
      <c r="I149" s="41"/>
      <c r="J149" s="39"/>
      <c r="K149" s="39"/>
      <c r="L149" s="39"/>
      <c r="M149" s="39"/>
      <c r="N149" s="37" t="str">
        <f>IF(OR(A149="",B149=""),"",A149=_xludf.MAXIFS($A$5:$A$304,$B$5:$B$304,B149))</f>
        <v/>
      </c>
    </row>
    <row r="150" spans="1:14">
      <c r="A150" s="38"/>
      <c r="B150" s="36"/>
      <c r="C150" s="37" t="str">
        <f>IF(B150="","",IFERROR(INDEX('Task Master'!$K$5:$K$100,MATCH(B150,'Task Master'!$A$5:$A$100,0)),""))</f>
        <v/>
      </c>
      <c r="D150" s="36"/>
      <c r="E150" s="36"/>
      <c r="F150" s="39"/>
      <c r="G150" s="39"/>
      <c r="H150" s="39"/>
      <c r="I150" s="41"/>
      <c r="J150" s="39"/>
      <c r="K150" s="39"/>
      <c r="L150" s="39"/>
      <c r="M150" s="39"/>
      <c r="N150" s="37" t="str">
        <f>IF(OR(A150="",B150=""),"",A150=_xludf.MAXIFS($A$5:$A$304,$B$5:$B$304,B150))</f>
        <v/>
      </c>
    </row>
    <row r="151" spans="1:14">
      <c r="A151" s="38"/>
      <c r="B151" s="36"/>
      <c r="C151" s="37" t="str">
        <f>IF(B151="","",IFERROR(INDEX('Task Master'!$K$5:$K$100,MATCH(B151,'Task Master'!$A$5:$A$100,0)),""))</f>
        <v/>
      </c>
      <c r="D151" s="36"/>
      <c r="E151" s="36"/>
      <c r="F151" s="39"/>
      <c r="G151" s="39"/>
      <c r="H151" s="39"/>
      <c r="I151" s="41"/>
      <c r="J151" s="39"/>
      <c r="K151" s="39"/>
      <c r="L151" s="39"/>
      <c r="M151" s="39"/>
      <c r="N151" s="37" t="str">
        <f>IF(OR(A151="",B151=""),"",A151=_xludf.MAXIFS($A$5:$A$304,$B$5:$B$304,B151))</f>
        <v/>
      </c>
    </row>
    <row r="152" spans="1:14">
      <c r="A152" s="38"/>
      <c r="B152" s="36"/>
      <c r="C152" s="37" t="str">
        <f>IF(B152="","",IFERROR(INDEX('Task Master'!$K$5:$K$100,MATCH(B152,'Task Master'!$A$5:$A$100,0)),""))</f>
        <v/>
      </c>
      <c r="D152" s="36"/>
      <c r="E152" s="36"/>
      <c r="F152" s="39"/>
      <c r="G152" s="39"/>
      <c r="H152" s="39"/>
      <c r="I152" s="41"/>
      <c r="J152" s="39"/>
      <c r="K152" s="39"/>
      <c r="L152" s="39"/>
      <c r="M152" s="39"/>
      <c r="N152" s="37" t="str">
        <f>IF(OR(A152="",B152=""),"",A152=_xludf.MAXIFS($A$5:$A$304,$B$5:$B$304,B152))</f>
        <v/>
      </c>
    </row>
    <row r="153" spans="1:14">
      <c r="A153" s="38"/>
      <c r="B153" s="36"/>
      <c r="C153" s="37" t="str">
        <f>IF(B153="","",IFERROR(INDEX('Task Master'!$K$5:$K$100,MATCH(B153,'Task Master'!$A$5:$A$100,0)),""))</f>
        <v/>
      </c>
      <c r="D153" s="36"/>
      <c r="E153" s="36"/>
      <c r="F153" s="39"/>
      <c r="G153" s="39"/>
      <c r="H153" s="39"/>
      <c r="I153" s="41"/>
      <c r="J153" s="39"/>
      <c r="K153" s="39"/>
      <c r="L153" s="39"/>
      <c r="M153" s="39"/>
      <c r="N153" s="37" t="str">
        <f>IF(OR(A153="",B153=""),"",A153=_xludf.MAXIFS($A$5:$A$304,$B$5:$B$304,B153))</f>
        <v/>
      </c>
    </row>
    <row r="154" spans="1:14">
      <c r="A154" s="38"/>
      <c r="B154" s="36"/>
      <c r="C154" s="37" t="str">
        <f>IF(B154="","",IFERROR(INDEX('Task Master'!$K$5:$K$100,MATCH(B154,'Task Master'!$A$5:$A$100,0)),""))</f>
        <v/>
      </c>
      <c r="D154" s="36"/>
      <c r="E154" s="36"/>
      <c r="F154" s="39"/>
      <c r="G154" s="39"/>
      <c r="H154" s="39"/>
      <c r="I154" s="41"/>
      <c r="J154" s="39"/>
      <c r="K154" s="39"/>
      <c r="L154" s="39"/>
      <c r="M154" s="39"/>
      <c r="N154" s="37" t="str">
        <f>IF(OR(A154="",B154=""),"",A154=_xludf.MAXIFS($A$5:$A$304,$B$5:$B$304,B154))</f>
        <v/>
      </c>
    </row>
    <row r="155" spans="1:14">
      <c r="A155" s="38"/>
      <c r="B155" s="36"/>
      <c r="C155" s="37" t="str">
        <f>IF(B155="","",IFERROR(INDEX('Task Master'!$K$5:$K$100,MATCH(B155,'Task Master'!$A$5:$A$100,0)),""))</f>
        <v/>
      </c>
      <c r="D155" s="36"/>
      <c r="E155" s="36"/>
      <c r="F155" s="39"/>
      <c r="G155" s="39"/>
      <c r="H155" s="39"/>
      <c r="I155" s="41"/>
      <c r="J155" s="39"/>
      <c r="K155" s="39"/>
      <c r="L155" s="39"/>
      <c r="M155" s="39"/>
      <c r="N155" s="37" t="str">
        <f>IF(OR(A155="",B155=""),"",A155=_xludf.MAXIFS($A$5:$A$304,$B$5:$B$304,B155))</f>
        <v/>
      </c>
    </row>
    <row r="156" spans="1:14">
      <c r="A156" s="38"/>
      <c r="B156" s="36"/>
      <c r="C156" s="37" t="str">
        <f>IF(B156="","",IFERROR(INDEX('Task Master'!$K$5:$K$100,MATCH(B156,'Task Master'!$A$5:$A$100,0)),""))</f>
        <v/>
      </c>
      <c r="D156" s="36"/>
      <c r="E156" s="36"/>
      <c r="F156" s="39"/>
      <c r="G156" s="39"/>
      <c r="H156" s="39"/>
      <c r="I156" s="41"/>
      <c r="J156" s="39"/>
      <c r="K156" s="39"/>
      <c r="L156" s="39"/>
      <c r="M156" s="39"/>
      <c r="N156" s="37" t="str">
        <f>IF(OR(A156="",B156=""),"",A156=_xludf.MAXIFS($A$5:$A$304,$B$5:$B$304,B156))</f>
        <v/>
      </c>
    </row>
    <row r="157" spans="1:14">
      <c r="A157" s="38"/>
      <c r="B157" s="36"/>
      <c r="C157" s="37" t="str">
        <f>IF(B157="","",IFERROR(INDEX('Task Master'!$K$5:$K$100,MATCH(B157,'Task Master'!$A$5:$A$100,0)),""))</f>
        <v/>
      </c>
      <c r="D157" s="36"/>
      <c r="E157" s="36"/>
      <c r="F157" s="39"/>
      <c r="G157" s="39"/>
      <c r="H157" s="39"/>
      <c r="I157" s="41"/>
      <c r="J157" s="39"/>
      <c r="K157" s="39"/>
      <c r="L157" s="39"/>
      <c r="M157" s="39"/>
      <c r="N157" s="37" t="str">
        <f>IF(OR(A157="",B157=""),"",A157=_xludf.MAXIFS($A$5:$A$304,$B$5:$B$304,B157))</f>
        <v/>
      </c>
    </row>
    <row r="158" spans="1:14">
      <c r="A158" s="38"/>
      <c r="B158" s="36"/>
      <c r="C158" s="37" t="str">
        <f>IF(B158="","",IFERROR(INDEX('Task Master'!$K$5:$K$100,MATCH(B158,'Task Master'!$A$5:$A$100,0)),""))</f>
        <v/>
      </c>
      <c r="D158" s="36"/>
      <c r="E158" s="36"/>
      <c r="F158" s="39"/>
      <c r="G158" s="39"/>
      <c r="H158" s="39"/>
      <c r="I158" s="41"/>
      <c r="J158" s="39"/>
      <c r="K158" s="39"/>
      <c r="L158" s="39"/>
      <c r="M158" s="39"/>
      <c r="N158" s="37" t="str">
        <f>IF(OR(A158="",B158=""),"",A158=_xludf.MAXIFS($A$5:$A$304,$B$5:$B$304,B158))</f>
        <v/>
      </c>
    </row>
    <row r="159" spans="1:14">
      <c r="A159" s="38"/>
      <c r="B159" s="36"/>
      <c r="C159" s="37" t="str">
        <f>IF(B159="","",IFERROR(INDEX('Task Master'!$K$5:$K$100,MATCH(B159,'Task Master'!$A$5:$A$100,0)),""))</f>
        <v/>
      </c>
      <c r="D159" s="36"/>
      <c r="E159" s="36"/>
      <c r="F159" s="39"/>
      <c r="G159" s="39"/>
      <c r="H159" s="39"/>
      <c r="I159" s="41"/>
      <c r="J159" s="39"/>
      <c r="K159" s="39"/>
      <c r="L159" s="39"/>
      <c r="M159" s="39"/>
      <c r="N159" s="37" t="str">
        <f>IF(OR(A159="",B159=""),"",A159=_xludf.MAXIFS($A$5:$A$304,$B$5:$B$304,B159))</f>
        <v/>
      </c>
    </row>
    <row r="160" spans="1:14">
      <c r="A160" s="38"/>
      <c r="B160" s="36"/>
      <c r="C160" s="37" t="str">
        <f>IF(B160="","",IFERROR(INDEX('Task Master'!$K$5:$K$100,MATCH(B160,'Task Master'!$A$5:$A$100,0)),""))</f>
        <v/>
      </c>
      <c r="D160" s="36"/>
      <c r="E160" s="36"/>
      <c r="F160" s="39"/>
      <c r="G160" s="39"/>
      <c r="H160" s="39"/>
      <c r="I160" s="41"/>
      <c r="J160" s="39"/>
      <c r="K160" s="39"/>
      <c r="L160" s="39"/>
      <c r="M160" s="39"/>
      <c r="N160" s="37" t="str">
        <f>IF(OR(A160="",B160=""),"",A160=_xludf.MAXIFS($A$5:$A$304,$B$5:$B$304,B160))</f>
        <v/>
      </c>
    </row>
    <row r="161" spans="1:14">
      <c r="A161" s="38"/>
      <c r="B161" s="36"/>
      <c r="C161" s="37" t="str">
        <f>IF(B161="","",IFERROR(INDEX('Task Master'!$K$5:$K$100,MATCH(B161,'Task Master'!$A$5:$A$100,0)),""))</f>
        <v/>
      </c>
      <c r="D161" s="36"/>
      <c r="E161" s="36"/>
      <c r="F161" s="39"/>
      <c r="G161" s="39"/>
      <c r="H161" s="39"/>
      <c r="I161" s="41"/>
      <c r="J161" s="39"/>
      <c r="K161" s="39"/>
      <c r="L161" s="39"/>
      <c r="M161" s="39"/>
      <c r="N161" s="37" t="str">
        <f>IF(OR(A161="",B161=""),"",A161=_xludf.MAXIFS($A$5:$A$304,$B$5:$B$304,B161))</f>
        <v/>
      </c>
    </row>
    <row r="162" spans="1:14">
      <c r="A162" s="38"/>
      <c r="B162" s="36"/>
      <c r="C162" s="37" t="str">
        <f>IF(B162="","",IFERROR(INDEX('Task Master'!$K$5:$K$100,MATCH(B162,'Task Master'!$A$5:$A$100,0)),""))</f>
        <v/>
      </c>
      <c r="D162" s="36"/>
      <c r="E162" s="36"/>
      <c r="F162" s="39"/>
      <c r="G162" s="39"/>
      <c r="H162" s="39"/>
      <c r="I162" s="41"/>
      <c r="J162" s="39"/>
      <c r="K162" s="39"/>
      <c r="L162" s="39"/>
      <c r="M162" s="39"/>
      <c r="N162" s="37" t="str">
        <f>IF(OR(A162="",B162=""),"",A162=_xludf.MAXIFS($A$5:$A$304,$B$5:$B$304,B162))</f>
        <v/>
      </c>
    </row>
    <row r="163" spans="1:14">
      <c r="A163" s="38"/>
      <c r="B163" s="36"/>
      <c r="C163" s="37" t="str">
        <f>IF(B163="","",IFERROR(INDEX('Task Master'!$K$5:$K$100,MATCH(B163,'Task Master'!$A$5:$A$100,0)),""))</f>
        <v/>
      </c>
      <c r="D163" s="36"/>
      <c r="E163" s="36"/>
      <c r="F163" s="39"/>
      <c r="G163" s="39"/>
      <c r="H163" s="39"/>
      <c r="I163" s="41"/>
      <c r="J163" s="39"/>
      <c r="K163" s="39"/>
      <c r="L163" s="39"/>
      <c r="M163" s="39"/>
      <c r="N163" s="37" t="str">
        <f>IF(OR(A163="",B163=""),"",A163=_xludf.MAXIFS($A$5:$A$304,$B$5:$B$304,B163))</f>
        <v/>
      </c>
    </row>
    <row r="164" spans="1:14">
      <c r="A164" s="38"/>
      <c r="B164" s="36"/>
      <c r="C164" s="37" t="str">
        <f>IF(B164="","",IFERROR(INDEX('Task Master'!$K$5:$K$100,MATCH(B164,'Task Master'!$A$5:$A$100,0)),""))</f>
        <v/>
      </c>
      <c r="D164" s="36"/>
      <c r="E164" s="36"/>
      <c r="F164" s="39"/>
      <c r="G164" s="39"/>
      <c r="H164" s="39"/>
      <c r="I164" s="41"/>
      <c r="J164" s="39"/>
      <c r="K164" s="39"/>
      <c r="L164" s="39"/>
      <c r="M164" s="39"/>
      <c r="N164" s="37" t="str">
        <f>IF(OR(A164="",B164=""),"",A164=_xludf.MAXIFS($A$5:$A$304,$B$5:$B$304,B164))</f>
        <v/>
      </c>
    </row>
    <row r="165" spans="1:14">
      <c r="A165" s="38"/>
      <c r="B165" s="36"/>
      <c r="C165" s="37" t="str">
        <f>IF(B165="","",IFERROR(INDEX('Task Master'!$K$5:$K$100,MATCH(B165,'Task Master'!$A$5:$A$100,0)),""))</f>
        <v/>
      </c>
      <c r="D165" s="36"/>
      <c r="E165" s="36"/>
      <c r="F165" s="39"/>
      <c r="G165" s="39"/>
      <c r="H165" s="39"/>
      <c r="I165" s="41"/>
      <c r="J165" s="39"/>
      <c r="K165" s="39"/>
      <c r="L165" s="39"/>
      <c r="M165" s="39"/>
      <c r="N165" s="37" t="str">
        <f>IF(OR(A165="",B165=""),"",A165=_xludf.MAXIFS($A$5:$A$304,$B$5:$B$304,B165))</f>
        <v/>
      </c>
    </row>
    <row r="166" spans="1:14">
      <c r="A166" s="38"/>
      <c r="B166" s="36"/>
      <c r="C166" s="37" t="str">
        <f>IF(B166="","",IFERROR(INDEX('Task Master'!$K$5:$K$100,MATCH(B166,'Task Master'!$A$5:$A$100,0)),""))</f>
        <v/>
      </c>
      <c r="D166" s="36"/>
      <c r="E166" s="36"/>
      <c r="F166" s="39"/>
      <c r="G166" s="39"/>
      <c r="H166" s="39"/>
      <c r="I166" s="41"/>
      <c r="J166" s="39"/>
      <c r="K166" s="39"/>
      <c r="L166" s="39"/>
      <c r="M166" s="39"/>
      <c r="N166" s="37" t="str">
        <f>IF(OR(A166="",B166=""),"",A166=_xludf.MAXIFS($A$5:$A$304,$B$5:$B$304,B166))</f>
        <v/>
      </c>
    </row>
    <row r="167" spans="1:14">
      <c r="A167" s="38"/>
      <c r="B167" s="36"/>
      <c r="C167" s="37" t="str">
        <f>IF(B167="","",IFERROR(INDEX('Task Master'!$K$5:$K$100,MATCH(B167,'Task Master'!$A$5:$A$100,0)),""))</f>
        <v/>
      </c>
      <c r="D167" s="36"/>
      <c r="E167" s="36"/>
      <c r="F167" s="39"/>
      <c r="G167" s="39"/>
      <c r="H167" s="39"/>
      <c r="I167" s="41"/>
      <c r="J167" s="39"/>
      <c r="K167" s="39"/>
      <c r="L167" s="39"/>
      <c r="M167" s="39"/>
      <c r="N167" s="37" t="str">
        <f>IF(OR(A167="",B167=""),"",A167=_xludf.MAXIFS($A$5:$A$304,$B$5:$B$304,B167))</f>
        <v/>
      </c>
    </row>
    <row r="168" spans="1:14">
      <c r="A168" s="38"/>
      <c r="B168" s="36"/>
      <c r="C168" s="37" t="str">
        <f>IF(B168="","",IFERROR(INDEX('Task Master'!$K$5:$K$100,MATCH(B168,'Task Master'!$A$5:$A$100,0)),""))</f>
        <v/>
      </c>
      <c r="D168" s="36"/>
      <c r="E168" s="36"/>
      <c r="F168" s="39"/>
      <c r="G168" s="39"/>
      <c r="H168" s="39"/>
      <c r="I168" s="41"/>
      <c r="J168" s="39"/>
      <c r="K168" s="39"/>
      <c r="L168" s="39"/>
      <c r="M168" s="39"/>
      <c r="N168" s="37" t="str">
        <f>IF(OR(A168="",B168=""),"",A168=_xludf.MAXIFS($A$5:$A$304,$B$5:$B$304,B168))</f>
        <v/>
      </c>
    </row>
    <row r="169" spans="1:14">
      <c r="A169" s="38"/>
      <c r="B169" s="36"/>
      <c r="C169" s="37" t="str">
        <f>IF(B169="","",IFERROR(INDEX('Task Master'!$K$5:$K$100,MATCH(B169,'Task Master'!$A$5:$A$100,0)),""))</f>
        <v/>
      </c>
      <c r="D169" s="36"/>
      <c r="E169" s="36"/>
      <c r="F169" s="39"/>
      <c r="G169" s="39"/>
      <c r="H169" s="39"/>
      <c r="I169" s="41"/>
      <c r="J169" s="39"/>
      <c r="K169" s="39"/>
      <c r="L169" s="39"/>
      <c r="M169" s="39"/>
      <c r="N169" s="37" t="str">
        <f>IF(OR(A169="",B169=""),"",A169=_xludf.MAXIFS($A$5:$A$304,$B$5:$B$304,B169))</f>
        <v/>
      </c>
    </row>
    <row r="170" spans="1:14">
      <c r="A170" s="38"/>
      <c r="B170" s="36"/>
      <c r="C170" s="37" t="str">
        <f>IF(B170="","",IFERROR(INDEX('Task Master'!$K$5:$K$100,MATCH(B170,'Task Master'!$A$5:$A$100,0)),""))</f>
        <v/>
      </c>
      <c r="D170" s="36"/>
      <c r="E170" s="36"/>
      <c r="F170" s="39"/>
      <c r="G170" s="39"/>
      <c r="H170" s="39"/>
      <c r="I170" s="41"/>
      <c r="J170" s="39"/>
      <c r="K170" s="39"/>
      <c r="L170" s="39"/>
      <c r="M170" s="39"/>
      <c r="N170" s="37" t="str">
        <f>IF(OR(A170="",B170=""),"",A170=_xludf.MAXIFS($A$5:$A$304,$B$5:$B$304,B170))</f>
        <v/>
      </c>
    </row>
    <row r="171" spans="1:14">
      <c r="A171" s="38"/>
      <c r="B171" s="36"/>
      <c r="C171" s="37" t="str">
        <f>IF(B171="","",IFERROR(INDEX('Task Master'!$K$5:$K$100,MATCH(B171,'Task Master'!$A$5:$A$100,0)),""))</f>
        <v/>
      </c>
      <c r="D171" s="36"/>
      <c r="E171" s="36"/>
      <c r="F171" s="39"/>
      <c r="G171" s="39"/>
      <c r="H171" s="39"/>
      <c r="I171" s="41"/>
      <c r="J171" s="39"/>
      <c r="K171" s="39"/>
      <c r="L171" s="39"/>
      <c r="M171" s="39"/>
      <c r="N171" s="37" t="str">
        <f>IF(OR(A171="",B171=""),"",A171=_xludf.MAXIFS($A$5:$A$304,$B$5:$B$304,B171))</f>
        <v/>
      </c>
    </row>
    <row r="172" spans="1:14">
      <c r="A172" s="38"/>
      <c r="B172" s="36"/>
      <c r="C172" s="37" t="str">
        <f>IF(B172="","",IFERROR(INDEX('Task Master'!$K$5:$K$100,MATCH(B172,'Task Master'!$A$5:$A$100,0)),""))</f>
        <v/>
      </c>
      <c r="D172" s="36"/>
      <c r="E172" s="36"/>
      <c r="F172" s="39"/>
      <c r="G172" s="39"/>
      <c r="H172" s="39"/>
      <c r="I172" s="41"/>
      <c r="J172" s="39"/>
      <c r="K172" s="39"/>
      <c r="L172" s="39"/>
      <c r="M172" s="39"/>
      <c r="N172" s="37" t="str">
        <f>IF(OR(A172="",B172=""),"",A172=_xludf.MAXIFS($A$5:$A$304,$B$5:$B$304,B172))</f>
        <v/>
      </c>
    </row>
    <row r="173" spans="1:14">
      <c r="A173" s="38"/>
      <c r="B173" s="36"/>
      <c r="C173" s="37" t="str">
        <f>IF(B173="","",IFERROR(INDEX('Task Master'!$K$5:$K$100,MATCH(B173,'Task Master'!$A$5:$A$100,0)),""))</f>
        <v/>
      </c>
      <c r="D173" s="36"/>
      <c r="E173" s="36"/>
      <c r="F173" s="39"/>
      <c r="G173" s="39"/>
      <c r="H173" s="39"/>
      <c r="I173" s="41"/>
      <c r="J173" s="39"/>
      <c r="K173" s="39"/>
      <c r="L173" s="39"/>
      <c r="M173" s="39"/>
      <c r="N173" s="37" t="str">
        <f>IF(OR(A173="",B173=""),"",A173=_xludf.MAXIFS($A$5:$A$304,$B$5:$B$304,B173))</f>
        <v/>
      </c>
    </row>
    <row r="174" spans="1:14">
      <c r="A174" s="38"/>
      <c r="B174" s="36"/>
      <c r="C174" s="37" t="str">
        <f>IF(B174="","",IFERROR(INDEX('Task Master'!$K$5:$K$100,MATCH(B174,'Task Master'!$A$5:$A$100,0)),""))</f>
        <v/>
      </c>
      <c r="D174" s="36"/>
      <c r="E174" s="36"/>
      <c r="F174" s="39"/>
      <c r="G174" s="39"/>
      <c r="H174" s="39"/>
      <c r="I174" s="41"/>
      <c r="J174" s="39"/>
      <c r="K174" s="39"/>
      <c r="L174" s="39"/>
      <c r="M174" s="39"/>
      <c r="N174" s="37" t="str">
        <f>IF(OR(A174="",B174=""),"",A174=_xludf.MAXIFS($A$5:$A$304,$B$5:$B$304,B174))</f>
        <v/>
      </c>
    </row>
    <row r="175" spans="1:14">
      <c r="A175" s="38"/>
      <c r="B175" s="36"/>
      <c r="C175" s="37" t="str">
        <f>IF(B175="","",IFERROR(INDEX('Task Master'!$K$5:$K$100,MATCH(B175,'Task Master'!$A$5:$A$100,0)),""))</f>
        <v/>
      </c>
      <c r="D175" s="36"/>
      <c r="E175" s="36"/>
      <c r="F175" s="39"/>
      <c r="G175" s="39"/>
      <c r="H175" s="39"/>
      <c r="I175" s="41"/>
      <c r="J175" s="39"/>
      <c r="K175" s="39"/>
      <c r="L175" s="39"/>
      <c r="M175" s="39"/>
      <c r="N175" s="37" t="str">
        <f>IF(OR(A175="",B175=""),"",A175=_xludf.MAXIFS($A$5:$A$304,$B$5:$B$304,B175))</f>
        <v/>
      </c>
    </row>
    <row r="176" spans="1:14">
      <c r="A176" s="38"/>
      <c r="B176" s="36"/>
      <c r="C176" s="37" t="str">
        <f>IF(B176="","",IFERROR(INDEX('Task Master'!$K$5:$K$100,MATCH(B176,'Task Master'!$A$5:$A$100,0)),""))</f>
        <v/>
      </c>
      <c r="D176" s="36"/>
      <c r="E176" s="36"/>
      <c r="F176" s="39"/>
      <c r="G176" s="39"/>
      <c r="H176" s="39"/>
      <c r="I176" s="41"/>
      <c r="J176" s="39"/>
      <c r="K176" s="39"/>
      <c r="L176" s="39"/>
      <c r="M176" s="39"/>
      <c r="N176" s="37" t="str">
        <f>IF(OR(A176="",B176=""),"",A176=_xludf.MAXIFS($A$5:$A$304,$B$5:$B$304,B176))</f>
        <v/>
      </c>
    </row>
    <row r="177" spans="1:14">
      <c r="A177" s="38"/>
      <c r="B177" s="36"/>
      <c r="C177" s="37" t="str">
        <f>IF(B177="","",IFERROR(INDEX('Task Master'!$K$5:$K$100,MATCH(B177,'Task Master'!$A$5:$A$100,0)),""))</f>
        <v/>
      </c>
      <c r="D177" s="36"/>
      <c r="E177" s="36"/>
      <c r="F177" s="39"/>
      <c r="G177" s="39"/>
      <c r="H177" s="39"/>
      <c r="I177" s="41"/>
      <c r="J177" s="39"/>
      <c r="K177" s="39"/>
      <c r="L177" s="39"/>
      <c r="M177" s="39"/>
      <c r="N177" s="37" t="str">
        <f>IF(OR(A177="",B177=""),"",A177=_xludf.MAXIFS($A$5:$A$304,$B$5:$B$304,B177))</f>
        <v/>
      </c>
    </row>
    <row r="178" spans="1:14">
      <c r="A178" s="38"/>
      <c r="B178" s="36"/>
      <c r="C178" s="37" t="str">
        <f>IF(B178="","",IFERROR(INDEX('Task Master'!$K$5:$K$100,MATCH(B178,'Task Master'!$A$5:$A$100,0)),""))</f>
        <v/>
      </c>
      <c r="D178" s="36"/>
      <c r="E178" s="36"/>
      <c r="F178" s="39"/>
      <c r="G178" s="39"/>
      <c r="H178" s="39"/>
      <c r="I178" s="41"/>
      <c r="J178" s="39"/>
      <c r="K178" s="39"/>
      <c r="L178" s="39"/>
      <c r="M178" s="39"/>
      <c r="N178" s="37" t="str">
        <f>IF(OR(A178="",B178=""),"",A178=_xludf.MAXIFS($A$5:$A$304,$B$5:$B$304,B178))</f>
        <v/>
      </c>
    </row>
    <row r="179" spans="1:14">
      <c r="A179" s="38"/>
      <c r="B179" s="36"/>
      <c r="C179" s="37" t="str">
        <f>IF(B179="","",IFERROR(INDEX('Task Master'!$K$5:$K$100,MATCH(B179,'Task Master'!$A$5:$A$100,0)),""))</f>
        <v/>
      </c>
      <c r="D179" s="36"/>
      <c r="E179" s="36"/>
      <c r="F179" s="39"/>
      <c r="G179" s="39"/>
      <c r="H179" s="39"/>
      <c r="I179" s="41"/>
      <c r="J179" s="39"/>
      <c r="K179" s="39"/>
      <c r="L179" s="39"/>
      <c r="M179" s="39"/>
      <c r="N179" s="37" t="str">
        <f>IF(OR(A179="",B179=""),"",A179=_xludf.MAXIFS($A$5:$A$304,$B$5:$B$304,B179))</f>
        <v/>
      </c>
    </row>
    <row r="180" spans="1:14">
      <c r="A180" s="38"/>
      <c r="B180" s="36"/>
      <c r="C180" s="37" t="str">
        <f>IF(B180="","",IFERROR(INDEX('Task Master'!$K$5:$K$100,MATCH(B180,'Task Master'!$A$5:$A$100,0)),""))</f>
        <v/>
      </c>
      <c r="D180" s="36"/>
      <c r="E180" s="36"/>
      <c r="F180" s="39"/>
      <c r="G180" s="39"/>
      <c r="H180" s="39"/>
      <c r="I180" s="41"/>
      <c r="J180" s="39"/>
      <c r="K180" s="39"/>
      <c r="L180" s="39"/>
      <c r="M180" s="39"/>
      <c r="N180" s="37" t="str">
        <f>IF(OR(A180="",B180=""),"",A180=_xludf.MAXIFS($A$5:$A$304,$B$5:$B$304,B180))</f>
        <v/>
      </c>
    </row>
    <row r="181" spans="1:14">
      <c r="A181" s="38"/>
      <c r="B181" s="36"/>
      <c r="C181" s="37" t="str">
        <f>IF(B181="","",IFERROR(INDEX('Task Master'!$K$5:$K$100,MATCH(B181,'Task Master'!$A$5:$A$100,0)),""))</f>
        <v/>
      </c>
      <c r="D181" s="36"/>
      <c r="E181" s="36"/>
      <c r="F181" s="39"/>
      <c r="G181" s="39"/>
      <c r="H181" s="39"/>
      <c r="I181" s="41"/>
      <c r="J181" s="39"/>
      <c r="K181" s="39"/>
      <c r="L181" s="39"/>
      <c r="M181" s="39"/>
      <c r="N181" s="37" t="str">
        <f>IF(OR(A181="",B181=""),"",A181=_xludf.MAXIFS($A$5:$A$304,$B$5:$B$304,B181))</f>
        <v/>
      </c>
    </row>
    <row r="182" spans="1:14">
      <c r="A182" s="38"/>
      <c r="B182" s="36"/>
      <c r="C182" s="37" t="str">
        <f>IF(B182="","",IFERROR(INDEX('Task Master'!$K$5:$K$100,MATCH(B182,'Task Master'!$A$5:$A$100,0)),""))</f>
        <v/>
      </c>
      <c r="D182" s="36"/>
      <c r="E182" s="36"/>
      <c r="F182" s="39"/>
      <c r="G182" s="39"/>
      <c r="H182" s="39"/>
      <c r="I182" s="41"/>
      <c r="J182" s="39"/>
      <c r="K182" s="39"/>
      <c r="L182" s="39"/>
      <c r="M182" s="39"/>
      <c r="N182" s="37" t="str">
        <f>IF(OR(A182="",B182=""),"",A182=_xludf.MAXIFS($A$5:$A$304,$B$5:$B$304,B182))</f>
        <v/>
      </c>
    </row>
    <row r="183" spans="1:14">
      <c r="A183" s="38"/>
      <c r="B183" s="36"/>
      <c r="C183" s="37" t="str">
        <f>IF(B183="","",IFERROR(INDEX('Task Master'!$K$5:$K$100,MATCH(B183,'Task Master'!$A$5:$A$100,0)),""))</f>
        <v/>
      </c>
      <c r="D183" s="36"/>
      <c r="E183" s="36"/>
      <c r="F183" s="39"/>
      <c r="G183" s="39"/>
      <c r="H183" s="39"/>
      <c r="I183" s="41"/>
      <c r="J183" s="39"/>
      <c r="K183" s="39"/>
      <c r="L183" s="39"/>
      <c r="M183" s="39"/>
      <c r="N183" s="37" t="str">
        <f>IF(OR(A183="",B183=""),"",A183=_xludf.MAXIFS($A$5:$A$304,$B$5:$B$304,B183))</f>
        <v/>
      </c>
    </row>
    <row r="184" spans="1:14">
      <c r="A184" s="38"/>
      <c r="B184" s="36"/>
      <c r="C184" s="37" t="str">
        <f>IF(B184="","",IFERROR(INDEX('Task Master'!$K$5:$K$100,MATCH(B184,'Task Master'!$A$5:$A$100,0)),""))</f>
        <v/>
      </c>
      <c r="D184" s="36"/>
      <c r="E184" s="36"/>
      <c r="F184" s="39"/>
      <c r="G184" s="39"/>
      <c r="H184" s="39"/>
      <c r="I184" s="41"/>
      <c r="J184" s="39"/>
      <c r="K184" s="39"/>
      <c r="L184" s="39"/>
      <c r="M184" s="39"/>
      <c r="N184" s="37" t="str">
        <f>IF(OR(A184="",B184=""),"",A184=_xludf.MAXIFS($A$5:$A$304,$B$5:$B$304,B184))</f>
        <v/>
      </c>
    </row>
    <row r="185" spans="1:14">
      <c r="A185" s="38"/>
      <c r="B185" s="36"/>
      <c r="C185" s="37" t="str">
        <f>IF(B185="","",IFERROR(INDEX('Task Master'!$K$5:$K$100,MATCH(B185,'Task Master'!$A$5:$A$100,0)),""))</f>
        <v/>
      </c>
      <c r="D185" s="36"/>
      <c r="E185" s="36"/>
      <c r="F185" s="39"/>
      <c r="G185" s="39"/>
      <c r="H185" s="39"/>
      <c r="I185" s="41"/>
      <c r="J185" s="39"/>
      <c r="K185" s="39"/>
      <c r="L185" s="39"/>
      <c r="M185" s="39"/>
      <c r="N185" s="37" t="str">
        <f>IF(OR(A185="",B185=""),"",A185=_xludf.MAXIFS($A$5:$A$304,$B$5:$B$304,B185))</f>
        <v/>
      </c>
    </row>
    <row r="186" spans="1:14">
      <c r="A186" s="38"/>
      <c r="B186" s="36"/>
      <c r="C186" s="37" t="str">
        <f>IF(B186="","",IFERROR(INDEX('Task Master'!$K$5:$K$100,MATCH(B186,'Task Master'!$A$5:$A$100,0)),""))</f>
        <v/>
      </c>
      <c r="D186" s="36"/>
      <c r="E186" s="36"/>
      <c r="F186" s="39"/>
      <c r="G186" s="39"/>
      <c r="H186" s="39"/>
      <c r="I186" s="41"/>
      <c r="J186" s="39"/>
      <c r="K186" s="39"/>
      <c r="L186" s="39"/>
      <c r="M186" s="39"/>
      <c r="N186" s="37" t="str">
        <f>IF(OR(A186="",B186=""),"",A186=_xludf.MAXIFS($A$5:$A$304,$B$5:$B$304,B186))</f>
        <v/>
      </c>
    </row>
    <row r="187" spans="1:14">
      <c r="A187" s="38"/>
      <c r="B187" s="36"/>
      <c r="C187" s="37" t="str">
        <f>IF(B187="","",IFERROR(INDEX('Task Master'!$K$5:$K$100,MATCH(B187,'Task Master'!$A$5:$A$100,0)),""))</f>
        <v/>
      </c>
      <c r="D187" s="36"/>
      <c r="E187" s="36"/>
      <c r="F187" s="39"/>
      <c r="G187" s="39"/>
      <c r="H187" s="39"/>
      <c r="I187" s="41"/>
      <c r="J187" s="39"/>
      <c r="K187" s="39"/>
      <c r="L187" s="39"/>
      <c r="M187" s="39"/>
      <c r="N187" s="37" t="str">
        <f>IF(OR(A187="",B187=""),"",A187=_xludf.MAXIFS($A$5:$A$304,$B$5:$B$304,B187))</f>
        <v/>
      </c>
    </row>
    <row r="188" spans="1:14">
      <c r="A188" s="38"/>
      <c r="B188" s="36"/>
      <c r="C188" s="37" t="str">
        <f>IF(B188="","",IFERROR(INDEX('Task Master'!$K$5:$K$100,MATCH(B188,'Task Master'!$A$5:$A$100,0)),""))</f>
        <v/>
      </c>
      <c r="D188" s="36"/>
      <c r="E188" s="36"/>
      <c r="F188" s="39"/>
      <c r="G188" s="39"/>
      <c r="H188" s="39"/>
      <c r="I188" s="41"/>
      <c r="J188" s="39"/>
      <c r="K188" s="39"/>
      <c r="L188" s="39"/>
      <c r="M188" s="39"/>
      <c r="N188" s="37" t="str">
        <f>IF(OR(A188="",B188=""),"",A188=_xludf.MAXIFS($A$5:$A$304,$B$5:$B$304,B188))</f>
        <v/>
      </c>
    </row>
    <row r="189" spans="1:14">
      <c r="A189" s="38"/>
      <c r="B189" s="36"/>
      <c r="C189" s="37" t="str">
        <f>IF(B189="","",IFERROR(INDEX('Task Master'!$K$5:$K$100,MATCH(B189,'Task Master'!$A$5:$A$100,0)),""))</f>
        <v/>
      </c>
      <c r="D189" s="36"/>
      <c r="E189" s="36"/>
      <c r="F189" s="39"/>
      <c r="G189" s="39"/>
      <c r="H189" s="39"/>
      <c r="I189" s="41"/>
      <c r="J189" s="39"/>
      <c r="K189" s="39"/>
      <c r="L189" s="39"/>
      <c r="M189" s="39"/>
      <c r="N189" s="37" t="str">
        <f>IF(OR(A189="",B189=""),"",A189=_xludf.MAXIFS($A$5:$A$304,$B$5:$B$304,B189))</f>
        <v/>
      </c>
    </row>
    <row r="190" spans="1:14">
      <c r="A190" s="38"/>
      <c r="B190" s="36"/>
      <c r="C190" s="37" t="str">
        <f>IF(B190="","",IFERROR(INDEX('Task Master'!$K$5:$K$100,MATCH(B190,'Task Master'!$A$5:$A$100,0)),""))</f>
        <v/>
      </c>
      <c r="D190" s="36"/>
      <c r="E190" s="36"/>
      <c r="F190" s="39"/>
      <c r="G190" s="39"/>
      <c r="H190" s="39"/>
      <c r="I190" s="41"/>
      <c r="J190" s="39"/>
      <c r="K190" s="39"/>
      <c r="L190" s="39"/>
      <c r="M190" s="39"/>
      <c r="N190" s="37" t="str">
        <f>IF(OR(A190="",B190=""),"",A190=_xludf.MAXIFS($A$5:$A$304,$B$5:$B$304,B190))</f>
        <v/>
      </c>
    </row>
    <row r="191" spans="1:14">
      <c r="A191" s="38"/>
      <c r="B191" s="36"/>
      <c r="C191" s="37" t="str">
        <f>IF(B191="","",IFERROR(INDEX('Task Master'!$K$5:$K$100,MATCH(B191,'Task Master'!$A$5:$A$100,0)),""))</f>
        <v/>
      </c>
      <c r="D191" s="36"/>
      <c r="E191" s="36"/>
      <c r="F191" s="39"/>
      <c r="G191" s="39"/>
      <c r="H191" s="39"/>
      <c r="I191" s="41"/>
      <c r="J191" s="39"/>
      <c r="K191" s="39"/>
      <c r="L191" s="39"/>
      <c r="M191" s="39"/>
      <c r="N191" s="37" t="str">
        <f>IF(OR(A191="",B191=""),"",A191=_xludf.MAXIFS($A$5:$A$304,$B$5:$B$304,B191))</f>
        <v/>
      </c>
    </row>
    <row r="192" spans="1:14">
      <c r="A192" s="38"/>
      <c r="B192" s="36"/>
      <c r="C192" s="37" t="str">
        <f>IF(B192="","",IFERROR(INDEX('Task Master'!$K$5:$K$100,MATCH(B192,'Task Master'!$A$5:$A$100,0)),""))</f>
        <v/>
      </c>
      <c r="D192" s="36"/>
      <c r="E192" s="36"/>
      <c r="F192" s="39"/>
      <c r="G192" s="39"/>
      <c r="H192" s="39"/>
      <c r="I192" s="41"/>
      <c r="J192" s="39"/>
      <c r="K192" s="39"/>
      <c r="L192" s="39"/>
      <c r="M192" s="39"/>
      <c r="N192" s="37" t="str">
        <f>IF(OR(A192="",B192=""),"",A192=_xludf.MAXIFS($A$5:$A$304,$B$5:$B$304,B192))</f>
        <v/>
      </c>
    </row>
    <row r="193" spans="1:14">
      <c r="A193" s="38"/>
      <c r="B193" s="36"/>
      <c r="C193" s="37" t="str">
        <f>IF(B193="","",IFERROR(INDEX('Task Master'!$K$5:$K$100,MATCH(B193,'Task Master'!$A$5:$A$100,0)),""))</f>
        <v/>
      </c>
      <c r="D193" s="36"/>
      <c r="E193" s="36"/>
      <c r="F193" s="39"/>
      <c r="G193" s="39"/>
      <c r="H193" s="39"/>
      <c r="I193" s="41"/>
      <c r="J193" s="39"/>
      <c r="K193" s="39"/>
      <c r="L193" s="39"/>
      <c r="M193" s="39"/>
      <c r="N193" s="37" t="str">
        <f>IF(OR(A193="",B193=""),"",A193=_xludf.MAXIFS($A$5:$A$304,$B$5:$B$304,B193))</f>
        <v/>
      </c>
    </row>
    <row r="194" spans="1:14">
      <c r="A194" s="38"/>
      <c r="B194" s="36"/>
      <c r="C194" s="37" t="str">
        <f>IF(B194="","",IFERROR(INDEX('Task Master'!$K$5:$K$100,MATCH(B194,'Task Master'!$A$5:$A$100,0)),""))</f>
        <v/>
      </c>
      <c r="D194" s="36"/>
      <c r="E194" s="36"/>
      <c r="F194" s="39"/>
      <c r="G194" s="39"/>
      <c r="H194" s="39"/>
      <c r="I194" s="41"/>
      <c r="J194" s="39"/>
      <c r="K194" s="39"/>
      <c r="L194" s="39"/>
      <c r="M194" s="39"/>
      <c r="N194" s="37" t="str">
        <f>IF(OR(A194="",B194=""),"",A194=_xludf.MAXIFS($A$5:$A$304,$B$5:$B$304,B194))</f>
        <v/>
      </c>
    </row>
    <row r="195" spans="1:14">
      <c r="A195" s="38"/>
      <c r="B195" s="36"/>
      <c r="C195" s="37" t="str">
        <f>IF(B195="","",IFERROR(INDEX('Task Master'!$K$5:$K$100,MATCH(B195,'Task Master'!$A$5:$A$100,0)),""))</f>
        <v/>
      </c>
      <c r="D195" s="36"/>
      <c r="E195" s="36"/>
      <c r="F195" s="39"/>
      <c r="G195" s="39"/>
      <c r="H195" s="39"/>
      <c r="I195" s="41"/>
      <c r="J195" s="39"/>
      <c r="K195" s="39"/>
      <c r="L195" s="39"/>
      <c r="M195" s="39"/>
      <c r="N195" s="37" t="str">
        <f>IF(OR(A195="",B195=""),"",A195=_xludf.MAXIFS($A$5:$A$304,$B$5:$B$304,B195))</f>
        <v/>
      </c>
    </row>
    <row r="196" spans="1:14">
      <c r="A196" s="38"/>
      <c r="B196" s="36"/>
      <c r="C196" s="37" t="str">
        <f>IF(B196="","",IFERROR(INDEX('Task Master'!$K$5:$K$100,MATCH(B196,'Task Master'!$A$5:$A$100,0)),""))</f>
        <v/>
      </c>
      <c r="D196" s="36"/>
      <c r="E196" s="36"/>
      <c r="F196" s="39"/>
      <c r="G196" s="39"/>
      <c r="H196" s="39"/>
      <c r="I196" s="41"/>
      <c r="J196" s="39"/>
      <c r="K196" s="39"/>
      <c r="L196" s="39"/>
      <c r="M196" s="39"/>
      <c r="N196" s="37" t="str">
        <f>IF(OR(A196="",B196=""),"",A196=_xludf.MAXIFS($A$5:$A$304,$B$5:$B$304,B196))</f>
        <v/>
      </c>
    </row>
    <row r="197" spans="1:14">
      <c r="A197" s="38"/>
      <c r="B197" s="36"/>
      <c r="C197" s="37" t="str">
        <f>IF(B197="","",IFERROR(INDEX('Task Master'!$K$5:$K$100,MATCH(B197,'Task Master'!$A$5:$A$100,0)),""))</f>
        <v/>
      </c>
      <c r="D197" s="36"/>
      <c r="E197" s="36"/>
      <c r="F197" s="39"/>
      <c r="G197" s="39"/>
      <c r="H197" s="39"/>
      <c r="I197" s="41"/>
      <c r="J197" s="39"/>
      <c r="K197" s="39"/>
      <c r="L197" s="39"/>
      <c r="M197" s="39"/>
      <c r="N197" s="37" t="str">
        <f>IF(OR(A197="",B197=""),"",A197=_xludf.MAXIFS($A$5:$A$304,$B$5:$B$304,B197))</f>
        <v/>
      </c>
    </row>
    <row r="198" spans="1:14">
      <c r="A198" s="38"/>
      <c r="B198" s="36"/>
      <c r="C198" s="37" t="str">
        <f>IF(B198="","",IFERROR(INDEX('Task Master'!$K$5:$K$100,MATCH(B198,'Task Master'!$A$5:$A$100,0)),""))</f>
        <v/>
      </c>
      <c r="D198" s="36"/>
      <c r="E198" s="36"/>
      <c r="F198" s="39"/>
      <c r="G198" s="39"/>
      <c r="H198" s="39"/>
      <c r="I198" s="41"/>
      <c r="J198" s="39"/>
      <c r="K198" s="39"/>
      <c r="L198" s="39"/>
      <c r="M198" s="39"/>
      <c r="N198" s="37" t="str">
        <f>IF(OR(A198="",B198=""),"",A198=_xludf.MAXIFS($A$5:$A$304,$B$5:$B$304,B198))</f>
        <v/>
      </c>
    </row>
    <row r="199" spans="1:14">
      <c r="A199" s="38"/>
      <c r="B199" s="36"/>
      <c r="C199" s="37" t="str">
        <f>IF(B199="","",IFERROR(INDEX('Task Master'!$K$5:$K$100,MATCH(B199,'Task Master'!$A$5:$A$100,0)),""))</f>
        <v/>
      </c>
      <c r="D199" s="36"/>
      <c r="E199" s="36"/>
      <c r="F199" s="39"/>
      <c r="G199" s="39"/>
      <c r="H199" s="39"/>
      <c r="I199" s="41"/>
      <c r="J199" s="39"/>
      <c r="K199" s="39"/>
      <c r="L199" s="39"/>
      <c r="M199" s="39"/>
      <c r="N199" s="37" t="str">
        <f>IF(OR(A199="",B199=""),"",A199=_xludf.MAXIFS($A$5:$A$304,$B$5:$B$304,B199))</f>
        <v/>
      </c>
    </row>
    <row r="200" spans="1:14">
      <c r="A200" s="38"/>
      <c r="B200" s="36"/>
      <c r="C200" s="37" t="str">
        <f>IF(B200="","",IFERROR(INDEX('Task Master'!$K$5:$K$100,MATCH(B200,'Task Master'!$A$5:$A$100,0)),""))</f>
        <v/>
      </c>
      <c r="D200" s="36"/>
      <c r="E200" s="36"/>
      <c r="F200" s="39"/>
      <c r="G200" s="39"/>
      <c r="H200" s="39"/>
      <c r="I200" s="41"/>
      <c r="J200" s="39"/>
      <c r="K200" s="39"/>
      <c r="L200" s="39"/>
      <c r="M200" s="39"/>
      <c r="N200" s="37" t="str">
        <f>IF(OR(A200="",B200=""),"",A200=_xludf.MAXIFS($A$5:$A$304,$B$5:$B$304,B200))</f>
        <v/>
      </c>
    </row>
    <row r="201" spans="1:14">
      <c r="A201" s="38"/>
      <c r="B201" s="36"/>
      <c r="C201" s="37" t="str">
        <f>IF(B201="","",IFERROR(INDEX('Task Master'!$K$5:$K$100,MATCH(B201,'Task Master'!$A$5:$A$100,0)),""))</f>
        <v/>
      </c>
      <c r="D201" s="36"/>
      <c r="E201" s="36"/>
      <c r="F201" s="39"/>
      <c r="G201" s="39"/>
      <c r="H201" s="39"/>
      <c r="I201" s="41"/>
      <c r="J201" s="39"/>
      <c r="K201" s="39"/>
      <c r="L201" s="39"/>
      <c r="M201" s="39"/>
      <c r="N201" s="37" t="str">
        <f>IF(OR(A201="",B201=""),"",A201=_xludf.MAXIFS($A$5:$A$304,$B$5:$B$304,B201))</f>
        <v/>
      </c>
    </row>
    <row r="202" spans="1:14">
      <c r="A202" s="38"/>
      <c r="B202" s="36"/>
      <c r="C202" s="37" t="str">
        <f>IF(B202="","",IFERROR(INDEX('Task Master'!$K$5:$K$100,MATCH(B202,'Task Master'!$A$5:$A$100,0)),""))</f>
        <v/>
      </c>
      <c r="D202" s="36"/>
      <c r="E202" s="36"/>
      <c r="F202" s="39"/>
      <c r="G202" s="39"/>
      <c r="H202" s="39"/>
      <c r="I202" s="41"/>
      <c r="J202" s="39"/>
      <c r="K202" s="39"/>
      <c r="L202" s="39"/>
      <c r="M202" s="39"/>
      <c r="N202" s="37" t="str">
        <f>IF(OR(A202="",B202=""),"",A202=_xludf.MAXIFS($A$5:$A$304,$B$5:$B$304,B202))</f>
        <v/>
      </c>
    </row>
    <row r="203" spans="1:14">
      <c r="A203" s="38"/>
      <c r="B203" s="36"/>
      <c r="C203" s="37" t="str">
        <f>IF(B203="","",IFERROR(INDEX('Task Master'!$K$5:$K$100,MATCH(B203,'Task Master'!$A$5:$A$100,0)),""))</f>
        <v/>
      </c>
      <c r="D203" s="36"/>
      <c r="E203" s="36"/>
      <c r="F203" s="39"/>
      <c r="G203" s="39"/>
      <c r="H203" s="39"/>
      <c r="I203" s="41"/>
      <c r="J203" s="39"/>
      <c r="K203" s="39"/>
      <c r="L203" s="39"/>
      <c r="M203" s="39"/>
      <c r="N203" s="37" t="str">
        <f>IF(OR(A203="",B203=""),"",A203=_xludf.MAXIFS($A$5:$A$304,$B$5:$B$304,B203))</f>
        <v/>
      </c>
    </row>
    <row r="204" spans="1:14">
      <c r="A204" s="38"/>
      <c r="B204" s="36"/>
      <c r="C204" s="37" t="str">
        <f>IF(B204="","",IFERROR(INDEX('Task Master'!$K$5:$K$100,MATCH(B204,'Task Master'!$A$5:$A$100,0)),""))</f>
        <v/>
      </c>
      <c r="D204" s="36"/>
      <c r="E204" s="36"/>
      <c r="F204" s="39"/>
      <c r="G204" s="39"/>
      <c r="H204" s="39"/>
      <c r="I204" s="41"/>
      <c r="J204" s="39"/>
      <c r="K204" s="39"/>
      <c r="L204" s="39"/>
      <c r="M204" s="39"/>
      <c r="N204" s="37" t="str">
        <f>IF(OR(A204="",B204=""),"",A204=_xludf.MAXIFS($A$5:$A$304,$B$5:$B$304,B204))</f>
        <v/>
      </c>
    </row>
    <row r="205" spans="1:14">
      <c r="A205" s="38"/>
      <c r="B205" s="36"/>
      <c r="C205" s="37" t="str">
        <f>IF(B205="","",IFERROR(INDEX('Task Master'!$K$5:$K$100,MATCH(B205,'Task Master'!$A$5:$A$100,0)),""))</f>
        <v/>
      </c>
      <c r="D205" s="36"/>
      <c r="E205" s="36"/>
      <c r="F205" s="39"/>
      <c r="G205" s="39"/>
      <c r="H205" s="39"/>
      <c r="I205" s="41"/>
      <c r="J205" s="39"/>
      <c r="K205" s="39"/>
      <c r="L205" s="39"/>
      <c r="M205" s="39"/>
      <c r="N205" s="37" t="str">
        <f>IF(OR(A205="",B205=""),"",A205=_xludf.MAXIFS($A$5:$A$304,$B$5:$B$304,B205))</f>
        <v/>
      </c>
    </row>
    <row r="206" spans="1:14">
      <c r="A206" s="38"/>
      <c r="B206" s="36"/>
      <c r="C206" s="37" t="str">
        <f>IF(B206="","",IFERROR(INDEX('Task Master'!$K$5:$K$100,MATCH(B206,'Task Master'!$A$5:$A$100,0)),""))</f>
        <v/>
      </c>
      <c r="D206" s="36"/>
      <c r="E206" s="36"/>
      <c r="F206" s="39"/>
      <c r="G206" s="39"/>
      <c r="H206" s="39"/>
      <c r="I206" s="41"/>
      <c r="J206" s="39"/>
      <c r="K206" s="39"/>
      <c r="L206" s="39"/>
      <c r="M206" s="39"/>
      <c r="N206" s="37" t="str">
        <f>IF(OR(A206="",B206=""),"",A206=_xludf.MAXIFS($A$5:$A$304,$B$5:$B$304,B206))</f>
        <v/>
      </c>
    </row>
    <row r="207" spans="1:14">
      <c r="A207" s="38"/>
      <c r="B207" s="36"/>
      <c r="C207" s="37" t="str">
        <f>IF(B207="","",IFERROR(INDEX('Task Master'!$K$5:$K$100,MATCH(B207,'Task Master'!$A$5:$A$100,0)),""))</f>
        <v/>
      </c>
      <c r="D207" s="36"/>
      <c r="E207" s="36"/>
      <c r="F207" s="39"/>
      <c r="G207" s="39"/>
      <c r="H207" s="39"/>
      <c r="I207" s="41"/>
      <c r="J207" s="39"/>
      <c r="K207" s="39"/>
      <c r="L207" s="39"/>
      <c r="M207" s="39"/>
      <c r="N207" s="37" t="str">
        <f>IF(OR(A207="",B207=""),"",A207=_xludf.MAXIFS($A$5:$A$304,$B$5:$B$304,B207))</f>
        <v/>
      </c>
    </row>
    <row r="208" spans="1:14">
      <c r="A208" s="38"/>
      <c r="B208" s="36"/>
      <c r="C208" s="37" t="str">
        <f>IF(B208="","",IFERROR(INDEX('Task Master'!$K$5:$K$100,MATCH(B208,'Task Master'!$A$5:$A$100,0)),""))</f>
        <v/>
      </c>
      <c r="D208" s="36"/>
      <c r="E208" s="36"/>
      <c r="F208" s="39"/>
      <c r="G208" s="39"/>
      <c r="H208" s="39"/>
      <c r="I208" s="41"/>
      <c r="J208" s="39"/>
      <c r="K208" s="39"/>
      <c r="L208" s="39"/>
      <c r="M208" s="39"/>
      <c r="N208" s="37" t="str">
        <f>IF(OR(A208="",B208=""),"",A208=_xludf.MAXIFS($A$5:$A$304,$B$5:$B$304,B208))</f>
        <v/>
      </c>
    </row>
    <row r="209" spans="1:14">
      <c r="A209" s="38"/>
      <c r="B209" s="36"/>
      <c r="C209" s="37" t="str">
        <f>IF(B209="","",IFERROR(INDEX('Task Master'!$K$5:$K$100,MATCH(B209,'Task Master'!$A$5:$A$100,0)),""))</f>
        <v/>
      </c>
      <c r="D209" s="36"/>
      <c r="E209" s="36"/>
      <c r="F209" s="39"/>
      <c r="G209" s="39"/>
      <c r="H209" s="39"/>
      <c r="I209" s="41"/>
      <c r="J209" s="39"/>
      <c r="K209" s="39"/>
      <c r="L209" s="39"/>
      <c r="M209" s="39"/>
      <c r="N209" s="37" t="str">
        <f>IF(OR(A209="",B209=""),"",A209=_xludf.MAXIFS($A$5:$A$304,$B$5:$B$304,B209))</f>
        <v/>
      </c>
    </row>
    <row r="210" spans="1:14">
      <c r="A210" s="38"/>
      <c r="B210" s="36"/>
      <c r="C210" s="37" t="str">
        <f>IF(B210="","",IFERROR(INDEX('Task Master'!$K$5:$K$100,MATCH(B210,'Task Master'!$A$5:$A$100,0)),""))</f>
        <v/>
      </c>
      <c r="D210" s="36"/>
      <c r="E210" s="36"/>
      <c r="F210" s="39"/>
      <c r="G210" s="39"/>
      <c r="H210" s="39"/>
      <c r="I210" s="41"/>
      <c r="J210" s="39"/>
      <c r="K210" s="39"/>
      <c r="L210" s="39"/>
      <c r="M210" s="39"/>
      <c r="N210" s="37" t="str">
        <f>IF(OR(A210="",B210=""),"",A210=_xludf.MAXIFS($A$5:$A$304,$B$5:$B$304,B210))</f>
        <v/>
      </c>
    </row>
    <row r="211" spans="1:14">
      <c r="A211" s="38"/>
      <c r="B211" s="36"/>
      <c r="C211" s="37" t="str">
        <f>IF(B211="","",IFERROR(INDEX('Task Master'!$K$5:$K$100,MATCH(B211,'Task Master'!$A$5:$A$100,0)),""))</f>
        <v/>
      </c>
      <c r="D211" s="36"/>
      <c r="E211" s="36"/>
      <c r="F211" s="39"/>
      <c r="G211" s="39"/>
      <c r="H211" s="39"/>
      <c r="I211" s="41"/>
      <c r="J211" s="39"/>
      <c r="K211" s="39"/>
      <c r="L211" s="39"/>
      <c r="M211" s="39"/>
      <c r="N211" s="37" t="str">
        <f>IF(OR(A211="",B211=""),"",A211=_xludf.MAXIFS($A$5:$A$304,$B$5:$B$304,B211))</f>
        <v/>
      </c>
    </row>
    <row r="212" spans="1:14">
      <c r="A212" s="38"/>
      <c r="B212" s="36"/>
      <c r="C212" s="37" t="str">
        <f>IF(B212="","",IFERROR(INDEX('Task Master'!$K$5:$K$100,MATCH(B212,'Task Master'!$A$5:$A$100,0)),""))</f>
        <v/>
      </c>
      <c r="D212" s="36"/>
      <c r="E212" s="36"/>
      <c r="F212" s="39"/>
      <c r="G212" s="39"/>
      <c r="H212" s="39"/>
      <c r="I212" s="41"/>
      <c r="J212" s="39"/>
      <c r="K212" s="39"/>
      <c r="L212" s="39"/>
      <c r="M212" s="39"/>
      <c r="N212" s="37" t="str">
        <f>IF(OR(A212="",B212=""),"",A212=_xludf.MAXIFS($A$5:$A$304,$B$5:$B$304,B212))</f>
        <v/>
      </c>
    </row>
    <row r="213" spans="1:14">
      <c r="A213" s="38"/>
      <c r="B213" s="36"/>
      <c r="C213" s="37" t="str">
        <f>IF(B213="","",IFERROR(INDEX('Task Master'!$K$5:$K$100,MATCH(B213,'Task Master'!$A$5:$A$100,0)),""))</f>
        <v/>
      </c>
      <c r="D213" s="36"/>
      <c r="E213" s="36"/>
      <c r="F213" s="39"/>
      <c r="G213" s="39"/>
      <c r="H213" s="39"/>
      <c r="I213" s="41"/>
      <c r="J213" s="39"/>
      <c r="K213" s="39"/>
      <c r="L213" s="39"/>
      <c r="M213" s="39"/>
      <c r="N213" s="37" t="str">
        <f>IF(OR(A213="",B213=""),"",A213=_xludf.MAXIFS($A$5:$A$304,$B$5:$B$304,B213))</f>
        <v/>
      </c>
    </row>
    <row r="214" spans="1:14">
      <c r="A214" s="38"/>
      <c r="B214" s="36"/>
      <c r="C214" s="37" t="str">
        <f>IF(B214="","",IFERROR(INDEX('Task Master'!$K$5:$K$100,MATCH(B214,'Task Master'!$A$5:$A$100,0)),""))</f>
        <v/>
      </c>
      <c r="D214" s="36"/>
      <c r="E214" s="36"/>
      <c r="F214" s="39"/>
      <c r="G214" s="39"/>
      <c r="H214" s="39"/>
      <c r="I214" s="41"/>
      <c r="J214" s="39"/>
      <c r="K214" s="39"/>
      <c r="L214" s="39"/>
      <c r="M214" s="39"/>
      <c r="N214" s="37" t="str">
        <f>IF(OR(A214="",B214=""),"",A214=_xludf.MAXIFS($A$5:$A$304,$B$5:$B$304,B214))</f>
        <v/>
      </c>
    </row>
    <row r="215" spans="1:14">
      <c r="A215" s="38"/>
      <c r="B215" s="36"/>
      <c r="C215" s="37" t="str">
        <f>IF(B215="","",IFERROR(INDEX('Task Master'!$K$5:$K$100,MATCH(B215,'Task Master'!$A$5:$A$100,0)),""))</f>
        <v/>
      </c>
      <c r="D215" s="36"/>
      <c r="E215" s="36"/>
      <c r="F215" s="39"/>
      <c r="G215" s="39"/>
      <c r="H215" s="39"/>
      <c r="I215" s="41"/>
      <c r="J215" s="39"/>
      <c r="K215" s="39"/>
      <c r="L215" s="39"/>
      <c r="M215" s="39"/>
      <c r="N215" s="37" t="str">
        <f>IF(OR(A215="",B215=""),"",A215=_xludf.MAXIFS($A$5:$A$304,$B$5:$B$304,B215))</f>
        <v/>
      </c>
    </row>
    <row r="216" spans="1:14">
      <c r="A216" s="38"/>
      <c r="B216" s="36"/>
      <c r="C216" s="37" t="str">
        <f>IF(B216="","",IFERROR(INDEX('Task Master'!$K$5:$K$100,MATCH(B216,'Task Master'!$A$5:$A$100,0)),""))</f>
        <v/>
      </c>
      <c r="D216" s="36"/>
      <c r="E216" s="36"/>
      <c r="F216" s="39"/>
      <c r="G216" s="39"/>
      <c r="H216" s="39"/>
      <c r="I216" s="41"/>
      <c r="J216" s="39"/>
      <c r="K216" s="39"/>
      <c r="L216" s="39"/>
      <c r="M216" s="39"/>
      <c r="N216" s="37" t="str">
        <f>IF(OR(A216="",B216=""),"",A216=_xludf.MAXIFS($A$5:$A$304,$B$5:$B$304,B216))</f>
        <v/>
      </c>
    </row>
    <row r="217" spans="1:14">
      <c r="A217" s="38"/>
      <c r="B217" s="36"/>
      <c r="C217" s="37" t="str">
        <f>IF(B217="","",IFERROR(INDEX('Task Master'!$K$5:$K$100,MATCH(B217,'Task Master'!$A$5:$A$100,0)),""))</f>
        <v/>
      </c>
      <c r="D217" s="36"/>
      <c r="E217" s="36"/>
      <c r="F217" s="39"/>
      <c r="G217" s="39"/>
      <c r="H217" s="39"/>
      <c r="I217" s="41"/>
      <c r="J217" s="39"/>
      <c r="K217" s="39"/>
      <c r="L217" s="39"/>
      <c r="M217" s="39"/>
      <c r="N217" s="37" t="str">
        <f>IF(OR(A217="",B217=""),"",A217=_xludf.MAXIFS($A$5:$A$304,$B$5:$B$304,B217))</f>
        <v/>
      </c>
    </row>
    <row r="218" spans="1:14">
      <c r="A218" s="38"/>
      <c r="B218" s="36"/>
      <c r="C218" s="37" t="str">
        <f>IF(B218="","",IFERROR(INDEX('Task Master'!$K$5:$K$100,MATCH(B218,'Task Master'!$A$5:$A$100,0)),""))</f>
        <v/>
      </c>
      <c r="D218" s="36"/>
      <c r="E218" s="36"/>
      <c r="F218" s="39"/>
      <c r="G218" s="39"/>
      <c r="H218" s="39"/>
      <c r="I218" s="41"/>
      <c r="J218" s="39"/>
      <c r="K218" s="39"/>
      <c r="L218" s="39"/>
      <c r="M218" s="39"/>
      <c r="N218" s="37" t="str">
        <f>IF(OR(A218="",B218=""),"",A218=_xludf.MAXIFS($A$5:$A$304,$B$5:$B$304,B218))</f>
        <v/>
      </c>
    </row>
    <row r="219" spans="1:14">
      <c r="A219" s="38"/>
      <c r="B219" s="36"/>
      <c r="C219" s="37" t="str">
        <f>IF(B219="","",IFERROR(INDEX('Task Master'!$K$5:$K$100,MATCH(B219,'Task Master'!$A$5:$A$100,0)),""))</f>
        <v/>
      </c>
      <c r="D219" s="36"/>
      <c r="E219" s="36"/>
      <c r="F219" s="39"/>
      <c r="G219" s="39"/>
      <c r="H219" s="39"/>
      <c r="I219" s="41"/>
      <c r="J219" s="39"/>
      <c r="K219" s="39"/>
      <c r="L219" s="39"/>
      <c r="M219" s="39"/>
      <c r="N219" s="37" t="str">
        <f>IF(OR(A219="",B219=""),"",A219=_xludf.MAXIFS($A$5:$A$304,$B$5:$B$304,B219))</f>
        <v/>
      </c>
    </row>
    <row r="220" spans="1:14">
      <c r="A220" s="38"/>
      <c r="B220" s="36"/>
      <c r="C220" s="37" t="str">
        <f>IF(B220="","",IFERROR(INDEX('Task Master'!$K$5:$K$100,MATCH(B220,'Task Master'!$A$5:$A$100,0)),""))</f>
        <v/>
      </c>
      <c r="D220" s="36"/>
      <c r="E220" s="36"/>
      <c r="F220" s="39"/>
      <c r="G220" s="39"/>
      <c r="H220" s="39"/>
      <c r="I220" s="41"/>
      <c r="J220" s="39"/>
      <c r="K220" s="39"/>
      <c r="L220" s="39"/>
      <c r="M220" s="39"/>
      <c r="N220" s="37" t="str">
        <f>IF(OR(A220="",B220=""),"",A220=_xludf.MAXIFS($A$5:$A$304,$B$5:$B$304,B220))</f>
        <v/>
      </c>
    </row>
    <row r="221" spans="1:14">
      <c r="A221" s="38"/>
      <c r="B221" s="36"/>
      <c r="C221" s="37" t="str">
        <f>IF(B221="","",IFERROR(INDEX('Task Master'!$K$5:$K$100,MATCH(B221,'Task Master'!$A$5:$A$100,0)),""))</f>
        <v/>
      </c>
      <c r="D221" s="36"/>
      <c r="E221" s="36"/>
      <c r="F221" s="39"/>
      <c r="G221" s="39"/>
      <c r="H221" s="39"/>
      <c r="I221" s="41"/>
      <c r="J221" s="39"/>
      <c r="K221" s="39"/>
      <c r="L221" s="39"/>
      <c r="M221" s="39"/>
      <c r="N221" s="37" t="str">
        <f>IF(OR(A221="",B221=""),"",A221=_xludf.MAXIFS($A$5:$A$304,$B$5:$B$304,B221))</f>
        <v/>
      </c>
    </row>
    <row r="222" spans="1:14">
      <c r="A222" s="38"/>
      <c r="B222" s="36"/>
      <c r="C222" s="37" t="str">
        <f>IF(B222="","",IFERROR(INDEX('Task Master'!$K$5:$K$100,MATCH(B222,'Task Master'!$A$5:$A$100,0)),""))</f>
        <v/>
      </c>
      <c r="D222" s="36"/>
      <c r="E222" s="36"/>
      <c r="F222" s="39"/>
      <c r="G222" s="39"/>
      <c r="H222" s="39"/>
      <c r="I222" s="41"/>
      <c r="J222" s="39"/>
      <c r="K222" s="39"/>
      <c r="L222" s="39"/>
      <c r="M222" s="39"/>
      <c r="N222" s="37" t="str">
        <f>IF(OR(A222="",B222=""),"",A222=_xludf.MAXIFS($A$5:$A$304,$B$5:$B$304,B222))</f>
        <v/>
      </c>
    </row>
    <row r="223" spans="1:14">
      <c r="A223" s="38"/>
      <c r="B223" s="36"/>
      <c r="C223" s="37" t="str">
        <f>IF(B223="","",IFERROR(INDEX('Task Master'!$K$5:$K$100,MATCH(B223,'Task Master'!$A$5:$A$100,0)),""))</f>
        <v/>
      </c>
      <c r="D223" s="36"/>
      <c r="E223" s="36"/>
      <c r="F223" s="39"/>
      <c r="G223" s="39"/>
      <c r="H223" s="39"/>
      <c r="I223" s="41"/>
      <c r="J223" s="39"/>
      <c r="K223" s="39"/>
      <c r="L223" s="39"/>
      <c r="M223" s="39"/>
      <c r="N223" s="37" t="str">
        <f>IF(OR(A223="",B223=""),"",A223=_xludf.MAXIFS($A$5:$A$304,$B$5:$B$304,B223))</f>
        <v/>
      </c>
    </row>
    <row r="224" spans="1:14">
      <c r="A224" s="38"/>
      <c r="B224" s="36"/>
      <c r="C224" s="37" t="str">
        <f>IF(B224="","",IFERROR(INDEX('Task Master'!$K$5:$K$100,MATCH(B224,'Task Master'!$A$5:$A$100,0)),""))</f>
        <v/>
      </c>
      <c r="D224" s="36"/>
      <c r="E224" s="36"/>
      <c r="F224" s="39"/>
      <c r="G224" s="39"/>
      <c r="H224" s="39"/>
      <c r="I224" s="41"/>
      <c r="J224" s="39"/>
      <c r="K224" s="39"/>
      <c r="L224" s="39"/>
      <c r="M224" s="39"/>
      <c r="N224" s="37" t="str">
        <f>IF(OR(A224="",B224=""),"",A224=_xludf.MAXIFS($A$5:$A$304,$B$5:$B$304,B224))</f>
        <v/>
      </c>
    </row>
    <row r="225" spans="1:14">
      <c r="A225" s="38"/>
      <c r="B225" s="36"/>
      <c r="C225" s="37" t="str">
        <f>IF(B225="","",IFERROR(INDEX('Task Master'!$K$5:$K$100,MATCH(B225,'Task Master'!$A$5:$A$100,0)),""))</f>
        <v/>
      </c>
      <c r="D225" s="36"/>
      <c r="E225" s="36"/>
      <c r="F225" s="39"/>
      <c r="G225" s="39"/>
      <c r="H225" s="39"/>
      <c r="I225" s="41"/>
      <c r="J225" s="39"/>
      <c r="K225" s="39"/>
      <c r="L225" s="39"/>
      <c r="M225" s="39"/>
      <c r="N225" s="37" t="str">
        <f>IF(OR(A225="",B225=""),"",A225=_xludf.MAXIFS($A$5:$A$304,$B$5:$B$304,B225))</f>
        <v/>
      </c>
    </row>
    <row r="226" spans="1:14">
      <c r="A226" s="38"/>
      <c r="B226" s="36"/>
      <c r="C226" s="37" t="str">
        <f>IF(B226="","",IFERROR(INDEX('Task Master'!$K$5:$K$100,MATCH(B226,'Task Master'!$A$5:$A$100,0)),""))</f>
        <v/>
      </c>
      <c r="D226" s="36"/>
      <c r="E226" s="36"/>
      <c r="F226" s="39"/>
      <c r="G226" s="39"/>
      <c r="H226" s="39"/>
      <c r="I226" s="41"/>
      <c r="J226" s="39"/>
      <c r="K226" s="39"/>
      <c r="L226" s="39"/>
      <c r="M226" s="39"/>
      <c r="N226" s="37" t="str">
        <f>IF(OR(A226="",B226=""),"",A226=_xludf.MAXIFS($A$5:$A$304,$B$5:$B$304,B226))</f>
        <v/>
      </c>
    </row>
    <row r="227" spans="1:14">
      <c r="A227" s="38"/>
      <c r="B227" s="36"/>
      <c r="C227" s="37" t="str">
        <f>IF(B227="","",IFERROR(INDEX('Task Master'!$K$5:$K$100,MATCH(B227,'Task Master'!$A$5:$A$100,0)),""))</f>
        <v/>
      </c>
      <c r="D227" s="36"/>
      <c r="E227" s="36"/>
      <c r="F227" s="39"/>
      <c r="G227" s="39"/>
      <c r="H227" s="39"/>
      <c r="I227" s="41"/>
      <c r="J227" s="39"/>
      <c r="K227" s="39"/>
      <c r="L227" s="39"/>
      <c r="M227" s="39"/>
      <c r="N227" s="37" t="str">
        <f>IF(OR(A227="",B227=""),"",A227=_xludf.MAXIFS($A$5:$A$304,$B$5:$B$304,B227))</f>
        <v/>
      </c>
    </row>
    <row r="228" spans="1:14">
      <c r="A228" s="38"/>
      <c r="B228" s="36"/>
      <c r="C228" s="37" t="str">
        <f>IF(B228="","",IFERROR(INDEX('Task Master'!$K$5:$K$100,MATCH(B228,'Task Master'!$A$5:$A$100,0)),""))</f>
        <v/>
      </c>
      <c r="D228" s="36"/>
      <c r="E228" s="36"/>
      <c r="F228" s="39"/>
      <c r="G228" s="39"/>
      <c r="H228" s="39"/>
      <c r="I228" s="41"/>
      <c r="J228" s="39"/>
      <c r="K228" s="39"/>
      <c r="L228" s="39"/>
      <c r="M228" s="39"/>
      <c r="N228" s="37" t="str">
        <f>IF(OR(A228="",B228=""),"",A228=_xludf.MAXIFS($A$5:$A$304,$B$5:$B$304,B228))</f>
        <v/>
      </c>
    </row>
    <row r="229" spans="1:14">
      <c r="A229" s="38"/>
      <c r="B229" s="36"/>
      <c r="C229" s="37" t="str">
        <f>IF(B229="","",IFERROR(INDEX('Task Master'!$K$5:$K$100,MATCH(B229,'Task Master'!$A$5:$A$100,0)),""))</f>
        <v/>
      </c>
      <c r="D229" s="36"/>
      <c r="E229" s="36"/>
      <c r="F229" s="39"/>
      <c r="G229" s="39"/>
      <c r="H229" s="39"/>
      <c r="I229" s="41"/>
      <c r="J229" s="39"/>
      <c r="K229" s="39"/>
      <c r="L229" s="39"/>
      <c r="M229" s="39"/>
      <c r="N229" s="37" t="str">
        <f>IF(OR(A229="",B229=""),"",A229=_xludf.MAXIFS($A$5:$A$304,$B$5:$B$304,B229))</f>
        <v/>
      </c>
    </row>
    <row r="230" spans="1:14">
      <c r="A230" s="38"/>
      <c r="B230" s="36"/>
      <c r="C230" s="37" t="str">
        <f>IF(B230="","",IFERROR(INDEX('Task Master'!$K$5:$K$100,MATCH(B230,'Task Master'!$A$5:$A$100,0)),""))</f>
        <v/>
      </c>
      <c r="D230" s="36"/>
      <c r="E230" s="36"/>
      <c r="F230" s="39"/>
      <c r="G230" s="39"/>
      <c r="H230" s="39"/>
      <c r="I230" s="41"/>
      <c r="J230" s="39"/>
      <c r="K230" s="39"/>
      <c r="L230" s="39"/>
      <c r="M230" s="39"/>
      <c r="N230" s="37" t="str">
        <f>IF(OR(A230="",B230=""),"",A230=_xludf.MAXIFS($A$5:$A$304,$B$5:$B$304,B230))</f>
        <v/>
      </c>
    </row>
    <row r="231" spans="1:14">
      <c r="A231" s="38"/>
      <c r="B231" s="36"/>
      <c r="C231" s="37" t="str">
        <f>IF(B231="","",IFERROR(INDEX('Task Master'!$K$5:$K$100,MATCH(B231,'Task Master'!$A$5:$A$100,0)),""))</f>
        <v/>
      </c>
      <c r="D231" s="36"/>
      <c r="E231" s="36"/>
      <c r="F231" s="39"/>
      <c r="G231" s="39"/>
      <c r="H231" s="39"/>
      <c r="I231" s="41"/>
      <c r="J231" s="39"/>
      <c r="K231" s="39"/>
      <c r="L231" s="39"/>
      <c r="M231" s="39"/>
      <c r="N231" s="37" t="str">
        <f>IF(OR(A231="",B231=""),"",A231=_xludf.MAXIFS($A$5:$A$304,$B$5:$B$304,B231))</f>
        <v/>
      </c>
    </row>
    <row r="232" spans="1:14">
      <c r="A232" s="38"/>
      <c r="B232" s="36"/>
      <c r="C232" s="37" t="str">
        <f>IF(B232="","",IFERROR(INDEX('Task Master'!$K$5:$K$100,MATCH(B232,'Task Master'!$A$5:$A$100,0)),""))</f>
        <v/>
      </c>
      <c r="D232" s="36"/>
      <c r="E232" s="36"/>
      <c r="F232" s="39"/>
      <c r="G232" s="39"/>
      <c r="H232" s="39"/>
      <c r="I232" s="41"/>
      <c r="J232" s="39"/>
      <c r="K232" s="39"/>
      <c r="L232" s="39"/>
      <c r="M232" s="39"/>
      <c r="N232" s="37" t="str">
        <f>IF(OR(A232="",B232=""),"",A232=_xludf.MAXIFS($A$5:$A$304,$B$5:$B$304,B232))</f>
        <v/>
      </c>
    </row>
    <row r="233" spans="1:14">
      <c r="A233" s="38"/>
      <c r="B233" s="36"/>
      <c r="C233" s="37" t="str">
        <f>IF(B233="","",IFERROR(INDEX('Task Master'!$K$5:$K$100,MATCH(B233,'Task Master'!$A$5:$A$100,0)),""))</f>
        <v/>
      </c>
      <c r="D233" s="36"/>
      <c r="E233" s="36"/>
      <c r="F233" s="39"/>
      <c r="G233" s="39"/>
      <c r="H233" s="39"/>
      <c r="I233" s="41"/>
      <c r="J233" s="39"/>
      <c r="K233" s="39"/>
      <c r="L233" s="39"/>
      <c r="M233" s="39"/>
      <c r="N233" s="37" t="str">
        <f>IF(OR(A233="",B233=""),"",A233=_xludf.MAXIFS($A$5:$A$304,$B$5:$B$304,B233))</f>
        <v/>
      </c>
    </row>
    <row r="234" spans="1:14">
      <c r="A234" s="38"/>
      <c r="B234" s="36"/>
      <c r="C234" s="37" t="str">
        <f>IF(B234="","",IFERROR(INDEX('Task Master'!$K$5:$K$100,MATCH(B234,'Task Master'!$A$5:$A$100,0)),""))</f>
        <v/>
      </c>
      <c r="D234" s="36"/>
      <c r="E234" s="36"/>
      <c r="F234" s="39"/>
      <c r="G234" s="39"/>
      <c r="H234" s="39"/>
      <c r="I234" s="41"/>
      <c r="J234" s="39"/>
      <c r="K234" s="39"/>
      <c r="L234" s="39"/>
      <c r="M234" s="39"/>
      <c r="N234" s="37" t="str">
        <f>IF(OR(A234="",B234=""),"",A234=_xludf.MAXIFS($A$5:$A$304,$B$5:$B$304,B234))</f>
        <v/>
      </c>
    </row>
    <row r="235" spans="1:14">
      <c r="A235" s="38"/>
      <c r="B235" s="36"/>
      <c r="C235" s="37" t="str">
        <f>IF(B235="","",IFERROR(INDEX('Task Master'!$K$5:$K$100,MATCH(B235,'Task Master'!$A$5:$A$100,0)),""))</f>
        <v/>
      </c>
      <c r="D235" s="36"/>
      <c r="E235" s="36"/>
      <c r="F235" s="39"/>
      <c r="G235" s="39"/>
      <c r="H235" s="39"/>
      <c r="I235" s="41"/>
      <c r="J235" s="39"/>
      <c r="K235" s="39"/>
      <c r="L235" s="39"/>
      <c r="M235" s="39"/>
      <c r="N235" s="37" t="str">
        <f>IF(OR(A235="",B235=""),"",A235=_xludf.MAXIFS($A$5:$A$304,$B$5:$B$304,B235))</f>
        <v/>
      </c>
    </row>
    <row r="236" spans="1:14">
      <c r="A236" s="38"/>
      <c r="B236" s="36"/>
      <c r="C236" s="37" t="str">
        <f>IF(B236="","",IFERROR(INDEX('Task Master'!$K$5:$K$100,MATCH(B236,'Task Master'!$A$5:$A$100,0)),""))</f>
        <v/>
      </c>
      <c r="D236" s="36"/>
      <c r="E236" s="36"/>
      <c r="F236" s="39"/>
      <c r="G236" s="39"/>
      <c r="H236" s="39"/>
      <c r="I236" s="41"/>
      <c r="J236" s="39"/>
      <c r="K236" s="39"/>
      <c r="L236" s="39"/>
      <c r="M236" s="39"/>
      <c r="N236" s="37" t="str">
        <f>IF(OR(A236="",B236=""),"",A236=_xludf.MAXIFS($A$5:$A$304,$B$5:$B$304,B236))</f>
        <v/>
      </c>
    </row>
    <row r="237" spans="1:14">
      <c r="A237" s="38"/>
      <c r="B237" s="36"/>
      <c r="C237" s="37" t="str">
        <f>IF(B237="","",IFERROR(INDEX('Task Master'!$K$5:$K$100,MATCH(B237,'Task Master'!$A$5:$A$100,0)),""))</f>
        <v/>
      </c>
      <c r="D237" s="36"/>
      <c r="E237" s="36"/>
      <c r="F237" s="39"/>
      <c r="G237" s="39"/>
      <c r="H237" s="39"/>
      <c r="I237" s="41"/>
      <c r="J237" s="39"/>
      <c r="K237" s="39"/>
      <c r="L237" s="39"/>
      <c r="M237" s="39"/>
      <c r="N237" s="37" t="str">
        <f>IF(OR(A237="",B237=""),"",A237=_xludf.MAXIFS($A$5:$A$304,$B$5:$B$304,B237))</f>
        <v/>
      </c>
    </row>
    <row r="238" spans="1:14">
      <c r="A238" s="38"/>
      <c r="B238" s="36"/>
      <c r="C238" s="37" t="str">
        <f>IF(B238="","",IFERROR(INDEX('Task Master'!$K$5:$K$100,MATCH(B238,'Task Master'!$A$5:$A$100,0)),""))</f>
        <v/>
      </c>
      <c r="D238" s="36"/>
      <c r="E238" s="36"/>
      <c r="F238" s="39"/>
      <c r="G238" s="39"/>
      <c r="H238" s="39"/>
      <c r="I238" s="41"/>
      <c r="J238" s="39"/>
      <c r="K238" s="39"/>
      <c r="L238" s="39"/>
      <c r="M238" s="39"/>
      <c r="N238" s="37" t="str">
        <f>IF(OR(A238="",B238=""),"",A238=_xludf.MAXIFS($A$5:$A$304,$B$5:$B$304,B238))</f>
        <v/>
      </c>
    </row>
    <row r="239" spans="1:14">
      <c r="A239" s="38"/>
      <c r="B239" s="36"/>
      <c r="C239" s="37" t="str">
        <f>IF(B239="","",IFERROR(INDEX('Task Master'!$K$5:$K$100,MATCH(B239,'Task Master'!$A$5:$A$100,0)),""))</f>
        <v/>
      </c>
      <c r="D239" s="36"/>
      <c r="E239" s="36"/>
      <c r="F239" s="39"/>
      <c r="G239" s="39"/>
      <c r="H239" s="39"/>
      <c r="I239" s="41"/>
      <c r="J239" s="39"/>
      <c r="K239" s="39"/>
      <c r="L239" s="39"/>
      <c r="M239" s="39"/>
      <c r="N239" s="37" t="str">
        <f>IF(OR(A239="",B239=""),"",A239=_xludf.MAXIFS($A$5:$A$304,$B$5:$B$304,B239))</f>
        <v/>
      </c>
    </row>
    <row r="240" spans="1:14">
      <c r="A240" s="38"/>
      <c r="B240" s="36"/>
      <c r="C240" s="37" t="str">
        <f>IF(B240="","",IFERROR(INDEX('Task Master'!$K$5:$K$100,MATCH(B240,'Task Master'!$A$5:$A$100,0)),""))</f>
        <v/>
      </c>
      <c r="D240" s="36"/>
      <c r="E240" s="36"/>
      <c r="F240" s="39"/>
      <c r="G240" s="39"/>
      <c r="H240" s="39"/>
      <c r="I240" s="41"/>
      <c r="J240" s="39"/>
      <c r="K240" s="39"/>
      <c r="L240" s="39"/>
      <c r="M240" s="39"/>
      <c r="N240" s="37" t="str">
        <f>IF(OR(A240="",B240=""),"",A240=_xludf.MAXIFS($A$5:$A$304,$B$5:$B$304,B240))</f>
        <v/>
      </c>
    </row>
    <row r="241" spans="1:14">
      <c r="A241" s="38"/>
      <c r="B241" s="36"/>
      <c r="C241" s="37" t="str">
        <f>IF(B241="","",IFERROR(INDEX('Task Master'!$K$5:$K$100,MATCH(B241,'Task Master'!$A$5:$A$100,0)),""))</f>
        <v/>
      </c>
      <c r="D241" s="36"/>
      <c r="E241" s="36"/>
      <c r="F241" s="39"/>
      <c r="G241" s="39"/>
      <c r="H241" s="39"/>
      <c r="I241" s="41"/>
      <c r="J241" s="39"/>
      <c r="K241" s="39"/>
      <c r="L241" s="39"/>
      <c r="M241" s="39"/>
      <c r="N241" s="37" t="str">
        <f>IF(OR(A241="",B241=""),"",A241=_xludf.MAXIFS($A$5:$A$304,$B$5:$B$304,B241))</f>
        <v/>
      </c>
    </row>
    <row r="242" spans="1:14">
      <c r="A242" s="38"/>
      <c r="B242" s="36"/>
      <c r="C242" s="37" t="str">
        <f>IF(B242="","",IFERROR(INDEX('Task Master'!$K$5:$K$100,MATCH(B242,'Task Master'!$A$5:$A$100,0)),""))</f>
        <v/>
      </c>
      <c r="D242" s="36"/>
      <c r="E242" s="36"/>
      <c r="F242" s="39"/>
      <c r="G242" s="39"/>
      <c r="H242" s="39"/>
      <c r="I242" s="41"/>
      <c r="J242" s="39"/>
      <c r="K242" s="39"/>
      <c r="L242" s="39"/>
      <c r="M242" s="39"/>
      <c r="N242" s="37" t="str">
        <f>IF(OR(A242="",B242=""),"",A242=_xludf.MAXIFS($A$5:$A$304,$B$5:$B$304,B242))</f>
        <v/>
      </c>
    </row>
    <row r="243" spans="1:14">
      <c r="A243" s="38"/>
      <c r="B243" s="36"/>
      <c r="C243" s="37" t="str">
        <f>IF(B243="","",IFERROR(INDEX('Task Master'!$K$5:$K$100,MATCH(B243,'Task Master'!$A$5:$A$100,0)),""))</f>
        <v/>
      </c>
      <c r="D243" s="36"/>
      <c r="E243" s="36"/>
      <c r="F243" s="39"/>
      <c r="G243" s="39"/>
      <c r="H243" s="39"/>
      <c r="I243" s="41"/>
      <c r="J243" s="39"/>
      <c r="K243" s="39"/>
      <c r="L243" s="39"/>
      <c r="M243" s="39"/>
      <c r="N243" s="37" t="str">
        <f>IF(OR(A243="",B243=""),"",A243=_xludf.MAXIFS($A$5:$A$304,$B$5:$B$304,B243))</f>
        <v/>
      </c>
    </row>
    <row r="244" spans="1:14">
      <c r="A244" s="38"/>
      <c r="B244" s="36"/>
      <c r="C244" s="37" t="str">
        <f>IF(B244="","",IFERROR(INDEX('Task Master'!$K$5:$K$100,MATCH(B244,'Task Master'!$A$5:$A$100,0)),""))</f>
        <v/>
      </c>
      <c r="D244" s="36"/>
      <c r="E244" s="36"/>
      <c r="F244" s="39"/>
      <c r="G244" s="39"/>
      <c r="H244" s="39"/>
      <c r="I244" s="41"/>
      <c r="J244" s="39"/>
      <c r="K244" s="39"/>
      <c r="L244" s="39"/>
      <c r="M244" s="39"/>
      <c r="N244" s="37" t="str">
        <f>IF(OR(A244="",B244=""),"",A244=_xludf.MAXIFS($A$5:$A$304,$B$5:$B$304,B244))</f>
        <v/>
      </c>
    </row>
    <row r="245" spans="1:14">
      <c r="A245" s="38"/>
      <c r="B245" s="36"/>
      <c r="C245" s="37" t="str">
        <f>IF(B245="","",IFERROR(INDEX('Task Master'!$K$5:$K$100,MATCH(B245,'Task Master'!$A$5:$A$100,0)),""))</f>
        <v/>
      </c>
      <c r="D245" s="36"/>
      <c r="E245" s="36"/>
      <c r="F245" s="39"/>
      <c r="G245" s="39"/>
      <c r="H245" s="39"/>
      <c r="I245" s="41"/>
      <c r="J245" s="39"/>
      <c r="K245" s="39"/>
      <c r="L245" s="39"/>
      <c r="M245" s="39"/>
      <c r="N245" s="37" t="str">
        <f>IF(OR(A245="",B245=""),"",A245=_xludf.MAXIFS($A$5:$A$304,$B$5:$B$304,B245))</f>
        <v/>
      </c>
    </row>
    <row r="246" spans="1:14">
      <c r="A246" s="38"/>
      <c r="B246" s="36"/>
      <c r="C246" s="37" t="str">
        <f>IF(B246="","",IFERROR(INDEX('Task Master'!$K$5:$K$100,MATCH(B246,'Task Master'!$A$5:$A$100,0)),""))</f>
        <v/>
      </c>
      <c r="D246" s="36"/>
      <c r="E246" s="36"/>
      <c r="F246" s="39"/>
      <c r="G246" s="39"/>
      <c r="H246" s="39"/>
      <c r="I246" s="41"/>
      <c r="J246" s="39"/>
      <c r="K246" s="39"/>
      <c r="L246" s="39"/>
      <c r="M246" s="39"/>
      <c r="N246" s="37" t="str">
        <f>IF(OR(A246="",B246=""),"",A246=_xludf.MAXIFS($A$5:$A$304,$B$5:$B$304,B246))</f>
        <v/>
      </c>
    </row>
    <row r="247" spans="1:14">
      <c r="A247" s="38"/>
      <c r="B247" s="36"/>
      <c r="C247" s="37" t="str">
        <f>IF(B247="","",IFERROR(INDEX('Task Master'!$K$5:$K$100,MATCH(B247,'Task Master'!$A$5:$A$100,0)),""))</f>
        <v/>
      </c>
      <c r="D247" s="36"/>
      <c r="E247" s="36"/>
      <c r="F247" s="39"/>
      <c r="G247" s="39"/>
      <c r="H247" s="39"/>
      <c r="I247" s="41"/>
      <c r="J247" s="39"/>
      <c r="K247" s="39"/>
      <c r="L247" s="39"/>
      <c r="M247" s="39"/>
      <c r="N247" s="37" t="str">
        <f>IF(OR(A247="",B247=""),"",A247=_xludf.MAXIFS($A$5:$A$304,$B$5:$B$304,B247))</f>
        <v/>
      </c>
    </row>
    <row r="248" spans="1:14">
      <c r="A248" s="38"/>
      <c r="B248" s="36"/>
      <c r="C248" s="37" t="str">
        <f>IF(B248="","",IFERROR(INDEX('Task Master'!$K$5:$K$100,MATCH(B248,'Task Master'!$A$5:$A$100,0)),""))</f>
        <v/>
      </c>
      <c r="D248" s="36"/>
      <c r="E248" s="36"/>
      <c r="F248" s="39"/>
      <c r="G248" s="39"/>
      <c r="H248" s="39"/>
      <c r="I248" s="41"/>
      <c r="J248" s="39"/>
      <c r="K248" s="39"/>
      <c r="L248" s="39"/>
      <c r="M248" s="39"/>
      <c r="N248" s="37" t="str">
        <f>IF(OR(A248="",B248=""),"",A248=_xludf.MAXIFS($A$5:$A$304,$B$5:$B$304,B248))</f>
        <v/>
      </c>
    </row>
    <row r="249" spans="1:14">
      <c r="A249" s="38"/>
      <c r="B249" s="36"/>
      <c r="C249" s="37" t="str">
        <f>IF(B249="","",IFERROR(INDEX('Task Master'!$K$5:$K$100,MATCH(B249,'Task Master'!$A$5:$A$100,0)),""))</f>
        <v/>
      </c>
      <c r="D249" s="36"/>
      <c r="E249" s="36"/>
      <c r="F249" s="39"/>
      <c r="G249" s="39"/>
      <c r="H249" s="39"/>
      <c r="I249" s="41"/>
      <c r="J249" s="39"/>
      <c r="K249" s="39"/>
      <c r="L249" s="39"/>
      <c r="M249" s="39"/>
      <c r="N249" s="37" t="str">
        <f>IF(OR(A249="",B249=""),"",A249=_xludf.MAXIFS($A$5:$A$304,$B$5:$B$304,B249))</f>
        <v/>
      </c>
    </row>
    <row r="250" spans="1:14">
      <c r="A250" s="38"/>
      <c r="B250" s="36"/>
      <c r="C250" s="37" t="str">
        <f>IF(B250="","",IFERROR(INDEX('Task Master'!$K$5:$K$100,MATCH(B250,'Task Master'!$A$5:$A$100,0)),""))</f>
        <v/>
      </c>
      <c r="D250" s="36"/>
      <c r="E250" s="36"/>
      <c r="F250" s="39"/>
      <c r="G250" s="39"/>
      <c r="H250" s="39"/>
      <c r="I250" s="41"/>
      <c r="J250" s="39"/>
      <c r="K250" s="39"/>
      <c r="L250" s="39"/>
      <c r="M250" s="39"/>
      <c r="N250" s="37" t="str">
        <f>IF(OR(A250="",B250=""),"",A250=_xludf.MAXIFS($A$5:$A$304,$B$5:$B$304,B250))</f>
        <v/>
      </c>
    </row>
    <row r="251" spans="1:14">
      <c r="A251" s="38"/>
      <c r="B251" s="36"/>
      <c r="C251" s="37" t="str">
        <f>IF(B251="","",IFERROR(INDEX('Task Master'!$K$5:$K$100,MATCH(B251,'Task Master'!$A$5:$A$100,0)),""))</f>
        <v/>
      </c>
      <c r="D251" s="36"/>
      <c r="E251" s="36"/>
      <c r="F251" s="39"/>
      <c r="G251" s="39"/>
      <c r="H251" s="39"/>
      <c r="I251" s="41"/>
      <c r="J251" s="39"/>
      <c r="K251" s="39"/>
      <c r="L251" s="39"/>
      <c r="M251" s="39"/>
      <c r="N251" s="37" t="str">
        <f>IF(OR(A251="",B251=""),"",A251=_xludf.MAXIFS($A$5:$A$304,$B$5:$B$304,B251))</f>
        <v/>
      </c>
    </row>
    <row r="252" spans="1:14">
      <c r="A252" s="38"/>
      <c r="B252" s="36"/>
      <c r="C252" s="37" t="str">
        <f>IF(B252="","",IFERROR(INDEX('Task Master'!$K$5:$K$100,MATCH(B252,'Task Master'!$A$5:$A$100,0)),""))</f>
        <v/>
      </c>
      <c r="D252" s="36"/>
      <c r="E252" s="36"/>
      <c r="F252" s="39"/>
      <c r="G252" s="39"/>
      <c r="H252" s="39"/>
      <c r="I252" s="41"/>
      <c r="J252" s="39"/>
      <c r="K252" s="39"/>
      <c r="L252" s="39"/>
      <c r="M252" s="39"/>
      <c r="N252" s="37" t="str">
        <f>IF(OR(A252="",B252=""),"",A252=_xludf.MAXIFS($A$5:$A$304,$B$5:$B$304,B252))</f>
        <v/>
      </c>
    </row>
    <row r="253" spans="1:14">
      <c r="A253" s="38"/>
      <c r="B253" s="36"/>
      <c r="C253" s="37" t="str">
        <f>IF(B253="","",IFERROR(INDEX('Task Master'!$K$5:$K$100,MATCH(B253,'Task Master'!$A$5:$A$100,0)),""))</f>
        <v/>
      </c>
      <c r="D253" s="36"/>
      <c r="E253" s="36"/>
      <c r="F253" s="39"/>
      <c r="G253" s="39"/>
      <c r="H253" s="39"/>
      <c r="I253" s="41"/>
      <c r="J253" s="39"/>
      <c r="K253" s="39"/>
      <c r="L253" s="39"/>
      <c r="M253" s="39"/>
      <c r="N253" s="37" t="str">
        <f>IF(OR(A253="",B253=""),"",A253=_xludf.MAXIFS($A$5:$A$304,$B$5:$B$304,B253))</f>
        <v/>
      </c>
    </row>
    <row r="254" spans="1:14">
      <c r="A254" s="38"/>
      <c r="B254" s="36"/>
      <c r="C254" s="37" t="str">
        <f>IF(B254="","",IFERROR(INDEX('Task Master'!$K$5:$K$100,MATCH(B254,'Task Master'!$A$5:$A$100,0)),""))</f>
        <v/>
      </c>
      <c r="D254" s="36"/>
      <c r="E254" s="36"/>
      <c r="F254" s="39"/>
      <c r="G254" s="39"/>
      <c r="H254" s="39"/>
      <c r="I254" s="41"/>
      <c r="J254" s="39"/>
      <c r="K254" s="39"/>
      <c r="L254" s="39"/>
      <c r="M254" s="39"/>
      <c r="N254" s="37" t="str">
        <f>IF(OR(A254="",B254=""),"",A254=_xludf.MAXIFS($A$5:$A$304,$B$5:$B$304,B254))</f>
        <v/>
      </c>
    </row>
    <row r="255" spans="1:14">
      <c r="A255" s="38"/>
      <c r="B255" s="36"/>
      <c r="C255" s="37" t="str">
        <f>IF(B255="","",IFERROR(INDEX('Task Master'!$K$5:$K$100,MATCH(B255,'Task Master'!$A$5:$A$100,0)),""))</f>
        <v/>
      </c>
      <c r="D255" s="36"/>
      <c r="E255" s="36"/>
      <c r="F255" s="39"/>
      <c r="G255" s="39"/>
      <c r="H255" s="39"/>
      <c r="I255" s="41"/>
      <c r="J255" s="39"/>
      <c r="K255" s="39"/>
      <c r="L255" s="39"/>
      <c r="M255" s="39"/>
      <c r="N255" s="37" t="str">
        <f>IF(OR(A255="",B255=""),"",A255=_xludf.MAXIFS($A$5:$A$304,$B$5:$B$304,B255))</f>
        <v/>
      </c>
    </row>
    <row r="256" spans="1:14">
      <c r="A256" s="38"/>
      <c r="B256" s="36"/>
      <c r="C256" s="37" t="str">
        <f>IF(B256="","",IFERROR(INDEX('Task Master'!$K$5:$K$100,MATCH(B256,'Task Master'!$A$5:$A$100,0)),""))</f>
        <v/>
      </c>
      <c r="D256" s="36"/>
      <c r="E256" s="36"/>
      <c r="F256" s="39"/>
      <c r="G256" s="39"/>
      <c r="H256" s="39"/>
      <c r="I256" s="41"/>
      <c r="J256" s="39"/>
      <c r="K256" s="39"/>
      <c r="L256" s="39"/>
      <c r="M256" s="39"/>
      <c r="N256" s="37" t="str">
        <f>IF(OR(A256="",B256=""),"",A256=_xludf.MAXIFS($A$5:$A$304,$B$5:$B$304,B256))</f>
        <v/>
      </c>
    </row>
    <row r="257" spans="1:14">
      <c r="A257" s="38"/>
      <c r="B257" s="36"/>
      <c r="C257" s="37" t="str">
        <f>IF(B257="","",IFERROR(INDEX('Task Master'!$K$5:$K$100,MATCH(B257,'Task Master'!$A$5:$A$100,0)),""))</f>
        <v/>
      </c>
      <c r="D257" s="36"/>
      <c r="E257" s="36"/>
      <c r="F257" s="39"/>
      <c r="G257" s="39"/>
      <c r="H257" s="39"/>
      <c r="I257" s="41"/>
      <c r="J257" s="39"/>
      <c r="K257" s="39"/>
      <c r="L257" s="39"/>
      <c r="M257" s="39"/>
      <c r="N257" s="37" t="str">
        <f>IF(OR(A257="",B257=""),"",A257=_xludf.MAXIFS($A$5:$A$304,$B$5:$B$304,B257))</f>
        <v/>
      </c>
    </row>
    <row r="258" spans="1:14">
      <c r="A258" s="38"/>
      <c r="B258" s="36"/>
      <c r="C258" s="37" t="str">
        <f>IF(B258="","",IFERROR(INDEX('Task Master'!$K$5:$K$100,MATCH(B258,'Task Master'!$A$5:$A$100,0)),""))</f>
        <v/>
      </c>
      <c r="D258" s="36"/>
      <c r="E258" s="36"/>
      <c r="F258" s="39"/>
      <c r="G258" s="39"/>
      <c r="H258" s="39"/>
      <c r="I258" s="41"/>
      <c r="J258" s="39"/>
      <c r="K258" s="39"/>
      <c r="L258" s="39"/>
      <c r="M258" s="39"/>
      <c r="N258" s="37" t="str">
        <f>IF(OR(A258="",B258=""),"",A258=_xludf.MAXIFS($A$5:$A$304,$B$5:$B$304,B258))</f>
        <v/>
      </c>
    </row>
    <row r="259" spans="1:14">
      <c r="A259" s="38"/>
      <c r="B259" s="36"/>
      <c r="C259" s="37" t="str">
        <f>IF(B259="","",IFERROR(INDEX('Task Master'!$K$5:$K$100,MATCH(B259,'Task Master'!$A$5:$A$100,0)),""))</f>
        <v/>
      </c>
      <c r="D259" s="36"/>
      <c r="E259" s="36"/>
      <c r="F259" s="39"/>
      <c r="G259" s="39"/>
      <c r="H259" s="39"/>
      <c r="I259" s="41"/>
      <c r="J259" s="39"/>
      <c r="K259" s="39"/>
      <c r="L259" s="39"/>
      <c r="M259" s="39"/>
      <c r="N259" s="37" t="str">
        <f>IF(OR(A259="",B259=""),"",A259=_xludf.MAXIFS($A$5:$A$304,$B$5:$B$304,B259))</f>
        <v/>
      </c>
    </row>
    <row r="260" spans="1:14">
      <c r="A260" s="38"/>
      <c r="B260" s="36"/>
      <c r="C260" s="37" t="str">
        <f>IF(B260="","",IFERROR(INDEX('Task Master'!$K$5:$K$100,MATCH(B260,'Task Master'!$A$5:$A$100,0)),""))</f>
        <v/>
      </c>
      <c r="D260" s="36"/>
      <c r="E260" s="36"/>
      <c r="F260" s="39"/>
      <c r="G260" s="39"/>
      <c r="H260" s="39"/>
      <c r="I260" s="41"/>
      <c r="J260" s="39"/>
      <c r="K260" s="39"/>
      <c r="L260" s="39"/>
      <c r="M260" s="39"/>
      <c r="N260" s="37" t="str">
        <f>IF(OR(A260="",B260=""),"",A260=_xludf.MAXIFS($A$5:$A$304,$B$5:$B$304,B260))</f>
        <v/>
      </c>
    </row>
    <row r="261" spans="1:14">
      <c r="A261" s="38"/>
      <c r="B261" s="36"/>
      <c r="C261" s="37" t="str">
        <f>IF(B261="","",IFERROR(INDEX('Task Master'!$K$5:$K$100,MATCH(B261,'Task Master'!$A$5:$A$100,0)),""))</f>
        <v/>
      </c>
      <c r="D261" s="36"/>
      <c r="E261" s="36"/>
      <c r="F261" s="39"/>
      <c r="G261" s="39"/>
      <c r="H261" s="39"/>
      <c r="I261" s="41"/>
      <c r="J261" s="39"/>
      <c r="K261" s="39"/>
      <c r="L261" s="39"/>
      <c r="M261" s="39"/>
      <c r="N261" s="37" t="str">
        <f>IF(OR(A261="",B261=""),"",A261=_xludf.MAXIFS($A$5:$A$304,$B$5:$B$304,B261))</f>
        <v/>
      </c>
    </row>
    <row r="262" spans="1:14">
      <c r="A262" s="38"/>
      <c r="B262" s="36"/>
      <c r="C262" s="37" t="str">
        <f>IF(B262="","",IFERROR(INDEX('Task Master'!$K$5:$K$100,MATCH(B262,'Task Master'!$A$5:$A$100,0)),""))</f>
        <v/>
      </c>
      <c r="D262" s="36"/>
      <c r="E262" s="36"/>
      <c r="F262" s="39"/>
      <c r="G262" s="39"/>
      <c r="H262" s="39"/>
      <c r="I262" s="41"/>
      <c r="J262" s="39"/>
      <c r="K262" s="39"/>
      <c r="L262" s="39"/>
      <c r="M262" s="39"/>
      <c r="N262" s="37" t="str">
        <f>IF(OR(A262="",B262=""),"",A262=_xludf.MAXIFS($A$5:$A$304,$B$5:$B$304,B262))</f>
        <v/>
      </c>
    </row>
    <row r="263" spans="1:14">
      <c r="A263" s="38"/>
      <c r="B263" s="36"/>
      <c r="C263" s="37" t="str">
        <f>IF(B263="","",IFERROR(INDEX('Task Master'!$K$5:$K$100,MATCH(B263,'Task Master'!$A$5:$A$100,0)),""))</f>
        <v/>
      </c>
      <c r="D263" s="36"/>
      <c r="E263" s="36"/>
      <c r="F263" s="39"/>
      <c r="G263" s="39"/>
      <c r="H263" s="39"/>
      <c r="I263" s="41"/>
      <c r="J263" s="39"/>
      <c r="K263" s="39"/>
      <c r="L263" s="39"/>
      <c r="M263" s="39"/>
      <c r="N263" s="37" t="str">
        <f>IF(OR(A263="",B263=""),"",A263=_xludf.MAXIFS($A$5:$A$304,$B$5:$B$304,B263))</f>
        <v/>
      </c>
    </row>
    <row r="264" spans="1:14">
      <c r="A264" s="38"/>
      <c r="B264" s="36"/>
      <c r="C264" s="37" t="str">
        <f>IF(B264="","",IFERROR(INDEX('Task Master'!$K$5:$K$100,MATCH(B264,'Task Master'!$A$5:$A$100,0)),""))</f>
        <v/>
      </c>
      <c r="D264" s="36"/>
      <c r="E264" s="36"/>
      <c r="F264" s="39"/>
      <c r="G264" s="39"/>
      <c r="H264" s="39"/>
      <c r="I264" s="41"/>
      <c r="J264" s="39"/>
      <c r="K264" s="39"/>
      <c r="L264" s="39"/>
      <c r="M264" s="39"/>
      <c r="N264" s="37" t="str">
        <f>IF(OR(A264="",B264=""),"",A264=_xludf.MAXIFS($A$5:$A$304,$B$5:$B$304,B264))</f>
        <v/>
      </c>
    </row>
    <row r="265" spans="1:14">
      <c r="A265" s="38"/>
      <c r="B265" s="36"/>
      <c r="C265" s="37" t="str">
        <f>IF(B265="","",IFERROR(INDEX('Task Master'!$K$5:$K$100,MATCH(B265,'Task Master'!$A$5:$A$100,0)),""))</f>
        <v/>
      </c>
      <c r="D265" s="36"/>
      <c r="E265" s="36"/>
      <c r="F265" s="39"/>
      <c r="G265" s="39"/>
      <c r="H265" s="39"/>
      <c r="I265" s="41"/>
      <c r="J265" s="39"/>
      <c r="K265" s="39"/>
      <c r="L265" s="39"/>
      <c r="M265" s="39"/>
      <c r="N265" s="37" t="str">
        <f>IF(OR(A265="",B265=""),"",A265=_xludf.MAXIFS($A$5:$A$304,$B$5:$B$304,B265))</f>
        <v/>
      </c>
    </row>
    <row r="266" spans="1:14">
      <c r="A266" s="38"/>
      <c r="B266" s="36"/>
      <c r="C266" s="37" t="str">
        <f>IF(B266="","",IFERROR(INDEX('Task Master'!$K$5:$K$100,MATCH(B266,'Task Master'!$A$5:$A$100,0)),""))</f>
        <v/>
      </c>
      <c r="D266" s="36"/>
      <c r="E266" s="36"/>
      <c r="F266" s="39"/>
      <c r="G266" s="39"/>
      <c r="H266" s="39"/>
      <c r="I266" s="41"/>
      <c r="J266" s="39"/>
      <c r="K266" s="39"/>
      <c r="L266" s="39"/>
      <c r="M266" s="39"/>
      <c r="N266" s="37" t="str">
        <f>IF(OR(A266="",B266=""),"",A266=_xludf.MAXIFS($A$5:$A$304,$B$5:$B$304,B266))</f>
        <v/>
      </c>
    </row>
    <row r="267" spans="1:14">
      <c r="A267" s="38"/>
      <c r="B267" s="36"/>
      <c r="C267" s="37" t="str">
        <f>IF(B267="","",IFERROR(INDEX('Task Master'!$K$5:$K$100,MATCH(B267,'Task Master'!$A$5:$A$100,0)),""))</f>
        <v/>
      </c>
      <c r="D267" s="36"/>
      <c r="E267" s="36"/>
      <c r="F267" s="39"/>
      <c r="G267" s="39"/>
      <c r="H267" s="39"/>
      <c r="I267" s="41"/>
      <c r="J267" s="39"/>
      <c r="K267" s="39"/>
      <c r="L267" s="39"/>
      <c r="M267" s="39"/>
      <c r="N267" s="37" t="str">
        <f>IF(OR(A267="",B267=""),"",A267=_xludf.MAXIFS($A$5:$A$304,$B$5:$B$304,B267))</f>
        <v/>
      </c>
    </row>
    <row r="268" spans="1:14">
      <c r="A268" s="38"/>
      <c r="B268" s="36"/>
      <c r="C268" s="37" t="str">
        <f>IF(B268="","",IFERROR(INDEX('Task Master'!$K$5:$K$100,MATCH(B268,'Task Master'!$A$5:$A$100,0)),""))</f>
        <v/>
      </c>
      <c r="D268" s="36"/>
      <c r="E268" s="36"/>
      <c r="F268" s="39"/>
      <c r="G268" s="39"/>
      <c r="H268" s="39"/>
      <c r="I268" s="41"/>
      <c r="J268" s="39"/>
      <c r="K268" s="39"/>
      <c r="L268" s="39"/>
      <c r="M268" s="39"/>
      <c r="N268" s="37" t="str">
        <f>IF(OR(A268="",B268=""),"",A268=_xludf.MAXIFS($A$5:$A$304,$B$5:$B$304,B268))</f>
        <v/>
      </c>
    </row>
    <row r="269" spans="1:14">
      <c r="A269" s="38"/>
      <c r="B269" s="36"/>
      <c r="C269" s="37" t="str">
        <f>IF(B269="","",IFERROR(INDEX('Task Master'!$K$5:$K$100,MATCH(B269,'Task Master'!$A$5:$A$100,0)),""))</f>
        <v/>
      </c>
      <c r="D269" s="36"/>
      <c r="E269" s="36"/>
      <c r="F269" s="39"/>
      <c r="G269" s="39"/>
      <c r="H269" s="39"/>
      <c r="I269" s="41"/>
      <c r="J269" s="39"/>
      <c r="K269" s="39"/>
      <c r="L269" s="39"/>
      <c r="M269" s="39"/>
      <c r="N269" s="37" t="str">
        <f>IF(OR(A269="",B269=""),"",A269=_xludf.MAXIFS($A$5:$A$304,$B$5:$B$304,B269))</f>
        <v/>
      </c>
    </row>
    <row r="270" spans="1:14">
      <c r="A270" s="38"/>
      <c r="B270" s="36"/>
      <c r="C270" s="37" t="str">
        <f>IF(B270="","",IFERROR(INDEX('Task Master'!$K$5:$K$100,MATCH(B270,'Task Master'!$A$5:$A$100,0)),""))</f>
        <v/>
      </c>
      <c r="D270" s="36"/>
      <c r="E270" s="36"/>
      <c r="F270" s="39"/>
      <c r="G270" s="39"/>
      <c r="H270" s="39"/>
      <c r="I270" s="41"/>
      <c r="J270" s="39"/>
      <c r="K270" s="39"/>
      <c r="L270" s="39"/>
      <c r="M270" s="39"/>
      <c r="N270" s="37" t="str">
        <f>IF(OR(A270="",B270=""),"",A270=_xludf.MAXIFS($A$5:$A$304,$B$5:$B$304,B270))</f>
        <v/>
      </c>
    </row>
    <row r="271" spans="1:14">
      <c r="A271" s="38"/>
      <c r="B271" s="36"/>
      <c r="C271" s="37" t="str">
        <f>IF(B271="","",IFERROR(INDEX('Task Master'!$K$5:$K$100,MATCH(B271,'Task Master'!$A$5:$A$100,0)),""))</f>
        <v/>
      </c>
      <c r="D271" s="36"/>
      <c r="E271" s="36"/>
      <c r="F271" s="39"/>
      <c r="G271" s="39"/>
      <c r="H271" s="39"/>
      <c r="I271" s="41"/>
      <c r="J271" s="39"/>
      <c r="K271" s="39"/>
      <c r="L271" s="39"/>
      <c r="M271" s="39"/>
      <c r="N271" s="37" t="str">
        <f>IF(OR(A271="",B271=""),"",A271=_xludf.MAXIFS($A$5:$A$304,$B$5:$B$304,B271))</f>
        <v/>
      </c>
    </row>
    <row r="272" spans="1:14">
      <c r="A272" s="38"/>
      <c r="B272" s="36"/>
      <c r="C272" s="37" t="str">
        <f>IF(B272="","",IFERROR(INDEX('Task Master'!$K$5:$K$100,MATCH(B272,'Task Master'!$A$5:$A$100,0)),""))</f>
        <v/>
      </c>
      <c r="D272" s="36"/>
      <c r="E272" s="36"/>
      <c r="F272" s="39"/>
      <c r="G272" s="39"/>
      <c r="H272" s="39"/>
      <c r="I272" s="41"/>
      <c r="J272" s="39"/>
      <c r="K272" s="39"/>
      <c r="L272" s="39"/>
      <c r="M272" s="39"/>
      <c r="N272" s="37" t="str">
        <f>IF(OR(A272="",B272=""),"",A272=_xludf.MAXIFS($A$5:$A$304,$B$5:$B$304,B272))</f>
        <v/>
      </c>
    </row>
    <row r="273" spans="1:14">
      <c r="A273" s="38"/>
      <c r="B273" s="36"/>
      <c r="C273" s="37" t="str">
        <f>IF(B273="","",IFERROR(INDEX('Task Master'!$K$5:$K$100,MATCH(B273,'Task Master'!$A$5:$A$100,0)),""))</f>
        <v/>
      </c>
      <c r="D273" s="36"/>
      <c r="E273" s="36"/>
      <c r="F273" s="39"/>
      <c r="G273" s="39"/>
      <c r="H273" s="39"/>
      <c r="I273" s="41"/>
      <c r="J273" s="39"/>
      <c r="K273" s="39"/>
      <c r="L273" s="39"/>
      <c r="M273" s="39"/>
      <c r="N273" s="37" t="str">
        <f>IF(OR(A273="",B273=""),"",A273=_xludf.MAXIFS($A$5:$A$304,$B$5:$B$304,B273))</f>
        <v/>
      </c>
    </row>
    <row r="274" spans="1:14">
      <c r="A274" s="38"/>
      <c r="B274" s="36"/>
      <c r="C274" s="37" t="str">
        <f>IF(B274="","",IFERROR(INDEX('Task Master'!$K$5:$K$100,MATCH(B274,'Task Master'!$A$5:$A$100,0)),""))</f>
        <v/>
      </c>
      <c r="D274" s="36"/>
      <c r="E274" s="36"/>
      <c r="F274" s="39"/>
      <c r="G274" s="39"/>
      <c r="H274" s="39"/>
      <c r="I274" s="41"/>
      <c r="J274" s="39"/>
      <c r="K274" s="39"/>
      <c r="L274" s="39"/>
      <c r="M274" s="39"/>
      <c r="N274" s="37" t="str">
        <f>IF(OR(A274="",B274=""),"",A274=_xludf.MAXIFS($A$5:$A$304,$B$5:$B$304,B274))</f>
        <v/>
      </c>
    </row>
    <row r="275" spans="1:14">
      <c r="A275" s="38"/>
      <c r="B275" s="36"/>
      <c r="C275" s="37" t="str">
        <f>IF(B275="","",IFERROR(INDEX('Task Master'!$K$5:$K$100,MATCH(B275,'Task Master'!$A$5:$A$100,0)),""))</f>
        <v/>
      </c>
      <c r="D275" s="36"/>
      <c r="E275" s="36"/>
      <c r="F275" s="39"/>
      <c r="G275" s="39"/>
      <c r="H275" s="39"/>
      <c r="I275" s="41"/>
      <c r="J275" s="39"/>
      <c r="K275" s="39"/>
      <c r="L275" s="39"/>
      <c r="M275" s="39"/>
      <c r="N275" s="37" t="str">
        <f>IF(OR(A275="",B275=""),"",A275=_xludf.MAXIFS($A$5:$A$304,$B$5:$B$304,B275))</f>
        <v/>
      </c>
    </row>
    <row r="276" spans="1:14">
      <c r="A276" s="38"/>
      <c r="B276" s="36"/>
      <c r="C276" s="37" t="str">
        <f>IF(B276="","",IFERROR(INDEX('Task Master'!$K$5:$K$100,MATCH(B276,'Task Master'!$A$5:$A$100,0)),""))</f>
        <v/>
      </c>
      <c r="D276" s="36"/>
      <c r="E276" s="36"/>
      <c r="F276" s="39"/>
      <c r="G276" s="39"/>
      <c r="H276" s="39"/>
      <c r="I276" s="41"/>
      <c r="J276" s="39"/>
      <c r="K276" s="39"/>
      <c r="L276" s="39"/>
      <c r="M276" s="39"/>
      <c r="N276" s="37" t="str">
        <f>IF(OR(A276="",B276=""),"",A276=_xludf.MAXIFS($A$5:$A$304,$B$5:$B$304,B276))</f>
        <v/>
      </c>
    </row>
    <row r="277" spans="1:14">
      <c r="A277" s="38"/>
      <c r="B277" s="36"/>
      <c r="C277" s="37" t="str">
        <f>IF(B277="","",IFERROR(INDEX('Task Master'!$K$5:$K$100,MATCH(B277,'Task Master'!$A$5:$A$100,0)),""))</f>
        <v/>
      </c>
      <c r="D277" s="36"/>
      <c r="E277" s="36"/>
      <c r="F277" s="39"/>
      <c r="G277" s="39"/>
      <c r="H277" s="39"/>
      <c r="I277" s="41"/>
      <c r="J277" s="39"/>
      <c r="K277" s="39"/>
      <c r="L277" s="39"/>
      <c r="M277" s="39"/>
      <c r="N277" s="37" t="str">
        <f>IF(OR(A277="",B277=""),"",A277=_xludf.MAXIFS($A$5:$A$304,$B$5:$B$304,B277))</f>
        <v/>
      </c>
    </row>
    <row r="278" spans="1:14">
      <c r="A278" s="38"/>
      <c r="B278" s="36"/>
      <c r="C278" s="37" t="str">
        <f>IF(B278="","",IFERROR(INDEX('Task Master'!$K$5:$K$100,MATCH(B278,'Task Master'!$A$5:$A$100,0)),""))</f>
        <v/>
      </c>
      <c r="D278" s="36"/>
      <c r="E278" s="36"/>
      <c r="F278" s="39"/>
      <c r="G278" s="39"/>
      <c r="H278" s="39"/>
      <c r="I278" s="41"/>
      <c r="J278" s="39"/>
      <c r="K278" s="39"/>
      <c r="L278" s="39"/>
      <c r="M278" s="39"/>
      <c r="N278" s="37" t="str">
        <f>IF(OR(A278="",B278=""),"",A278=_xludf.MAXIFS($A$5:$A$304,$B$5:$B$304,B278))</f>
        <v/>
      </c>
    </row>
    <row r="279" spans="1:14">
      <c r="A279" s="38"/>
      <c r="B279" s="36"/>
      <c r="C279" s="37" t="str">
        <f>IF(B279="","",IFERROR(INDEX('Task Master'!$K$5:$K$100,MATCH(B279,'Task Master'!$A$5:$A$100,0)),""))</f>
        <v/>
      </c>
      <c r="D279" s="36"/>
      <c r="E279" s="36"/>
      <c r="F279" s="39"/>
      <c r="G279" s="39"/>
      <c r="H279" s="39"/>
      <c r="I279" s="41"/>
      <c r="J279" s="39"/>
      <c r="K279" s="39"/>
      <c r="L279" s="39"/>
      <c r="M279" s="39"/>
      <c r="N279" s="37" t="str">
        <f>IF(OR(A279="",B279=""),"",A279=_xludf.MAXIFS($A$5:$A$304,$B$5:$B$304,B279))</f>
        <v/>
      </c>
    </row>
    <row r="280" spans="1:14">
      <c r="A280" s="38"/>
      <c r="B280" s="36"/>
      <c r="C280" s="37" t="str">
        <f>IF(B280="","",IFERROR(INDEX('Task Master'!$K$5:$K$100,MATCH(B280,'Task Master'!$A$5:$A$100,0)),""))</f>
        <v/>
      </c>
      <c r="D280" s="36"/>
      <c r="E280" s="36"/>
      <c r="F280" s="39"/>
      <c r="G280" s="39"/>
      <c r="H280" s="39"/>
      <c r="I280" s="41"/>
      <c r="J280" s="39"/>
      <c r="K280" s="39"/>
      <c r="L280" s="39"/>
      <c r="M280" s="39"/>
      <c r="N280" s="37" t="str">
        <f>IF(OR(A280="",B280=""),"",A280=_xludf.MAXIFS($A$5:$A$304,$B$5:$B$304,B280))</f>
        <v/>
      </c>
    </row>
    <row r="281" spans="1:14">
      <c r="A281" s="38"/>
      <c r="B281" s="36"/>
      <c r="C281" s="37" t="str">
        <f>IF(B281="","",IFERROR(INDEX('Task Master'!$K$5:$K$100,MATCH(B281,'Task Master'!$A$5:$A$100,0)),""))</f>
        <v/>
      </c>
      <c r="D281" s="36"/>
      <c r="E281" s="36"/>
      <c r="F281" s="39"/>
      <c r="G281" s="39"/>
      <c r="H281" s="39"/>
      <c r="I281" s="41"/>
      <c r="J281" s="39"/>
      <c r="K281" s="39"/>
      <c r="L281" s="39"/>
      <c r="M281" s="39"/>
      <c r="N281" s="37" t="str">
        <f>IF(OR(A281="",B281=""),"",A281=_xludf.MAXIFS($A$5:$A$304,$B$5:$B$304,B281))</f>
        <v/>
      </c>
    </row>
    <row r="282" spans="1:14">
      <c r="A282" s="38"/>
      <c r="B282" s="36"/>
      <c r="C282" s="37" t="str">
        <f>IF(B282="","",IFERROR(INDEX('Task Master'!$K$5:$K$100,MATCH(B282,'Task Master'!$A$5:$A$100,0)),""))</f>
        <v/>
      </c>
      <c r="D282" s="36"/>
      <c r="E282" s="36"/>
      <c r="F282" s="39"/>
      <c r="G282" s="39"/>
      <c r="H282" s="39"/>
      <c r="I282" s="41"/>
      <c r="J282" s="39"/>
      <c r="K282" s="39"/>
      <c r="L282" s="39"/>
      <c r="M282" s="39"/>
      <c r="N282" s="37" t="str">
        <f>IF(OR(A282="",B282=""),"",A282=_xludf.MAXIFS($A$5:$A$304,$B$5:$B$304,B282))</f>
        <v/>
      </c>
    </row>
    <row r="283" spans="1:14">
      <c r="A283" s="38"/>
      <c r="B283" s="36"/>
      <c r="C283" s="37" t="str">
        <f>IF(B283="","",IFERROR(INDEX('Task Master'!$K$5:$K$100,MATCH(B283,'Task Master'!$A$5:$A$100,0)),""))</f>
        <v/>
      </c>
      <c r="D283" s="36"/>
      <c r="E283" s="36"/>
      <c r="F283" s="39"/>
      <c r="G283" s="39"/>
      <c r="H283" s="39"/>
      <c r="I283" s="41"/>
      <c r="J283" s="39"/>
      <c r="K283" s="39"/>
      <c r="L283" s="39"/>
      <c r="M283" s="39"/>
      <c r="N283" s="37" t="str">
        <f>IF(OR(A283="",B283=""),"",A283=_xludf.MAXIFS($A$5:$A$304,$B$5:$B$304,B283))</f>
        <v/>
      </c>
    </row>
    <row r="284" spans="1:14">
      <c r="A284" s="38"/>
      <c r="B284" s="36"/>
      <c r="C284" s="37" t="str">
        <f>IF(B284="","",IFERROR(INDEX('Task Master'!$K$5:$K$100,MATCH(B284,'Task Master'!$A$5:$A$100,0)),""))</f>
        <v/>
      </c>
      <c r="D284" s="36"/>
      <c r="E284" s="36"/>
      <c r="F284" s="39"/>
      <c r="G284" s="39"/>
      <c r="H284" s="39"/>
      <c r="I284" s="41"/>
      <c r="J284" s="39"/>
      <c r="K284" s="39"/>
      <c r="L284" s="39"/>
      <c r="M284" s="39"/>
      <c r="N284" s="37" t="str">
        <f>IF(OR(A284="",B284=""),"",A284=_xludf.MAXIFS($A$5:$A$304,$B$5:$B$304,B284))</f>
        <v/>
      </c>
    </row>
    <row r="285" spans="1:14">
      <c r="A285" s="38"/>
      <c r="B285" s="36"/>
      <c r="C285" s="37" t="str">
        <f>IF(B285="","",IFERROR(INDEX('Task Master'!$K$5:$K$100,MATCH(B285,'Task Master'!$A$5:$A$100,0)),""))</f>
        <v/>
      </c>
      <c r="D285" s="36"/>
      <c r="E285" s="36"/>
      <c r="F285" s="39"/>
      <c r="G285" s="39"/>
      <c r="H285" s="39"/>
      <c r="I285" s="41"/>
      <c r="J285" s="39"/>
      <c r="K285" s="39"/>
      <c r="L285" s="39"/>
      <c r="M285" s="39"/>
      <c r="N285" s="37" t="str">
        <f>IF(OR(A285="",B285=""),"",A285=_xludf.MAXIFS($A$5:$A$304,$B$5:$B$304,B285))</f>
        <v/>
      </c>
    </row>
    <row r="286" spans="1:14">
      <c r="A286" s="38"/>
      <c r="B286" s="36"/>
      <c r="C286" s="37" t="str">
        <f>IF(B286="","",IFERROR(INDEX('Task Master'!$K$5:$K$100,MATCH(B286,'Task Master'!$A$5:$A$100,0)),""))</f>
        <v/>
      </c>
      <c r="D286" s="36"/>
      <c r="E286" s="36"/>
      <c r="F286" s="39"/>
      <c r="G286" s="39"/>
      <c r="H286" s="39"/>
      <c r="I286" s="41"/>
      <c r="J286" s="39"/>
      <c r="K286" s="39"/>
      <c r="L286" s="39"/>
      <c r="M286" s="39"/>
      <c r="N286" s="37" t="str">
        <f>IF(OR(A286="",B286=""),"",A286=_xludf.MAXIFS($A$5:$A$304,$B$5:$B$304,B286))</f>
        <v/>
      </c>
    </row>
    <row r="287" spans="1:14">
      <c r="A287" s="38"/>
      <c r="B287" s="36"/>
      <c r="C287" s="37" t="str">
        <f>IF(B287="","",IFERROR(INDEX('Task Master'!$K$5:$K$100,MATCH(B287,'Task Master'!$A$5:$A$100,0)),""))</f>
        <v/>
      </c>
      <c r="D287" s="36"/>
      <c r="E287" s="36"/>
      <c r="F287" s="39"/>
      <c r="G287" s="39"/>
      <c r="H287" s="39"/>
      <c r="I287" s="41"/>
      <c r="J287" s="39"/>
      <c r="K287" s="39"/>
      <c r="L287" s="39"/>
      <c r="M287" s="39"/>
      <c r="N287" s="37" t="str">
        <f>IF(OR(A287="",B287=""),"",A287=_xludf.MAXIFS($A$5:$A$304,$B$5:$B$304,B287))</f>
        <v/>
      </c>
    </row>
    <row r="288" spans="1:14">
      <c r="A288" s="38"/>
      <c r="B288" s="36"/>
      <c r="C288" s="37" t="str">
        <f>IF(B288="","",IFERROR(INDEX('Task Master'!$K$5:$K$100,MATCH(B288,'Task Master'!$A$5:$A$100,0)),""))</f>
        <v/>
      </c>
      <c r="D288" s="36"/>
      <c r="E288" s="36"/>
      <c r="F288" s="39"/>
      <c r="G288" s="39"/>
      <c r="H288" s="39"/>
      <c r="I288" s="41"/>
      <c r="J288" s="39"/>
      <c r="K288" s="39"/>
      <c r="L288" s="39"/>
      <c r="M288" s="39"/>
      <c r="N288" s="37" t="str">
        <f>IF(OR(A288="",B288=""),"",A288=_xludf.MAXIFS($A$5:$A$304,$B$5:$B$304,B288))</f>
        <v/>
      </c>
    </row>
    <row r="289" spans="1:14">
      <c r="A289" s="38"/>
      <c r="B289" s="36"/>
      <c r="C289" s="37" t="str">
        <f>IF(B289="","",IFERROR(INDEX('Task Master'!$K$5:$K$100,MATCH(B289,'Task Master'!$A$5:$A$100,0)),""))</f>
        <v/>
      </c>
      <c r="D289" s="36"/>
      <c r="E289" s="36"/>
      <c r="F289" s="39"/>
      <c r="G289" s="39"/>
      <c r="H289" s="39"/>
      <c r="I289" s="41"/>
      <c r="J289" s="39"/>
      <c r="K289" s="39"/>
      <c r="L289" s="39"/>
      <c r="M289" s="39"/>
      <c r="N289" s="37" t="str">
        <f>IF(OR(A289="",B289=""),"",A289=_xludf.MAXIFS($A$5:$A$304,$B$5:$B$304,B289))</f>
        <v/>
      </c>
    </row>
    <row r="290" spans="1:14">
      <c r="A290" s="38"/>
      <c r="B290" s="36"/>
      <c r="C290" s="37" t="str">
        <f>IF(B290="","",IFERROR(INDEX('Task Master'!$K$5:$K$100,MATCH(B290,'Task Master'!$A$5:$A$100,0)),""))</f>
        <v/>
      </c>
      <c r="D290" s="36"/>
      <c r="E290" s="36"/>
      <c r="F290" s="39"/>
      <c r="G290" s="39"/>
      <c r="H290" s="39"/>
      <c r="I290" s="41"/>
      <c r="J290" s="39"/>
      <c r="K290" s="39"/>
      <c r="L290" s="39"/>
      <c r="M290" s="39"/>
      <c r="N290" s="37" t="str">
        <f>IF(OR(A290="",B290=""),"",A290=_xludf.MAXIFS($A$5:$A$304,$B$5:$B$304,B290))</f>
        <v/>
      </c>
    </row>
    <row r="291" spans="1:14">
      <c r="A291" s="38"/>
      <c r="B291" s="36"/>
      <c r="C291" s="37" t="str">
        <f>IF(B291="","",IFERROR(INDEX('Task Master'!$K$5:$K$100,MATCH(B291,'Task Master'!$A$5:$A$100,0)),""))</f>
        <v/>
      </c>
      <c r="D291" s="36"/>
      <c r="E291" s="36"/>
      <c r="F291" s="39"/>
      <c r="G291" s="39"/>
      <c r="H291" s="39"/>
      <c r="I291" s="41"/>
      <c r="J291" s="39"/>
      <c r="K291" s="39"/>
      <c r="L291" s="39"/>
      <c r="M291" s="39"/>
      <c r="N291" s="37" t="str">
        <f>IF(OR(A291="",B291=""),"",A291=_xludf.MAXIFS($A$5:$A$304,$B$5:$B$304,B291))</f>
        <v/>
      </c>
    </row>
    <row r="292" spans="1:14">
      <c r="A292" s="38"/>
      <c r="B292" s="36"/>
      <c r="C292" s="37" t="str">
        <f>IF(B292="","",IFERROR(INDEX('Task Master'!$K$5:$K$100,MATCH(B292,'Task Master'!$A$5:$A$100,0)),""))</f>
        <v/>
      </c>
      <c r="D292" s="36"/>
      <c r="E292" s="36"/>
      <c r="F292" s="39"/>
      <c r="G292" s="39"/>
      <c r="H292" s="39"/>
      <c r="I292" s="41"/>
      <c r="J292" s="39"/>
      <c r="K292" s="39"/>
      <c r="L292" s="39"/>
      <c r="M292" s="39"/>
      <c r="N292" s="37" t="str">
        <f>IF(OR(A292="",B292=""),"",A292=_xludf.MAXIFS($A$5:$A$304,$B$5:$B$304,B292))</f>
        <v/>
      </c>
    </row>
    <row r="293" spans="1:14">
      <c r="A293" s="38"/>
      <c r="B293" s="36"/>
      <c r="C293" s="37" t="str">
        <f>IF(B293="","",IFERROR(INDEX('Task Master'!$K$5:$K$100,MATCH(B293,'Task Master'!$A$5:$A$100,0)),""))</f>
        <v/>
      </c>
      <c r="D293" s="36"/>
      <c r="E293" s="36"/>
      <c r="F293" s="39"/>
      <c r="G293" s="39"/>
      <c r="H293" s="39"/>
      <c r="I293" s="41"/>
      <c r="J293" s="39"/>
      <c r="K293" s="39"/>
      <c r="L293" s="39"/>
      <c r="M293" s="39"/>
      <c r="N293" s="37" t="str">
        <f>IF(OR(A293="",B293=""),"",A293=_xludf.MAXIFS($A$5:$A$304,$B$5:$B$304,B293))</f>
        <v/>
      </c>
    </row>
    <row r="294" spans="1:14">
      <c r="A294" s="38"/>
      <c r="B294" s="36"/>
      <c r="C294" s="37" t="str">
        <f>IF(B294="","",IFERROR(INDEX('Task Master'!$K$5:$K$100,MATCH(B294,'Task Master'!$A$5:$A$100,0)),""))</f>
        <v/>
      </c>
      <c r="D294" s="36"/>
      <c r="E294" s="36"/>
      <c r="F294" s="39"/>
      <c r="G294" s="39"/>
      <c r="H294" s="39"/>
      <c r="I294" s="41"/>
      <c r="J294" s="39"/>
      <c r="K294" s="39"/>
      <c r="L294" s="39"/>
      <c r="M294" s="39"/>
      <c r="N294" s="37" t="str">
        <f>IF(OR(A294="",B294=""),"",A294=_xludf.MAXIFS($A$5:$A$304,$B$5:$B$304,B294))</f>
        <v/>
      </c>
    </row>
    <row r="295" spans="1:14">
      <c r="A295" s="38"/>
      <c r="B295" s="36"/>
      <c r="C295" s="37" t="str">
        <f>IF(B295="","",IFERROR(INDEX('Task Master'!$K$5:$K$100,MATCH(B295,'Task Master'!$A$5:$A$100,0)),""))</f>
        <v/>
      </c>
      <c r="D295" s="36"/>
      <c r="E295" s="36"/>
      <c r="F295" s="39"/>
      <c r="G295" s="39"/>
      <c r="H295" s="39"/>
      <c r="I295" s="41"/>
      <c r="J295" s="39"/>
      <c r="K295" s="39"/>
      <c r="L295" s="39"/>
      <c r="M295" s="39"/>
      <c r="N295" s="37" t="str">
        <f>IF(OR(A295="",B295=""),"",A295=_xludf.MAXIFS($A$5:$A$304,$B$5:$B$304,B295))</f>
        <v/>
      </c>
    </row>
    <row r="296" spans="1:14">
      <c r="A296" s="38"/>
      <c r="B296" s="36"/>
      <c r="C296" s="37" t="str">
        <f>IF(B296="","",IFERROR(INDEX('Task Master'!$K$5:$K$100,MATCH(B296,'Task Master'!$A$5:$A$100,0)),""))</f>
        <v/>
      </c>
      <c r="D296" s="36"/>
      <c r="E296" s="36"/>
      <c r="F296" s="39"/>
      <c r="G296" s="39"/>
      <c r="H296" s="39"/>
      <c r="I296" s="41"/>
      <c r="J296" s="39"/>
      <c r="K296" s="39"/>
      <c r="L296" s="39"/>
      <c r="M296" s="39"/>
      <c r="N296" s="37" t="str">
        <f>IF(OR(A296="",B296=""),"",A296=_xludf.MAXIFS($A$5:$A$304,$B$5:$B$304,B296))</f>
        <v/>
      </c>
    </row>
    <row r="297" spans="1:14">
      <c r="A297" s="38"/>
      <c r="B297" s="36"/>
      <c r="C297" s="37" t="str">
        <f>IF(B297="","",IFERROR(INDEX('Task Master'!$K$5:$K$100,MATCH(B297,'Task Master'!$A$5:$A$100,0)),""))</f>
        <v/>
      </c>
      <c r="D297" s="36"/>
      <c r="E297" s="36"/>
      <c r="F297" s="39"/>
      <c r="G297" s="39"/>
      <c r="H297" s="39"/>
      <c r="I297" s="41"/>
      <c r="J297" s="39"/>
      <c r="K297" s="39"/>
      <c r="L297" s="39"/>
      <c r="M297" s="39"/>
      <c r="N297" s="37" t="str">
        <f>IF(OR(A297="",B297=""),"",A297=_xludf.MAXIFS($A$5:$A$304,$B$5:$B$304,B297))</f>
        <v/>
      </c>
    </row>
    <row r="298" spans="1:14">
      <c r="A298" s="38"/>
      <c r="B298" s="36"/>
      <c r="C298" s="37" t="str">
        <f>IF(B298="","",IFERROR(INDEX('Task Master'!$K$5:$K$100,MATCH(B298,'Task Master'!$A$5:$A$100,0)),""))</f>
        <v/>
      </c>
      <c r="D298" s="36"/>
      <c r="E298" s="36"/>
      <c r="F298" s="39"/>
      <c r="G298" s="39"/>
      <c r="H298" s="39"/>
      <c r="I298" s="41"/>
      <c r="J298" s="39"/>
      <c r="K298" s="39"/>
      <c r="L298" s="39"/>
      <c r="M298" s="39"/>
      <c r="N298" s="37" t="str">
        <f>IF(OR(A298="",B298=""),"",A298=_xludf.MAXIFS($A$5:$A$304,$B$5:$B$304,B298))</f>
        <v/>
      </c>
    </row>
    <row r="299" spans="1:14">
      <c r="A299" s="38"/>
      <c r="B299" s="36"/>
      <c r="C299" s="37" t="str">
        <f>IF(B299="","",IFERROR(INDEX('Task Master'!$K$5:$K$100,MATCH(B299,'Task Master'!$A$5:$A$100,0)),""))</f>
        <v/>
      </c>
      <c r="D299" s="36"/>
      <c r="E299" s="36"/>
      <c r="F299" s="39"/>
      <c r="G299" s="39"/>
      <c r="H299" s="39"/>
      <c r="I299" s="41"/>
      <c r="J299" s="39"/>
      <c r="K299" s="39"/>
      <c r="L299" s="39"/>
      <c r="M299" s="39"/>
      <c r="N299" s="37" t="str">
        <f>IF(OR(A299="",B299=""),"",A299=_xludf.MAXIFS($A$5:$A$304,$B$5:$B$304,B299))</f>
        <v/>
      </c>
    </row>
    <row r="300" spans="1:14">
      <c r="A300" s="38"/>
      <c r="B300" s="36"/>
      <c r="C300" s="37" t="str">
        <f>IF(B300="","",IFERROR(INDEX('Task Master'!$K$5:$K$100,MATCH(B300,'Task Master'!$A$5:$A$100,0)),""))</f>
        <v/>
      </c>
      <c r="D300" s="36"/>
      <c r="E300" s="36"/>
      <c r="F300" s="39"/>
      <c r="G300" s="39"/>
      <c r="H300" s="39"/>
      <c r="I300" s="41"/>
      <c r="J300" s="39"/>
      <c r="K300" s="39"/>
      <c r="L300" s="39"/>
      <c r="M300" s="39"/>
      <c r="N300" s="37" t="str">
        <f>IF(OR(A300="",B300=""),"",A300=_xludf.MAXIFS($A$5:$A$304,$B$5:$B$304,B300))</f>
        <v/>
      </c>
    </row>
    <row r="301" spans="1:14">
      <c r="A301" s="38"/>
      <c r="B301" s="36"/>
      <c r="C301" s="37" t="str">
        <f>IF(B301="","",IFERROR(INDEX('Task Master'!$K$5:$K$100,MATCH(B301,'Task Master'!$A$5:$A$100,0)),""))</f>
        <v/>
      </c>
      <c r="D301" s="36"/>
      <c r="E301" s="36"/>
      <c r="F301" s="39"/>
      <c r="G301" s="39"/>
      <c r="H301" s="39"/>
      <c r="I301" s="41"/>
      <c r="J301" s="39"/>
      <c r="K301" s="39"/>
      <c r="L301" s="39"/>
      <c r="M301" s="39"/>
      <c r="N301" s="37" t="str">
        <f>IF(OR(A301="",B301=""),"",A301=_xludf.MAXIFS($A$5:$A$304,$B$5:$B$304,B301))</f>
        <v/>
      </c>
    </row>
    <row r="302" spans="1:14">
      <c r="A302" s="38"/>
      <c r="B302" s="36"/>
      <c r="C302" s="37" t="str">
        <f>IF(B302="","",IFERROR(INDEX('Task Master'!$K$5:$K$100,MATCH(B302,'Task Master'!$A$5:$A$100,0)),""))</f>
        <v/>
      </c>
      <c r="D302" s="36"/>
      <c r="E302" s="36"/>
      <c r="F302" s="39"/>
      <c r="G302" s="39"/>
      <c r="H302" s="39"/>
      <c r="I302" s="41"/>
      <c r="J302" s="39"/>
      <c r="K302" s="39"/>
      <c r="L302" s="39"/>
      <c r="M302" s="39"/>
      <c r="N302" s="37" t="str">
        <f>IF(OR(A302="",B302=""),"",A302=_xludf.MAXIFS($A$5:$A$304,$B$5:$B$304,B302))</f>
        <v/>
      </c>
    </row>
    <row r="303" spans="1:14">
      <c r="A303" s="38"/>
      <c r="B303" s="36"/>
      <c r="C303" s="37" t="str">
        <f>IF(B303="","",IFERROR(INDEX('Task Master'!$K$5:$K$100,MATCH(B303,'Task Master'!$A$5:$A$100,0)),""))</f>
        <v/>
      </c>
      <c r="D303" s="36"/>
      <c r="E303" s="36"/>
      <c r="F303" s="39"/>
      <c r="G303" s="39"/>
      <c r="H303" s="39"/>
      <c r="I303" s="41"/>
      <c r="J303" s="39"/>
      <c r="K303" s="39"/>
      <c r="L303" s="39"/>
      <c r="M303" s="39"/>
      <c r="N303" s="37" t="str">
        <f>IF(OR(A303="",B303=""),"",A303=_xludf.MAXIFS($A$5:$A$304,$B$5:$B$304,B303))</f>
        <v/>
      </c>
    </row>
    <row r="304" spans="1:14">
      <c r="A304" s="38"/>
      <c r="B304" s="36"/>
      <c r="C304" s="37" t="str">
        <f>IF(B304="","",IFERROR(INDEX('Task Master'!$K$5:$K$100,MATCH(B304,'Task Master'!$A$5:$A$100,0)),""))</f>
        <v/>
      </c>
      <c r="D304" s="36"/>
      <c r="E304" s="36"/>
      <c r="F304" s="39"/>
      <c r="G304" s="39"/>
      <c r="H304" s="39"/>
      <c r="I304" s="41"/>
      <c r="J304" s="39"/>
      <c r="K304" s="39"/>
      <c r="L304" s="39"/>
      <c r="M304" s="39"/>
      <c r="N304" s="37" t="str">
        <f>IF(OR(A304="",B304=""),"",A304=_xludf.MAXIFS($A$5:$A$304,$B$5:$B$304,B304))</f>
        <v/>
      </c>
    </row>
  </sheetData>
  <mergeCells count="2">
    <mergeCell ref="A1:N1"/>
    <mergeCell ref="A2:N2"/>
  </mergeCells>
  <conditionalFormatting sqref="E5:E304">
    <cfRule type="containsText" dxfId="7" priority="1" operator="containsText" text="Waiting/Blocked"/>
    <cfRule type="containsText" dxfId="6" priority="2" operator="containsText" text="Completed by Engineer"/>
    <cfRule type="containsText" dxfId="5" priority="3" operator="containsText" text="Out-of-Scope Suspected"/>
  </conditionalFormatting>
  <dataValidations count="3">
    <dataValidation type="list" sqref="E5:E304" xr:uid="{00000000-0002-0000-0400-000002000000}">
      <formula1>"Not Started,In Progress,Waiting/Blocked,Out-of-Scope Suspected,Completed by Engineer,Returned for Clarification"</formula1>
    </dataValidation>
    <dataValidation type="list" sqref="J5:J304" xr:uid="{00000000-0002-0000-0400-000003000000}">
      <formula1>"Not Assessed,In Scope,Suspected Out-of-Scope"</formula1>
    </dataValidation>
    <dataValidation type="list" sqref="K5:K304" xr:uid="{00000000-0002-0000-0400-000004000000}">
      <formula1>"Private Cloud,On-Premises,Other"</formula1>
    </dataValidation>
  </dataValidations>
  <pageMargins left="0.7" right="0.7" top="0.75" bottom="0.75" header="0.3" footer="0.3"/>
  <drawing r:id="rId1"/>
  <legacyDrawing r:id="rId2"/>
  <tableParts count="1">
    <tablePart r:id="rId3"/>
  </tableParts>
  <extLst>
    <ext xmlns:x14="http://schemas.microsoft.com/office/spreadsheetml/2009/9/main" uri="{CCE6A557-97BC-4b89-ADB6-D9C93CAAB3DF}">
      <x14:dataValidations xmlns:xm="http://schemas.microsoft.com/office/excel/2006/main" count="2">
        <x14:dataValidation type="list" xr:uid="{00000000-0002-0000-0400-000000000000}">
          <x14:formula1>
            <xm:f>'Task Master'!$A$5:$A$100</xm:f>
          </x14:formula1>
          <xm:sqref>B5:B304</xm:sqref>
        </x14:dataValidation>
        <x14:dataValidation type="list" xr:uid="{00000000-0002-0000-0400-000001000000}">
          <x14:formula1>
            <xm:f>Configuration!$U$5:$U$25</xm:f>
          </x14:formula1>
          <xm:sqref>D5:D304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04"/>
  <sheetViews>
    <sheetView showGridLines="0" workbookViewId="0">
      <pane ySplit="4" topLeftCell="A5" activePane="bottomLeft" state="frozen"/>
      <selection pane="bottomLeft" activeCell="B23" sqref="B23"/>
    </sheetView>
  </sheetViews>
  <sheetFormatPr defaultColWidth="9" defaultRowHeight="14.4"/>
  <cols>
    <col min="1" max="1" width="20" style="1" customWidth="1"/>
    <col min="2" max="2" width="18" style="1" customWidth="1"/>
    <col min="3" max="4" width="35" style="1" customWidth="1"/>
    <col min="5" max="5" width="23" style="1" customWidth="1"/>
    <col min="6" max="7" width="30" style="1" customWidth="1"/>
    <col min="8" max="8" width="20" style="1" customWidth="1"/>
    <col min="9" max="9" width="45" style="1" customWidth="1"/>
    <col min="10" max="16384" width="9" style="1"/>
  </cols>
  <sheetData>
    <row r="1" spans="1:9" ht="30" customHeight="1">
      <c r="A1" s="51" t="s">
        <v>400</v>
      </c>
      <c r="B1" s="51"/>
      <c r="C1" s="51"/>
      <c r="D1" s="51"/>
      <c r="E1" s="51"/>
      <c r="F1" s="51"/>
      <c r="G1" s="51"/>
      <c r="H1" s="51"/>
      <c r="I1" s="51"/>
    </row>
    <row r="2" spans="1:9" ht="24" customHeight="1">
      <c r="A2" s="52" t="s">
        <v>401</v>
      </c>
      <c r="B2" s="52"/>
      <c r="C2" s="52"/>
      <c r="D2" s="52"/>
      <c r="E2" s="52"/>
      <c r="F2" s="52"/>
      <c r="G2" s="52"/>
      <c r="H2" s="52"/>
      <c r="I2" s="52"/>
    </row>
    <row r="4" spans="1:9" ht="32.1" customHeight="1">
      <c r="A4" s="2" t="s">
        <v>402</v>
      </c>
      <c r="B4" s="3" t="s">
        <v>79</v>
      </c>
      <c r="C4" s="3" t="s">
        <v>403</v>
      </c>
      <c r="D4" s="3" t="s">
        <v>404</v>
      </c>
      <c r="E4" s="3" t="s">
        <v>405</v>
      </c>
      <c r="F4" s="3" t="s">
        <v>406</v>
      </c>
      <c r="G4" s="3" t="s">
        <v>407</v>
      </c>
      <c r="H4" s="3" t="s">
        <v>408</v>
      </c>
      <c r="I4" s="4" t="s">
        <v>384</v>
      </c>
    </row>
    <row r="5" spans="1:9">
      <c r="A5" s="38">
        <v>46252</v>
      </c>
      <c r="B5" s="36" t="s">
        <v>229</v>
      </c>
      <c r="C5" s="36" t="s">
        <v>230</v>
      </c>
      <c r="D5" s="36" t="s">
        <v>251</v>
      </c>
      <c r="E5" s="36" t="s">
        <v>485</v>
      </c>
      <c r="F5" s="36" t="s">
        <v>5372</v>
      </c>
      <c r="G5" s="36" t="s">
        <v>5372</v>
      </c>
      <c r="H5" s="38">
        <v>46252</v>
      </c>
      <c r="I5" s="39" t="s">
        <v>5374</v>
      </c>
    </row>
    <row r="6" spans="1:9">
      <c r="A6" s="38">
        <v>46252</v>
      </c>
      <c r="B6" s="36" t="s">
        <v>294</v>
      </c>
      <c r="C6" s="36" t="s">
        <v>295</v>
      </c>
      <c r="D6" s="36" t="s">
        <v>251</v>
      </c>
      <c r="E6" s="36" t="s">
        <v>485</v>
      </c>
      <c r="F6" s="36" t="s">
        <v>5372</v>
      </c>
      <c r="G6" s="36" t="s">
        <v>5372</v>
      </c>
      <c r="H6" s="38">
        <v>46252</v>
      </c>
      <c r="I6" s="39" t="s">
        <v>5374</v>
      </c>
    </row>
    <row r="7" spans="1:9">
      <c r="A7" s="38">
        <v>46252</v>
      </c>
      <c r="B7" s="36" t="s">
        <v>231</v>
      </c>
      <c r="C7" s="36" t="s">
        <v>230</v>
      </c>
      <c r="D7" s="36" t="s">
        <v>251</v>
      </c>
      <c r="E7" s="36" t="s">
        <v>485</v>
      </c>
      <c r="F7" s="36" t="s">
        <v>5372</v>
      </c>
      <c r="G7" s="36" t="s">
        <v>5372</v>
      </c>
      <c r="H7" s="38">
        <v>46252</v>
      </c>
      <c r="I7" s="39" t="s">
        <v>5374</v>
      </c>
    </row>
    <row r="8" spans="1:9">
      <c r="A8" s="38">
        <v>46252</v>
      </c>
      <c r="B8" s="36" t="s">
        <v>159</v>
      </c>
      <c r="C8" s="36" t="s">
        <v>162</v>
      </c>
      <c r="D8" s="36" t="s">
        <v>251</v>
      </c>
      <c r="E8" s="36" t="s">
        <v>485</v>
      </c>
      <c r="F8" s="36" t="s">
        <v>5372</v>
      </c>
      <c r="G8" s="36" t="s">
        <v>5372</v>
      </c>
      <c r="H8" s="38">
        <v>46252</v>
      </c>
      <c r="I8" s="39" t="s">
        <v>5374</v>
      </c>
    </row>
    <row r="9" spans="1:9">
      <c r="A9" s="38">
        <v>46252</v>
      </c>
      <c r="B9" s="36" t="s">
        <v>246</v>
      </c>
      <c r="C9" s="36" t="s">
        <v>249</v>
      </c>
      <c r="D9" s="36" t="s">
        <v>251</v>
      </c>
      <c r="E9" s="36" t="s">
        <v>485</v>
      </c>
      <c r="F9" s="36" t="s">
        <v>5372</v>
      </c>
      <c r="G9" s="36" t="s">
        <v>5372</v>
      </c>
      <c r="H9" s="38">
        <v>46252</v>
      </c>
      <c r="I9" s="39" t="s">
        <v>5374</v>
      </c>
    </row>
    <row r="10" spans="1:9">
      <c r="A10" s="119">
        <v>46252</v>
      </c>
      <c r="B10" s="36" t="s">
        <v>226</v>
      </c>
      <c r="C10" s="36" t="s">
        <v>126</v>
      </c>
      <c r="D10" s="36" t="s">
        <v>251</v>
      </c>
      <c r="E10" s="36" t="s">
        <v>485</v>
      </c>
      <c r="F10" s="36" t="s">
        <v>5372</v>
      </c>
      <c r="G10" s="36" t="s">
        <v>5372</v>
      </c>
      <c r="H10" s="38">
        <v>46252</v>
      </c>
      <c r="I10" s="39"/>
    </row>
    <row r="11" spans="1:9">
      <c r="A11" s="38">
        <v>46252</v>
      </c>
      <c r="B11" s="36" t="s">
        <v>223</v>
      </c>
      <c r="C11" s="36" t="s">
        <v>126</v>
      </c>
      <c r="D11" s="36" t="s">
        <v>251</v>
      </c>
      <c r="E11" s="36" t="s">
        <v>485</v>
      </c>
      <c r="F11" s="36" t="s">
        <v>5372</v>
      </c>
      <c r="G11" s="36" t="s">
        <v>5372</v>
      </c>
      <c r="H11" s="38">
        <v>46252</v>
      </c>
      <c r="I11" s="39"/>
    </row>
    <row r="12" spans="1:9">
      <c r="A12" s="38">
        <v>46252</v>
      </c>
      <c r="B12" s="36" t="s">
        <v>299</v>
      </c>
      <c r="C12" s="36" t="s">
        <v>295</v>
      </c>
      <c r="D12" s="36" t="s">
        <v>251</v>
      </c>
      <c r="E12" s="36" t="s">
        <v>485</v>
      </c>
      <c r="F12" s="36" t="s">
        <v>5372</v>
      </c>
      <c r="G12" s="36" t="s">
        <v>5372</v>
      </c>
      <c r="H12" s="38">
        <v>46252</v>
      </c>
      <c r="I12" s="39"/>
    </row>
    <row r="13" spans="1:9">
      <c r="A13" s="38">
        <v>46252</v>
      </c>
      <c r="B13" s="36" t="s">
        <v>252</v>
      </c>
      <c r="C13" s="36" t="s">
        <v>255</v>
      </c>
      <c r="D13" s="36" t="s">
        <v>251</v>
      </c>
      <c r="E13" s="36" t="s">
        <v>485</v>
      </c>
      <c r="F13" s="36" t="s">
        <v>5372</v>
      </c>
      <c r="G13" s="36" t="s">
        <v>5372</v>
      </c>
      <c r="H13" s="38">
        <v>46252</v>
      </c>
      <c r="I13" s="39"/>
    </row>
    <row r="14" spans="1:9">
      <c r="A14" s="38">
        <v>46252</v>
      </c>
      <c r="B14" s="36" t="s">
        <v>163</v>
      </c>
      <c r="C14" s="36" t="s">
        <v>162</v>
      </c>
      <c r="D14" s="36" t="s">
        <v>340</v>
      </c>
      <c r="E14" s="36" t="s">
        <v>485</v>
      </c>
      <c r="F14" s="36" t="s">
        <v>5372</v>
      </c>
      <c r="G14" s="36" t="s">
        <v>5372</v>
      </c>
      <c r="H14" s="38">
        <v>46252</v>
      </c>
      <c r="I14" s="39"/>
    </row>
    <row r="15" spans="1:9">
      <c r="A15" s="38">
        <v>46252</v>
      </c>
      <c r="B15" s="36" t="s">
        <v>305</v>
      </c>
      <c r="C15" s="36" t="s">
        <v>295</v>
      </c>
      <c r="D15" s="36" t="s">
        <v>340</v>
      </c>
      <c r="E15" s="36" t="s">
        <v>485</v>
      </c>
      <c r="F15" s="36" t="s">
        <v>5372</v>
      </c>
      <c r="G15" s="36" t="s">
        <v>5372</v>
      </c>
      <c r="H15" s="38">
        <v>46252</v>
      </c>
      <c r="I15" s="39"/>
    </row>
    <row r="16" spans="1:9">
      <c r="A16" s="38">
        <v>46252</v>
      </c>
      <c r="B16" s="36" t="s">
        <v>301</v>
      </c>
      <c r="C16" s="36" t="s">
        <v>295</v>
      </c>
      <c r="D16" s="36" t="s">
        <v>340</v>
      </c>
      <c r="E16" s="36" t="s">
        <v>485</v>
      </c>
      <c r="F16" s="36" t="s">
        <v>5372</v>
      </c>
      <c r="G16" s="36" t="s">
        <v>5372</v>
      </c>
      <c r="H16" s="38">
        <v>46252</v>
      </c>
      <c r="I16" s="39"/>
    </row>
    <row r="17" spans="1:9">
      <c r="A17" s="38">
        <v>46252</v>
      </c>
      <c r="B17" s="36" t="s">
        <v>304</v>
      </c>
      <c r="C17" s="36" t="s">
        <v>295</v>
      </c>
      <c r="D17" s="36" t="s">
        <v>340</v>
      </c>
      <c r="E17" s="36" t="s">
        <v>485</v>
      </c>
      <c r="F17" s="36" t="s">
        <v>5372</v>
      </c>
      <c r="G17" s="36" t="s">
        <v>5372</v>
      </c>
      <c r="H17" s="38">
        <v>46252</v>
      </c>
      <c r="I17" s="39"/>
    </row>
    <row r="18" spans="1:9">
      <c r="A18" s="38">
        <v>46252</v>
      </c>
      <c r="B18" s="36" t="s">
        <v>296</v>
      </c>
      <c r="C18" s="36" t="s">
        <v>295</v>
      </c>
      <c r="D18" s="36" t="s">
        <v>340</v>
      </c>
      <c r="E18" s="36" t="s">
        <v>485</v>
      </c>
      <c r="F18" s="36" t="s">
        <v>5372</v>
      </c>
      <c r="G18" s="36" t="s">
        <v>5372</v>
      </c>
      <c r="H18" s="38">
        <v>46252</v>
      </c>
      <c r="I18" s="39"/>
    </row>
    <row r="19" spans="1:9">
      <c r="A19" s="38">
        <v>46252</v>
      </c>
      <c r="B19" s="36" t="s">
        <v>294</v>
      </c>
      <c r="C19" s="36" t="s">
        <v>295</v>
      </c>
      <c r="D19" s="36" t="s">
        <v>158</v>
      </c>
      <c r="E19" s="36" t="s">
        <v>485</v>
      </c>
      <c r="F19" s="36" t="s">
        <v>5372</v>
      </c>
      <c r="G19" s="36" t="s">
        <v>5372</v>
      </c>
      <c r="H19" s="38">
        <v>46252</v>
      </c>
      <c r="I19" s="39"/>
    </row>
    <row r="20" spans="1:9">
      <c r="A20" s="38">
        <v>46252</v>
      </c>
      <c r="B20" s="36" t="s">
        <v>159</v>
      </c>
      <c r="C20" s="36" t="s">
        <v>162</v>
      </c>
      <c r="D20" s="36" t="s">
        <v>158</v>
      </c>
      <c r="E20" s="36" t="s">
        <v>485</v>
      </c>
      <c r="F20" s="36" t="s">
        <v>5372</v>
      </c>
      <c r="G20" s="36" t="s">
        <v>5372</v>
      </c>
      <c r="H20" s="38">
        <v>46252</v>
      </c>
      <c r="I20" s="39"/>
    </row>
    <row r="21" spans="1:9">
      <c r="A21" s="38">
        <v>46252</v>
      </c>
      <c r="B21" s="36" t="s">
        <v>246</v>
      </c>
      <c r="C21" s="36" t="s">
        <v>249</v>
      </c>
      <c r="D21" s="36" t="s">
        <v>158</v>
      </c>
      <c r="E21" s="36" t="s">
        <v>485</v>
      </c>
      <c r="F21" s="36" t="s">
        <v>5372</v>
      </c>
      <c r="G21" s="36" t="s">
        <v>5372</v>
      </c>
      <c r="H21" s="38">
        <v>46252</v>
      </c>
      <c r="I21" s="39"/>
    </row>
    <row r="22" spans="1:9">
      <c r="A22" s="38">
        <v>46252</v>
      </c>
      <c r="B22" s="36" t="s">
        <v>229</v>
      </c>
      <c r="C22" s="36" t="s">
        <v>230</v>
      </c>
      <c r="D22" s="36" t="s">
        <v>158</v>
      </c>
      <c r="E22" s="36" t="s">
        <v>485</v>
      </c>
      <c r="F22" s="36" t="s">
        <v>5372</v>
      </c>
      <c r="G22" s="36" t="s">
        <v>5372</v>
      </c>
      <c r="H22" s="38">
        <v>46252</v>
      </c>
      <c r="I22" s="39"/>
    </row>
    <row r="23" spans="1:9">
      <c r="A23" s="38">
        <v>46252</v>
      </c>
      <c r="B23" s="36" t="s">
        <v>231</v>
      </c>
      <c r="C23" s="36" t="s">
        <v>230</v>
      </c>
      <c r="D23" s="36" t="s">
        <v>237</v>
      </c>
      <c r="E23" s="36" t="s">
        <v>485</v>
      </c>
      <c r="F23" s="36" t="s">
        <v>5372</v>
      </c>
      <c r="G23" s="36" t="s">
        <v>5372</v>
      </c>
      <c r="H23" s="38">
        <v>46252</v>
      </c>
      <c r="I23" s="39"/>
    </row>
    <row r="24" spans="1:9">
      <c r="A24" s="38"/>
      <c r="B24" s="36"/>
      <c r="C24" s="36"/>
      <c r="D24" s="36"/>
      <c r="E24" s="36"/>
      <c r="F24" s="36"/>
      <c r="G24" s="36"/>
      <c r="H24" s="38"/>
      <c r="I24" s="39"/>
    </row>
    <row r="25" spans="1:9">
      <c r="A25" s="38"/>
      <c r="B25" s="36"/>
      <c r="C25" s="36"/>
      <c r="D25" s="36"/>
      <c r="E25" s="36"/>
      <c r="F25" s="36"/>
      <c r="G25" s="36"/>
      <c r="H25" s="38"/>
      <c r="I25" s="39"/>
    </row>
    <row r="26" spans="1:9">
      <c r="A26" s="38"/>
      <c r="B26" s="36"/>
      <c r="C26" s="36"/>
      <c r="D26" s="36"/>
      <c r="E26" s="36"/>
      <c r="F26" s="36"/>
      <c r="G26" s="36"/>
      <c r="H26" s="38"/>
      <c r="I26" s="39"/>
    </row>
    <row r="27" spans="1:9">
      <c r="A27" s="38"/>
      <c r="B27" s="36"/>
      <c r="C27" s="36"/>
      <c r="D27" s="36"/>
      <c r="E27" s="36"/>
      <c r="F27" s="36"/>
      <c r="G27" s="36"/>
      <c r="H27" s="38"/>
      <c r="I27" s="39"/>
    </row>
    <row r="28" spans="1:9">
      <c r="A28" s="38"/>
      <c r="B28" s="36"/>
      <c r="C28" s="36"/>
      <c r="D28" s="36"/>
      <c r="E28" s="36"/>
      <c r="F28" s="36"/>
      <c r="G28" s="36"/>
      <c r="H28" s="38"/>
      <c r="I28" s="39"/>
    </row>
    <row r="29" spans="1:9">
      <c r="A29" s="38"/>
      <c r="B29" s="36"/>
      <c r="C29" s="36"/>
      <c r="D29" s="36"/>
      <c r="E29" s="36"/>
      <c r="F29" s="36"/>
      <c r="G29" s="36"/>
      <c r="H29" s="38"/>
      <c r="I29" s="39"/>
    </row>
    <row r="30" spans="1:9">
      <c r="A30" s="38"/>
      <c r="B30" s="36"/>
      <c r="C30" s="36"/>
      <c r="D30" s="36"/>
      <c r="E30" s="36"/>
      <c r="F30" s="36"/>
      <c r="G30" s="36"/>
      <c r="H30" s="38"/>
      <c r="I30" s="39"/>
    </row>
    <row r="31" spans="1:9">
      <c r="A31" s="38"/>
      <c r="B31" s="36"/>
      <c r="C31" s="36"/>
      <c r="D31" s="36"/>
      <c r="E31" s="36"/>
      <c r="F31" s="36"/>
      <c r="G31" s="36"/>
      <c r="H31" s="38"/>
      <c r="I31" s="39"/>
    </row>
    <row r="32" spans="1:9">
      <c r="A32" s="38"/>
      <c r="B32" s="36"/>
      <c r="C32" s="36"/>
      <c r="D32" s="36"/>
      <c r="E32" s="36"/>
      <c r="F32" s="36"/>
      <c r="G32" s="36"/>
      <c r="H32" s="38"/>
      <c r="I32" s="39"/>
    </row>
    <row r="33" spans="1:9">
      <c r="A33" s="38"/>
      <c r="B33" s="36"/>
      <c r="C33" s="36"/>
      <c r="D33" s="36"/>
      <c r="E33" s="36"/>
      <c r="F33" s="36"/>
      <c r="G33" s="36"/>
      <c r="H33" s="38"/>
      <c r="I33" s="39"/>
    </row>
    <row r="34" spans="1:9">
      <c r="A34" s="38"/>
      <c r="B34" s="36"/>
      <c r="C34" s="36"/>
      <c r="D34" s="36"/>
      <c r="E34" s="36"/>
      <c r="F34" s="36"/>
      <c r="G34" s="36"/>
      <c r="H34" s="38"/>
      <c r="I34" s="39"/>
    </row>
    <row r="35" spans="1:9">
      <c r="A35" s="38"/>
      <c r="B35" s="36"/>
      <c r="C35" s="36"/>
      <c r="D35" s="36"/>
      <c r="E35" s="36"/>
      <c r="F35" s="36"/>
      <c r="G35" s="36"/>
      <c r="H35" s="38"/>
      <c r="I35" s="39"/>
    </row>
    <row r="36" spans="1:9">
      <c r="A36" s="38"/>
      <c r="B36" s="36"/>
      <c r="C36" s="36"/>
      <c r="D36" s="36"/>
      <c r="E36" s="36"/>
      <c r="F36" s="36"/>
      <c r="G36" s="36"/>
      <c r="H36" s="38"/>
      <c r="I36" s="39"/>
    </row>
    <row r="37" spans="1:9">
      <c r="A37" s="38"/>
      <c r="B37" s="36"/>
      <c r="C37" s="36"/>
      <c r="D37" s="36"/>
      <c r="E37" s="36"/>
      <c r="F37" s="36"/>
      <c r="G37" s="36"/>
      <c r="H37" s="38"/>
      <c r="I37" s="39"/>
    </row>
    <row r="38" spans="1:9">
      <c r="A38" s="38"/>
      <c r="B38" s="36"/>
      <c r="C38" s="36"/>
      <c r="D38" s="36"/>
      <c r="E38" s="36"/>
      <c r="F38" s="36"/>
      <c r="G38" s="36"/>
      <c r="H38" s="38"/>
      <c r="I38" s="39"/>
    </row>
    <row r="39" spans="1:9">
      <c r="A39" s="38"/>
      <c r="B39" s="36"/>
      <c r="C39" s="36"/>
      <c r="D39" s="36"/>
      <c r="E39" s="36"/>
      <c r="F39" s="36"/>
      <c r="G39" s="36"/>
      <c r="H39" s="38"/>
      <c r="I39" s="39"/>
    </row>
    <row r="40" spans="1:9">
      <c r="A40" s="38"/>
      <c r="B40" s="36"/>
      <c r="C40" s="36"/>
      <c r="D40" s="36"/>
      <c r="E40" s="36"/>
      <c r="F40" s="36"/>
      <c r="G40" s="36"/>
      <c r="H40" s="38"/>
      <c r="I40" s="39"/>
    </row>
    <row r="41" spans="1:9">
      <c r="A41" s="38"/>
      <c r="B41" s="36"/>
      <c r="C41" s="36"/>
      <c r="D41" s="36"/>
      <c r="E41" s="36"/>
      <c r="F41" s="36"/>
      <c r="G41" s="36"/>
      <c r="H41" s="38"/>
      <c r="I41" s="39"/>
    </row>
    <row r="42" spans="1:9">
      <c r="A42" s="38"/>
      <c r="B42" s="36"/>
      <c r="C42" s="36"/>
      <c r="D42" s="36"/>
      <c r="E42" s="36"/>
      <c r="F42" s="36"/>
      <c r="G42" s="36"/>
      <c r="H42" s="38"/>
      <c r="I42" s="39"/>
    </row>
    <row r="43" spans="1:9">
      <c r="A43" s="38"/>
      <c r="B43" s="36"/>
      <c r="C43" s="36"/>
      <c r="D43" s="36"/>
      <c r="E43" s="36"/>
      <c r="F43" s="36"/>
      <c r="G43" s="36"/>
      <c r="H43" s="38"/>
      <c r="I43" s="39"/>
    </row>
    <row r="44" spans="1:9">
      <c r="A44" s="38"/>
      <c r="B44" s="36"/>
      <c r="C44" s="36"/>
      <c r="D44" s="36"/>
      <c r="E44" s="36"/>
      <c r="F44" s="36"/>
      <c r="G44" s="36"/>
      <c r="H44" s="38"/>
      <c r="I44" s="39"/>
    </row>
    <row r="45" spans="1:9">
      <c r="A45" s="38"/>
      <c r="B45" s="36"/>
      <c r="C45" s="36"/>
      <c r="D45" s="36"/>
      <c r="E45" s="36"/>
      <c r="F45" s="36"/>
      <c r="G45" s="36"/>
      <c r="H45" s="38"/>
      <c r="I45" s="39"/>
    </row>
    <row r="46" spans="1:9">
      <c r="A46" s="38"/>
      <c r="B46" s="36"/>
      <c r="C46" s="36"/>
      <c r="D46" s="36"/>
      <c r="E46" s="36"/>
      <c r="F46" s="36"/>
      <c r="G46" s="36"/>
      <c r="H46" s="38"/>
      <c r="I46" s="39"/>
    </row>
    <row r="47" spans="1:9">
      <c r="A47" s="38"/>
      <c r="B47" s="36"/>
      <c r="C47" s="36"/>
      <c r="D47" s="36"/>
      <c r="E47" s="36"/>
      <c r="F47" s="36"/>
      <c r="G47" s="36"/>
      <c r="H47" s="38"/>
      <c r="I47" s="39"/>
    </row>
    <row r="48" spans="1:9">
      <c r="A48" s="38"/>
      <c r="B48" s="36"/>
      <c r="C48" s="36"/>
      <c r="D48" s="36"/>
      <c r="E48" s="36"/>
      <c r="F48" s="36"/>
      <c r="G48" s="36"/>
      <c r="H48" s="38"/>
      <c r="I48" s="39"/>
    </row>
    <row r="49" spans="1:9">
      <c r="A49" s="38"/>
      <c r="B49" s="36"/>
      <c r="C49" s="36"/>
      <c r="D49" s="36"/>
      <c r="E49" s="36"/>
      <c r="F49" s="36"/>
      <c r="G49" s="36"/>
      <c r="H49" s="38"/>
      <c r="I49" s="39"/>
    </row>
    <row r="50" spans="1:9">
      <c r="A50" s="38"/>
      <c r="B50" s="36"/>
      <c r="C50" s="36"/>
      <c r="D50" s="36"/>
      <c r="E50" s="36"/>
      <c r="F50" s="36"/>
      <c r="G50" s="36"/>
      <c r="H50" s="38"/>
      <c r="I50" s="39"/>
    </row>
    <row r="51" spans="1:9">
      <c r="A51" s="38"/>
      <c r="B51" s="36"/>
      <c r="C51" s="36"/>
      <c r="D51" s="36"/>
      <c r="E51" s="36"/>
      <c r="F51" s="36"/>
      <c r="G51" s="36"/>
      <c r="H51" s="38"/>
      <c r="I51" s="39"/>
    </row>
    <row r="52" spans="1:9">
      <c r="A52" s="38"/>
      <c r="B52" s="36"/>
      <c r="C52" s="36"/>
      <c r="D52" s="36"/>
      <c r="E52" s="36"/>
      <c r="F52" s="36"/>
      <c r="G52" s="36"/>
      <c r="H52" s="38"/>
      <c r="I52" s="39"/>
    </row>
    <row r="53" spans="1:9">
      <c r="A53" s="38"/>
      <c r="B53" s="36"/>
      <c r="C53" s="36"/>
      <c r="D53" s="36"/>
      <c r="E53" s="36"/>
      <c r="F53" s="36"/>
      <c r="G53" s="36"/>
      <c r="H53" s="38"/>
      <c r="I53" s="39"/>
    </row>
    <row r="54" spans="1:9">
      <c r="A54" s="38"/>
      <c r="B54" s="36"/>
      <c r="C54" s="36"/>
      <c r="D54" s="36"/>
      <c r="E54" s="36"/>
      <c r="F54" s="36"/>
      <c r="G54" s="36"/>
      <c r="H54" s="38"/>
      <c r="I54" s="39"/>
    </row>
    <row r="55" spans="1:9">
      <c r="A55" s="38"/>
      <c r="B55" s="36"/>
      <c r="C55" s="36"/>
      <c r="D55" s="36"/>
      <c r="E55" s="36"/>
      <c r="F55" s="36"/>
      <c r="G55" s="36"/>
      <c r="H55" s="38"/>
      <c r="I55" s="39"/>
    </row>
    <row r="56" spans="1:9">
      <c r="A56" s="38"/>
      <c r="B56" s="36"/>
      <c r="C56" s="36"/>
      <c r="D56" s="36"/>
      <c r="E56" s="36"/>
      <c r="F56" s="36"/>
      <c r="G56" s="36"/>
      <c r="H56" s="38"/>
      <c r="I56" s="39"/>
    </row>
    <row r="57" spans="1:9">
      <c r="A57" s="38"/>
      <c r="B57" s="36"/>
      <c r="C57" s="36"/>
      <c r="D57" s="36"/>
      <c r="E57" s="36"/>
      <c r="F57" s="36"/>
      <c r="G57" s="36"/>
      <c r="H57" s="38"/>
      <c r="I57" s="39"/>
    </row>
    <row r="58" spans="1:9">
      <c r="A58" s="38"/>
      <c r="B58" s="36"/>
      <c r="C58" s="36"/>
      <c r="D58" s="36"/>
      <c r="E58" s="36"/>
      <c r="F58" s="36"/>
      <c r="G58" s="36"/>
      <c r="H58" s="38"/>
      <c r="I58" s="39"/>
    </row>
    <row r="59" spans="1:9">
      <c r="A59" s="38"/>
      <c r="B59" s="36"/>
      <c r="C59" s="36"/>
      <c r="D59" s="36"/>
      <c r="E59" s="36"/>
      <c r="F59" s="36"/>
      <c r="G59" s="36"/>
      <c r="H59" s="38"/>
      <c r="I59" s="39"/>
    </row>
    <row r="60" spans="1:9">
      <c r="A60" s="38"/>
      <c r="B60" s="36"/>
      <c r="C60" s="36"/>
      <c r="D60" s="36"/>
      <c r="E60" s="36"/>
      <c r="F60" s="36"/>
      <c r="G60" s="36"/>
      <c r="H60" s="38"/>
      <c r="I60" s="39"/>
    </row>
    <row r="61" spans="1:9">
      <c r="A61" s="38"/>
      <c r="B61" s="36"/>
      <c r="C61" s="36"/>
      <c r="D61" s="36"/>
      <c r="E61" s="36"/>
      <c r="F61" s="36"/>
      <c r="G61" s="36"/>
      <c r="H61" s="38"/>
      <c r="I61" s="39"/>
    </row>
    <row r="62" spans="1:9">
      <c r="A62" s="38"/>
      <c r="B62" s="36"/>
      <c r="C62" s="36"/>
      <c r="D62" s="36"/>
      <c r="E62" s="36"/>
      <c r="F62" s="36"/>
      <c r="G62" s="36"/>
      <c r="H62" s="38"/>
      <c r="I62" s="39"/>
    </row>
    <row r="63" spans="1:9">
      <c r="A63" s="38"/>
      <c r="B63" s="36"/>
      <c r="C63" s="36"/>
      <c r="D63" s="36"/>
      <c r="E63" s="36"/>
      <c r="F63" s="36"/>
      <c r="G63" s="36"/>
      <c r="H63" s="38"/>
      <c r="I63" s="39"/>
    </row>
    <row r="64" spans="1:9">
      <c r="A64" s="38"/>
      <c r="B64" s="36"/>
      <c r="C64" s="36"/>
      <c r="D64" s="36"/>
      <c r="E64" s="36"/>
      <c r="F64" s="36"/>
      <c r="G64" s="36"/>
      <c r="H64" s="38"/>
      <c r="I64" s="39"/>
    </row>
    <row r="65" spans="1:9">
      <c r="A65" s="38"/>
      <c r="B65" s="36"/>
      <c r="C65" s="36"/>
      <c r="D65" s="36"/>
      <c r="E65" s="36"/>
      <c r="F65" s="36"/>
      <c r="G65" s="36"/>
      <c r="H65" s="38"/>
      <c r="I65" s="39"/>
    </row>
    <row r="66" spans="1:9">
      <c r="A66" s="38"/>
      <c r="B66" s="36"/>
      <c r="C66" s="36"/>
      <c r="D66" s="36"/>
      <c r="E66" s="36"/>
      <c r="F66" s="36"/>
      <c r="G66" s="36"/>
      <c r="H66" s="38"/>
      <c r="I66" s="39"/>
    </row>
    <row r="67" spans="1:9">
      <c r="A67" s="38"/>
      <c r="B67" s="36"/>
      <c r="C67" s="36"/>
      <c r="D67" s="36"/>
      <c r="E67" s="36"/>
      <c r="F67" s="36"/>
      <c r="G67" s="36"/>
      <c r="H67" s="38"/>
      <c r="I67" s="39"/>
    </row>
    <row r="68" spans="1:9">
      <c r="A68" s="38"/>
      <c r="B68" s="36"/>
      <c r="C68" s="36"/>
      <c r="D68" s="36"/>
      <c r="E68" s="36"/>
      <c r="F68" s="36"/>
      <c r="G68" s="36"/>
      <c r="H68" s="38"/>
      <c r="I68" s="39"/>
    </row>
    <row r="69" spans="1:9">
      <c r="A69" s="38"/>
      <c r="B69" s="36"/>
      <c r="C69" s="36"/>
      <c r="D69" s="36"/>
      <c r="E69" s="36"/>
      <c r="F69" s="36"/>
      <c r="G69" s="36"/>
      <c r="H69" s="38"/>
      <c r="I69" s="39"/>
    </row>
    <row r="70" spans="1:9">
      <c r="A70" s="38"/>
      <c r="B70" s="36"/>
      <c r="C70" s="36"/>
      <c r="D70" s="36"/>
      <c r="E70" s="36"/>
      <c r="F70" s="36"/>
      <c r="G70" s="36"/>
      <c r="H70" s="38"/>
      <c r="I70" s="39"/>
    </row>
    <row r="71" spans="1:9">
      <c r="A71" s="38"/>
      <c r="B71" s="36"/>
      <c r="C71" s="36"/>
      <c r="D71" s="36"/>
      <c r="E71" s="36"/>
      <c r="F71" s="36"/>
      <c r="G71" s="36"/>
      <c r="H71" s="38"/>
      <c r="I71" s="39"/>
    </row>
    <row r="72" spans="1:9">
      <c r="A72" s="38"/>
      <c r="B72" s="36"/>
      <c r="C72" s="36"/>
      <c r="D72" s="36"/>
      <c r="E72" s="36"/>
      <c r="F72" s="36"/>
      <c r="G72" s="36"/>
      <c r="H72" s="38"/>
      <c r="I72" s="39"/>
    </row>
    <row r="73" spans="1:9">
      <c r="A73" s="38"/>
      <c r="B73" s="36"/>
      <c r="C73" s="36"/>
      <c r="D73" s="36"/>
      <c r="E73" s="36"/>
      <c r="F73" s="36"/>
      <c r="G73" s="36"/>
      <c r="H73" s="38"/>
      <c r="I73" s="39"/>
    </row>
    <row r="74" spans="1:9">
      <c r="A74" s="38"/>
      <c r="B74" s="36"/>
      <c r="C74" s="36"/>
      <c r="D74" s="36"/>
      <c r="E74" s="36"/>
      <c r="F74" s="36"/>
      <c r="G74" s="36"/>
      <c r="H74" s="38"/>
      <c r="I74" s="39"/>
    </row>
    <row r="75" spans="1:9">
      <c r="A75" s="38"/>
      <c r="B75" s="36"/>
      <c r="C75" s="36"/>
      <c r="D75" s="36"/>
      <c r="E75" s="36"/>
      <c r="F75" s="36"/>
      <c r="G75" s="36"/>
      <c r="H75" s="38"/>
      <c r="I75" s="39"/>
    </row>
    <row r="76" spans="1:9">
      <c r="A76" s="38"/>
      <c r="B76" s="36"/>
      <c r="C76" s="36"/>
      <c r="D76" s="36"/>
      <c r="E76" s="36"/>
      <c r="F76" s="36"/>
      <c r="G76" s="36"/>
      <c r="H76" s="38"/>
      <c r="I76" s="39"/>
    </row>
    <row r="77" spans="1:9">
      <c r="A77" s="38"/>
      <c r="B77" s="36"/>
      <c r="C77" s="36"/>
      <c r="D77" s="36"/>
      <c r="E77" s="36"/>
      <c r="F77" s="36"/>
      <c r="G77" s="36"/>
      <c r="H77" s="38"/>
      <c r="I77" s="39"/>
    </row>
    <row r="78" spans="1:9">
      <c r="A78" s="38"/>
      <c r="B78" s="36"/>
      <c r="C78" s="36"/>
      <c r="D78" s="36"/>
      <c r="E78" s="36"/>
      <c r="F78" s="36"/>
      <c r="G78" s="36"/>
      <c r="H78" s="38"/>
      <c r="I78" s="39"/>
    </row>
    <row r="79" spans="1:9">
      <c r="A79" s="38"/>
      <c r="B79" s="36"/>
      <c r="C79" s="36"/>
      <c r="D79" s="36"/>
      <c r="E79" s="36"/>
      <c r="F79" s="36"/>
      <c r="G79" s="36"/>
      <c r="H79" s="38"/>
      <c r="I79" s="39"/>
    </row>
    <row r="80" spans="1:9">
      <c r="A80" s="38"/>
      <c r="B80" s="36"/>
      <c r="C80" s="36"/>
      <c r="D80" s="36"/>
      <c r="E80" s="36"/>
      <c r="F80" s="36"/>
      <c r="G80" s="36"/>
      <c r="H80" s="38"/>
      <c r="I80" s="39"/>
    </row>
    <row r="81" spans="1:9">
      <c r="A81" s="38"/>
      <c r="B81" s="36"/>
      <c r="C81" s="36"/>
      <c r="D81" s="36"/>
      <c r="E81" s="36"/>
      <c r="F81" s="36"/>
      <c r="G81" s="36"/>
      <c r="H81" s="38"/>
      <c r="I81" s="39"/>
    </row>
    <row r="82" spans="1:9">
      <c r="A82" s="38"/>
      <c r="B82" s="36"/>
      <c r="C82" s="36"/>
      <c r="D82" s="36"/>
      <c r="E82" s="36"/>
      <c r="F82" s="36"/>
      <c r="G82" s="36"/>
      <c r="H82" s="38"/>
      <c r="I82" s="39"/>
    </row>
    <row r="83" spans="1:9">
      <c r="A83" s="38"/>
      <c r="B83" s="36"/>
      <c r="C83" s="36"/>
      <c r="D83" s="36"/>
      <c r="E83" s="36"/>
      <c r="F83" s="36"/>
      <c r="G83" s="36"/>
      <c r="H83" s="38"/>
      <c r="I83" s="39"/>
    </row>
    <row r="84" spans="1:9">
      <c r="A84" s="38"/>
      <c r="B84" s="36"/>
      <c r="C84" s="36"/>
      <c r="D84" s="36"/>
      <c r="E84" s="36"/>
      <c r="F84" s="36"/>
      <c r="G84" s="36"/>
      <c r="H84" s="38"/>
      <c r="I84" s="39"/>
    </row>
    <row r="85" spans="1:9">
      <c r="A85" s="38"/>
      <c r="B85" s="36"/>
      <c r="C85" s="36"/>
      <c r="D85" s="36"/>
      <c r="E85" s="36"/>
      <c r="F85" s="36"/>
      <c r="G85" s="36"/>
      <c r="H85" s="38"/>
      <c r="I85" s="39"/>
    </row>
    <row r="86" spans="1:9">
      <c r="A86" s="38"/>
      <c r="B86" s="36"/>
      <c r="C86" s="36"/>
      <c r="D86" s="36"/>
      <c r="E86" s="36"/>
      <c r="F86" s="36"/>
      <c r="G86" s="36"/>
      <c r="H86" s="38"/>
      <c r="I86" s="39"/>
    </row>
    <row r="87" spans="1:9">
      <c r="A87" s="38"/>
      <c r="B87" s="36"/>
      <c r="C87" s="36"/>
      <c r="D87" s="36"/>
      <c r="E87" s="36"/>
      <c r="F87" s="36"/>
      <c r="G87" s="36"/>
      <c r="H87" s="38"/>
      <c r="I87" s="39"/>
    </row>
    <row r="88" spans="1:9">
      <c r="A88" s="38"/>
      <c r="B88" s="36"/>
      <c r="C88" s="36"/>
      <c r="D88" s="36"/>
      <c r="E88" s="36"/>
      <c r="F88" s="36"/>
      <c r="G88" s="36"/>
      <c r="H88" s="38"/>
      <c r="I88" s="39"/>
    </row>
    <row r="89" spans="1:9">
      <c r="A89" s="38"/>
      <c r="B89" s="36"/>
      <c r="C89" s="36"/>
      <c r="D89" s="36"/>
      <c r="E89" s="36"/>
      <c r="F89" s="36"/>
      <c r="G89" s="36"/>
      <c r="H89" s="38"/>
      <c r="I89" s="39"/>
    </row>
    <row r="90" spans="1:9">
      <c r="A90" s="38"/>
      <c r="B90" s="36"/>
      <c r="C90" s="36"/>
      <c r="D90" s="36"/>
      <c r="E90" s="36"/>
      <c r="F90" s="36"/>
      <c r="G90" s="36"/>
      <c r="H90" s="38"/>
      <c r="I90" s="39"/>
    </row>
    <row r="91" spans="1:9">
      <c r="A91" s="38"/>
      <c r="B91" s="36"/>
      <c r="C91" s="36"/>
      <c r="D91" s="36"/>
      <c r="E91" s="36"/>
      <c r="F91" s="36"/>
      <c r="G91" s="36"/>
      <c r="H91" s="38"/>
      <c r="I91" s="39"/>
    </row>
    <row r="92" spans="1:9">
      <c r="A92" s="38"/>
      <c r="B92" s="36"/>
      <c r="C92" s="36"/>
      <c r="D92" s="36"/>
      <c r="E92" s="36"/>
      <c r="F92" s="36"/>
      <c r="G92" s="36"/>
      <c r="H92" s="38"/>
      <c r="I92" s="39"/>
    </row>
    <row r="93" spans="1:9">
      <c r="A93" s="38"/>
      <c r="B93" s="36"/>
      <c r="C93" s="36"/>
      <c r="D93" s="36"/>
      <c r="E93" s="36"/>
      <c r="F93" s="36"/>
      <c r="G93" s="36"/>
      <c r="H93" s="38"/>
      <c r="I93" s="39"/>
    </row>
    <row r="94" spans="1:9">
      <c r="A94" s="38"/>
      <c r="B94" s="36"/>
      <c r="C94" s="36"/>
      <c r="D94" s="36"/>
      <c r="E94" s="36"/>
      <c r="F94" s="36"/>
      <c r="G94" s="36"/>
      <c r="H94" s="38"/>
      <c r="I94" s="39"/>
    </row>
    <row r="95" spans="1:9">
      <c r="A95" s="38"/>
      <c r="B95" s="36"/>
      <c r="C95" s="36"/>
      <c r="D95" s="36"/>
      <c r="E95" s="36"/>
      <c r="F95" s="36"/>
      <c r="G95" s="36"/>
      <c r="H95" s="38"/>
      <c r="I95" s="39"/>
    </row>
    <row r="96" spans="1:9">
      <c r="A96" s="38"/>
      <c r="B96" s="36"/>
      <c r="C96" s="36"/>
      <c r="D96" s="36"/>
      <c r="E96" s="36"/>
      <c r="F96" s="36"/>
      <c r="G96" s="36"/>
      <c r="H96" s="38"/>
      <c r="I96" s="39"/>
    </row>
    <row r="97" spans="1:9">
      <c r="A97" s="38"/>
      <c r="B97" s="36"/>
      <c r="C97" s="36"/>
      <c r="D97" s="36"/>
      <c r="E97" s="36"/>
      <c r="F97" s="36"/>
      <c r="G97" s="36"/>
      <c r="H97" s="38"/>
      <c r="I97" s="39"/>
    </row>
    <row r="98" spans="1:9">
      <c r="A98" s="38"/>
      <c r="B98" s="36"/>
      <c r="C98" s="36"/>
      <c r="D98" s="36"/>
      <c r="E98" s="36"/>
      <c r="F98" s="36"/>
      <c r="G98" s="36"/>
      <c r="H98" s="38"/>
      <c r="I98" s="39"/>
    </row>
    <row r="99" spans="1:9">
      <c r="A99" s="38"/>
      <c r="B99" s="36"/>
      <c r="C99" s="36"/>
      <c r="D99" s="36"/>
      <c r="E99" s="36"/>
      <c r="F99" s="36"/>
      <c r="G99" s="36"/>
      <c r="H99" s="38"/>
      <c r="I99" s="39"/>
    </row>
    <row r="100" spans="1:9">
      <c r="A100" s="38"/>
      <c r="B100" s="36"/>
      <c r="C100" s="36"/>
      <c r="D100" s="36"/>
      <c r="E100" s="36"/>
      <c r="F100" s="36"/>
      <c r="G100" s="36"/>
      <c r="H100" s="38"/>
      <c r="I100" s="39"/>
    </row>
    <row r="101" spans="1:9">
      <c r="A101" s="38"/>
      <c r="B101" s="36"/>
      <c r="C101" s="36"/>
      <c r="D101" s="36"/>
      <c r="E101" s="36"/>
      <c r="F101" s="36"/>
      <c r="G101" s="36"/>
      <c r="H101" s="38"/>
      <c r="I101" s="39"/>
    </row>
    <row r="102" spans="1:9">
      <c r="A102" s="38"/>
      <c r="B102" s="36"/>
      <c r="C102" s="36"/>
      <c r="D102" s="36"/>
      <c r="E102" s="36"/>
      <c r="F102" s="36"/>
      <c r="G102" s="36"/>
      <c r="H102" s="38"/>
      <c r="I102" s="39"/>
    </row>
    <row r="103" spans="1:9">
      <c r="A103" s="38"/>
      <c r="B103" s="36"/>
      <c r="C103" s="36"/>
      <c r="D103" s="36"/>
      <c r="E103" s="36"/>
      <c r="F103" s="36"/>
      <c r="G103" s="36"/>
      <c r="H103" s="38"/>
      <c r="I103" s="39"/>
    </row>
    <row r="104" spans="1:9">
      <c r="A104" s="38"/>
      <c r="B104" s="36"/>
      <c r="C104" s="36"/>
      <c r="D104" s="36"/>
      <c r="E104" s="36"/>
      <c r="F104" s="36"/>
      <c r="G104" s="36"/>
      <c r="H104" s="38"/>
      <c r="I104" s="39"/>
    </row>
    <row r="105" spans="1:9">
      <c r="A105" s="38"/>
      <c r="B105" s="36"/>
      <c r="C105" s="36"/>
      <c r="D105" s="36"/>
      <c r="E105" s="36"/>
      <c r="F105" s="36"/>
      <c r="G105" s="36"/>
      <c r="H105" s="38"/>
      <c r="I105" s="39"/>
    </row>
    <row r="106" spans="1:9">
      <c r="A106" s="38"/>
      <c r="B106" s="36"/>
      <c r="C106" s="36"/>
      <c r="D106" s="36"/>
      <c r="E106" s="36"/>
      <c r="F106" s="36"/>
      <c r="G106" s="36"/>
      <c r="H106" s="38"/>
      <c r="I106" s="39"/>
    </row>
    <row r="107" spans="1:9">
      <c r="A107" s="38"/>
      <c r="B107" s="36"/>
      <c r="C107" s="36"/>
      <c r="D107" s="36"/>
      <c r="E107" s="36"/>
      <c r="F107" s="36"/>
      <c r="G107" s="36"/>
      <c r="H107" s="38"/>
      <c r="I107" s="39"/>
    </row>
    <row r="108" spans="1:9">
      <c r="A108" s="38"/>
      <c r="B108" s="36"/>
      <c r="C108" s="36"/>
      <c r="D108" s="36"/>
      <c r="E108" s="36"/>
      <c r="F108" s="36"/>
      <c r="G108" s="36"/>
      <c r="H108" s="38"/>
      <c r="I108" s="39"/>
    </row>
    <row r="109" spans="1:9">
      <c r="A109" s="38"/>
      <c r="B109" s="36"/>
      <c r="C109" s="36"/>
      <c r="D109" s="36"/>
      <c r="E109" s="36"/>
      <c r="F109" s="36"/>
      <c r="G109" s="36"/>
      <c r="H109" s="38"/>
      <c r="I109" s="39"/>
    </row>
    <row r="110" spans="1:9">
      <c r="A110" s="38"/>
      <c r="B110" s="36"/>
      <c r="C110" s="36"/>
      <c r="D110" s="36"/>
      <c r="E110" s="36"/>
      <c r="F110" s="36"/>
      <c r="G110" s="36"/>
      <c r="H110" s="38"/>
      <c r="I110" s="39"/>
    </row>
    <row r="111" spans="1:9">
      <c r="A111" s="38"/>
      <c r="B111" s="36"/>
      <c r="C111" s="36"/>
      <c r="D111" s="36"/>
      <c r="E111" s="36"/>
      <c r="F111" s="36"/>
      <c r="G111" s="36"/>
      <c r="H111" s="38"/>
      <c r="I111" s="39"/>
    </row>
    <row r="112" spans="1:9">
      <c r="A112" s="38"/>
      <c r="B112" s="36"/>
      <c r="C112" s="36"/>
      <c r="D112" s="36"/>
      <c r="E112" s="36"/>
      <c r="F112" s="36"/>
      <c r="G112" s="36"/>
      <c r="H112" s="38"/>
      <c r="I112" s="39"/>
    </row>
    <row r="113" spans="1:9">
      <c r="A113" s="38"/>
      <c r="B113" s="36"/>
      <c r="C113" s="36"/>
      <c r="D113" s="36"/>
      <c r="E113" s="36"/>
      <c r="F113" s="36"/>
      <c r="G113" s="36"/>
      <c r="H113" s="38"/>
      <c r="I113" s="39"/>
    </row>
    <row r="114" spans="1:9">
      <c r="A114" s="38"/>
      <c r="B114" s="36"/>
      <c r="C114" s="36"/>
      <c r="D114" s="36"/>
      <c r="E114" s="36"/>
      <c r="F114" s="36"/>
      <c r="G114" s="36"/>
      <c r="H114" s="38"/>
      <c r="I114" s="39"/>
    </row>
    <row r="115" spans="1:9">
      <c r="A115" s="38"/>
      <c r="B115" s="36"/>
      <c r="C115" s="36"/>
      <c r="D115" s="36"/>
      <c r="E115" s="36"/>
      <c r="F115" s="36"/>
      <c r="G115" s="36"/>
      <c r="H115" s="38"/>
      <c r="I115" s="39"/>
    </row>
    <row r="116" spans="1:9">
      <c r="A116" s="38"/>
      <c r="B116" s="36"/>
      <c r="C116" s="36"/>
      <c r="D116" s="36"/>
      <c r="E116" s="36"/>
      <c r="F116" s="36"/>
      <c r="G116" s="36"/>
      <c r="H116" s="38"/>
      <c r="I116" s="39"/>
    </row>
    <row r="117" spans="1:9">
      <c r="A117" s="38"/>
      <c r="B117" s="36"/>
      <c r="C117" s="36"/>
      <c r="D117" s="36"/>
      <c r="E117" s="36"/>
      <c r="F117" s="36"/>
      <c r="G117" s="36"/>
      <c r="H117" s="38"/>
      <c r="I117" s="39"/>
    </row>
    <row r="118" spans="1:9">
      <c r="A118" s="38"/>
      <c r="B118" s="36"/>
      <c r="C118" s="36"/>
      <c r="D118" s="36"/>
      <c r="E118" s="36"/>
      <c r="F118" s="36"/>
      <c r="G118" s="36"/>
      <c r="H118" s="38"/>
      <c r="I118" s="39"/>
    </row>
    <row r="119" spans="1:9">
      <c r="A119" s="38"/>
      <c r="B119" s="36"/>
      <c r="C119" s="36"/>
      <c r="D119" s="36"/>
      <c r="E119" s="36"/>
      <c r="F119" s="36"/>
      <c r="G119" s="36"/>
      <c r="H119" s="38"/>
      <c r="I119" s="39"/>
    </row>
    <row r="120" spans="1:9">
      <c r="A120" s="38"/>
      <c r="B120" s="36"/>
      <c r="C120" s="36"/>
      <c r="D120" s="36"/>
      <c r="E120" s="36"/>
      <c r="F120" s="36"/>
      <c r="G120" s="36"/>
      <c r="H120" s="38"/>
      <c r="I120" s="39"/>
    </row>
    <row r="121" spans="1:9">
      <c r="A121" s="38"/>
      <c r="B121" s="36"/>
      <c r="C121" s="36"/>
      <c r="D121" s="36"/>
      <c r="E121" s="36"/>
      <c r="F121" s="36"/>
      <c r="G121" s="36"/>
      <c r="H121" s="38"/>
      <c r="I121" s="39"/>
    </row>
    <row r="122" spans="1:9">
      <c r="A122" s="38"/>
      <c r="B122" s="36"/>
      <c r="C122" s="36"/>
      <c r="D122" s="36"/>
      <c r="E122" s="36"/>
      <c r="F122" s="36"/>
      <c r="G122" s="36"/>
      <c r="H122" s="38"/>
      <c r="I122" s="39"/>
    </row>
    <row r="123" spans="1:9">
      <c r="A123" s="38"/>
      <c r="B123" s="36"/>
      <c r="C123" s="36"/>
      <c r="D123" s="36"/>
      <c r="E123" s="36"/>
      <c r="F123" s="36"/>
      <c r="G123" s="36"/>
      <c r="H123" s="38"/>
      <c r="I123" s="39"/>
    </row>
    <row r="124" spans="1:9">
      <c r="A124" s="38"/>
      <c r="B124" s="36"/>
      <c r="C124" s="36"/>
      <c r="D124" s="36"/>
      <c r="E124" s="36"/>
      <c r="F124" s="36"/>
      <c r="G124" s="36"/>
      <c r="H124" s="38"/>
      <c r="I124" s="39"/>
    </row>
    <row r="125" spans="1:9">
      <c r="A125" s="38"/>
      <c r="B125" s="36"/>
      <c r="C125" s="36"/>
      <c r="D125" s="36"/>
      <c r="E125" s="36"/>
      <c r="F125" s="36"/>
      <c r="G125" s="36"/>
      <c r="H125" s="38"/>
      <c r="I125" s="39"/>
    </row>
    <row r="126" spans="1:9">
      <c r="A126" s="38"/>
      <c r="B126" s="36"/>
      <c r="C126" s="36"/>
      <c r="D126" s="36"/>
      <c r="E126" s="36"/>
      <c r="F126" s="36"/>
      <c r="G126" s="36"/>
      <c r="H126" s="38"/>
      <c r="I126" s="39"/>
    </row>
    <row r="127" spans="1:9">
      <c r="A127" s="38"/>
      <c r="B127" s="36"/>
      <c r="C127" s="36"/>
      <c r="D127" s="36"/>
      <c r="E127" s="36"/>
      <c r="F127" s="36"/>
      <c r="G127" s="36"/>
      <c r="H127" s="38"/>
      <c r="I127" s="39"/>
    </row>
    <row r="128" spans="1:9">
      <c r="A128" s="38"/>
      <c r="B128" s="36"/>
      <c r="C128" s="36"/>
      <c r="D128" s="36"/>
      <c r="E128" s="36"/>
      <c r="F128" s="36"/>
      <c r="G128" s="36"/>
      <c r="H128" s="38"/>
      <c r="I128" s="39"/>
    </row>
    <row r="129" spans="1:9">
      <c r="A129" s="38"/>
      <c r="B129" s="36"/>
      <c r="C129" s="36"/>
      <c r="D129" s="36"/>
      <c r="E129" s="36"/>
      <c r="F129" s="36"/>
      <c r="G129" s="36"/>
      <c r="H129" s="38"/>
      <c r="I129" s="39"/>
    </row>
    <row r="130" spans="1:9">
      <c r="A130" s="38"/>
      <c r="B130" s="36"/>
      <c r="C130" s="36"/>
      <c r="D130" s="36"/>
      <c r="E130" s="36"/>
      <c r="F130" s="36"/>
      <c r="G130" s="36"/>
      <c r="H130" s="38"/>
      <c r="I130" s="39"/>
    </row>
    <row r="131" spans="1:9">
      <c r="A131" s="38"/>
      <c r="B131" s="36"/>
      <c r="C131" s="36"/>
      <c r="D131" s="36"/>
      <c r="E131" s="36"/>
      <c r="F131" s="36"/>
      <c r="G131" s="36"/>
      <c r="H131" s="38"/>
      <c r="I131" s="39"/>
    </row>
    <row r="132" spans="1:9">
      <c r="A132" s="38"/>
      <c r="B132" s="36"/>
      <c r="C132" s="36"/>
      <c r="D132" s="36"/>
      <c r="E132" s="36"/>
      <c r="F132" s="36"/>
      <c r="G132" s="36"/>
      <c r="H132" s="38"/>
      <c r="I132" s="39"/>
    </row>
    <row r="133" spans="1:9">
      <c r="A133" s="38"/>
      <c r="B133" s="36"/>
      <c r="C133" s="36"/>
      <c r="D133" s="36"/>
      <c r="E133" s="36"/>
      <c r="F133" s="36"/>
      <c r="G133" s="36"/>
      <c r="H133" s="38"/>
      <c r="I133" s="39"/>
    </row>
    <row r="134" spans="1:9">
      <c r="A134" s="38"/>
      <c r="B134" s="36"/>
      <c r="C134" s="36"/>
      <c r="D134" s="36"/>
      <c r="E134" s="36"/>
      <c r="F134" s="36"/>
      <c r="G134" s="36"/>
      <c r="H134" s="38"/>
      <c r="I134" s="39"/>
    </row>
    <row r="135" spans="1:9">
      <c r="A135" s="38"/>
      <c r="B135" s="36"/>
      <c r="C135" s="36"/>
      <c r="D135" s="36"/>
      <c r="E135" s="36"/>
      <c r="F135" s="36"/>
      <c r="G135" s="36"/>
      <c r="H135" s="38"/>
      <c r="I135" s="39"/>
    </row>
    <row r="136" spans="1:9">
      <c r="A136" s="38"/>
      <c r="B136" s="36"/>
      <c r="C136" s="36"/>
      <c r="D136" s="36"/>
      <c r="E136" s="36"/>
      <c r="F136" s="36"/>
      <c r="G136" s="36"/>
      <c r="H136" s="38"/>
      <c r="I136" s="39"/>
    </row>
    <row r="137" spans="1:9">
      <c r="A137" s="38"/>
      <c r="B137" s="36"/>
      <c r="C137" s="36"/>
      <c r="D137" s="36"/>
      <c r="E137" s="36"/>
      <c r="F137" s="36"/>
      <c r="G137" s="36"/>
      <c r="H137" s="38"/>
      <c r="I137" s="39"/>
    </row>
    <row r="138" spans="1:9">
      <c r="A138" s="38"/>
      <c r="B138" s="36"/>
      <c r="C138" s="36"/>
      <c r="D138" s="36"/>
      <c r="E138" s="36"/>
      <c r="F138" s="36"/>
      <c r="G138" s="36"/>
      <c r="H138" s="38"/>
      <c r="I138" s="39"/>
    </row>
    <row r="139" spans="1:9">
      <c r="A139" s="38"/>
      <c r="B139" s="36"/>
      <c r="C139" s="36"/>
      <c r="D139" s="36"/>
      <c r="E139" s="36"/>
      <c r="F139" s="36"/>
      <c r="G139" s="36"/>
      <c r="H139" s="38"/>
      <c r="I139" s="39"/>
    </row>
    <row r="140" spans="1:9">
      <c r="A140" s="38"/>
      <c r="B140" s="36"/>
      <c r="C140" s="36"/>
      <c r="D140" s="36"/>
      <c r="E140" s="36"/>
      <c r="F140" s="36"/>
      <c r="G140" s="36"/>
      <c r="H140" s="38"/>
      <c r="I140" s="39"/>
    </row>
    <row r="141" spans="1:9">
      <c r="A141" s="38"/>
      <c r="B141" s="36"/>
      <c r="C141" s="36"/>
      <c r="D141" s="36"/>
      <c r="E141" s="36"/>
      <c r="F141" s="36"/>
      <c r="G141" s="36"/>
      <c r="H141" s="38"/>
      <c r="I141" s="39"/>
    </row>
    <row r="142" spans="1:9">
      <c r="A142" s="38"/>
      <c r="B142" s="36"/>
      <c r="C142" s="36"/>
      <c r="D142" s="36"/>
      <c r="E142" s="36"/>
      <c r="F142" s="36"/>
      <c r="G142" s="36"/>
      <c r="H142" s="38"/>
      <c r="I142" s="39"/>
    </row>
    <row r="143" spans="1:9">
      <c r="A143" s="38"/>
      <c r="B143" s="36"/>
      <c r="C143" s="36"/>
      <c r="D143" s="36"/>
      <c r="E143" s="36"/>
      <c r="F143" s="36"/>
      <c r="G143" s="36"/>
      <c r="H143" s="38"/>
      <c r="I143" s="39"/>
    </row>
    <row r="144" spans="1:9">
      <c r="A144" s="38"/>
      <c r="B144" s="36"/>
      <c r="C144" s="36"/>
      <c r="D144" s="36"/>
      <c r="E144" s="36"/>
      <c r="F144" s="36"/>
      <c r="G144" s="36"/>
      <c r="H144" s="38"/>
      <c r="I144" s="39"/>
    </row>
    <row r="145" spans="1:9">
      <c r="A145" s="38"/>
      <c r="B145" s="36"/>
      <c r="C145" s="36"/>
      <c r="D145" s="36"/>
      <c r="E145" s="36"/>
      <c r="F145" s="36"/>
      <c r="G145" s="36"/>
      <c r="H145" s="38"/>
      <c r="I145" s="39"/>
    </row>
    <row r="146" spans="1:9">
      <c r="A146" s="38"/>
      <c r="B146" s="36"/>
      <c r="C146" s="36"/>
      <c r="D146" s="36"/>
      <c r="E146" s="36"/>
      <c r="F146" s="36"/>
      <c r="G146" s="36"/>
      <c r="H146" s="38"/>
      <c r="I146" s="39"/>
    </row>
    <row r="147" spans="1:9">
      <c r="A147" s="38"/>
      <c r="B147" s="36"/>
      <c r="C147" s="36"/>
      <c r="D147" s="36"/>
      <c r="E147" s="36"/>
      <c r="F147" s="36"/>
      <c r="G147" s="36"/>
      <c r="H147" s="38"/>
      <c r="I147" s="39"/>
    </row>
    <row r="148" spans="1:9">
      <c r="A148" s="38"/>
      <c r="B148" s="36"/>
      <c r="C148" s="36"/>
      <c r="D148" s="36"/>
      <c r="E148" s="36"/>
      <c r="F148" s="36"/>
      <c r="G148" s="36"/>
      <c r="H148" s="38"/>
      <c r="I148" s="39"/>
    </row>
    <row r="149" spans="1:9">
      <c r="A149" s="38"/>
      <c r="B149" s="36"/>
      <c r="C149" s="36"/>
      <c r="D149" s="36"/>
      <c r="E149" s="36"/>
      <c r="F149" s="36"/>
      <c r="G149" s="36"/>
      <c r="H149" s="38"/>
      <c r="I149" s="39"/>
    </row>
    <row r="150" spans="1:9">
      <c r="A150" s="38"/>
      <c r="B150" s="36"/>
      <c r="C150" s="36"/>
      <c r="D150" s="36"/>
      <c r="E150" s="36"/>
      <c r="F150" s="36"/>
      <c r="G150" s="36"/>
      <c r="H150" s="38"/>
      <c r="I150" s="39"/>
    </row>
    <row r="151" spans="1:9">
      <c r="A151" s="38"/>
      <c r="B151" s="36"/>
      <c r="C151" s="36"/>
      <c r="D151" s="36"/>
      <c r="E151" s="36"/>
      <c r="F151" s="36"/>
      <c r="G151" s="36"/>
      <c r="H151" s="38"/>
      <c r="I151" s="39"/>
    </row>
    <row r="152" spans="1:9">
      <c r="A152" s="38"/>
      <c r="B152" s="36"/>
      <c r="C152" s="36"/>
      <c r="D152" s="36"/>
      <c r="E152" s="36"/>
      <c r="F152" s="36"/>
      <c r="G152" s="36"/>
      <c r="H152" s="38"/>
      <c r="I152" s="39"/>
    </row>
    <row r="153" spans="1:9">
      <c r="A153" s="38"/>
      <c r="B153" s="36"/>
      <c r="C153" s="36"/>
      <c r="D153" s="36"/>
      <c r="E153" s="36"/>
      <c r="F153" s="36"/>
      <c r="G153" s="36"/>
      <c r="H153" s="38"/>
      <c r="I153" s="39"/>
    </row>
    <row r="154" spans="1:9">
      <c r="A154" s="38"/>
      <c r="B154" s="36"/>
      <c r="C154" s="36"/>
      <c r="D154" s="36"/>
      <c r="E154" s="36"/>
      <c r="F154" s="36"/>
      <c r="G154" s="36"/>
      <c r="H154" s="38"/>
      <c r="I154" s="39"/>
    </row>
    <row r="155" spans="1:9">
      <c r="A155" s="38"/>
      <c r="B155" s="36"/>
      <c r="C155" s="36"/>
      <c r="D155" s="36"/>
      <c r="E155" s="36"/>
      <c r="F155" s="36"/>
      <c r="G155" s="36"/>
      <c r="H155" s="38"/>
      <c r="I155" s="39"/>
    </row>
    <row r="156" spans="1:9">
      <c r="A156" s="38"/>
      <c r="B156" s="36"/>
      <c r="C156" s="36"/>
      <c r="D156" s="36"/>
      <c r="E156" s="36"/>
      <c r="F156" s="36"/>
      <c r="G156" s="36"/>
      <c r="H156" s="38"/>
      <c r="I156" s="39"/>
    </row>
    <row r="157" spans="1:9">
      <c r="A157" s="38"/>
      <c r="B157" s="36"/>
      <c r="C157" s="36"/>
      <c r="D157" s="36"/>
      <c r="E157" s="36"/>
      <c r="F157" s="36"/>
      <c r="G157" s="36"/>
      <c r="H157" s="38"/>
      <c r="I157" s="39"/>
    </row>
    <row r="158" spans="1:9">
      <c r="A158" s="38"/>
      <c r="B158" s="36"/>
      <c r="C158" s="36"/>
      <c r="D158" s="36"/>
      <c r="E158" s="36"/>
      <c r="F158" s="36"/>
      <c r="G158" s="36"/>
      <c r="H158" s="38"/>
      <c r="I158" s="39"/>
    </row>
    <row r="159" spans="1:9">
      <c r="A159" s="38"/>
      <c r="B159" s="36"/>
      <c r="C159" s="36"/>
      <c r="D159" s="36"/>
      <c r="E159" s="36"/>
      <c r="F159" s="36"/>
      <c r="G159" s="36"/>
      <c r="H159" s="38"/>
      <c r="I159" s="39"/>
    </row>
    <row r="160" spans="1:9">
      <c r="A160" s="38"/>
      <c r="B160" s="36"/>
      <c r="C160" s="36"/>
      <c r="D160" s="36"/>
      <c r="E160" s="36"/>
      <c r="F160" s="36"/>
      <c r="G160" s="36"/>
      <c r="H160" s="38"/>
      <c r="I160" s="39"/>
    </row>
    <row r="161" spans="1:9">
      <c r="A161" s="38"/>
      <c r="B161" s="36"/>
      <c r="C161" s="36"/>
      <c r="D161" s="36"/>
      <c r="E161" s="36"/>
      <c r="F161" s="36"/>
      <c r="G161" s="36"/>
      <c r="H161" s="38"/>
      <c r="I161" s="39"/>
    </row>
    <row r="162" spans="1:9">
      <c r="A162" s="38"/>
      <c r="B162" s="36"/>
      <c r="C162" s="36"/>
      <c r="D162" s="36"/>
      <c r="E162" s="36"/>
      <c r="F162" s="36"/>
      <c r="G162" s="36"/>
      <c r="H162" s="38"/>
      <c r="I162" s="39"/>
    </row>
    <row r="163" spans="1:9">
      <c r="A163" s="38"/>
      <c r="B163" s="36"/>
      <c r="C163" s="36"/>
      <c r="D163" s="36"/>
      <c r="E163" s="36"/>
      <c r="F163" s="36"/>
      <c r="G163" s="36"/>
      <c r="H163" s="38"/>
      <c r="I163" s="39"/>
    </row>
    <row r="164" spans="1:9">
      <c r="A164" s="38"/>
      <c r="B164" s="36"/>
      <c r="C164" s="36"/>
      <c r="D164" s="36"/>
      <c r="E164" s="36"/>
      <c r="F164" s="36"/>
      <c r="G164" s="36"/>
      <c r="H164" s="38"/>
      <c r="I164" s="39"/>
    </row>
    <row r="165" spans="1:9">
      <c r="A165" s="38"/>
      <c r="B165" s="36"/>
      <c r="C165" s="36"/>
      <c r="D165" s="36"/>
      <c r="E165" s="36"/>
      <c r="F165" s="36"/>
      <c r="G165" s="36"/>
      <c r="H165" s="38"/>
      <c r="I165" s="39"/>
    </row>
    <row r="166" spans="1:9">
      <c r="A166" s="38"/>
      <c r="B166" s="36"/>
      <c r="C166" s="36"/>
      <c r="D166" s="36"/>
      <c r="E166" s="36"/>
      <c r="F166" s="36"/>
      <c r="G166" s="36"/>
      <c r="H166" s="38"/>
      <c r="I166" s="39"/>
    </row>
    <row r="167" spans="1:9">
      <c r="A167" s="38"/>
      <c r="B167" s="36"/>
      <c r="C167" s="36"/>
      <c r="D167" s="36"/>
      <c r="E167" s="36"/>
      <c r="F167" s="36"/>
      <c r="G167" s="36"/>
      <c r="H167" s="38"/>
      <c r="I167" s="39"/>
    </row>
    <row r="168" spans="1:9">
      <c r="A168" s="38"/>
      <c r="B168" s="36"/>
      <c r="C168" s="36"/>
      <c r="D168" s="36"/>
      <c r="E168" s="36"/>
      <c r="F168" s="36"/>
      <c r="G168" s="36"/>
      <c r="H168" s="38"/>
      <c r="I168" s="39"/>
    </row>
    <row r="169" spans="1:9">
      <c r="A169" s="38"/>
      <c r="B169" s="36"/>
      <c r="C169" s="36"/>
      <c r="D169" s="36"/>
      <c r="E169" s="36"/>
      <c r="F169" s="36"/>
      <c r="G169" s="36"/>
      <c r="H169" s="38"/>
      <c r="I169" s="39"/>
    </row>
    <row r="170" spans="1:9">
      <c r="A170" s="38"/>
      <c r="B170" s="36"/>
      <c r="C170" s="36"/>
      <c r="D170" s="36"/>
      <c r="E170" s="36"/>
      <c r="F170" s="36"/>
      <c r="G170" s="36"/>
      <c r="H170" s="38"/>
      <c r="I170" s="39"/>
    </row>
    <row r="171" spans="1:9">
      <c r="A171" s="38"/>
      <c r="B171" s="36"/>
      <c r="C171" s="36"/>
      <c r="D171" s="36"/>
      <c r="E171" s="36"/>
      <c r="F171" s="36"/>
      <c r="G171" s="36"/>
      <c r="H171" s="38"/>
      <c r="I171" s="39"/>
    </row>
    <row r="172" spans="1:9">
      <c r="A172" s="38"/>
      <c r="B172" s="36"/>
      <c r="C172" s="36"/>
      <c r="D172" s="36"/>
      <c r="E172" s="36"/>
      <c r="F172" s="36"/>
      <c r="G172" s="36"/>
      <c r="H172" s="38"/>
      <c r="I172" s="39"/>
    </row>
    <row r="173" spans="1:9">
      <c r="A173" s="38"/>
      <c r="B173" s="36"/>
      <c r="C173" s="36"/>
      <c r="D173" s="36"/>
      <c r="E173" s="36"/>
      <c r="F173" s="36"/>
      <c r="G173" s="36"/>
      <c r="H173" s="38"/>
      <c r="I173" s="39"/>
    </row>
    <row r="174" spans="1:9">
      <c r="A174" s="38"/>
      <c r="B174" s="36"/>
      <c r="C174" s="36"/>
      <c r="D174" s="36"/>
      <c r="E174" s="36"/>
      <c r="F174" s="36"/>
      <c r="G174" s="36"/>
      <c r="H174" s="38"/>
      <c r="I174" s="39"/>
    </row>
    <row r="175" spans="1:9">
      <c r="A175" s="38"/>
      <c r="B175" s="36"/>
      <c r="C175" s="36"/>
      <c r="D175" s="36"/>
      <c r="E175" s="36"/>
      <c r="F175" s="36"/>
      <c r="G175" s="36"/>
      <c r="H175" s="38"/>
      <c r="I175" s="39"/>
    </row>
    <row r="176" spans="1:9">
      <c r="A176" s="38"/>
      <c r="B176" s="36"/>
      <c r="C176" s="36"/>
      <c r="D176" s="36"/>
      <c r="E176" s="36"/>
      <c r="F176" s="36"/>
      <c r="G176" s="36"/>
      <c r="H176" s="38"/>
      <c r="I176" s="39"/>
    </row>
    <row r="177" spans="1:9">
      <c r="A177" s="38"/>
      <c r="B177" s="36"/>
      <c r="C177" s="36"/>
      <c r="D177" s="36"/>
      <c r="E177" s="36"/>
      <c r="F177" s="36"/>
      <c r="G177" s="36"/>
      <c r="H177" s="38"/>
      <c r="I177" s="39"/>
    </row>
    <row r="178" spans="1:9">
      <c r="A178" s="38"/>
      <c r="B178" s="36"/>
      <c r="C178" s="36"/>
      <c r="D178" s="36"/>
      <c r="E178" s="36"/>
      <c r="F178" s="36"/>
      <c r="G178" s="36"/>
      <c r="H178" s="38"/>
      <c r="I178" s="39"/>
    </row>
    <row r="179" spans="1:9">
      <c r="A179" s="38"/>
      <c r="B179" s="36"/>
      <c r="C179" s="36"/>
      <c r="D179" s="36"/>
      <c r="E179" s="36"/>
      <c r="F179" s="36"/>
      <c r="G179" s="36"/>
      <c r="H179" s="38"/>
      <c r="I179" s="39"/>
    </row>
    <row r="180" spans="1:9">
      <c r="A180" s="38"/>
      <c r="B180" s="36"/>
      <c r="C180" s="36"/>
      <c r="D180" s="36"/>
      <c r="E180" s="36"/>
      <c r="F180" s="36"/>
      <c r="G180" s="36"/>
      <c r="H180" s="38"/>
      <c r="I180" s="39"/>
    </row>
    <row r="181" spans="1:9">
      <c r="A181" s="38"/>
      <c r="B181" s="36"/>
      <c r="C181" s="36"/>
      <c r="D181" s="36"/>
      <c r="E181" s="36"/>
      <c r="F181" s="36"/>
      <c r="G181" s="36"/>
      <c r="H181" s="38"/>
      <c r="I181" s="39"/>
    </row>
    <row r="182" spans="1:9">
      <c r="A182" s="38"/>
      <c r="B182" s="36"/>
      <c r="C182" s="36"/>
      <c r="D182" s="36"/>
      <c r="E182" s="36"/>
      <c r="F182" s="36"/>
      <c r="G182" s="36"/>
      <c r="H182" s="38"/>
      <c r="I182" s="39"/>
    </row>
    <row r="183" spans="1:9">
      <c r="A183" s="38"/>
      <c r="B183" s="36"/>
      <c r="C183" s="36"/>
      <c r="D183" s="36"/>
      <c r="E183" s="36"/>
      <c r="F183" s="36"/>
      <c r="G183" s="36"/>
      <c r="H183" s="38"/>
      <c r="I183" s="39"/>
    </row>
    <row r="184" spans="1:9">
      <c r="A184" s="38"/>
      <c r="B184" s="36"/>
      <c r="C184" s="36"/>
      <c r="D184" s="36"/>
      <c r="E184" s="36"/>
      <c r="F184" s="36"/>
      <c r="G184" s="36"/>
      <c r="H184" s="38"/>
      <c r="I184" s="39"/>
    </row>
    <row r="185" spans="1:9">
      <c r="A185" s="38"/>
      <c r="B185" s="36"/>
      <c r="C185" s="36"/>
      <c r="D185" s="36"/>
      <c r="E185" s="36"/>
      <c r="F185" s="36"/>
      <c r="G185" s="36"/>
      <c r="H185" s="38"/>
      <c r="I185" s="39"/>
    </row>
    <row r="186" spans="1:9">
      <c r="A186" s="38"/>
      <c r="B186" s="36"/>
      <c r="C186" s="36"/>
      <c r="D186" s="36"/>
      <c r="E186" s="36"/>
      <c r="F186" s="36"/>
      <c r="G186" s="36"/>
      <c r="H186" s="38"/>
      <c r="I186" s="39"/>
    </row>
    <row r="187" spans="1:9">
      <c r="A187" s="38"/>
      <c r="B187" s="36"/>
      <c r="C187" s="36"/>
      <c r="D187" s="36"/>
      <c r="E187" s="36"/>
      <c r="F187" s="36"/>
      <c r="G187" s="36"/>
      <c r="H187" s="38"/>
      <c r="I187" s="39"/>
    </row>
    <row r="188" spans="1:9">
      <c r="A188" s="38"/>
      <c r="B188" s="36"/>
      <c r="C188" s="36"/>
      <c r="D188" s="36"/>
      <c r="E188" s="36"/>
      <c r="F188" s="36"/>
      <c r="G188" s="36"/>
      <c r="H188" s="38"/>
      <c r="I188" s="39"/>
    </row>
    <row r="189" spans="1:9">
      <c r="A189" s="38"/>
      <c r="B189" s="36"/>
      <c r="C189" s="36"/>
      <c r="D189" s="36"/>
      <c r="E189" s="36"/>
      <c r="F189" s="36"/>
      <c r="G189" s="36"/>
      <c r="H189" s="38"/>
      <c r="I189" s="39"/>
    </row>
    <row r="190" spans="1:9">
      <c r="A190" s="38"/>
      <c r="B190" s="36"/>
      <c r="C190" s="36"/>
      <c r="D190" s="36"/>
      <c r="E190" s="36"/>
      <c r="F190" s="36"/>
      <c r="G190" s="36"/>
      <c r="H190" s="38"/>
      <c r="I190" s="39"/>
    </row>
    <row r="191" spans="1:9">
      <c r="A191" s="38"/>
      <c r="B191" s="36"/>
      <c r="C191" s="36"/>
      <c r="D191" s="36"/>
      <c r="E191" s="36"/>
      <c r="F191" s="36"/>
      <c r="G191" s="36"/>
      <c r="H191" s="38"/>
      <c r="I191" s="39"/>
    </row>
    <row r="192" spans="1:9">
      <c r="A192" s="38"/>
      <c r="B192" s="36"/>
      <c r="C192" s="36"/>
      <c r="D192" s="36"/>
      <c r="E192" s="36"/>
      <c r="F192" s="36"/>
      <c r="G192" s="36"/>
      <c r="H192" s="38"/>
      <c r="I192" s="39"/>
    </row>
    <row r="193" spans="1:9">
      <c r="A193" s="38"/>
      <c r="B193" s="36"/>
      <c r="C193" s="36"/>
      <c r="D193" s="36"/>
      <c r="E193" s="36"/>
      <c r="F193" s="36"/>
      <c r="G193" s="36"/>
      <c r="H193" s="38"/>
      <c r="I193" s="39"/>
    </row>
    <row r="194" spans="1:9">
      <c r="A194" s="38"/>
      <c r="B194" s="36"/>
      <c r="C194" s="36"/>
      <c r="D194" s="36"/>
      <c r="E194" s="36"/>
      <c r="F194" s="36"/>
      <c r="G194" s="36"/>
      <c r="H194" s="38"/>
      <c r="I194" s="39"/>
    </row>
    <row r="195" spans="1:9">
      <c r="A195" s="38"/>
      <c r="B195" s="36"/>
      <c r="C195" s="36"/>
      <c r="D195" s="36"/>
      <c r="E195" s="36"/>
      <c r="F195" s="36"/>
      <c r="G195" s="36"/>
      <c r="H195" s="38"/>
      <c r="I195" s="39"/>
    </row>
    <row r="196" spans="1:9">
      <c r="A196" s="38"/>
      <c r="B196" s="36"/>
      <c r="C196" s="36"/>
      <c r="D196" s="36"/>
      <c r="E196" s="36"/>
      <c r="F196" s="36"/>
      <c r="G196" s="36"/>
      <c r="H196" s="38"/>
      <c r="I196" s="39"/>
    </row>
    <row r="197" spans="1:9">
      <c r="A197" s="38"/>
      <c r="B197" s="36"/>
      <c r="C197" s="36"/>
      <c r="D197" s="36"/>
      <c r="E197" s="36"/>
      <c r="F197" s="36"/>
      <c r="G197" s="36"/>
      <c r="H197" s="38"/>
      <c r="I197" s="39"/>
    </row>
    <row r="198" spans="1:9">
      <c r="A198" s="38"/>
      <c r="B198" s="36"/>
      <c r="C198" s="36"/>
      <c r="D198" s="36"/>
      <c r="E198" s="36"/>
      <c r="F198" s="36"/>
      <c r="G198" s="36"/>
      <c r="H198" s="38"/>
      <c r="I198" s="39"/>
    </row>
    <row r="199" spans="1:9">
      <c r="A199" s="38"/>
      <c r="B199" s="36"/>
      <c r="C199" s="36"/>
      <c r="D199" s="36"/>
      <c r="E199" s="36"/>
      <c r="F199" s="36"/>
      <c r="G199" s="36"/>
      <c r="H199" s="38"/>
      <c r="I199" s="39"/>
    </row>
    <row r="200" spans="1:9">
      <c r="A200" s="38"/>
      <c r="B200" s="36"/>
      <c r="C200" s="36"/>
      <c r="D200" s="36"/>
      <c r="E200" s="36"/>
      <c r="F200" s="36"/>
      <c r="G200" s="36"/>
      <c r="H200" s="38"/>
      <c r="I200" s="39"/>
    </row>
    <row r="201" spans="1:9">
      <c r="A201" s="38"/>
      <c r="B201" s="36"/>
      <c r="C201" s="36"/>
      <c r="D201" s="36"/>
      <c r="E201" s="36"/>
      <c r="F201" s="36"/>
      <c r="G201" s="36"/>
      <c r="H201" s="38"/>
      <c r="I201" s="39"/>
    </row>
    <row r="202" spans="1:9">
      <c r="A202" s="38"/>
      <c r="B202" s="36"/>
      <c r="C202" s="36"/>
      <c r="D202" s="36"/>
      <c r="E202" s="36"/>
      <c r="F202" s="36"/>
      <c r="G202" s="36"/>
      <c r="H202" s="38"/>
      <c r="I202" s="39"/>
    </row>
    <row r="203" spans="1:9">
      <c r="A203" s="38"/>
      <c r="B203" s="36"/>
      <c r="C203" s="36"/>
      <c r="D203" s="36"/>
      <c r="E203" s="36"/>
      <c r="F203" s="36"/>
      <c r="G203" s="36"/>
      <c r="H203" s="38"/>
      <c r="I203" s="39"/>
    </row>
    <row r="204" spans="1:9">
      <c r="A204" s="38"/>
      <c r="B204" s="36"/>
      <c r="C204" s="36"/>
      <c r="D204" s="36"/>
      <c r="E204" s="36"/>
      <c r="F204" s="36"/>
      <c r="G204" s="36"/>
      <c r="H204" s="38"/>
      <c r="I204" s="39"/>
    </row>
  </sheetData>
  <mergeCells count="2">
    <mergeCell ref="A1:I1"/>
    <mergeCell ref="A2:I2"/>
  </mergeCells>
  <dataValidations count="1">
    <dataValidation type="list" sqref="E5:E204" xr:uid="{00000000-0002-0000-0500-000002000000}">
      <formula1>"Workload Rebalance,Skill Match,Leave / Availability,Handover,Correction,Other"</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xr:uid="{00000000-0002-0000-0500-000000000000}">
          <x14:formula1>
            <xm:f>'Task Master'!$A$5:$A$100</xm:f>
          </x14:formula1>
          <xm:sqref>B5:B204</xm:sqref>
        </x14:dataValidation>
        <x14:dataValidation type="list" xr:uid="{00000000-0002-0000-0500-000001000000}">
          <x14:formula1>
            <xm:f>'Engineer Capacity'!$A$5:$A$15</xm:f>
          </x14:formula1>
          <xm:sqref>D5:D204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04"/>
  <sheetViews>
    <sheetView showGridLines="0" workbookViewId="0">
      <pane ySplit="4" topLeftCell="A5" activePane="bottomLeft" state="frozen"/>
      <selection pane="bottomLeft" activeCell="D10" sqref="D10"/>
    </sheetView>
  </sheetViews>
  <sheetFormatPr defaultColWidth="9" defaultRowHeight="14.4"/>
  <cols>
    <col min="1" max="1" width="20" style="1" customWidth="1"/>
    <col min="2" max="2" width="18" style="1" customWidth="1"/>
    <col min="3" max="3" width="30" style="1" customWidth="1"/>
    <col min="4" max="4" width="18" style="1" customWidth="1"/>
    <col min="5" max="5" width="48" style="1" customWidth="1"/>
    <col min="6" max="6" width="42" style="1" customWidth="1"/>
    <col min="7" max="7" width="21" style="1" customWidth="1"/>
    <col min="8" max="9" width="30" style="1" customWidth="1"/>
    <col min="10" max="10" width="20" style="1" customWidth="1"/>
    <col min="11" max="11" width="16" style="1" customWidth="1"/>
    <col min="12" max="12" width="40" style="1" customWidth="1"/>
    <col min="13" max="16384" width="9" style="1"/>
  </cols>
  <sheetData>
    <row r="1" spans="1:12" ht="30" customHeight="1">
      <c r="A1" s="51" t="s">
        <v>409</v>
      </c>
      <c r="B1" s="51"/>
      <c r="C1" s="51"/>
      <c r="D1" s="51"/>
      <c r="E1" s="51"/>
      <c r="F1" s="51"/>
      <c r="G1" s="51"/>
      <c r="H1" s="51"/>
      <c r="I1" s="51"/>
      <c r="J1" s="51"/>
      <c r="K1" s="51"/>
      <c r="L1" s="51"/>
    </row>
    <row r="2" spans="1:12" ht="24" customHeight="1">
      <c r="A2" s="52" t="s">
        <v>410</v>
      </c>
      <c r="B2" s="52"/>
      <c r="C2" s="52"/>
      <c r="D2" s="52"/>
      <c r="E2" s="52"/>
      <c r="F2" s="52"/>
      <c r="G2" s="52"/>
      <c r="H2" s="52"/>
      <c r="I2" s="52"/>
      <c r="J2" s="52"/>
      <c r="K2" s="52"/>
      <c r="L2" s="52"/>
    </row>
    <row r="4" spans="1:12" ht="32.1" customHeight="1">
      <c r="A4" s="2" t="s">
        <v>411</v>
      </c>
      <c r="B4" s="3" t="s">
        <v>79</v>
      </c>
      <c r="C4" s="3" t="s">
        <v>412</v>
      </c>
      <c r="D4" s="3" t="s">
        <v>393</v>
      </c>
      <c r="E4" s="3" t="s">
        <v>413</v>
      </c>
      <c r="F4" s="3" t="s">
        <v>394</v>
      </c>
      <c r="G4" s="3" t="s">
        <v>414</v>
      </c>
      <c r="H4" s="3" t="s">
        <v>92</v>
      </c>
      <c r="I4" s="3" t="s">
        <v>415</v>
      </c>
      <c r="J4" s="3" t="s">
        <v>416</v>
      </c>
      <c r="K4" s="3" t="s">
        <v>417</v>
      </c>
      <c r="L4" s="4" t="s">
        <v>384</v>
      </c>
    </row>
    <row r="5" spans="1:12">
      <c r="A5" s="38"/>
      <c r="B5" s="36"/>
      <c r="C5" s="36"/>
      <c r="D5" s="36"/>
      <c r="E5" s="39"/>
      <c r="F5" s="39"/>
      <c r="G5" s="39"/>
      <c r="H5" s="39"/>
      <c r="I5" s="39"/>
      <c r="J5" s="42"/>
      <c r="K5" s="40" t="str">
        <f>IF(OR(B5="",G5&lt;&gt;"Confirmed OOS"),"",IF(IFERROR(INDEX('Task Master'!$C$5:$C$100,MATCH(B5,'Task Master'!$A$5:$A$100,0)),"")="executing","Yes","No"))</f>
        <v/>
      </c>
      <c r="L5" s="39"/>
    </row>
    <row r="6" spans="1:12">
      <c r="A6" s="38"/>
      <c r="B6" s="36"/>
      <c r="C6" s="36"/>
      <c r="D6" s="36"/>
      <c r="E6" s="39"/>
      <c r="F6" s="39"/>
      <c r="G6" s="39"/>
      <c r="H6" s="39"/>
      <c r="I6" s="39"/>
      <c r="J6" s="42"/>
      <c r="K6" s="40" t="str">
        <f>IF(OR(B6="",G6&lt;&gt;"Confirmed OOS"),"",IF(IFERROR(INDEX('Task Master'!$C$5:$C$100,MATCH(B6,'Task Master'!$A$5:$A$100,0)),"")="executing","Yes","No"))</f>
        <v/>
      </c>
      <c r="L6" s="39"/>
    </row>
    <row r="7" spans="1:12">
      <c r="A7" s="38"/>
      <c r="B7" s="36"/>
      <c r="C7" s="36"/>
      <c r="D7" s="36"/>
      <c r="E7" s="39"/>
      <c r="F7" s="39"/>
      <c r="G7" s="39"/>
      <c r="H7" s="39"/>
      <c r="I7" s="39"/>
      <c r="J7" s="42"/>
      <c r="K7" s="40" t="str">
        <f>IF(OR(B7="",G7&lt;&gt;"Confirmed OOS"),"",IF(IFERROR(INDEX('Task Master'!$C$5:$C$100,MATCH(B7,'Task Master'!$A$5:$A$100,0)),"")="executing","Yes","No"))</f>
        <v/>
      </c>
      <c r="L7" s="39"/>
    </row>
    <row r="8" spans="1:12">
      <c r="A8" s="38"/>
      <c r="B8" s="36"/>
      <c r="C8" s="36"/>
      <c r="D8" s="36"/>
      <c r="E8" s="39"/>
      <c r="F8" s="39"/>
      <c r="G8" s="39"/>
      <c r="H8" s="39"/>
      <c r="I8" s="39"/>
      <c r="J8" s="42"/>
      <c r="K8" s="40" t="str">
        <f>IF(OR(B8="",G8&lt;&gt;"Confirmed OOS"),"",IF(IFERROR(INDEX('Task Master'!$C$5:$C$100,MATCH(B8,'Task Master'!$A$5:$A$100,0)),"")="executing","Yes","No"))</f>
        <v/>
      </c>
      <c r="L8" s="39"/>
    </row>
    <row r="9" spans="1:12">
      <c r="A9" s="38"/>
      <c r="B9" s="36"/>
      <c r="C9" s="36"/>
      <c r="D9" s="36"/>
      <c r="E9" s="39"/>
      <c r="F9" s="39"/>
      <c r="G9" s="39"/>
      <c r="H9" s="39"/>
      <c r="I9" s="39"/>
      <c r="J9" s="42"/>
      <c r="K9" s="40" t="str">
        <f>IF(OR(B9="",G9&lt;&gt;"Confirmed OOS"),"",IF(IFERROR(INDEX('Task Master'!$C$5:$C$100,MATCH(B9,'Task Master'!$A$5:$A$100,0)),"")="executing","Yes","No"))</f>
        <v/>
      </c>
      <c r="L9" s="39"/>
    </row>
    <row r="10" spans="1:12">
      <c r="A10" s="38"/>
      <c r="B10" s="36"/>
      <c r="C10" s="36"/>
      <c r="D10" s="36"/>
      <c r="E10" s="39"/>
      <c r="F10" s="39"/>
      <c r="G10" s="39"/>
      <c r="H10" s="39"/>
      <c r="I10" s="39"/>
      <c r="J10" s="42"/>
      <c r="K10" s="40" t="str">
        <f>IF(OR(B10="",G10&lt;&gt;"Confirmed OOS"),"",IF(IFERROR(INDEX('Task Master'!$C$5:$C$100,MATCH(B10,'Task Master'!$A$5:$A$100,0)),"")="executing","Yes","No"))</f>
        <v/>
      </c>
      <c r="L10" s="39"/>
    </row>
    <row r="11" spans="1:12">
      <c r="A11" s="38"/>
      <c r="B11" s="36"/>
      <c r="C11" s="36"/>
      <c r="D11" s="36"/>
      <c r="E11" s="39"/>
      <c r="F11" s="39"/>
      <c r="G11" s="39"/>
      <c r="H11" s="39"/>
      <c r="I11" s="39"/>
      <c r="J11" s="42"/>
      <c r="K11" s="40" t="str">
        <f>IF(OR(B11="",G11&lt;&gt;"Confirmed OOS"),"",IF(IFERROR(INDEX('Task Master'!$C$5:$C$100,MATCH(B11,'Task Master'!$A$5:$A$100,0)),"")="executing","Yes","No"))</f>
        <v/>
      </c>
      <c r="L11" s="39"/>
    </row>
    <row r="12" spans="1:12">
      <c r="A12" s="38"/>
      <c r="B12" s="36"/>
      <c r="C12" s="36"/>
      <c r="D12" s="36"/>
      <c r="E12" s="39"/>
      <c r="F12" s="39"/>
      <c r="G12" s="39"/>
      <c r="H12" s="39"/>
      <c r="I12" s="39"/>
      <c r="J12" s="42"/>
      <c r="K12" s="40" t="str">
        <f>IF(OR(B12="",G12&lt;&gt;"Confirmed OOS"),"",IF(IFERROR(INDEX('Task Master'!$C$5:$C$100,MATCH(B12,'Task Master'!$A$5:$A$100,0)),"")="executing","Yes","No"))</f>
        <v/>
      </c>
      <c r="L12" s="39"/>
    </row>
    <row r="13" spans="1:12">
      <c r="A13" s="38"/>
      <c r="B13" s="36"/>
      <c r="C13" s="36"/>
      <c r="D13" s="36"/>
      <c r="E13" s="39"/>
      <c r="F13" s="39"/>
      <c r="G13" s="39"/>
      <c r="H13" s="39"/>
      <c r="I13" s="39"/>
      <c r="J13" s="42"/>
      <c r="K13" s="40" t="str">
        <f>IF(OR(B13="",G13&lt;&gt;"Confirmed OOS"),"",IF(IFERROR(INDEX('Task Master'!$C$5:$C$100,MATCH(B13,'Task Master'!$A$5:$A$100,0)),"")="executing","Yes","No"))</f>
        <v/>
      </c>
      <c r="L13" s="39"/>
    </row>
    <row r="14" spans="1:12">
      <c r="A14" s="38"/>
      <c r="B14" s="36"/>
      <c r="C14" s="36"/>
      <c r="D14" s="36"/>
      <c r="E14" s="39"/>
      <c r="F14" s="39"/>
      <c r="G14" s="39"/>
      <c r="H14" s="39"/>
      <c r="I14" s="39"/>
      <c r="J14" s="42"/>
      <c r="K14" s="40" t="str">
        <f>IF(OR(B14="",G14&lt;&gt;"Confirmed OOS"),"",IF(IFERROR(INDEX('Task Master'!$C$5:$C$100,MATCH(B14,'Task Master'!$A$5:$A$100,0)),"")="executing","Yes","No"))</f>
        <v/>
      </c>
      <c r="L14" s="39"/>
    </row>
    <row r="15" spans="1:12">
      <c r="A15" s="38"/>
      <c r="B15" s="36"/>
      <c r="C15" s="36"/>
      <c r="D15" s="36"/>
      <c r="E15" s="39"/>
      <c r="F15" s="39"/>
      <c r="G15" s="39"/>
      <c r="H15" s="39"/>
      <c r="I15" s="39"/>
      <c r="J15" s="42"/>
      <c r="K15" s="40" t="str">
        <f>IF(OR(B15="",G15&lt;&gt;"Confirmed OOS"),"",IF(IFERROR(INDEX('Task Master'!$C$5:$C$100,MATCH(B15,'Task Master'!$A$5:$A$100,0)),"")="executing","Yes","No"))</f>
        <v/>
      </c>
      <c r="L15" s="39"/>
    </row>
    <row r="16" spans="1:12">
      <c r="A16" s="38"/>
      <c r="B16" s="36"/>
      <c r="C16" s="36"/>
      <c r="D16" s="36"/>
      <c r="E16" s="39"/>
      <c r="F16" s="39"/>
      <c r="G16" s="39"/>
      <c r="H16" s="39"/>
      <c r="I16" s="39"/>
      <c r="J16" s="42"/>
      <c r="K16" s="40" t="str">
        <f>IF(OR(B16="",G16&lt;&gt;"Confirmed OOS"),"",IF(IFERROR(INDEX('Task Master'!$C$5:$C$100,MATCH(B16,'Task Master'!$A$5:$A$100,0)),"")="executing","Yes","No"))</f>
        <v/>
      </c>
      <c r="L16" s="39"/>
    </row>
    <row r="17" spans="1:12">
      <c r="A17" s="38"/>
      <c r="B17" s="36"/>
      <c r="C17" s="36"/>
      <c r="D17" s="36"/>
      <c r="E17" s="39"/>
      <c r="F17" s="39"/>
      <c r="G17" s="39"/>
      <c r="H17" s="39"/>
      <c r="I17" s="39"/>
      <c r="J17" s="42"/>
      <c r="K17" s="40" t="str">
        <f>IF(OR(B17="",G17&lt;&gt;"Confirmed OOS"),"",IF(IFERROR(INDEX('Task Master'!$C$5:$C$100,MATCH(B17,'Task Master'!$A$5:$A$100,0)),"")="executing","Yes","No"))</f>
        <v/>
      </c>
      <c r="L17" s="39"/>
    </row>
    <row r="18" spans="1:12">
      <c r="A18" s="38"/>
      <c r="B18" s="36"/>
      <c r="C18" s="36"/>
      <c r="D18" s="36"/>
      <c r="E18" s="39"/>
      <c r="F18" s="39"/>
      <c r="G18" s="39"/>
      <c r="H18" s="39"/>
      <c r="I18" s="39"/>
      <c r="J18" s="42"/>
      <c r="K18" s="40" t="str">
        <f>IF(OR(B18="",G18&lt;&gt;"Confirmed OOS"),"",IF(IFERROR(INDEX('Task Master'!$C$5:$C$100,MATCH(B18,'Task Master'!$A$5:$A$100,0)),"")="executing","Yes","No"))</f>
        <v/>
      </c>
      <c r="L18" s="39"/>
    </row>
    <row r="19" spans="1:12">
      <c r="A19" s="38"/>
      <c r="B19" s="36"/>
      <c r="C19" s="36"/>
      <c r="D19" s="36"/>
      <c r="E19" s="39"/>
      <c r="F19" s="39"/>
      <c r="G19" s="39"/>
      <c r="H19" s="39"/>
      <c r="I19" s="39"/>
      <c r="J19" s="42"/>
      <c r="K19" s="40" t="str">
        <f>IF(OR(B19="",G19&lt;&gt;"Confirmed OOS"),"",IF(IFERROR(INDEX('Task Master'!$C$5:$C$100,MATCH(B19,'Task Master'!$A$5:$A$100,0)),"")="executing","Yes","No"))</f>
        <v/>
      </c>
      <c r="L19" s="39"/>
    </row>
    <row r="20" spans="1:12">
      <c r="A20" s="38"/>
      <c r="B20" s="36"/>
      <c r="C20" s="36"/>
      <c r="D20" s="36"/>
      <c r="E20" s="39"/>
      <c r="F20" s="39"/>
      <c r="G20" s="39"/>
      <c r="H20" s="39"/>
      <c r="I20" s="39"/>
      <c r="J20" s="42"/>
      <c r="K20" s="40" t="str">
        <f>IF(OR(B20="",G20&lt;&gt;"Confirmed OOS"),"",IF(IFERROR(INDEX('Task Master'!$C$5:$C$100,MATCH(B20,'Task Master'!$A$5:$A$100,0)),"")="executing","Yes","No"))</f>
        <v/>
      </c>
      <c r="L20" s="39"/>
    </row>
    <row r="21" spans="1:12">
      <c r="A21" s="38"/>
      <c r="B21" s="36"/>
      <c r="C21" s="36"/>
      <c r="D21" s="36"/>
      <c r="E21" s="39"/>
      <c r="F21" s="39"/>
      <c r="G21" s="39"/>
      <c r="H21" s="39"/>
      <c r="I21" s="39"/>
      <c r="J21" s="42"/>
      <c r="K21" s="40" t="str">
        <f>IF(OR(B21="",G21&lt;&gt;"Confirmed OOS"),"",IF(IFERROR(INDEX('Task Master'!$C$5:$C$100,MATCH(B21,'Task Master'!$A$5:$A$100,0)),"")="executing","Yes","No"))</f>
        <v/>
      </c>
      <c r="L21" s="39"/>
    </row>
    <row r="22" spans="1:12">
      <c r="A22" s="38"/>
      <c r="B22" s="36"/>
      <c r="C22" s="36"/>
      <c r="D22" s="36"/>
      <c r="E22" s="39"/>
      <c r="F22" s="39"/>
      <c r="G22" s="39"/>
      <c r="H22" s="39"/>
      <c r="I22" s="39"/>
      <c r="J22" s="42"/>
      <c r="K22" s="40" t="str">
        <f>IF(OR(B22="",G22&lt;&gt;"Confirmed OOS"),"",IF(IFERROR(INDEX('Task Master'!$C$5:$C$100,MATCH(B22,'Task Master'!$A$5:$A$100,0)),"")="executing","Yes","No"))</f>
        <v/>
      </c>
      <c r="L22" s="39"/>
    </row>
    <row r="23" spans="1:12">
      <c r="A23" s="38"/>
      <c r="B23" s="36"/>
      <c r="C23" s="36"/>
      <c r="D23" s="36"/>
      <c r="E23" s="39"/>
      <c r="F23" s="39"/>
      <c r="G23" s="39"/>
      <c r="H23" s="39"/>
      <c r="I23" s="39"/>
      <c r="J23" s="42"/>
      <c r="K23" s="40" t="str">
        <f>IF(OR(B23="",G23&lt;&gt;"Confirmed OOS"),"",IF(IFERROR(INDEX('Task Master'!$C$5:$C$100,MATCH(B23,'Task Master'!$A$5:$A$100,0)),"")="executing","Yes","No"))</f>
        <v/>
      </c>
      <c r="L23" s="39"/>
    </row>
    <row r="24" spans="1:12">
      <c r="A24" s="38"/>
      <c r="B24" s="36"/>
      <c r="C24" s="36"/>
      <c r="D24" s="36"/>
      <c r="E24" s="39"/>
      <c r="F24" s="39"/>
      <c r="G24" s="39"/>
      <c r="H24" s="39"/>
      <c r="I24" s="39"/>
      <c r="J24" s="42"/>
      <c r="K24" s="40" t="str">
        <f>IF(OR(B24="",G24&lt;&gt;"Confirmed OOS"),"",IF(IFERROR(INDEX('Task Master'!$C$5:$C$100,MATCH(B24,'Task Master'!$A$5:$A$100,0)),"")="executing","Yes","No"))</f>
        <v/>
      </c>
      <c r="L24" s="39"/>
    </row>
    <row r="25" spans="1:12">
      <c r="A25" s="38"/>
      <c r="B25" s="36"/>
      <c r="C25" s="36"/>
      <c r="D25" s="36"/>
      <c r="E25" s="39"/>
      <c r="F25" s="39"/>
      <c r="G25" s="39"/>
      <c r="H25" s="39"/>
      <c r="I25" s="39"/>
      <c r="J25" s="42"/>
      <c r="K25" s="40" t="str">
        <f>IF(OR(B25="",G25&lt;&gt;"Confirmed OOS"),"",IF(IFERROR(INDEX('Task Master'!$C$5:$C$100,MATCH(B25,'Task Master'!$A$5:$A$100,0)),"")="executing","Yes","No"))</f>
        <v/>
      </c>
      <c r="L25" s="39"/>
    </row>
    <row r="26" spans="1:12">
      <c r="A26" s="38"/>
      <c r="B26" s="36"/>
      <c r="C26" s="36"/>
      <c r="D26" s="36"/>
      <c r="E26" s="39"/>
      <c r="F26" s="39"/>
      <c r="G26" s="39"/>
      <c r="H26" s="39"/>
      <c r="I26" s="39"/>
      <c r="J26" s="42"/>
      <c r="K26" s="40" t="str">
        <f>IF(OR(B26="",G26&lt;&gt;"Confirmed OOS"),"",IF(IFERROR(INDEX('Task Master'!$C$5:$C$100,MATCH(B26,'Task Master'!$A$5:$A$100,0)),"")="executing","Yes","No"))</f>
        <v/>
      </c>
      <c r="L26" s="39"/>
    </row>
    <row r="27" spans="1:12">
      <c r="A27" s="38"/>
      <c r="B27" s="36"/>
      <c r="C27" s="36"/>
      <c r="D27" s="36"/>
      <c r="E27" s="39"/>
      <c r="F27" s="39"/>
      <c r="G27" s="39"/>
      <c r="H27" s="39"/>
      <c r="I27" s="39"/>
      <c r="J27" s="42"/>
      <c r="K27" s="40" t="str">
        <f>IF(OR(B27="",G27&lt;&gt;"Confirmed OOS"),"",IF(IFERROR(INDEX('Task Master'!$C$5:$C$100,MATCH(B27,'Task Master'!$A$5:$A$100,0)),"")="executing","Yes","No"))</f>
        <v/>
      </c>
      <c r="L27" s="39"/>
    </row>
    <row r="28" spans="1:12">
      <c r="A28" s="38"/>
      <c r="B28" s="36"/>
      <c r="C28" s="36"/>
      <c r="D28" s="36"/>
      <c r="E28" s="39"/>
      <c r="F28" s="39"/>
      <c r="G28" s="39"/>
      <c r="H28" s="39"/>
      <c r="I28" s="39"/>
      <c r="J28" s="42"/>
      <c r="K28" s="40" t="str">
        <f>IF(OR(B28="",G28&lt;&gt;"Confirmed OOS"),"",IF(IFERROR(INDEX('Task Master'!$C$5:$C$100,MATCH(B28,'Task Master'!$A$5:$A$100,0)),"")="executing","Yes","No"))</f>
        <v/>
      </c>
      <c r="L28" s="39"/>
    </row>
    <row r="29" spans="1:12">
      <c r="A29" s="38"/>
      <c r="B29" s="36"/>
      <c r="C29" s="36"/>
      <c r="D29" s="36"/>
      <c r="E29" s="39"/>
      <c r="F29" s="39"/>
      <c r="G29" s="39"/>
      <c r="H29" s="39"/>
      <c r="I29" s="39"/>
      <c r="J29" s="42"/>
      <c r="K29" s="40" t="str">
        <f>IF(OR(B29="",G29&lt;&gt;"Confirmed OOS"),"",IF(IFERROR(INDEX('Task Master'!$C$5:$C$100,MATCH(B29,'Task Master'!$A$5:$A$100,0)),"")="executing","Yes","No"))</f>
        <v/>
      </c>
      <c r="L29" s="39"/>
    </row>
    <row r="30" spans="1:12">
      <c r="A30" s="38"/>
      <c r="B30" s="36"/>
      <c r="C30" s="36"/>
      <c r="D30" s="36"/>
      <c r="E30" s="39"/>
      <c r="F30" s="39"/>
      <c r="G30" s="39"/>
      <c r="H30" s="39"/>
      <c r="I30" s="39"/>
      <c r="J30" s="42"/>
      <c r="K30" s="40" t="str">
        <f>IF(OR(B30="",G30&lt;&gt;"Confirmed OOS"),"",IF(IFERROR(INDEX('Task Master'!$C$5:$C$100,MATCH(B30,'Task Master'!$A$5:$A$100,0)),"")="executing","Yes","No"))</f>
        <v/>
      </c>
      <c r="L30" s="39"/>
    </row>
    <row r="31" spans="1:12">
      <c r="A31" s="38"/>
      <c r="B31" s="36"/>
      <c r="C31" s="36"/>
      <c r="D31" s="36"/>
      <c r="E31" s="39"/>
      <c r="F31" s="39"/>
      <c r="G31" s="39"/>
      <c r="H31" s="39"/>
      <c r="I31" s="39"/>
      <c r="J31" s="42"/>
      <c r="K31" s="40" t="str">
        <f>IF(OR(B31="",G31&lt;&gt;"Confirmed OOS"),"",IF(IFERROR(INDEX('Task Master'!$C$5:$C$100,MATCH(B31,'Task Master'!$A$5:$A$100,0)),"")="executing","Yes","No"))</f>
        <v/>
      </c>
      <c r="L31" s="39"/>
    </row>
    <row r="32" spans="1:12">
      <c r="A32" s="38"/>
      <c r="B32" s="36"/>
      <c r="C32" s="36"/>
      <c r="D32" s="36"/>
      <c r="E32" s="39"/>
      <c r="F32" s="39"/>
      <c r="G32" s="39"/>
      <c r="H32" s="39"/>
      <c r="I32" s="39"/>
      <c r="J32" s="42"/>
      <c r="K32" s="40" t="str">
        <f>IF(OR(B32="",G32&lt;&gt;"Confirmed OOS"),"",IF(IFERROR(INDEX('Task Master'!$C$5:$C$100,MATCH(B32,'Task Master'!$A$5:$A$100,0)),"")="executing","Yes","No"))</f>
        <v/>
      </c>
      <c r="L32" s="39"/>
    </row>
    <row r="33" spans="1:12">
      <c r="A33" s="38"/>
      <c r="B33" s="36"/>
      <c r="C33" s="36"/>
      <c r="D33" s="36"/>
      <c r="E33" s="39"/>
      <c r="F33" s="39"/>
      <c r="G33" s="39"/>
      <c r="H33" s="39"/>
      <c r="I33" s="39"/>
      <c r="J33" s="42"/>
      <c r="K33" s="40" t="str">
        <f>IF(OR(B33="",G33&lt;&gt;"Confirmed OOS"),"",IF(IFERROR(INDEX('Task Master'!$C$5:$C$100,MATCH(B33,'Task Master'!$A$5:$A$100,0)),"")="executing","Yes","No"))</f>
        <v/>
      </c>
      <c r="L33" s="39"/>
    </row>
    <row r="34" spans="1:12">
      <c r="A34" s="38"/>
      <c r="B34" s="36"/>
      <c r="C34" s="36"/>
      <c r="D34" s="36"/>
      <c r="E34" s="39"/>
      <c r="F34" s="39"/>
      <c r="G34" s="39"/>
      <c r="H34" s="39"/>
      <c r="I34" s="39"/>
      <c r="J34" s="42"/>
      <c r="K34" s="40" t="str">
        <f>IF(OR(B34="",G34&lt;&gt;"Confirmed OOS"),"",IF(IFERROR(INDEX('Task Master'!$C$5:$C$100,MATCH(B34,'Task Master'!$A$5:$A$100,0)),"")="executing","Yes","No"))</f>
        <v/>
      </c>
      <c r="L34" s="39"/>
    </row>
    <row r="35" spans="1:12">
      <c r="A35" s="38"/>
      <c r="B35" s="36"/>
      <c r="C35" s="36"/>
      <c r="D35" s="36"/>
      <c r="E35" s="39"/>
      <c r="F35" s="39"/>
      <c r="G35" s="39"/>
      <c r="H35" s="39"/>
      <c r="I35" s="39"/>
      <c r="J35" s="42"/>
      <c r="K35" s="40" t="str">
        <f>IF(OR(B35="",G35&lt;&gt;"Confirmed OOS"),"",IF(IFERROR(INDEX('Task Master'!$C$5:$C$100,MATCH(B35,'Task Master'!$A$5:$A$100,0)),"")="executing","Yes","No"))</f>
        <v/>
      </c>
      <c r="L35" s="39"/>
    </row>
    <row r="36" spans="1:12">
      <c r="A36" s="38"/>
      <c r="B36" s="36"/>
      <c r="C36" s="36"/>
      <c r="D36" s="36"/>
      <c r="E36" s="39"/>
      <c r="F36" s="39"/>
      <c r="G36" s="39"/>
      <c r="H36" s="39"/>
      <c r="I36" s="39"/>
      <c r="J36" s="42"/>
      <c r="K36" s="40" t="str">
        <f>IF(OR(B36="",G36&lt;&gt;"Confirmed OOS"),"",IF(IFERROR(INDEX('Task Master'!$C$5:$C$100,MATCH(B36,'Task Master'!$A$5:$A$100,0)),"")="executing","Yes","No"))</f>
        <v/>
      </c>
      <c r="L36" s="39"/>
    </row>
    <row r="37" spans="1:12">
      <c r="A37" s="38"/>
      <c r="B37" s="36"/>
      <c r="C37" s="36"/>
      <c r="D37" s="36"/>
      <c r="E37" s="39"/>
      <c r="F37" s="39"/>
      <c r="G37" s="39"/>
      <c r="H37" s="39"/>
      <c r="I37" s="39"/>
      <c r="J37" s="42"/>
      <c r="K37" s="40" t="str">
        <f>IF(OR(B37="",G37&lt;&gt;"Confirmed OOS"),"",IF(IFERROR(INDEX('Task Master'!$C$5:$C$100,MATCH(B37,'Task Master'!$A$5:$A$100,0)),"")="executing","Yes","No"))</f>
        <v/>
      </c>
      <c r="L37" s="39"/>
    </row>
    <row r="38" spans="1:12">
      <c r="A38" s="38"/>
      <c r="B38" s="36"/>
      <c r="C38" s="36"/>
      <c r="D38" s="36"/>
      <c r="E38" s="39"/>
      <c r="F38" s="39"/>
      <c r="G38" s="39"/>
      <c r="H38" s="39"/>
      <c r="I38" s="39"/>
      <c r="J38" s="42"/>
      <c r="K38" s="40" t="str">
        <f>IF(OR(B38="",G38&lt;&gt;"Confirmed OOS"),"",IF(IFERROR(INDEX('Task Master'!$C$5:$C$100,MATCH(B38,'Task Master'!$A$5:$A$100,0)),"")="executing","Yes","No"))</f>
        <v/>
      </c>
      <c r="L38" s="39"/>
    </row>
    <row r="39" spans="1:12">
      <c r="A39" s="38"/>
      <c r="B39" s="36"/>
      <c r="C39" s="36"/>
      <c r="D39" s="36"/>
      <c r="E39" s="39"/>
      <c r="F39" s="39"/>
      <c r="G39" s="39"/>
      <c r="H39" s="39"/>
      <c r="I39" s="39"/>
      <c r="J39" s="42"/>
      <c r="K39" s="40" t="str">
        <f>IF(OR(B39="",G39&lt;&gt;"Confirmed OOS"),"",IF(IFERROR(INDEX('Task Master'!$C$5:$C$100,MATCH(B39,'Task Master'!$A$5:$A$100,0)),"")="executing","Yes","No"))</f>
        <v/>
      </c>
      <c r="L39" s="39"/>
    </row>
    <row r="40" spans="1:12">
      <c r="A40" s="38"/>
      <c r="B40" s="36"/>
      <c r="C40" s="36"/>
      <c r="D40" s="36"/>
      <c r="E40" s="39"/>
      <c r="F40" s="39"/>
      <c r="G40" s="39"/>
      <c r="H40" s="39"/>
      <c r="I40" s="39"/>
      <c r="J40" s="42"/>
      <c r="K40" s="40" t="str">
        <f>IF(OR(B40="",G40&lt;&gt;"Confirmed OOS"),"",IF(IFERROR(INDEX('Task Master'!$C$5:$C$100,MATCH(B40,'Task Master'!$A$5:$A$100,0)),"")="executing","Yes","No"))</f>
        <v/>
      </c>
      <c r="L40" s="39"/>
    </row>
    <row r="41" spans="1:12">
      <c r="A41" s="38"/>
      <c r="B41" s="36"/>
      <c r="C41" s="36"/>
      <c r="D41" s="36"/>
      <c r="E41" s="39"/>
      <c r="F41" s="39"/>
      <c r="G41" s="39"/>
      <c r="H41" s="39"/>
      <c r="I41" s="39"/>
      <c r="J41" s="42"/>
      <c r="K41" s="40" t="str">
        <f>IF(OR(B41="",G41&lt;&gt;"Confirmed OOS"),"",IF(IFERROR(INDEX('Task Master'!$C$5:$C$100,MATCH(B41,'Task Master'!$A$5:$A$100,0)),"")="executing","Yes","No"))</f>
        <v/>
      </c>
      <c r="L41" s="39"/>
    </row>
    <row r="42" spans="1:12">
      <c r="A42" s="38"/>
      <c r="B42" s="36"/>
      <c r="C42" s="36"/>
      <c r="D42" s="36"/>
      <c r="E42" s="39"/>
      <c r="F42" s="39"/>
      <c r="G42" s="39"/>
      <c r="H42" s="39"/>
      <c r="I42" s="39"/>
      <c r="J42" s="42"/>
      <c r="K42" s="40" t="str">
        <f>IF(OR(B42="",G42&lt;&gt;"Confirmed OOS"),"",IF(IFERROR(INDEX('Task Master'!$C$5:$C$100,MATCH(B42,'Task Master'!$A$5:$A$100,0)),"")="executing","Yes","No"))</f>
        <v/>
      </c>
      <c r="L42" s="39"/>
    </row>
    <row r="43" spans="1:12">
      <c r="A43" s="38"/>
      <c r="B43" s="36"/>
      <c r="C43" s="36"/>
      <c r="D43" s="36"/>
      <c r="E43" s="39"/>
      <c r="F43" s="39"/>
      <c r="G43" s="39"/>
      <c r="H43" s="39"/>
      <c r="I43" s="39"/>
      <c r="J43" s="42"/>
      <c r="K43" s="40" t="str">
        <f>IF(OR(B43="",G43&lt;&gt;"Confirmed OOS"),"",IF(IFERROR(INDEX('Task Master'!$C$5:$C$100,MATCH(B43,'Task Master'!$A$5:$A$100,0)),"")="executing","Yes","No"))</f>
        <v/>
      </c>
      <c r="L43" s="39"/>
    </row>
    <row r="44" spans="1:12">
      <c r="A44" s="38"/>
      <c r="B44" s="36"/>
      <c r="C44" s="36"/>
      <c r="D44" s="36"/>
      <c r="E44" s="39"/>
      <c r="F44" s="39"/>
      <c r="G44" s="39"/>
      <c r="H44" s="39"/>
      <c r="I44" s="39"/>
      <c r="J44" s="42"/>
      <c r="K44" s="40" t="str">
        <f>IF(OR(B44="",G44&lt;&gt;"Confirmed OOS"),"",IF(IFERROR(INDEX('Task Master'!$C$5:$C$100,MATCH(B44,'Task Master'!$A$5:$A$100,0)),"")="executing","Yes","No"))</f>
        <v/>
      </c>
      <c r="L44" s="39"/>
    </row>
    <row r="45" spans="1:12">
      <c r="A45" s="38"/>
      <c r="B45" s="36"/>
      <c r="C45" s="36"/>
      <c r="D45" s="36"/>
      <c r="E45" s="39"/>
      <c r="F45" s="39"/>
      <c r="G45" s="39"/>
      <c r="H45" s="39"/>
      <c r="I45" s="39"/>
      <c r="J45" s="42"/>
      <c r="K45" s="40" t="str">
        <f>IF(OR(B45="",G45&lt;&gt;"Confirmed OOS"),"",IF(IFERROR(INDEX('Task Master'!$C$5:$C$100,MATCH(B45,'Task Master'!$A$5:$A$100,0)),"")="executing","Yes","No"))</f>
        <v/>
      </c>
      <c r="L45" s="39"/>
    </row>
    <row r="46" spans="1:12">
      <c r="A46" s="38"/>
      <c r="B46" s="36"/>
      <c r="C46" s="36"/>
      <c r="D46" s="36"/>
      <c r="E46" s="39"/>
      <c r="F46" s="39"/>
      <c r="G46" s="39"/>
      <c r="H46" s="39"/>
      <c r="I46" s="39"/>
      <c r="J46" s="42"/>
      <c r="K46" s="40" t="str">
        <f>IF(OR(B46="",G46&lt;&gt;"Confirmed OOS"),"",IF(IFERROR(INDEX('Task Master'!$C$5:$C$100,MATCH(B46,'Task Master'!$A$5:$A$100,0)),"")="executing","Yes","No"))</f>
        <v/>
      </c>
      <c r="L46" s="39"/>
    </row>
    <row r="47" spans="1:12">
      <c r="A47" s="38"/>
      <c r="B47" s="36"/>
      <c r="C47" s="36"/>
      <c r="D47" s="36"/>
      <c r="E47" s="39"/>
      <c r="F47" s="39"/>
      <c r="G47" s="39"/>
      <c r="H47" s="39"/>
      <c r="I47" s="39"/>
      <c r="J47" s="42"/>
      <c r="K47" s="40" t="str">
        <f>IF(OR(B47="",G47&lt;&gt;"Confirmed OOS"),"",IF(IFERROR(INDEX('Task Master'!$C$5:$C$100,MATCH(B47,'Task Master'!$A$5:$A$100,0)),"")="executing","Yes","No"))</f>
        <v/>
      </c>
      <c r="L47" s="39"/>
    </row>
    <row r="48" spans="1:12">
      <c r="A48" s="38"/>
      <c r="B48" s="36"/>
      <c r="C48" s="36"/>
      <c r="D48" s="36"/>
      <c r="E48" s="39"/>
      <c r="F48" s="39"/>
      <c r="G48" s="39"/>
      <c r="H48" s="39"/>
      <c r="I48" s="39"/>
      <c r="J48" s="42"/>
      <c r="K48" s="40" t="str">
        <f>IF(OR(B48="",G48&lt;&gt;"Confirmed OOS"),"",IF(IFERROR(INDEX('Task Master'!$C$5:$C$100,MATCH(B48,'Task Master'!$A$5:$A$100,0)),"")="executing","Yes","No"))</f>
        <v/>
      </c>
      <c r="L48" s="39"/>
    </row>
    <row r="49" spans="1:12">
      <c r="A49" s="38"/>
      <c r="B49" s="36"/>
      <c r="C49" s="36"/>
      <c r="D49" s="36"/>
      <c r="E49" s="39"/>
      <c r="F49" s="39"/>
      <c r="G49" s="39"/>
      <c r="H49" s="39"/>
      <c r="I49" s="39"/>
      <c r="J49" s="42"/>
      <c r="K49" s="40" t="str">
        <f>IF(OR(B49="",G49&lt;&gt;"Confirmed OOS"),"",IF(IFERROR(INDEX('Task Master'!$C$5:$C$100,MATCH(B49,'Task Master'!$A$5:$A$100,0)),"")="executing","Yes","No"))</f>
        <v/>
      </c>
      <c r="L49" s="39"/>
    </row>
    <row r="50" spans="1:12">
      <c r="A50" s="38"/>
      <c r="B50" s="36"/>
      <c r="C50" s="36"/>
      <c r="D50" s="36"/>
      <c r="E50" s="39"/>
      <c r="F50" s="39"/>
      <c r="G50" s="39"/>
      <c r="H50" s="39"/>
      <c r="I50" s="39"/>
      <c r="J50" s="42"/>
      <c r="K50" s="40" t="str">
        <f>IF(OR(B50="",G50&lt;&gt;"Confirmed OOS"),"",IF(IFERROR(INDEX('Task Master'!$C$5:$C$100,MATCH(B50,'Task Master'!$A$5:$A$100,0)),"")="executing","Yes","No"))</f>
        <v/>
      </c>
      <c r="L50" s="39"/>
    </row>
    <row r="51" spans="1:12">
      <c r="A51" s="38"/>
      <c r="B51" s="36"/>
      <c r="C51" s="36"/>
      <c r="D51" s="36"/>
      <c r="E51" s="39"/>
      <c r="F51" s="39"/>
      <c r="G51" s="39"/>
      <c r="H51" s="39"/>
      <c r="I51" s="39"/>
      <c r="J51" s="42"/>
      <c r="K51" s="40" t="str">
        <f>IF(OR(B51="",G51&lt;&gt;"Confirmed OOS"),"",IF(IFERROR(INDEX('Task Master'!$C$5:$C$100,MATCH(B51,'Task Master'!$A$5:$A$100,0)),"")="executing","Yes","No"))</f>
        <v/>
      </c>
      <c r="L51" s="39"/>
    </row>
    <row r="52" spans="1:12">
      <c r="A52" s="38"/>
      <c r="B52" s="36"/>
      <c r="C52" s="36"/>
      <c r="D52" s="36"/>
      <c r="E52" s="39"/>
      <c r="F52" s="39"/>
      <c r="G52" s="39"/>
      <c r="H52" s="39"/>
      <c r="I52" s="39"/>
      <c r="J52" s="42"/>
      <c r="K52" s="40" t="str">
        <f>IF(OR(B52="",G52&lt;&gt;"Confirmed OOS"),"",IF(IFERROR(INDEX('Task Master'!$C$5:$C$100,MATCH(B52,'Task Master'!$A$5:$A$100,0)),"")="executing","Yes","No"))</f>
        <v/>
      </c>
      <c r="L52" s="39"/>
    </row>
    <row r="53" spans="1:12">
      <c r="A53" s="38"/>
      <c r="B53" s="36"/>
      <c r="C53" s="36"/>
      <c r="D53" s="36"/>
      <c r="E53" s="39"/>
      <c r="F53" s="39"/>
      <c r="G53" s="39"/>
      <c r="H53" s="39"/>
      <c r="I53" s="39"/>
      <c r="J53" s="42"/>
      <c r="K53" s="40" t="str">
        <f>IF(OR(B53="",G53&lt;&gt;"Confirmed OOS"),"",IF(IFERROR(INDEX('Task Master'!$C$5:$C$100,MATCH(B53,'Task Master'!$A$5:$A$100,0)),"")="executing","Yes","No"))</f>
        <v/>
      </c>
      <c r="L53" s="39"/>
    </row>
    <row r="54" spans="1:12">
      <c r="A54" s="38"/>
      <c r="B54" s="36"/>
      <c r="C54" s="36"/>
      <c r="D54" s="36"/>
      <c r="E54" s="39"/>
      <c r="F54" s="39"/>
      <c r="G54" s="39"/>
      <c r="H54" s="39"/>
      <c r="I54" s="39"/>
      <c r="J54" s="42"/>
      <c r="K54" s="40" t="str">
        <f>IF(OR(B54="",G54&lt;&gt;"Confirmed OOS"),"",IF(IFERROR(INDEX('Task Master'!$C$5:$C$100,MATCH(B54,'Task Master'!$A$5:$A$100,0)),"")="executing","Yes","No"))</f>
        <v/>
      </c>
      <c r="L54" s="39"/>
    </row>
    <row r="55" spans="1:12">
      <c r="A55" s="38"/>
      <c r="B55" s="36"/>
      <c r="C55" s="36"/>
      <c r="D55" s="36"/>
      <c r="E55" s="39"/>
      <c r="F55" s="39"/>
      <c r="G55" s="39"/>
      <c r="H55" s="39"/>
      <c r="I55" s="39"/>
      <c r="J55" s="42"/>
      <c r="K55" s="40" t="str">
        <f>IF(OR(B55="",G55&lt;&gt;"Confirmed OOS"),"",IF(IFERROR(INDEX('Task Master'!$C$5:$C$100,MATCH(B55,'Task Master'!$A$5:$A$100,0)),"")="executing","Yes","No"))</f>
        <v/>
      </c>
      <c r="L55" s="39"/>
    </row>
    <row r="56" spans="1:12">
      <c r="A56" s="38"/>
      <c r="B56" s="36"/>
      <c r="C56" s="36"/>
      <c r="D56" s="36"/>
      <c r="E56" s="39"/>
      <c r="F56" s="39"/>
      <c r="G56" s="39"/>
      <c r="H56" s="39"/>
      <c r="I56" s="39"/>
      <c r="J56" s="42"/>
      <c r="K56" s="40" t="str">
        <f>IF(OR(B56="",G56&lt;&gt;"Confirmed OOS"),"",IF(IFERROR(INDEX('Task Master'!$C$5:$C$100,MATCH(B56,'Task Master'!$A$5:$A$100,0)),"")="executing","Yes","No"))</f>
        <v/>
      </c>
      <c r="L56" s="39"/>
    </row>
    <row r="57" spans="1:12">
      <c r="A57" s="38"/>
      <c r="B57" s="36"/>
      <c r="C57" s="36"/>
      <c r="D57" s="36"/>
      <c r="E57" s="39"/>
      <c r="F57" s="39"/>
      <c r="G57" s="39"/>
      <c r="H57" s="39"/>
      <c r="I57" s="39"/>
      <c r="J57" s="42"/>
      <c r="K57" s="40" t="str">
        <f>IF(OR(B57="",G57&lt;&gt;"Confirmed OOS"),"",IF(IFERROR(INDEX('Task Master'!$C$5:$C$100,MATCH(B57,'Task Master'!$A$5:$A$100,0)),"")="executing","Yes","No"))</f>
        <v/>
      </c>
      <c r="L57" s="39"/>
    </row>
    <row r="58" spans="1:12">
      <c r="A58" s="38"/>
      <c r="B58" s="36"/>
      <c r="C58" s="36"/>
      <c r="D58" s="36"/>
      <c r="E58" s="39"/>
      <c r="F58" s="39"/>
      <c r="G58" s="39"/>
      <c r="H58" s="39"/>
      <c r="I58" s="39"/>
      <c r="J58" s="42"/>
      <c r="K58" s="40" t="str">
        <f>IF(OR(B58="",G58&lt;&gt;"Confirmed OOS"),"",IF(IFERROR(INDEX('Task Master'!$C$5:$C$100,MATCH(B58,'Task Master'!$A$5:$A$100,0)),"")="executing","Yes","No"))</f>
        <v/>
      </c>
      <c r="L58" s="39"/>
    </row>
    <row r="59" spans="1:12">
      <c r="A59" s="38"/>
      <c r="B59" s="36"/>
      <c r="C59" s="36"/>
      <c r="D59" s="36"/>
      <c r="E59" s="39"/>
      <c r="F59" s="39"/>
      <c r="G59" s="39"/>
      <c r="H59" s="39"/>
      <c r="I59" s="39"/>
      <c r="J59" s="42"/>
      <c r="K59" s="40" t="str">
        <f>IF(OR(B59="",G59&lt;&gt;"Confirmed OOS"),"",IF(IFERROR(INDEX('Task Master'!$C$5:$C$100,MATCH(B59,'Task Master'!$A$5:$A$100,0)),"")="executing","Yes","No"))</f>
        <v/>
      </c>
      <c r="L59" s="39"/>
    </row>
    <row r="60" spans="1:12">
      <c r="A60" s="38"/>
      <c r="B60" s="36"/>
      <c r="C60" s="36"/>
      <c r="D60" s="36"/>
      <c r="E60" s="39"/>
      <c r="F60" s="39"/>
      <c r="G60" s="39"/>
      <c r="H60" s="39"/>
      <c r="I60" s="39"/>
      <c r="J60" s="42"/>
      <c r="K60" s="40" t="str">
        <f>IF(OR(B60="",G60&lt;&gt;"Confirmed OOS"),"",IF(IFERROR(INDEX('Task Master'!$C$5:$C$100,MATCH(B60,'Task Master'!$A$5:$A$100,0)),"")="executing","Yes","No"))</f>
        <v/>
      </c>
      <c r="L60" s="39"/>
    </row>
    <row r="61" spans="1:12">
      <c r="A61" s="38"/>
      <c r="B61" s="36"/>
      <c r="C61" s="36"/>
      <c r="D61" s="36"/>
      <c r="E61" s="39"/>
      <c r="F61" s="39"/>
      <c r="G61" s="39"/>
      <c r="H61" s="39"/>
      <c r="I61" s="39"/>
      <c r="J61" s="42"/>
      <c r="K61" s="40" t="str">
        <f>IF(OR(B61="",G61&lt;&gt;"Confirmed OOS"),"",IF(IFERROR(INDEX('Task Master'!$C$5:$C$100,MATCH(B61,'Task Master'!$A$5:$A$100,0)),"")="executing","Yes","No"))</f>
        <v/>
      </c>
      <c r="L61" s="39"/>
    </row>
    <row r="62" spans="1:12">
      <c r="A62" s="38"/>
      <c r="B62" s="36"/>
      <c r="C62" s="36"/>
      <c r="D62" s="36"/>
      <c r="E62" s="39"/>
      <c r="F62" s="39"/>
      <c r="G62" s="39"/>
      <c r="H62" s="39"/>
      <c r="I62" s="39"/>
      <c r="J62" s="42"/>
      <c r="K62" s="40" t="str">
        <f>IF(OR(B62="",G62&lt;&gt;"Confirmed OOS"),"",IF(IFERROR(INDEX('Task Master'!$C$5:$C$100,MATCH(B62,'Task Master'!$A$5:$A$100,0)),"")="executing","Yes","No"))</f>
        <v/>
      </c>
      <c r="L62" s="39"/>
    </row>
    <row r="63" spans="1:12">
      <c r="A63" s="38"/>
      <c r="B63" s="36"/>
      <c r="C63" s="36"/>
      <c r="D63" s="36"/>
      <c r="E63" s="39"/>
      <c r="F63" s="39"/>
      <c r="G63" s="39"/>
      <c r="H63" s="39"/>
      <c r="I63" s="39"/>
      <c r="J63" s="42"/>
      <c r="K63" s="40" t="str">
        <f>IF(OR(B63="",G63&lt;&gt;"Confirmed OOS"),"",IF(IFERROR(INDEX('Task Master'!$C$5:$C$100,MATCH(B63,'Task Master'!$A$5:$A$100,0)),"")="executing","Yes","No"))</f>
        <v/>
      </c>
      <c r="L63" s="39"/>
    </row>
    <row r="64" spans="1:12">
      <c r="A64" s="38"/>
      <c r="B64" s="36"/>
      <c r="C64" s="36"/>
      <c r="D64" s="36"/>
      <c r="E64" s="39"/>
      <c r="F64" s="39"/>
      <c r="G64" s="39"/>
      <c r="H64" s="39"/>
      <c r="I64" s="39"/>
      <c r="J64" s="42"/>
      <c r="K64" s="40" t="str">
        <f>IF(OR(B64="",G64&lt;&gt;"Confirmed OOS"),"",IF(IFERROR(INDEX('Task Master'!$C$5:$C$100,MATCH(B64,'Task Master'!$A$5:$A$100,0)),"")="executing","Yes","No"))</f>
        <v/>
      </c>
      <c r="L64" s="39"/>
    </row>
    <row r="65" spans="1:12">
      <c r="A65" s="38"/>
      <c r="B65" s="36"/>
      <c r="C65" s="36"/>
      <c r="D65" s="36"/>
      <c r="E65" s="39"/>
      <c r="F65" s="39"/>
      <c r="G65" s="39"/>
      <c r="H65" s="39"/>
      <c r="I65" s="39"/>
      <c r="J65" s="42"/>
      <c r="K65" s="40" t="str">
        <f>IF(OR(B65="",G65&lt;&gt;"Confirmed OOS"),"",IF(IFERROR(INDEX('Task Master'!$C$5:$C$100,MATCH(B65,'Task Master'!$A$5:$A$100,0)),"")="executing","Yes","No"))</f>
        <v/>
      </c>
      <c r="L65" s="39"/>
    </row>
    <row r="66" spans="1:12">
      <c r="A66" s="38"/>
      <c r="B66" s="36"/>
      <c r="C66" s="36"/>
      <c r="D66" s="36"/>
      <c r="E66" s="39"/>
      <c r="F66" s="39"/>
      <c r="G66" s="39"/>
      <c r="H66" s="39"/>
      <c r="I66" s="39"/>
      <c r="J66" s="42"/>
      <c r="K66" s="40" t="str">
        <f>IF(OR(B66="",G66&lt;&gt;"Confirmed OOS"),"",IF(IFERROR(INDEX('Task Master'!$C$5:$C$100,MATCH(B66,'Task Master'!$A$5:$A$100,0)),"")="executing","Yes","No"))</f>
        <v/>
      </c>
      <c r="L66" s="39"/>
    </row>
    <row r="67" spans="1:12">
      <c r="A67" s="38"/>
      <c r="B67" s="36"/>
      <c r="C67" s="36"/>
      <c r="D67" s="36"/>
      <c r="E67" s="39"/>
      <c r="F67" s="39"/>
      <c r="G67" s="39"/>
      <c r="H67" s="39"/>
      <c r="I67" s="39"/>
      <c r="J67" s="42"/>
      <c r="K67" s="40" t="str">
        <f>IF(OR(B67="",G67&lt;&gt;"Confirmed OOS"),"",IF(IFERROR(INDEX('Task Master'!$C$5:$C$100,MATCH(B67,'Task Master'!$A$5:$A$100,0)),"")="executing","Yes","No"))</f>
        <v/>
      </c>
      <c r="L67" s="39"/>
    </row>
    <row r="68" spans="1:12">
      <c r="A68" s="38"/>
      <c r="B68" s="36"/>
      <c r="C68" s="36"/>
      <c r="D68" s="36"/>
      <c r="E68" s="39"/>
      <c r="F68" s="39"/>
      <c r="G68" s="39"/>
      <c r="H68" s="39"/>
      <c r="I68" s="39"/>
      <c r="J68" s="42"/>
      <c r="K68" s="40" t="str">
        <f>IF(OR(B68="",G68&lt;&gt;"Confirmed OOS"),"",IF(IFERROR(INDEX('Task Master'!$C$5:$C$100,MATCH(B68,'Task Master'!$A$5:$A$100,0)),"")="executing","Yes","No"))</f>
        <v/>
      </c>
      <c r="L68" s="39"/>
    </row>
    <row r="69" spans="1:12">
      <c r="A69" s="38"/>
      <c r="B69" s="36"/>
      <c r="C69" s="36"/>
      <c r="D69" s="36"/>
      <c r="E69" s="39"/>
      <c r="F69" s="39"/>
      <c r="G69" s="39"/>
      <c r="H69" s="39"/>
      <c r="I69" s="39"/>
      <c r="J69" s="42"/>
      <c r="K69" s="40" t="str">
        <f>IF(OR(B69="",G69&lt;&gt;"Confirmed OOS"),"",IF(IFERROR(INDEX('Task Master'!$C$5:$C$100,MATCH(B69,'Task Master'!$A$5:$A$100,0)),"")="executing","Yes","No"))</f>
        <v/>
      </c>
      <c r="L69" s="39"/>
    </row>
    <row r="70" spans="1:12">
      <c r="A70" s="38"/>
      <c r="B70" s="36"/>
      <c r="C70" s="36"/>
      <c r="D70" s="36"/>
      <c r="E70" s="39"/>
      <c r="F70" s="39"/>
      <c r="G70" s="39"/>
      <c r="H70" s="39"/>
      <c r="I70" s="39"/>
      <c r="J70" s="42"/>
      <c r="K70" s="40" t="str">
        <f>IF(OR(B70="",G70&lt;&gt;"Confirmed OOS"),"",IF(IFERROR(INDEX('Task Master'!$C$5:$C$100,MATCH(B70,'Task Master'!$A$5:$A$100,0)),"")="executing","Yes","No"))</f>
        <v/>
      </c>
      <c r="L70" s="39"/>
    </row>
    <row r="71" spans="1:12">
      <c r="A71" s="38"/>
      <c r="B71" s="36"/>
      <c r="C71" s="36"/>
      <c r="D71" s="36"/>
      <c r="E71" s="39"/>
      <c r="F71" s="39"/>
      <c r="G71" s="39"/>
      <c r="H71" s="39"/>
      <c r="I71" s="39"/>
      <c r="J71" s="42"/>
      <c r="K71" s="40" t="str">
        <f>IF(OR(B71="",G71&lt;&gt;"Confirmed OOS"),"",IF(IFERROR(INDEX('Task Master'!$C$5:$C$100,MATCH(B71,'Task Master'!$A$5:$A$100,0)),"")="executing","Yes","No"))</f>
        <v/>
      </c>
      <c r="L71" s="39"/>
    </row>
    <row r="72" spans="1:12">
      <c r="A72" s="38"/>
      <c r="B72" s="36"/>
      <c r="C72" s="36"/>
      <c r="D72" s="36"/>
      <c r="E72" s="39"/>
      <c r="F72" s="39"/>
      <c r="G72" s="39"/>
      <c r="H72" s="39"/>
      <c r="I72" s="39"/>
      <c r="J72" s="42"/>
      <c r="K72" s="40" t="str">
        <f>IF(OR(B72="",G72&lt;&gt;"Confirmed OOS"),"",IF(IFERROR(INDEX('Task Master'!$C$5:$C$100,MATCH(B72,'Task Master'!$A$5:$A$100,0)),"")="executing","Yes","No"))</f>
        <v/>
      </c>
      <c r="L72" s="39"/>
    </row>
    <row r="73" spans="1:12">
      <c r="A73" s="38"/>
      <c r="B73" s="36"/>
      <c r="C73" s="36"/>
      <c r="D73" s="36"/>
      <c r="E73" s="39"/>
      <c r="F73" s="39"/>
      <c r="G73" s="39"/>
      <c r="H73" s="39"/>
      <c r="I73" s="39"/>
      <c r="J73" s="42"/>
      <c r="K73" s="40" t="str">
        <f>IF(OR(B73="",G73&lt;&gt;"Confirmed OOS"),"",IF(IFERROR(INDEX('Task Master'!$C$5:$C$100,MATCH(B73,'Task Master'!$A$5:$A$100,0)),"")="executing","Yes","No"))</f>
        <v/>
      </c>
      <c r="L73" s="39"/>
    </row>
    <row r="74" spans="1:12">
      <c r="A74" s="38"/>
      <c r="B74" s="36"/>
      <c r="C74" s="36"/>
      <c r="D74" s="36"/>
      <c r="E74" s="39"/>
      <c r="F74" s="39"/>
      <c r="G74" s="39"/>
      <c r="H74" s="39"/>
      <c r="I74" s="39"/>
      <c r="J74" s="42"/>
      <c r="K74" s="40" t="str">
        <f>IF(OR(B74="",G74&lt;&gt;"Confirmed OOS"),"",IF(IFERROR(INDEX('Task Master'!$C$5:$C$100,MATCH(B74,'Task Master'!$A$5:$A$100,0)),"")="executing","Yes","No"))</f>
        <v/>
      </c>
      <c r="L74" s="39"/>
    </row>
    <row r="75" spans="1:12">
      <c r="A75" s="38"/>
      <c r="B75" s="36"/>
      <c r="C75" s="36"/>
      <c r="D75" s="36"/>
      <c r="E75" s="39"/>
      <c r="F75" s="39"/>
      <c r="G75" s="39"/>
      <c r="H75" s="39"/>
      <c r="I75" s="39"/>
      <c r="J75" s="42"/>
      <c r="K75" s="40" t="str">
        <f>IF(OR(B75="",G75&lt;&gt;"Confirmed OOS"),"",IF(IFERROR(INDEX('Task Master'!$C$5:$C$100,MATCH(B75,'Task Master'!$A$5:$A$100,0)),"")="executing","Yes","No"))</f>
        <v/>
      </c>
      <c r="L75" s="39"/>
    </row>
    <row r="76" spans="1:12">
      <c r="A76" s="38"/>
      <c r="B76" s="36"/>
      <c r="C76" s="36"/>
      <c r="D76" s="36"/>
      <c r="E76" s="39"/>
      <c r="F76" s="39"/>
      <c r="G76" s="39"/>
      <c r="H76" s="39"/>
      <c r="I76" s="39"/>
      <c r="J76" s="42"/>
      <c r="K76" s="40" t="str">
        <f>IF(OR(B76="",G76&lt;&gt;"Confirmed OOS"),"",IF(IFERROR(INDEX('Task Master'!$C$5:$C$100,MATCH(B76,'Task Master'!$A$5:$A$100,0)),"")="executing","Yes","No"))</f>
        <v/>
      </c>
      <c r="L76" s="39"/>
    </row>
    <row r="77" spans="1:12">
      <c r="A77" s="38"/>
      <c r="B77" s="36"/>
      <c r="C77" s="36"/>
      <c r="D77" s="36"/>
      <c r="E77" s="39"/>
      <c r="F77" s="39"/>
      <c r="G77" s="39"/>
      <c r="H77" s="39"/>
      <c r="I77" s="39"/>
      <c r="J77" s="42"/>
      <c r="K77" s="40" t="str">
        <f>IF(OR(B77="",G77&lt;&gt;"Confirmed OOS"),"",IF(IFERROR(INDEX('Task Master'!$C$5:$C$100,MATCH(B77,'Task Master'!$A$5:$A$100,0)),"")="executing","Yes","No"))</f>
        <v/>
      </c>
      <c r="L77" s="39"/>
    </row>
    <row r="78" spans="1:12">
      <c r="A78" s="38"/>
      <c r="B78" s="36"/>
      <c r="C78" s="36"/>
      <c r="D78" s="36"/>
      <c r="E78" s="39"/>
      <c r="F78" s="39"/>
      <c r="G78" s="39"/>
      <c r="H78" s="39"/>
      <c r="I78" s="39"/>
      <c r="J78" s="42"/>
      <c r="K78" s="40" t="str">
        <f>IF(OR(B78="",G78&lt;&gt;"Confirmed OOS"),"",IF(IFERROR(INDEX('Task Master'!$C$5:$C$100,MATCH(B78,'Task Master'!$A$5:$A$100,0)),"")="executing","Yes","No"))</f>
        <v/>
      </c>
      <c r="L78" s="39"/>
    </row>
    <row r="79" spans="1:12">
      <c r="A79" s="38"/>
      <c r="B79" s="36"/>
      <c r="C79" s="36"/>
      <c r="D79" s="36"/>
      <c r="E79" s="39"/>
      <c r="F79" s="39"/>
      <c r="G79" s="39"/>
      <c r="H79" s="39"/>
      <c r="I79" s="39"/>
      <c r="J79" s="42"/>
      <c r="K79" s="40" t="str">
        <f>IF(OR(B79="",G79&lt;&gt;"Confirmed OOS"),"",IF(IFERROR(INDEX('Task Master'!$C$5:$C$100,MATCH(B79,'Task Master'!$A$5:$A$100,0)),"")="executing","Yes","No"))</f>
        <v/>
      </c>
      <c r="L79" s="39"/>
    </row>
    <row r="80" spans="1:12">
      <c r="A80" s="38"/>
      <c r="B80" s="36"/>
      <c r="C80" s="36"/>
      <c r="D80" s="36"/>
      <c r="E80" s="39"/>
      <c r="F80" s="39"/>
      <c r="G80" s="39"/>
      <c r="H80" s="39"/>
      <c r="I80" s="39"/>
      <c r="J80" s="42"/>
      <c r="K80" s="40" t="str">
        <f>IF(OR(B80="",G80&lt;&gt;"Confirmed OOS"),"",IF(IFERROR(INDEX('Task Master'!$C$5:$C$100,MATCH(B80,'Task Master'!$A$5:$A$100,0)),"")="executing","Yes","No"))</f>
        <v/>
      </c>
      <c r="L80" s="39"/>
    </row>
    <row r="81" spans="1:12">
      <c r="A81" s="38"/>
      <c r="B81" s="36"/>
      <c r="C81" s="36"/>
      <c r="D81" s="36"/>
      <c r="E81" s="39"/>
      <c r="F81" s="39"/>
      <c r="G81" s="39"/>
      <c r="H81" s="39"/>
      <c r="I81" s="39"/>
      <c r="J81" s="42"/>
      <c r="K81" s="40" t="str">
        <f>IF(OR(B81="",G81&lt;&gt;"Confirmed OOS"),"",IF(IFERROR(INDEX('Task Master'!$C$5:$C$100,MATCH(B81,'Task Master'!$A$5:$A$100,0)),"")="executing","Yes","No"))</f>
        <v/>
      </c>
      <c r="L81" s="39"/>
    </row>
    <row r="82" spans="1:12">
      <c r="A82" s="38"/>
      <c r="B82" s="36"/>
      <c r="C82" s="36"/>
      <c r="D82" s="36"/>
      <c r="E82" s="39"/>
      <c r="F82" s="39"/>
      <c r="G82" s="39"/>
      <c r="H82" s="39"/>
      <c r="I82" s="39"/>
      <c r="J82" s="42"/>
      <c r="K82" s="40" t="str">
        <f>IF(OR(B82="",G82&lt;&gt;"Confirmed OOS"),"",IF(IFERROR(INDEX('Task Master'!$C$5:$C$100,MATCH(B82,'Task Master'!$A$5:$A$100,0)),"")="executing","Yes","No"))</f>
        <v/>
      </c>
      <c r="L82" s="39"/>
    </row>
    <row r="83" spans="1:12">
      <c r="A83" s="38"/>
      <c r="B83" s="36"/>
      <c r="C83" s="36"/>
      <c r="D83" s="36"/>
      <c r="E83" s="39"/>
      <c r="F83" s="39"/>
      <c r="G83" s="39"/>
      <c r="H83" s="39"/>
      <c r="I83" s="39"/>
      <c r="J83" s="42"/>
      <c r="K83" s="40" t="str">
        <f>IF(OR(B83="",G83&lt;&gt;"Confirmed OOS"),"",IF(IFERROR(INDEX('Task Master'!$C$5:$C$100,MATCH(B83,'Task Master'!$A$5:$A$100,0)),"")="executing","Yes","No"))</f>
        <v/>
      </c>
      <c r="L83" s="39"/>
    </row>
    <row r="84" spans="1:12">
      <c r="A84" s="38"/>
      <c r="B84" s="36"/>
      <c r="C84" s="36"/>
      <c r="D84" s="36"/>
      <c r="E84" s="39"/>
      <c r="F84" s="39"/>
      <c r="G84" s="39"/>
      <c r="H84" s="39"/>
      <c r="I84" s="39"/>
      <c r="J84" s="42"/>
      <c r="K84" s="40" t="str">
        <f>IF(OR(B84="",G84&lt;&gt;"Confirmed OOS"),"",IF(IFERROR(INDEX('Task Master'!$C$5:$C$100,MATCH(B84,'Task Master'!$A$5:$A$100,0)),"")="executing","Yes","No"))</f>
        <v/>
      </c>
      <c r="L84" s="39"/>
    </row>
    <row r="85" spans="1:12">
      <c r="A85" s="38"/>
      <c r="B85" s="36"/>
      <c r="C85" s="36"/>
      <c r="D85" s="36"/>
      <c r="E85" s="39"/>
      <c r="F85" s="39"/>
      <c r="G85" s="39"/>
      <c r="H85" s="39"/>
      <c r="I85" s="39"/>
      <c r="J85" s="42"/>
      <c r="K85" s="40" t="str">
        <f>IF(OR(B85="",G85&lt;&gt;"Confirmed OOS"),"",IF(IFERROR(INDEX('Task Master'!$C$5:$C$100,MATCH(B85,'Task Master'!$A$5:$A$100,0)),"")="executing","Yes","No"))</f>
        <v/>
      </c>
      <c r="L85" s="39"/>
    </row>
    <row r="86" spans="1:12">
      <c r="A86" s="38"/>
      <c r="B86" s="36"/>
      <c r="C86" s="36"/>
      <c r="D86" s="36"/>
      <c r="E86" s="39"/>
      <c r="F86" s="39"/>
      <c r="G86" s="39"/>
      <c r="H86" s="39"/>
      <c r="I86" s="39"/>
      <c r="J86" s="42"/>
      <c r="K86" s="40" t="str">
        <f>IF(OR(B86="",G86&lt;&gt;"Confirmed OOS"),"",IF(IFERROR(INDEX('Task Master'!$C$5:$C$100,MATCH(B86,'Task Master'!$A$5:$A$100,0)),"")="executing","Yes","No"))</f>
        <v/>
      </c>
      <c r="L86" s="39"/>
    </row>
    <row r="87" spans="1:12">
      <c r="A87" s="38"/>
      <c r="B87" s="36"/>
      <c r="C87" s="36"/>
      <c r="D87" s="36"/>
      <c r="E87" s="39"/>
      <c r="F87" s="39"/>
      <c r="G87" s="39"/>
      <c r="H87" s="39"/>
      <c r="I87" s="39"/>
      <c r="J87" s="42"/>
      <c r="K87" s="40" t="str">
        <f>IF(OR(B87="",G87&lt;&gt;"Confirmed OOS"),"",IF(IFERROR(INDEX('Task Master'!$C$5:$C$100,MATCH(B87,'Task Master'!$A$5:$A$100,0)),"")="executing","Yes","No"))</f>
        <v/>
      </c>
      <c r="L87" s="39"/>
    </row>
    <row r="88" spans="1:12">
      <c r="A88" s="38"/>
      <c r="B88" s="36"/>
      <c r="C88" s="36"/>
      <c r="D88" s="36"/>
      <c r="E88" s="39"/>
      <c r="F88" s="39"/>
      <c r="G88" s="39"/>
      <c r="H88" s="39"/>
      <c r="I88" s="39"/>
      <c r="J88" s="42"/>
      <c r="K88" s="40" t="str">
        <f>IF(OR(B88="",G88&lt;&gt;"Confirmed OOS"),"",IF(IFERROR(INDEX('Task Master'!$C$5:$C$100,MATCH(B88,'Task Master'!$A$5:$A$100,0)),"")="executing","Yes","No"))</f>
        <v/>
      </c>
      <c r="L88" s="39"/>
    </row>
    <row r="89" spans="1:12">
      <c r="A89" s="38"/>
      <c r="B89" s="36"/>
      <c r="C89" s="36"/>
      <c r="D89" s="36"/>
      <c r="E89" s="39"/>
      <c r="F89" s="39"/>
      <c r="G89" s="39"/>
      <c r="H89" s="39"/>
      <c r="I89" s="39"/>
      <c r="J89" s="42"/>
      <c r="K89" s="40" t="str">
        <f>IF(OR(B89="",G89&lt;&gt;"Confirmed OOS"),"",IF(IFERROR(INDEX('Task Master'!$C$5:$C$100,MATCH(B89,'Task Master'!$A$5:$A$100,0)),"")="executing","Yes","No"))</f>
        <v/>
      </c>
      <c r="L89" s="39"/>
    </row>
    <row r="90" spans="1:12">
      <c r="A90" s="38"/>
      <c r="B90" s="36"/>
      <c r="C90" s="36"/>
      <c r="D90" s="36"/>
      <c r="E90" s="39"/>
      <c r="F90" s="39"/>
      <c r="G90" s="39"/>
      <c r="H90" s="39"/>
      <c r="I90" s="39"/>
      <c r="J90" s="42"/>
      <c r="K90" s="40" t="str">
        <f>IF(OR(B90="",G90&lt;&gt;"Confirmed OOS"),"",IF(IFERROR(INDEX('Task Master'!$C$5:$C$100,MATCH(B90,'Task Master'!$A$5:$A$100,0)),"")="executing","Yes","No"))</f>
        <v/>
      </c>
      <c r="L90" s="39"/>
    </row>
    <row r="91" spans="1:12">
      <c r="A91" s="38"/>
      <c r="B91" s="36"/>
      <c r="C91" s="36"/>
      <c r="D91" s="36"/>
      <c r="E91" s="39"/>
      <c r="F91" s="39"/>
      <c r="G91" s="39"/>
      <c r="H91" s="39"/>
      <c r="I91" s="39"/>
      <c r="J91" s="42"/>
      <c r="K91" s="40" t="str">
        <f>IF(OR(B91="",G91&lt;&gt;"Confirmed OOS"),"",IF(IFERROR(INDEX('Task Master'!$C$5:$C$100,MATCH(B91,'Task Master'!$A$5:$A$100,0)),"")="executing","Yes","No"))</f>
        <v/>
      </c>
      <c r="L91" s="39"/>
    </row>
    <row r="92" spans="1:12">
      <c r="A92" s="38"/>
      <c r="B92" s="36"/>
      <c r="C92" s="36"/>
      <c r="D92" s="36"/>
      <c r="E92" s="39"/>
      <c r="F92" s="39"/>
      <c r="G92" s="39"/>
      <c r="H92" s="39"/>
      <c r="I92" s="39"/>
      <c r="J92" s="42"/>
      <c r="K92" s="40" t="str">
        <f>IF(OR(B92="",G92&lt;&gt;"Confirmed OOS"),"",IF(IFERROR(INDEX('Task Master'!$C$5:$C$100,MATCH(B92,'Task Master'!$A$5:$A$100,0)),"")="executing","Yes","No"))</f>
        <v/>
      </c>
      <c r="L92" s="39"/>
    </row>
    <row r="93" spans="1:12">
      <c r="A93" s="38"/>
      <c r="B93" s="36"/>
      <c r="C93" s="36"/>
      <c r="D93" s="36"/>
      <c r="E93" s="39"/>
      <c r="F93" s="39"/>
      <c r="G93" s="39"/>
      <c r="H93" s="39"/>
      <c r="I93" s="39"/>
      <c r="J93" s="42"/>
      <c r="K93" s="40" t="str">
        <f>IF(OR(B93="",G93&lt;&gt;"Confirmed OOS"),"",IF(IFERROR(INDEX('Task Master'!$C$5:$C$100,MATCH(B93,'Task Master'!$A$5:$A$100,0)),"")="executing","Yes","No"))</f>
        <v/>
      </c>
      <c r="L93" s="39"/>
    </row>
    <row r="94" spans="1:12">
      <c r="A94" s="38"/>
      <c r="B94" s="36"/>
      <c r="C94" s="36"/>
      <c r="D94" s="36"/>
      <c r="E94" s="39"/>
      <c r="F94" s="39"/>
      <c r="G94" s="39"/>
      <c r="H94" s="39"/>
      <c r="I94" s="39"/>
      <c r="J94" s="42"/>
      <c r="K94" s="40" t="str">
        <f>IF(OR(B94="",G94&lt;&gt;"Confirmed OOS"),"",IF(IFERROR(INDEX('Task Master'!$C$5:$C$100,MATCH(B94,'Task Master'!$A$5:$A$100,0)),"")="executing","Yes","No"))</f>
        <v/>
      </c>
      <c r="L94" s="39"/>
    </row>
    <row r="95" spans="1:12">
      <c r="A95" s="38"/>
      <c r="B95" s="36"/>
      <c r="C95" s="36"/>
      <c r="D95" s="36"/>
      <c r="E95" s="39"/>
      <c r="F95" s="39"/>
      <c r="G95" s="39"/>
      <c r="H95" s="39"/>
      <c r="I95" s="39"/>
      <c r="J95" s="42"/>
      <c r="K95" s="40" t="str">
        <f>IF(OR(B95="",G95&lt;&gt;"Confirmed OOS"),"",IF(IFERROR(INDEX('Task Master'!$C$5:$C$100,MATCH(B95,'Task Master'!$A$5:$A$100,0)),"")="executing","Yes","No"))</f>
        <v/>
      </c>
      <c r="L95" s="39"/>
    </row>
    <row r="96" spans="1:12">
      <c r="A96" s="38"/>
      <c r="B96" s="36"/>
      <c r="C96" s="36"/>
      <c r="D96" s="36"/>
      <c r="E96" s="39"/>
      <c r="F96" s="39"/>
      <c r="G96" s="39"/>
      <c r="H96" s="39"/>
      <c r="I96" s="39"/>
      <c r="J96" s="42"/>
      <c r="K96" s="40" t="str">
        <f>IF(OR(B96="",G96&lt;&gt;"Confirmed OOS"),"",IF(IFERROR(INDEX('Task Master'!$C$5:$C$100,MATCH(B96,'Task Master'!$A$5:$A$100,0)),"")="executing","Yes","No"))</f>
        <v/>
      </c>
      <c r="L96" s="39"/>
    </row>
    <row r="97" spans="1:12">
      <c r="A97" s="38"/>
      <c r="B97" s="36"/>
      <c r="C97" s="36"/>
      <c r="D97" s="36"/>
      <c r="E97" s="39"/>
      <c r="F97" s="39"/>
      <c r="G97" s="39"/>
      <c r="H97" s="39"/>
      <c r="I97" s="39"/>
      <c r="J97" s="42"/>
      <c r="K97" s="40" t="str">
        <f>IF(OR(B97="",G97&lt;&gt;"Confirmed OOS"),"",IF(IFERROR(INDEX('Task Master'!$C$5:$C$100,MATCH(B97,'Task Master'!$A$5:$A$100,0)),"")="executing","Yes","No"))</f>
        <v/>
      </c>
      <c r="L97" s="39"/>
    </row>
    <row r="98" spans="1:12">
      <c r="A98" s="38"/>
      <c r="B98" s="36"/>
      <c r="C98" s="36"/>
      <c r="D98" s="36"/>
      <c r="E98" s="39"/>
      <c r="F98" s="39"/>
      <c r="G98" s="39"/>
      <c r="H98" s="39"/>
      <c r="I98" s="39"/>
      <c r="J98" s="42"/>
      <c r="K98" s="40" t="str">
        <f>IF(OR(B98="",G98&lt;&gt;"Confirmed OOS"),"",IF(IFERROR(INDEX('Task Master'!$C$5:$C$100,MATCH(B98,'Task Master'!$A$5:$A$100,0)),"")="executing","Yes","No"))</f>
        <v/>
      </c>
      <c r="L98" s="39"/>
    </row>
    <row r="99" spans="1:12">
      <c r="A99" s="38"/>
      <c r="B99" s="36"/>
      <c r="C99" s="36"/>
      <c r="D99" s="36"/>
      <c r="E99" s="39"/>
      <c r="F99" s="39"/>
      <c r="G99" s="39"/>
      <c r="H99" s="39"/>
      <c r="I99" s="39"/>
      <c r="J99" s="42"/>
      <c r="K99" s="40" t="str">
        <f>IF(OR(B99="",G99&lt;&gt;"Confirmed OOS"),"",IF(IFERROR(INDEX('Task Master'!$C$5:$C$100,MATCH(B99,'Task Master'!$A$5:$A$100,0)),"")="executing","Yes","No"))</f>
        <v/>
      </c>
      <c r="L99" s="39"/>
    </row>
    <row r="100" spans="1:12">
      <c r="A100" s="38"/>
      <c r="B100" s="36"/>
      <c r="C100" s="36"/>
      <c r="D100" s="36"/>
      <c r="E100" s="39"/>
      <c r="F100" s="39"/>
      <c r="G100" s="39"/>
      <c r="H100" s="39"/>
      <c r="I100" s="39"/>
      <c r="J100" s="42"/>
      <c r="K100" s="40" t="str">
        <f>IF(OR(B100="",G100&lt;&gt;"Confirmed OOS"),"",IF(IFERROR(INDEX('Task Master'!$C$5:$C$100,MATCH(B100,'Task Master'!$A$5:$A$100,0)),"")="executing","Yes","No"))</f>
        <v/>
      </c>
      <c r="L100" s="39"/>
    </row>
    <row r="101" spans="1:12">
      <c r="A101" s="38"/>
      <c r="B101" s="36"/>
      <c r="C101" s="36"/>
      <c r="D101" s="36"/>
      <c r="E101" s="39"/>
      <c r="F101" s="39"/>
      <c r="G101" s="39"/>
      <c r="H101" s="39"/>
      <c r="I101" s="39"/>
      <c r="J101" s="42"/>
      <c r="K101" s="40" t="str">
        <f>IF(OR(B101="",G101&lt;&gt;"Confirmed OOS"),"",IF(IFERROR(INDEX('Task Master'!$C$5:$C$100,MATCH(B101,'Task Master'!$A$5:$A$100,0)),"")="executing","Yes","No"))</f>
        <v/>
      </c>
      <c r="L101" s="39"/>
    </row>
    <row r="102" spans="1:12">
      <c r="A102" s="38"/>
      <c r="B102" s="36"/>
      <c r="C102" s="36"/>
      <c r="D102" s="36"/>
      <c r="E102" s="39"/>
      <c r="F102" s="39"/>
      <c r="G102" s="39"/>
      <c r="H102" s="39"/>
      <c r="I102" s="39"/>
      <c r="J102" s="42"/>
      <c r="K102" s="40" t="str">
        <f>IF(OR(B102="",G102&lt;&gt;"Confirmed OOS"),"",IF(IFERROR(INDEX('Task Master'!$C$5:$C$100,MATCH(B102,'Task Master'!$A$5:$A$100,0)),"")="executing","Yes","No"))</f>
        <v/>
      </c>
      <c r="L102" s="39"/>
    </row>
    <row r="103" spans="1:12">
      <c r="A103" s="38"/>
      <c r="B103" s="36"/>
      <c r="C103" s="36"/>
      <c r="D103" s="36"/>
      <c r="E103" s="39"/>
      <c r="F103" s="39"/>
      <c r="G103" s="39"/>
      <c r="H103" s="39"/>
      <c r="I103" s="39"/>
      <c r="J103" s="42"/>
      <c r="K103" s="40" t="str">
        <f>IF(OR(B103="",G103&lt;&gt;"Confirmed OOS"),"",IF(IFERROR(INDEX('Task Master'!$C$5:$C$100,MATCH(B103,'Task Master'!$A$5:$A$100,0)),"")="executing","Yes","No"))</f>
        <v/>
      </c>
      <c r="L103" s="39"/>
    </row>
    <row r="104" spans="1:12">
      <c r="A104" s="38"/>
      <c r="B104" s="36"/>
      <c r="C104" s="36"/>
      <c r="D104" s="36"/>
      <c r="E104" s="39"/>
      <c r="F104" s="39"/>
      <c r="G104" s="39"/>
      <c r="H104" s="39"/>
      <c r="I104" s="39"/>
      <c r="J104" s="42"/>
      <c r="K104" s="40" t="str">
        <f>IF(OR(B104="",G104&lt;&gt;"Confirmed OOS"),"",IF(IFERROR(INDEX('Task Master'!$C$5:$C$100,MATCH(B104,'Task Master'!$A$5:$A$100,0)),"")="executing","Yes","No"))</f>
        <v/>
      </c>
      <c r="L104" s="39"/>
    </row>
    <row r="105" spans="1:12">
      <c r="A105" s="38"/>
      <c r="B105" s="36"/>
      <c r="C105" s="36"/>
      <c r="D105" s="36"/>
      <c r="E105" s="39"/>
      <c r="F105" s="39"/>
      <c r="G105" s="39"/>
      <c r="H105" s="39"/>
      <c r="I105" s="39"/>
      <c r="J105" s="42"/>
      <c r="K105" s="40" t="str">
        <f>IF(OR(B105="",G105&lt;&gt;"Confirmed OOS"),"",IF(IFERROR(INDEX('Task Master'!$C$5:$C$100,MATCH(B105,'Task Master'!$A$5:$A$100,0)),"")="executing","Yes","No"))</f>
        <v/>
      </c>
      <c r="L105" s="39"/>
    </row>
    <row r="106" spans="1:12">
      <c r="A106" s="38"/>
      <c r="B106" s="36"/>
      <c r="C106" s="36"/>
      <c r="D106" s="36"/>
      <c r="E106" s="39"/>
      <c r="F106" s="39"/>
      <c r="G106" s="39"/>
      <c r="H106" s="39"/>
      <c r="I106" s="39"/>
      <c r="J106" s="42"/>
      <c r="K106" s="40" t="str">
        <f>IF(OR(B106="",G106&lt;&gt;"Confirmed OOS"),"",IF(IFERROR(INDEX('Task Master'!$C$5:$C$100,MATCH(B106,'Task Master'!$A$5:$A$100,0)),"")="executing","Yes","No"))</f>
        <v/>
      </c>
      <c r="L106" s="39"/>
    </row>
    <row r="107" spans="1:12">
      <c r="A107" s="38"/>
      <c r="B107" s="36"/>
      <c r="C107" s="36"/>
      <c r="D107" s="36"/>
      <c r="E107" s="39"/>
      <c r="F107" s="39"/>
      <c r="G107" s="39"/>
      <c r="H107" s="39"/>
      <c r="I107" s="39"/>
      <c r="J107" s="42"/>
      <c r="K107" s="40" t="str">
        <f>IF(OR(B107="",G107&lt;&gt;"Confirmed OOS"),"",IF(IFERROR(INDEX('Task Master'!$C$5:$C$100,MATCH(B107,'Task Master'!$A$5:$A$100,0)),"")="executing","Yes","No"))</f>
        <v/>
      </c>
      <c r="L107" s="39"/>
    </row>
    <row r="108" spans="1:12">
      <c r="A108" s="38"/>
      <c r="B108" s="36"/>
      <c r="C108" s="36"/>
      <c r="D108" s="36"/>
      <c r="E108" s="39"/>
      <c r="F108" s="39"/>
      <c r="G108" s="39"/>
      <c r="H108" s="39"/>
      <c r="I108" s="39"/>
      <c r="J108" s="42"/>
      <c r="K108" s="40" t="str">
        <f>IF(OR(B108="",G108&lt;&gt;"Confirmed OOS"),"",IF(IFERROR(INDEX('Task Master'!$C$5:$C$100,MATCH(B108,'Task Master'!$A$5:$A$100,0)),"")="executing","Yes","No"))</f>
        <v/>
      </c>
      <c r="L108" s="39"/>
    </row>
    <row r="109" spans="1:12">
      <c r="A109" s="38"/>
      <c r="B109" s="36"/>
      <c r="C109" s="36"/>
      <c r="D109" s="36"/>
      <c r="E109" s="39"/>
      <c r="F109" s="39"/>
      <c r="G109" s="39"/>
      <c r="H109" s="39"/>
      <c r="I109" s="39"/>
      <c r="J109" s="42"/>
      <c r="K109" s="40" t="str">
        <f>IF(OR(B109="",G109&lt;&gt;"Confirmed OOS"),"",IF(IFERROR(INDEX('Task Master'!$C$5:$C$100,MATCH(B109,'Task Master'!$A$5:$A$100,0)),"")="executing","Yes","No"))</f>
        <v/>
      </c>
      <c r="L109" s="39"/>
    </row>
    <row r="110" spans="1:12">
      <c r="A110" s="38"/>
      <c r="B110" s="36"/>
      <c r="C110" s="36"/>
      <c r="D110" s="36"/>
      <c r="E110" s="39"/>
      <c r="F110" s="39"/>
      <c r="G110" s="39"/>
      <c r="H110" s="39"/>
      <c r="I110" s="39"/>
      <c r="J110" s="42"/>
      <c r="K110" s="40" t="str">
        <f>IF(OR(B110="",G110&lt;&gt;"Confirmed OOS"),"",IF(IFERROR(INDEX('Task Master'!$C$5:$C$100,MATCH(B110,'Task Master'!$A$5:$A$100,0)),"")="executing","Yes","No"))</f>
        <v/>
      </c>
      <c r="L110" s="39"/>
    </row>
    <row r="111" spans="1:12">
      <c r="A111" s="38"/>
      <c r="B111" s="36"/>
      <c r="C111" s="36"/>
      <c r="D111" s="36"/>
      <c r="E111" s="39"/>
      <c r="F111" s="39"/>
      <c r="G111" s="39"/>
      <c r="H111" s="39"/>
      <c r="I111" s="39"/>
      <c r="J111" s="42"/>
      <c r="K111" s="40" t="str">
        <f>IF(OR(B111="",G111&lt;&gt;"Confirmed OOS"),"",IF(IFERROR(INDEX('Task Master'!$C$5:$C$100,MATCH(B111,'Task Master'!$A$5:$A$100,0)),"")="executing","Yes","No"))</f>
        <v/>
      </c>
      <c r="L111" s="39"/>
    </row>
    <row r="112" spans="1:12">
      <c r="A112" s="38"/>
      <c r="B112" s="36"/>
      <c r="C112" s="36"/>
      <c r="D112" s="36"/>
      <c r="E112" s="39"/>
      <c r="F112" s="39"/>
      <c r="G112" s="39"/>
      <c r="H112" s="39"/>
      <c r="I112" s="39"/>
      <c r="J112" s="42"/>
      <c r="K112" s="40" t="str">
        <f>IF(OR(B112="",G112&lt;&gt;"Confirmed OOS"),"",IF(IFERROR(INDEX('Task Master'!$C$5:$C$100,MATCH(B112,'Task Master'!$A$5:$A$100,0)),"")="executing","Yes","No"))</f>
        <v/>
      </c>
      <c r="L112" s="39"/>
    </row>
    <row r="113" spans="1:12">
      <c r="A113" s="38"/>
      <c r="B113" s="36"/>
      <c r="C113" s="36"/>
      <c r="D113" s="36"/>
      <c r="E113" s="39"/>
      <c r="F113" s="39"/>
      <c r="G113" s="39"/>
      <c r="H113" s="39"/>
      <c r="I113" s="39"/>
      <c r="J113" s="42"/>
      <c r="K113" s="40" t="str">
        <f>IF(OR(B113="",G113&lt;&gt;"Confirmed OOS"),"",IF(IFERROR(INDEX('Task Master'!$C$5:$C$100,MATCH(B113,'Task Master'!$A$5:$A$100,0)),"")="executing","Yes","No"))</f>
        <v/>
      </c>
      <c r="L113" s="39"/>
    </row>
    <row r="114" spans="1:12">
      <c r="A114" s="38"/>
      <c r="B114" s="36"/>
      <c r="C114" s="36"/>
      <c r="D114" s="36"/>
      <c r="E114" s="39"/>
      <c r="F114" s="39"/>
      <c r="G114" s="39"/>
      <c r="H114" s="39"/>
      <c r="I114" s="39"/>
      <c r="J114" s="42"/>
      <c r="K114" s="40" t="str">
        <f>IF(OR(B114="",G114&lt;&gt;"Confirmed OOS"),"",IF(IFERROR(INDEX('Task Master'!$C$5:$C$100,MATCH(B114,'Task Master'!$A$5:$A$100,0)),"")="executing","Yes","No"))</f>
        <v/>
      </c>
      <c r="L114" s="39"/>
    </row>
    <row r="115" spans="1:12">
      <c r="A115" s="38"/>
      <c r="B115" s="36"/>
      <c r="C115" s="36"/>
      <c r="D115" s="36"/>
      <c r="E115" s="39"/>
      <c r="F115" s="39"/>
      <c r="G115" s="39"/>
      <c r="H115" s="39"/>
      <c r="I115" s="39"/>
      <c r="J115" s="42"/>
      <c r="K115" s="40" t="str">
        <f>IF(OR(B115="",G115&lt;&gt;"Confirmed OOS"),"",IF(IFERROR(INDEX('Task Master'!$C$5:$C$100,MATCH(B115,'Task Master'!$A$5:$A$100,0)),"")="executing","Yes","No"))</f>
        <v/>
      </c>
      <c r="L115" s="39"/>
    </row>
    <row r="116" spans="1:12">
      <c r="A116" s="38"/>
      <c r="B116" s="36"/>
      <c r="C116" s="36"/>
      <c r="D116" s="36"/>
      <c r="E116" s="39"/>
      <c r="F116" s="39"/>
      <c r="G116" s="39"/>
      <c r="H116" s="39"/>
      <c r="I116" s="39"/>
      <c r="J116" s="42"/>
      <c r="K116" s="40" t="str">
        <f>IF(OR(B116="",G116&lt;&gt;"Confirmed OOS"),"",IF(IFERROR(INDEX('Task Master'!$C$5:$C$100,MATCH(B116,'Task Master'!$A$5:$A$100,0)),"")="executing","Yes","No"))</f>
        <v/>
      </c>
      <c r="L116" s="39"/>
    </row>
    <row r="117" spans="1:12">
      <c r="A117" s="38"/>
      <c r="B117" s="36"/>
      <c r="C117" s="36"/>
      <c r="D117" s="36"/>
      <c r="E117" s="39"/>
      <c r="F117" s="39"/>
      <c r="G117" s="39"/>
      <c r="H117" s="39"/>
      <c r="I117" s="39"/>
      <c r="J117" s="42"/>
      <c r="K117" s="40" t="str">
        <f>IF(OR(B117="",G117&lt;&gt;"Confirmed OOS"),"",IF(IFERROR(INDEX('Task Master'!$C$5:$C$100,MATCH(B117,'Task Master'!$A$5:$A$100,0)),"")="executing","Yes","No"))</f>
        <v/>
      </c>
      <c r="L117" s="39"/>
    </row>
    <row r="118" spans="1:12">
      <c r="A118" s="38"/>
      <c r="B118" s="36"/>
      <c r="C118" s="36"/>
      <c r="D118" s="36"/>
      <c r="E118" s="39"/>
      <c r="F118" s="39"/>
      <c r="G118" s="39"/>
      <c r="H118" s="39"/>
      <c r="I118" s="39"/>
      <c r="J118" s="42"/>
      <c r="K118" s="40" t="str">
        <f>IF(OR(B118="",G118&lt;&gt;"Confirmed OOS"),"",IF(IFERROR(INDEX('Task Master'!$C$5:$C$100,MATCH(B118,'Task Master'!$A$5:$A$100,0)),"")="executing","Yes","No"))</f>
        <v/>
      </c>
      <c r="L118" s="39"/>
    </row>
    <row r="119" spans="1:12">
      <c r="A119" s="38"/>
      <c r="B119" s="36"/>
      <c r="C119" s="36"/>
      <c r="D119" s="36"/>
      <c r="E119" s="39"/>
      <c r="F119" s="39"/>
      <c r="G119" s="39"/>
      <c r="H119" s="39"/>
      <c r="I119" s="39"/>
      <c r="J119" s="42"/>
      <c r="K119" s="40" t="str">
        <f>IF(OR(B119="",G119&lt;&gt;"Confirmed OOS"),"",IF(IFERROR(INDEX('Task Master'!$C$5:$C$100,MATCH(B119,'Task Master'!$A$5:$A$100,0)),"")="executing","Yes","No"))</f>
        <v/>
      </c>
      <c r="L119" s="39"/>
    </row>
    <row r="120" spans="1:12">
      <c r="A120" s="38"/>
      <c r="B120" s="36"/>
      <c r="C120" s="36"/>
      <c r="D120" s="36"/>
      <c r="E120" s="39"/>
      <c r="F120" s="39"/>
      <c r="G120" s="39"/>
      <c r="H120" s="39"/>
      <c r="I120" s="39"/>
      <c r="J120" s="42"/>
      <c r="K120" s="40" t="str">
        <f>IF(OR(B120="",G120&lt;&gt;"Confirmed OOS"),"",IF(IFERROR(INDEX('Task Master'!$C$5:$C$100,MATCH(B120,'Task Master'!$A$5:$A$100,0)),"")="executing","Yes","No"))</f>
        <v/>
      </c>
      <c r="L120" s="39"/>
    </row>
    <row r="121" spans="1:12">
      <c r="A121" s="38"/>
      <c r="B121" s="36"/>
      <c r="C121" s="36"/>
      <c r="D121" s="36"/>
      <c r="E121" s="39"/>
      <c r="F121" s="39"/>
      <c r="G121" s="39"/>
      <c r="H121" s="39"/>
      <c r="I121" s="39"/>
      <c r="J121" s="42"/>
      <c r="K121" s="40" t="str">
        <f>IF(OR(B121="",G121&lt;&gt;"Confirmed OOS"),"",IF(IFERROR(INDEX('Task Master'!$C$5:$C$100,MATCH(B121,'Task Master'!$A$5:$A$100,0)),"")="executing","Yes","No"))</f>
        <v/>
      </c>
      <c r="L121" s="39"/>
    </row>
    <row r="122" spans="1:12">
      <c r="A122" s="38"/>
      <c r="B122" s="36"/>
      <c r="C122" s="36"/>
      <c r="D122" s="36"/>
      <c r="E122" s="39"/>
      <c r="F122" s="39"/>
      <c r="G122" s="39"/>
      <c r="H122" s="39"/>
      <c r="I122" s="39"/>
      <c r="J122" s="42"/>
      <c r="K122" s="40" t="str">
        <f>IF(OR(B122="",G122&lt;&gt;"Confirmed OOS"),"",IF(IFERROR(INDEX('Task Master'!$C$5:$C$100,MATCH(B122,'Task Master'!$A$5:$A$100,0)),"")="executing","Yes","No"))</f>
        <v/>
      </c>
      <c r="L122" s="39"/>
    </row>
    <row r="123" spans="1:12">
      <c r="A123" s="38"/>
      <c r="B123" s="36"/>
      <c r="C123" s="36"/>
      <c r="D123" s="36"/>
      <c r="E123" s="39"/>
      <c r="F123" s="39"/>
      <c r="G123" s="39"/>
      <c r="H123" s="39"/>
      <c r="I123" s="39"/>
      <c r="J123" s="42"/>
      <c r="K123" s="40" t="str">
        <f>IF(OR(B123="",G123&lt;&gt;"Confirmed OOS"),"",IF(IFERROR(INDEX('Task Master'!$C$5:$C$100,MATCH(B123,'Task Master'!$A$5:$A$100,0)),"")="executing","Yes","No"))</f>
        <v/>
      </c>
      <c r="L123" s="39"/>
    </row>
    <row r="124" spans="1:12">
      <c r="A124" s="38"/>
      <c r="B124" s="36"/>
      <c r="C124" s="36"/>
      <c r="D124" s="36"/>
      <c r="E124" s="39"/>
      <c r="F124" s="39"/>
      <c r="G124" s="39"/>
      <c r="H124" s="39"/>
      <c r="I124" s="39"/>
      <c r="J124" s="42"/>
      <c r="K124" s="40" t="str">
        <f>IF(OR(B124="",G124&lt;&gt;"Confirmed OOS"),"",IF(IFERROR(INDEX('Task Master'!$C$5:$C$100,MATCH(B124,'Task Master'!$A$5:$A$100,0)),"")="executing","Yes","No"))</f>
        <v/>
      </c>
      <c r="L124" s="39"/>
    </row>
    <row r="125" spans="1:12">
      <c r="A125" s="38"/>
      <c r="B125" s="36"/>
      <c r="C125" s="36"/>
      <c r="D125" s="36"/>
      <c r="E125" s="39"/>
      <c r="F125" s="39"/>
      <c r="G125" s="39"/>
      <c r="H125" s="39"/>
      <c r="I125" s="39"/>
      <c r="J125" s="42"/>
      <c r="K125" s="40" t="str">
        <f>IF(OR(B125="",G125&lt;&gt;"Confirmed OOS"),"",IF(IFERROR(INDEX('Task Master'!$C$5:$C$100,MATCH(B125,'Task Master'!$A$5:$A$100,0)),"")="executing","Yes","No"))</f>
        <v/>
      </c>
      <c r="L125" s="39"/>
    </row>
    <row r="126" spans="1:12">
      <c r="A126" s="38"/>
      <c r="B126" s="36"/>
      <c r="C126" s="36"/>
      <c r="D126" s="36"/>
      <c r="E126" s="39"/>
      <c r="F126" s="39"/>
      <c r="G126" s="39"/>
      <c r="H126" s="39"/>
      <c r="I126" s="39"/>
      <c r="J126" s="42"/>
      <c r="K126" s="40" t="str">
        <f>IF(OR(B126="",G126&lt;&gt;"Confirmed OOS"),"",IF(IFERROR(INDEX('Task Master'!$C$5:$C$100,MATCH(B126,'Task Master'!$A$5:$A$100,0)),"")="executing","Yes","No"))</f>
        <v/>
      </c>
      <c r="L126" s="39"/>
    </row>
    <row r="127" spans="1:12">
      <c r="A127" s="38"/>
      <c r="B127" s="36"/>
      <c r="C127" s="36"/>
      <c r="D127" s="36"/>
      <c r="E127" s="39"/>
      <c r="F127" s="39"/>
      <c r="G127" s="39"/>
      <c r="H127" s="39"/>
      <c r="I127" s="39"/>
      <c r="J127" s="42"/>
      <c r="K127" s="40" t="str">
        <f>IF(OR(B127="",G127&lt;&gt;"Confirmed OOS"),"",IF(IFERROR(INDEX('Task Master'!$C$5:$C$100,MATCH(B127,'Task Master'!$A$5:$A$100,0)),"")="executing","Yes","No"))</f>
        <v/>
      </c>
      <c r="L127" s="39"/>
    </row>
    <row r="128" spans="1:12">
      <c r="A128" s="38"/>
      <c r="B128" s="36"/>
      <c r="C128" s="36"/>
      <c r="D128" s="36"/>
      <c r="E128" s="39"/>
      <c r="F128" s="39"/>
      <c r="G128" s="39"/>
      <c r="H128" s="39"/>
      <c r="I128" s="39"/>
      <c r="J128" s="42"/>
      <c r="K128" s="40" t="str">
        <f>IF(OR(B128="",G128&lt;&gt;"Confirmed OOS"),"",IF(IFERROR(INDEX('Task Master'!$C$5:$C$100,MATCH(B128,'Task Master'!$A$5:$A$100,0)),"")="executing","Yes","No"))</f>
        <v/>
      </c>
      <c r="L128" s="39"/>
    </row>
    <row r="129" spans="1:12">
      <c r="A129" s="38"/>
      <c r="B129" s="36"/>
      <c r="C129" s="36"/>
      <c r="D129" s="36"/>
      <c r="E129" s="39"/>
      <c r="F129" s="39"/>
      <c r="G129" s="39"/>
      <c r="H129" s="39"/>
      <c r="I129" s="39"/>
      <c r="J129" s="42"/>
      <c r="K129" s="40" t="str">
        <f>IF(OR(B129="",G129&lt;&gt;"Confirmed OOS"),"",IF(IFERROR(INDEX('Task Master'!$C$5:$C$100,MATCH(B129,'Task Master'!$A$5:$A$100,0)),"")="executing","Yes","No"))</f>
        <v/>
      </c>
      <c r="L129" s="39"/>
    </row>
    <row r="130" spans="1:12">
      <c r="A130" s="38"/>
      <c r="B130" s="36"/>
      <c r="C130" s="36"/>
      <c r="D130" s="36"/>
      <c r="E130" s="39"/>
      <c r="F130" s="39"/>
      <c r="G130" s="39"/>
      <c r="H130" s="39"/>
      <c r="I130" s="39"/>
      <c r="J130" s="42"/>
      <c r="K130" s="40" t="str">
        <f>IF(OR(B130="",G130&lt;&gt;"Confirmed OOS"),"",IF(IFERROR(INDEX('Task Master'!$C$5:$C$100,MATCH(B130,'Task Master'!$A$5:$A$100,0)),"")="executing","Yes","No"))</f>
        <v/>
      </c>
      <c r="L130" s="39"/>
    </row>
    <row r="131" spans="1:12">
      <c r="A131" s="38"/>
      <c r="B131" s="36"/>
      <c r="C131" s="36"/>
      <c r="D131" s="36"/>
      <c r="E131" s="39"/>
      <c r="F131" s="39"/>
      <c r="G131" s="39"/>
      <c r="H131" s="39"/>
      <c r="I131" s="39"/>
      <c r="J131" s="42"/>
      <c r="K131" s="40" t="str">
        <f>IF(OR(B131="",G131&lt;&gt;"Confirmed OOS"),"",IF(IFERROR(INDEX('Task Master'!$C$5:$C$100,MATCH(B131,'Task Master'!$A$5:$A$100,0)),"")="executing","Yes","No"))</f>
        <v/>
      </c>
      <c r="L131" s="39"/>
    </row>
    <row r="132" spans="1:12">
      <c r="A132" s="38"/>
      <c r="B132" s="36"/>
      <c r="C132" s="36"/>
      <c r="D132" s="36"/>
      <c r="E132" s="39"/>
      <c r="F132" s="39"/>
      <c r="G132" s="39"/>
      <c r="H132" s="39"/>
      <c r="I132" s="39"/>
      <c r="J132" s="42"/>
      <c r="K132" s="40" t="str">
        <f>IF(OR(B132="",G132&lt;&gt;"Confirmed OOS"),"",IF(IFERROR(INDEX('Task Master'!$C$5:$C$100,MATCH(B132,'Task Master'!$A$5:$A$100,0)),"")="executing","Yes","No"))</f>
        <v/>
      </c>
      <c r="L132" s="39"/>
    </row>
    <row r="133" spans="1:12">
      <c r="A133" s="38"/>
      <c r="B133" s="36"/>
      <c r="C133" s="36"/>
      <c r="D133" s="36"/>
      <c r="E133" s="39"/>
      <c r="F133" s="39"/>
      <c r="G133" s="39"/>
      <c r="H133" s="39"/>
      <c r="I133" s="39"/>
      <c r="J133" s="42"/>
      <c r="K133" s="40" t="str">
        <f>IF(OR(B133="",G133&lt;&gt;"Confirmed OOS"),"",IF(IFERROR(INDEX('Task Master'!$C$5:$C$100,MATCH(B133,'Task Master'!$A$5:$A$100,0)),"")="executing","Yes","No"))</f>
        <v/>
      </c>
      <c r="L133" s="39"/>
    </row>
    <row r="134" spans="1:12">
      <c r="A134" s="38"/>
      <c r="B134" s="36"/>
      <c r="C134" s="36"/>
      <c r="D134" s="36"/>
      <c r="E134" s="39"/>
      <c r="F134" s="39"/>
      <c r="G134" s="39"/>
      <c r="H134" s="39"/>
      <c r="I134" s="39"/>
      <c r="J134" s="42"/>
      <c r="K134" s="40" t="str">
        <f>IF(OR(B134="",G134&lt;&gt;"Confirmed OOS"),"",IF(IFERROR(INDEX('Task Master'!$C$5:$C$100,MATCH(B134,'Task Master'!$A$5:$A$100,0)),"")="executing","Yes","No"))</f>
        <v/>
      </c>
      <c r="L134" s="39"/>
    </row>
    <row r="135" spans="1:12">
      <c r="A135" s="38"/>
      <c r="B135" s="36"/>
      <c r="C135" s="36"/>
      <c r="D135" s="36"/>
      <c r="E135" s="39"/>
      <c r="F135" s="39"/>
      <c r="G135" s="39"/>
      <c r="H135" s="39"/>
      <c r="I135" s="39"/>
      <c r="J135" s="42"/>
      <c r="K135" s="40" t="str">
        <f>IF(OR(B135="",G135&lt;&gt;"Confirmed OOS"),"",IF(IFERROR(INDEX('Task Master'!$C$5:$C$100,MATCH(B135,'Task Master'!$A$5:$A$100,0)),"")="executing","Yes","No"))</f>
        <v/>
      </c>
      <c r="L135" s="39"/>
    </row>
    <row r="136" spans="1:12">
      <c r="A136" s="38"/>
      <c r="B136" s="36"/>
      <c r="C136" s="36"/>
      <c r="D136" s="36"/>
      <c r="E136" s="39"/>
      <c r="F136" s="39"/>
      <c r="G136" s="39"/>
      <c r="H136" s="39"/>
      <c r="I136" s="39"/>
      <c r="J136" s="42"/>
      <c r="K136" s="40" t="str">
        <f>IF(OR(B136="",G136&lt;&gt;"Confirmed OOS"),"",IF(IFERROR(INDEX('Task Master'!$C$5:$C$100,MATCH(B136,'Task Master'!$A$5:$A$100,0)),"")="executing","Yes","No"))</f>
        <v/>
      </c>
      <c r="L136" s="39"/>
    </row>
    <row r="137" spans="1:12">
      <c r="A137" s="38"/>
      <c r="B137" s="36"/>
      <c r="C137" s="36"/>
      <c r="D137" s="36"/>
      <c r="E137" s="39"/>
      <c r="F137" s="39"/>
      <c r="G137" s="39"/>
      <c r="H137" s="39"/>
      <c r="I137" s="39"/>
      <c r="J137" s="42"/>
      <c r="K137" s="40" t="str">
        <f>IF(OR(B137="",G137&lt;&gt;"Confirmed OOS"),"",IF(IFERROR(INDEX('Task Master'!$C$5:$C$100,MATCH(B137,'Task Master'!$A$5:$A$100,0)),"")="executing","Yes","No"))</f>
        <v/>
      </c>
      <c r="L137" s="39"/>
    </row>
    <row r="138" spans="1:12">
      <c r="A138" s="38"/>
      <c r="B138" s="36"/>
      <c r="C138" s="36"/>
      <c r="D138" s="36"/>
      <c r="E138" s="39"/>
      <c r="F138" s="39"/>
      <c r="G138" s="39"/>
      <c r="H138" s="39"/>
      <c r="I138" s="39"/>
      <c r="J138" s="42"/>
      <c r="K138" s="40" t="str">
        <f>IF(OR(B138="",G138&lt;&gt;"Confirmed OOS"),"",IF(IFERROR(INDEX('Task Master'!$C$5:$C$100,MATCH(B138,'Task Master'!$A$5:$A$100,0)),"")="executing","Yes","No"))</f>
        <v/>
      </c>
      <c r="L138" s="39"/>
    </row>
    <row r="139" spans="1:12">
      <c r="A139" s="38"/>
      <c r="B139" s="36"/>
      <c r="C139" s="36"/>
      <c r="D139" s="36"/>
      <c r="E139" s="39"/>
      <c r="F139" s="39"/>
      <c r="G139" s="39"/>
      <c r="H139" s="39"/>
      <c r="I139" s="39"/>
      <c r="J139" s="42"/>
      <c r="K139" s="40" t="str">
        <f>IF(OR(B139="",G139&lt;&gt;"Confirmed OOS"),"",IF(IFERROR(INDEX('Task Master'!$C$5:$C$100,MATCH(B139,'Task Master'!$A$5:$A$100,0)),"")="executing","Yes","No"))</f>
        <v/>
      </c>
      <c r="L139" s="39"/>
    </row>
    <row r="140" spans="1:12">
      <c r="A140" s="38"/>
      <c r="B140" s="36"/>
      <c r="C140" s="36"/>
      <c r="D140" s="36"/>
      <c r="E140" s="39"/>
      <c r="F140" s="39"/>
      <c r="G140" s="39"/>
      <c r="H140" s="39"/>
      <c r="I140" s="39"/>
      <c r="J140" s="42"/>
      <c r="K140" s="40" t="str">
        <f>IF(OR(B140="",G140&lt;&gt;"Confirmed OOS"),"",IF(IFERROR(INDEX('Task Master'!$C$5:$C$100,MATCH(B140,'Task Master'!$A$5:$A$100,0)),"")="executing","Yes","No"))</f>
        <v/>
      </c>
      <c r="L140" s="39"/>
    </row>
    <row r="141" spans="1:12">
      <c r="A141" s="38"/>
      <c r="B141" s="36"/>
      <c r="C141" s="36"/>
      <c r="D141" s="36"/>
      <c r="E141" s="39"/>
      <c r="F141" s="39"/>
      <c r="G141" s="39"/>
      <c r="H141" s="39"/>
      <c r="I141" s="39"/>
      <c r="J141" s="42"/>
      <c r="K141" s="40" t="str">
        <f>IF(OR(B141="",G141&lt;&gt;"Confirmed OOS"),"",IF(IFERROR(INDEX('Task Master'!$C$5:$C$100,MATCH(B141,'Task Master'!$A$5:$A$100,0)),"")="executing","Yes","No"))</f>
        <v/>
      </c>
      <c r="L141" s="39"/>
    </row>
    <row r="142" spans="1:12">
      <c r="A142" s="38"/>
      <c r="B142" s="36"/>
      <c r="C142" s="36"/>
      <c r="D142" s="36"/>
      <c r="E142" s="39"/>
      <c r="F142" s="39"/>
      <c r="G142" s="39"/>
      <c r="H142" s="39"/>
      <c r="I142" s="39"/>
      <c r="J142" s="42"/>
      <c r="K142" s="40" t="str">
        <f>IF(OR(B142="",G142&lt;&gt;"Confirmed OOS"),"",IF(IFERROR(INDEX('Task Master'!$C$5:$C$100,MATCH(B142,'Task Master'!$A$5:$A$100,0)),"")="executing","Yes","No"))</f>
        <v/>
      </c>
      <c r="L142" s="39"/>
    </row>
    <row r="143" spans="1:12">
      <c r="A143" s="38"/>
      <c r="B143" s="36"/>
      <c r="C143" s="36"/>
      <c r="D143" s="36"/>
      <c r="E143" s="39"/>
      <c r="F143" s="39"/>
      <c r="G143" s="39"/>
      <c r="H143" s="39"/>
      <c r="I143" s="39"/>
      <c r="J143" s="42"/>
      <c r="K143" s="40" t="str">
        <f>IF(OR(B143="",G143&lt;&gt;"Confirmed OOS"),"",IF(IFERROR(INDEX('Task Master'!$C$5:$C$100,MATCH(B143,'Task Master'!$A$5:$A$100,0)),"")="executing","Yes","No"))</f>
        <v/>
      </c>
      <c r="L143" s="39"/>
    </row>
    <row r="144" spans="1:12">
      <c r="A144" s="38"/>
      <c r="B144" s="36"/>
      <c r="C144" s="36"/>
      <c r="D144" s="36"/>
      <c r="E144" s="39"/>
      <c r="F144" s="39"/>
      <c r="G144" s="39"/>
      <c r="H144" s="39"/>
      <c r="I144" s="39"/>
      <c r="J144" s="42"/>
      <c r="K144" s="40" t="str">
        <f>IF(OR(B144="",G144&lt;&gt;"Confirmed OOS"),"",IF(IFERROR(INDEX('Task Master'!$C$5:$C$100,MATCH(B144,'Task Master'!$A$5:$A$100,0)),"")="executing","Yes","No"))</f>
        <v/>
      </c>
      <c r="L144" s="39"/>
    </row>
    <row r="145" spans="1:12">
      <c r="A145" s="38"/>
      <c r="B145" s="36"/>
      <c r="C145" s="36"/>
      <c r="D145" s="36"/>
      <c r="E145" s="39"/>
      <c r="F145" s="39"/>
      <c r="G145" s="39"/>
      <c r="H145" s="39"/>
      <c r="I145" s="39"/>
      <c r="J145" s="42"/>
      <c r="K145" s="40" t="str">
        <f>IF(OR(B145="",G145&lt;&gt;"Confirmed OOS"),"",IF(IFERROR(INDEX('Task Master'!$C$5:$C$100,MATCH(B145,'Task Master'!$A$5:$A$100,0)),"")="executing","Yes","No"))</f>
        <v/>
      </c>
      <c r="L145" s="39"/>
    </row>
    <row r="146" spans="1:12">
      <c r="A146" s="38"/>
      <c r="B146" s="36"/>
      <c r="C146" s="36"/>
      <c r="D146" s="36"/>
      <c r="E146" s="39"/>
      <c r="F146" s="39"/>
      <c r="G146" s="39"/>
      <c r="H146" s="39"/>
      <c r="I146" s="39"/>
      <c r="J146" s="42"/>
      <c r="K146" s="40" t="str">
        <f>IF(OR(B146="",G146&lt;&gt;"Confirmed OOS"),"",IF(IFERROR(INDEX('Task Master'!$C$5:$C$100,MATCH(B146,'Task Master'!$A$5:$A$100,0)),"")="executing","Yes","No"))</f>
        <v/>
      </c>
      <c r="L146" s="39"/>
    </row>
    <row r="147" spans="1:12">
      <c r="A147" s="38"/>
      <c r="B147" s="36"/>
      <c r="C147" s="36"/>
      <c r="D147" s="36"/>
      <c r="E147" s="39"/>
      <c r="F147" s="39"/>
      <c r="G147" s="39"/>
      <c r="H147" s="39"/>
      <c r="I147" s="39"/>
      <c r="J147" s="42"/>
      <c r="K147" s="40" t="str">
        <f>IF(OR(B147="",G147&lt;&gt;"Confirmed OOS"),"",IF(IFERROR(INDEX('Task Master'!$C$5:$C$100,MATCH(B147,'Task Master'!$A$5:$A$100,0)),"")="executing","Yes","No"))</f>
        <v/>
      </c>
      <c r="L147" s="39"/>
    </row>
    <row r="148" spans="1:12">
      <c r="A148" s="38"/>
      <c r="B148" s="36"/>
      <c r="C148" s="36"/>
      <c r="D148" s="36"/>
      <c r="E148" s="39"/>
      <c r="F148" s="39"/>
      <c r="G148" s="39"/>
      <c r="H148" s="39"/>
      <c r="I148" s="39"/>
      <c r="J148" s="42"/>
      <c r="K148" s="40" t="str">
        <f>IF(OR(B148="",G148&lt;&gt;"Confirmed OOS"),"",IF(IFERROR(INDEX('Task Master'!$C$5:$C$100,MATCH(B148,'Task Master'!$A$5:$A$100,0)),"")="executing","Yes","No"))</f>
        <v/>
      </c>
      <c r="L148" s="39"/>
    </row>
    <row r="149" spans="1:12">
      <c r="A149" s="38"/>
      <c r="B149" s="36"/>
      <c r="C149" s="36"/>
      <c r="D149" s="36"/>
      <c r="E149" s="39"/>
      <c r="F149" s="39"/>
      <c r="G149" s="39"/>
      <c r="H149" s="39"/>
      <c r="I149" s="39"/>
      <c r="J149" s="42"/>
      <c r="K149" s="40" t="str">
        <f>IF(OR(B149="",G149&lt;&gt;"Confirmed OOS"),"",IF(IFERROR(INDEX('Task Master'!$C$5:$C$100,MATCH(B149,'Task Master'!$A$5:$A$100,0)),"")="executing","Yes","No"))</f>
        <v/>
      </c>
      <c r="L149" s="39"/>
    </row>
    <row r="150" spans="1:12">
      <c r="A150" s="38"/>
      <c r="B150" s="36"/>
      <c r="C150" s="36"/>
      <c r="D150" s="36"/>
      <c r="E150" s="39"/>
      <c r="F150" s="39"/>
      <c r="G150" s="39"/>
      <c r="H150" s="39"/>
      <c r="I150" s="39"/>
      <c r="J150" s="42"/>
      <c r="K150" s="40" t="str">
        <f>IF(OR(B150="",G150&lt;&gt;"Confirmed OOS"),"",IF(IFERROR(INDEX('Task Master'!$C$5:$C$100,MATCH(B150,'Task Master'!$A$5:$A$100,0)),"")="executing","Yes","No"))</f>
        <v/>
      </c>
      <c r="L150" s="39"/>
    </row>
    <row r="151" spans="1:12">
      <c r="A151" s="38"/>
      <c r="B151" s="36"/>
      <c r="C151" s="36"/>
      <c r="D151" s="36"/>
      <c r="E151" s="39"/>
      <c r="F151" s="39"/>
      <c r="G151" s="39"/>
      <c r="H151" s="39"/>
      <c r="I151" s="39"/>
      <c r="J151" s="42"/>
      <c r="K151" s="40" t="str">
        <f>IF(OR(B151="",G151&lt;&gt;"Confirmed OOS"),"",IF(IFERROR(INDEX('Task Master'!$C$5:$C$100,MATCH(B151,'Task Master'!$A$5:$A$100,0)),"")="executing","Yes","No"))</f>
        <v/>
      </c>
      <c r="L151" s="39"/>
    </row>
    <row r="152" spans="1:12">
      <c r="A152" s="38"/>
      <c r="B152" s="36"/>
      <c r="C152" s="36"/>
      <c r="D152" s="36"/>
      <c r="E152" s="39"/>
      <c r="F152" s="39"/>
      <c r="G152" s="39"/>
      <c r="H152" s="39"/>
      <c r="I152" s="39"/>
      <c r="J152" s="42"/>
      <c r="K152" s="40" t="str">
        <f>IF(OR(B152="",G152&lt;&gt;"Confirmed OOS"),"",IF(IFERROR(INDEX('Task Master'!$C$5:$C$100,MATCH(B152,'Task Master'!$A$5:$A$100,0)),"")="executing","Yes","No"))</f>
        <v/>
      </c>
      <c r="L152" s="39"/>
    </row>
    <row r="153" spans="1:12">
      <c r="A153" s="38"/>
      <c r="B153" s="36"/>
      <c r="C153" s="36"/>
      <c r="D153" s="36"/>
      <c r="E153" s="39"/>
      <c r="F153" s="39"/>
      <c r="G153" s="39"/>
      <c r="H153" s="39"/>
      <c r="I153" s="39"/>
      <c r="J153" s="42"/>
      <c r="K153" s="40" t="str">
        <f>IF(OR(B153="",G153&lt;&gt;"Confirmed OOS"),"",IF(IFERROR(INDEX('Task Master'!$C$5:$C$100,MATCH(B153,'Task Master'!$A$5:$A$100,0)),"")="executing","Yes","No"))</f>
        <v/>
      </c>
      <c r="L153" s="39"/>
    </row>
    <row r="154" spans="1:12">
      <c r="A154" s="38"/>
      <c r="B154" s="36"/>
      <c r="C154" s="36"/>
      <c r="D154" s="36"/>
      <c r="E154" s="39"/>
      <c r="F154" s="39"/>
      <c r="G154" s="39"/>
      <c r="H154" s="39"/>
      <c r="I154" s="39"/>
      <c r="J154" s="42"/>
      <c r="K154" s="40" t="str">
        <f>IF(OR(B154="",G154&lt;&gt;"Confirmed OOS"),"",IF(IFERROR(INDEX('Task Master'!$C$5:$C$100,MATCH(B154,'Task Master'!$A$5:$A$100,0)),"")="executing","Yes","No"))</f>
        <v/>
      </c>
      <c r="L154" s="39"/>
    </row>
    <row r="155" spans="1:12">
      <c r="A155" s="38"/>
      <c r="B155" s="36"/>
      <c r="C155" s="36"/>
      <c r="D155" s="36"/>
      <c r="E155" s="39"/>
      <c r="F155" s="39"/>
      <c r="G155" s="39"/>
      <c r="H155" s="39"/>
      <c r="I155" s="39"/>
      <c r="J155" s="42"/>
      <c r="K155" s="40" t="str">
        <f>IF(OR(B155="",G155&lt;&gt;"Confirmed OOS"),"",IF(IFERROR(INDEX('Task Master'!$C$5:$C$100,MATCH(B155,'Task Master'!$A$5:$A$100,0)),"")="executing","Yes","No"))</f>
        <v/>
      </c>
      <c r="L155" s="39"/>
    </row>
    <row r="156" spans="1:12">
      <c r="A156" s="38"/>
      <c r="B156" s="36"/>
      <c r="C156" s="36"/>
      <c r="D156" s="36"/>
      <c r="E156" s="39"/>
      <c r="F156" s="39"/>
      <c r="G156" s="39"/>
      <c r="H156" s="39"/>
      <c r="I156" s="39"/>
      <c r="J156" s="42"/>
      <c r="K156" s="40" t="str">
        <f>IF(OR(B156="",G156&lt;&gt;"Confirmed OOS"),"",IF(IFERROR(INDEX('Task Master'!$C$5:$C$100,MATCH(B156,'Task Master'!$A$5:$A$100,0)),"")="executing","Yes","No"))</f>
        <v/>
      </c>
      <c r="L156" s="39"/>
    </row>
    <row r="157" spans="1:12">
      <c r="A157" s="38"/>
      <c r="B157" s="36"/>
      <c r="C157" s="36"/>
      <c r="D157" s="36"/>
      <c r="E157" s="39"/>
      <c r="F157" s="39"/>
      <c r="G157" s="39"/>
      <c r="H157" s="39"/>
      <c r="I157" s="39"/>
      <c r="J157" s="42"/>
      <c r="K157" s="40" t="str">
        <f>IF(OR(B157="",G157&lt;&gt;"Confirmed OOS"),"",IF(IFERROR(INDEX('Task Master'!$C$5:$C$100,MATCH(B157,'Task Master'!$A$5:$A$100,0)),"")="executing","Yes","No"))</f>
        <v/>
      </c>
      <c r="L157" s="39"/>
    </row>
    <row r="158" spans="1:12">
      <c r="A158" s="38"/>
      <c r="B158" s="36"/>
      <c r="C158" s="36"/>
      <c r="D158" s="36"/>
      <c r="E158" s="39"/>
      <c r="F158" s="39"/>
      <c r="G158" s="39"/>
      <c r="H158" s="39"/>
      <c r="I158" s="39"/>
      <c r="J158" s="42"/>
      <c r="K158" s="40" t="str">
        <f>IF(OR(B158="",G158&lt;&gt;"Confirmed OOS"),"",IF(IFERROR(INDEX('Task Master'!$C$5:$C$100,MATCH(B158,'Task Master'!$A$5:$A$100,0)),"")="executing","Yes","No"))</f>
        <v/>
      </c>
      <c r="L158" s="39"/>
    </row>
    <row r="159" spans="1:12">
      <c r="A159" s="38"/>
      <c r="B159" s="36"/>
      <c r="C159" s="36"/>
      <c r="D159" s="36"/>
      <c r="E159" s="39"/>
      <c r="F159" s="39"/>
      <c r="G159" s="39"/>
      <c r="H159" s="39"/>
      <c r="I159" s="39"/>
      <c r="J159" s="42"/>
      <c r="K159" s="40" t="str">
        <f>IF(OR(B159="",G159&lt;&gt;"Confirmed OOS"),"",IF(IFERROR(INDEX('Task Master'!$C$5:$C$100,MATCH(B159,'Task Master'!$A$5:$A$100,0)),"")="executing","Yes","No"))</f>
        <v/>
      </c>
      <c r="L159" s="39"/>
    </row>
    <row r="160" spans="1:12">
      <c r="A160" s="38"/>
      <c r="B160" s="36"/>
      <c r="C160" s="36"/>
      <c r="D160" s="36"/>
      <c r="E160" s="39"/>
      <c r="F160" s="39"/>
      <c r="G160" s="39"/>
      <c r="H160" s="39"/>
      <c r="I160" s="39"/>
      <c r="J160" s="42"/>
      <c r="K160" s="40" t="str">
        <f>IF(OR(B160="",G160&lt;&gt;"Confirmed OOS"),"",IF(IFERROR(INDEX('Task Master'!$C$5:$C$100,MATCH(B160,'Task Master'!$A$5:$A$100,0)),"")="executing","Yes","No"))</f>
        <v/>
      </c>
      <c r="L160" s="39"/>
    </row>
    <row r="161" spans="1:12">
      <c r="A161" s="38"/>
      <c r="B161" s="36"/>
      <c r="C161" s="36"/>
      <c r="D161" s="36"/>
      <c r="E161" s="39"/>
      <c r="F161" s="39"/>
      <c r="G161" s="39"/>
      <c r="H161" s="39"/>
      <c r="I161" s="39"/>
      <c r="J161" s="42"/>
      <c r="K161" s="40" t="str">
        <f>IF(OR(B161="",G161&lt;&gt;"Confirmed OOS"),"",IF(IFERROR(INDEX('Task Master'!$C$5:$C$100,MATCH(B161,'Task Master'!$A$5:$A$100,0)),"")="executing","Yes","No"))</f>
        <v/>
      </c>
      <c r="L161" s="39"/>
    </row>
    <row r="162" spans="1:12">
      <c r="A162" s="38"/>
      <c r="B162" s="36"/>
      <c r="C162" s="36"/>
      <c r="D162" s="36"/>
      <c r="E162" s="39"/>
      <c r="F162" s="39"/>
      <c r="G162" s="39"/>
      <c r="H162" s="39"/>
      <c r="I162" s="39"/>
      <c r="J162" s="42"/>
      <c r="K162" s="40" t="str">
        <f>IF(OR(B162="",G162&lt;&gt;"Confirmed OOS"),"",IF(IFERROR(INDEX('Task Master'!$C$5:$C$100,MATCH(B162,'Task Master'!$A$5:$A$100,0)),"")="executing","Yes","No"))</f>
        <v/>
      </c>
      <c r="L162" s="39"/>
    </row>
    <row r="163" spans="1:12">
      <c r="A163" s="38"/>
      <c r="B163" s="36"/>
      <c r="C163" s="36"/>
      <c r="D163" s="36"/>
      <c r="E163" s="39"/>
      <c r="F163" s="39"/>
      <c r="G163" s="39"/>
      <c r="H163" s="39"/>
      <c r="I163" s="39"/>
      <c r="J163" s="42"/>
      <c r="K163" s="40" t="str">
        <f>IF(OR(B163="",G163&lt;&gt;"Confirmed OOS"),"",IF(IFERROR(INDEX('Task Master'!$C$5:$C$100,MATCH(B163,'Task Master'!$A$5:$A$100,0)),"")="executing","Yes","No"))</f>
        <v/>
      </c>
      <c r="L163" s="39"/>
    </row>
    <row r="164" spans="1:12">
      <c r="A164" s="38"/>
      <c r="B164" s="36"/>
      <c r="C164" s="36"/>
      <c r="D164" s="36"/>
      <c r="E164" s="39"/>
      <c r="F164" s="39"/>
      <c r="G164" s="39"/>
      <c r="H164" s="39"/>
      <c r="I164" s="39"/>
      <c r="J164" s="42"/>
      <c r="K164" s="40" t="str">
        <f>IF(OR(B164="",G164&lt;&gt;"Confirmed OOS"),"",IF(IFERROR(INDEX('Task Master'!$C$5:$C$100,MATCH(B164,'Task Master'!$A$5:$A$100,0)),"")="executing","Yes","No"))</f>
        <v/>
      </c>
      <c r="L164" s="39"/>
    </row>
    <row r="165" spans="1:12">
      <c r="A165" s="38"/>
      <c r="B165" s="36"/>
      <c r="C165" s="36"/>
      <c r="D165" s="36"/>
      <c r="E165" s="39"/>
      <c r="F165" s="39"/>
      <c r="G165" s="39"/>
      <c r="H165" s="39"/>
      <c r="I165" s="39"/>
      <c r="J165" s="42"/>
      <c r="K165" s="40" t="str">
        <f>IF(OR(B165="",G165&lt;&gt;"Confirmed OOS"),"",IF(IFERROR(INDEX('Task Master'!$C$5:$C$100,MATCH(B165,'Task Master'!$A$5:$A$100,0)),"")="executing","Yes","No"))</f>
        <v/>
      </c>
      <c r="L165" s="39"/>
    </row>
    <row r="166" spans="1:12">
      <c r="A166" s="38"/>
      <c r="B166" s="36"/>
      <c r="C166" s="36"/>
      <c r="D166" s="36"/>
      <c r="E166" s="39"/>
      <c r="F166" s="39"/>
      <c r="G166" s="39"/>
      <c r="H166" s="39"/>
      <c r="I166" s="39"/>
      <c r="J166" s="42"/>
      <c r="K166" s="40" t="str">
        <f>IF(OR(B166="",G166&lt;&gt;"Confirmed OOS"),"",IF(IFERROR(INDEX('Task Master'!$C$5:$C$100,MATCH(B166,'Task Master'!$A$5:$A$100,0)),"")="executing","Yes","No"))</f>
        <v/>
      </c>
      <c r="L166" s="39"/>
    </row>
    <row r="167" spans="1:12">
      <c r="A167" s="38"/>
      <c r="B167" s="36"/>
      <c r="C167" s="36"/>
      <c r="D167" s="36"/>
      <c r="E167" s="39"/>
      <c r="F167" s="39"/>
      <c r="G167" s="39"/>
      <c r="H167" s="39"/>
      <c r="I167" s="39"/>
      <c r="J167" s="42"/>
      <c r="K167" s="40" t="str">
        <f>IF(OR(B167="",G167&lt;&gt;"Confirmed OOS"),"",IF(IFERROR(INDEX('Task Master'!$C$5:$C$100,MATCH(B167,'Task Master'!$A$5:$A$100,0)),"")="executing","Yes","No"))</f>
        <v/>
      </c>
      <c r="L167" s="39"/>
    </row>
    <row r="168" spans="1:12">
      <c r="A168" s="38"/>
      <c r="B168" s="36"/>
      <c r="C168" s="36"/>
      <c r="D168" s="36"/>
      <c r="E168" s="39"/>
      <c r="F168" s="39"/>
      <c r="G168" s="39"/>
      <c r="H168" s="39"/>
      <c r="I168" s="39"/>
      <c r="J168" s="42"/>
      <c r="K168" s="40" t="str">
        <f>IF(OR(B168="",G168&lt;&gt;"Confirmed OOS"),"",IF(IFERROR(INDEX('Task Master'!$C$5:$C$100,MATCH(B168,'Task Master'!$A$5:$A$100,0)),"")="executing","Yes","No"))</f>
        <v/>
      </c>
      <c r="L168" s="39"/>
    </row>
    <row r="169" spans="1:12">
      <c r="A169" s="38"/>
      <c r="B169" s="36"/>
      <c r="C169" s="36"/>
      <c r="D169" s="36"/>
      <c r="E169" s="39"/>
      <c r="F169" s="39"/>
      <c r="G169" s="39"/>
      <c r="H169" s="39"/>
      <c r="I169" s="39"/>
      <c r="J169" s="42"/>
      <c r="K169" s="40" t="str">
        <f>IF(OR(B169="",G169&lt;&gt;"Confirmed OOS"),"",IF(IFERROR(INDEX('Task Master'!$C$5:$C$100,MATCH(B169,'Task Master'!$A$5:$A$100,0)),"")="executing","Yes","No"))</f>
        <v/>
      </c>
      <c r="L169" s="39"/>
    </row>
    <row r="170" spans="1:12">
      <c r="A170" s="38"/>
      <c r="B170" s="36"/>
      <c r="C170" s="36"/>
      <c r="D170" s="36"/>
      <c r="E170" s="39"/>
      <c r="F170" s="39"/>
      <c r="G170" s="39"/>
      <c r="H170" s="39"/>
      <c r="I170" s="39"/>
      <c r="J170" s="42"/>
      <c r="K170" s="40" t="str">
        <f>IF(OR(B170="",G170&lt;&gt;"Confirmed OOS"),"",IF(IFERROR(INDEX('Task Master'!$C$5:$C$100,MATCH(B170,'Task Master'!$A$5:$A$100,0)),"")="executing","Yes","No"))</f>
        <v/>
      </c>
      <c r="L170" s="39"/>
    </row>
    <row r="171" spans="1:12">
      <c r="A171" s="38"/>
      <c r="B171" s="36"/>
      <c r="C171" s="36"/>
      <c r="D171" s="36"/>
      <c r="E171" s="39"/>
      <c r="F171" s="39"/>
      <c r="G171" s="39"/>
      <c r="H171" s="39"/>
      <c r="I171" s="39"/>
      <c r="J171" s="42"/>
      <c r="K171" s="40" t="str">
        <f>IF(OR(B171="",G171&lt;&gt;"Confirmed OOS"),"",IF(IFERROR(INDEX('Task Master'!$C$5:$C$100,MATCH(B171,'Task Master'!$A$5:$A$100,0)),"")="executing","Yes","No"))</f>
        <v/>
      </c>
      <c r="L171" s="39"/>
    </row>
    <row r="172" spans="1:12">
      <c r="A172" s="38"/>
      <c r="B172" s="36"/>
      <c r="C172" s="36"/>
      <c r="D172" s="36"/>
      <c r="E172" s="39"/>
      <c r="F172" s="39"/>
      <c r="G172" s="39"/>
      <c r="H172" s="39"/>
      <c r="I172" s="39"/>
      <c r="J172" s="42"/>
      <c r="K172" s="40" t="str">
        <f>IF(OR(B172="",G172&lt;&gt;"Confirmed OOS"),"",IF(IFERROR(INDEX('Task Master'!$C$5:$C$100,MATCH(B172,'Task Master'!$A$5:$A$100,0)),"")="executing","Yes","No"))</f>
        <v/>
      </c>
      <c r="L172" s="39"/>
    </row>
    <row r="173" spans="1:12">
      <c r="A173" s="38"/>
      <c r="B173" s="36"/>
      <c r="C173" s="36"/>
      <c r="D173" s="36"/>
      <c r="E173" s="39"/>
      <c r="F173" s="39"/>
      <c r="G173" s="39"/>
      <c r="H173" s="39"/>
      <c r="I173" s="39"/>
      <c r="J173" s="42"/>
      <c r="K173" s="40" t="str">
        <f>IF(OR(B173="",G173&lt;&gt;"Confirmed OOS"),"",IF(IFERROR(INDEX('Task Master'!$C$5:$C$100,MATCH(B173,'Task Master'!$A$5:$A$100,0)),"")="executing","Yes","No"))</f>
        <v/>
      </c>
      <c r="L173" s="39"/>
    </row>
    <row r="174" spans="1:12">
      <c r="A174" s="38"/>
      <c r="B174" s="36"/>
      <c r="C174" s="36"/>
      <c r="D174" s="36"/>
      <c r="E174" s="39"/>
      <c r="F174" s="39"/>
      <c r="G174" s="39"/>
      <c r="H174" s="39"/>
      <c r="I174" s="39"/>
      <c r="J174" s="42"/>
      <c r="K174" s="40" t="str">
        <f>IF(OR(B174="",G174&lt;&gt;"Confirmed OOS"),"",IF(IFERROR(INDEX('Task Master'!$C$5:$C$100,MATCH(B174,'Task Master'!$A$5:$A$100,0)),"")="executing","Yes","No"))</f>
        <v/>
      </c>
      <c r="L174" s="39"/>
    </row>
    <row r="175" spans="1:12">
      <c r="A175" s="38"/>
      <c r="B175" s="36"/>
      <c r="C175" s="36"/>
      <c r="D175" s="36"/>
      <c r="E175" s="39"/>
      <c r="F175" s="39"/>
      <c r="G175" s="39"/>
      <c r="H175" s="39"/>
      <c r="I175" s="39"/>
      <c r="J175" s="42"/>
      <c r="K175" s="40" t="str">
        <f>IF(OR(B175="",G175&lt;&gt;"Confirmed OOS"),"",IF(IFERROR(INDEX('Task Master'!$C$5:$C$100,MATCH(B175,'Task Master'!$A$5:$A$100,0)),"")="executing","Yes","No"))</f>
        <v/>
      </c>
      <c r="L175" s="39"/>
    </row>
    <row r="176" spans="1:12">
      <c r="A176" s="38"/>
      <c r="B176" s="36"/>
      <c r="C176" s="36"/>
      <c r="D176" s="36"/>
      <c r="E176" s="39"/>
      <c r="F176" s="39"/>
      <c r="G176" s="39"/>
      <c r="H176" s="39"/>
      <c r="I176" s="39"/>
      <c r="J176" s="42"/>
      <c r="K176" s="40" t="str">
        <f>IF(OR(B176="",G176&lt;&gt;"Confirmed OOS"),"",IF(IFERROR(INDEX('Task Master'!$C$5:$C$100,MATCH(B176,'Task Master'!$A$5:$A$100,0)),"")="executing","Yes","No"))</f>
        <v/>
      </c>
      <c r="L176" s="39"/>
    </row>
    <row r="177" spans="1:12">
      <c r="A177" s="38"/>
      <c r="B177" s="36"/>
      <c r="C177" s="36"/>
      <c r="D177" s="36"/>
      <c r="E177" s="39"/>
      <c r="F177" s="39"/>
      <c r="G177" s="39"/>
      <c r="H177" s="39"/>
      <c r="I177" s="39"/>
      <c r="J177" s="42"/>
      <c r="K177" s="40" t="str">
        <f>IF(OR(B177="",G177&lt;&gt;"Confirmed OOS"),"",IF(IFERROR(INDEX('Task Master'!$C$5:$C$100,MATCH(B177,'Task Master'!$A$5:$A$100,0)),"")="executing","Yes","No"))</f>
        <v/>
      </c>
      <c r="L177" s="39"/>
    </row>
    <row r="178" spans="1:12">
      <c r="A178" s="38"/>
      <c r="B178" s="36"/>
      <c r="C178" s="36"/>
      <c r="D178" s="36"/>
      <c r="E178" s="39"/>
      <c r="F178" s="39"/>
      <c r="G178" s="39"/>
      <c r="H178" s="39"/>
      <c r="I178" s="39"/>
      <c r="J178" s="42"/>
      <c r="K178" s="40" t="str">
        <f>IF(OR(B178="",G178&lt;&gt;"Confirmed OOS"),"",IF(IFERROR(INDEX('Task Master'!$C$5:$C$100,MATCH(B178,'Task Master'!$A$5:$A$100,0)),"")="executing","Yes","No"))</f>
        <v/>
      </c>
      <c r="L178" s="39"/>
    </row>
    <row r="179" spans="1:12">
      <c r="A179" s="38"/>
      <c r="B179" s="36"/>
      <c r="C179" s="36"/>
      <c r="D179" s="36"/>
      <c r="E179" s="39"/>
      <c r="F179" s="39"/>
      <c r="G179" s="39"/>
      <c r="H179" s="39"/>
      <c r="I179" s="39"/>
      <c r="J179" s="42"/>
      <c r="K179" s="40" t="str">
        <f>IF(OR(B179="",G179&lt;&gt;"Confirmed OOS"),"",IF(IFERROR(INDEX('Task Master'!$C$5:$C$100,MATCH(B179,'Task Master'!$A$5:$A$100,0)),"")="executing","Yes","No"))</f>
        <v/>
      </c>
      <c r="L179" s="39"/>
    </row>
    <row r="180" spans="1:12">
      <c r="A180" s="38"/>
      <c r="B180" s="36"/>
      <c r="C180" s="36"/>
      <c r="D180" s="36"/>
      <c r="E180" s="39"/>
      <c r="F180" s="39"/>
      <c r="G180" s="39"/>
      <c r="H180" s="39"/>
      <c r="I180" s="39"/>
      <c r="J180" s="42"/>
      <c r="K180" s="40" t="str">
        <f>IF(OR(B180="",G180&lt;&gt;"Confirmed OOS"),"",IF(IFERROR(INDEX('Task Master'!$C$5:$C$100,MATCH(B180,'Task Master'!$A$5:$A$100,0)),"")="executing","Yes","No"))</f>
        <v/>
      </c>
      <c r="L180" s="39"/>
    </row>
    <row r="181" spans="1:12">
      <c r="A181" s="38"/>
      <c r="B181" s="36"/>
      <c r="C181" s="36"/>
      <c r="D181" s="36"/>
      <c r="E181" s="39"/>
      <c r="F181" s="39"/>
      <c r="G181" s="39"/>
      <c r="H181" s="39"/>
      <c r="I181" s="39"/>
      <c r="J181" s="42"/>
      <c r="K181" s="40" t="str">
        <f>IF(OR(B181="",G181&lt;&gt;"Confirmed OOS"),"",IF(IFERROR(INDEX('Task Master'!$C$5:$C$100,MATCH(B181,'Task Master'!$A$5:$A$100,0)),"")="executing","Yes","No"))</f>
        <v/>
      </c>
      <c r="L181" s="39"/>
    </row>
    <row r="182" spans="1:12">
      <c r="A182" s="38"/>
      <c r="B182" s="36"/>
      <c r="C182" s="36"/>
      <c r="D182" s="36"/>
      <c r="E182" s="39"/>
      <c r="F182" s="39"/>
      <c r="G182" s="39"/>
      <c r="H182" s="39"/>
      <c r="I182" s="39"/>
      <c r="J182" s="42"/>
      <c r="K182" s="40" t="str">
        <f>IF(OR(B182="",G182&lt;&gt;"Confirmed OOS"),"",IF(IFERROR(INDEX('Task Master'!$C$5:$C$100,MATCH(B182,'Task Master'!$A$5:$A$100,0)),"")="executing","Yes","No"))</f>
        <v/>
      </c>
      <c r="L182" s="39"/>
    </row>
    <row r="183" spans="1:12">
      <c r="A183" s="38"/>
      <c r="B183" s="36"/>
      <c r="C183" s="36"/>
      <c r="D183" s="36"/>
      <c r="E183" s="39"/>
      <c r="F183" s="39"/>
      <c r="G183" s="39"/>
      <c r="H183" s="39"/>
      <c r="I183" s="39"/>
      <c r="J183" s="42"/>
      <c r="K183" s="40" t="str">
        <f>IF(OR(B183="",G183&lt;&gt;"Confirmed OOS"),"",IF(IFERROR(INDEX('Task Master'!$C$5:$C$100,MATCH(B183,'Task Master'!$A$5:$A$100,0)),"")="executing","Yes","No"))</f>
        <v/>
      </c>
      <c r="L183" s="39"/>
    </row>
    <row r="184" spans="1:12">
      <c r="A184" s="38"/>
      <c r="B184" s="36"/>
      <c r="C184" s="36"/>
      <c r="D184" s="36"/>
      <c r="E184" s="39"/>
      <c r="F184" s="39"/>
      <c r="G184" s="39"/>
      <c r="H184" s="39"/>
      <c r="I184" s="39"/>
      <c r="J184" s="42"/>
      <c r="K184" s="40" t="str">
        <f>IF(OR(B184="",G184&lt;&gt;"Confirmed OOS"),"",IF(IFERROR(INDEX('Task Master'!$C$5:$C$100,MATCH(B184,'Task Master'!$A$5:$A$100,0)),"")="executing","Yes","No"))</f>
        <v/>
      </c>
      <c r="L184" s="39"/>
    </row>
    <row r="185" spans="1:12">
      <c r="A185" s="38"/>
      <c r="B185" s="36"/>
      <c r="C185" s="36"/>
      <c r="D185" s="36"/>
      <c r="E185" s="39"/>
      <c r="F185" s="39"/>
      <c r="G185" s="39"/>
      <c r="H185" s="39"/>
      <c r="I185" s="39"/>
      <c r="J185" s="42"/>
      <c r="K185" s="40" t="str">
        <f>IF(OR(B185="",G185&lt;&gt;"Confirmed OOS"),"",IF(IFERROR(INDEX('Task Master'!$C$5:$C$100,MATCH(B185,'Task Master'!$A$5:$A$100,0)),"")="executing","Yes","No"))</f>
        <v/>
      </c>
      <c r="L185" s="39"/>
    </row>
    <row r="186" spans="1:12">
      <c r="A186" s="38"/>
      <c r="B186" s="36"/>
      <c r="C186" s="36"/>
      <c r="D186" s="36"/>
      <c r="E186" s="39"/>
      <c r="F186" s="39"/>
      <c r="G186" s="39"/>
      <c r="H186" s="39"/>
      <c r="I186" s="39"/>
      <c r="J186" s="42"/>
      <c r="K186" s="40" t="str">
        <f>IF(OR(B186="",G186&lt;&gt;"Confirmed OOS"),"",IF(IFERROR(INDEX('Task Master'!$C$5:$C$100,MATCH(B186,'Task Master'!$A$5:$A$100,0)),"")="executing","Yes","No"))</f>
        <v/>
      </c>
      <c r="L186" s="39"/>
    </row>
    <row r="187" spans="1:12">
      <c r="A187" s="38"/>
      <c r="B187" s="36"/>
      <c r="C187" s="36"/>
      <c r="D187" s="36"/>
      <c r="E187" s="39"/>
      <c r="F187" s="39"/>
      <c r="G187" s="39"/>
      <c r="H187" s="39"/>
      <c r="I187" s="39"/>
      <c r="J187" s="42"/>
      <c r="K187" s="40" t="str">
        <f>IF(OR(B187="",G187&lt;&gt;"Confirmed OOS"),"",IF(IFERROR(INDEX('Task Master'!$C$5:$C$100,MATCH(B187,'Task Master'!$A$5:$A$100,0)),"")="executing","Yes","No"))</f>
        <v/>
      </c>
      <c r="L187" s="39"/>
    </row>
    <row r="188" spans="1:12">
      <c r="A188" s="38"/>
      <c r="B188" s="36"/>
      <c r="C188" s="36"/>
      <c r="D188" s="36"/>
      <c r="E188" s="39"/>
      <c r="F188" s="39"/>
      <c r="G188" s="39"/>
      <c r="H188" s="39"/>
      <c r="I188" s="39"/>
      <c r="J188" s="42"/>
      <c r="K188" s="40" t="str">
        <f>IF(OR(B188="",G188&lt;&gt;"Confirmed OOS"),"",IF(IFERROR(INDEX('Task Master'!$C$5:$C$100,MATCH(B188,'Task Master'!$A$5:$A$100,0)),"")="executing","Yes","No"))</f>
        <v/>
      </c>
      <c r="L188" s="39"/>
    </row>
    <row r="189" spans="1:12">
      <c r="A189" s="38"/>
      <c r="B189" s="36"/>
      <c r="C189" s="36"/>
      <c r="D189" s="36"/>
      <c r="E189" s="39"/>
      <c r="F189" s="39"/>
      <c r="G189" s="39"/>
      <c r="H189" s="39"/>
      <c r="I189" s="39"/>
      <c r="J189" s="42"/>
      <c r="K189" s="40" t="str">
        <f>IF(OR(B189="",G189&lt;&gt;"Confirmed OOS"),"",IF(IFERROR(INDEX('Task Master'!$C$5:$C$100,MATCH(B189,'Task Master'!$A$5:$A$100,0)),"")="executing","Yes","No"))</f>
        <v/>
      </c>
      <c r="L189" s="39"/>
    </row>
    <row r="190" spans="1:12">
      <c r="A190" s="38"/>
      <c r="B190" s="36"/>
      <c r="C190" s="36"/>
      <c r="D190" s="36"/>
      <c r="E190" s="39"/>
      <c r="F190" s="39"/>
      <c r="G190" s="39"/>
      <c r="H190" s="39"/>
      <c r="I190" s="39"/>
      <c r="J190" s="42"/>
      <c r="K190" s="40" t="str">
        <f>IF(OR(B190="",G190&lt;&gt;"Confirmed OOS"),"",IF(IFERROR(INDEX('Task Master'!$C$5:$C$100,MATCH(B190,'Task Master'!$A$5:$A$100,0)),"")="executing","Yes","No"))</f>
        <v/>
      </c>
      <c r="L190" s="39"/>
    </row>
    <row r="191" spans="1:12">
      <c r="A191" s="38"/>
      <c r="B191" s="36"/>
      <c r="C191" s="36"/>
      <c r="D191" s="36"/>
      <c r="E191" s="39"/>
      <c r="F191" s="39"/>
      <c r="G191" s="39"/>
      <c r="H191" s="39"/>
      <c r="I191" s="39"/>
      <c r="J191" s="42"/>
      <c r="K191" s="40" t="str">
        <f>IF(OR(B191="",G191&lt;&gt;"Confirmed OOS"),"",IF(IFERROR(INDEX('Task Master'!$C$5:$C$100,MATCH(B191,'Task Master'!$A$5:$A$100,0)),"")="executing","Yes","No"))</f>
        <v/>
      </c>
      <c r="L191" s="39"/>
    </row>
    <row r="192" spans="1:12">
      <c r="A192" s="38"/>
      <c r="B192" s="36"/>
      <c r="C192" s="36"/>
      <c r="D192" s="36"/>
      <c r="E192" s="39"/>
      <c r="F192" s="39"/>
      <c r="G192" s="39"/>
      <c r="H192" s="39"/>
      <c r="I192" s="39"/>
      <c r="J192" s="42"/>
      <c r="K192" s="40" t="str">
        <f>IF(OR(B192="",G192&lt;&gt;"Confirmed OOS"),"",IF(IFERROR(INDEX('Task Master'!$C$5:$C$100,MATCH(B192,'Task Master'!$A$5:$A$100,0)),"")="executing","Yes","No"))</f>
        <v/>
      </c>
      <c r="L192" s="39"/>
    </row>
    <row r="193" spans="1:12">
      <c r="A193" s="38"/>
      <c r="B193" s="36"/>
      <c r="C193" s="36"/>
      <c r="D193" s="36"/>
      <c r="E193" s="39"/>
      <c r="F193" s="39"/>
      <c r="G193" s="39"/>
      <c r="H193" s="39"/>
      <c r="I193" s="39"/>
      <c r="J193" s="42"/>
      <c r="K193" s="40" t="str">
        <f>IF(OR(B193="",G193&lt;&gt;"Confirmed OOS"),"",IF(IFERROR(INDEX('Task Master'!$C$5:$C$100,MATCH(B193,'Task Master'!$A$5:$A$100,0)),"")="executing","Yes","No"))</f>
        <v/>
      </c>
      <c r="L193" s="39"/>
    </row>
    <row r="194" spans="1:12">
      <c r="A194" s="38"/>
      <c r="B194" s="36"/>
      <c r="C194" s="36"/>
      <c r="D194" s="36"/>
      <c r="E194" s="39"/>
      <c r="F194" s="39"/>
      <c r="G194" s="39"/>
      <c r="H194" s="39"/>
      <c r="I194" s="39"/>
      <c r="J194" s="42"/>
      <c r="K194" s="40" t="str">
        <f>IF(OR(B194="",G194&lt;&gt;"Confirmed OOS"),"",IF(IFERROR(INDEX('Task Master'!$C$5:$C$100,MATCH(B194,'Task Master'!$A$5:$A$100,0)),"")="executing","Yes","No"))</f>
        <v/>
      </c>
      <c r="L194" s="39"/>
    </row>
    <row r="195" spans="1:12">
      <c r="A195" s="38"/>
      <c r="B195" s="36"/>
      <c r="C195" s="36"/>
      <c r="D195" s="36"/>
      <c r="E195" s="39"/>
      <c r="F195" s="39"/>
      <c r="G195" s="39"/>
      <c r="H195" s="39"/>
      <c r="I195" s="39"/>
      <c r="J195" s="42"/>
      <c r="K195" s="40" t="str">
        <f>IF(OR(B195="",G195&lt;&gt;"Confirmed OOS"),"",IF(IFERROR(INDEX('Task Master'!$C$5:$C$100,MATCH(B195,'Task Master'!$A$5:$A$100,0)),"")="executing","Yes","No"))</f>
        <v/>
      </c>
      <c r="L195" s="39"/>
    </row>
    <row r="196" spans="1:12">
      <c r="A196" s="38"/>
      <c r="B196" s="36"/>
      <c r="C196" s="36"/>
      <c r="D196" s="36"/>
      <c r="E196" s="39"/>
      <c r="F196" s="39"/>
      <c r="G196" s="39"/>
      <c r="H196" s="39"/>
      <c r="I196" s="39"/>
      <c r="J196" s="42"/>
      <c r="K196" s="40" t="str">
        <f>IF(OR(B196="",G196&lt;&gt;"Confirmed OOS"),"",IF(IFERROR(INDEX('Task Master'!$C$5:$C$100,MATCH(B196,'Task Master'!$A$5:$A$100,0)),"")="executing","Yes","No"))</f>
        <v/>
      </c>
      <c r="L196" s="39"/>
    </row>
    <row r="197" spans="1:12">
      <c r="A197" s="38"/>
      <c r="B197" s="36"/>
      <c r="C197" s="36"/>
      <c r="D197" s="36"/>
      <c r="E197" s="39"/>
      <c r="F197" s="39"/>
      <c r="G197" s="39"/>
      <c r="H197" s="39"/>
      <c r="I197" s="39"/>
      <c r="J197" s="42"/>
      <c r="K197" s="40" t="str">
        <f>IF(OR(B197="",G197&lt;&gt;"Confirmed OOS"),"",IF(IFERROR(INDEX('Task Master'!$C$5:$C$100,MATCH(B197,'Task Master'!$A$5:$A$100,0)),"")="executing","Yes","No"))</f>
        <v/>
      </c>
      <c r="L197" s="39"/>
    </row>
    <row r="198" spans="1:12">
      <c r="A198" s="38"/>
      <c r="B198" s="36"/>
      <c r="C198" s="36"/>
      <c r="D198" s="36"/>
      <c r="E198" s="39"/>
      <c r="F198" s="39"/>
      <c r="G198" s="39"/>
      <c r="H198" s="39"/>
      <c r="I198" s="39"/>
      <c r="J198" s="42"/>
      <c r="K198" s="40" t="str">
        <f>IF(OR(B198="",G198&lt;&gt;"Confirmed OOS"),"",IF(IFERROR(INDEX('Task Master'!$C$5:$C$100,MATCH(B198,'Task Master'!$A$5:$A$100,0)),"")="executing","Yes","No"))</f>
        <v/>
      </c>
      <c r="L198" s="39"/>
    </row>
    <row r="199" spans="1:12">
      <c r="A199" s="38"/>
      <c r="B199" s="36"/>
      <c r="C199" s="36"/>
      <c r="D199" s="36"/>
      <c r="E199" s="39"/>
      <c r="F199" s="39"/>
      <c r="G199" s="39"/>
      <c r="H199" s="39"/>
      <c r="I199" s="39"/>
      <c r="J199" s="42"/>
      <c r="K199" s="40" t="str">
        <f>IF(OR(B199="",G199&lt;&gt;"Confirmed OOS"),"",IF(IFERROR(INDEX('Task Master'!$C$5:$C$100,MATCH(B199,'Task Master'!$A$5:$A$100,0)),"")="executing","Yes","No"))</f>
        <v/>
      </c>
      <c r="L199" s="39"/>
    </row>
    <row r="200" spans="1:12">
      <c r="A200" s="38"/>
      <c r="B200" s="36"/>
      <c r="C200" s="36"/>
      <c r="D200" s="36"/>
      <c r="E200" s="39"/>
      <c r="F200" s="39"/>
      <c r="G200" s="39"/>
      <c r="H200" s="39"/>
      <c r="I200" s="39"/>
      <c r="J200" s="42"/>
      <c r="K200" s="40" t="str">
        <f>IF(OR(B200="",G200&lt;&gt;"Confirmed OOS"),"",IF(IFERROR(INDEX('Task Master'!$C$5:$C$100,MATCH(B200,'Task Master'!$A$5:$A$100,0)),"")="executing","Yes","No"))</f>
        <v/>
      </c>
      <c r="L200" s="39"/>
    </row>
    <row r="201" spans="1:12">
      <c r="A201" s="38"/>
      <c r="B201" s="36"/>
      <c r="C201" s="36"/>
      <c r="D201" s="36"/>
      <c r="E201" s="39"/>
      <c r="F201" s="39"/>
      <c r="G201" s="39"/>
      <c r="H201" s="39"/>
      <c r="I201" s="39"/>
      <c r="J201" s="42"/>
      <c r="K201" s="40" t="str">
        <f>IF(OR(B201="",G201&lt;&gt;"Confirmed OOS"),"",IF(IFERROR(INDEX('Task Master'!$C$5:$C$100,MATCH(B201,'Task Master'!$A$5:$A$100,0)),"")="executing","Yes","No"))</f>
        <v/>
      </c>
      <c r="L201" s="39"/>
    </row>
    <row r="202" spans="1:12">
      <c r="A202" s="38"/>
      <c r="B202" s="36"/>
      <c r="C202" s="36"/>
      <c r="D202" s="36"/>
      <c r="E202" s="39"/>
      <c r="F202" s="39"/>
      <c r="G202" s="39"/>
      <c r="H202" s="39"/>
      <c r="I202" s="39"/>
      <c r="J202" s="42"/>
      <c r="K202" s="40" t="str">
        <f>IF(OR(B202="",G202&lt;&gt;"Confirmed OOS"),"",IF(IFERROR(INDEX('Task Master'!$C$5:$C$100,MATCH(B202,'Task Master'!$A$5:$A$100,0)),"")="executing","Yes","No"))</f>
        <v/>
      </c>
      <c r="L202" s="39"/>
    </row>
    <row r="203" spans="1:12">
      <c r="A203" s="38"/>
      <c r="B203" s="36"/>
      <c r="C203" s="36"/>
      <c r="D203" s="36"/>
      <c r="E203" s="39"/>
      <c r="F203" s="39"/>
      <c r="G203" s="39"/>
      <c r="H203" s="39"/>
      <c r="I203" s="39"/>
      <c r="J203" s="42"/>
      <c r="K203" s="40" t="str">
        <f>IF(OR(B203="",G203&lt;&gt;"Confirmed OOS"),"",IF(IFERROR(INDEX('Task Master'!$C$5:$C$100,MATCH(B203,'Task Master'!$A$5:$A$100,0)),"")="executing","Yes","No"))</f>
        <v/>
      </c>
      <c r="L203" s="39"/>
    </row>
    <row r="204" spans="1:12">
      <c r="A204" s="38"/>
      <c r="B204" s="36"/>
      <c r="C204" s="36"/>
      <c r="D204" s="36"/>
      <c r="E204" s="39"/>
      <c r="F204" s="39"/>
      <c r="G204" s="39"/>
      <c r="H204" s="39"/>
      <c r="I204" s="39"/>
      <c r="J204" s="42"/>
      <c r="K204" s="40" t="str">
        <f>IF(OR(B204="",G204&lt;&gt;"Confirmed OOS"),"",IF(IFERROR(INDEX('Task Master'!$C$5:$C$100,MATCH(B204,'Task Master'!$A$5:$A$100,0)),"")="executing","Yes","No"))</f>
        <v/>
      </c>
      <c r="L204" s="39"/>
    </row>
  </sheetData>
  <mergeCells count="2">
    <mergeCell ref="A1:L1"/>
    <mergeCell ref="A2:L2"/>
  </mergeCells>
  <conditionalFormatting sqref="G5:G204">
    <cfRule type="containsText" dxfId="4" priority="1" operator="containsText" text="Confirmed OOS"/>
  </conditionalFormatting>
  <conditionalFormatting sqref="K5:K204">
    <cfRule type="containsText" dxfId="3" priority="2" operator="containsText" text="Yes"/>
  </conditionalFormatting>
  <dataValidations count="3">
    <dataValidation type="list" sqref="D5:D204" xr:uid="{00000000-0002-0000-0600-000001000000}">
      <formula1>"Private Cloud,On-Premises,Other"</formula1>
    </dataValidation>
    <dataValidation type="list" sqref="G5:G204" xr:uid="{00000000-0002-0000-0600-000002000000}">
      <formula1>"Not Reviewed,Pending Review,Confirmed OOS,Rejected OOS"</formula1>
    </dataValidation>
    <dataValidation type="list" sqref="H5:H204" xr:uid="{00000000-0002-0000-0600-000003000000}">
      <formula1>"Return to Requestor,Route to Private Cloud Team,Route to On-Prem Team,Continue In Scope"</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600-000000000000}">
          <x14:formula1>
            <xm:f>'Task Master'!$A$5:$A$100</xm:f>
          </x14:formula1>
          <xm:sqref>B5:B204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5"/>
  <sheetViews>
    <sheetView showGridLines="0" workbookViewId="0">
      <pane ySplit="4" topLeftCell="A5" activePane="bottomLeft" state="frozen"/>
      <selection pane="bottomLeft" activeCell="A11" sqref="A11"/>
    </sheetView>
  </sheetViews>
  <sheetFormatPr defaultColWidth="9" defaultRowHeight="14.4"/>
  <cols>
    <col min="1" max="1" width="34" style="1" customWidth="1"/>
    <col min="2" max="2" width="24" style="1" customWidth="1"/>
    <col min="3" max="3" width="29" style="1" customWidth="1"/>
    <col min="4" max="4" width="14" style="1" customWidth="1"/>
    <col min="5" max="5" width="20" style="1" customWidth="1"/>
    <col min="6" max="6" width="18" style="1" customWidth="1"/>
    <col min="7" max="7" width="16" style="1" customWidth="1"/>
    <col min="8" max="8" width="22" style="1" customWidth="1"/>
    <col min="9" max="9" width="18" style="1" customWidth="1"/>
    <col min="10" max="10" width="24" style="1" customWidth="1"/>
    <col min="11" max="11" width="17" style="1" customWidth="1"/>
    <col min="12" max="12" width="20" style="1" customWidth="1"/>
    <col min="13" max="13" width="16" style="1" customWidth="1"/>
    <col min="14" max="14" width="17" style="1" customWidth="1"/>
    <col min="15" max="15" width="20" style="1" customWidth="1"/>
    <col min="16" max="16384" width="9" style="1"/>
  </cols>
  <sheetData>
    <row r="1" spans="1:15" ht="30" customHeight="1">
      <c r="A1" s="51" t="s">
        <v>418</v>
      </c>
      <c r="B1" s="51"/>
      <c r="C1" s="51"/>
      <c r="D1" s="51"/>
      <c r="E1" s="51"/>
      <c r="F1" s="51"/>
      <c r="G1" s="51"/>
      <c r="H1" s="51"/>
      <c r="I1" s="51"/>
      <c r="J1" s="51"/>
      <c r="K1" s="51"/>
      <c r="L1" s="51"/>
      <c r="M1" s="51"/>
      <c r="N1" s="51"/>
      <c r="O1" s="51"/>
    </row>
    <row r="2" spans="1:15" ht="24" customHeight="1">
      <c r="A2" s="52" t="s">
        <v>419</v>
      </c>
      <c r="B2" s="52"/>
      <c r="C2" s="52"/>
      <c r="D2" s="52"/>
      <c r="E2" s="52"/>
      <c r="F2" s="52"/>
      <c r="G2" s="52"/>
      <c r="H2" s="52"/>
      <c r="I2" s="52"/>
      <c r="J2" s="52"/>
      <c r="K2" s="52"/>
      <c r="L2" s="52"/>
      <c r="M2" s="52"/>
      <c r="N2" s="52"/>
      <c r="O2" s="52"/>
    </row>
    <row r="4" spans="1:15" ht="32.1" customHeight="1">
      <c r="A4" s="2" t="s">
        <v>60</v>
      </c>
      <c r="B4" s="3" t="s">
        <v>420</v>
      </c>
      <c r="C4" s="3" t="s">
        <v>421</v>
      </c>
      <c r="D4" s="3" t="s">
        <v>422</v>
      </c>
      <c r="E4" s="3" t="s">
        <v>423</v>
      </c>
      <c r="F4" s="3" t="s">
        <v>62</v>
      </c>
      <c r="G4" s="3" t="s">
        <v>424</v>
      </c>
      <c r="H4" s="3" t="s">
        <v>425</v>
      </c>
      <c r="I4" s="3" t="s">
        <v>426</v>
      </c>
      <c r="J4" s="3" t="s">
        <v>427</v>
      </c>
      <c r="K4" s="3" t="s">
        <v>61</v>
      </c>
      <c r="L4" s="3" t="s">
        <v>428</v>
      </c>
      <c r="M4" s="3" t="s">
        <v>429</v>
      </c>
      <c r="N4" s="3" t="s">
        <v>430</v>
      </c>
      <c r="O4" s="4" t="s">
        <v>431</v>
      </c>
    </row>
    <row r="5" spans="1:15">
      <c r="A5" s="1" t="s">
        <v>158</v>
      </c>
      <c r="B5" s="1" t="s">
        <v>432</v>
      </c>
      <c r="C5" s="36" t="s">
        <v>433</v>
      </c>
      <c r="D5" s="43">
        <v>1</v>
      </c>
      <c r="E5" s="37">
        <f>Configuration!$S$5</f>
        <v>12</v>
      </c>
      <c r="F5" s="37">
        <f t="shared" ref="F5:F15" si="0">D5*E5</f>
        <v>12</v>
      </c>
      <c r="G5" s="37">
        <f>COUNTIFS('Task Master'!$C$5:$C$100,"executing",'Task Master'!$K$5:$K$100,A5,'Task Master'!$N$5:$N$100,"&lt;&gt;Confirmed OOS")</f>
        <v>11</v>
      </c>
      <c r="H5" s="37">
        <f>SUMIFS('Task Master'!$P$5:$P$100,'Task Master'!$K$5:$K$100,A5)</f>
        <v>26</v>
      </c>
      <c r="I5" s="44">
        <f t="shared" ref="I5:I15" si="1">IFERROR(H5/F5,0)</f>
        <v>2.1666666666666665</v>
      </c>
      <c r="J5" s="37">
        <f>SUMIFS('Task Master'!$M$5:$M$100,'Task Master'!$C$5:$C$100,"processing",'Task Master'!$K$5:$K$100,A5)</f>
        <v>0</v>
      </c>
      <c r="K5" s="37">
        <f t="shared" ref="K5:K15" si="2">H5+J5</f>
        <v>26</v>
      </c>
      <c r="L5" s="44">
        <f t="shared" ref="L5:L15" si="3">IFERROR(K5/F5,0)</f>
        <v>2.1666666666666665</v>
      </c>
      <c r="M5" s="37">
        <f>COUNTIFS('Daily Targets'!$A$5:$A$204,Dashboard!$B$4,'Daily Targets'!$E$5:$E$204,A5)</f>
        <v>4</v>
      </c>
      <c r="N5" s="37">
        <f>COUNTIFS('Daily Targets'!$A$5:$A$204,Dashboard!$B$4,'Daily Targets'!$E$5:$E$204,A5,'Daily Targets'!$O$5:$O$204,"Yes")</f>
        <v>0</v>
      </c>
      <c r="O5" s="37" t="str">
        <f t="shared" ref="O5:O15" si="4">IF(L5&gt;1,"OVER CAPACITY",IF(L5&gt;=0.8,"NEAR CAPACITY","AVAILABLE"))</f>
        <v>OVER CAPACITY</v>
      </c>
    </row>
    <row r="6" spans="1:15">
      <c r="A6" s="1" t="s">
        <v>162</v>
      </c>
      <c r="B6" s="1" t="s">
        <v>434</v>
      </c>
      <c r="C6" s="36" t="s">
        <v>433</v>
      </c>
      <c r="D6" s="43">
        <v>1</v>
      </c>
      <c r="E6" s="37">
        <f>Configuration!$S$5</f>
        <v>12</v>
      </c>
      <c r="F6" s="37">
        <f t="shared" si="0"/>
        <v>12</v>
      </c>
      <c r="G6" s="37">
        <f>COUNTIFS('Task Master'!$C$5:$C$100,"executing",'Task Master'!$K$5:$K$100,A6,'Task Master'!$N$5:$N$100,"&lt;&gt;Confirmed OOS")</f>
        <v>3</v>
      </c>
      <c r="H6" s="37">
        <f>SUMIFS('Task Master'!$P$5:$P$100,'Task Master'!$K$5:$K$100,A6)</f>
        <v>8</v>
      </c>
      <c r="I6" s="44">
        <f t="shared" si="1"/>
        <v>0.66666666666666663</v>
      </c>
      <c r="J6" s="37">
        <f>SUMIFS('Task Master'!$M$5:$M$100,'Task Master'!$C$5:$C$100,"processing",'Task Master'!$K$5:$K$100,A6)</f>
        <v>0</v>
      </c>
      <c r="K6" s="37">
        <f t="shared" si="2"/>
        <v>8</v>
      </c>
      <c r="L6" s="44">
        <f t="shared" si="3"/>
        <v>0.66666666666666663</v>
      </c>
      <c r="M6" s="37">
        <f>COUNTIFS('Daily Targets'!$A$5:$A$204,Dashboard!$B$4,'Daily Targets'!$E$5:$E$204,A6)</f>
        <v>0</v>
      </c>
      <c r="N6" s="37">
        <f>COUNTIFS('Daily Targets'!$A$5:$A$204,Dashboard!$B$4,'Daily Targets'!$E$5:$E$204,A6,'Daily Targets'!$O$5:$O$204,"Yes")</f>
        <v>0</v>
      </c>
      <c r="O6" s="37" t="str">
        <f t="shared" si="4"/>
        <v>AVAILABLE</v>
      </c>
    </row>
    <row r="7" spans="1:15">
      <c r="A7" s="1" t="s">
        <v>168</v>
      </c>
      <c r="B7" s="1" t="s">
        <v>435</v>
      </c>
      <c r="C7" s="36" t="s">
        <v>433</v>
      </c>
      <c r="D7" s="43">
        <v>1</v>
      </c>
      <c r="E7" s="37">
        <f>Configuration!$S$5</f>
        <v>12</v>
      </c>
      <c r="F7" s="37">
        <f t="shared" si="0"/>
        <v>12</v>
      </c>
      <c r="G7" s="37">
        <f>COUNTIFS('Task Master'!$C$5:$C$100,"executing",'Task Master'!$K$5:$K$100,A7,'Task Master'!$N$5:$N$100,"&lt;&gt;Confirmed OOS")</f>
        <v>23</v>
      </c>
      <c r="H7" s="37">
        <f>SUMIFS('Task Master'!$P$5:$P$100,'Task Master'!$K$5:$K$100,A7)</f>
        <v>42</v>
      </c>
      <c r="I7" s="44">
        <f t="shared" si="1"/>
        <v>3.5</v>
      </c>
      <c r="J7" s="37">
        <f>SUMIFS('Task Master'!$M$5:$M$100,'Task Master'!$C$5:$C$100,"processing",'Task Master'!$K$5:$K$100,A7)</f>
        <v>0</v>
      </c>
      <c r="K7" s="37">
        <f t="shared" si="2"/>
        <v>42</v>
      </c>
      <c r="L7" s="44">
        <f t="shared" si="3"/>
        <v>3.5</v>
      </c>
      <c r="M7" s="37">
        <f>COUNTIFS('Daily Targets'!$A$5:$A$204,Dashboard!$B$4,'Daily Targets'!$E$5:$E$204,A7)</f>
        <v>0</v>
      </c>
      <c r="N7" s="37">
        <f>COUNTIFS('Daily Targets'!$A$5:$A$204,Dashboard!$B$4,'Daily Targets'!$E$5:$E$204,A7,'Daily Targets'!$O$5:$O$204,"Yes")</f>
        <v>0</v>
      </c>
      <c r="O7" s="37" t="str">
        <f t="shared" si="4"/>
        <v>OVER CAPACITY</v>
      </c>
    </row>
    <row r="8" spans="1:15">
      <c r="A8" s="1" t="s">
        <v>340</v>
      </c>
      <c r="B8" s="1" t="s">
        <v>436</v>
      </c>
      <c r="C8" s="36" t="s">
        <v>146</v>
      </c>
      <c r="D8" s="43">
        <v>1</v>
      </c>
      <c r="E8" s="37">
        <f>Configuration!$S$5</f>
        <v>12</v>
      </c>
      <c r="F8" s="37">
        <f t="shared" si="0"/>
        <v>12</v>
      </c>
      <c r="G8" s="37">
        <f>COUNTIFS('Task Master'!$C$5:$C$100,"executing",'Task Master'!$K$5:$K$100,A8,'Task Master'!$N$5:$N$100,"&lt;&gt;Confirmed OOS")</f>
        <v>7</v>
      </c>
      <c r="H8" s="37">
        <f>SUMIFS('Task Master'!$P$5:$P$100,'Task Master'!$K$5:$K$100,A8)</f>
        <v>12</v>
      </c>
      <c r="I8" s="44">
        <f t="shared" si="1"/>
        <v>1</v>
      </c>
      <c r="J8" s="37">
        <f>SUMIFS('Task Master'!$M$5:$M$100,'Task Master'!$C$5:$C$100,"processing",'Task Master'!$K$5:$K$100,A8)</f>
        <v>0</v>
      </c>
      <c r="K8" s="37">
        <f t="shared" si="2"/>
        <v>12</v>
      </c>
      <c r="L8" s="44">
        <f t="shared" si="3"/>
        <v>1</v>
      </c>
      <c r="M8" s="37">
        <f>COUNTIFS('Daily Targets'!$A$5:$A$204,Dashboard!$B$4,'Daily Targets'!$E$5:$E$204,A8)</f>
        <v>0</v>
      </c>
      <c r="N8" s="37">
        <f>COUNTIFS('Daily Targets'!$A$5:$A$204,Dashboard!$B$4,'Daily Targets'!$E$5:$E$204,A8,'Daily Targets'!$O$5:$O$204,"Yes")</f>
        <v>0</v>
      </c>
      <c r="O8" s="37" t="str">
        <f t="shared" si="4"/>
        <v>NEAR CAPACITY</v>
      </c>
    </row>
    <row r="9" spans="1:15">
      <c r="A9" s="1" t="s">
        <v>437</v>
      </c>
      <c r="B9" s="1" t="s">
        <v>438</v>
      </c>
      <c r="C9" s="36" t="s">
        <v>433</v>
      </c>
      <c r="D9" s="43">
        <v>1</v>
      </c>
      <c r="E9" s="37">
        <f>Configuration!$S$5</f>
        <v>12</v>
      </c>
      <c r="F9" s="37">
        <f t="shared" si="0"/>
        <v>12</v>
      </c>
      <c r="G9" s="37">
        <f>COUNTIFS('Task Master'!$C$5:$C$100,"executing",'Task Master'!$K$5:$K$100,A9,'Task Master'!$N$5:$N$100,"&lt;&gt;Confirmed OOS")</f>
        <v>4</v>
      </c>
      <c r="H9" s="37">
        <f>SUMIFS('Task Master'!$P$5:$P$100,'Task Master'!$K$5:$K$100,A9)</f>
        <v>6</v>
      </c>
      <c r="I9" s="44">
        <f t="shared" si="1"/>
        <v>0.5</v>
      </c>
      <c r="J9" s="37">
        <f>SUMIFS('Task Master'!$M$5:$M$100,'Task Master'!$C$5:$C$100,"processing",'Task Master'!$K$5:$K$100,A9)</f>
        <v>0</v>
      </c>
      <c r="K9" s="37">
        <f t="shared" si="2"/>
        <v>6</v>
      </c>
      <c r="L9" s="44">
        <f t="shared" si="3"/>
        <v>0.5</v>
      </c>
      <c r="M9" s="37">
        <f>COUNTIFS('Daily Targets'!$A$5:$A$204,Dashboard!$B$4,'Daily Targets'!$E$5:$E$204,A9)</f>
        <v>0</v>
      </c>
      <c r="N9" s="37">
        <f>COUNTIFS('Daily Targets'!$A$5:$A$204,Dashboard!$B$4,'Daily Targets'!$E$5:$E$204,A9,'Daily Targets'!$O$5:$O$204,"Yes")</f>
        <v>0</v>
      </c>
      <c r="O9" s="37" t="str">
        <f t="shared" si="4"/>
        <v>AVAILABLE</v>
      </c>
    </row>
    <row r="10" spans="1:15">
      <c r="A10" s="1" t="s">
        <v>237</v>
      </c>
      <c r="B10" s="1" t="s">
        <v>439</v>
      </c>
      <c r="C10" s="36" t="s">
        <v>433</v>
      </c>
      <c r="D10" s="43">
        <v>1</v>
      </c>
      <c r="E10" s="37">
        <f>Configuration!$S$5</f>
        <v>12</v>
      </c>
      <c r="F10" s="37">
        <f t="shared" si="0"/>
        <v>12</v>
      </c>
      <c r="G10" s="37">
        <f>COUNTIFS('Task Master'!$C$5:$C$100,"executing",'Task Master'!$K$5:$K$100,A10,'Task Master'!$N$5:$N$100,"&lt;&gt;Confirmed OOS")</f>
        <v>8</v>
      </c>
      <c r="H10" s="37">
        <f>SUMIFS('Task Master'!$P$5:$P$100,'Task Master'!$K$5:$K$100,A10)</f>
        <v>17</v>
      </c>
      <c r="I10" s="44">
        <f t="shared" si="1"/>
        <v>1.4166666666666667</v>
      </c>
      <c r="J10" s="37">
        <f>SUMIFS('Task Master'!$M$5:$M$100,'Task Master'!$C$5:$C$100,"processing",'Task Master'!$K$5:$K$100,A10)</f>
        <v>0</v>
      </c>
      <c r="K10" s="37">
        <f t="shared" si="2"/>
        <v>17</v>
      </c>
      <c r="L10" s="44">
        <f t="shared" si="3"/>
        <v>1.4166666666666667</v>
      </c>
      <c r="M10" s="37">
        <f>COUNTIFS('Daily Targets'!$A$5:$A$204,Dashboard!$B$4,'Daily Targets'!$E$5:$E$204,A10)</f>
        <v>1</v>
      </c>
      <c r="N10" s="37">
        <f>COUNTIFS('Daily Targets'!$A$5:$A$204,Dashboard!$B$4,'Daily Targets'!$E$5:$E$204,A10,'Daily Targets'!$O$5:$O$204,"Yes")</f>
        <v>0</v>
      </c>
      <c r="O10" s="37" t="str">
        <f t="shared" si="4"/>
        <v>OVER CAPACITY</v>
      </c>
    </row>
    <row r="11" spans="1:15">
      <c r="A11" s="1" t="s">
        <v>249</v>
      </c>
      <c r="B11" s="1" t="s">
        <v>440</v>
      </c>
      <c r="C11" s="36" t="s">
        <v>104</v>
      </c>
      <c r="D11" s="43">
        <v>1</v>
      </c>
      <c r="E11" s="37">
        <f>Configuration!$S$5</f>
        <v>12</v>
      </c>
      <c r="F11" s="37">
        <f t="shared" si="0"/>
        <v>12</v>
      </c>
      <c r="G11" s="37">
        <f>COUNTIFS('Task Master'!$C$5:$C$100,"executing",'Task Master'!$K$5:$K$100,A11,'Task Master'!$N$5:$N$100,"&lt;&gt;Confirmed OOS")</f>
        <v>0</v>
      </c>
      <c r="H11" s="37">
        <f>SUMIFS('Task Master'!$P$5:$P$100,'Task Master'!$K$5:$K$100,A11)</f>
        <v>0</v>
      </c>
      <c r="I11" s="44">
        <f t="shared" si="1"/>
        <v>0</v>
      </c>
      <c r="J11" s="37">
        <f>SUMIFS('Task Master'!$M$5:$M$100,'Task Master'!$C$5:$C$100,"processing",'Task Master'!$K$5:$K$100,A11)</f>
        <v>0</v>
      </c>
      <c r="K11" s="37">
        <f t="shared" si="2"/>
        <v>0</v>
      </c>
      <c r="L11" s="44">
        <f t="shared" si="3"/>
        <v>0</v>
      </c>
      <c r="M11" s="37">
        <f>COUNTIFS('Daily Targets'!$A$5:$A$204,Dashboard!$B$4,'Daily Targets'!$E$5:$E$204,A11)</f>
        <v>0</v>
      </c>
      <c r="N11" s="37">
        <f>COUNTIFS('Daily Targets'!$A$5:$A$204,Dashboard!$B$4,'Daily Targets'!$E$5:$E$204,A11,'Daily Targets'!$O$5:$O$204,"Yes")</f>
        <v>0</v>
      </c>
      <c r="O11" s="37" t="str">
        <f t="shared" si="4"/>
        <v>AVAILABLE</v>
      </c>
    </row>
    <row r="12" spans="1:15">
      <c r="A12" s="1" t="s">
        <v>251</v>
      </c>
      <c r="B12" s="1" t="s">
        <v>441</v>
      </c>
      <c r="C12" s="36" t="s">
        <v>433</v>
      </c>
      <c r="D12" s="43">
        <v>1</v>
      </c>
      <c r="E12" s="37">
        <f>Configuration!$S$5</f>
        <v>12</v>
      </c>
      <c r="F12" s="37">
        <f t="shared" si="0"/>
        <v>12</v>
      </c>
      <c r="G12" s="37">
        <f>COUNTIFS('Task Master'!$C$5:$C$100,"executing",'Task Master'!$K$5:$K$100,A12,'Task Master'!$N$5:$N$100,"&lt;&gt;Confirmed OOS")</f>
        <v>6</v>
      </c>
      <c r="H12" s="37">
        <f>SUMIFS('Task Master'!$P$5:$P$100,'Task Master'!$K$5:$K$100,A12)</f>
        <v>12</v>
      </c>
      <c r="I12" s="44">
        <f t="shared" si="1"/>
        <v>1</v>
      </c>
      <c r="J12" s="37">
        <f>SUMIFS('Task Master'!$M$5:$M$100,'Task Master'!$C$5:$C$100,"processing",'Task Master'!$K$5:$K$100,A12)</f>
        <v>0</v>
      </c>
      <c r="K12" s="37">
        <f t="shared" si="2"/>
        <v>12</v>
      </c>
      <c r="L12" s="44">
        <f t="shared" si="3"/>
        <v>1</v>
      </c>
      <c r="M12" s="37">
        <f>COUNTIFS('Daily Targets'!$A$5:$A$204,Dashboard!$B$4,'Daily Targets'!$E$5:$E$204,A12)</f>
        <v>0</v>
      </c>
      <c r="N12" s="37">
        <f>COUNTIFS('Daily Targets'!$A$5:$A$204,Dashboard!$B$4,'Daily Targets'!$E$5:$E$204,A12,'Daily Targets'!$O$5:$O$204,"Yes")</f>
        <v>0</v>
      </c>
      <c r="O12" s="37" t="str">
        <f t="shared" si="4"/>
        <v>NEAR CAPACITY</v>
      </c>
    </row>
    <row r="13" spans="1:15">
      <c r="A13" s="1" t="s">
        <v>255</v>
      </c>
      <c r="B13" s="1" t="s">
        <v>442</v>
      </c>
      <c r="C13" s="36" t="s">
        <v>104</v>
      </c>
      <c r="D13" s="43">
        <v>1</v>
      </c>
      <c r="E13" s="37">
        <f>Configuration!$S$5</f>
        <v>12</v>
      </c>
      <c r="F13" s="37">
        <f t="shared" si="0"/>
        <v>12</v>
      </c>
      <c r="G13" s="37">
        <f>COUNTIFS('Task Master'!$C$5:$C$100,"executing",'Task Master'!$K$5:$K$100,A13,'Task Master'!$N$5:$N$100,"&lt;&gt;Confirmed OOS")</f>
        <v>0</v>
      </c>
      <c r="H13" s="37">
        <f>SUMIFS('Task Master'!$P$5:$P$100,'Task Master'!$K$5:$K$100,A13)</f>
        <v>0</v>
      </c>
      <c r="I13" s="44">
        <f t="shared" si="1"/>
        <v>0</v>
      </c>
      <c r="J13" s="37">
        <f>SUMIFS('Task Master'!$M$5:$M$100,'Task Master'!$C$5:$C$100,"processing",'Task Master'!$K$5:$K$100,A13)</f>
        <v>0</v>
      </c>
      <c r="K13" s="37">
        <f t="shared" si="2"/>
        <v>0</v>
      </c>
      <c r="L13" s="44">
        <f t="shared" si="3"/>
        <v>0</v>
      </c>
      <c r="M13" s="37">
        <f>COUNTIFS('Daily Targets'!$A$5:$A$204,Dashboard!$B$4,'Daily Targets'!$E$5:$E$204,A13)</f>
        <v>0</v>
      </c>
      <c r="N13" s="37">
        <f>COUNTIFS('Daily Targets'!$A$5:$A$204,Dashboard!$B$4,'Daily Targets'!$E$5:$E$204,A13,'Daily Targets'!$O$5:$O$204,"Yes")</f>
        <v>0</v>
      </c>
      <c r="O13" s="37" t="str">
        <f t="shared" si="4"/>
        <v>AVAILABLE</v>
      </c>
    </row>
    <row r="14" spans="1:15">
      <c r="A14" s="1" t="s">
        <v>259</v>
      </c>
      <c r="B14" s="1" t="s">
        <v>443</v>
      </c>
      <c r="C14" s="36" t="s">
        <v>104</v>
      </c>
      <c r="D14" s="43">
        <v>1</v>
      </c>
      <c r="E14" s="37">
        <f>Configuration!$S$5</f>
        <v>12</v>
      </c>
      <c r="F14" s="37">
        <f t="shared" si="0"/>
        <v>12</v>
      </c>
      <c r="G14" s="37">
        <f>COUNTIFS('Task Master'!$C$5:$C$100,"executing",'Task Master'!$K$5:$K$100,A14,'Task Master'!$N$5:$N$100,"&lt;&gt;Confirmed OOS")</f>
        <v>16</v>
      </c>
      <c r="H14" s="37">
        <f>SUMIFS('Task Master'!$P$5:$P$100,'Task Master'!$K$5:$K$100,A14)</f>
        <v>37</v>
      </c>
      <c r="I14" s="44">
        <f t="shared" si="1"/>
        <v>3.0833333333333335</v>
      </c>
      <c r="J14" s="37">
        <f>SUMIFS('Task Master'!$M$5:$M$100,'Task Master'!$C$5:$C$100,"processing",'Task Master'!$K$5:$K$100,A14)</f>
        <v>0</v>
      </c>
      <c r="K14" s="37">
        <f t="shared" si="2"/>
        <v>37</v>
      </c>
      <c r="L14" s="44">
        <f t="shared" si="3"/>
        <v>3.0833333333333335</v>
      </c>
      <c r="M14" s="37">
        <f>COUNTIFS('Daily Targets'!$A$5:$A$204,Dashboard!$B$4,'Daily Targets'!$E$5:$E$204,A14)</f>
        <v>0</v>
      </c>
      <c r="N14" s="37">
        <f>COUNTIFS('Daily Targets'!$A$5:$A$204,Dashboard!$B$4,'Daily Targets'!$E$5:$E$204,A14,'Daily Targets'!$O$5:$O$204,"Yes")</f>
        <v>0</v>
      </c>
      <c r="O14" s="37" t="str">
        <f t="shared" si="4"/>
        <v>OVER CAPACITY</v>
      </c>
    </row>
    <row r="15" spans="1:15">
      <c r="A15" s="1" t="s">
        <v>295</v>
      </c>
      <c r="B15" s="1" t="s">
        <v>444</v>
      </c>
      <c r="C15" s="36" t="s">
        <v>433</v>
      </c>
      <c r="D15" s="43">
        <v>1</v>
      </c>
      <c r="E15" s="37">
        <f>Configuration!$S$5</f>
        <v>12</v>
      </c>
      <c r="F15" s="37">
        <f t="shared" si="0"/>
        <v>12</v>
      </c>
      <c r="G15" s="37">
        <f>COUNTIFS('Task Master'!$C$5:$C$100,"executing",'Task Master'!$K$5:$K$100,A15,'Task Master'!$N$5:$N$100,"&lt;&gt;Confirmed OOS")</f>
        <v>3</v>
      </c>
      <c r="H15" s="37">
        <f>SUMIFS('Task Master'!$P$5:$P$100,'Task Master'!$K$5:$K$100,A15)</f>
        <v>8</v>
      </c>
      <c r="I15" s="44">
        <f t="shared" si="1"/>
        <v>0.66666666666666663</v>
      </c>
      <c r="J15" s="37">
        <f>SUMIFS('Task Master'!$M$5:$M$100,'Task Master'!$C$5:$C$100,"processing",'Task Master'!$K$5:$K$100,A15)</f>
        <v>0</v>
      </c>
      <c r="K15" s="37">
        <f t="shared" si="2"/>
        <v>8</v>
      </c>
      <c r="L15" s="44">
        <f t="shared" si="3"/>
        <v>0.66666666666666663</v>
      </c>
      <c r="M15" s="37">
        <f>COUNTIFS('Daily Targets'!$A$5:$A$204,Dashboard!$B$4,'Daily Targets'!$E$5:$E$204,A15)</f>
        <v>0</v>
      </c>
      <c r="N15" s="37">
        <f>COUNTIFS('Daily Targets'!$A$5:$A$204,Dashboard!$B$4,'Daily Targets'!$E$5:$E$204,A15,'Daily Targets'!$O$5:$O$204,"Yes")</f>
        <v>0</v>
      </c>
      <c r="O15" s="37" t="str">
        <f t="shared" si="4"/>
        <v>AVAILABLE</v>
      </c>
    </row>
  </sheetData>
  <mergeCells count="2">
    <mergeCell ref="A1:O1"/>
    <mergeCell ref="A2:O2"/>
  </mergeCells>
  <conditionalFormatting sqref="L5:L15">
    <cfRule type="dataBar" priority="1">
      <dataBar>
        <cfvo type="min"/>
        <cfvo type="max"/>
        <color rgb="FF00A19B"/>
      </dataBar>
    </cfRule>
    <cfRule type="dataBar" priority="5">
      <dataBar>
        <cfvo type="min"/>
        <cfvo type="max"/>
        <color rgb="FF00A19B"/>
      </dataBar>
      <extLst>
        <ext xmlns:x14="http://schemas.microsoft.com/office/spreadsheetml/2009/9/main" uri="{B025F937-C7B1-47D3-B67F-A62EFF666E3E}">
          <x14:id>{6FCED1F8-F5D5-0EC0-78F6-5A8F22B8B4C8}</x14:id>
        </ext>
      </extLst>
    </cfRule>
  </conditionalFormatting>
  <conditionalFormatting sqref="O5:O15">
    <cfRule type="containsText" dxfId="2" priority="2" operator="containsText" text="OVER CAPACITY"/>
    <cfRule type="containsText" dxfId="1" priority="3" operator="containsText" text="NEAR CAPACITY"/>
    <cfRule type="containsText" dxfId="0" priority="4" operator="containsText" text="AVAILABLE"/>
  </conditionalFormatting>
  <dataValidations count="1">
    <dataValidation type="decimal" sqref="D5:D15" xr:uid="{00000000-0002-0000-0700-000000000000}">
      <formula1>0</formula1>
      <formula2>1</formula2>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6FCED1F8-F5D5-0EC0-78F6-5A8F22B8B4C8}">
            <x14:dataBar>
              <x14:cfvo type="min"/>
              <x14:cfvo type="max"/>
              <x14:negativeFillColor auto="1"/>
              <x14:axisColor auto="1"/>
            </x14:dataBar>
          </x14:cfRule>
          <xm:sqref>L5:L15</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18"/>
  <sheetViews>
    <sheetView showGridLines="0" workbookViewId="0">
      <pane ySplit="4" topLeftCell="A5" activePane="bottomLeft" state="frozen"/>
      <selection pane="bottomLeft" activeCell="C13" sqref="C13"/>
    </sheetView>
  </sheetViews>
  <sheetFormatPr defaultColWidth="9" defaultRowHeight="14.4"/>
  <cols>
    <col min="1" max="1" width="25" style="1" customWidth="1"/>
    <col min="2" max="2" width="27" style="1" customWidth="1"/>
    <col min="3" max="3" width="31" style="1" customWidth="1"/>
    <col min="4" max="4" width="25" style="1" customWidth="1"/>
    <col min="5" max="5" width="19" style="1" customWidth="1"/>
    <col min="6" max="6" width="20" style="1" customWidth="1"/>
    <col min="7" max="7" width="29" style="1" customWidth="1"/>
    <col min="8" max="8" width="23" style="1" customWidth="1"/>
    <col min="9" max="9" width="27" style="1" customWidth="1"/>
    <col min="10" max="10" width="23" style="1" customWidth="1"/>
    <col min="11" max="11" width="3" style="1" customWidth="1"/>
    <col min="12" max="13" width="36" style="1" customWidth="1"/>
    <col min="14" max="14" width="3" style="1" customWidth="1"/>
    <col min="15" max="16" width="16" style="1" customWidth="1"/>
    <col min="17" max="17" width="3" style="1" customWidth="1"/>
    <col min="18" max="18" width="27" style="1" customWidth="1"/>
    <col min="19" max="19" width="12" style="1" customWidth="1"/>
    <col min="20" max="20" width="3" style="1" customWidth="1"/>
    <col min="21" max="21" width="34" style="1" customWidth="1"/>
    <col min="22" max="16384" width="9" style="1"/>
  </cols>
  <sheetData>
    <row r="1" spans="1:21" ht="30" customHeight="1">
      <c r="A1" s="51" t="s">
        <v>445</v>
      </c>
      <c r="B1" s="51"/>
      <c r="C1" s="51"/>
      <c r="D1" s="51"/>
      <c r="E1" s="51"/>
      <c r="F1" s="51"/>
      <c r="G1" s="51"/>
      <c r="H1" s="51"/>
      <c r="I1" s="51"/>
      <c r="J1" s="51"/>
      <c r="K1" s="51"/>
      <c r="L1" s="51"/>
      <c r="M1" s="51"/>
      <c r="N1" s="51"/>
      <c r="O1" s="51"/>
      <c r="P1" s="51"/>
      <c r="Q1" s="51"/>
      <c r="R1" s="51"/>
      <c r="S1" s="51"/>
      <c r="T1" s="51"/>
      <c r="U1" s="51"/>
    </row>
    <row r="2" spans="1:21" ht="24" customHeight="1">
      <c r="A2" s="52" t="s">
        <v>446</v>
      </c>
      <c r="B2" s="52"/>
      <c r="C2" s="52"/>
      <c r="D2" s="52"/>
      <c r="E2" s="52"/>
      <c r="F2" s="52"/>
      <c r="G2" s="52"/>
      <c r="H2" s="52"/>
      <c r="I2" s="52"/>
      <c r="J2" s="52"/>
      <c r="K2" s="52"/>
      <c r="L2" s="52"/>
      <c r="M2" s="52"/>
      <c r="N2" s="52"/>
      <c r="O2" s="52"/>
      <c r="P2" s="52"/>
      <c r="Q2" s="52"/>
      <c r="R2" s="52"/>
      <c r="S2" s="52"/>
      <c r="T2" s="52"/>
      <c r="U2" s="52"/>
    </row>
    <row r="4" spans="1:21" ht="32.1" customHeight="1">
      <c r="A4" s="2" t="s">
        <v>447</v>
      </c>
      <c r="B4" s="3" t="s">
        <v>448</v>
      </c>
      <c r="C4" s="3" t="s">
        <v>449</v>
      </c>
      <c r="D4" s="3" t="s">
        <v>450</v>
      </c>
      <c r="E4" s="3" t="s">
        <v>451</v>
      </c>
      <c r="F4" s="3" t="s">
        <v>452</v>
      </c>
      <c r="G4" s="3" t="s">
        <v>453</v>
      </c>
      <c r="H4" s="3" t="s">
        <v>454</v>
      </c>
      <c r="I4" s="3" t="s">
        <v>455</v>
      </c>
      <c r="J4" s="4" t="s">
        <v>456</v>
      </c>
      <c r="L4" s="2" t="s">
        <v>457</v>
      </c>
      <c r="M4" s="4" t="s">
        <v>458</v>
      </c>
      <c r="O4" s="2" t="s">
        <v>87</v>
      </c>
      <c r="P4" s="4" t="s">
        <v>90</v>
      </c>
      <c r="R4" s="2" t="s">
        <v>459</v>
      </c>
      <c r="S4" s="4" t="s">
        <v>460</v>
      </c>
      <c r="U4" s="45" t="s">
        <v>461</v>
      </c>
    </row>
    <row r="5" spans="1:21">
      <c r="A5" s="5" t="s">
        <v>397</v>
      </c>
      <c r="B5" s="5" t="s">
        <v>462</v>
      </c>
      <c r="C5" s="5" t="s">
        <v>463</v>
      </c>
      <c r="D5" s="5" t="s">
        <v>398</v>
      </c>
      <c r="E5" s="5" t="s">
        <v>464</v>
      </c>
      <c r="F5" s="5" t="s">
        <v>465</v>
      </c>
      <c r="G5" s="5" t="s">
        <v>466</v>
      </c>
      <c r="H5" s="5" t="s">
        <v>467</v>
      </c>
      <c r="I5" s="5" t="s">
        <v>397</v>
      </c>
      <c r="J5" s="5" t="s">
        <v>468</v>
      </c>
      <c r="L5" s="1" t="s">
        <v>108</v>
      </c>
      <c r="M5" s="1" t="s">
        <v>108</v>
      </c>
      <c r="O5" s="1" t="s">
        <v>116</v>
      </c>
      <c r="P5" s="1">
        <v>1</v>
      </c>
      <c r="R5" s="1" t="s">
        <v>469</v>
      </c>
      <c r="S5" s="46">
        <v>12</v>
      </c>
      <c r="U5" s="1" t="s">
        <v>462</v>
      </c>
    </row>
    <row r="6" spans="1:21">
      <c r="A6" s="5" t="s">
        <v>470</v>
      </c>
      <c r="B6" s="5" t="s">
        <v>471</v>
      </c>
      <c r="C6" s="5" t="s">
        <v>472</v>
      </c>
      <c r="D6" s="5" t="s">
        <v>473</v>
      </c>
      <c r="E6" s="5" t="s">
        <v>474</v>
      </c>
      <c r="F6" s="5" t="s">
        <v>475</v>
      </c>
      <c r="G6" s="5" t="s">
        <v>476</v>
      </c>
      <c r="H6" s="5" t="s">
        <v>477</v>
      </c>
      <c r="I6" s="5" t="s">
        <v>470</v>
      </c>
      <c r="J6" s="5" t="s">
        <v>478</v>
      </c>
      <c r="L6" s="1" t="s">
        <v>126</v>
      </c>
      <c r="M6" s="1" t="s">
        <v>126</v>
      </c>
      <c r="O6" s="1" t="s">
        <v>479</v>
      </c>
      <c r="P6" s="1">
        <v>1</v>
      </c>
      <c r="R6" s="1" t="s">
        <v>480</v>
      </c>
      <c r="S6" s="46">
        <v>2</v>
      </c>
      <c r="U6" s="1" t="s">
        <v>471</v>
      </c>
    </row>
    <row r="7" spans="1:21">
      <c r="A7" s="5" t="s">
        <v>481</v>
      </c>
      <c r="B7" s="5" t="s">
        <v>482</v>
      </c>
      <c r="C7" s="5" t="s">
        <v>483</v>
      </c>
      <c r="D7" s="5" t="s">
        <v>484</v>
      </c>
      <c r="E7" s="5" t="s">
        <v>485</v>
      </c>
      <c r="F7" s="5" t="s">
        <v>42</v>
      </c>
      <c r="G7" s="5" t="s">
        <v>486</v>
      </c>
      <c r="H7" s="5"/>
      <c r="I7" s="5" t="s">
        <v>68</v>
      </c>
      <c r="J7" s="5" t="s">
        <v>487</v>
      </c>
      <c r="L7" s="1" t="s">
        <v>230</v>
      </c>
      <c r="M7" s="1" t="s">
        <v>437</v>
      </c>
      <c r="O7" s="1" t="s">
        <v>107</v>
      </c>
      <c r="P7" s="1">
        <v>2</v>
      </c>
      <c r="R7" s="1" t="s">
        <v>488</v>
      </c>
      <c r="S7" s="46">
        <v>2</v>
      </c>
      <c r="U7" s="1" t="s">
        <v>482</v>
      </c>
    </row>
    <row r="8" spans="1:21">
      <c r="A8" s="5" t="s">
        <v>489</v>
      </c>
      <c r="B8" s="5" t="s">
        <v>490</v>
      </c>
      <c r="C8" s="5" t="s">
        <v>491</v>
      </c>
      <c r="D8" s="5"/>
      <c r="E8" s="5"/>
      <c r="F8" s="5" t="s">
        <v>492</v>
      </c>
      <c r="G8" s="5" t="s">
        <v>493</v>
      </c>
      <c r="H8" s="5"/>
      <c r="I8" s="5" t="s">
        <v>71</v>
      </c>
      <c r="J8" s="5" t="s">
        <v>494</v>
      </c>
      <c r="L8" s="1" t="s">
        <v>158</v>
      </c>
      <c r="M8" s="1" t="s">
        <v>158</v>
      </c>
      <c r="O8" s="1" t="s">
        <v>125</v>
      </c>
      <c r="P8" s="1">
        <v>3</v>
      </c>
      <c r="U8" s="1" t="s">
        <v>490</v>
      </c>
    </row>
    <row r="9" spans="1:21">
      <c r="A9" s="5" t="s">
        <v>495</v>
      </c>
      <c r="B9" s="5" t="s">
        <v>496</v>
      </c>
      <c r="C9" s="5" t="s">
        <v>497</v>
      </c>
      <c r="D9" s="5"/>
      <c r="E9" s="5"/>
      <c r="F9" s="5"/>
      <c r="G9" s="5"/>
      <c r="H9" s="5"/>
      <c r="I9" s="5" t="s">
        <v>73</v>
      </c>
      <c r="J9" s="5" t="s">
        <v>498</v>
      </c>
      <c r="L9" s="1" t="s">
        <v>162</v>
      </c>
      <c r="M9" s="1" t="s">
        <v>162</v>
      </c>
      <c r="U9" s="1" t="s">
        <v>496</v>
      </c>
    </row>
    <row r="10" spans="1:21">
      <c r="A10" s="5" t="s">
        <v>499</v>
      </c>
      <c r="B10" s="5"/>
      <c r="C10" s="5" t="s">
        <v>500</v>
      </c>
      <c r="D10" s="5"/>
      <c r="E10" s="5"/>
      <c r="F10" s="5"/>
      <c r="G10" s="5"/>
      <c r="H10" s="5"/>
      <c r="I10" s="5" t="s">
        <v>501</v>
      </c>
      <c r="J10" s="5" t="s">
        <v>485</v>
      </c>
      <c r="L10" s="1" t="s">
        <v>168</v>
      </c>
      <c r="M10" s="1" t="s">
        <v>168</v>
      </c>
      <c r="U10" s="1" t="s">
        <v>463</v>
      </c>
    </row>
    <row r="11" spans="1:21">
      <c r="A11" s="5"/>
      <c r="B11" s="5"/>
      <c r="C11" s="5" t="s">
        <v>502</v>
      </c>
      <c r="D11" s="5"/>
      <c r="E11" s="5"/>
      <c r="F11" s="5"/>
      <c r="G11" s="5"/>
      <c r="H11" s="5"/>
      <c r="I11" s="5" t="s">
        <v>503</v>
      </c>
      <c r="J11" s="5"/>
      <c r="L11" s="1" t="s">
        <v>214</v>
      </c>
      <c r="M11" s="1" t="s">
        <v>168</v>
      </c>
      <c r="U11" s="1" t="s">
        <v>472</v>
      </c>
    </row>
    <row r="12" spans="1:21">
      <c r="A12" s="5"/>
      <c r="B12" s="5"/>
      <c r="C12" s="5" t="s">
        <v>490</v>
      </c>
      <c r="D12" s="5"/>
      <c r="E12" s="5"/>
      <c r="F12" s="5"/>
      <c r="G12" s="5"/>
      <c r="H12" s="5"/>
      <c r="I12" s="5"/>
      <c r="J12" s="5"/>
      <c r="L12" s="1" t="s">
        <v>340</v>
      </c>
      <c r="M12" s="1" t="s">
        <v>340</v>
      </c>
      <c r="U12" s="1" t="s">
        <v>483</v>
      </c>
    </row>
    <row r="13" spans="1:21">
      <c r="A13" s="5"/>
      <c r="B13" s="5"/>
      <c r="C13" s="5" t="s">
        <v>496</v>
      </c>
      <c r="D13" s="5"/>
      <c r="E13" s="5"/>
      <c r="F13" s="5"/>
      <c r="G13" s="5"/>
      <c r="H13" s="5"/>
      <c r="I13" s="5"/>
      <c r="J13" s="5"/>
      <c r="L13" s="1" t="s">
        <v>237</v>
      </c>
      <c r="M13" s="1" t="s">
        <v>237</v>
      </c>
      <c r="U13" s="1" t="s">
        <v>491</v>
      </c>
    </row>
    <row r="14" spans="1:21">
      <c r="A14" s="5"/>
      <c r="B14" s="5"/>
      <c r="C14" s="5"/>
      <c r="D14" s="5"/>
      <c r="E14" s="5"/>
      <c r="F14" s="5"/>
      <c r="G14" s="5"/>
      <c r="H14" s="5"/>
      <c r="I14" s="5"/>
      <c r="J14" s="5"/>
      <c r="L14" s="1" t="s">
        <v>249</v>
      </c>
      <c r="M14" s="1" t="s">
        <v>249</v>
      </c>
      <c r="U14" s="1" t="s">
        <v>497</v>
      </c>
    </row>
    <row r="15" spans="1:21">
      <c r="L15" s="1" t="s">
        <v>251</v>
      </c>
      <c r="M15" s="1" t="s">
        <v>251</v>
      </c>
      <c r="U15" s="1" t="s">
        <v>500</v>
      </c>
    </row>
    <row r="16" spans="1:21">
      <c r="L16" s="1" t="s">
        <v>255</v>
      </c>
      <c r="M16" s="1" t="s">
        <v>255</v>
      </c>
      <c r="U16" s="1" t="s">
        <v>502</v>
      </c>
    </row>
    <row r="17" spans="12:13">
      <c r="L17" s="1" t="s">
        <v>259</v>
      </c>
      <c r="M17" s="1" t="s">
        <v>259</v>
      </c>
    </row>
    <row r="18" spans="12:13">
      <c r="L18" s="1" t="s">
        <v>295</v>
      </c>
      <c r="M18" s="1" t="s">
        <v>295</v>
      </c>
    </row>
  </sheetData>
  <mergeCells count="2">
    <mergeCell ref="A1:U1"/>
    <mergeCell ref="A2:U2"/>
  </mergeCell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O369"/>
  <sheetViews>
    <sheetView showGridLines="0" workbookViewId="0">
      <pane ySplit="1" topLeftCell="A9" activePane="bottomLeft" state="frozen"/>
      <selection pane="bottomLeft" activeCell="D305" sqref="A1:AO369"/>
    </sheetView>
  </sheetViews>
  <sheetFormatPr defaultColWidth="9" defaultRowHeight="14.4"/>
  <cols>
    <col min="1" max="1" width="34" style="1" customWidth="1"/>
    <col min="2" max="2" width="17" style="1" customWidth="1"/>
    <col min="3" max="3" width="34" style="1" customWidth="1"/>
    <col min="4" max="4" width="15" style="1" customWidth="1"/>
    <col min="5" max="5" width="17" style="1" customWidth="1"/>
    <col min="6" max="8" width="20" style="1" customWidth="1"/>
    <col min="9" max="9" width="19" style="1" customWidth="1"/>
    <col min="10" max="10" width="40" style="1" customWidth="1"/>
    <col min="11" max="11" width="20" style="1" customWidth="1"/>
    <col min="12" max="13" width="34" style="1" customWidth="1"/>
    <col min="14" max="14" width="14" style="1" customWidth="1"/>
    <col min="15" max="15" width="17" style="1" customWidth="1"/>
    <col min="16" max="16" width="40" style="1" customWidth="1"/>
    <col min="17" max="19" width="13" style="1" customWidth="1"/>
    <col min="20" max="20" width="16" style="1" customWidth="1"/>
    <col min="21" max="21" width="34" style="1" customWidth="1"/>
    <col min="22" max="22" width="20" style="1" customWidth="1"/>
    <col min="23" max="23" width="40" style="1" customWidth="1"/>
    <col min="24" max="24" width="16" style="1" customWidth="1"/>
    <col min="25" max="25" width="34" style="1" customWidth="1"/>
    <col min="26" max="26" width="20" style="1" customWidth="1"/>
    <col min="27" max="27" width="40" style="1" customWidth="1"/>
    <col min="28" max="28" width="16" style="1" customWidth="1"/>
    <col min="29" max="29" width="34" style="1" customWidth="1"/>
    <col min="30" max="30" width="20" style="1" customWidth="1"/>
    <col min="31" max="31" width="40" style="1" customWidth="1"/>
    <col min="32" max="32" width="16" style="1" customWidth="1"/>
    <col min="33" max="33" width="34" style="1" customWidth="1"/>
    <col min="34" max="34" width="20" style="1" customWidth="1"/>
    <col min="35" max="35" width="40" style="1" customWidth="1"/>
    <col min="36" max="36" width="34" style="1" customWidth="1"/>
    <col min="37" max="38" width="15" style="1" customWidth="1"/>
    <col min="39" max="39" width="13" style="1" customWidth="1"/>
    <col min="40" max="40" width="17" style="1" customWidth="1"/>
    <col min="41" max="41" width="26" style="1" customWidth="1"/>
    <col min="42" max="16384" width="9" style="1"/>
  </cols>
  <sheetData>
    <row r="1" spans="1:41" ht="32.1" customHeight="1">
      <c r="A1" s="2" t="s">
        <v>504</v>
      </c>
      <c r="B1" s="3" t="s">
        <v>505</v>
      </c>
      <c r="C1" s="3" t="s">
        <v>506</v>
      </c>
      <c r="D1" s="3" t="s">
        <v>507</v>
      </c>
      <c r="E1" s="3" t="s">
        <v>508</v>
      </c>
      <c r="F1" s="3" t="s">
        <v>509</v>
      </c>
      <c r="G1" s="3" t="s">
        <v>510</v>
      </c>
      <c r="H1" s="3" t="s">
        <v>511</v>
      </c>
      <c r="I1" s="3" t="s">
        <v>512</v>
      </c>
      <c r="J1" s="3" t="s">
        <v>513</v>
      </c>
      <c r="K1" s="3" t="s">
        <v>514</v>
      </c>
      <c r="L1" s="3" t="s">
        <v>515</v>
      </c>
      <c r="M1" s="3" t="s">
        <v>516</v>
      </c>
      <c r="N1" s="3" t="s">
        <v>517</v>
      </c>
      <c r="O1" s="3" t="s">
        <v>518</v>
      </c>
      <c r="P1" s="3" t="s">
        <v>519</v>
      </c>
      <c r="Q1" s="3" t="s">
        <v>520</v>
      </c>
      <c r="R1" s="3" t="s">
        <v>521</v>
      </c>
      <c r="S1" s="3" t="s">
        <v>522</v>
      </c>
      <c r="T1" s="3" t="s">
        <v>523</v>
      </c>
      <c r="U1" s="3" t="s">
        <v>524</v>
      </c>
      <c r="V1" s="3" t="s">
        <v>525</v>
      </c>
      <c r="W1" s="3" t="s">
        <v>526</v>
      </c>
      <c r="X1" s="3" t="s">
        <v>527</v>
      </c>
      <c r="Y1" s="3" t="s">
        <v>528</v>
      </c>
      <c r="Z1" s="3" t="s">
        <v>529</v>
      </c>
      <c r="AA1" s="3" t="s">
        <v>530</v>
      </c>
      <c r="AB1" s="3" t="s">
        <v>531</v>
      </c>
      <c r="AC1" s="3" t="s">
        <v>532</v>
      </c>
      <c r="AD1" s="3" t="s">
        <v>533</v>
      </c>
      <c r="AE1" s="3" t="s">
        <v>534</v>
      </c>
      <c r="AF1" s="3" t="s">
        <v>535</v>
      </c>
      <c r="AG1" s="3" t="s">
        <v>536</v>
      </c>
      <c r="AH1" s="3" t="s">
        <v>537</v>
      </c>
      <c r="AI1" s="3" t="s">
        <v>538</v>
      </c>
      <c r="AJ1" s="3" t="s">
        <v>539</v>
      </c>
      <c r="AK1" s="3" t="s">
        <v>540</v>
      </c>
      <c r="AL1" s="3" t="s">
        <v>541</v>
      </c>
      <c r="AM1" s="3" t="s">
        <v>542</v>
      </c>
      <c r="AN1" s="3" t="s">
        <v>543</v>
      </c>
      <c r="AO1" s="4" t="s">
        <v>544</v>
      </c>
    </row>
    <row r="2" spans="1:41" hidden="1">
      <c r="A2" s="27" t="s">
        <v>545</v>
      </c>
      <c r="B2" s="27" t="s">
        <v>546</v>
      </c>
      <c r="C2" s="27" t="s">
        <v>547</v>
      </c>
      <c r="D2" s="27" t="s">
        <v>548</v>
      </c>
      <c r="E2" s="27" t="s">
        <v>549</v>
      </c>
      <c r="F2" s="28" t="s">
        <v>550</v>
      </c>
      <c r="G2" s="28">
        <v>46121.16748142361</v>
      </c>
      <c r="H2" s="28" t="s">
        <v>550</v>
      </c>
      <c r="I2" s="27" t="s">
        <v>551</v>
      </c>
      <c r="J2" s="27" t="s">
        <v>552</v>
      </c>
      <c r="K2" s="27"/>
      <c r="L2" s="27"/>
      <c r="M2" s="27" t="s">
        <v>553</v>
      </c>
      <c r="N2" s="27" t="s">
        <v>554</v>
      </c>
      <c r="O2" s="27">
        <v>2637</v>
      </c>
      <c r="P2" s="27" t="s">
        <v>555</v>
      </c>
      <c r="Q2" s="27" t="s">
        <v>556</v>
      </c>
      <c r="R2" s="27" t="s">
        <v>557</v>
      </c>
      <c r="S2" s="27" t="s">
        <v>558</v>
      </c>
      <c r="T2" s="27" t="s">
        <v>559</v>
      </c>
      <c r="U2" s="27" t="s">
        <v>547</v>
      </c>
      <c r="V2" s="28" t="s">
        <v>550</v>
      </c>
      <c r="W2" s="27"/>
      <c r="X2" s="27" t="s">
        <v>549</v>
      </c>
      <c r="Y2" s="27" t="s">
        <v>560</v>
      </c>
      <c r="Z2" s="28">
        <v>46121.167481435186</v>
      </c>
      <c r="AA2" s="27"/>
      <c r="AB2" s="27"/>
      <c r="AC2" s="27" t="s">
        <v>553</v>
      </c>
      <c r="AD2" s="28"/>
      <c r="AE2" s="27"/>
      <c r="AF2" s="27"/>
      <c r="AG2" s="27" t="s">
        <v>553</v>
      </c>
      <c r="AH2" s="28"/>
      <c r="AI2" s="27"/>
      <c r="AJ2" s="27"/>
      <c r="AK2" s="27"/>
      <c r="AL2" s="27"/>
      <c r="AM2" s="27"/>
      <c r="AN2" s="27"/>
      <c r="AO2" s="27"/>
    </row>
    <row r="3" spans="1:41" hidden="1">
      <c r="A3" s="27" t="s">
        <v>561</v>
      </c>
      <c r="B3" s="27" t="s">
        <v>562</v>
      </c>
      <c r="C3" s="27" t="s">
        <v>563</v>
      </c>
      <c r="D3" s="27" t="s">
        <v>548</v>
      </c>
      <c r="E3" s="27" t="s">
        <v>549</v>
      </c>
      <c r="F3" s="28">
        <v>45827.260944212961</v>
      </c>
      <c r="G3" s="28">
        <v>46050.08617072917</v>
      </c>
      <c r="H3" s="28">
        <v>45827.260944212961</v>
      </c>
      <c r="I3" s="27" t="s">
        <v>564</v>
      </c>
      <c r="J3" s="27" t="s">
        <v>565</v>
      </c>
      <c r="K3" s="27" t="s">
        <v>566</v>
      </c>
      <c r="L3" s="27"/>
      <c r="M3" s="27" t="s">
        <v>567</v>
      </c>
      <c r="N3" s="27"/>
      <c r="O3" s="27"/>
      <c r="P3" s="27" t="s">
        <v>568</v>
      </c>
      <c r="Q3" s="27" t="s">
        <v>569</v>
      </c>
      <c r="R3" s="27" t="s">
        <v>557</v>
      </c>
      <c r="S3" s="27"/>
      <c r="T3" s="27" t="s">
        <v>559</v>
      </c>
      <c r="U3" s="27" t="s">
        <v>563</v>
      </c>
      <c r="V3" s="28">
        <v>45827.264973449077</v>
      </c>
      <c r="W3" s="27" t="s">
        <v>570</v>
      </c>
      <c r="X3" s="27" t="s">
        <v>549</v>
      </c>
      <c r="Y3" s="27" t="s">
        <v>571</v>
      </c>
      <c r="Z3" s="28">
        <v>46050.086170740738</v>
      </c>
      <c r="AA3" s="27" t="s">
        <v>572</v>
      </c>
      <c r="AB3" s="27"/>
      <c r="AC3" s="27" t="s">
        <v>573</v>
      </c>
      <c r="AD3" s="28"/>
      <c r="AE3" s="27"/>
      <c r="AF3" s="27"/>
      <c r="AG3" s="27" t="s">
        <v>108</v>
      </c>
      <c r="AH3" s="28"/>
      <c r="AI3" s="27"/>
      <c r="AJ3" s="27" t="s">
        <v>574</v>
      </c>
      <c r="AK3" s="27">
        <v>2894</v>
      </c>
      <c r="AL3" s="27"/>
      <c r="AM3" s="27"/>
      <c r="AN3" s="27"/>
      <c r="AO3" s="27"/>
    </row>
    <row r="4" spans="1:41" hidden="1">
      <c r="A4" s="27" t="s">
        <v>575</v>
      </c>
      <c r="B4" s="27" t="s">
        <v>576</v>
      </c>
      <c r="C4" s="27" t="s">
        <v>577</v>
      </c>
      <c r="D4" s="27" t="s">
        <v>548</v>
      </c>
      <c r="E4" s="27" t="s">
        <v>578</v>
      </c>
      <c r="F4" s="28">
        <v>45876.221695405089</v>
      </c>
      <c r="G4" s="28">
        <v>46050.088248171298</v>
      </c>
      <c r="H4" s="28">
        <v>45876.221695405089</v>
      </c>
      <c r="I4" s="27" t="s">
        <v>579</v>
      </c>
      <c r="J4" s="27" t="s">
        <v>580</v>
      </c>
      <c r="K4" s="27" t="s">
        <v>566</v>
      </c>
      <c r="L4" s="27"/>
      <c r="M4" s="27" t="s">
        <v>581</v>
      </c>
      <c r="N4" s="27"/>
      <c r="O4" s="27"/>
      <c r="P4" s="27" t="s">
        <v>582</v>
      </c>
      <c r="Q4" s="27" t="s">
        <v>556</v>
      </c>
      <c r="R4" s="27" t="s">
        <v>583</v>
      </c>
      <c r="S4" s="27"/>
      <c r="T4" s="27" t="s">
        <v>549</v>
      </c>
      <c r="U4" s="27" t="s">
        <v>571</v>
      </c>
      <c r="V4" s="28">
        <v>46050.088248171298</v>
      </c>
      <c r="W4" s="27"/>
      <c r="X4" s="27"/>
      <c r="Y4" s="27" t="s">
        <v>584</v>
      </c>
      <c r="Z4" s="28"/>
      <c r="AA4" s="27"/>
      <c r="AB4" s="27"/>
      <c r="AC4" s="27" t="s">
        <v>573</v>
      </c>
      <c r="AD4" s="28"/>
      <c r="AE4" s="27"/>
      <c r="AF4" s="27"/>
      <c r="AG4" s="27" t="s">
        <v>108</v>
      </c>
      <c r="AH4" s="28"/>
      <c r="AI4" s="27"/>
      <c r="AJ4" s="27" t="s">
        <v>585</v>
      </c>
      <c r="AK4" s="27" t="s">
        <v>586</v>
      </c>
      <c r="AL4" s="27"/>
      <c r="AM4" s="27"/>
      <c r="AN4" s="27"/>
      <c r="AO4" s="27"/>
    </row>
    <row r="5" spans="1:41" hidden="1">
      <c r="A5" s="27" t="s">
        <v>587</v>
      </c>
      <c r="B5" s="27" t="s">
        <v>588</v>
      </c>
      <c r="C5" s="27" t="s">
        <v>589</v>
      </c>
      <c r="D5" s="27" t="s">
        <v>548</v>
      </c>
      <c r="E5" s="27" t="s">
        <v>549</v>
      </c>
      <c r="F5" s="28">
        <v>45881.272974085645</v>
      </c>
      <c r="G5" s="28">
        <v>46050.087473784719</v>
      </c>
      <c r="H5" s="28">
        <v>45881.284514814812</v>
      </c>
      <c r="I5" s="27" t="s">
        <v>590</v>
      </c>
      <c r="J5" s="27" t="s">
        <v>591</v>
      </c>
      <c r="K5" s="27" t="s">
        <v>566</v>
      </c>
      <c r="L5" s="27"/>
      <c r="M5" s="27" t="s">
        <v>592</v>
      </c>
      <c r="N5" s="27" t="s">
        <v>593</v>
      </c>
      <c r="O5" s="27"/>
      <c r="P5" s="27" t="s">
        <v>594</v>
      </c>
      <c r="Q5" s="27" t="s">
        <v>556</v>
      </c>
      <c r="R5" s="27" t="s">
        <v>583</v>
      </c>
      <c r="S5" s="27"/>
      <c r="T5" s="27" t="s">
        <v>559</v>
      </c>
      <c r="U5" s="27" t="s">
        <v>589</v>
      </c>
      <c r="V5" s="28">
        <v>45881.286248101853</v>
      </c>
      <c r="W5" s="27" t="s">
        <v>595</v>
      </c>
      <c r="X5" s="27" t="s">
        <v>549</v>
      </c>
      <c r="Y5" s="27" t="s">
        <v>571</v>
      </c>
      <c r="Z5" s="28">
        <v>46050.087473796295</v>
      </c>
      <c r="AA5" s="27" t="s">
        <v>572</v>
      </c>
      <c r="AB5" s="27"/>
      <c r="AC5" s="27" t="s">
        <v>573</v>
      </c>
      <c r="AD5" s="28"/>
      <c r="AE5" s="27"/>
      <c r="AF5" s="27"/>
      <c r="AG5" s="27" t="s">
        <v>573</v>
      </c>
      <c r="AH5" s="28"/>
      <c r="AI5" s="27"/>
      <c r="AJ5" s="27" t="s">
        <v>596</v>
      </c>
      <c r="AK5" s="27">
        <v>3020</v>
      </c>
      <c r="AL5" s="27"/>
      <c r="AM5" s="27"/>
      <c r="AN5" s="27"/>
      <c r="AO5" s="27"/>
    </row>
    <row r="6" spans="1:41" hidden="1">
      <c r="A6" s="27" t="s">
        <v>597</v>
      </c>
      <c r="B6" s="27" t="s">
        <v>598</v>
      </c>
      <c r="C6" s="27" t="s">
        <v>599</v>
      </c>
      <c r="D6" s="27" t="s">
        <v>548</v>
      </c>
      <c r="E6" s="27" t="s">
        <v>549</v>
      </c>
      <c r="F6" s="28">
        <v>45918.153243194443</v>
      </c>
      <c r="G6" s="28">
        <v>46050.082638449072</v>
      </c>
      <c r="H6" s="28">
        <v>45918.153243194443</v>
      </c>
      <c r="I6" s="27" t="s">
        <v>600</v>
      </c>
      <c r="J6" s="27" t="s">
        <v>601</v>
      </c>
      <c r="K6" s="27" t="s">
        <v>566</v>
      </c>
      <c r="L6" s="27"/>
      <c r="M6" s="27" t="s">
        <v>602</v>
      </c>
      <c r="N6" s="27"/>
      <c r="O6" s="27"/>
      <c r="P6" s="27" t="s">
        <v>603</v>
      </c>
      <c r="Q6" s="27" t="s">
        <v>556</v>
      </c>
      <c r="R6" s="27" t="s">
        <v>583</v>
      </c>
      <c r="S6" s="27"/>
      <c r="T6" s="27" t="s">
        <v>559</v>
      </c>
      <c r="U6" s="27" t="s">
        <v>599</v>
      </c>
      <c r="V6" s="28">
        <v>45918.156149074071</v>
      </c>
      <c r="W6" s="27" t="s">
        <v>604</v>
      </c>
      <c r="X6" s="27" t="s">
        <v>549</v>
      </c>
      <c r="Y6" s="27" t="s">
        <v>571</v>
      </c>
      <c r="Z6" s="28">
        <v>46050.082638460648</v>
      </c>
      <c r="AA6" s="27" t="s">
        <v>605</v>
      </c>
      <c r="AB6" s="27"/>
      <c r="AC6" s="27" t="s">
        <v>573</v>
      </c>
      <c r="AD6" s="28"/>
      <c r="AE6" s="27"/>
      <c r="AF6" s="27"/>
      <c r="AG6" s="27" t="s">
        <v>108</v>
      </c>
      <c r="AH6" s="28"/>
      <c r="AI6" s="27"/>
      <c r="AJ6" s="27" t="s">
        <v>606</v>
      </c>
      <c r="AK6" s="27">
        <v>4129</v>
      </c>
      <c r="AL6" s="27"/>
      <c r="AM6" s="27"/>
      <c r="AN6" s="27"/>
      <c r="AO6" s="27"/>
    </row>
    <row r="7" spans="1:41" hidden="1">
      <c r="A7" s="27" t="s">
        <v>607</v>
      </c>
      <c r="B7" s="27" t="s">
        <v>608</v>
      </c>
      <c r="C7" s="27" t="s">
        <v>609</v>
      </c>
      <c r="D7" s="27" t="s">
        <v>548</v>
      </c>
      <c r="E7" s="27" t="s">
        <v>578</v>
      </c>
      <c r="F7" s="28">
        <v>45933.332721932871</v>
      </c>
      <c r="G7" s="28">
        <v>46050.079275520831</v>
      </c>
      <c r="H7" s="28">
        <v>45933.332721932871</v>
      </c>
      <c r="I7" s="27" t="s">
        <v>610</v>
      </c>
      <c r="J7" s="27" t="s">
        <v>611</v>
      </c>
      <c r="K7" s="27" t="s">
        <v>566</v>
      </c>
      <c r="L7" s="27"/>
      <c r="M7" s="27" t="s">
        <v>609</v>
      </c>
      <c r="N7" s="27" t="s">
        <v>612</v>
      </c>
      <c r="O7" s="27" t="s">
        <v>552</v>
      </c>
      <c r="P7" s="27" t="s">
        <v>613</v>
      </c>
      <c r="Q7" s="27" t="s">
        <v>556</v>
      </c>
      <c r="R7" s="27" t="s">
        <v>583</v>
      </c>
      <c r="S7" s="27"/>
      <c r="T7" s="27" t="s">
        <v>549</v>
      </c>
      <c r="U7" s="27" t="s">
        <v>571</v>
      </c>
      <c r="V7" s="28">
        <v>46050.079275532407</v>
      </c>
      <c r="W7" s="27" t="s">
        <v>614</v>
      </c>
      <c r="X7" s="27"/>
      <c r="Y7" s="27" t="s">
        <v>609</v>
      </c>
      <c r="Z7" s="28"/>
      <c r="AA7" s="27"/>
      <c r="AB7" s="27"/>
      <c r="AC7" s="27" t="s">
        <v>573</v>
      </c>
      <c r="AD7" s="28"/>
      <c r="AE7" s="27"/>
      <c r="AF7" s="27"/>
      <c r="AG7" s="27" t="s">
        <v>108</v>
      </c>
      <c r="AH7" s="28"/>
      <c r="AI7" s="27"/>
      <c r="AJ7" s="27" t="s">
        <v>615</v>
      </c>
      <c r="AK7" s="27">
        <v>4064</v>
      </c>
      <c r="AL7" s="27"/>
      <c r="AM7" s="27"/>
      <c r="AN7" s="27"/>
      <c r="AO7" s="27"/>
    </row>
    <row r="8" spans="1:41" hidden="1">
      <c r="A8" s="27" t="s">
        <v>616</v>
      </c>
      <c r="B8" s="27" t="s">
        <v>617</v>
      </c>
      <c r="C8" s="27" t="s">
        <v>618</v>
      </c>
      <c r="D8" s="27" t="s">
        <v>548</v>
      </c>
      <c r="E8" s="27" t="s">
        <v>549</v>
      </c>
      <c r="F8" s="28">
        <v>45945.38449571759</v>
      </c>
      <c r="G8" s="28">
        <v>46139.101671076387</v>
      </c>
      <c r="H8" s="28">
        <v>45945.38449571759</v>
      </c>
      <c r="I8" s="27" t="s">
        <v>619</v>
      </c>
      <c r="J8" s="27" t="s">
        <v>620</v>
      </c>
      <c r="K8" s="27" t="s">
        <v>566</v>
      </c>
      <c r="L8" s="27"/>
      <c r="M8" s="27" t="s">
        <v>621</v>
      </c>
      <c r="N8" s="27"/>
      <c r="O8" s="27"/>
      <c r="P8" s="27" t="s">
        <v>622</v>
      </c>
      <c r="Q8" s="27" t="s">
        <v>623</v>
      </c>
      <c r="R8" s="27" t="s">
        <v>583</v>
      </c>
      <c r="S8" s="27"/>
      <c r="T8" s="27" t="s">
        <v>559</v>
      </c>
      <c r="U8" s="27" t="s">
        <v>624</v>
      </c>
      <c r="V8" s="28">
        <v>46136.178880023152</v>
      </c>
      <c r="W8" s="27" t="s">
        <v>559</v>
      </c>
      <c r="X8" s="27" t="s">
        <v>559</v>
      </c>
      <c r="Y8" s="27" t="s">
        <v>624</v>
      </c>
      <c r="Z8" s="28">
        <v>46136.179360925926</v>
      </c>
      <c r="AA8" s="27" t="s">
        <v>559</v>
      </c>
      <c r="AB8" s="27" t="s">
        <v>549</v>
      </c>
      <c r="AC8" s="27" t="s">
        <v>571</v>
      </c>
      <c r="AD8" s="28">
        <v>46139.101671087963</v>
      </c>
      <c r="AE8" s="27" t="s">
        <v>625</v>
      </c>
      <c r="AF8" s="27"/>
      <c r="AG8" s="27" t="s">
        <v>108</v>
      </c>
      <c r="AH8" s="28"/>
      <c r="AI8" s="27"/>
      <c r="AJ8" s="27" t="s">
        <v>626</v>
      </c>
      <c r="AK8" s="27">
        <v>1221</v>
      </c>
      <c r="AL8" s="27"/>
      <c r="AM8" s="27"/>
      <c r="AN8" s="27"/>
      <c r="AO8" s="27"/>
    </row>
    <row r="9" spans="1:41">
      <c r="A9" s="27" t="s">
        <v>627</v>
      </c>
      <c r="B9" s="27" t="s">
        <v>226</v>
      </c>
      <c r="C9" s="27" t="s">
        <v>618</v>
      </c>
      <c r="D9" s="27" t="s">
        <v>548</v>
      </c>
      <c r="E9" s="27" t="s">
        <v>67</v>
      </c>
      <c r="F9" s="28">
        <v>45945.388504953706</v>
      </c>
      <c r="G9" s="28">
        <v>46229.694736990743</v>
      </c>
      <c r="H9" s="28">
        <v>46217.116284594907</v>
      </c>
      <c r="I9" s="27" t="s">
        <v>227</v>
      </c>
      <c r="J9" s="27" t="s">
        <v>228</v>
      </c>
      <c r="K9" s="27" t="s">
        <v>566</v>
      </c>
      <c r="L9" s="27"/>
      <c r="M9" s="27" t="s">
        <v>621</v>
      </c>
      <c r="N9" s="27"/>
      <c r="O9" s="27"/>
      <c r="P9" s="27" t="s">
        <v>628</v>
      </c>
      <c r="Q9" s="27" t="s">
        <v>623</v>
      </c>
      <c r="R9" s="27" t="s">
        <v>583</v>
      </c>
      <c r="S9" s="27"/>
      <c r="T9" s="27" t="s">
        <v>559</v>
      </c>
      <c r="U9" s="27" t="s">
        <v>618</v>
      </c>
      <c r="V9" s="28">
        <v>46217.259185925926</v>
      </c>
      <c r="W9" s="27" t="s">
        <v>629</v>
      </c>
      <c r="X9" s="27" t="s">
        <v>559</v>
      </c>
      <c r="Y9" s="27" t="s">
        <v>624</v>
      </c>
      <c r="Z9" s="28">
        <v>46220.102257557868</v>
      </c>
      <c r="AA9" s="27" t="s">
        <v>630</v>
      </c>
      <c r="AB9" s="27" t="s">
        <v>559</v>
      </c>
      <c r="AC9" s="27" t="s">
        <v>162</v>
      </c>
      <c r="AD9" s="28">
        <v>46229.694737013888</v>
      </c>
      <c r="AE9" s="27" t="s">
        <v>631</v>
      </c>
      <c r="AF9" s="27"/>
      <c r="AG9" s="27" t="s">
        <v>126</v>
      </c>
      <c r="AH9" s="28"/>
      <c r="AI9" s="27"/>
      <c r="AJ9" s="27" t="s">
        <v>632</v>
      </c>
      <c r="AK9" s="27" t="s">
        <v>633</v>
      </c>
      <c r="AL9" s="27" t="s">
        <v>107</v>
      </c>
      <c r="AM9" s="27" t="s">
        <v>634</v>
      </c>
      <c r="AN9" s="27"/>
      <c r="AO9" s="27"/>
    </row>
    <row r="10" spans="1:41" hidden="1">
      <c r="A10" s="27" t="s">
        <v>635</v>
      </c>
      <c r="B10" s="27" t="s">
        <v>636</v>
      </c>
      <c r="C10" s="27" t="s">
        <v>637</v>
      </c>
      <c r="D10" s="27" t="s">
        <v>548</v>
      </c>
      <c r="E10" s="27" t="s">
        <v>638</v>
      </c>
      <c r="F10" s="28">
        <v>45947.114237604168</v>
      </c>
      <c r="G10" s="28">
        <v>46069.334303090276</v>
      </c>
      <c r="H10" s="28">
        <v>46059.378132199075</v>
      </c>
      <c r="I10" s="27" t="s">
        <v>639</v>
      </c>
      <c r="J10" s="27" t="s">
        <v>640</v>
      </c>
      <c r="K10" s="27" t="s">
        <v>566</v>
      </c>
      <c r="L10" s="27"/>
      <c r="M10" s="27" t="s">
        <v>641</v>
      </c>
      <c r="N10" s="27"/>
      <c r="O10" s="27"/>
      <c r="P10" s="27" t="s">
        <v>642</v>
      </c>
      <c r="Q10" s="27" t="s">
        <v>643</v>
      </c>
      <c r="R10" s="27" t="s">
        <v>644</v>
      </c>
      <c r="S10" s="27"/>
      <c r="T10" s="27" t="s">
        <v>559</v>
      </c>
      <c r="U10" s="27" t="s">
        <v>637</v>
      </c>
      <c r="V10" s="28">
        <v>46059.378663715281</v>
      </c>
      <c r="W10" s="27" t="s">
        <v>645</v>
      </c>
      <c r="X10" s="27" t="s">
        <v>559</v>
      </c>
      <c r="Y10" s="27" t="s">
        <v>646</v>
      </c>
      <c r="Z10" s="28">
        <v>46059.551196585649</v>
      </c>
      <c r="AA10" s="27" t="s">
        <v>647</v>
      </c>
      <c r="AB10" s="27" t="s">
        <v>559</v>
      </c>
      <c r="AC10" s="27" t="s">
        <v>571</v>
      </c>
      <c r="AD10" s="28">
        <v>46064.081498194442</v>
      </c>
      <c r="AE10" s="27" t="s">
        <v>648</v>
      </c>
      <c r="AF10" s="27" t="s">
        <v>559</v>
      </c>
      <c r="AG10" s="27" t="s">
        <v>571</v>
      </c>
      <c r="AH10" s="28">
        <v>46069.334303090276</v>
      </c>
      <c r="AI10" s="27" t="s">
        <v>649</v>
      </c>
      <c r="AJ10" s="27" t="s">
        <v>650</v>
      </c>
      <c r="AK10" s="27">
        <v>1938</v>
      </c>
      <c r="AL10" s="27" t="s">
        <v>116</v>
      </c>
      <c r="AM10" s="27" t="s">
        <v>651</v>
      </c>
      <c r="AN10" s="27"/>
      <c r="AO10" s="27"/>
    </row>
    <row r="11" spans="1:41" hidden="1">
      <c r="A11" s="27" t="s">
        <v>652</v>
      </c>
      <c r="B11" s="27" t="s">
        <v>653</v>
      </c>
      <c r="C11" s="27" t="s">
        <v>654</v>
      </c>
      <c r="D11" s="27" t="s">
        <v>548</v>
      </c>
      <c r="E11" s="27" t="s">
        <v>549</v>
      </c>
      <c r="F11" s="28">
        <v>45958.015837974533</v>
      </c>
      <c r="G11" s="28">
        <v>46050.377831712962</v>
      </c>
      <c r="H11" s="28">
        <v>45958.015837974533</v>
      </c>
      <c r="I11" s="27" t="s">
        <v>655</v>
      </c>
      <c r="J11" s="27" t="s">
        <v>656</v>
      </c>
      <c r="K11" s="27" t="s">
        <v>566</v>
      </c>
      <c r="L11" s="27"/>
      <c r="M11" s="27" t="s">
        <v>657</v>
      </c>
      <c r="N11" s="27"/>
      <c r="O11" s="27">
        <v>2090</v>
      </c>
      <c r="P11" s="27" t="s">
        <v>658</v>
      </c>
      <c r="Q11" s="27" t="s">
        <v>623</v>
      </c>
      <c r="R11" s="27" t="s">
        <v>659</v>
      </c>
      <c r="S11" s="27"/>
      <c r="T11" s="27" t="s">
        <v>559</v>
      </c>
      <c r="U11" s="27" t="s">
        <v>654</v>
      </c>
      <c r="V11" s="28">
        <v>45958.017802152775</v>
      </c>
      <c r="W11" s="27" t="s">
        <v>660</v>
      </c>
      <c r="X11" s="27" t="s">
        <v>559</v>
      </c>
      <c r="Y11" s="27" t="s">
        <v>661</v>
      </c>
      <c r="Z11" s="28">
        <v>46050.342239490739</v>
      </c>
      <c r="AA11" s="27" t="s">
        <v>662</v>
      </c>
      <c r="AB11" s="27" t="s">
        <v>549</v>
      </c>
      <c r="AC11" s="27" t="s">
        <v>571</v>
      </c>
      <c r="AD11" s="28">
        <v>46050.377831712962</v>
      </c>
      <c r="AE11" s="27" t="s">
        <v>663</v>
      </c>
      <c r="AF11" s="27"/>
      <c r="AG11" s="27" t="s">
        <v>108</v>
      </c>
      <c r="AH11" s="28"/>
      <c r="AI11" s="27"/>
      <c r="AJ11" s="27" t="s">
        <v>664</v>
      </c>
      <c r="AK11" s="27">
        <v>2090</v>
      </c>
      <c r="AL11" s="27"/>
      <c r="AM11" s="27"/>
      <c r="AN11" s="27" t="s">
        <v>665</v>
      </c>
      <c r="AO11" s="27">
        <v>0</v>
      </c>
    </row>
    <row r="12" spans="1:41" hidden="1">
      <c r="A12" s="27" t="s">
        <v>666</v>
      </c>
      <c r="B12" s="27" t="s">
        <v>667</v>
      </c>
      <c r="C12" s="27" t="s">
        <v>654</v>
      </c>
      <c r="D12" s="27" t="s">
        <v>548</v>
      </c>
      <c r="E12" s="27" t="s">
        <v>668</v>
      </c>
      <c r="F12" s="28">
        <v>45958.019097453704</v>
      </c>
      <c r="G12" s="28">
        <v>46050.341665439817</v>
      </c>
      <c r="H12" s="28">
        <v>45958.019097453704</v>
      </c>
      <c r="I12" s="27" t="s">
        <v>655</v>
      </c>
      <c r="J12" s="27" t="s">
        <v>656</v>
      </c>
      <c r="K12" s="27" t="s">
        <v>566</v>
      </c>
      <c r="L12" s="27"/>
      <c r="M12" s="27" t="s">
        <v>657</v>
      </c>
      <c r="N12" s="27"/>
      <c r="O12" s="27">
        <v>2090</v>
      </c>
      <c r="P12" s="27" t="s">
        <v>669</v>
      </c>
      <c r="Q12" s="27" t="s">
        <v>623</v>
      </c>
      <c r="R12" s="27" t="s">
        <v>659</v>
      </c>
      <c r="S12" s="27"/>
      <c r="T12" s="27" t="s">
        <v>559</v>
      </c>
      <c r="U12" s="27" t="s">
        <v>661</v>
      </c>
      <c r="V12" s="28">
        <v>46050.341665451386</v>
      </c>
      <c r="W12" s="27" t="s">
        <v>670</v>
      </c>
      <c r="X12" s="27"/>
      <c r="Y12" s="27" t="s">
        <v>661</v>
      </c>
      <c r="Z12" s="28"/>
      <c r="AA12" s="27"/>
      <c r="AB12" s="27"/>
      <c r="AC12" s="27" t="s">
        <v>573</v>
      </c>
      <c r="AD12" s="28"/>
      <c r="AE12" s="27"/>
      <c r="AF12" s="27"/>
      <c r="AG12" s="27" t="s">
        <v>108</v>
      </c>
      <c r="AH12" s="28"/>
      <c r="AI12" s="27"/>
      <c r="AJ12" s="27" t="s">
        <v>664</v>
      </c>
      <c r="AK12" s="27">
        <v>2090</v>
      </c>
      <c r="AL12" s="27"/>
      <c r="AM12" s="27"/>
      <c r="AN12" s="27" t="s">
        <v>665</v>
      </c>
      <c r="AO12" s="27">
        <v>0</v>
      </c>
    </row>
    <row r="13" spans="1:41" hidden="1">
      <c r="A13" s="27" t="s">
        <v>671</v>
      </c>
      <c r="B13" s="27" t="s">
        <v>672</v>
      </c>
      <c r="C13" s="27" t="s">
        <v>673</v>
      </c>
      <c r="D13" s="27" t="s">
        <v>548</v>
      </c>
      <c r="E13" s="27" t="s">
        <v>638</v>
      </c>
      <c r="F13" s="28">
        <v>45981.192138310187</v>
      </c>
      <c r="G13" s="28">
        <v>46048.294902384259</v>
      </c>
      <c r="H13" s="28">
        <v>45981.192138310187</v>
      </c>
      <c r="I13" s="27" t="s">
        <v>674</v>
      </c>
      <c r="J13" s="27" t="s">
        <v>675</v>
      </c>
      <c r="K13" s="27" t="s">
        <v>676</v>
      </c>
      <c r="L13" s="27" t="s">
        <v>552</v>
      </c>
      <c r="M13" s="27" t="s">
        <v>677</v>
      </c>
      <c r="N13" s="27"/>
      <c r="O13" s="27"/>
      <c r="P13" s="27" t="s">
        <v>678</v>
      </c>
      <c r="Q13" s="27" t="s">
        <v>556</v>
      </c>
      <c r="R13" s="27" t="s">
        <v>583</v>
      </c>
      <c r="S13" s="27"/>
      <c r="T13" s="27" t="s">
        <v>559</v>
      </c>
      <c r="U13" s="27" t="s">
        <v>673</v>
      </c>
      <c r="V13" s="28">
        <v>45981.192754444448</v>
      </c>
      <c r="W13" s="27" t="s">
        <v>679</v>
      </c>
      <c r="X13" s="27" t="s">
        <v>559</v>
      </c>
      <c r="Y13" s="27" t="s">
        <v>680</v>
      </c>
      <c r="Z13" s="28">
        <v>45995.21524046296</v>
      </c>
      <c r="AA13" s="27" t="s">
        <v>681</v>
      </c>
      <c r="AB13" s="27" t="s">
        <v>559</v>
      </c>
      <c r="AC13" s="27" t="s">
        <v>571</v>
      </c>
      <c r="AD13" s="28">
        <v>46042.30823962963</v>
      </c>
      <c r="AE13" s="27" t="s">
        <v>682</v>
      </c>
      <c r="AF13" s="27" t="s">
        <v>559</v>
      </c>
      <c r="AG13" s="27" t="s">
        <v>683</v>
      </c>
      <c r="AH13" s="28">
        <v>46048.294902395835</v>
      </c>
      <c r="AI13" s="27" t="s">
        <v>684</v>
      </c>
      <c r="AJ13" s="27" t="s">
        <v>685</v>
      </c>
      <c r="AK13" s="27">
        <v>10017</v>
      </c>
      <c r="AL13" s="27" t="s">
        <v>107</v>
      </c>
      <c r="AM13" s="27" t="s">
        <v>686</v>
      </c>
      <c r="AN13" s="27" t="s">
        <v>687</v>
      </c>
      <c r="AO13" s="27">
        <v>0</v>
      </c>
    </row>
    <row r="14" spans="1:41" hidden="1">
      <c r="A14" s="27" t="s">
        <v>688</v>
      </c>
      <c r="B14" s="27" t="s">
        <v>689</v>
      </c>
      <c r="C14" s="27" t="s">
        <v>690</v>
      </c>
      <c r="D14" s="27" t="s">
        <v>548</v>
      </c>
      <c r="E14" s="27" t="s">
        <v>638</v>
      </c>
      <c r="F14" s="28">
        <v>45986.376623854165</v>
      </c>
      <c r="G14" s="28">
        <v>46136.177765127315</v>
      </c>
      <c r="H14" s="28">
        <v>45986.376623854165</v>
      </c>
      <c r="I14" s="27" t="s">
        <v>691</v>
      </c>
      <c r="J14" s="27" t="s">
        <v>692</v>
      </c>
      <c r="K14" s="27" t="s">
        <v>566</v>
      </c>
      <c r="L14" s="27"/>
      <c r="M14" s="27" t="s">
        <v>624</v>
      </c>
      <c r="N14" s="27"/>
      <c r="O14" s="27"/>
      <c r="P14" s="27" t="s">
        <v>693</v>
      </c>
      <c r="Q14" s="27" t="s">
        <v>623</v>
      </c>
      <c r="R14" s="27" t="s">
        <v>583</v>
      </c>
      <c r="S14" s="27"/>
      <c r="T14" s="27" t="s">
        <v>559</v>
      </c>
      <c r="U14" s="27" t="s">
        <v>690</v>
      </c>
      <c r="V14" s="28">
        <v>45986.377288946758</v>
      </c>
      <c r="W14" s="27" t="s">
        <v>694</v>
      </c>
      <c r="X14" s="27" t="s">
        <v>559</v>
      </c>
      <c r="Y14" s="27" t="s">
        <v>624</v>
      </c>
      <c r="Z14" s="28">
        <v>46136.176340891201</v>
      </c>
      <c r="AA14" s="27" t="s">
        <v>559</v>
      </c>
      <c r="AB14" s="27" t="s">
        <v>559</v>
      </c>
      <c r="AC14" s="27" t="s">
        <v>624</v>
      </c>
      <c r="AD14" s="28">
        <v>46136.1771902662</v>
      </c>
      <c r="AE14" s="27" t="s">
        <v>559</v>
      </c>
      <c r="AF14" s="27" t="s">
        <v>559</v>
      </c>
      <c r="AG14" s="27" t="s">
        <v>624</v>
      </c>
      <c r="AH14" s="28">
        <v>46136.177765138891</v>
      </c>
      <c r="AI14" s="27" t="s">
        <v>559</v>
      </c>
      <c r="AJ14" s="27" t="s">
        <v>695</v>
      </c>
      <c r="AK14" s="27">
        <v>1266</v>
      </c>
      <c r="AL14" s="27" t="s">
        <v>107</v>
      </c>
      <c r="AM14" s="27" t="s">
        <v>696</v>
      </c>
      <c r="AN14" s="27" t="s">
        <v>665</v>
      </c>
      <c r="AO14" s="27">
        <v>0</v>
      </c>
    </row>
    <row r="15" spans="1:41" hidden="1">
      <c r="A15" s="27" t="s">
        <v>697</v>
      </c>
      <c r="B15" s="27" t="s">
        <v>698</v>
      </c>
      <c r="C15" s="27" t="s">
        <v>699</v>
      </c>
      <c r="D15" s="27" t="s">
        <v>548</v>
      </c>
      <c r="E15" s="27" t="s">
        <v>549</v>
      </c>
      <c r="F15" s="28">
        <v>45988.318851747688</v>
      </c>
      <c r="G15" s="28">
        <v>46047.724322256945</v>
      </c>
      <c r="H15" s="28">
        <v>45991.895173310186</v>
      </c>
      <c r="I15" s="27" t="s">
        <v>700</v>
      </c>
      <c r="J15" s="27" t="s">
        <v>701</v>
      </c>
      <c r="K15" s="27" t="s">
        <v>676</v>
      </c>
      <c r="L15" s="27" t="s">
        <v>702</v>
      </c>
      <c r="M15" s="27" t="s">
        <v>703</v>
      </c>
      <c r="N15" s="27" t="s">
        <v>704</v>
      </c>
      <c r="O15" s="27"/>
      <c r="P15" s="27" t="s">
        <v>705</v>
      </c>
      <c r="Q15" s="27" t="s">
        <v>556</v>
      </c>
      <c r="R15" s="27" t="s">
        <v>583</v>
      </c>
      <c r="S15" s="27"/>
      <c r="T15" s="27" t="s">
        <v>559</v>
      </c>
      <c r="U15" s="27" t="s">
        <v>699</v>
      </c>
      <c r="V15" s="28">
        <v>45991.902633344907</v>
      </c>
      <c r="W15" s="27" t="s">
        <v>706</v>
      </c>
      <c r="X15" s="27" t="s">
        <v>559</v>
      </c>
      <c r="Y15" s="27" t="s">
        <v>703</v>
      </c>
      <c r="Z15" s="28">
        <v>46000.286519479167</v>
      </c>
      <c r="AA15" s="27" t="s">
        <v>707</v>
      </c>
      <c r="AB15" s="27" t="s">
        <v>549</v>
      </c>
      <c r="AC15" s="27" t="s">
        <v>571</v>
      </c>
      <c r="AD15" s="28">
        <v>46047.724322268521</v>
      </c>
      <c r="AE15" s="27" t="s">
        <v>708</v>
      </c>
      <c r="AF15" s="27"/>
      <c r="AG15" s="27" t="s">
        <v>573</v>
      </c>
      <c r="AH15" s="28"/>
      <c r="AI15" s="27"/>
      <c r="AJ15" s="27" t="s">
        <v>709</v>
      </c>
      <c r="AK15" s="27">
        <v>592</v>
      </c>
      <c r="AL15" s="27"/>
      <c r="AM15" s="27"/>
      <c r="AN15" s="27" t="s">
        <v>710</v>
      </c>
      <c r="AO15" s="27">
        <v>30</v>
      </c>
    </row>
    <row r="16" spans="1:41" hidden="1">
      <c r="A16" s="27" t="s">
        <v>711</v>
      </c>
      <c r="B16" s="27" t="s">
        <v>712</v>
      </c>
      <c r="C16" s="27" t="s">
        <v>713</v>
      </c>
      <c r="D16" s="27" t="s">
        <v>548</v>
      </c>
      <c r="E16" s="27" t="s">
        <v>578</v>
      </c>
      <c r="F16" s="28">
        <v>45989.44871517361</v>
      </c>
      <c r="G16" s="28">
        <v>46050.077927789353</v>
      </c>
      <c r="H16" s="28">
        <v>45989.44871517361</v>
      </c>
      <c r="I16" s="27" t="s">
        <v>714</v>
      </c>
      <c r="J16" s="27" t="s">
        <v>715</v>
      </c>
      <c r="K16" s="27" t="s">
        <v>566</v>
      </c>
      <c r="L16" s="27"/>
      <c r="M16" s="27" t="s">
        <v>716</v>
      </c>
      <c r="N16" s="27"/>
      <c r="O16" s="27" t="s">
        <v>717</v>
      </c>
      <c r="P16" s="27" t="s">
        <v>718</v>
      </c>
      <c r="Q16" s="27" t="s">
        <v>556</v>
      </c>
      <c r="R16" s="27" t="s">
        <v>583</v>
      </c>
      <c r="S16" s="27"/>
      <c r="T16" s="27" t="s">
        <v>549</v>
      </c>
      <c r="U16" s="27" t="s">
        <v>571</v>
      </c>
      <c r="V16" s="28">
        <v>46050.077927800929</v>
      </c>
      <c r="W16" s="27" t="s">
        <v>614</v>
      </c>
      <c r="X16" s="27"/>
      <c r="Y16" s="27" t="s">
        <v>716</v>
      </c>
      <c r="Z16" s="28"/>
      <c r="AA16" s="27"/>
      <c r="AB16" s="27"/>
      <c r="AC16" s="27" t="s">
        <v>573</v>
      </c>
      <c r="AD16" s="28"/>
      <c r="AE16" s="27"/>
      <c r="AF16" s="27"/>
      <c r="AG16" s="27" t="s">
        <v>108</v>
      </c>
      <c r="AH16" s="28"/>
      <c r="AI16" s="27"/>
      <c r="AJ16" s="27" t="s">
        <v>719</v>
      </c>
      <c r="AK16" s="27" t="s">
        <v>720</v>
      </c>
      <c r="AL16" s="27"/>
      <c r="AM16" s="27"/>
      <c r="AN16" s="27" t="s">
        <v>665</v>
      </c>
      <c r="AO16" s="27">
        <v>0</v>
      </c>
    </row>
    <row r="17" spans="1:41" hidden="1">
      <c r="A17" s="27" t="s">
        <v>721</v>
      </c>
      <c r="B17" s="27" t="s">
        <v>722</v>
      </c>
      <c r="C17" s="27" t="s">
        <v>699</v>
      </c>
      <c r="D17" s="27" t="s">
        <v>548</v>
      </c>
      <c r="E17" s="27" t="s">
        <v>549</v>
      </c>
      <c r="F17" s="28">
        <v>45991.90715431713</v>
      </c>
      <c r="G17" s="28">
        <v>46047.724448692126</v>
      </c>
      <c r="H17" s="28">
        <v>45991.90715431713</v>
      </c>
      <c r="I17" s="27" t="s">
        <v>723</v>
      </c>
      <c r="J17" s="27" t="s">
        <v>724</v>
      </c>
      <c r="K17" s="27" t="s">
        <v>566</v>
      </c>
      <c r="L17" s="27"/>
      <c r="M17" s="27" t="s">
        <v>703</v>
      </c>
      <c r="N17" s="27" t="s">
        <v>704</v>
      </c>
      <c r="O17" s="27" t="s">
        <v>725</v>
      </c>
      <c r="P17" s="27" t="s">
        <v>726</v>
      </c>
      <c r="Q17" s="27" t="s">
        <v>623</v>
      </c>
      <c r="R17" s="27" t="s">
        <v>583</v>
      </c>
      <c r="S17" s="27"/>
      <c r="T17" s="27" t="s">
        <v>559</v>
      </c>
      <c r="U17" s="27" t="s">
        <v>699</v>
      </c>
      <c r="V17" s="28">
        <v>45991.911276307874</v>
      </c>
      <c r="W17" s="27" t="s">
        <v>727</v>
      </c>
      <c r="X17" s="27" t="s">
        <v>559</v>
      </c>
      <c r="Y17" s="27" t="s">
        <v>703</v>
      </c>
      <c r="Z17" s="28">
        <v>46000.287257048614</v>
      </c>
      <c r="AA17" s="27" t="s">
        <v>728</v>
      </c>
      <c r="AB17" s="27" t="s">
        <v>549</v>
      </c>
      <c r="AC17" s="27" t="s">
        <v>571</v>
      </c>
      <c r="AD17" s="28">
        <v>46047.724448692126</v>
      </c>
      <c r="AE17" s="27" t="s">
        <v>708</v>
      </c>
      <c r="AF17" s="27"/>
      <c r="AG17" s="27" t="s">
        <v>108</v>
      </c>
      <c r="AH17" s="28"/>
      <c r="AI17" s="27"/>
      <c r="AJ17" s="27" t="s">
        <v>729</v>
      </c>
      <c r="AK17" s="27" t="s">
        <v>725</v>
      </c>
      <c r="AL17" s="27"/>
      <c r="AM17" s="27"/>
      <c r="AN17" s="27" t="s">
        <v>710</v>
      </c>
      <c r="AO17" s="27">
        <v>30</v>
      </c>
    </row>
    <row r="18" spans="1:41" hidden="1">
      <c r="A18" s="27" t="s">
        <v>730</v>
      </c>
      <c r="B18" s="27" t="s">
        <v>731</v>
      </c>
      <c r="C18" s="27" t="s">
        <v>713</v>
      </c>
      <c r="D18" s="27" t="s">
        <v>548</v>
      </c>
      <c r="E18" s="27" t="s">
        <v>578</v>
      </c>
      <c r="F18" s="28">
        <v>45993.124247465275</v>
      </c>
      <c r="G18" s="28">
        <v>46050.078206435188</v>
      </c>
      <c r="H18" s="28">
        <v>45993.124247465275</v>
      </c>
      <c r="I18" s="27" t="s">
        <v>732</v>
      </c>
      <c r="J18" s="27" t="s">
        <v>733</v>
      </c>
      <c r="K18" s="27" t="s">
        <v>566</v>
      </c>
      <c r="L18" s="27"/>
      <c r="M18" s="27" t="s">
        <v>716</v>
      </c>
      <c r="N18" s="27"/>
      <c r="O18" s="27"/>
      <c r="P18" s="27" t="s">
        <v>734</v>
      </c>
      <c r="Q18" s="27" t="s">
        <v>556</v>
      </c>
      <c r="R18" s="27" t="s">
        <v>583</v>
      </c>
      <c r="S18" s="27"/>
      <c r="T18" s="27" t="s">
        <v>549</v>
      </c>
      <c r="U18" s="27" t="s">
        <v>571</v>
      </c>
      <c r="V18" s="28">
        <v>46050.078206435188</v>
      </c>
      <c r="W18" s="27" t="s">
        <v>614</v>
      </c>
      <c r="X18" s="27"/>
      <c r="Y18" s="27" t="s">
        <v>716</v>
      </c>
      <c r="Z18" s="28"/>
      <c r="AA18" s="27"/>
      <c r="AB18" s="27"/>
      <c r="AC18" s="27" t="s">
        <v>573</v>
      </c>
      <c r="AD18" s="28"/>
      <c r="AE18" s="27"/>
      <c r="AF18" s="27"/>
      <c r="AG18" s="27" t="s">
        <v>108</v>
      </c>
      <c r="AH18" s="28"/>
      <c r="AI18" s="27"/>
      <c r="AJ18" s="27" t="s">
        <v>735</v>
      </c>
      <c r="AK18" s="27" t="s">
        <v>736</v>
      </c>
      <c r="AL18" s="27"/>
      <c r="AM18" s="27"/>
      <c r="AN18" s="27" t="s">
        <v>665</v>
      </c>
      <c r="AO18" s="27">
        <v>0</v>
      </c>
    </row>
    <row r="19" spans="1:41" hidden="1">
      <c r="A19" s="27" t="s">
        <v>737</v>
      </c>
      <c r="B19" s="27" t="s">
        <v>738</v>
      </c>
      <c r="C19" s="27" t="s">
        <v>699</v>
      </c>
      <c r="D19" s="27" t="s">
        <v>548</v>
      </c>
      <c r="E19" s="27" t="s">
        <v>549</v>
      </c>
      <c r="F19" s="28">
        <v>45995.348835358796</v>
      </c>
      <c r="G19" s="28">
        <v>46047.723683923614</v>
      </c>
      <c r="H19" s="28">
        <v>45995.348835358796</v>
      </c>
      <c r="I19" s="27" t="s">
        <v>739</v>
      </c>
      <c r="J19" s="27" t="s">
        <v>740</v>
      </c>
      <c r="K19" s="27" t="s">
        <v>676</v>
      </c>
      <c r="L19" s="27" t="s">
        <v>741</v>
      </c>
      <c r="M19" s="27" t="s">
        <v>703</v>
      </c>
      <c r="N19" s="27" t="s">
        <v>704</v>
      </c>
      <c r="O19" s="27" t="s">
        <v>742</v>
      </c>
      <c r="P19" s="27" t="s">
        <v>743</v>
      </c>
      <c r="Q19" s="27" t="s">
        <v>556</v>
      </c>
      <c r="R19" s="27" t="s">
        <v>583</v>
      </c>
      <c r="S19" s="27"/>
      <c r="T19" s="27" t="s">
        <v>559</v>
      </c>
      <c r="U19" s="27" t="s">
        <v>699</v>
      </c>
      <c r="V19" s="28">
        <v>45995.349261412041</v>
      </c>
      <c r="W19" s="27" t="s">
        <v>744</v>
      </c>
      <c r="X19" s="27" t="s">
        <v>559</v>
      </c>
      <c r="Y19" s="27" t="s">
        <v>703</v>
      </c>
      <c r="Z19" s="28">
        <v>46000.287770405092</v>
      </c>
      <c r="AA19" s="27" t="s">
        <v>745</v>
      </c>
      <c r="AB19" s="27" t="s">
        <v>549</v>
      </c>
      <c r="AC19" s="27" t="s">
        <v>571</v>
      </c>
      <c r="AD19" s="28">
        <v>46047.723683935183</v>
      </c>
      <c r="AE19" s="27" t="s">
        <v>708</v>
      </c>
      <c r="AF19" s="27"/>
      <c r="AG19" s="27" t="s">
        <v>108</v>
      </c>
      <c r="AH19" s="28"/>
      <c r="AI19" s="27"/>
      <c r="AJ19" s="27" t="s">
        <v>746</v>
      </c>
      <c r="AK19" s="27" t="s">
        <v>742</v>
      </c>
      <c r="AL19" s="27"/>
      <c r="AM19" s="27"/>
      <c r="AN19" s="27" t="s">
        <v>710</v>
      </c>
      <c r="AO19" s="27">
        <v>30</v>
      </c>
    </row>
    <row r="20" spans="1:41" hidden="1">
      <c r="A20" s="27" t="s">
        <v>747</v>
      </c>
      <c r="B20" s="27" t="s">
        <v>748</v>
      </c>
      <c r="C20" s="27" t="s">
        <v>749</v>
      </c>
      <c r="D20" s="27" t="s">
        <v>548</v>
      </c>
      <c r="E20" s="27" t="s">
        <v>638</v>
      </c>
      <c r="F20" s="28">
        <v>46002.121400289354</v>
      </c>
      <c r="G20" s="28">
        <v>46037.246828136573</v>
      </c>
      <c r="H20" s="28">
        <v>46029.093737361109</v>
      </c>
      <c r="I20" s="27" t="s">
        <v>750</v>
      </c>
      <c r="J20" s="27" t="s">
        <v>751</v>
      </c>
      <c r="K20" s="27" t="s">
        <v>676</v>
      </c>
      <c r="L20" s="27" t="s">
        <v>752</v>
      </c>
      <c r="M20" s="27" t="s">
        <v>753</v>
      </c>
      <c r="N20" s="27" t="s">
        <v>754</v>
      </c>
      <c r="O20" s="27"/>
      <c r="P20" s="27" t="s">
        <v>755</v>
      </c>
      <c r="Q20" s="27" t="s">
        <v>556</v>
      </c>
      <c r="R20" s="27" t="s">
        <v>583</v>
      </c>
      <c r="S20" s="27"/>
      <c r="T20" s="27" t="s">
        <v>559</v>
      </c>
      <c r="U20" s="27" t="s">
        <v>749</v>
      </c>
      <c r="V20" s="28">
        <v>46029.094456932871</v>
      </c>
      <c r="W20" s="27" t="s">
        <v>756</v>
      </c>
      <c r="X20" s="27" t="s">
        <v>559</v>
      </c>
      <c r="Y20" s="27" t="s">
        <v>753</v>
      </c>
      <c r="Z20" s="28">
        <v>46030.138899930556</v>
      </c>
      <c r="AA20" s="27" t="s">
        <v>559</v>
      </c>
      <c r="AB20" s="27" t="s">
        <v>559</v>
      </c>
      <c r="AC20" s="27" t="s">
        <v>571</v>
      </c>
      <c r="AD20" s="28">
        <v>46031.305408541666</v>
      </c>
      <c r="AE20" s="27" t="s">
        <v>757</v>
      </c>
      <c r="AF20" s="27" t="s">
        <v>559</v>
      </c>
      <c r="AG20" s="27" t="s">
        <v>571</v>
      </c>
      <c r="AH20" s="28">
        <v>46037.246828136573</v>
      </c>
      <c r="AI20" s="27" t="s">
        <v>649</v>
      </c>
      <c r="AJ20" s="27" t="s">
        <v>758</v>
      </c>
      <c r="AK20" s="27" t="s">
        <v>759</v>
      </c>
      <c r="AL20" s="27" t="s">
        <v>107</v>
      </c>
      <c r="AM20" s="27" t="s">
        <v>760</v>
      </c>
      <c r="AN20" s="27" t="s">
        <v>710</v>
      </c>
      <c r="AO20" s="27">
        <v>14</v>
      </c>
    </row>
    <row r="21" spans="1:41" hidden="1">
      <c r="A21" s="27" t="s">
        <v>761</v>
      </c>
      <c r="B21" s="27" t="s">
        <v>762</v>
      </c>
      <c r="C21" s="27" t="s">
        <v>763</v>
      </c>
      <c r="D21" s="27" t="s">
        <v>548</v>
      </c>
      <c r="E21" s="27" t="s">
        <v>638</v>
      </c>
      <c r="F21" s="28">
        <v>46010.09860125</v>
      </c>
      <c r="G21" s="28">
        <v>46027.370540034724</v>
      </c>
      <c r="H21" s="28">
        <v>46010.09860125</v>
      </c>
      <c r="I21" s="27" t="s">
        <v>764</v>
      </c>
      <c r="J21" s="27" t="s">
        <v>765</v>
      </c>
      <c r="K21" s="27" t="s">
        <v>566</v>
      </c>
      <c r="L21" s="27"/>
      <c r="M21" s="27" t="s">
        <v>766</v>
      </c>
      <c r="N21" s="27" t="s">
        <v>767</v>
      </c>
      <c r="O21" s="27">
        <v>4594</v>
      </c>
      <c r="P21" s="27" t="s">
        <v>768</v>
      </c>
      <c r="Q21" s="27" t="s">
        <v>623</v>
      </c>
      <c r="R21" s="27" t="s">
        <v>644</v>
      </c>
      <c r="S21" s="27"/>
      <c r="T21" s="27" t="s">
        <v>559</v>
      </c>
      <c r="U21" s="27" t="s">
        <v>763</v>
      </c>
      <c r="V21" s="28">
        <v>46010.130798252314</v>
      </c>
      <c r="W21" s="27" t="s">
        <v>768</v>
      </c>
      <c r="X21" s="27" t="s">
        <v>559</v>
      </c>
      <c r="Y21" s="27" t="s">
        <v>769</v>
      </c>
      <c r="Z21" s="28">
        <v>46013.41591048611</v>
      </c>
      <c r="AA21" s="27" t="s">
        <v>681</v>
      </c>
      <c r="AB21" s="27" t="s">
        <v>559</v>
      </c>
      <c r="AC21" s="27" t="s">
        <v>571</v>
      </c>
      <c r="AD21" s="28">
        <v>46015.124819699071</v>
      </c>
      <c r="AE21" s="27" t="s">
        <v>770</v>
      </c>
      <c r="AF21" s="27" t="s">
        <v>559</v>
      </c>
      <c r="AG21" s="27" t="s">
        <v>683</v>
      </c>
      <c r="AH21" s="28">
        <v>46027.370540046293</v>
      </c>
      <c r="AI21" s="27" t="s">
        <v>684</v>
      </c>
      <c r="AJ21" s="27" t="s">
        <v>771</v>
      </c>
      <c r="AK21" s="27">
        <v>584</v>
      </c>
      <c r="AL21" s="27" t="s">
        <v>107</v>
      </c>
      <c r="AM21" s="27" t="s">
        <v>772</v>
      </c>
      <c r="AN21" s="27" t="s">
        <v>665</v>
      </c>
      <c r="AO21" s="27">
        <v>0</v>
      </c>
    </row>
    <row r="22" spans="1:41" hidden="1">
      <c r="A22" s="27" t="s">
        <v>773</v>
      </c>
      <c r="B22" s="27" t="s">
        <v>774</v>
      </c>
      <c r="C22" s="27" t="s">
        <v>775</v>
      </c>
      <c r="D22" s="27" t="s">
        <v>548</v>
      </c>
      <c r="E22" s="27" t="s">
        <v>638</v>
      </c>
      <c r="F22" s="28">
        <v>46013.305329826391</v>
      </c>
      <c r="G22" s="28">
        <v>46031.086544687503</v>
      </c>
      <c r="H22" s="28">
        <v>46013.305329826391</v>
      </c>
      <c r="I22" s="27" t="s">
        <v>776</v>
      </c>
      <c r="J22" s="27" t="s">
        <v>777</v>
      </c>
      <c r="K22" s="27" t="s">
        <v>566</v>
      </c>
      <c r="L22" s="27"/>
      <c r="M22" s="27" t="s">
        <v>778</v>
      </c>
      <c r="N22" s="27"/>
      <c r="O22" s="27"/>
      <c r="P22" s="27" t="s">
        <v>779</v>
      </c>
      <c r="Q22" s="27" t="s">
        <v>556</v>
      </c>
      <c r="R22" s="27" t="s">
        <v>659</v>
      </c>
      <c r="S22" s="27"/>
      <c r="T22" s="27" t="s">
        <v>559</v>
      </c>
      <c r="U22" s="27" t="s">
        <v>775</v>
      </c>
      <c r="V22" s="28">
        <v>46013.306402581016</v>
      </c>
      <c r="W22" s="27" t="s">
        <v>780</v>
      </c>
      <c r="X22" s="27" t="s">
        <v>559</v>
      </c>
      <c r="Y22" s="27" t="s">
        <v>778</v>
      </c>
      <c r="Z22" s="28">
        <v>46027.139406388887</v>
      </c>
      <c r="AA22" s="27" t="s">
        <v>781</v>
      </c>
      <c r="AB22" s="27" t="s">
        <v>559</v>
      </c>
      <c r="AC22" s="27" t="s">
        <v>571</v>
      </c>
      <c r="AD22" s="28">
        <v>46028.101410925927</v>
      </c>
      <c r="AE22" s="27" t="s">
        <v>782</v>
      </c>
      <c r="AF22" s="27" t="s">
        <v>559</v>
      </c>
      <c r="AG22" s="27" t="s">
        <v>571</v>
      </c>
      <c r="AH22" s="28">
        <v>46031.086544699072</v>
      </c>
      <c r="AI22" s="27" t="s">
        <v>649</v>
      </c>
      <c r="AJ22" s="27" t="s">
        <v>783</v>
      </c>
      <c r="AK22" s="27" t="s">
        <v>784</v>
      </c>
      <c r="AL22" s="27" t="s">
        <v>116</v>
      </c>
      <c r="AM22" s="27" t="s">
        <v>785</v>
      </c>
      <c r="AN22" s="27" t="s">
        <v>665</v>
      </c>
      <c r="AO22" s="27">
        <v>0</v>
      </c>
    </row>
    <row r="23" spans="1:41" hidden="1">
      <c r="A23" s="27" t="s">
        <v>786</v>
      </c>
      <c r="B23" s="27" t="s">
        <v>787</v>
      </c>
      <c r="C23" s="27" t="s">
        <v>788</v>
      </c>
      <c r="D23" s="27" t="s">
        <v>548</v>
      </c>
      <c r="E23" s="27" t="s">
        <v>638</v>
      </c>
      <c r="F23" s="28">
        <v>46014.15188853009</v>
      </c>
      <c r="G23" s="28">
        <v>46048.322827326389</v>
      </c>
      <c r="H23" s="28">
        <v>46014.15188853009</v>
      </c>
      <c r="I23" s="27" t="s">
        <v>789</v>
      </c>
      <c r="J23" s="27" t="s">
        <v>789</v>
      </c>
      <c r="K23" s="27" t="s">
        <v>676</v>
      </c>
      <c r="L23" s="27" t="s">
        <v>790</v>
      </c>
      <c r="M23" s="27" t="s">
        <v>791</v>
      </c>
      <c r="N23" s="27"/>
      <c r="O23" s="27"/>
      <c r="P23" s="27" t="s">
        <v>792</v>
      </c>
      <c r="Q23" s="27" t="s">
        <v>556</v>
      </c>
      <c r="R23" s="27" t="s">
        <v>583</v>
      </c>
      <c r="S23" s="27"/>
      <c r="T23" s="27" t="s">
        <v>559</v>
      </c>
      <c r="U23" s="27" t="s">
        <v>788</v>
      </c>
      <c r="V23" s="28">
        <v>46014.152945324073</v>
      </c>
      <c r="W23" s="27" t="s">
        <v>793</v>
      </c>
      <c r="X23" s="27" t="s">
        <v>559</v>
      </c>
      <c r="Y23" s="27" t="s">
        <v>791</v>
      </c>
      <c r="Z23" s="28">
        <v>46027.267196354165</v>
      </c>
      <c r="AA23" s="27" t="s">
        <v>794</v>
      </c>
      <c r="AB23" s="27" t="s">
        <v>559</v>
      </c>
      <c r="AC23" s="27" t="s">
        <v>571</v>
      </c>
      <c r="AD23" s="28">
        <v>46028.104025706016</v>
      </c>
      <c r="AE23" s="27" t="s">
        <v>795</v>
      </c>
      <c r="AF23" s="27" t="s">
        <v>559</v>
      </c>
      <c r="AG23" s="27" t="s">
        <v>796</v>
      </c>
      <c r="AH23" s="28">
        <v>46048.322827337965</v>
      </c>
      <c r="AI23" s="27" t="s">
        <v>797</v>
      </c>
      <c r="AJ23" s="27" t="s">
        <v>798</v>
      </c>
      <c r="AK23" s="27" t="s">
        <v>799</v>
      </c>
      <c r="AL23" s="27" t="s">
        <v>107</v>
      </c>
      <c r="AM23" s="27" t="s">
        <v>800</v>
      </c>
      <c r="AN23" s="27" t="s">
        <v>687</v>
      </c>
      <c r="AO23" s="27">
        <v>0</v>
      </c>
    </row>
    <row r="24" spans="1:41" hidden="1">
      <c r="A24" s="27" t="s">
        <v>801</v>
      </c>
      <c r="B24" s="27" t="s">
        <v>802</v>
      </c>
      <c r="C24" s="27" t="s">
        <v>803</v>
      </c>
      <c r="D24" s="27" t="s">
        <v>548</v>
      </c>
      <c r="E24" s="27" t="s">
        <v>638</v>
      </c>
      <c r="F24" s="28">
        <v>46014.291653553242</v>
      </c>
      <c r="G24" s="28">
        <v>46059.216265300929</v>
      </c>
      <c r="H24" s="28">
        <v>46014.291653553242</v>
      </c>
      <c r="I24" s="27" t="s">
        <v>804</v>
      </c>
      <c r="J24" s="27" t="s">
        <v>805</v>
      </c>
      <c r="K24" s="27" t="s">
        <v>676</v>
      </c>
      <c r="L24" s="27" t="s">
        <v>806</v>
      </c>
      <c r="M24" s="27" t="s">
        <v>807</v>
      </c>
      <c r="N24" s="27"/>
      <c r="O24" s="27"/>
      <c r="P24" s="27" t="s">
        <v>808</v>
      </c>
      <c r="Q24" s="27" t="s">
        <v>643</v>
      </c>
      <c r="R24" s="27" t="s">
        <v>809</v>
      </c>
      <c r="S24" s="27"/>
      <c r="T24" s="27" t="s">
        <v>559</v>
      </c>
      <c r="U24" s="27" t="s">
        <v>803</v>
      </c>
      <c r="V24" s="28">
        <v>46014.295405949073</v>
      </c>
      <c r="W24" s="27" t="s">
        <v>810</v>
      </c>
      <c r="X24" s="27" t="s">
        <v>559</v>
      </c>
      <c r="Y24" s="27" t="s">
        <v>807</v>
      </c>
      <c r="Z24" s="28">
        <v>46050.335932002316</v>
      </c>
      <c r="AA24" s="27" t="s">
        <v>811</v>
      </c>
      <c r="AB24" s="27" t="s">
        <v>559</v>
      </c>
      <c r="AC24" s="27" t="s">
        <v>571</v>
      </c>
      <c r="AD24" s="28">
        <v>46050.348726562501</v>
      </c>
      <c r="AE24" s="27" t="s">
        <v>812</v>
      </c>
      <c r="AF24" s="27" t="s">
        <v>559</v>
      </c>
      <c r="AG24" s="27" t="s">
        <v>683</v>
      </c>
      <c r="AH24" s="28">
        <v>46059.216265312498</v>
      </c>
      <c r="AI24" s="27" t="s">
        <v>684</v>
      </c>
      <c r="AJ24" s="27" t="s">
        <v>813</v>
      </c>
      <c r="AK24" s="27">
        <v>10055</v>
      </c>
      <c r="AL24" s="27" t="s">
        <v>107</v>
      </c>
      <c r="AM24" s="27" t="s">
        <v>814</v>
      </c>
      <c r="AN24" s="27" t="s">
        <v>710</v>
      </c>
      <c r="AO24" s="27"/>
    </row>
    <row r="25" spans="1:41" hidden="1">
      <c r="A25" s="27" t="s">
        <v>815</v>
      </c>
      <c r="B25" s="27" t="s">
        <v>816</v>
      </c>
      <c r="C25" s="27" t="s">
        <v>817</v>
      </c>
      <c r="D25" s="27" t="s">
        <v>548</v>
      </c>
      <c r="E25" s="27" t="s">
        <v>638</v>
      </c>
      <c r="F25" s="28">
        <v>46014.320965358798</v>
      </c>
      <c r="G25" s="28">
        <v>46083.353320289352</v>
      </c>
      <c r="H25" s="28">
        <v>46014.320965358798</v>
      </c>
      <c r="I25" s="27" t="s">
        <v>818</v>
      </c>
      <c r="J25" s="27" t="s">
        <v>724</v>
      </c>
      <c r="K25" s="27" t="s">
        <v>566</v>
      </c>
      <c r="L25" s="27"/>
      <c r="M25" s="27" t="s">
        <v>819</v>
      </c>
      <c r="N25" s="27"/>
      <c r="O25" s="27"/>
      <c r="P25" s="27" t="s">
        <v>820</v>
      </c>
      <c r="Q25" s="27" t="s">
        <v>623</v>
      </c>
      <c r="R25" s="27" t="s">
        <v>583</v>
      </c>
      <c r="S25" s="27"/>
      <c r="T25" s="27" t="s">
        <v>559</v>
      </c>
      <c r="U25" s="27" t="s">
        <v>817</v>
      </c>
      <c r="V25" s="28">
        <v>46014.328062361114</v>
      </c>
      <c r="W25" s="27" t="s">
        <v>821</v>
      </c>
      <c r="X25" s="27" t="s">
        <v>559</v>
      </c>
      <c r="Y25" s="27" t="s">
        <v>819</v>
      </c>
      <c r="Z25" s="28">
        <v>46076.157491550926</v>
      </c>
      <c r="AA25" s="27" t="s">
        <v>822</v>
      </c>
      <c r="AB25" s="27" t="s">
        <v>559</v>
      </c>
      <c r="AC25" s="27" t="s">
        <v>571</v>
      </c>
      <c r="AD25" s="28">
        <v>46077.098174583334</v>
      </c>
      <c r="AE25" s="27" t="s">
        <v>823</v>
      </c>
      <c r="AF25" s="27" t="s">
        <v>559</v>
      </c>
      <c r="AG25" s="27" t="s">
        <v>683</v>
      </c>
      <c r="AH25" s="28">
        <v>46083.353320300928</v>
      </c>
      <c r="AI25" s="27" t="s">
        <v>824</v>
      </c>
      <c r="AJ25" s="27" t="s">
        <v>729</v>
      </c>
      <c r="AK25" s="27" t="s">
        <v>725</v>
      </c>
      <c r="AL25" s="27" t="s">
        <v>107</v>
      </c>
      <c r="AM25" s="27" t="s">
        <v>825</v>
      </c>
      <c r="AN25" s="27" t="s">
        <v>665</v>
      </c>
      <c r="AO25" s="27">
        <v>0</v>
      </c>
    </row>
    <row r="26" spans="1:41" hidden="1">
      <c r="A26" s="27" t="s">
        <v>826</v>
      </c>
      <c r="B26" s="27" t="s">
        <v>827</v>
      </c>
      <c r="C26" s="27" t="s">
        <v>817</v>
      </c>
      <c r="D26" s="27" t="s">
        <v>548</v>
      </c>
      <c r="E26" s="27" t="s">
        <v>638</v>
      </c>
      <c r="F26" s="28">
        <v>46014.330027662036</v>
      </c>
      <c r="G26" s="28">
        <v>46084.149601597222</v>
      </c>
      <c r="H26" s="28">
        <v>46014.330027662036</v>
      </c>
      <c r="I26" s="27" t="s">
        <v>818</v>
      </c>
      <c r="J26" s="27" t="s">
        <v>828</v>
      </c>
      <c r="K26" s="27" t="s">
        <v>566</v>
      </c>
      <c r="L26" s="27"/>
      <c r="M26" s="27" t="s">
        <v>819</v>
      </c>
      <c r="N26" s="27"/>
      <c r="O26" s="27"/>
      <c r="P26" s="27" t="s">
        <v>829</v>
      </c>
      <c r="Q26" s="27" t="s">
        <v>623</v>
      </c>
      <c r="R26" s="27" t="s">
        <v>583</v>
      </c>
      <c r="S26" s="27"/>
      <c r="T26" s="27" t="s">
        <v>559</v>
      </c>
      <c r="U26" s="27" t="s">
        <v>817</v>
      </c>
      <c r="V26" s="28">
        <v>46014.330819097224</v>
      </c>
      <c r="W26" s="27" t="s">
        <v>829</v>
      </c>
      <c r="X26" s="27" t="s">
        <v>559</v>
      </c>
      <c r="Y26" s="27" t="s">
        <v>819</v>
      </c>
      <c r="Z26" s="28">
        <v>46076.156565451391</v>
      </c>
      <c r="AA26" s="27" t="s">
        <v>822</v>
      </c>
      <c r="AB26" s="27" t="s">
        <v>559</v>
      </c>
      <c r="AC26" s="27" t="s">
        <v>571</v>
      </c>
      <c r="AD26" s="28">
        <v>46077.097926712966</v>
      </c>
      <c r="AE26" s="27" t="s">
        <v>823</v>
      </c>
      <c r="AF26" s="27" t="s">
        <v>559</v>
      </c>
      <c r="AG26" s="27" t="s">
        <v>683</v>
      </c>
      <c r="AH26" s="28">
        <v>46084.149601597222</v>
      </c>
      <c r="AI26" s="27" t="s">
        <v>830</v>
      </c>
      <c r="AJ26" s="27" t="s">
        <v>729</v>
      </c>
      <c r="AK26" s="27" t="s">
        <v>831</v>
      </c>
      <c r="AL26" s="27" t="s">
        <v>107</v>
      </c>
      <c r="AM26" s="27" t="s">
        <v>832</v>
      </c>
      <c r="AN26" s="27" t="s">
        <v>665</v>
      </c>
      <c r="AO26" s="27">
        <v>0</v>
      </c>
    </row>
    <row r="27" spans="1:41" hidden="1">
      <c r="A27" s="27" t="s">
        <v>833</v>
      </c>
      <c r="B27" s="27" t="s">
        <v>834</v>
      </c>
      <c r="C27" s="27" t="s">
        <v>835</v>
      </c>
      <c r="D27" s="27" t="s">
        <v>548</v>
      </c>
      <c r="E27" s="27" t="s">
        <v>638</v>
      </c>
      <c r="F27" s="28">
        <v>46014.361186180555</v>
      </c>
      <c r="G27" s="28">
        <v>46028.332864490738</v>
      </c>
      <c r="H27" s="28">
        <v>46014.362696840275</v>
      </c>
      <c r="I27" s="27" t="s">
        <v>836</v>
      </c>
      <c r="J27" s="27" t="s">
        <v>837</v>
      </c>
      <c r="K27" s="27" t="s">
        <v>566</v>
      </c>
      <c r="L27" s="27"/>
      <c r="M27" s="27" t="s">
        <v>838</v>
      </c>
      <c r="N27" s="27" t="s">
        <v>839</v>
      </c>
      <c r="O27" s="27"/>
      <c r="P27" s="27" t="s">
        <v>840</v>
      </c>
      <c r="Q27" s="27" t="s">
        <v>643</v>
      </c>
      <c r="R27" s="27" t="s">
        <v>583</v>
      </c>
      <c r="S27" s="27"/>
      <c r="T27" s="27" t="s">
        <v>559</v>
      </c>
      <c r="U27" s="27" t="s">
        <v>835</v>
      </c>
      <c r="V27" s="28">
        <v>46014.365099571762</v>
      </c>
      <c r="W27" s="27" t="s">
        <v>841</v>
      </c>
      <c r="X27" s="27" t="s">
        <v>559</v>
      </c>
      <c r="Y27" s="27" t="s">
        <v>842</v>
      </c>
      <c r="Z27" s="28">
        <v>46027.305764606484</v>
      </c>
      <c r="AA27" s="27" t="s">
        <v>843</v>
      </c>
      <c r="AB27" s="27" t="s">
        <v>559</v>
      </c>
      <c r="AC27" s="27" t="s">
        <v>683</v>
      </c>
      <c r="AD27" s="28">
        <v>46027.552840868055</v>
      </c>
      <c r="AE27" s="27" t="s">
        <v>844</v>
      </c>
      <c r="AF27" s="27" t="s">
        <v>559</v>
      </c>
      <c r="AG27" s="27" t="s">
        <v>683</v>
      </c>
      <c r="AH27" s="28">
        <v>46028.33286451389</v>
      </c>
      <c r="AI27" s="27" t="s">
        <v>684</v>
      </c>
      <c r="AJ27" s="27" t="s">
        <v>845</v>
      </c>
      <c r="AK27" s="27" t="s">
        <v>846</v>
      </c>
      <c r="AL27" s="27" t="s">
        <v>107</v>
      </c>
      <c r="AM27" s="27" t="s">
        <v>847</v>
      </c>
      <c r="AN27" s="27" t="s">
        <v>665</v>
      </c>
      <c r="AO27" s="27">
        <v>0</v>
      </c>
    </row>
    <row r="28" spans="1:41" hidden="1">
      <c r="A28" s="27" t="s">
        <v>848</v>
      </c>
      <c r="B28" s="27" t="s">
        <v>849</v>
      </c>
      <c r="C28" s="27" t="s">
        <v>850</v>
      </c>
      <c r="D28" s="27" t="s">
        <v>548</v>
      </c>
      <c r="E28" s="27" t="s">
        <v>638</v>
      </c>
      <c r="F28" s="28">
        <v>46015.073464675923</v>
      </c>
      <c r="G28" s="28">
        <v>46031.086179201389</v>
      </c>
      <c r="H28" s="28">
        <v>46015.073464675923</v>
      </c>
      <c r="I28" s="27" t="s">
        <v>851</v>
      </c>
      <c r="J28" s="27" t="s">
        <v>852</v>
      </c>
      <c r="K28" s="27" t="s">
        <v>566</v>
      </c>
      <c r="L28" s="27"/>
      <c r="M28" s="27" t="s">
        <v>778</v>
      </c>
      <c r="N28" s="27"/>
      <c r="O28" s="27"/>
      <c r="P28" s="27" t="s">
        <v>779</v>
      </c>
      <c r="Q28" s="27" t="s">
        <v>556</v>
      </c>
      <c r="R28" s="27" t="s">
        <v>659</v>
      </c>
      <c r="S28" s="27"/>
      <c r="T28" s="27" t="s">
        <v>559</v>
      </c>
      <c r="U28" s="27" t="s">
        <v>850</v>
      </c>
      <c r="V28" s="28">
        <v>46015.074693750001</v>
      </c>
      <c r="W28" s="27" t="s">
        <v>779</v>
      </c>
      <c r="X28" s="27" t="s">
        <v>559</v>
      </c>
      <c r="Y28" s="27" t="s">
        <v>778</v>
      </c>
      <c r="Z28" s="28">
        <v>46027.139220335652</v>
      </c>
      <c r="AA28" s="27" t="s">
        <v>781</v>
      </c>
      <c r="AB28" s="27" t="s">
        <v>559</v>
      </c>
      <c r="AC28" s="27" t="s">
        <v>571</v>
      </c>
      <c r="AD28" s="28">
        <v>46028.089728506944</v>
      </c>
      <c r="AE28" s="27" t="s">
        <v>853</v>
      </c>
      <c r="AF28" s="27" t="s">
        <v>559</v>
      </c>
      <c r="AG28" s="27" t="s">
        <v>571</v>
      </c>
      <c r="AH28" s="28">
        <v>46031.086179201389</v>
      </c>
      <c r="AI28" s="27" t="s">
        <v>649</v>
      </c>
      <c r="AJ28" s="27" t="s">
        <v>854</v>
      </c>
      <c r="AK28" s="27">
        <v>4631</v>
      </c>
      <c r="AL28" s="27" t="s">
        <v>116</v>
      </c>
      <c r="AM28" s="27" t="s">
        <v>855</v>
      </c>
      <c r="AN28" s="27" t="s">
        <v>665</v>
      </c>
      <c r="AO28" s="27">
        <v>0</v>
      </c>
    </row>
    <row r="29" spans="1:41" hidden="1">
      <c r="A29" s="27" t="s">
        <v>856</v>
      </c>
      <c r="B29" s="27" t="s">
        <v>857</v>
      </c>
      <c r="C29" s="27" t="s">
        <v>858</v>
      </c>
      <c r="D29" s="27" t="s">
        <v>548</v>
      </c>
      <c r="E29" s="27" t="s">
        <v>638</v>
      </c>
      <c r="F29" s="28">
        <v>46015.17047128472</v>
      </c>
      <c r="G29" s="28">
        <v>46049.135106111113</v>
      </c>
      <c r="H29" s="28">
        <v>46015.17047128472</v>
      </c>
      <c r="I29" s="27" t="s">
        <v>859</v>
      </c>
      <c r="J29" s="27" t="s">
        <v>860</v>
      </c>
      <c r="K29" s="27" t="s">
        <v>676</v>
      </c>
      <c r="L29" s="27" t="s">
        <v>861</v>
      </c>
      <c r="M29" s="27" t="s">
        <v>862</v>
      </c>
      <c r="N29" s="27" t="s">
        <v>863</v>
      </c>
      <c r="O29" s="27">
        <v>3866</v>
      </c>
      <c r="P29" s="27" t="s">
        <v>864</v>
      </c>
      <c r="Q29" s="27" t="s">
        <v>569</v>
      </c>
      <c r="R29" s="27" t="s">
        <v>583</v>
      </c>
      <c r="S29" s="27"/>
      <c r="T29" s="27" t="s">
        <v>559</v>
      </c>
      <c r="U29" s="27" t="s">
        <v>858</v>
      </c>
      <c r="V29" s="28">
        <v>46015.197000347223</v>
      </c>
      <c r="W29" s="27" t="s">
        <v>865</v>
      </c>
      <c r="X29" s="27" t="s">
        <v>559</v>
      </c>
      <c r="Y29" s="27" t="s">
        <v>866</v>
      </c>
      <c r="Z29" s="28">
        <v>46017.056192349541</v>
      </c>
      <c r="AA29" s="27" t="s">
        <v>867</v>
      </c>
      <c r="AB29" s="27" t="s">
        <v>559</v>
      </c>
      <c r="AC29" s="27" t="s">
        <v>571</v>
      </c>
      <c r="AD29" s="28">
        <v>46028.111101585651</v>
      </c>
      <c r="AE29" s="27" t="s">
        <v>868</v>
      </c>
      <c r="AF29" s="27" t="s">
        <v>559</v>
      </c>
      <c r="AG29" s="27" t="s">
        <v>683</v>
      </c>
      <c r="AH29" s="28">
        <v>46049.135106122689</v>
      </c>
      <c r="AI29" s="27" t="s">
        <v>684</v>
      </c>
      <c r="AJ29" s="27" t="s">
        <v>869</v>
      </c>
      <c r="AK29" s="27">
        <v>3866</v>
      </c>
      <c r="AL29" s="27" t="s">
        <v>107</v>
      </c>
      <c r="AM29" s="27" t="s">
        <v>870</v>
      </c>
      <c r="AN29" s="27" t="s">
        <v>710</v>
      </c>
      <c r="AO29" s="27">
        <v>1095</v>
      </c>
    </row>
    <row r="30" spans="1:41" hidden="1">
      <c r="A30" s="27" t="s">
        <v>871</v>
      </c>
      <c r="B30" s="27" t="s">
        <v>872</v>
      </c>
      <c r="C30" s="27" t="s">
        <v>873</v>
      </c>
      <c r="D30" s="27" t="s">
        <v>548</v>
      </c>
      <c r="E30" s="27" t="s">
        <v>638</v>
      </c>
      <c r="F30" s="28">
        <v>46020.189509618052</v>
      </c>
      <c r="G30" s="28">
        <v>46030.28119804398</v>
      </c>
      <c r="H30" s="28">
        <v>46020.189509618052</v>
      </c>
      <c r="I30" s="27" t="s">
        <v>874</v>
      </c>
      <c r="J30" s="27" t="s">
        <v>875</v>
      </c>
      <c r="K30" s="27" t="s">
        <v>566</v>
      </c>
      <c r="L30" s="27"/>
      <c r="M30" s="27" t="s">
        <v>876</v>
      </c>
      <c r="N30" s="27"/>
      <c r="O30" s="27" t="s">
        <v>877</v>
      </c>
      <c r="P30" s="27" t="s">
        <v>878</v>
      </c>
      <c r="Q30" s="27" t="s">
        <v>643</v>
      </c>
      <c r="R30" s="27" t="s">
        <v>557</v>
      </c>
      <c r="S30" s="27"/>
      <c r="T30" s="27" t="s">
        <v>559</v>
      </c>
      <c r="U30" s="27" t="s">
        <v>873</v>
      </c>
      <c r="V30" s="28">
        <v>46020.193970451386</v>
      </c>
      <c r="W30" s="27" t="s">
        <v>879</v>
      </c>
      <c r="X30" s="27" t="s">
        <v>559</v>
      </c>
      <c r="Y30" s="27" t="s">
        <v>880</v>
      </c>
      <c r="Z30" s="28">
        <v>46021.084481458332</v>
      </c>
      <c r="AA30" s="27" t="s">
        <v>881</v>
      </c>
      <c r="AB30" s="27" t="s">
        <v>559</v>
      </c>
      <c r="AC30" s="27" t="s">
        <v>571</v>
      </c>
      <c r="AD30" s="28">
        <v>46028.112194490743</v>
      </c>
      <c r="AE30" s="27" t="s">
        <v>882</v>
      </c>
      <c r="AF30" s="27" t="s">
        <v>559</v>
      </c>
      <c r="AG30" s="27" t="s">
        <v>683</v>
      </c>
      <c r="AH30" s="28">
        <v>46030.281198055556</v>
      </c>
      <c r="AI30" s="27" t="s">
        <v>684</v>
      </c>
      <c r="AJ30" s="27" t="s">
        <v>883</v>
      </c>
      <c r="AK30" s="27">
        <v>4343</v>
      </c>
      <c r="AL30" s="27" t="s">
        <v>107</v>
      </c>
      <c r="AM30" s="27" t="s">
        <v>884</v>
      </c>
      <c r="AN30" s="27" t="s">
        <v>710</v>
      </c>
      <c r="AO30" s="27">
        <v>90</v>
      </c>
    </row>
    <row r="31" spans="1:41" hidden="1">
      <c r="A31" s="27" t="s">
        <v>885</v>
      </c>
      <c r="B31" s="27" t="s">
        <v>886</v>
      </c>
      <c r="C31" s="27" t="s">
        <v>887</v>
      </c>
      <c r="D31" s="27" t="s">
        <v>548</v>
      </c>
      <c r="E31" s="27" t="s">
        <v>638</v>
      </c>
      <c r="F31" s="28">
        <v>46021.158853645837</v>
      </c>
      <c r="G31" s="28">
        <v>46035.39747679398</v>
      </c>
      <c r="H31" s="28">
        <v>46021.158853645837</v>
      </c>
      <c r="I31" s="27" t="s">
        <v>888</v>
      </c>
      <c r="J31" s="27" t="s">
        <v>889</v>
      </c>
      <c r="K31" s="27" t="s">
        <v>566</v>
      </c>
      <c r="L31" s="27"/>
      <c r="M31" s="27" t="s">
        <v>890</v>
      </c>
      <c r="N31" s="27"/>
      <c r="O31" s="27"/>
      <c r="P31" s="27" t="s">
        <v>891</v>
      </c>
      <c r="Q31" s="27" t="s">
        <v>556</v>
      </c>
      <c r="R31" s="27" t="s">
        <v>557</v>
      </c>
      <c r="S31" s="27"/>
      <c r="T31" s="27" t="s">
        <v>559</v>
      </c>
      <c r="U31" s="27" t="s">
        <v>887</v>
      </c>
      <c r="V31" s="28">
        <v>46021.302613009262</v>
      </c>
      <c r="W31" s="27" t="s">
        <v>892</v>
      </c>
      <c r="X31" s="27" t="s">
        <v>559</v>
      </c>
      <c r="Y31" s="27" t="s">
        <v>893</v>
      </c>
      <c r="Z31" s="28">
        <v>46021.375360428239</v>
      </c>
      <c r="AA31" s="27" t="s">
        <v>894</v>
      </c>
      <c r="AB31" s="27" t="s">
        <v>559</v>
      </c>
      <c r="AC31" s="27" t="s">
        <v>571</v>
      </c>
      <c r="AD31" s="28">
        <v>46028.113725752315</v>
      </c>
      <c r="AE31" s="27" t="s">
        <v>895</v>
      </c>
      <c r="AF31" s="27" t="s">
        <v>559</v>
      </c>
      <c r="AG31" s="27" t="s">
        <v>683</v>
      </c>
      <c r="AH31" s="28">
        <v>46035.397476805556</v>
      </c>
      <c r="AI31" s="27" t="s">
        <v>684</v>
      </c>
      <c r="AJ31" s="27" t="s">
        <v>896</v>
      </c>
      <c r="AK31" s="27" t="s">
        <v>897</v>
      </c>
      <c r="AL31" s="27" t="s">
        <v>125</v>
      </c>
      <c r="AM31" s="27" t="s">
        <v>898</v>
      </c>
      <c r="AN31" s="27" t="s">
        <v>665</v>
      </c>
      <c r="AO31" s="27">
        <v>0</v>
      </c>
    </row>
    <row r="32" spans="1:41" hidden="1">
      <c r="A32" s="27" t="s">
        <v>899</v>
      </c>
      <c r="B32" s="27" t="s">
        <v>900</v>
      </c>
      <c r="C32" s="27" t="s">
        <v>850</v>
      </c>
      <c r="D32" s="27" t="s">
        <v>548</v>
      </c>
      <c r="E32" s="27" t="s">
        <v>638</v>
      </c>
      <c r="F32" s="28">
        <v>46021.251309050924</v>
      </c>
      <c r="G32" s="28">
        <v>46031.086075208332</v>
      </c>
      <c r="H32" s="28">
        <v>46021.251309050924</v>
      </c>
      <c r="I32" s="27" t="s">
        <v>901</v>
      </c>
      <c r="J32" s="27" t="s">
        <v>901</v>
      </c>
      <c r="K32" s="27" t="s">
        <v>566</v>
      </c>
      <c r="L32" s="27"/>
      <c r="M32" s="27" t="s">
        <v>778</v>
      </c>
      <c r="N32" s="27"/>
      <c r="O32" s="27"/>
      <c r="P32" s="27" t="s">
        <v>779</v>
      </c>
      <c r="Q32" s="27" t="s">
        <v>556</v>
      </c>
      <c r="R32" s="27" t="s">
        <v>659</v>
      </c>
      <c r="S32" s="27"/>
      <c r="T32" s="27" t="s">
        <v>559</v>
      </c>
      <c r="U32" s="27" t="s">
        <v>850</v>
      </c>
      <c r="V32" s="28">
        <v>46021.252588692128</v>
      </c>
      <c r="W32" s="27" t="s">
        <v>902</v>
      </c>
      <c r="X32" s="27" t="s">
        <v>559</v>
      </c>
      <c r="Y32" s="27" t="s">
        <v>778</v>
      </c>
      <c r="Z32" s="28">
        <v>46027.138544502312</v>
      </c>
      <c r="AA32" s="27" t="s">
        <v>903</v>
      </c>
      <c r="AB32" s="27" t="s">
        <v>559</v>
      </c>
      <c r="AC32" s="27" t="s">
        <v>571</v>
      </c>
      <c r="AD32" s="28">
        <v>46028.098076956019</v>
      </c>
      <c r="AE32" s="27" t="s">
        <v>904</v>
      </c>
      <c r="AF32" s="27" t="s">
        <v>559</v>
      </c>
      <c r="AG32" s="27" t="s">
        <v>571</v>
      </c>
      <c r="AH32" s="28">
        <v>46031.086075208332</v>
      </c>
      <c r="AI32" s="27" t="s">
        <v>649</v>
      </c>
      <c r="AJ32" s="27" t="s">
        <v>905</v>
      </c>
      <c r="AK32" s="27">
        <v>3217</v>
      </c>
      <c r="AL32" s="27" t="s">
        <v>116</v>
      </c>
      <c r="AM32" s="27" t="s">
        <v>906</v>
      </c>
      <c r="AN32" s="27" t="s">
        <v>665</v>
      </c>
      <c r="AO32" s="27">
        <v>0</v>
      </c>
    </row>
    <row r="33" spans="1:41" hidden="1">
      <c r="A33" s="27" t="s">
        <v>907</v>
      </c>
      <c r="B33" s="27" t="s">
        <v>908</v>
      </c>
      <c r="C33" s="27" t="s">
        <v>909</v>
      </c>
      <c r="D33" s="27" t="s">
        <v>548</v>
      </c>
      <c r="E33" s="27" t="s">
        <v>638</v>
      </c>
      <c r="F33" s="28">
        <v>46021.345332824072</v>
      </c>
      <c r="G33" s="28">
        <v>46048.322670150461</v>
      </c>
      <c r="H33" s="28">
        <v>46021.345332824072</v>
      </c>
      <c r="I33" s="27" t="s">
        <v>910</v>
      </c>
      <c r="J33" s="27" t="s">
        <v>911</v>
      </c>
      <c r="K33" s="27" t="s">
        <v>566</v>
      </c>
      <c r="L33" s="27"/>
      <c r="M33" s="27" t="s">
        <v>912</v>
      </c>
      <c r="N33" s="27" t="s">
        <v>913</v>
      </c>
      <c r="O33" s="27"/>
      <c r="P33" s="27" t="s">
        <v>914</v>
      </c>
      <c r="Q33" s="27" t="s">
        <v>643</v>
      </c>
      <c r="R33" s="27" t="s">
        <v>583</v>
      </c>
      <c r="S33" s="27"/>
      <c r="T33" s="27" t="s">
        <v>559</v>
      </c>
      <c r="U33" s="27" t="s">
        <v>909</v>
      </c>
      <c r="V33" s="28">
        <v>46021.348551944444</v>
      </c>
      <c r="W33" s="27" t="s">
        <v>915</v>
      </c>
      <c r="X33" s="27" t="s">
        <v>559</v>
      </c>
      <c r="Y33" s="27" t="s">
        <v>912</v>
      </c>
      <c r="Z33" s="28">
        <v>46021.467836238429</v>
      </c>
      <c r="AA33" s="27" t="s">
        <v>916</v>
      </c>
      <c r="AB33" s="27" t="s">
        <v>559</v>
      </c>
      <c r="AC33" s="27" t="s">
        <v>571</v>
      </c>
      <c r="AD33" s="28">
        <v>46028.122279861112</v>
      </c>
      <c r="AE33" s="27" t="s">
        <v>917</v>
      </c>
      <c r="AF33" s="27" t="s">
        <v>559</v>
      </c>
      <c r="AG33" s="27" t="s">
        <v>796</v>
      </c>
      <c r="AH33" s="28">
        <v>46048.322670162037</v>
      </c>
      <c r="AI33" s="27" t="s">
        <v>797</v>
      </c>
      <c r="AJ33" s="27" t="s">
        <v>918</v>
      </c>
      <c r="AK33" s="27">
        <v>747</v>
      </c>
      <c r="AL33" s="27" t="s">
        <v>107</v>
      </c>
      <c r="AM33" s="27" t="s">
        <v>919</v>
      </c>
      <c r="AN33" s="27" t="s">
        <v>710</v>
      </c>
      <c r="AO33" s="27">
        <v>30</v>
      </c>
    </row>
    <row r="34" spans="1:41" hidden="1">
      <c r="A34" s="27" t="s">
        <v>920</v>
      </c>
      <c r="B34" s="27" t="s">
        <v>921</v>
      </c>
      <c r="C34" s="27" t="s">
        <v>909</v>
      </c>
      <c r="D34" s="27" t="s">
        <v>548</v>
      </c>
      <c r="E34" s="27" t="s">
        <v>638</v>
      </c>
      <c r="F34" s="28">
        <v>46021.354603043983</v>
      </c>
      <c r="G34" s="28">
        <v>46031.328138645833</v>
      </c>
      <c r="H34" s="28">
        <v>46021.354603043983</v>
      </c>
      <c r="I34" s="27" t="s">
        <v>922</v>
      </c>
      <c r="J34" s="27" t="s">
        <v>923</v>
      </c>
      <c r="K34" s="27" t="s">
        <v>676</v>
      </c>
      <c r="L34" s="27" t="s">
        <v>924</v>
      </c>
      <c r="M34" s="27" t="s">
        <v>912</v>
      </c>
      <c r="N34" s="27" t="s">
        <v>925</v>
      </c>
      <c r="O34" s="27"/>
      <c r="P34" s="27" t="s">
        <v>926</v>
      </c>
      <c r="Q34" s="27" t="s">
        <v>569</v>
      </c>
      <c r="R34" s="27" t="s">
        <v>583</v>
      </c>
      <c r="S34" s="27"/>
      <c r="T34" s="27" t="s">
        <v>559</v>
      </c>
      <c r="U34" s="27" t="s">
        <v>909</v>
      </c>
      <c r="V34" s="28">
        <v>46021.355464872686</v>
      </c>
      <c r="W34" s="27" t="s">
        <v>927</v>
      </c>
      <c r="X34" s="27" t="s">
        <v>559</v>
      </c>
      <c r="Y34" s="27" t="s">
        <v>912</v>
      </c>
      <c r="Z34" s="28">
        <v>46021.467437349536</v>
      </c>
      <c r="AA34" s="27" t="s">
        <v>928</v>
      </c>
      <c r="AB34" s="27" t="s">
        <v>559</v>
      </c>
      <c r="AC34" s="27" t="s">
        <v>571</v>
      </c>
      <c r="AD34" s="28">
        <v>46028.116867129633</v>
      </c>
      <c r="AE34" s="27" t="s">
        <v>929</v>
      </c>
      <c r="AF34" s="27" t="s">
        <v>559</v>
      </c>
      <c r="AG34" s="27" t="s">
        <v>571</v>
      </c>
      <c r="AH34" s="28">
        <v>46031.328138657409</v>
      </c>
      <c r="AI34" s="27" t="s">
        <v>649</v>
      </c>
      <c r="AJ34" s="27" t="s">
        <v>930</v>
      </c>
      <c r="AK34" s="27">
        <v>3418</v>
      </c>
      <c r="AL34" s="27" t="s">
        <v>125</v>
      </c>
      <c r="AM34" s="27" t="s">
        <v>931</v>
      </c>
      <c r="AN34" s="27" t="s">
        <v>710</v>
      </c>
      <c r="AO34" s="27">
        <v>30</v>
      </c>
    </row>
    <row r="35" spans="1:41" hidden="1">
      <c r="A35" s="27" t="s">
        <v>932</v>
      </c>
      <c r="B35" s="27" t="s">
        <v>933</v>
      </c>
      <c r="C35" s="27" t="s">
        <v>547</v>
      </c>
      <c r="D35" s="27" t="s">
        <v>548</v>
      </c>
      <c r="E35" s="27" t="s">
        <v>638</v>
      </c>
      <c r="F35" s="28">
        <v>46027.265545694441</v>
      </c>
      <c r="G35" s="28">
        <v>46052.203466469909</v>
      </c>
      <c r="H35" s="28">
        <v>46027.268025578705</v>
      </c>
      <c r="I35" s="27" t="s">
        <v>934</v>
      </c>
      <c r="J35" s="27" t="s">
        <v>935</v>
      </c>
      <c r="K35" s="27" t="s">
        <v>676</v>
      </c>
      <c r="L35" s="27" t="s">
        <v>936</v>
      </c>
      <c r="M35" s="27" t="s">
        <v>937</v>
      </c>
      <c r="N35" s="27" t="s">
        <v>938</v>
      </c>
      <c r="O35" s="27"/>
      <c r="P35" s="27" t="s">
        <v>939</v>
      </c>
      <c r="Q35" s="27" t="s">
        <v>556</v>
      </c>
      <c r="R35" s="27" t="s">
        <v>583</v>
      </c>
      <c r="S35" s="27"/>
      <c r="T35" s="27" t="s">
        <v>559</v>
      </c>
      <c r="U35" s="27" t="s">
        <v>547</v>
      </c>
      <c r="V35" s="28">
        <v>46027.269236250002</v>
      </c>
      <c r="W35" s="27" t="s">
        <v>940</v>
      </c>
      <c r="X35" s="27" t="s">
        <v>559</v>
      </c>
      <c r="Y35" s="27" t="s">
        <v>560</v>
      </c>
      <c r="Z35" s="28">
        <v>46051.126878171293</v>
      </c>
      <c r="AA35" s="27" t="s">
        <v>941</v>
      </c>
      <c r="AB35" s="27" t="s">
        <v>559</v>
      </c>
      <c r="AC35" s="27" t="s">
        <v>571</v>
      </c>
      <c r="AD35" s="28">
        <v>46051.18944396991</v>
      </c>
      <c r="AE35" s="27" t="s">
        <v>942</v>
      </c>
      <c r="AF35" s="27" t="s">
        <v>559</v>
      </c>
      <c r="AG35" s="27" t="s">
        <v>571</v>
      </c>
      <c r="AH35" s="28">
        <v>46052.203466469909</v>
      </c>
      <c r="AI35" s="27" t="s">
        <v>649</v>
      </c>
      <c r="AJ35" s="27" t="s">
        <v>943</v>
      </c>
      <c r="AK35" s="27">
        <v>2637</v>
      </c>
      <c r="AL35" s="27" t="s">
        <v>107</v>
      </c>
      <c r="AM35" s="27" t="s">
        <v>944</v>
      </c>
      <c r="AN35" s="27" t="s">
        <v>665</v>
      </c>
      <c r="AO35" s="27">
        <v>0</v>
      </c>
    </row>
    <row r="36" spans="1:41" hidden="1">
      <c r="A36" s="27" t="s">
        <v>945</v>
      </c>
      <c r="B36" s="27" t="s">
        <v>946</v>
      </c>
      <c r="C36" s="27" t="s">
        <v>775</v>
      </c>
      <c r="D36" s="27" t="s">
        <v>548</v>
      </c>
      <c r="E36" s="27" t="s">
        <v>578</v>
      </c>
      <c r="F36" s="28">
        <v>46027.266093877312</v>
      </c>
      <c r="G36" s="28">
        <v>46050.094664884258</v>
      </c>
      <c r="H36" s="28">
        <v>46027.266093877312</v>
      </c>
      <c r="I36" s="27" t="s">
        <v>874</v>
      </c>
      <c r="J36" s="27" t="s">
        <v>875</v>
      </c>
      <c r="K36" s="27" t="s">
        <v>566</v>
      </c>
      <c r="L36" s="27"/>
      <c r="M36" s="27" t="s">
        <v>778</v>
      </c>
      <c r="N36" s="27"/>
      <c r="O36" s="27"/>
      <c r="P36" s="27" t="s">
        <v>779</v>
      </c>
      <c r="Q36" s="27" t="s">
        <v>556</v>
      </c>
      <c r="R36" s="27" t="s">
        <v>659</v>
      </c>
      <c r="S36" s="27"/>
      <c r="T36" s="27" t="s">
        <v>549</v>
      </c>
      <c r="U36" s="27" t="s">
        <v>571</v>
      </c>
      <c r="V36" s="28">
        <v>46050.094664895834</v>
      </c>
      <c r="W36" s="27" t="s">
        <v>947</v>
      </c>
      <c r="X36" s="27"/>
      <c r="Y36" s="27" t="s">
        <v>778</v>
      </c>
      <c r="Z36" s="28"/>
      <c r="AA36" s="27"/>
      <c r="AB36" s="27"/>
      <c r="AC36" s="27" t="s">
        <v>573</v>
      </c>
      <c r="AD36" s="28"/>
      <c r="AE36" s="27"/>
      <c r="AF36" s="27"/>
      <c r="AG36" s="27" t="s">
        <v>108</v>
      </c>
      <c r="AH36" s="28"/>
      <c r="AI36" s="27"/>
      <c r="AJ36" s="27" t="s">
        <v>883</v>
      </c>
      <c r="AK36" s="27">
        <v>4343</v>
      </c>
      <c r="AL36" s="27"/>
      <c r="AM36" s="27"/>
      <c r="AN36" s="27" t="s">
        <v>665</v>
      </c>
      <c r="AO36" s="27">
        <v>0</v>
      </c>
    </row>
    <row r="37" spans="1:41" hidden="1">
      <c r="A37" s="27" t="s">
        <v>948</v>
      </c>
      <c r="B37" s="27" t="s">
        <v>949</v>
      </c>
      <c r="C37" s="27" t="s">
        <v>850</v>
      </c>
      <c r="D37" s="27" t="s">
        <v>548</v>
      </c>
      <c r="E37" s="27" t="s">
        <v>578</v>
      </c>
      <c r="F37" s="28">
        <v>46027.331557696758</v>
      </c>
      <c r="G37" s="28">
        <v>46057.284475682871</v>
      </c>
      <c r="H37" s="28">
        <v>46027.331557696758</v>
      </c>
      <c r="I37" s="27" t="s">
        <v>950</v>
      </c>
      <c r="J37" s="27" t="s">
        <v>951</v>
      </c>
      <c r="K37" s="27" t="s">
        <v>676</v>
      </c>
      <c r="L37" s="27" t="s">
        <v>552</v>
      </c>
      <c r="M37" s="27" t="s">
        <v>952</v>
      </c>
      <c r="N37" s="27"/>
      <c r="O37" s="27"/>
      <c r="P37" s="27" t="s">
        <v>953</v>
      </c>
      <c r="Q37" s="27" t="s">
        <v>556</v>
      </c>
      <c r="R37" s="27" t="s">
        <v>583</v>
      </c>
      <c r="S37" s="27"/>
      <c r="T37" s="27" t="s">
        <v>549</v>
      </c>
      <c r="U37" s="27" t="s">
        <v>571</v>
      </c>
      <c r="V37" s="28">
        <v>46057.284475694447</v>
      </c>
      <c r="W37" s="27" t="s">
        <v>954</v>
      </c>
      <c r="X37" s="27"/>
      <c r="Y37" s="27" t="s">
        <v>952</v>
      </c>
      <c r="Z37" s="28"/>
      <c r="AA37" s="27"/>
      <c r="AB37" s="27"/>
      <c r="AC37" s="27" t="s">
        <v>573</v>
      </c>
      <c r="AD37" s="28"/>
      <c r="AE37" s="27"/>
      <c r="AF37" s="27"/>
      <c r="AG37" s="27" t="s">
        <v>108</v>
      </c>
      <c r="AH37" s="28"/>
      <c r="AI37" s="27"/>
      <c r="AJ37" s="27" t="s">
        <v>955</v>
      </c>
      <c r="AK37" s="27" t="s">
        <v>956</v>
      </c>
      <c r="AL37" s="27"/>
      <c r="AM37" s="27"/>
      <c r="AN37" s="27" t="s">
        <v>665</v>
      </c>
      <c r="AO37" s="27">
        <v>0</v>
      </c>
    </row>
    <row r="38" spans="1:41" hidden="1">
      <c r="A38" s="27" t="s">
        <v>957</v>
      </c>
      <c r="B38" s="27" t="s">
        <v>958</v>
      </c>
      <c r="C38" s="27" t="s">
        <v>959</v>
      </c>
      <c r="D38" s="27" t="s">
        <v>548</v>
      </c>
      <c r="E38" s="27" t="s">
        <v>638</v>
      </c>
      <c r="F38" s="28">
        <v>46028.119965798614</v>
      </c>
      <c r="G38" s="28">
        <v>46043.164387118057</v>
      </c>
      <c r="H38" s="28">
        <v>46028.119965798614</v>
      </c>
      <c r="I38" s="27" t="s">
        <v>960</v>
      </c>
      <c r="J38" s="27" t="s">
        <v>961</v>
      </c>
      <c r="K38" s="27" t="s">
        <v>676</v>
      </c>
      <c r="L38" s="27" t="s">
        <v>962</v>
      </c>
      <c r="M38" s="27" t="s">
        <v>963</v>
      </c>
      <c r="N38" s="27" t="s">
        <v>964</v>
      </c>
      <c r="O38" s="27"/>
      <c r="P38" s="27" t="s">
        <v>965</v>
      </c>
      <c r="Q38" s="27" t="s">
        <v>623</v>
      </c>
      <c r="R38" s="27" t="s">
        <v>583</v>
      </c>
      <c r="S38" s="27"/>
      <c r="T38" s="27" t="s">
        <v>559</v>
      </c>
      <c r="U38" s="27" t="s">
        <v>959</v>
      </c>
      <c r="V38" s="28">
        <v>46028.121562268519</v>
      </c>
      <c r="W38" s="27" t="s">
        <v>966</v>
      </c>
      <c r="X38" s="27" t="s">
        <v>559</v>
      </c>
      <c r="Y38" s="27" t="s">
        <v>912</v>
      </c>
      <c r="Z38" s="28">
        <v>46041.164444571761</v>
      </c>
      <c r="AA38" s="27" t="s">
        <v>967</v>
      </c>
      <c r="AB38" s="27" t="s">
        <v>559</v>
      </c>
      <c r="AC38" s="27" t="s">
        <v>571</v>
      </c>
      <c r="AD38" s="28">
        <v>46041.216393078706</v>
      </c>
      <c r="AE38" s="27" t="s">
        <v>968</v>
      </c>
      <c r="AF38" s="27" t="s">
        <v>559</v>
      </c>
      <c r="AG38" s="27" t="s">
        <v>571</v>
      </c>
      <c r="AH38" s="28">
        <v>46043.164387118057</v>
      </c>
      <c r="AI38" s="27" t="s">
        <v>649</v>
      </c>
      <c r="AJ38" s="27" t="s">
        <v>969</v>
      </c>
      <c r="AK38" s="27" t="s">
        <v>970</v>
      </c>
      <c r="AL38" s="27" t="s">
        <v>107</v>
      </c>
      <c r="AM38" s="27" t="s">
        <v>971</v>
      </c>
      <c r="AN38" s="27" t="s">
        <v>665</v>
      </c>
      <c r="AO38" s="27">
        <v>0</v>
      </c>
    </row>
    <row r="39" spans="1:41" hidden="1">
      <c r="A39" s="27" t="s">
        <v>972</v>
      </c>
      <c r="B39" s="27" t="s">
        <v>973</v>
      </c>
      <c r="C39" s="27" t="s">
        <v>850</v>
      </c>
      <c r="D39" s="27" t="s">
        <v>548</v>
      </c>
      <c r="E39" s="27" t="s">
        <v>638</v>
      </c>
      <c r="F39" s="28">
        <v>46028.120393506942</v>
      </c>
      <c r="G39" s="28">
        <v>46043.468110856484</v>
      </c>
      <c r="H39" s="28">
        <v>46028.120393506942</v>
      </c>
      <c r="I39" s="27" t="s">
        <v>974</v>
      </c>
      <c r="J39" s="27" t="s">
        <v>975</v>
      </c>
      <c r="K39" s="27" t="s">
        <v>566</v>
      </c>
      <c r="L39" s="27"/>
      <c r="M39" s="27" t="s">
        <v>778</v>
      </c>
      <c r="N39" s="27"/>
      <c r="O39" s="27">
        <v>3476</v>
      </c>
      <c r="P39" s="27" t="s">
        <v>976</v>
      </c>
      <c r="Q39" s="27" t="s">
        <v>556</v>
      </c>
      <c r="R39" s="27" t="s">
        <v>659</v>
      </c>
      <c r="S39" s="27"/>
      <c r="T39" s="27" t="s">
        <v>559</v>
      </c>
      <c r="U39" s="27" t="s">
        <v>850</v>
      </c>
      <c r="V39" s="28">
        <v>46028.121525046299</v>
      </c>
      <c r="W39" s="27" t="s">
        <v>976</v>
      </c>
      <c r="X39" s="27" t="s">
        <v>559</v>
      </c>
      <c r="Y39" s="27" t="s">
        <v>778</v>
      </c>
      <c r="Z39" s="28">
        <v>46042.115280706021</v>
      </c>
      <c r="AA39" s="27" t="s">
        <v>976</v>
      </c>
      <c r="AB39" s="27" t="s">
        <v>559</v>
      </c>
      <c r="AC39" s="27" t="s">
        <v>571</v>
      </c>
      <c r="AD39" s="28">
        <v>46042.118401354164</v>
      </c>
      <c r="AE39" s="27" t="s">
        <v>977</v>
      </c>
      <c r="AF39" s="27" t="s">
        <v>559</v>
      </c>
      <c r="AG39" s="27" t="s">
        <v>571</v>
      </c>
      <c r="AH39" s="28">
        <v>46043.468110868052</v>
      </c>
      <c r="AI39" s="27" t="s">
        <v>649</v>
      </c>
      <c r="AJ39" s="27" t="s">
        <v>978</v>
      </c>
      <c r="AK39" s="27">
        <v>3476</v>
      </c>
      <c r="AL39" s="27" t="s">
        <v>107</v>
      </c>
      <c r="AM39" s="27" t="s">
        <v>979</v>
      </c>
      <c r="AN39" s="27" t="s">
        <v>665</v>
      </c>
      <c r="AO39" s="27">
        <v>0</v>
      </c>
    </row>
    <row r="40" spans="1:41" hidden="1">
      <c r="A40" s="27" t="s">
        <v>980</v>
      </c>
      <c r="B40" s="27" t="s">
        <v>981</v>
      </c>
      <c r="C40" s="27" t="s">
        <v>982</v>
      </c>
      <c r="D40" s="27" t="s">
        <v>548</v>
      </c>
      <c r="E40" s="27" t="s">
        <v>638</v>
      </c>
      <c r="F40" s="28">
        <v>46030.268386388889</v>
      </c>
      <c r="G40" s="28">
        <v>46037.12722962963</v>
      </c>
      <c r="H40" s="28">
        <v>46030.268386388889</v>
      </c>
      <c r="I40" s="27" t="s">
        <v>983</v>
      </c>
      <c r="J40" s="27" t="s">
        <v>984</v>
      </c>
      <c r="K40" s="27" t="s">
        <v>566</v>
      </c>
      <c r="L40" s="27"/>
      <c r="M40" s="27" t="s">
        <v>985</v>
      </c>
      <c r="N40" s="27"/>
      <c r="O40" s="27"/>
      <c r="P40" s="27" t="s">
        <v>986</v>
      </c>
      <c r="Q40" s="27" t="s">
        <v>556</v>
      </c>
      <c r="R40" s="27" t="s">
        <v>809</v>
      </c>
      <c r="S40" s="27"/>
      <c r="T40" s="27" t="s">
        <v>559</v>
      </c>
      <c r="U40" s="27" t="s">
        <v>982</v>
      </c>
      <c r="V40" s="28">
        <v>46030.269974699077</v>
      </c>
      <c r="W40" s="27" t="s">
        <v>987</v>
      </c>
      <c r="X40" s="27" t="s">
        <v>559</v>
      </c>
      <c r="Y40" s="27" t="s">
        <v>985</v>
      </c>
      <c r="Z40" s="28">
        <v>46031.34340445602</v>
      </c>
      <c r="AA40" s="27" t="s">
        <v>988</v>
      </c>
      <c r="AB40" s="27" t="s">
        <v>559</v>
      </c>
      <c r="AC40" s="27" t="s">
        <v>571</v>
      </c>
      <c r="AD40" s="28">
        <v>46036.319666377312</v>
      </c>
      <c r="AE40" s="27" t="s">
        <v>989</v>
      </c>
      <c r="AF40" s="27" t="s">
        <v>559</v>
      </c>
      <c r="AG40" s="27" t="s">
        <v>683</v>
      </c>
      <c r="AH40" s="28">
        <v>46037.127229641206</v>
      </c>
      <c r="AI40" s="27" t="s">
        <v>684</v>
      </c>
      <c r="AJ40" s="27" t="s">
        <v>990</v>
      </c>
      <c r="AK40" s="27">
        <v>4758</v>
      </c>
      <c r="AL40" s="27" t="s">
        <v>107</v>
      </c>
      <c r="AM40" s="27" t="s">
        <v>991</v>
      </c>
      <c r="AN40" s="27" t="s">
        <v>710</v>
      </c>
      <c r="AO40" s="27">
        <v>7</v>
      </c>
    </row>
    <row r="41" spans="1:41" hidden="1">
      <c r="A41" s="27" t="s">
        <v>992</v>
      </c>
      <c r="B41" s="27" t="s">
        <v>993</v>
      </c>
      <c r="C41" s="27" t="s">
        <v>994</v>
      </c>
      <c r="D41" s="27" t="s">
        <v>548</v>
      </c>
      <c r="E41" s="27" t="s">
        <v>578</v>
      </c>
      <c r="F41" s="28">
        <v>46031.08573958333</v>
      </c>
      <c r="G41" s="28">
        <v>46031.086062118055</v>
      </c>
      <c r="H41" s="28">
        <v>46031.08573958333</v>
      </c>
      <c r="I41" s="27" t="s">
        <v>346</v>
      </c>
      <c r="J41" s="27" t="s">
        <v>995</v>
      </c>
      <c r="K41" s="27" t="s">
        <v>566</v>
      </c>
      <c r="L41" s="27"/>
      <c r="M41" s="27" t="s">
        <v>996</v>
      </c>
      <c r="N41" s="27"/>
      <c r="O41" s="27"/>
      <c r="P41" s="27" t="s">
        <v>997</v>
      </c>
      <c r="Q41" s="27" t="s">
        <v>556</v>
      </c>
      <c r="R41" s="27" t="s">
        <v>583</v>
      </c>
      <c r="S41" s="27"/>
      <c r="T41" s="27" t="s">
        <v>549</v>
      </c>
      <c r="U41" s="27" t="s">
        <v>994</v>
      </c>
      <c r="V41" s="28">
        <v>46031.086062129631</v>
      </c>
      <c r="W41" s="27"/>
      <c r="X41" s="27"/>
      <c r="Y41" s="27" t="s">
        <v>998</v>
      </c>
      <c r="Z41" s="28"/>
      <c r="AA41" s="27"/>
      <c r="AB41" s="27"/>
      <c r="AC41" s="27" t="s">
        <v>573</v>
      </c>
      <c r="AD41" s="28"/>
      <c r="AE41" s="27"/>
      <c r="AF41" s="27"/>
      <c r="AG41" s="27" t="s">
        <v>108</v>
      </c>
      <c r="AH41" s="28"/>
      <c r="AI41" s="27"/>
      <c r="AJ41" s="27" t="s">
        <v>999</v>
      </c>
      <c r="AK41" s="27">
        <v>2123</v>
      </c>
      <c r="AL41" s="27"/>
      <c r="AM41" s="27"/>
      <c r="AN41" s="27" t="s">
        <v>665</v>
      </c>
      <c r="AO41" s="27">
        <v>0</v>
      </c>
    </row>
    <row r="42" spans="1:41" hidden="1">
      <c r="A42" s="27" t="s">
        <v>1000</v>
      </c>
      <c r="B42" s="27" t="s">
        <v>1001</v>
      </c>
      <c r="C42" s="27" t="s">
        <v>994</v>
      </c>
      <c r="D42" s="27" t="s">
        <v>548</v>
      </c>
      <c r="E42" s="27" t="s">
        <v>578</v>
      </c>
      <c r="F42" s="28">
        <v>46031.087512071761</v>
      </c>
      <c r="G42" s="28">
        <v>46031.087698912037</v>
      </c>
      <c r="H42" s="28">
        <v>46031.087512071761</v>
      </c>
      <c r="I42" s="27" t="s">
        <v>346</v>
      </c>
      <c r="J42" s="27" t="s">
        <v>347</v>
      </c>
      <c r="K42" s="27" t="s">
        <v>566</v>
      </c>
      <c r="L42" s="27"/>
      <c r="M42" s="27" t="s">
        <v>996</v>
      </c>
      <c r="N42" s="27"/>
      <c r="O42" s="27"/>
      <c r="P42" s="27" t="s">
        <v>1002</v>
      </c>
      <c r="Q42" s="27" t="s">
        <v>556</v>
      </c>
      <c r="R42" s="27" t="s">
        <v>583</v>
      </c>
      <c r="S42" s="27"/>
      <c r="T42" s="27" t="s">
        <v>549</v>
      </c>
      <c r="U42" s="27" t="s">
        <v>994</v>
      </c>
      <c r="V42" s="28">
        <v>46031.087698912037</v>
      </c>
      <c r="W42" s="27"/>
      <c r="X42" s="27"/>
      <c r="Y42" s="27" t="s">
        <v>998</v>
      </c>
      <c r="Z42" s="28"/>
      <c r="AA42" s="27"/>
      <c r="AB42" s="27"/>
      <c r="AC42" s="27" t="s">
        <v>573</v>
      </c>
      <c r="AD42" s="28"/>
      <c r="AE42" s="27"/>
      <c r="AF42" s="27"/>
      <c r="AG42" s="27" t="s">
        <v>108</v>
      </c>
      <c r="AH42" s="28"/>
      <c r="AI42" s="27"/>
      <c r="AJ42" s="27" t="s">
        <v>999</v>
      </c>
      <c r="AK42" s="27">
        <v>100</v>
      </c>
      <c r="AL42" s="27"/>
      <c r="AM42" s="27"/>
      <c r="AN42" s="27" t="s">
        <v>665</v>
      </c>
      <c r="AO42" s="27">
        <v>0</v>
      </c>
    </row>
    <row r="43" spans="1:41" hidden="1">
      <c r="A43" s="27" t="s">
        <v>1003</v>
      </c>
      <c r="B43" s="27" t="s">
        <v>1004</v>
      </c>
      <c r="C43" s="27" t="s">
        <v>994</v>
      </c>
      <c r="D43" s="27" t="s">
        <v>548</v>
      </c>
      <c r="E43" s="27" t="s">
        <v>638</v>
      </c>
      <c r="F43" s="28">
        <v>46031.088561851851</v>
      </c>
      <c r="G43" s="28">
        <v>46038.078386504632</v>
      </c>
      <c r="H43" s="28">
        <v>46031.088561851851</v>
      </c>
      <c r="I43" s="27" t="s">
        <v>346</v>
      </c>
      <c r="J43" s="27" t="s">
        <v>1005</v>
      </c>
      <c r="K43" s="27" t="s">
        <v>566</v>
      </c>
      <c r="L43" s="27"/>
      <c r="M43" s="27" t="s">
        <v>996</v>
      </c>
      <c r="N43" s="27"/>
      <c r="O43" s="27"/>
      <c r="P43" s="27" t="s">
        <v>1006</v>
      </c>
      <c r="Q43" s="27" t="s">
        <v>556</v>
      </c>
      <c r="R43" s="27" t="s">
        <v>583</v>
      </c>
      <c r="S43" s="27"/>
      <c r="T43" s="27" t="s">
        <v>559</v>
      </c>
      <c r="U43" s="27" t="s">
        <v>994</v>
      </c>
      <c r="V43" s="28">
        <v>46031.095546712961</v>
      </c>
      <c r="W43" s="27" t="s">
        <v>1007</v>
      </c>
      <c r="X43" s="27" t="s">
        <v>559</v>
      </c>
      <c r="Y43" s="27" t="s">
        <v>998</v>
      </c>
      <c r="Z43" s="28">
        <v>46031.387942881942</v>
      </c>
      <c r="AA43" s="27" t="s">
        <v>1008</v>
      </c>
      <c r="AB43" s="27" t="s">
        <v>559</v>
      </c>
      <c r="AC43" s="27" t="s">
        <v>571</v>
      </c>
      <c r="AD43" s="28">
        <v>46036.323659814814</v>
      </c>
      <c r="AE43" s="27" t="s">
        <v>1009</v>
      </c>
      <c r="AF43" s="27" t="s">
        <v>559</v>
      </c>
      <c r="AG43" s="27" t="s">
        <v>571</v>
      </c>
      <c r="AH43" s="28">
        <v>46038.078386516201</v>
      </c>
      <c r="AI43" s="27" t="s">
        <v>649</v>
      </c>
      <c r="AJ43" s="27" t="s">
        <v>999</v>
      </c>
      <c r="AK43" s="27">
        <v>4443</v>
      </c>
      <c r="AL43" s="27" t="s">
        <v>107</v>
      </c>
      <c r="AM43" s="27" t="s">
        <v>1010</v>
      </c>
      <c r="AN43" s="27" t="s">
        <v>665</v>
      </c>
      <c r="AO43" s="27">
        <v>0</v>
      </c>
    </row>
    <row r="44" spans="1:41" hidden="1">
      <c r="A44" s="27" t="s">
        <v>1011</v>
      </c>
      <c r="B44" s="27" t="s">
        <v>1012</v>
      </c>
      <c r="C44" s="27" t="s">
        <v>1013</v>
      </c>
      <c r="D44" s="27" t="s">
        <v>548</v>
      </c>
      <c r="E44" s="27" t="s">
        <v>578</v>
      </c>
      <c r="F44" s="28">
        <v>46031.138883680556</v>
      </c>
      <c r="G44" s="28">
        <v>46031.144636249999</v>
      </c>
      <c r="H44" s="28">
        <v>46031.138883680556</v>
      </c>
      <c r="I44" s="27" t="s">
        <v>1014</v>
      </c>
      <c r="J44" s="27" t="s">
        <v>1015</v>
      </c>
      <c r="K44" s="27" t="s">
        <v>566</v>
      </c>
      <c r="L44" s="27"/>
      <c r="M44" s="27" t="s">
        <v>1016</v>
      </c>
      <c r="N44" s="27"/>
      <c r="O44" s="27"/>
      <c r="P44" s="27" t="s">
        <v>1017</v>
      </c>
      <c r="Q44" s="27" t="s">
        <v>556</v>
      </c>
      <c r="R44" s="27" t="s">
        <v>583</v>
      </c>
      <c r="S44" s="27"/>
      <c r="T44" s="27" t="s">
        <v>549</v>
      </c>
      <c r="U44" s="27" t="s">
        <v>1013</v>
      </c>
      <c r="V44" s="28">
        <v>46031.144636249999</v>
      </c>
      <c r="W44" s="27"/>
      <c r="X44" s="27"/>
      <c r="Y44" s="27" t="s">
        <v>1018</v>
      </c>
      <c r="Z44" s="28"/>
      <c r="AA44" s="27"/>
      <c r="AB44" s="27"/>
      <c r="AC44" s="27" t="s">
        <v>573</v>
      </c>
      <c r="AD44" s="28"/>
      <c r="AE44" s="27"/>
      <c r="AF44" s="27"/>
      <c r="AG44" s="27" t="s">
        <v>108</v>
      </c>
      <c r="AH44" s="28"/>
      <c r="AI44" s="27"/>
      <c r="AJ44" s="27" t="s">
        <v>1019</v>
      </c>
      <c r="AK44" s="27" t="s">
        <v>1020</v>
      </c>
      <c r="AL44" s="27"/>
      <c r="AM44" s="27"/>
      <c r="AN44" s="27" t="s">
        <v>665</v>
      </c>
      <c r="AO44" s="27">
        <v>0</v>
      </c>
    </row>
    <row r="45" spans="1:41" hidden="1">
      <c r="A45" s="27" t="s">
        <v>1021</v>
      </c>
      <c r="B45" s="27" t="s">
        <v>1022</v>
      </c>
      <c r="C45" s="27" t="s">
        <v>1013</v>
      </c>
      <c r="D45" s="27" t="s">
        <v>548</v>
      </c>
      <c r="E45" s="27" t="s">
        <v>578</v>
      </c>
      <c r="F45" s="28">
        <v>46031.157905057873</v>
      </c>
      <c r="G45" s="28">
        <v>46031.158710370371</v>
      </c>
      <c r="H45" s="28">
        <v>46031.157905057873</v>
      </c>
      <c r="I45" s="27" t="s">
        <v>1023</v>
      </c>
      <c r="J45" s="27" t="s">
        <v>1024</v>
      </c>
      <c r="K45" s="27" t="s">
        <v>566</v>
      </c>
      <c r="L45" s="27"/>
      <c r="M45" s="27" t="s">
        <v>1016</v>
      </c>
      <c r="N45" s="27"/>
      <c r="O45" s="27"/>
      <c r="P45" s="27" t="s">
        <v>1025</v>
      </c>
      <c r="Q45" s="27" t="s">
        <v>556</v>
      </c>
      <c r="R45" s="27" t="s">
        <v>583</v>
      </c>
      <c r="S45" s="27"/>
      <c r="T45" s="27" t="s">
        <v>549</v>
      </c>
      <c r="U45" s="27" t="s">
        <v>1013</v>
      </c>
      <c r="V45" s="28">
        <v>46031.158710370371</v>
      </c>
      <c r="W45" s="27"/>
      <c r="X45" s="27"/>
      <c r="Y45" s="27" t="s">
        <v>1018</v>
      </c>
      <c r="Z45" s="28"/>
      <c r="AA45" s="27"/>
      <c r="AB45" s="27"/>
      <c r="AC45" s="27" t="s">
        <v>573</v>
      </c>
      <c r="AD45" s="28"/>
      <c r="AE45" s="27"/>
      <c r="AF45" s="27"/>
      <c r="AG45" s="27" t="s">
        <v>108</v>
      </c>
      <c r="AH45" s="28"/>
      <c r="AI45" s="27"/>
      <c r="AJ45" s="27" t="s">
        <v>1026</v>
      </c>
      <c r="AK45" s="27" t="s">
        <v>1027</v>
      </c>
      <c r="AL45" s="27"/>
      <c r="AM45" s="27"/>
      <c r="AN45" s="27" t="s">
        <v>665</v>
      </c>
      <c r="AO45" s="27">
        <v>0</v>
      </c>
    </row>
    <row r="46" spans="1:41" hidden="1">
      <c r="A46" s="27" t="s">
        <v>1028</v>
      </c>
      <c r="B46" s="27" t="s">
        <v>1029</v>
      </c>
      <c r="C46" s="27" t="s">
        <v>1013</v>
      </c>
      <c r="D46" s="27" t="s">
        <v>548</v>
      </c>
      <c r="E46" s="27" t="s">
        <v>638</v>
      </c>
      <c r="F46" s="28">
        <v>46031.173466435182</v>
      </c>
      <c r="G46" s="28">
        <v>46041.140168379628</v>
      </c>
      <c r="H46" s="28">
        <v>46031.173466435182</v>
      </c>
      <c r="I46" s="27" t="s">
        <v>1023</v>
      </c>
      <c r="J46" s="27" t="s">
        <v>1024</v>
      </c>
      <c r="K46" s="27" t="s">
        <v>566</v>
      </c>
      <c r="L46" s="27"/>
      <c r="M46" s="27" t="s">
        <v>1016</v>
      </c>
      <c r="N46" s="27"/>
      <c r="O46" s="27"/>
      <c r="P46" s="27" t="s">
        <v>1030</v>
      </c>
      <c r="Q46" s="27" t="s">
        <v>556</v>
      </c>
      <c r="R46" s="27" t="s">
        <v>583</v>
      </c>
      <c r="S46" s="27"/>
      <c r="T46" s="27" t="s">
        <v>559</v>
      </c>
      <c r="U46" s="27" t="s">
        <v>1013</v>
      </c>
      <c r="V46" s="28">
        <v>46031.175277974537</v>
      </c>
      <c r="W46" s="27" t="s">
        <v>1031</v>
      </c>
      <c r="X46" s="27" t="s">
        <v>559</v>
      </c>
      <c r="Y46" s="27" t="s">
        <v>1018</v>
      </c>
      <c r="Z46" s="28">
        <v>46035.093253946761</v>
      </c>
      <c r="AA46" s="27" t="s">
        <v>1032</v>
      </c>
      <c r="AB46" s="27" t="s">
        <v>559</v>
      </c>
      <c r="AC46" s="27" t="s">
        <v>571</v>
      </c>
      <c r="AD46" s="28">
        <v>46036.356658738427</v>
      </c>
      <c r="AE46" s="27" t="s">
        <v>1033</v>
      </c>
      <c r="AF46" s="27" t="s">
        <v>559</v>
      </c>
      <c r="AG46" s="27" t="s">
        <v>683</v>
      </c>
      <c r="AH46" s="28">
        <v>46041.140168391204</v>
      </c>
      <c r="AI46" s="27" t="s">
        <v>684</v>
      </c>
      <c r="AJ46" s="27" t="s">
        <v>1026</v>
      </c>
      <c r="AK46" s="27" t="s">
        <v>1027</v>
      </c>
      <c r="AL46" s="27" t="s">
        <v>107</v>
      </c>
      <c r="AM46" s="27" t="s">
        <v>1034</v>
      </c>
      <c r="AN46" s="27" t="s">
        <v>665</v>
      </c>
      <c r="AO46" s="27">
        <v>0</v>
      </c>
    </row>
    <row r="47" spans="1:41" hidden="1">
      <c r="A47" s="27" t="s">
        <v>1035</v>
      </c>
      <c r="B47" s="27" t="s">
        <v>1036</v>
      </c>
      <c r="C47" s="27" t="s">
        <v>850</v>
      </c>
      <c r="D47" s="27" t="s">
        <v>548</v>
      </c>
      <c r="E47" s="27" t="s">
        <v>578</v>
      </c>
      <c r="F47" s="28">
        <v>46031.299027650464</v>
      </c>
      <c r="G47" s="28">
        <v>46051.195190856481</v>
      </c>
      <c r="H47" s="28">
        <v>46031.299027650464</v>
      </c>
      <c r="I47" s="27" t="s">
        <v>874</v>
      </c>
      <c r="J47" s="27" t="s">
        <v>875</v>
      </c>
      <c r="K47" s="27" t="s">
        <v>566</v>
      </c>
      <c r="L47" s="27"/>
      <c r="M47" s="27" t="s">
        <v>778</v>
      </c>
      <c r="N47" s="27"/>
      <c r="O47" s="27">
        <v>4343</v>
      </c>
      <c r="P47" s="27" t="s">
        <v>976</v>
      </c>
      <c r="Q47" s="27" t="s">
        <v>556</v>
      </c>
      <c r="R47" s="27" t="s">
        <v>659</v>
      </c>
      <c r="S47" s="27"/>
      <c r="T47" s="27" t="s">
        <v>549</v>
      </c>
      <c r="U47" s="27" t="s">
        <v>571</v>
      </c>
      <c r="V47" s="28">
        <v>46051.195190856481</v>
      </c>
      <c r="W47" s="27" t="s">
        <v>954</v>
      </c>
      <c r="X47" s="27"/>
      <c r="Y47" s="27" t="s">
        <v>778</v>
      </c>
      <c r="Z47" s="28"/>
      <c r="AA47" s="27"/>
      <c r="AB47" s="27"/>
      <c r="AC47" s="27" t="s">
        <v>573</v>
      </c>
      <c r="AD47" s="28"/>
      <c r="AE47" s="27"/>
      <c r="AF47" s="27"/>
      <c r="AG47" s="27" t="s">
        <v>108</v>
      </c>
      <c r="AH47" s="28"/>
      <c r="AI47" s="27"/>
      <c r="AJ47" s="27" t="s">
        <v>883</v>
      </c>
      <c r="AK47" s="27">
        <v>4343</v>
      </c>
      <c r="AL47" s="27"/>
      <c r="AM47" s="27"/>
      <c r="AN47" s="27" t="s">
        <v>665</v>
      </c>
      <c r="AO47" s="27">
        <v>0</v>
      </c>
    </row>
    <row r="48" spans="1:41" hidden="1">
      <c r="A48" s="27" t="s">
        <v>1037</v>
      </c>
      <c r="B48" s="27" t="s">
        <v>1038</v>
      </c>
      <c r="C48" s="27" t="s">
        <v>850</v>
      </c>
      <c r="D48" s="27" t="s">
        <v>548</v>
      </c>
      <c r="E48" s="27" t="s">
        <v>578</v>
      </c>
      <c r="F48" s="28">
        <v>46031.30166020833</v>
      </c>
      <c r="G48" s="28">
        <v>46051.195088819448</v>
      </c>
      <c r="H48" s="28">
        <v>46031.30166020833</v>
      </c>
      <c r="I48" s="27" t="s">
        <v>874</v>
      </c>
      <c r="J48" s="27" t="s">
        <v>875</v>
      </c>
      <c r="K48" s="27" t="s">
        <v>566</v>
      </c>
      <c r="L48" s="27"/>
      <c r="M48" s="27" t="s">
        <v>778</v>
      </c>
      <c r="N48" s="27"/>
      <c r="O48" s="27"/>
      <c r="P48" s="27" t="s">
        <v>976</v>
      </c>
      <c r="Q48" s="27" t="s">
        <v>556</v>
      </c>
      <c r="R48" s="27" t="s">
        <v>659</v>
      </c>
      <c r="S48" s="27"/>
      <c r="T48" s="27" t="s">
        <v>549</v>
      </c>
      <c r="U48" s="27" t="s">
        <v>571</v>
      </c>
      <c r="V48" s="28">
        <v>46051.195088831017</v>
      </c>
      <c r="W48" s="27" t="s">
        <v>954</v>
      </c>
      <c r="X48" s="27"/>
      <c r="Y48" s="27" t="s">
        <v>778</v>
      </c>
      <c r="Z48" s="28"/>
      <c r="AA48" s="27"/>
      <c r="AB48" s="27"/>
      <c r="AC48" s="27" t="s">
        <v>573</v>
      </c>
      <c r="AD48" s="28"/>
      <c r="AE48" s="27"/>
      <c r="AF48" s="27"/>
      <c r="AG48" s="27" t="s">
        <v>108</v>
      </c>
      <c r="AH48" s="28"/>
      <c r="AI48" s="27"/>
      <c r="AJ48" s="27" t="s">
        <v>883</v>
      </c>
      <c r="AK48" s="27">
        <v>4343</v>
      </c>
      <c r="AL48" s="27"/>
      <c r="AM48" s="27"/>
      <c r="AN48" s="27" t="s">
        <v>665</v>
      </c>
      <c r="AO48" s="27">
        <v>0</v>
      </c>
    </row>
    <row r="49" spans="1:41" hidden="1">
      <c r="A49" s="27" t="s">
        <v>1039</v>
      </c>
      <c r="B49" s="27" t="s">
        <v>1040</v>
      </c>
      <c r="C49" s="27" t="s">
        <v>850</v>
      </c>
      <c r="D49" s="27" t="s">
        <v>548</v>
      </c>
      <c r="E49" s="27" t="s">
        <v>578</v>
      </c>
      <c r="F49" s="28">
        <v>46031.303001504632</v>
      </c>
      <c r="G49" s="28">
        <v>46051.194988240743</v>
      </c>
      <c r="H49" s="28">
        <v>46031.303001504632</v>
      </c>
      <c r="I49" s="27" t="s">
        <v>874</v>
      </c>
      <c r="J49" s="27" t="s">
        <v>875</v>
      </c>
      <c r="K49" s="27" t="s">
        <v>566</v>
      </c>
      <c r="L49" s="27"/>
      <c r="M49" s="27" t="s">
        <v>778</v>
      </c>
      <c r="N49" s="27"/>
      <c r="O49" s="27"/>
      <c r="P49" s="27" t="s">
        <v>976</v>
      </c>
      <c r="Q49" s="27" t="s">
        <v>556</v>
      </c>
      <c r="R49" s="27" t="s">
        <v>659</v>
      </c>
      <c r="S49" s="27"/>
      <c r="T49" s="27" t="s">
        <v>549</v>
      </c>
      <c r="U49" s="27" t="s">
        <v>571</v>
      </c>
      <c r="V49" s="28">
        <v>46051.194988252311</v>
      </c>
      <c r="W49" s="27" t="s">
        <v>954</v>
      </c>
      <c r="X49" s="27"/>
      <c r="Y49" s="27" t="s">
        <v>778</v>
      </c>
      <c r="Z49" s="28"/>
      <c r="AA49" s="27"/>
      <c r="AB49" s="27"/>
      <c r="AC49" s="27" t="s">
        <v>573</v>
      </c>
      <c r="AD49" s="28"/>
      <c r="AE49" s="27"/>
      <c r="AF49" s="27"/>
      <c r="AG49" s="27" t="s">
        <v>108</v>
      </c>
      <c r="AH49" s="28"/>
      <c r="AI49" s="27"/>
      <c r="AJ49" s="27" t="s">
        <v>883</v>
      </c>
      <c r="AK49" s="27">
        <v>4343</v>
      </c>
      <c r="AL49" s="27"/>
      <c r="AM49" s="27"/>
      <c r="AN49" s="27" t="s">
        <v>665</v>
      </c>
      <c r="AO49" s="27">
        <v>0</v>
      </c>
    </row>
    <row r="50" spans="1:41" hidden="1">
      <c r="A50" s="27" t="s">
        <v>1041</v>
      </c>
      <c r="B50" s="27" t="s">
        <v>1042</v>
      </c>
      <c r="C50" s="27" t="s">
        <v>850</v>
      </c>
      <c r="D50" s="27" t="s">
        <v>548</v>
      </c>
      <c r="E50" s="27" t="s">
        <v>578</v>
      </c>
      <c r="F50" s="28">
        <v>46031.305276770836</v>
      </c>
      <c r="G50" s="28">
        <v>46219.259701875002</v>
      </c>
      <c r="H50" s="28">
        <v>46031.305276770836</v>
      </c>
      <c r="I50" s="27" t="s">
        <v>874</v>
      </c>
      <c r="J50" s="27" t="s">
        <v>875</v>
      </c>
      <c r="K50" s="27" t="s">
        <v>566</v>
      </c>
      <c r="L50" s="27"/>
      <c r="M50" s="27" t="s">
        <v>778</v>
      </c>
      <c r="N50" s="27"/>
      <c r="O50" s="27"/>
      <c r="P50" s="27" t="s">
        <v>976</v>
      </c>
      <c r="Q50" s="27" t="s">
        <v>556</v>
      </c>
      <c r="R50" s="27" t="s">
        <v>659</v>
      </c>
      <c r="S50" s="27"/>
      <c r="T50" s="27" t="s">
        <v>549</v>
      </c>
      <c r="U50" s="27" t="s">
        <v>850</v>
      </c>
      <c r="V50" s="28">
        <v>46219.259701875002</v>
      </c>
      <c r="W50" s="27"/>
      <c r="X50" s="27"/>
      <c r="Y50" s="27" t="s">
        <v>778</v>
      </c>
      <c r="Z50" s="28"/>
      <c r="AA50" s="27"/>
      <c r="AB50" s="27"/>
      <c r="AC50" s="27" t="s">
        <v>573</v>
      </c>
      <c r="AD50" s="28"/>
      <c r="AE50" s="27"/>
      <c r="AF50" s="27"/>
      <c r="AG50" s="27" t="s">
        <v>108</v>
      </c>
      <c r="AH50" s="28"/>
      <c r="AI50" s="27"/>
      <c r="AJ50" s="27" t="s">
        <v>883</v>
      </c>
      <c r="AK50" s="27">
        <v>2800</v>
      </c>
      <c r="AL50" s="27"/>
      <c r="AM50" s="27"/>
      <c r="AN50" s="27" t="s">
        <v>665</v>
      </c>
      <c r="AO50" s="27">
        <v>0</v>
      </c>
    </row>
    <row r="51" spans="1:41" hidden="1">
      <c r="A51" s="27" t="s">
        <v>1043</v>
      </c>
      <c r="B51" s="27" t="s">
        <v>1044</v>
      </c>
      <c r="C51" s="27" t="s">
        <v>850</v>
      </c>
      <c r="D51" s="27" t="s">
        <v>548</v>
      </c>
      <c r="E51" s="27" t="s">
        <v>578</v>
      </c>
      <c r="F51" s="28">
        <v>46031.315010509257</v>
      </c>
      <c r="G51" s="28">
        <v>46057.28470877315</v>
      </c>
      <c r="H51" s="28">
        <v>46031.315010509257</v>
      </c>
      <c r="I51" s="27" t="s">
        <v>950</v>
      </c>
      <c r="J51" s="27" t="s">
        <v>951</v>
      </c>
      <c r="K51" s="27" t="s">
        <v>676</v>
      </c>
      <c r="L51" s="27" t="s">
        <v>1045</v>
      </c>
      <c r="M51" s="27" t="s">
        <v>1046</v>
      </c>
      <c r="N51" s="27"/>
      <c r="O51" s="27"/>
      <c r="P51" s="27" t="s">
        <v>1047</v>
      </c>
      <c r="Q51" s="27" t="s">
        <v>556</v>
      </c>
      <c r="R51" s="27" t="s">
        <v>583</v>
      </c>
      <c r="S51" s="27"/>
      <c r="T51" s="27" t="s">
        <v>549</v>
      </c>
      <c r="U51" s="27" t="s">
        <v>571</v>
      </c>
      <c r="V51" s="28">
        <v>46057.28470877315</v>
      </c>
      <c r="W51" s="27" t="s">
        <v>954</v>
      </c>
      <c r="X51" s="27"/>
      <c r="Y51" s="27" t="s">
        <v>1048</v>
      </c>
      <c r="Z51" s="28"/>
      <c r="AA51" s="27"/>
      <c r="AB51" s="27"/>
      <c r="AC51" s="27" t="s">
        <v>573</v>
      </c>
      <c r="AD51" s="28"/>
      <c r="AE51" s="27"/>
      <c r="AF51" s="27"/>
      <c r="AG51" s="27" t="s">
        <v>108</v>
      </c>
      <c r="AH51" s="28"/>
      <c r="AI51" s="27"/>
      <c r="AJ51" s="27" t="s">
        <v>955</v>
      </c>
      <c r="AK51" s="27" t="s">
        <v>956</v>
      </c>
      <c r="AL51" s="27"/>
      <c r="AM51" s="27"/>
      <c r="AN51" s="27" t="s">
        <v>665</v>
      </c>
      <c r="AO51" s="27">
        <v>0</v>
      </c>
    </row>
    <row r="52" spans="1:41" hidden="1">
      <c r="A52" s="27" t="s">
        <v>1049</v>
      </c>
      <c r="B52" s="27" t="s">
        <v>1050</v>
      </c>
      <c r="C52" s="27" t="s">
        <v>850</v>
      </c>
      <c r="D52" s="27" t="s">
        <v>548</v>
      </c>
      <c r="E52" s="27" t="s">
        <v>638</v>
      </c>
      <c r="F52" s="28">
        <v>46031.315868472222</v>
      </c>
      <c r="G52" s="28">
        <v>46041.014904641204</v>
      </c>
      <c r="H52" s="28">
        <v>46031.315868472222</v>
      </c>
      <c r="I52" s="27" t="s">
        <v>950</v>
      </c>
      <c r="J52" s="27" t="s">
        <v>951</v>
      </c>
      <c r="K52" s="27" t="s">
        <v>676</v>
      </c>
      <c r="L52" s="27" t="s">
        <v>1045</v>
      </c>
      <c r="M52" s="27" t="s">
        <v>1046</v>
      </c>
      <c r="N52" s="27"/>
      <c r="O52" s="27"/>
      <c r="P52" s="27" t="s">
        <v>1051</v>
      </c>
      <c r="Q52" s="27" t="s">
        <v>556</v>
      </c>
      <c r="R52" s="27" t="s">
        <v>583</v>
      </c>
      <c r="S52" s="27"/>
      <c r="T52" s="27" t="s">
        <v>559</v>
      </c>
      <c r="U52" s="27" t="s">
        <v>850</v>
      </c>
      <c r="V52" s="28">
        <v>46031.316325219908</v>
      </c>
      <c r="W52" s="27" t="s">
        <v>1052</v>
      </c>
      <c r="X52" s="27" t="s">
        <v>559</v>
      </c>
      <c r="Y52" s="27" t="s">
        <v>1048</v>
      </c>
      <c r="Z52" s="28">
        <v>46031.319047986108</v>
      </c>
      <c r="AA52" s="27" t="s">
        <v>1053</v>
      </c>
      <c r="AB52" s="27" t="s">
        <v>559</v>
      </c>
      <c r="AC52" s="27" t="s">
        <v>571</v>
      </c>
      <c r="AD52" s="28">
        <v>46036.36346202546</v>
      </c>
      <c r="AE52" s="27" t="s">
        <v>1054</v>
      </c>
      <c r="AF52" s="27" t="s">
        <v>559</v>
      </c>
      <c r="AG52" s="27" t="s">
        <v>571</v>
      </c>
      <c r="AH52" s="28">
        <v>46041.014904641204</v>
      </c>
      <c r="AI52" s="27" t="s">
        <v>649</v>
      </c>
      <c r="AJ52" s="27" t="s">
        <v>955</v>
      </c>
      <c r="AK52" s="27" t="s">
        <v>956</v>
      </c>
      <c r="AL52" s="27" t="s">
        <v>107</v>
      </c>
      <c r="AM52" s="27" t="s">
        <v>1055</v>
      </c>
      <c r="AN52" s="27" t="s">
        <v>687</v>
      </c>
      <c r="AO52" s="27">
        <v>0</v>
      </c>
    </row>
    <row r="53" spans="1:41" hidden="1">
      <c r="A53" s="27" t="s">
        <v>1056</v>
      </c>
      <c r="B53" s="27" t="s">
        <v>1057</v>
      </c>
      <c r="C53" s="27" t="s">
        <v>850</v>
      </c>
      <c r="D53" s="27" t="s">
        <v>548</v>
      </c>
      <c r="E53" s="27" t="s">
        <v>578</v>
      </c>
      <c r="F53" s="28">
        <v>46031.322596863429</v>
      </c>
      <c r="G53" s="28">
        <v>46051.194903368058</v>
      </c>
      <c r="H53" s="28">
        <v>46031.322596863429</v>
      </c>
      <c r="I53" s="27" t="s">
        <v>874</v>
      </c>
      <c r="J53" s="27" t="s">
        <v>875</v>
      </c>
      <c r="K53" s="27" t="s">
        <v>566</v>
      </c>
      <c r="L53" s="27"/>
      <c r="M53" s="27" t="s">
        <v>778</v>
      </c>
      <c r="N53" s="27"/>
      <c r="O53" s="27"/>
      <c r="P53" s="27" t="s">
        <v>976</v>
      </c>
      <c r="Q53" s="27" t="s">
        <v>556</v>
      </c>
      <c r="R53" s="27" t="s">
        <v>659</v>
      </c>
      <c r="S53" s="27"/>
      <c r="T53" s="27" t="s">
        <v>549</v>
      </c>
      <c r="U53" s="27" t="s">
        <v>571</v>
      </c>
      <c r="V53" s="28">
        <v>46051.194903368058</v>
      </c>
      <c r="W53" s="27" t="s">
        <v>954</v>
      </c>
      <c r="X53" s="27"/>
      <c r="Y53" s="27" t="s">
        <v>778</v>
      </c>
      <c r="Z53" s="28"/>
      <c r="AA53" s="27"/>
      <c r="AB53" s="27"/>
      <c r="AC53" s="27" t="s">
        <v>573</v>
      </c>
      <c r="AD53" s="28"/>
      <c r="AE53" s="27"/>
      <c r="AF53" s="27"/>
      <c r="AG53" s="27" t="s">
        <v>108</v>
      </c>
      <c r="AH53" s="28"/>
      <c r="AI53" s="27"/>
      <c r="AJ53" s="27" t="s">
        <v>883</v>
      </c>
      <c r="AK53" s="27">
        <v>4343</v>
      </c>
      <c r="AL53" s="27"/>
      <c r="AM53" s="27"/>
      <c r="AN53" s="27" t="s">
        <v>665</v>
      </c>
      <c r="AO53" s="27">
        <v>0</v>
      </c>
    </row>
    <row r="54" spans="1:41" hidden="1">
      <c r="A54" s="27" t="s">
        <v>1058</v>
      </c>
      <c r="B54" s="27" t="s">
        <v>1059</v>
      </c>
      <c r="C54" s="27" t="s">
        <v>850</v>
      </c>
      <c r="D54" s="27" t="s">
        <v>548</v>
      </c>
      <c r="E54" s="27" t="s">
        <v>578</v>
      </c>
      <c r="F54" s="28">
        <v>46031.323940821756</v>
      </c>
      <c r="G54" s="28">
        <v>46051.194832118053</v>
      </c>
      <c r="H54" s="28">
        <v>46031.323940821756</v>
      </c>
      <c r="I54" s="27" t="s">
        <v>874</v>
      </c>
      <c r="J54" s="27" t="s">
        <v>875</v>
      </c>
      <c r="K54" s="27" t="s">
        <v>566</v>
      </c>
      <c r="L54" s="27"/>
      <c r="M54" s="27" t="s">
        <v>778</v>
      </c>
      <c r="N54" s="27"/>
      <c r="O54" s="27"/>
      <c r="P54" s="27" t="s">
        <v>976</v>
      </c>
      <c r="Q54" s="27" t="s">
        <v>556</v>
      </c>
      <c r="R54" s="27" t="s">
        <v>659</v>
      </c>
      <c r="S54" s="27"/>
      <c r="T54" s="27" t="s">
        <v>549</v>
      </c>
      <c r="U54" s="27" t="s">
        <v>571</v>
      </c>
      <c r="V54" s="28">
        <v>46051.19483212963</v>
      </c>
      <c r="W54" s="27" t="s">
        <v>954</v>
      </c>
      <c r="X54" s="27"/>
      <c r="Y54" s="27" t="s">
        <v>778</v>
      </c>
      <c r="Z54" s="28"/>
      <c r="AA54" s="27"/>
      <c r="AB54" s="27"/>
      <c r="AC54" s="27" t="s">
        <v>573</v>
      </c>
      <c r="AD54" s="28"/>
      <c r="AE54" s="27"/>
      <c r="AF54" s="27"/>
      <c r="AG54" s="27" t="s">
        <v>108</v>
      </c>
      <c r="AH54" s="28"/>
      <c r="AI54" s="27"/>
      <c r="AJ54" s="27" t="s">
        <v>883</v>
      </c>
      <c r="AK54" s="27">
        <v>4343</v>
      </c>
      <c r="AL54" s="27"/>
      <c r="AM54" s="27"/>
      <c r="AN54" s="27" t="s">
        <v>665</v>
      </c>
      <c r="AO54" s="27">
        <v>0</v>
      </c>
    </row>
    <row r="55" spans="1:41" hidden="1">
      <c r="A55" s="27" t="s">
        <v>1060</v>
      </c>
      <c r="B55" s="27" t="s">
        <v>1061</v>
      </c>
      <c r="C55" s="27" t="s">
        <v>850</v>
      </c>
      <c r="D55" s="27" t="s">
        <v>548</v>
      </c>
      <c r="E55" s="27" t="s">
        <v>578</v>
      </c>
      <c r="F55" s="28">
        <v>46031.32512898148</v>
      </c>
      <c r="G55" s="28">
        <v>46219.259471273152</v>
      </c>
      <c r="H55" s="28">
        <v>46031.32512898148</v>
      </c>
      <c r="I55" s="27" t="s">
        <v>874</v>
      </c>
      <c r="J55" s="27" t="s">
        <v>875</v>
      </c>
      <c r="K55" s="27" t="s">
        <v>566</v>
      </c>
      <c r="L55" s="27"/>
      <c r="M55" s="27" t="s">
        <v>778</v>
      </c>
      <c r="N55" s="27"/>
      <c r="O55" s="27"/>
      <c r="P55" s="27" t="s">
        <v>976</v>
      </c>
      <c r="Q55" s="27" t="s">
        <v>556</v>
      </c>
      <c r="R55" s="27" t="s">
        <v>659</v>
      </c>
      <c r="S55" s="27"/>
      <c r="T55" s="27" t="s">
        <v>549</v>
      </c>
      <c r="U55" s="27" t="s">
        <v>850</v>
      </c>
      <c r="V55" s="28">
        <v>46219.259471273152</v>
      </c>
      <c r="W55" s="27"/>
      <c r="X55" s="27"/>
      <c r="Y55" s="27" t="s">
        <v>778</v>
      </c>
      <c r="Z55" s="28"/>
      <c r="AA55" s="27"/>
      <c r="AB55" s="27"/>
      <c r="AC55" s="27" t="s">
        <v>573</v>
      </c>
      <c r="AD55" s="28"/>
      <c r="AE55" s="27"/>
      <c r="AF55" s="27"/>
      <c r="AG55" s="27" t="s">
        <v>108</v>
      </c>
      <c r="AH55" s="28"/>
      <c r="AI55" s="27"/>
      <c r="AJ55" s="27" t="s">
        <v>883</v>
      </c>
      <c r="AK55" s="27">
        <v>2800</v>
      </c>
      <c r="AL55" s="27"/>
      <c r="AM55" s="27"/>
      <c r="AN55" s="27" t="s">
        <v>665</v>
      </c>
      <c r="AO55" s="27">
        <v>0</v>
      </c>
    </row>
    <row r="56" spans="1:41" hidden="1">
      <c r="A56" s="27" t="s">
        <v>1062</v>
      </c>
      <c r="B56" s="27" t="s">
        <v>1063</v>
      </c>
      <c r="C56" s="27" t="s">
        <v>850</v>
      </c>
      <c r="D56" s="27" t="s">
        <v>548</v>
      </c>
      <c r="E56" s="27" t="s">
        <v>578</v>
      </c>
      <c r="F56" s="28">
        <v>46031.325942939817</v>
      </c>
      <c r="G56" s="28">
        <v>46051.194747928239</v>
      </c>
      <c r="H56" s="28">
        <v>46031.325942939817</v>
      </c>
      <c r="I56" s="27" t="s">
        <v>874</v>
      </c>
      <c r="J56" s="27" t="s">
        <v>875</v>
      </c>
      <c r="K56" s="27" t="s">
        <v>566</v>
      </c>
      <c r="L56" s="27"/>
      <c r="M56" s="27" t="s">
        <v>778</v>
      </c>
      <c r="N56" s="27"/>
      <c r="O56" s="27"/>
      <c r="P56" s="27" t="s">
        <v>976</v>
      </c>
      <c r="Q56" s="27" t="s">
        <v>556</v>
      </c>
      <c r="R56" s="27" t="s">
        <v>659</v>
      </c>
      <c r="S56" s="27"/>
      <c r="T56" s="27" t="s">
        <v>549</v>
      </c>
      <c r="U56" s="27" t="s">
        <v>571</v>
      </c>
      <c r="V56" s="28">
        <v>46051.194747928239</v>
      </c>
      <c r="W56" s="27" t="s">
        <v>954</v>
      </c>
      <c r="X56" s="27"/>
      <c r="Y56" s="27" t="s">
        <v>778</v>
      </c>
      <c r="Z56" s="28"/>
      <c r="AA56" s="27"/>
      <c r="AB56" s="27"/>
      <c r="AC56" s="27" t="s">
        <v>573</v>
      </c>
      <c r="AD56" s="28"/>
      <c r="AE56" s="27"/>
      <c r="AF56" s="27"/>
      <c r="AG56" s="27" t="s">
        <v>108</v>
      </c>
      <c r="AH56" s="28"/>
      <c r="AI56" s="27"/>
      <c r="AJ56" s="27" t="s">
        <v>883</v>
      </c>
      <c r="AK56" s="27">
        <v>4343</v>
      </c>
      <c r="AL56" s="27"/>
      <c r="AM56" s="27"/>
      <c r="AN56" s="27" t="s">
        <v>665</v>
      </c>
      <c r="AO56" s="27">
        <v>0</v>
      </c>
    </row>
    <row r="57" spans="1:41" hidden="1">
      <c r="A57" s="27" t="s">
        <v>1064</v>
      </c>
      <c r="B57" s="27" t="s">
        <v>1065</v>
      </c>
      <c r="C57" s="27" t="s">
        <v>850</v>
      </c>
      <c r="D57" s="27" t="s">
        <v>548</v>
      </c>
      <c r="E57" s="27" t="s">
        <v>638</v>
      </c>
      <c r="F57" s="28">
        <v>46031.327029548615</v>
      </c>
      <c r="G57" s="28">
        <v>46047.731811516205</v>
      </c>
      <c r="H57" s="28">
        <v>46031.328305752315</v>
      </c>
      <c r="I57" s="27" t="s">
        <v>874</v>
      </c>
      <c r="J57" s="27" t="s">
        <v>875</v>
      </c>
      <c r="K57" s="27" t="s">
        <v>566</v>
      </c>
      <c r="L57" s="27"/>
      <c r="M57" s="27" t="s">
        <v>778</v>
      </c>
      <c r="N57" s="27"/>
      <c r="O57" s="27"/>
      <c r="P57" s="27" t="s">
        <v>976</v>
      </c>
      <c r="Q57" s="27" t="s">
        <v>556</v>
      </c>
      <c r="R57" s="27" t="s">
        <v>659</v>
      </c>
      <c r="S57" s="27"/>
      <c r="T57" s="27" t="s">
        <v>559</v>
      </c>
      <c r="U57" s="27" t="s">
        <v>850</v>
      </c>
      <c r="V57" s="28">
        <v>46031.333133796295</v>
      </c>
      <c r="W57" s="27" t="s">
        <v>1066</v>
      </c>
      <c r="X57" s="27" t="s">
        <v>559</v>
      </c>
      <c r="Y57" s="27" t="s">
        <v>778</v>
      </c>
      <c r="Z57" s="28">
        <v>46042.115009074078</v>
      </c>
      <c r="AA57" s="27" t="s">
        <v>976</v>
      </c>
      <c r="AB57" s="27" t="s">
        <v>559</v>
      </c>
      <c r="AC57" s="27" t="s">
        <v>571</v>
      </c>
      <c r="AD57" s="28">
        <v>46042.11935061343</v>
      </c>
      <c r="AE57" s="27" t="s">
        <v>1067</v>
      </c>
      <c r="AF57" s="27" t="s">
        <v>559</v>
      </c>
      <c r="AG57" s="27" t="s">
        <v>571</v>
      </c>
      <c r="AH57" s="28">
        <v>46047.731811516205</v>
      </c>
      <c r="AI57" s="27" t="s">
        <v>649</v>
      </c>
      <c r="AJ57" s="27" t="s">
        <v>883</v>
      </c>
      <c r="AK57" s="27">
        <v>4343</v>
      </c>
      <c r="AL57" s="27" t="s">
        <v>107</v>
      </c>
      <c r="AM57" s="27" t="s">
        <v>1068</v>
      </c>
      <c r="AN57" s="27" t="s">
        <v>665</v>
      </c>
      <c r="AO57" s="27">
        <v>0</v>
      </c>
    </row>
    <row r="58" spans="1:41" hidden="1">
      <c r="A58" s="27" t="s">
        <v>1069</v>
      </c>
      <c r="B58" s="27" t="s">
        <v>1070</v>
      </c>
      <c r="C58" s="27" t="s">
        <v>909</v>
      </c>
      <c r="D58" s="27" t="s">
        <v>548</v>
      </c>
      <c r="E58" s="27" t="s">
        <v>638</v>
      </c>
      <c r="F58" s="28">
        <v>46034.146296643521</v>
      </c>
      <c r="G58" s="28">
        <v>46042.076999467594</v>
      </c>
      <c r="H58" s="28">
        <v>46034.146296643521</v>
      </c>
      <c r="I58" s="27" t="s">
        <v>910</v>
      </c>
      <c r="J58" s="27" t="s">
        <v>911</v>
      </c>
      <c r="K58" s="27" t="s">
        <v>566</v>
      </c>
      <c r="L58" s="27"/>
      <c r="M58" s="27" t="s">
        <v>912</v>
      </c>
      <c r="N58" s="27" t="s">
        <v>552</v>
      </c>
      <c r="O58" s="27"/>
      <c r="P58" s="27" t="s">
        <v>1071</v>
      </c>
      <c r="Q58" s="27" t="s">
        <v>643</v>
      </c>
      <c r="R58" s="27" t="s">
        <v>583</v>
      </c>
      <c r="S58" s="27"/>
      <c r="T58" s="27" t="s">
        <v>559</v>
      </c>
      <c r="U58" s="27" t="s">
        <v>909</v>
      </c>
      <c r="V58" s="28">
        <v>46034.149857673612</v>
      </c>
      <c r="W58" s="27" t="s">
        <v>1072</v>
      </c>
      <c r="X58" s="27" t="s">
        <v>559</v>
      </c>
      <c r="Y58" s="27" t="s">
        <v>912</v>
      </c>
      <c r="Z58" s="28">
        <v>46041.164737824074</v>
      </c>
      <c r="AA58" s="27" t="s">
        <v>967</v>
      </c>
      <c r="AB58" s="27" t="s">
        <v>559</v>
      </c>
      <c r="AC58" s="27" t="s">
        <v>571</v>
      </c>
      <c r="AD58" s="28">
        <v>46041.213026898149</v>
      </c>
      <c r="AE58" s="27" t="s">
        <v>1073</v>
      </c>
      <c r="AF58" s="27" t="s">
        <v>559</v>
      </c>
      <c r="AG58" s="27" t="s">
        <v>683</v>
      </c>
      <c r="AH58" s="28">
        <v>46042.07699947917</v>
      </c>
      <c r="AI58" s="27" t="s">
        <v>684</v>
      </c>
      <c r="AJ58" s="27" t="s">
        <v>918</v>
      </c>
      <c r="AK58" s="27">
        <v>747</v>
      </c>
      <c r="AL58" s="27" t="s">
        <v>116</v>
      </c>
      <c r="AM58" s="27" t="s">
        <v>1074</v>
      </c>
      <c r="AN58" s="27" t="s">
        <v>687</v>
      </c>
      <c r="AO58" s="27">
        <v>0</v>
      </c>
    </row>
    <row r="59" spans="1:41" hidden="1">
      <c r="A59" s="27" t="s">
        <v>1075</v>
      </c>
      <c r="B59" s="27" t="s">
        <v>1076</v>
      </c>
      <c r="C59" s="27" t="s">
        <v>1077</v>
      </c>
      <c r="D59" s="27" t="s">
        <v>548</v>
      </c>
      <c r="E59" s="27" t="s">
        <v>638</v>
      </c>
      <c r="F59" s="28">
        <v>46038.084496481482</v>
      </c>
      <c r="G59" s="28">
        <v>46044.291902581019</v>
      </c>
      <c r="H59" s="28">
        <v>46038.084496481482</v>
      </c>
      <c r="I59" s="27" t="s">
        <v>836</v>
      </c>
      <c r="J59" s="27" t="s">
        <v>837</v>
      </c>
      <c r="K59" s="27" t="s">
        <v>566</v>
      </c>
      <c r="L59" s="27"/>
      <c r="M59" s="27" t="s">
        <v>1078</v>
      </c>
      <c r="N59" s="27"/>
      <c r="O59" s="27"/>
      <c r="P59" s="27" t="s">
        <v>1079</v>
      </c>
      <c r="Q59" s="27" t="s">
        <v>643</v>
      </c>
      <c r="R59" s="27" t="s">
        <v>583</v>
      </c>
      <c r="S59" s="27"/>
      <c r="T59" s="27" t="s">
        <v>559</v>
      </c>
      <c r="U59" s="27" t="s">
        <v>1077</v>
      </c>
      <c r="V59" s="28">
        <v>46038.08492267361</v>
      </c>
      <c r="W59" s="27" t="s">
        <v>1080</v>
      </c>
      <c r="X59" s="27" t="s">
        <v>559</v>
      </c>
      <c r="Y59" s="27" t="s">
        <v>1078</v>
      </c>
      <c r="Z59" s="28">
        <v>46041.078358888888</v>
      </c>
      <c r="AA59" s="27" t="s">
        <v>1081</v>
      </c>
      <c r="AB59" s="27" t="s">
        <v>559</v>
      </c>
      <c r="AC59" s="27" t="s">
        <v>571</v>
      </c>
      <c r="AD59" s="28">
        <v>46041.151765740738</v>
      </c>
      <c r="AE59" s="27" t="s">
        <v>1082</v>
      </c>
      <c r="AF59" s="27" t="s">
        <v>559</v>
      </c>
      <c r="AG59" s="27" t="s">
        <v>1083</v>
      </c>
      <c r="AH59" s="28">
        <v>46044.291902592595</v>
      </c>
      <c r="AI59" s="27" t="s">
        <v>1084</v>
      </c>
      <c r="AJ59" s="27" t="s">
        <v>845</v>
      </c>
      <c r="AK59" s="27" t="s">
        <v>846</v>
      </c>
      <c r="AL59" s="27" t="s">
        <v>107</v>
      </c>
      <c r="AM59" s="27" t="s">
        <v>1085</v>
      </c>
      <c r="AN59" s="27" t="s">
        <v>710</v>
      </c>
      <c r="AO59" s="27">
        <v>30</v>
      </c>
    </row>
    <row r="60" spans="1:41" hidden="1">
      <c r="A60" s="27" t="s">
        <v>1086</v>
      </c>
      <c r="B60" s="27" t="s">
        <v>1087</v>
      </c>
      <c r="C60" s="27" t="s">
        <v>1088</v>
      </c>
      <c r="D60" s="27" t="s">
        <v>548</v>
      </c>
      <c r="E60" s="27" t="s">
        <v>549</v>
      </c>
      <c r="F60" s="28">
        <v>46041.1350996412</v>
      </c>
      <c r="G60" s="28">
        <v>46050.382592835645</v>
      </c>
      <c r="H60" s="28">
        <v>46041.1350996412</v>
      </c>
      <c r="I60" s="27" t="s">
        <v>610</v>
      </c>
      <c r="J60" s="27" t="s">
        <v>611</v>
      </c>
      <c r="K60" s="27" t="s">
        <v>676</v>
      </c>
      <c r="L60" s="27" t="s">
        <v>1089</v>
      </c>
      <c r="M60" s="27" t="s">
        <v>1090</v>
      </c>
      <c r="N60" s="27"/>
      <c r="O60" s="27"/>
      <c r="P60" s="27" t="s">
        <v>1091</v>
      </c>
      <c r="Q60" s="27" t="s">
        <v>569</v>
      </c>
      <c r="R60" s="27" t="s">
        <v>583</v>
      </c>
      <c r="S60" s="27"/>
      <c r="T60" s="27" t="s">
        <v>559</v>
      </c>
      <c r="U60" s="27" t="s">
        <v>1088</v>
      </c>
      <c r="V60" s="28">
        <v>46043.231563437497</v>
      </c>
      <c r="W60" s="27" t="s">
        <v>1092</v>
      </c>
      <c r="X60" s="27" t="s">
        <v>559</v>
      </c>
      <c r="Y60" s="27" t="s">
        <v>1093</v>
      </c>
      <c r="Z60" s="28">
        <v>46050.31340309028</v>
      </c>
      <c r="AA60" s="27" t="s">
        <v>1094</v>
      </c>
      <c r="AB60" s="27" t="s">
        <v>549</v>
      </c>
      <c r="AC60" s="27" t="s">
        <v>571</v>
      </c>
      <c r="AD60" s="28">
        <v>46050.382592835645</v>
      </c>
      <c r="AE60" s="27" t="s">
        <v>1095</v>
      </c>
      <c r="AF60" s="27"/>
      <c r="AG60" s="27" t="s">
        <v>108</v>
      </c>
      <c r="AH60" s="28"/>
      <c r="AI60" s="27"/>
      <c r="AJ60" s="27" t="s">
        <v>615</v>
      </c>
      <c r="AK60" s="27">
        <v>4064</v>
      </c>
      <c r="AL60" s="27"/>
      <c r="AM60" s="27"/>
      <c r="AN60" s="27" t="s">
        <v>710</v>
      </c>
      <c r="AO60" s="27">
        <v>365</v>
      </c>
    </row>
    <row r="61" spans="1:41" hidden="1">
      <c r="A61" s="27" t="s">
        <v>1096</v>
      </c>
      <c r="B61" s="27" t="s">
        <v>1097</v>
      </c>
      <c r="C61" s="27" t="s">
        <v>1088</v>
      </c>
      <c r="D61" s="27" t="s">
        <v>548</v>
      </c>
      <c r="E61" s="27" t="s">
        <v>578</v>
      </c>
      <c r="F61" s="28">
        <v>46041.175281111115</v>
      </c>
      <c r="G61" s="28">
        <v>46042.253474386576</v>
      </c>
      <c r="H61" s="28">
        <v>46041.199167708335</v>
      </c>
      <c r="I61" s="27" t="s">
        <v>1098</v>
      </c>
      <c r="J61" s="27" t="s">
        <v>1099</v>
      </c>
      <c r="K61" s="27" t="s">
        <v>676</v>
      </c>
      <c r="L61" s="27" t="s">
        <v>1100</v>
      </c>
      <c r="M61" s="27" t="s">
        <v>1090</v>
      </c>
      <c r="N61" s="27"/>
      <c r="O61" s="27"/>
      <c r="P61" s="27" t="s">
        <v>1091</v>
      </c>
      <c r="Q61" s="27" t="s">
        <v>569</v>
      </c>
      <c r="R61" s="27" t="s">
        <v>583</v>
      </c>
      <c r="S61" s="27"/>
      <c r="T61" s="27" t="s">
        <v>549</v>
      </c>
      <c r="U61" s="27" t="s">
        <v>1088</v>
      </c>
      <c r="V61" s="28">
        <v>46042.253474409721</v>
      </c>
      <c r="W61" s="27"/>
      <c r="X61" s="27"/>
      <c r="Y61" s="27" t="s">
        <v>1093</v>
      </c>
      <c r="Z61" s="28"/>
      <c r="AA61" s="27"/>
      <c r="AB61" s="27"/>
      <c r="AC61" s="27" t="s">
        <v>573</v>
      </c>
      <c r="AD61" s="28"/>
      <c r="AE61" s="27"/>
      <c r="AF61" s="27"/>
      <c r="AG61" s="27" t="s">
        <v>573</v>
      </c>
      <c r="AH61" s="28"/>
      <c r="AI61" s="27"/>
      <c r="AJ61" s="27" t="s">
        <v>1101</v>
      </c>
      <c r="AK61" s="27">
        <v>10071</v>
      </c>
      <c r="AL61" s="27"/>
      <c r="AM61" s="27"/>
      <c r="AN61" s="27" t="s">
        <v>710</v>
      </c>
      <c r="AO61" s="27"/>
    </row>
    <row r="62" spans="1:41" hidden="1">
      <c r="A62" s="27" t="s">
        <v>1102</v>
      </c>
      <c r="B62" s="27" t="s">
        <v>1103</v>
      </c>
      <c r="C62" s="27" t="s">
        <v>909</v>
      </c>
      <c r="D62" s="27" t="s">
        <v>548</v>
      </c>
      <c r="E62" s="27" t="s">
        <v>578</v>
      </c>
      <c r="F62" s="28">
        <v>46041.307378229169</v>
      </c>
      <c r="G62" s="28">
        <v>46041.311425300926</v>
      </c>
      <c r="H62" s="28">
        <v>46041.307378229169</v>
      </c>
      <c r="I62" s="27" t="s">
        <v>910</v>
      </c>
      <c r="J62" s="27" t="s">
        <v>911</v>
      </c>
      <c r="K62" s="27" t="s">
        <v>566</v>
      </c>
      <c r="L62" s="27"/>
      <c r="M62" s="27" t="s">
        <v>912</v>
      </c>
      <c r="N62" s="27"/>
      <c r="O62" s="27"/>
      <c r="P62" s="27" t="s">
        <v>1104</v>
      </c>
      <c r="Q62" s="27" t="s">
        <v>623</v>
      </c>
      <c r="R62" s="27" t="s">
        <v>583</v>
      </c>
      <c r="S62" s="27"/>
      <c r="T62" s="27" t="s">
        <v>549</v>
      </c>
      <c r="U62" s="27" t="s">
        <v>909</v>
      </c>
      <c r="V62" s="28">
        <v>46041.311425312502</v>
      </c>
      <c r="W62" s="27"/>
      <c r="X62" s="27"/>
      <c r="Y62" s="27" t="s">
        <v>912</v>
      </c>
      <c r="Z62" s="28"/>
      <c r="AA62" s="27"/>
      <c r="AB62" s="27"/>
      <c r="AC62" s="27" t="s">
        <v>573</v>
      </c>
      <c r="AD62" s="28"/>
      <c r="AE62" s="27"/>
      <c r="AF62" s="27"/>
      <c r="AG62" s="27" t="s">
        <v>108</v>
      </c>
      <c r="AH62" s="28"/>
      <c r="AI62" s="27"/>
      <c r="AJ62" s="27" t="s">
        <v>918</v>
      </c>
      <c r="AK62" s="27">
        <v>747</v>
      </c>
      <c r="AL62" s="27"/>
      <c r="AM62" s="27"/>
      <c r="AN62" s="27" t="s">
        <v>710</v>
      </c>
      <c r="AO62" s="27">
        <v>14</v>
      </c>
    </row>
    <row r="63" spans="1:41" hidden="1">
      <c r="A63" s="27" t="s">
        <v>1105</v>
      </c>
      <c r="B63" s="27" t="s">
        <v>1106</v>
      </c>
      <c r="C63" s="27" t="s">
        <v>909</v>
      </c>
      <c r="D63" s="27" t="s">
        <v>548</v>
      </c>
      <c r="E63" s="27" t="s">
        <v>638</v>
      </c>
      <c r="F63" s="28">
        <v>46041.314016759257</v>
      </c>
      <c r="G63" s="28">
        <v>46042.156522453704</v>
      </c>
      <c r="H63" s="28">
        <v>46041.314016759257</v>
      </c>
      <c r="I63" s="27" t="s">
        <v>910</v>
      </c>
      <c r="J63" s="27" t="s">
        <v>911</v>
      </c>
      <c r="K63" s="27" t="s">
        <v>566</v>
      </c>
      <c r="L63" s="27"/>
      <c r="M63" s="27" t="s">
        <v>912</v>
      </c>
      <c r="N63" s="27"/>
      <c r="O63" s="27"/>
      <c r="P63" s="27" t="s">
        <v>1107</v>
      </c>
      <c r="Q63" s="27" t="s">
        <v>623</v>
      </c>
      <c r="R63" s="27" t="s">
        <v>583</v>
      </c>
      <c r="S63" s="27"/>
      <c r="T63" s="27" t="s">
        <v>559</v>
      </c>
      <c r="U63" s="27" t="s">
        <v>909</v>
      </c>
      <c r="V63" s="28">
        <v>46041.315897222223</v>
      </c>
      <c r="W63" s="27" t="s">
        <v>1108</v>
      </c>
      <c r="X63" s="27" t="s">
        <v>559</v>
      </c>
      <c r="Y63" s="27" t="s">
        <v>912</v>
      </c>
      <c r="Z63" s="28">
        <v>46041.317312418978</v>
      </c>
      <c r="AA63" s="27" t="s">
        <v>1109</v>
      </c>
      <c r="AB63" s="27" t="s">
        <v>559</v>
      </c>
      <c r="AC63" s="27" t="s">
        <v>571</v>
      </c>
      <c r="AD63" s="28">
        <v>46042.098213796293</v>
      </c>
      <c r="AE63" s="27" t="s">
        <v>1110</v>
      </c>
      <c r="AF63" s="27" t="s">
        <v>559</v>
      </c>
      <c r="AG63" s="27" t="s">
        <v>683</v>
      </c>
      <c r="AH63" s="28">
        <v>46042.15652246528</v>
      </c>
      <c r="AI63" s="27" t="s">
        <v>684</v>
      </c>
      <c r="AJ63" s="27" t="s">
        <v>918</v>
      </c>
      <c r="AK63" s="27">
        <v>747</v>
      </c>
      <c r="AL63" s="27" t="s">
        <v>116</v>
      </c>
      <c r="AM63" s="27" t="s">
        <v>1111</v>
      </c>
      <c r="AN63" s="27" t="s">
        <v>710</v>
      </c>
      <c r="AO63" s="27">
        <v>9</v>
      </c>
    </row>
    <row r="64" spans="1:41" hidden="1">
      <c r="A64" s="27" t="s">
        <v>1112</v>
      </c>
      <c r="B64" s="27" t="s">
        <v>1113</v>
      </c>
      <c r="C64" s="27" t="s">
        <v>1114</v>
      </c>
      <c r="D64" s="27" t="s">
        <v>548</v>
      </c>
      <c r="E64" s="27" t="s">
        <v>638</v>
      </c>
      <c r="F64" s="28">
        <v>46042.354845543981</v>
      </c>
      <c r="G64" s="28">
        <v>46049.267289247684</v>
      </c>
      <c r="H64" s="28">
        <v>46043.08379355324</v>
      </c>
      <c r="I64" s="27" t="s">
        <v>1115</v>
      </c>
      <c r="J64" s="27" t="s">
        <v>1116</v>
      </c>
      <c r="K64" s="27" t="s">
        <v>676</v>
      </c>
      <c r="L64" s="27" t="s">
        <v>1117</v>
      </c>
      <c r="M64" s="27" t="s">
        <v>1118</v>
      </c>
      <c r="N64" s="27" t="s">
        <v>1119</v>
      </c>
      <c r="O64" s="27"/>
      <c r="P64" s="27" t="s">
        <v>1120</v>
      </c>
      <c r="Q64" s="27" t="s">
        <v>556</v>
      </c>
      <c r="R64" s="27" t="s">
        <v>583</v>
      </c>
      <c r="S64" s="27"/>
      <c r="T64" s="27" t="s">
        <v>559</v>
      </c>
      <c r="U64" s="27" t="s">
        <v>1114</v>
      </c>
      <c r="V64" s="28">
        <v>46043.099988993054</v>
      </c>
      <c r="W64" s="27" t="s">
        <v>552</v>
      </c>
      <c r="X64" s="27" t="s">
        <v>559</v>
      </c>
      <c r="Y64" s="27" t="s">
        <v>1121</v>
      </c>
      <c r="Z64" s="28">
        <v>46045.100231226854</v>
      </c>
      <c r="AA64" s="27" t="s">
        <v>559</v>
      </c>
      <c r="AB64" s="27" t="s">
        <v>559</v>
      </c>
      <c r="AC64" s="27" t="s">
        <v>571</v>
      </c>
      <c r="AD64" s="28">
        <v>46045.306661608796</v>
      </c>
      <c r="AE64" s="27" t="s">
        <v>1122</v>
      </c>
      <c r="AF64" s="27" t="s">
        <v>559</v>
      </c>
      <c r="AG64" s="27" t="s">
        <v>571</v>
      </c>
      <c r="AH64" s="28">
        <v>46049.26728925926</v>
      </c>
      <c r="AI64" s="27" t="s">
        <v>649</v>
      </c>
      <c r="AJ64" s="27" t="s">
        <v>1123</v>
      </c>
      <c r="AK64" s="27">
        <v>3284</v>
      </c>
      <c r="AL64" s="27" t="s">
        <v>107</v>
      </c>
      <c r="AM64" s="27" t="s">
        <v>1124</v>
      </c>
      <c r="AN64" s="27" t="s">
        <v>687</v>
      </c>
      <c r="AO64" s="27">
        <v>0</v>
      </c>
    </row>
    <row r="65" spans="1:41" hidden="1">
      <c r="A65" s="27" t="s">
        <v>1125</v>
      </c>
      <c r="B65" s="27" t="s">
        <v>1126</v>
      </c>
      <c r="C65" s="27" t="s">
        <v>1088</v>
      </c>
      <c r="D65" s="27" t="s">
        <v>548</v>
      </c>
      <c r="E65" s="27" t="s">
        <v>638</v>
      </c>
      <c r="F65" s="28">
        <v>46042.40565572917</v>
      </c>
      <c r="G65" s="28">
        <v>46057.18847627315</v>
      </c>
      <c r="H65" s="28">
        <v>46042.40565572917</v>
      </c>
      <c r="I65" s="27" t="s">
        <v>1098</v>
      </c>
      <c r="J65" s="27" t="s">
        <v>1099</v>
      </c>
      <c r="K65" s="27" t="s">
        <v>676</v>
      </c>
      <c r="L65" s="27" t="s">
        <v>1100</v>
      </c>
      <c r="M65" s="27" t="s">
        <v>1090</v>
      </c>
      <c r="N65" s="27"/>
      <c r="O65" s="27"/>
      <c r="P65" s="27" t="s">
        <v>1091</v>
      </c>
      <c r="Q65" s="27" t="s">
        <v>569</v>
      </c>
      <c r="R65" s="27" t="s">
        <v>583</v>
      </c>
      <c r="S65" s="27"/>
      <c r="T65" s="27" t="s">
        <v>559</v>
      </c>
      <c r="U65" s="27" t="s">
        <v>1088</v>
      </c>
      <c r="V65" s="28">
        <v>46043.218533657404</v>
      </c>
      <c r="W65" s="27" t="s">
        <v>1127</v>
      </c>
      <c r="X65" s="27" t="s">
        <v>559</v>
      </c>
      <c r="Y65" s="27" t="s">
        <v>1093</v>
      </c>
      <c r="Z65" s="28">
        <v>46050.312254525466</v>
      </c>
      <c r="AA65" s="27" t="s">
        <v>1128</v>
      </c>
      <c r="AB65" s="27" t="s">
        <v>559</v>
      </c>
      <c r="AC65" s="27" t="s">
        <v>571</v>
      </c>
      <c r="AD65" s="28">
        <v>46050.35107866898</v>
      </c>
      <c r="AE65" s="27" t="s">
        <v>1129</v>
      </c>
      <c r="AF65" s="27" t="s">
        <v>559</v>
      </c>
      <c r="AG65" s="27" t="s">
        <v>683</v>
      </c>
      <c r="AH65" s="28">
        <v>46057.188476284726</v>
      </c>
      <c r="AI65" s="27" t="s">
        <v>684</v>
      </c>
      <c r="AJ65" s="27" t="s">
        <v>1101</v>
      </c>
      <c r="AK65" s="27">
        <v>10071</v>
      </c>
      <c r="AL65" s="27" t="s">
        <v>107</v>
      </c>
      <c r="AM65" s="27" t="s">
        <v>1130</v>
      </c>
      <c r="AN65" s="27" t="s">
        <v>710</v>
      </c>
      <c r="AO65" s="27">
        <v>365</v>
      </c>
    </row>
    <row r="66" spans="1:41" hidden="1">
      <c r="A66" s="27" t="s">
        <v>1131</v>
      </c>
      <c r="B66" s="27" t="s">
        <v>1132</v>
      </c>
      <c r="C66" s="27" t="s">
        <v>1133</v>
      </c>
      <c r="D66" s="27" t="s">
        <v>548</v>
      </c>
      <c r="E66" s="27" t="s">
        <v>638</v>
      </c>
      <c r="F66" s="28">
        <v>46043.153167743054</v>
      </c>
      <c r="G66" s="28">
        <v>46045.373861678243</v>
      </c>
      <c r="H66" s="28">
        <v>46043.172355509261</v>
      </c>
      <c r="I66" s="27" t="s">
        <v>1134</v>
      </c>
      <c r="J66" s="27" t="s">
        <v>1135</v>
      </c>
      <c r="K66" s="27" t="s">
        <v>676</v>
      </c>
      <c r="L66" s="27" t="s">
        <v>839</v>
      </c>
      <c r="M66" s="27" t="s">
        <v>1136</v>
      </c>
      <c r="N66" s="27"/>
      <c r="O66" s="27"/>
      <c r="P66" s="27" t="s">
        <v>1137</v>
      </c>
      <c r="Q66" s="27" t="s">
        <v>556</v>
      </c>
      <c r="R66" s="27" t="s">
        <v>557</v>
      </c>
      <c r="S66" s="27"/>
      <c r="T66" s="27" t="s">
        <v>559</v>
      </c>
      <c r="U66" s="27" t="s">
        <v>1133</v>
      </c>
      <c r="V66" s="28">
        <v>46043.173315011576</v>
      </c>
      <c r="W66" s="27" t="s">
        <v>1138</v>
      </c>
      <c r="X66" s="27" t="s">
        <v>559</v>
      </c>
      <c r="Y66" s="27" t="s">
        <v>753</v>
      </c>
      <c r="Z66" s="28">
        <v>46044.121236631945</v>
      </c>
      <c r="AA66" s="27" t="s">
        <v>559</v>
      </c>
      <c r="AB66" s="27" t="s">
        <v>559</v>
      </c>
      <c r="AC66" s="27" t="s">
        <v>571</v>
      </c>
      <c r="AD66" s="28">
        <v>46044.130217372687</v>
      </c>
      <c r="AE66" s="27" t="s">
        <v>1139</v>
      </c>
      <c r="AF66" s="27" t="s">
        <v>559</v>
      </c>
      <c r="AG66" s="27" t="s">
        <v>683</v>
      </c>
      <c r="AH66" s="28">
        <v>46045.373861689812</v>
      </c>
      <c r="AI66" s="27" t="s">
        <v>684</v>
      </c>
      <c r="AJ66" s="27" t="s">
        <v>1140</v>
      </c>
      <c r="AK66" s="27" t="s">
        <v>1141</v>
      </c>
      <c r="AL66" s="27" t="s">
        <v>107</v>
      </c>
      <c r="AM66" s="27" t="s">
        <v>1142</v>
      </c>
      <c r="AN66" s="27" t="s">
        <v>665</v>
      </c>
      <c r="AO66" s="27">
        <v>0</v>
      </c>
    </row>
    <row r="67" spans="1:41" hidden="1">
      <c r="A67" s="27" t="s">
        <v>1143</v>
      </c>
      <c r="B67" s="27" t="s">
        <v>1144</v>
      </c>
      <c r="C67" s="27" t="s">
        <v>1145</v>
      </c>
      <c r="D67" s="27" t="s">
        <v>548</v>
      </c>
      <c r="E67" s="27" t="s">
        <v>638</v>
      </c>
      <c r="F67" s="28">
        <v>46043.350739409725</v>
      </c>
      <c r="G67" s="28">
        <v>46093.292563148148</v>
      </c>
      <c r="H67" s="28">
        <v>46058.276120995368</v>
      </c>
      <c r="I67" s="27" t="s">
        <v>1146</v>
      </c>
      <c r="J67" s="27" t="s">
        <v>1147</v>
      </c>
      <c r="K67" s="27" t="s">
        <v>566</v>
      </c>
      <c r="L67" s="27"/>
      <c r="M67" s="27" t="s">
        <v>1148</v>
      </c>
      <c r="N67" s="27"/>
      <c r="O67" s="27"/>
      <c r="P67" s="27" t="s">
        <v>1149</v>
      </c>
      <c r="Q67" s="27" t="s">
        <v>556</v>
      </c>
      <c r="R67" s="27" t="s">
        <v>557</v>
      </c>
      <c r="S67" s="27"/>
      <c r="T67" s="27" t="s">
        <v>559</v>
      </c>
      <c r="U67" s="27" t="s">
        <v>1145</v>
      </c>
      <c r="V67" s="28">
        <v>46059.0654168287</v>
      </c>
      <c r="W67" s="27" t="s">
        <v>1150</v>
      </c>
      <c r="X67" s="27" t="s">
        <v>559</v>
      </c>
      <c r="Y67" s="27" t="s">
        <v>1148</v>
      </c>
      <c r="Z67" s="28">
        <v>46092.278981736112</v>
      </c>
      <c r="AA67" s="27" t="s">
        <v>1151</v>
      </c>
      <c r="AB67" s="27" t="s">
        <v>559</v>
      </c>
      <c r="AC67" s="27" t="s">
        <v>571</v>
      </c>
      <c r="AD67" s="28">
        <v>46092.324756875001</v>
      </c>
      <c r="AE67" s="27" t="s">
        <v>1152</v>
      </c>
      <c r="AF67" s="27" t="s">
        <v>559</v>
      </c>
      <c r="AG67" s="27" t="s">
        <v>571</v>
      </c>
      <c r="AH67" s="28">
        <v>46093.292563159725</v>
      </c>
      <c r="AI67" s="27" t="s">
        <v>649</v>
      </c>
      <c r="AJ67" s="27" t="s">
        <v>1153</v>
      </c>
      <c r="AK67" s="27" t="s">
        <v>1154</v>
      </c>
      <c r="AL67" s="27" t="s">
        <v>107</v>
      </c>
      <c r="AM67" s="27" t="s">
        <v>1155</v>
      </c>
      <c r="AN67" s="27" t="s">
        <v>687</v>
      </c>
      <c r="AO67" s="27">
        <v>0</v>
      </c>
    </row>
    <row r="68" spans="1:41" hidden="1">
      <c r="A68" s="27" t="s">
        <v>1156</v>
      </c>
      <c r="B68" s="27" t="s">
        <v>1157</v>
      </c>
      <c r="C68" s="27" t="s">
        <v>909</v>
      </c>
      <c r="D68" s="27" t="s">
        <v>548</v>
      </c>
      <c r="E68" s="27" t="s">
        <v>549</v>
      </c>
      <c r="F68" s="28">
        <v>46044.072314652774</v>
      </c>
      <c r="G68" s="28">
        <v>46044.301271006945</v>
      </c>
      <c r="H68" s="28">
        <v>46044.072314652774</v>
      </c>
      <c r="I68" s="27" t="s">
        <v>910</v>
      </c>
      <c r="J68" s="27" t="s">
        <v>911</v>
      </c>
      <c r="K68" s="27" t="s">
        <v>566</v>
      </c>
      <c r="L68" s="27"/>
      <c r="M68" s="27" t="s">
        <v>912</v>
      </c>
      <c r="N68" s="27"/>
      <c r="O68" s="27"/>
      <c r="P68" s="27" t="s">
        <v>965</v>
      </c>
      <c r="Q68" s="27" t="s">
        <v>623</v>
      </c>
      <c r="R68" s="27" t="s">
        <v>583</v>
      </c>
      <c r="S68" s="27"/>
      <c r="T68" s="27" t="s">
        <v>559</v>
      </c>
      <c r="U68" s="27" t="s">
        <v>909</v>
      </c>
      <c r="V68" s="28">
        <v>46044.08375150463</v>
      </c>
      <c r="W68" s="27" t="s">
        <v>1158</v>
      </c>
      <c r="X68" s="27" t="s">
        <v>549</v>
      </c>
      <c r="Y68" s="27" t="s">
        <v>912</v>
      </c>
      <c r="Z68" s="28">
        <v>46044.301271018521</v>
      </c>
      <c r="AA68" s="27"/>
      <c r="AB68" s="27"/>
      <c r="AC68" s="27" t="s">
        <v>573</v>
      </c>
      <c r="AD68" s="28"/>
      <c r="AE68" s="27"/>
      <c r="AF68" s="27"/>
      <c r="AG68" s="27" t="s">
        <v>108</v>
      </c>
      <c r="AH68" s="28"/>
      <c r="AI68" s="27"/>
      <c r="AJ68" s="27" t="s">
        <v>918</v>
      </c>
      <c r="AK68" s="27">
        <v>747</v>
      </c>
      <c r="AL68" s="27"/>
      <c r="AM68" s="27"/>
      <c r="AN68" s="27" t="s">
        <v>710</v>
      </c>
      <c r="AO68" s="27">
        <v>14</v>
      </c>
    </row>
    <row r="69" spans="1:41" hidden="1">
      <c r="A69" s="27" t="s">
        <v>1159</v>
      </c>
      <c r="B69" s="27" t="s">
        <v>1160</v>
      </c>
      <c r="C69" s="27" t="s">
        <v>1161</v>
      </c>
      <c r="D69" s="27" t="s">
        <v>548</v>
      </c>
      <c r="E69" s="27" t="s">
        <v>638</v>
      </c>
      <c r="F69" s="28">
        <v>46045.056981354166</v>
      </c>
      <c r="G69" s="28">
        <v>46086.080187222222</v>
      </c>
      <c r="H69" s="28">
        <v>46080.099987997688</v>
      </c>
      <c r="I69" s="27" t="s">
        <v>1162</v>
      </c>
      <c r="J69" s="27" t="s">
        <v>1163</v>
      </c>
      <c r="K69" s="27" t="s">
        <v>676</v>
      </c>
      <c r="L69" s="27" t="s">
        <v>839</v>
      </c>
      <c r="M69" s="27" t="s">
        <v>1136</v>
      </c>
      <c r="N69" s="27" t="s">
        <v>839</v>
      </c>
      <c r="O69" s="27"/>
      <c r="P69" s="27" t="s">
        <v>1164</v>
      </c>
      <c r="Q69" s="27" t="s">
        <v>556</v>
      </c>
      <c r="R69" s="27" t="s">
        <v>583</v>
      </c>
      <c r="S69" s="27"/>
      <c r="T69" s="27" t="s">
        <v>559</v>
      </c>
      <c r="U69" s="27" t="s">
        <v>1161</v>
      </c>
      <c r="V69" s="28">
        <v>46080.100865763889</v>
      </c>
      <c r="W69" s="27" t="s">
        <v>1138</v>
      </c>
      <c r="X69" s="27" t="s">
        <v>559</v>
      </c>
      <c r="Y69" s="27" t="s">
        <v>753</v>
      </c>
      <c r="Z69" s="28">
        <v>46080.163344525463</v>
      </c>
      <c r="AA69" s="27" t="s">
        <v>559</v>
      </c>
      <c r="AB69" s="27" t="s">
        <v>559</v>
      </c>
      <c r="AC69" s="27" t="s">
        <v>571</v>
      </c>
      <c r="AD69" s="28">
        <v>46083.158775034724</v>
      </c>
      <c r="AE69" s="27" t="s">
        <v>1165</v>
      </c>
      <c r="AF69" s="27" t="s">
        <v>559</v>
      </c>
      <c r="AG69" s="27" t="s">
        <v>683</v>
      </c>
      <c r="AH69" s="28">
        <v>46086.080187222222</v>
      </c>
      <c r="AI69" s="27" t="s">
        <v>684</v>
      </c>
      <c r="AJ69" s="27" t="s">
        <v>1166</v>
      </c>
      <c r="AK69" s="27" t="s">
        <v>1167</v>
      </c>
      <c r="AL69" s="27" t="s">
        <v>107</v>
      </c>
      <c r="AM69" s="27" t="s">
        <v>1168</v>
      </c>
      <c r="AN69" s="27" t="s">
        <v>665</v>
      </c>
      <c r="AO69" s="27">
        <v>0</v>
      </c>
    </row>
    <row r="70" spans="1:41" hidden="1">
      <c r="A70" s="27" t="s">
        <v>1169</v>
      </c>
      <c r="B70" s="27" t="s">
        <v>1170</v>
      </c>
      <c r="C70" s="27" t="s">
        <v>1161</v>
      </c>
      <c r="D70" s="27" t="s">
        <v>548</v>
      </c>
      <c r="E70" s="27" t="s">
        <v>549</v>
      </c>
      <c r="F70" s="28">
        <v>46045.05726483796</v>
      </c>
      <c r="G70" s="28">
        <v>46045.079392847219</v>
      </c>
      <c r="H70" s="28">
        <v>46045.071248483793</v>
      </c>
      <c r="I70" s="27" t="s">
        <v>1171</v>
      </c>
      <c r="J70" s="27" t="s">
        <v>1172</v>
      </c>
      <c r="K70" s="27" t="s">
        <v>676</v>
      </c>
      <c r="L70" s="27" t="s">
        <v>839</v>
      </c>
      <c r="M70" s="27" t="s">
        <v>1136</v>
      </c>
      <c r="N70" s="27"/>
      <c r="O70" s="27"/>
      <c r="P70" s="27" t="s">
        <v>1173</v>
      </c>
      <c r="Q70" s="27" t="s">
        <v>556</v>
      </c>
      <c r="R70" s="27" t="s">
        <v>583</v>
      </c>
      <c r="S70" s="27"/>
      <c r="T70" s="27" t="s">
        <v>549</v>
      </c>
      <c r="U70" s="27" t="s">
        <v>1161</v>
      </c>
      <c r="V70" s="28">
        <v>46045.078574027779</v>
      </c>
      <c r="W70" s="27"/>
      <c r="X70" s="27" t="s">
        <v>549</v>
      </c>
      <c r="Y70" s="27" t="s">
        <v>1161</v>
      </c>
      <c r="Z70" s="28">
        <v>46045.078817303242</v>
      </c>
      <c r="AA70" s="27"/>
      <c r="AB70" s="27" t="s">
        <v>549</v>
      </c>
      <c r="AC70" s="27" t="s">
        <v>1161</v>
      </c>
      <c r="AD70" s="28">
        <v>46045.079392858795</v>
      </c>
      <c r="AE70" s="27"/>
      <c r="AF70" s="27"/>
      <c r="AG70" s="27" t="s">
        <v>573</v>
      </c>
      <c r="AH70" s="28"/>
      <c r="AI70" s="27"/>
      <c r="AJ70" s="27" t="s">
        <v>1174</v>
      </c>
      <c r="AK70" s="27" t="s">
        <v>1175</v>
      </c>
      <c r="AL70" s="27"/>
      <c r="AM70" s="27"/>
      <c r="AN70" s="27" t="s">
        <v>665</v>
      </c>
      <c r="AO70" s="27">
        <v>0</v>
      </c>
    </row>
    <row r="71" spans="1:41" hidden="1">
      <c r="A71" s="27" t="s">
        <v>1176</v>
      </c>
      <c r="B71" s="27" t="s">
        <v>1177</v>
      </c>
      <c r="C71" s="27" t="s">
        <v>1161</v>
      </c>
      <c r="D71" s="27" t="s">
        <v>548</v>
      </c>
      <c r="E71" s="27" t="s">
        <v>638</v>
      </c>
      <c r="F71" s="28">
        <v>46045.057460775461</v>
      </c>
      <c r="G71" s="28">
        <v>46051.161712777779</v>
      </c>
      <c r="H71" s="28">
        <v>46045.278958553237</v>
      </c>
      <c r="I71" s="27" t="s">
        <v>1178</v>
      </c>
      <c r="J71" s="27" t="s">
        <v>1179</v>
      </c>
      <c r="K71" s="27" t="s">
        <v>676</v>
      </c>
      <c r="L71" s="27" t="s">
        <v>839</v>
      </c>
      <c r="M71" s="27" t="s">
        <v>1136</v>
      </c>
      <c r="N71" s="27"/>
      <c r="O71" s="27"/>
      <c r="P71" s="27" t="s">
        <v>1180</v>
      </c>
      <c r="Q71" s="27" t="s">
        <v>556</v>
      </c>
      <c r="R71" s="27" t="s">
        <v>583</v>
      </c>
      <c r="S71" s="27"/>
      <c r="T71" s="27" t="s">
        <v>559</v>
      </c>
      <c r="U71" s="27" t="s">
        <v>1161</v>
      </c>
      <c r="V71" s="28">
        <v>46045.280631550922</v>
      </c>
      <c r="W71" s="27" t="s">
        <v>1138</v>
      </c>
      <c r="X71" s="27" t="s">
        <v>559</v>
      </c>
      <c r="Y71" s="27" t="s">
        <v>753</v>
      </c>
      <c r="Z71" s="28">
        <v>46048.260055115737</v>
      </c>
      <c r="AA71" s="27" t="s">
        <v>559</v>
      </c>
      <c r="AB71" s="27" t="s">
        <v>559</v>
      </c>
      <c r="AC71" s="27" t="s">
        <v>571</v>
      </c>
      <c r="AD71" s="28">
        <v>46049.122221527781</v>
      </c>
      <c r="AE71" s="27" t="s">
        <v>1181</v>
      </c>
      <c r="AF71" s="27" t="s">
        <v>559</v>
      </c>
      <c r="AG71" s="27" t="s">
        <v>571</v>
      </c>
      <c r="AH71" s="28">
        <v>46051.161712789355</v>
      </c>
      <c r="AI71" s="27" t="s">
        <v>649</v>
      </c>
      <c r="AJ71" s="27" t="s">
        <v>1182</v>
      </c>
      <c r="AK71" s="27" t="s">
        <v>1183</v>
      </c>
      <c r="AL71" s="27" t="s">
        <v>107</v>
      </c>
      <c r="AM71" s="27" t="s">
        <v>1184</v>
      </c>
      <c r="AN71" s="27" t="s">
        <v>665</v>
      </c>
      <c r="AO71" s="27">
        <v>0</v>
      </c>
    </row>
    <row r="72" spans="1:41" hidden="1">
      <c r="A72" s="27" t="s">
        <v>1185</v>
      </c>
      <c r="B72" s="27" t="s">
        <v>1186</v>
      </c>
      <c r="C72" s="27" t="s">
        <v>1161</v>
      </c>
      <c r="D72" s="27" t="s">
        <v>548</v>
      </c>
      <c r="E72" s="27" t="s">
        <v>638</v>
      </c>
      <c r="F72" s="28">
        <v>46045.058469837961</v>
      </c>
      <c r="G72" s="28">
        <v>46051.161858113424</v>
      </c>
      <c r="H72" s="28">
        <v>46045.278432650462</v>
      </c>
      <c r="I72" s="27" t="s">
        <v>1187</v>
      </c>
      <c r="J72" s="27" t="s">
        <v>1188</v>
      </c>
      <c r="K72" s="27" t="s">
        <v>676</v>
      </c>
      <c r="L72" s="27" t="s">
        <v>839</v>
      </c>
      <c r="M72" s="27" t="s">
        <v>1136</v>
      </c>
      <c r="N72" s="27"/>
      <c r="O72" s="27"/>
      <c r="P72" s="27" t="s">
        <v>1189</v>
      </c>
      <c r="Q72" s="27" t="s">
        <v>556</v>
      </c>
      <c r="R72" s="27" t="s">
        <v>583</v>
      </c>
      <c r="S72" s="27"/>
      <c r="T72" s="27" t="s">
        <v>559</v>
      </c>
      <c r="U72" s="27" t="s">
        <v>1161</v>
      </c>
      <c r="V72" s="28">
        <v>46045.280503831018</v>
      </c>
      <c r="W72" s="27" t="s">
        <v>1138</v>
      </c>
      <c r="X72" s="27" t="s">
        <v>559</v>
      </c>
      <c r="Y72" s="27" t="s">
        <v>753</v>
      </c>
      <c r="Z72" s="28">
        <v>46048.259167002318</v>
      </c>
      <c r="AA72" s="27" t="s">
        <v>559</v>
      </c>
      <c r="AB72" s="27" t="s">
        <v>559</v>
      </c>
      <c r="AC72" s="27" t="s">
        <v>571</v>
      </c>
      <c r="AD72" s="28">
        <v>46049.123674027775</v>
      </c>
      <c r="AE72" s="27" t="s">
        <v>1190</v>
      </c>
      <c r="AF72" s="27" t="s">
        <v>559</v>
      </c>
      <c r="AG72" s="27" t="s">
        <v>571</v>
      </c>
      <c r="AH72" s="28">
        <v>46051.161858125</v>
      </c>
      <c r="AI72" s="27" t="s">
        <v>649</v>
      </c>
      <c r="AJ72" s="27" t="s">
        <v>1191</v>
      </c>
      <c r="AK72" s="27" t="s">
        <v>1192</v>
      </c>
      <c r="AL72" s="27" t="s">
        <v>107</v>
      </c>
      <c r="AM72" s="27" t="s">
        <v>1193</v>
      </c>
      <c r="AN72" s="27" t="s">
        <v>665</v>
      </c>
      <c r="AO72" s="27">
        <v>0</v>
      </c>
    </row>
    <row r="73" spans="1:41" hidden="1">
      <c r="A73" s="27" t="s">
        <v>1194</v>
      </c>
      <c r="B73" s="27" t="s">
        <v>1195</v>
      </c>
      <c r="C73" s="27" t="s">
        <v>1161</v>
      </c>
      <c r="D73" s="27" t="s">
        <v>548</v>
      </c>
      <c r="E73" s="27" t="s">
        <v>638</v>
      </c>
      <c r="F73" s="28">
        <v>46045.107575868053</v>
      </c>
      <c r="G73" s="28">
        <v>46051.162249548608</v>
      </c>
      <c r="H73" s="28">
        <v>46045.277569999998</v>
      </c>
      <c r="I73" s="27" t="s">
        <v>1171</v>
      </c>
      <c r="J73" s="27" t="s">
        <v>1172</v>
      </c>
      <c r="K73" s="27" t="s">
        <v>676</v>
      </c>
      <c r="L73" s="27" t="s">
        <v>839</v>
      </c>
      <c r="M73" s="27" t="s">
        <v>1136</v>
      </c>
      <c r="N73" s="27"/>
      <c r="O73" s="27"/>
      <c r="P73" s="27" t="s">
        <v>1173</v>
      </c>
      <c r="Q73" s="27" t="s">
        <v>556</v>
      </c>
      <c r="R73" s="27" t="s">
        <v>583</v>
      </c>
      <c r="S73" s="27"/>
      <c r="T73" s="27" t="s">
        <v>559</v>
      </c>
      <c r="U73" s="27" t="s">
        <v>1161</v>
      </c>
      <c r="V73" s="28">
        <v>46045.280407280094</v>
      </c>
      <c r="W73" s="27" t="s">
        <v>1138</v>
      </c>
      <c r="X73" s="27" t="s">
        <v>559</v>
      </c>
      <c r="Y73" s="27" t="s">
        <v>753</v>
      </c>
      <c r="Z73" s="28">
        <v>46048.258588703706</v>
      </c>
      <c r="AA73" s="27" t="s">
        <v>559</v>
      </c>
      <c r="AB73" s="27" t="s">
        <v>559</v>
      </c>
      <c r="AC73" s="27" t="s">
        <v>571</v>
      </c>
      <c r="AD73" s="28">
        <v>46049.124175185185</v>
      </c>
      <c r="AE73" s="27" t="s">
        <v>1196</v>
      </c>
      <c r="AF73" s="27" t="s">
        <v>559</v>
      </c>
      <c r="AG73" s="27" t="s">
        <v>571</v>
      </c>
      <c r="AH73" s="28">
        <v>46051.162249548608</v>
      </c>
      <c r="AI73" s="27" t="s">
        <v>649</v>
      </c>
      <c r="AJ73" s="27" t="s">
        <v>1174</v>
      </c>
      <c r="AK73" s="27" t="s">
        <v>1175</v>
      </c>
      <c r="AL73" s="27" t="s">
        <v>107</v>
      </c>
      <c r="AM73" s="27" t="s">
        <v>1197</v>
      </c>
      <c r="AN73" s="27" t="s">
        <v>665</v>
      </c>
      <c r="AO73" s="27">
        <v>0</v>
      </c>
    </row>
    <row r="74" spans="1:41" hidden="1">
      <c r="A74" s="27" t="s">
        <v>1198</v>
      </c>
      <c r="B74" s="27" t="s">
        <v>1199</v>
      </c>
      <c r="C74" s="27" t="s">
        <v>909</v>
      </c>
      <c r="D74" s="27" t="s">
        <v>548</v>
      </c>
      <c r="E74" s="27" t="s">
        <v>638</v>
      </c>
      <c r="F74" s="28">
        <v>46048.090024606485</v>
      </c>
      <c r="G74" s="28">
        <v>46052.149452986108</v>
      </c>
      <c r="H74" s="28">
        <v>46048.090024606485</v>
      </c>
      <c r="I74" s="27" t="s">
        <v>910</v>
      </c>
      <c r="J74" s="27" t="s">
        <v>911</v>
      </c>
      <c r="K74" s="27" t="s">
        <v>566</v>
      </c>
      <c r="L74" s="27"/>
      <c r="M74" s="27" t="s">
        <v>912</v>
      </c>
      <c r="N74" s="27" t="s">
        <v>552</v>
      </c>
      <c r="O74" s="27" t="s">
        <v>552</v>
      </c>
      <c r="P74" s="27" t="s">
        <v>1200</v>
      </c>
      <c r="Q74" s="27" t="s">
        <v>556</v>
      </c>
      <c r="R74" s="27" t="s">
        <v>583</v>
      </c>
      <c r="S74" s="27"/>
      <c r="T74" s="27" t="s">
        <v>559</v>
      </c>
      <c r="U74" s="27" t="s">
        <v>909</v>
      </c>
      <c r="V74" s="28">
        <v>46048.090865254628</v>
      </c>
      <c r="W74" s="27" t="s">
        <v>1201</v>
      </c>
      <c r="X74" s="27" t="s">
        <v>559</v>
      </c>
      <c r="Y74" s="27" t="s">
        <v>912</v>
      </c>
      <c r="Z74" s="28">
        <v>46050.263869062503</v>
      </c>
      <c r="AA74" s="27" t="s">
        <v>1202</v>
      </c>
      <c r="AB74" s="27" t="s">
        <v>559</v>
      </c>
      <c r="AC74" s="27" t="s">
        <v>571</v>
      </c>
      <c r="AD74" s="28">
        <v>46050.280963969904</v>
      </c>
      <c r="AE74" s="27" t="s">
        <v>1203</v>
      </c>
      <c r="AF74" s="27" t="s">
        <v>559</v>
      </c>
      <c r="AG74" s="27" t="s">
        <v>796</v>
      </c>
      <c r="AH74" s="28">
        <v>46052.149452997684</v>
      </c>
      <c r="AI74" s="27" t="s">
        <v>1204</v>
      </c>
      <c r="AJ74" s="27" t="s">
        <v>918</v>
      </c>
      <c r="AK74" s="27">
        <v>747</v>
      </c>
      <c r="AL74" s="27" t="s">
        <v>116</v>
      </c>
      <c r="AM74" s="27" t="s">
        <v>1205</v>
      </c>
      <c r="AN74" s="27" t="s">
        <v>710</v>
      </c>
      <c r="AO74" s="27">
        <v>14</v>
      </c>
    </row>
    <row r="75" spans="1:41" hidden="1">
      <c r="A75" s="27" t="s">
        <v>1206</v>
      </c>
      <c r="B75" s="27" t="s">
        <v>1207</v>
      </c>
      <c r="C75" s="27" t="s">
        <v>1208</v>
      </c>
      <c r="D75" s="27" t="s">
        <v>548</v>
      </c>
      <c r="E75" s="27" t="s">
        <v>638</v>
      </c>
      <c r="F75" s="28">
        <v>46048.294158622688</v>
      </c>
      <c r="G75" s="28">
        <v>46066.293970960651</v>
      </c>
      <c r="H75" s="28">
        <v>46048.296167627312</v>
      </c>
      <c r="I75" s="27" t="s">
        <v>1209</v>
      </c>
      <c r="J75" s="27" t="s">
        <v>1210</v>
      </c>
      <c r="K75" s="27" t="s">
        <v>566</v>
      </c>
      <c r="L75" s="27"/>
      <c r="M75" s="27" t="s">
        <v>1211</v>
      </c>
      <c r="N75" s="27" t="s">
        <v>1212</v>
      </c>
      <c r="O75" s="27"/>
      <c r="P75" s="27" t="s">
        <v>1213</v>
      </c>
      <c r="Q75" s="27" t="s">
        <v>556</v>
      </c>
      <c r="R75" s="27" t="s">
        <v>583</v>
      </c>
      <c r="S75" s="27"/>
      <c r="T75" s="27" t="s">
        <v>559</v>
      </c>
      <c r="U75" s="27" t="s">
        <v>1208</v>
      </c>
      <c r="V75" s="28">
        <v>46048.318922025464</v>
      </c>
      <c r="W75" s="27" t="s">
        <v>1214</v>
      </c>
      <c r="X75" s="27" t="s">
        <v>559</v>
      </c>
      <c r="Y75" s="27" t="s">
        <v>1211</v>
      </c>
      <c r="Z75" s="28">
        <v>46048.352216805557</v>
      </c>
      <c r="AA75" s="27" t="s">
        <v>1215</v>
      </c>
      <c r="AB75" s="27" t="s">
        <v>559</v>
      </c>
      <c r="AC75" s="27" t="s">
        <v>571</v>
      </c>
      <c r="AD75" s="28">
        <v>46049.120396539351</v>
      </c>
      <c r="AE75" s="27" t="s">
        <v>1216</v>
      </c>
      <c r="AF75" s="27" t="s">
        <v>559</v>
      </c>
      <c r="AG75" s="27" t="s">
        <v>683</v>
      </c>
      <c r="AH75" s="28">
        <v>46066.29397097222</v>
      </c>
      <c r="AI75" s="27" t="s">
        <v>684</v>
      </c>
      <c r="AJ75" s="27" t="s">
        <v>1217</v>
      </c>
      <c r="AK75" s="27" t="s">
        <v>1218</v>
      </c>
      <c r="AL75" s="27" t="s">
        <v>107</v>
      </c>
      <c r="AM75" s="27" t="s">
        <v>1219</v>
      </c>
      <c r="AN75" s="27" t="s">
        <v>665</v>
      </c>
      <c r="AO75" s="27">
        <v>0</v>
      </c>
    </row>
    <row r="76" spans="1:41" hidden="1">
      <c r="A76" s="27" t="s">
        <v>1220</v>
      </c>
      <c r="B76" s="27" t="s">
        <v>1221</v>
      </c>
      <c r="C76" s="27" t="s">
        <v>1208</v>
      </c>
      <c r="D76" s="27" t="s">
        <v>548</v>
      </c>
      <c r="E76" s="27" t="s">
        <v>638</v>
      </c>
      <c r="F76" s="28">
        <v>46048.321216412034</v>
      </c>
      <c r="G76" s="28">
        <v>46050.135675370373</v>
      </c>
      <c r="H76" s="28">
        <v>46048.321216412034</v>
      </c>
      <c r="I76" s="27" t="s">
        <v>1222</v>
      </c>
      <c r="J76" s="27" t="s">
        <v>1223</v>
      </c>
      <c r="K76" s="27" t="s">
        <v>566</v>
      </c>
      <c r="L76" s="27"/>
      <c r="M76" s="27" t="s">
        <v>1211</v>
      </c>
      <c r="N76" s="27"/>
      <c r="O76" s="27"/>
      <c r="P76" s="27" t="s">
        <v>1224</v>
      </c>
      <c r="Q76" s="27" t="s">
        <v>556</v>
      </c>
      <c r="R76" s="27" t="s">
        <v>583</v>
      </c>
      <c r="S76" s="27"/>
      <c r="T76" s="27" t="s">
        <v>559</v>
      </c>
      <c r="U76" s="27" t="s">
        <v>1208</v>
      </c>
      <c r="V76" s="28">
        <v>46048.32158747685</v>
      </c>
      <c r="W76" s="27" t="s">
        <v>1225</v>
      </c>
      <c r="X76" s="27" t="s">
        <v>559</v>
      </c>
      <c r="Y76" s="27" t="s">
        <v>1211</v>
      </c>
      <c r="Z76" s="28">
        <v>46048.346619456017</v>
      </c>
      <c r="AA76" s="27" t="s">
        <v>1226</v>
      </c>
      <c r="AB76" s="27" t="s">
        <v>559</v>
      </c>
      <c r="AC76" s="27" t="s">
        <v>571</v>
      </c>
      <c r="AD76" s="28">
        <v>46049.120088599535</v>
      </c>
      <c r="AE76" s="27" t="s">
        <v>1227</v>
      </c>
      <c r="AF76" s="27" t="s">
        <v>559</v>
      </c>
      <c r="AG76" s="27" t="s">
        <v>683</v>
      </c>
      <c r="AH76" s="28">
        <v>46050.135675370373</v>
      </c>
      <c r="AI76" s="27" t="s">
        <v>684</v>
      </c>
      <c r="AJ76" s="27" t="s">
        <v>1228</v>
      </c>
      <c r="AK76" s="27" t="s">
        <v>1229</v>
      </c>
      <c r="AL76" s="27" t="s">
        <v>107</v>
      </c>
      <c r="AM76" s="27" t="s">
        <v>1230</v>
      </c>
      <c r="AN76" s="27" t="s">
        <v>687</v>
      </c>
      <c r="AO76" s="27">
        <v>0</v>
      </c>
    </row>
    <row r="77" spans="1:41" hidden="1">
      <c r="A77" s="27" t="s">
        <v>1231</v>
      </c>
      <c r="B77" s="27" t="s">
        <v>1232</v>
      </c>
      <c r="C77" s="27" t="s">
        <v>1233</v>
      </c>
      <c r="D77" s="27" t="s">
        <v>548</v>
      </c>
      <c r="E77" s="27" t="s">
        <v>638</v>
      </c>
      <c r="F77" s="28">
        <v>46048.373163622688</v>
      </c>
      <c r="G77" s="28">
        <v>46076.167896134262</v>
      </c>
      <c r="H77" s="28">
        <v>46048.37812184028</v>
      </c>
      <c r="I77" s="27" t="s">
        <v>1234</v>
      </c>
      <c r="J77" s="27" t="s">
        <v>1235</v>
      </c>
      <c r="K77" s="27" t="s">
        <v>566</v>
      </c>
      <c r="L77" s="27"/>
      <c r="M77" s="27" t="s">
        <v>1236</v>
      </c>
      <c r="N77" s="27"/>
      <c r="O77" s="27"/>
      <c r="P77" s="27" t="s">
        <v>1237</v>
      </c>
      <c r="Q77" s="27" t="s">
        <v>556</v>
      </c>
      <c r="R77" s="27" t="s">
        <v>583</v>
      </c>
      <c r="S77" s="27"/>
      <c r="T77" s="27" t="s">
        <v>559</v>
      </c>
      <c r="U77" s="27" t="s">
        <v>1233</v>
      </c>
      <c r="V77" s="28">
        <v>46048.381695150463</v>
      </c>
      <c r="W77" s="27" t="s">
        <v>1238</v>
      </c>
      <c r="X77" s="27" t="s">
        <v>559</v>
      </c>
      <c r="Y77" s="27" t="s">
        <v>1239</v>
      </c>
      <c r="Z77" s="28">
        <v>46066.184940370367</v>
      </c>
      <c r="AA77" s="27" t="s">
        <v>1240</v>
      </c>
      <c r="AB77" s="27" t="s">
        <v>559</v>
      </c>
      <c r="AC77" s="27" t="s">
        <v>571</v>
      </c>
      <c r="AD77" s="28">
        <v>46072.292499131945</v>
      </c>
      <c r="AE77" s="27" t="s">
        <v>867</v>
      </c>
      <c r="AF77" s="27" t="s">
        <v>559</v>
      </c>
      <c r="AG77" s="27" t="s">
        <v>683</v>
      </c>
      <c r="AH77" s="28">
        <v>46076.167896145831</v>
      </c>
      <c r="AI77" s="27" t="s">
        <v>684</v>
      </c>
      <c r="AJ77" s="27" t="s">
        <v>1241</v>
      </c>
      <c r="AK77" s="27">
        <v>1478</v>
      </c>
      <c r="AL77" s="27" t="s">
        <v>107</v>
      </c>
      <c r="AM77" s="27" t="s">
        <v>1242</v>
      </c>
      <c r="AN77" s="27" t="s">
        <v>665</v>
      </c>
      <c r="AO77" s="27">
        <v>0</v>
      </c>
    </row>
    <row r="78" spans="1:41" hidden="1">
      <c r="A78" s="27" t="s">
        <v>1243</v>
      </c>
      <c r="B78" s="27" t="s">
        <v>1244</v>
      </c>
      <c r="C78" s="27" t="s">
        <v>1245</v>
      </c>
      <c r="D78" s="27" t="s">
        <v>548</v>
      </c>
      <c r="E78" s="27" t="s">
        <v>638</v>
      </c>
      <c r="F78" s="28">
        <v>46049.193185694443</v>
      </c>
      <c r="G78" s="28">
        <v>46059.169563275464</v>
      </c>
      <c r="H78" s="28">
        <v>46049.193185694443</v>
      </c>
      <c r="I78" s="27" t="s">
        <v>1246</v>
      </c>
      <c r="J78" s="27" t="s">
        <v>1247</v>
      </c>
      <c r="K78" s="27" t="s">
        <v>1248</v>
      </c>
      <c r="L78" s="27"/>
      <c r="M78" s="27" t="s">
        <v>1249</v>
      </c>
      <c r="N78" s="27"/>
      <c r="O78" s="27"/>
      <c r="P78" s="27" t="s">
        <v>1250</v>
      </c>
      <c r="Q78" s="27" t="s">
        <v>643</v>
      </c>
      <c r="R78" s="27" t="s">
        <v>583</v>
      </c>
      <c r="S78" s="27"/>
      <c r="T78" s="27" t="s">
        <v>559</v>
      </c>
      <c r="U78" s="27" t="s">
        <v>1245</v>
      </c>
      <c r="V78" s="28">
        <v>46050.139356655091</v>
      </c>
      <c r="W78" s="27" t="s">
        <v>1251</v>
      </c>
      <c r="X78" s="27" t="s">
        <v>559</v>
      </c>
      <c r="Y78" s="27" t="s">
        <v>1249</v>
      </c>
      <c r="Z78" s="28">
        <v>46050.279515243055</v>
      </c>
      <c r="AA78" s="27" t="s">
        <v>1252</v>
      </c>
      <c r="AB78" s="27" t="s">
        <v>559</v>
      </c>
      <c r="AC78" s="27" t="s">
        <v>571</v>
      </c>
      <c r="AD78" s="28">
        <v>46050.282492754632</v>
      </c>
      <c r="AE78" s="27" t="s">
        <v>1253</v>
      </c>
      <c r="AF78" s="27" t="s">
        <v>559</v>
      </c>
      <c r="AG78" s="27" t="s">
        <v>683</v>
      </c>
      <c r="AH78" s="28">
        <v>46059.169563298608</v>
      </c>
      <c r="AI78" s="27" t="s">
        <v>684</v>
      </c>
      <c r="AJ78" s="27" t="s">
        <v>1254</v>
      </c>
      <c r="AK78" s="27" t="s">
        <v>1255</v>
      </c>
      <c r="AL78" s="27" t="s">
        <v>107</v>
      </c>
      <c r="AM78" s="27" t="s">
        <v>1256</v>
      </c>
      <c r="AN78" s="27" t="s">
        <v>665</v>
      </c>
      <c r="AO78" s="27">
        <v>0</v>
      </c>
    </row>
    <row r="79" spans="1:41" hidden="1">
      <c r="A79" s="27" t="s">
        <v>1257</v>
      </c>
      <c r="B79" s="27" t="s">
        <v>1258</v>
      </c>
      <c r="C79" s="27" t="s">
        <v>1259</v>
      </c>
      <c r="D79" s="27" t="s">
        <v>548</v>
      </c>
      <c r="E79" s="27" t="s">
        <v>638</v>
      </c>
      <c r="F79" s="28">
        <v>46049.297464363422</v>
      </c>
      <c r="G79" s="28">
        <v>46098.176113993053</v>
      </c>
      <c r="H79" s="28">
        <v>46049.297464363422</v>
      </c>
      <c r="I79" s="27" t="s">
        <v>1260</v>
      </c>
      <c r="J79" s="27" t="s">
        <v>1261</v>
      </c>
      <c r="K79" s="27" t="s">
        <v>676</v>
      </c>
      <c r="L79" s="27" t="s">
        <v>704</v>
      </c>
      <c r="M79" s="27" t="s">
        <v>1262</v>
      </c>
      <c r="N79" s="27"/>
      <c r="O79" s="27"/>
      <c r="P79" s="27" t="s">
        <v>1263</v>
      </c>
      <c r="Q79" s="27" t="s">
        <v>1264</v>
      </c>
      <c r="R79" s="27" t="s">
        <v>809</v>
      </c>
      <c r="S79" s="27"/>
      <c r="T79" s="27" t="s">
        <v>559</v>
      </c>
      <c r="U79" s="27" t="s">
        <v>1259</v>
      </c>
      <c r="V79" s="28">
        <v>46049.298228171298</v>
      </c>
      <c r="W79" s="27" t="s">
        <v>1265</v>
      </c>
      <c r="X79" s="27" t="s">
        <v>559</v>
      </c>
      <c r="Y79" s="27" t="s">
        <v>1266</v>
      </c>
      <c r="Z79" s="28">
        <v>46097.10988611111</v>
      </c>
      <c r="AA79" s="27" t="s">
        <v>1267</v>
      </c>
      <c r="AB79" s="27" t="s">
        <v>559</v>
      </c>
      <c r="AC79" s="27" t="s">
        <v>571</v>
      </c>
      <c r="AD79" s="28">
        <v>46097.285399988425</v>
      </c>
      <c r="AE79" s="27" t="s">
        <v>1268</v>
      </c>
      <c r="AF79" s="27" t="s">
        <v>559</v>
      </c>
      <c r="AG79" s="27" t="s">
        <v>571</v>
      </c>
      <c r="AH79" s="28">
        <v>46098.176114004629</v>
      </c>
      <c r="AI79" s="27" t="s">
        <v>1269</v>
      </c>
      <c r="AJ79" s="27" t="s">
        <v>1270</v>
      </c>
      <c r="AK79" s="27" t="s">
        <v>1271</v>
      </c>
      <c r="AL79" s="27" t="s">
        <v>116</v>
      </c>
      <c r="AM79" s="27" t="s">
        <v>1272</v>
      </c>
      <c r="AN79" s="27" t="s">
        <v>687</v>
      </c>
      <c r="AO79" s="27">
        <v>0</v>
      </c>
    </row>
    <row r="80" spans="1:41" hidden="1">
      <c r="A80" s="27" t="s">
        <v>1273</v>
      </c>
      <c r="B80" s="27" t="s">
        <v>1274</v>
      </c>
      <c r="C80" s="27" t="s">
        <v>1275</v>
      </c>
      <c r="D80" s="27" t="s">
        <v>548</v>
      </c>
      <c r="E80" s="27" t="s">
        <v>668</v>
      </c>
      <c r="F80" s="28">
        <v>46050.013197060187</v>
      </c>
      <c r="G80" s="28">
        <v>46050.01579672454</v>
      </c>
      <c r="H80" s="28">
        <v>46050.013197060187</v>
      </c>
      <c r="I80" s="27" t="s">
        <v>1276</v>
      </c>
      <c r="J80" s="27" t="s">
        <v>1277</v>
      </c>
      <c r="K80" s="27" t="s">
        <v>566</v>
      </c>
      <c r="L80" s="27"/>
      <c r="M80" s="27" t="s">
        <v>1278</v>
      </c>
      <c r="N80" s="27"/>
      <c r="O80" s="27"/>
      <c r="P80" s="27" t="s">
        <v>1279</v>
      </c>
      <c r="Q80" s="27" t="s">
        <v>569</v>
      </c>
      <c r="R80" s="27" t="s">
        <v>809</v>
      </c>
      <c r="S80" s="27"/>
      <c r="T80" s="27" t="s">
        <v>559</v>
      </c>
      <c r="U80" s="27" t="s">
        <v>1275</v>
      </c>
      <c r="V80" s="28">
        <v>46050.015796736108</v>
      </c>
      <c r="W80" s="27" t="s">
        <v>1280</v>
      </c>
      <c r="X80" s="27"/>
      <c r="Y80" s="27" t="s">
        <v>1278</v>
      </c>
      <c r="Z80" s="28"/>
      <c r="AA80" s="27"/>
      <c r="AB80" s="27"/>
      <c r="AC80" s="27" t="s">
        <v>573</v>
      </c>
      <c r="AD80" s="28"/>
      <c r="AE80" s="27"/>
      <c r="AF80" s="27"/>
      <c r="AG80" s="27" t="s">
        <v>108</v>
      </c>
      <c r="AH80" s="28"/>
      <c r="AI80" s="27"/>
      <c r="AJ80" s="27" t="s">
        <v>1281</v>
      </c>
      <c r="AK80" s="27">
        <v>10213</v>
      </c>
      <c r="AL80" s="27"/>
      <c r="AM80" s="27"/>
      <c r="AN80" s="27" t="s">
        <v>710</v>
      </c>
      <c r="AO80" s="27">
        <v>30</v>
      </c>
    </row>
    <row r="81" spans="1:41" hidden="1">
      <c r="A81" s="27" t="s">
        <v>1282</v>
      </c>
      <c r="B81" s="27" t="s">
        <v>1283</v>
      </c>
      <c r="C81" s="27" t="s">
        <v>654</v>
      </c>
      <c r="D81" s="27" t="s">
        <v>548</v>
      </c>
      <c r="E81" s="27" t="s">
        <v>638</v>
      </c>
      <c r="F81" s="28">
        <v>46050.128076469904</v>
      </c>
      <c r="G81" s="28">
        <v>46072.825285173611</v>
      </c>
      <c r="H81" s="28">
        <v>46051.304994212966</v>
      </c>
      <c r="I81" s="27" t="s">
        <v>1284</v>
      </c>
      <c r="J81" s="27" t="s">
        <v>1284</v>
      </c>
      <c r="K81" s="27" t="s">
        <v>676</v>
      </c>
      <c r="L81" s="27" t="s">
        <v>1285</v>
      </c>
      <c r="M81" s="27" t="s">
        <v>1286</v>
      </c>
      <c r="N81" s="27"/>
      <c r="O81" s="27"/>
      <c r="P81" s="27" t="s">
        <v>1287</v>
      </c>
      <c r="Q81" s="27" t="s">
        <v>623</v>
      </c>
      <c r="R81" s="27" t="s">
        <v>583</v>
      </c>
      <c r="S81" s="27"/>
      <c r="T81" s="27" t="s">
        <v>559</v>
      </c>
      <c r="U81" s="27" t="s">
        <v>654</v>
      </c>
      <c r="V81" s="28">
        <v>46051.306624641205</v>
      </c>
      <c r="W81" s="27" t="s">
        <v>1288</v>
      </c>
      <c r="X81" s="27" t="s">
        <v>559</v>
      </c>
      <c r="Y81" s="27" t="s">
        <v>1289</v>
      </c>
      <c r="Z81" s="28">
        <v>46051.312616261574</v>
      </c>
      <c r="AA81" s="27" t="s">
        <v>681</v>
      </c>
      <c r="AB81" s="27" t="s">
        <v>559</v>
      </c>
      <c r="AC81" s="27" t="s">
        <v>571</v>
      </c>
      <c r="AD81" s="28">
        <v>46052.034537638887</v>
      </c>
      <c r="AE81" s="27" t="s">
        <v>1290</v>
      </c>
      <c r="AF81" s="27" t="s">
        <v>559</v>
      </c>
      <c r="AG81" s="27" t="s">
        <v>571</v>
      </c>
      <c r="AH81" s="28">
        <v>46072.825285185187</v>
      </c>
      <c r="AI81" s="27" t="s">
        <v>649</v>
      </c>
      <c r="AJ81" s="27" t="s">
        <v>1291</v>
      </c>
      <c r="AK81" s="27">
        <v>3457</v>
      </c>
      <c r="AL81" s="27" t="s">
        <v>107</v>
      </c>
      <c r="AM81" s="27" t="s">
        <v>1292</v>
      </c>
      <c r="AN81" s="27" t="s">
        <v>665</v>
      </c>
      <c r="AO81" s="27">
        <v>0</v>
      </c>
    </row>
    <row r="82" spans="1:41" hidden="1">
      <c r="A82" s="27" t="s">
        <v>1293</v>
      </c>
      <c r="B82" s="27" t="s">
        <v>1294</v>
      </c>
      <c r="C82" s="27" t="s">
        <v>1295</v>
      </c>
      <c r="D82" s="27" t="s">
        <v>548</v>
      </c>
      <c r="E82" s="27" t="s">
        <v>638</v>
      </c>
      <c r="F82" s="28">
        <v>46050.13738940972</v>
      </c>
      <c r="G82" s="28">
        <v>46076.306974548614</v>
      </c>
      <c r="H82" s="28">
        <v>46050.13738940972</v>
      </c>
      <c r="I82" s="27" t="s">
        <v>1296</v>
      </c>
      <c r="J82" s="27" t="s">
        <v>1297</v>
      </c>
      <c r="K82" s="27" t="s">
        <v>676</v>
      </c>
      <c r="L82" s="27" t="s">
        <v>839</v>
      </c>
      <c r="M82" s="27" t="s">
        <v>893</v>
      </c>
      <c r="N82" s="27"/>
      <c r="O82" s="27"/>
      <c r="P82" s="27" t="s">
        <v>1298</v>
      </c>
      <c r="Q82" s="27" t="s">
        <v>556</v>
      </c>
      <c r="R82" s="27" t="s">
        <v>583</v>
      </c>
      <c r="S82" s="27"/>
      <c r="T82" s="27" t="s">
        <v>559</v>
      </c>
      <c r="U82" s="27" t="s">
        <v>1295</v>
      </c>
      <c r="V82" s="28">
        <v>46050.147230960647</v>
      </c>
      <c r="W82" s="27" t="s">
        <v>1299</v>
      </c>
      <c r="X82" s="27" t="s">
        <v>559</v>
      </c>
      <c r="Y82" s="27" t="s">
        <v>893</v>
      </c>
      <c r="Z82" s="28">
        <v>46057.173802858793</v>
      </c>
      <c r="AA82" s="27" t="s">
        <v>1300</v>
      </c>
      <c r="AB82" s="27" t="s">
        <v>559</v>
      </c>
      <c r="AC82" s="27" t="s">
        <v>571</v>
      </c>
      <c r="AD82" s="28">
        <v>46058.091254918982</v>
      </c>
      <c r="AE82" s="27" t="s">
        <v>1301</v>
      </c>
      <c r="AF82" s="27" t="s">
        <v>559</v>
      </c>
      <c r="AG82" s="27" t="s">
        <v>796</v>
      </c>
      <c r="AH82" s="28">
        <v>46076.306974548614</v>
      </c>
      <c r="AI82" s="27" t="s">
        <v>1301</v>
      </c>
      <c r="AJ82" s="27" t="s">
        <v>1302</v>
      </c>
      <c r="AK82" s="27" t="s">
        <v>1303</v>
      </c>
      <c r="AL82" s="27" t="s">
        <v>107</v>
      </c>
      <c r="AM82" s="27" t="s">
        <v>1304</v>
      </c>
      <c r="AN82" s="27" t="s">
        <v>687</v>
      </c>
      <c r="AO82" s="27">
        <v>0</v>
      </c>
    </row>
    <row r="83" spans="1:41" hidden="1">
      <c r="A83" s="27" t="s">
        <v>1305</v>
      </c>
      <c r="B83" s="27" t="s">
        <v>1306</v>
      </c>
      <c r="C83" s="27" t="s">
        <v>1295</v>
      </c>
      <c r="D83" s="27" t="s">
        <v>548</v>
      </c>
      <c r="E83" s="27" t="s">
        <v>638</v>
      </c>
      <c r="F83" s="28">
        <v>46050.159425289348</v>
      </c>
      <c r="G83" s="28">
        <v>46076.297735509259</v>
      </c>
      <c r="H83" s="28">
        <v>46050.159425289348</v>
      </c>
      <c r="I83" s="27" t="s">
        <v>1307</v>
      </c>
      <c r="J83" s="27" t="s">
        <v>1308</v>
      </c>
      <c r="K83" s="27" t="s">
        <v>676</v>
      </c>
      <c r="L83" s="27" t="s">
        <v>839</v>
      </c>
      <c r="M83" s="27" t="s">
        <v>893</v>
      </c>
      <c r="N83" s="27"/>
      <c r="O83" s="27"/>
      <c r="P83" s="27" t="s">
        <v>1299</v>
      </c>
      <c r="Q83" s="27" t="s">
        <v>556</v>
      </c>
      <c r="R83" s="27" t="s">
        <v>583</v>
      </c>
      <c r="S83" s="27"/>
      <c r="T83" s="27" t="s">
        <v>559</v>
      </c>
      <c r="U83" s="27" t="s">
        <v>1295</v>
      </c>
      <c r="V83" s="28">
        <v>46050.165020555556</v>
      </c>
      <c r="W83" s="27" t="s">
        <v>1299</v>
      </c>
      <c r="X83" s="27" t="s">
        <v>559</v>
      </c>
      <c r="Y83" s="27" t="s">
        <v>893</v>
      </c>
      <c r="Z83" s="28">
        <v>46057.172987337966</v>
      </c>
      <c r="AA83" s="27" t="s">
        <v>1300</v>
      </c>
      <c r="AB83" s="27" t="s">
        <v>559</v>
      </c>
      <c r="AC83" s="27" t="s">
        <v>571</v>
      </c>
      <c r="AD83" s="28">
        <v>46058.083600717589</v>
      </c>
      <c r="AE83" s="27" t="s">
        <v>1309</v>
      </c>
      <c r="AF83" s="27" t="s">
        <v>559</v>
      </c>
      <c r="AG83" s="27" t="s">
        <v>796</v>
      </c>
      <c r="AH83" s="28">
        <v>46076.297735520835</v>
      </c>
      <c r="AI83" s="27" t="s">
        <v>1310</v>
      </c>
      <c r="AJ83" s="27" t="s">
        <v>1311</v>
      </c>
      <c r="AK83" s="27" t="s">
        <v>1312</v>
      </c>
      <c r="AL83" s="27" t="s">
        <v>107</v>
      </c>
      <c r="AM83" s="27" t="s">
        <v>1313</v>
      </c>
      <c r="AN83" s="27" t="s">
        <v>687</v>
      </c>
      <c r="AO83" s="27">
        <v>0</v>
      </c>
    </row>
    <row r="84" spans="1:41" hidden="1">
      <c r="A84" s="27" t="s">
        <v>1314</v>
      </c>
      <c r="B84" s="27" t="s">
        <v>1315</v>
      </c>
      <c r="C84" s="27" t="s">
        <v>1316</v>
      </c>
      <c r="D84" s="27" t="s">
        <v>548</v>
      </c>
      <c r="E84" s="27" t="s">
        <v>638</v>
      </c>
      <c r="F84" s="28">
        <v>46050.164356331021</v>
      </c>
      <c r="G84" s="28">
        <v>46064.167046076385</v>
      </c>
      <c r="H84" s="28">
        <v>46050.164356331021</v>
      </c>
      <c r="I84" s="27" t="s">
        <v>1317</v>
      </c>
      <c r="J84" s="27" t="s">
        <v>1318</v>
      </c>
      <c r="K84" s="27" t="s">
        <v>676</v>
      </c>
      <c r="L84" s="27" t="s">
        <v>1319</v>
      </c>
      <c r="M84" s="27" t="s">
        <v>912</v>
      </c>
      <c r="N84" s="27"/>
      <c r="O84" s="27"/>
      <c r="P84" s="27" t="s">
        <v>1320</v>
      </c>
      <c r="Q84" s="27" t="s">
        <v>556</v>
      </c>
      <c r="R84" s="27" t="s">
        <v>583</v>
      </c>
      <c r="S84" s="27"/>
      <c r="T84" s="27" t="s">
        <v>559</v>
      </c>
      <c r="U84" s="27" t="s">
        <v>1316</v>
      </c>
      <c r="V84" s="28">
        <v>46050.16481652778</v>
      </c>
      <c r="W84" s="27" t="s">
        <v>1321</v>
      </c>
      <c r="X84" s="27" t="s">
        <v>559</v>
      </c>
      <c r="Y84" s="27" t="s">
        <v>912</v>
      </c>
      <c r="Z84" s="28">
        <v>46050.266812557871</v>
      </c>
      <c r="AA84" s="27" t="s">
        <v>1322</v>
      </c>
      <c r="AB84" s="27" t="s">
        <v>559</v>
      </c>
      <c r="AC84" s="27" t="s">
        <v>571</v>
      </c>
      <c r="AD84" s="28">
        <v>46050.28605560185</v>
      </c>
      <c r="AE84" s="27" t="s">
        <v>1323</v>
      </c>
      <c r="AF84" s="27" t="s">
        <v>559</v>
      </c>
      <c r="AG84" s="27" t="s">
        <v>683</v>
      </c>
      <c r="AH84" s="28">
        <v>46064.167046087961</v>
      </c>
      <c r="AI84" s="27" t="s">
        <v>684</v>
      </c>
      <c r="AJ84" s="27" t="s">
        <v>1324</v>
      </c>
      <c r="AK84" s="27" t="s">
        <v>1325</v>
      </c>
      <c r="AL84" s="27" t="s">
        <v>125</v>
      </c>
      <c r="AM84" s="27" t="s">
        <v>1326</v>
      </c>
      <c r="AN84" s="27" t="s">
        <v>665</v>
      </c>
      <c r="AO84" s="27">
        <v>0</v>
      </c>
    </row>
    <row r="85" spans="1:41" hidden="1">
      <c r="A85" s="27" t="s">
        <v>1327</v>
      </c>
      <c r="B85" s="27" t="s">
        <v>1328</v>
      </c>
      <c r="C85" s="27" t="s">
        <v>1295</v>
      </c>
      <c r="D85" s="27" t="s">
        <v>548</v>
      </c>
      <c r="E85" s="27" t="s">
        <v>638</v>
      </c>
      <c r="F85" s="28">
        <v>46050.254708935186</v>
      </c>
      <c r="G85" s="28">
        <v>46076.326178263887</v>
      </c>
      <c r="H85" s="28">
        <v>46050.254708935186</v>
      </c>
      <c r="I85" s="27" t="s">
        <v>1329</v>
      </c>
      <c r="J85" s="27" t="s">
        <v>1330</v>
      </c>
      <c r="K85" s="27" t="s">
        <v>676</v>
      </c>
      <c r="L85" s="27" t="s">
        <v>839</v>
      </c>
      <c r="M85" s="27" t="s">
        <v>893</v>
      </c>
      <c r="N85" s="27"/>
      <c r="O85" s="27"/>
      <c r="P85" s="27" t="s">
        <v>1299</v>
      </c>
      <c r="Q85" s="27" t="s">
        <v>556</v>
      </c>
      <c r="R85" s="27" t="s">
        <v>583</v>
      </c>
      <c r="S85" s="27"/>
      <c r="T85" s="27" t="s">
        <v>559</v>
      </c>
      <c r="U85" s="27" t="s">
        <v>1295</v>
      </c>
      <c r="V85" s="28">
        <v>46050.326638321756</v>
      </c>
      <c r="W85" s="27" t="s">
        <v>1299</v>
      </c>
      <c r="X85" s="27" t="s">
        <v>559</v>
      </c>
      <c r="Y85" s="27" t="s">
        <v>893</v>
      </c>
      <c r="Z85" s="28">
        <v>46057.172239803243</v>
      </c>
      <c r="AA85" s="27" t="s">
        <v>1300</v>
      </c>
      <c r="AB85" s="27" t="s">
        <v>559</v>
      </c>
      <c r="AC85" s="27" t="s">
        <v>571</v>
      </c>
      <c r="AD85" s="28">
        <v>46058.116220625001</v>
      </c>
      <c r="AE85" s="27" t="s">
        <v>1331</v>
      </c>
      <c r="AF85" s="27" t="s">
        <v>559</v>
      </c>
      <c r="AG85" s="27" t="s">
        <v>796</v>
      </c>
      <c r="AH85" s="28">
        <v>46076.326178298608</v>
      </c>
      <c r="AI85" s="27" t="s">
        <v>1331</v>
      </c>
      <c r="AJ85" s="27" t="s">
        <v>1332</v>
      </c>
      <c r="AK85" s="27" t="s">
        <v>1329</v>
      </c>
      <c r="AL85" s="27" t="s">
        <v>107</v>
      </c>
      <c r="AM85" s="27" t="s">
        <v>1333</v>
      </c>
      <c r="AN85" s="27" t="s">
        <v>687</v>
      </c>
      <c r="AO85" s="27">
        <v>0</v>
      </c>
    </row>
    <row r="86" spans="1:41" hidden="1">
      <c r="A86" s="27" t="s">
        <v>1334</v>
      </c>
      <c r="B86" s="27" t="s">
        <v>1335</v>
      </c>
      <c r="C86" s="27" t="s">
        <v>654</v>
      </c>
      <c r="D86" s="27" t="s">
        <v>548</v>
      </c>
      <c r="E86" s="27" t="s">
        <v>638</v>
      </c>
      <c r="F86" s="28">
        <v>46050.273656840276</v>
      </c>
      <c r="G86" s="28">
        <v>46052.200923182871</v>
      </c>
      <c r="H86" s="28">
        <v>46050.273656840276</v>
      </c>
      <c r="I86" s="27" t="s">
        <v>1336</v>
      </c>
      <c r="J86" s="27" t="s">
        <v>1337</v>
      </c>
      <c r="K86" s="27" t="s">
        <v>566</v>
      </c>
      <c r="L86" s="27"/>
      <c r="M86" s="27" t="s">
        <v>657</v>
      </c>
      <c r="N86" s="27"/>
      <c r="O86" s="27"/>
      <c r="P86" s="27" t="s">
        <v>1338</v>
      </c>
      <c r="Q86" s="27" t="s">
        <v>556</v>
      </c>
      <c r="R86" s="27" t="s">
        <v>557</v>
      </c>
      <c r="S86" s="27"/>
      <c r="T86" s="27" t="s">
        <v>559</v>
      </c>
      <c r="U86" s="27" t="s">
        <v>654</v>
      </c>
      <c r="V86" s="28">
        <v>46050.274976620371</v>
      </c>
      <c r="W86" s="27" t="s">
        <v>1339</v>
      </c>
      <c r="X86" s="27" t="s">
        <v>559</v>
      </c>
      <c r="Y86" s="27" t="s">
        <v>661</v>
      </c>
      <c r="Z86" s="28">
        <v>46050.339986967592</v>
      </c>
      <c r="AA86" s="27" t="s">
        <v>1340</v>
      </c>
      <c r="AB86" s="27" t="s">
        <v>559</v>
      </c>
      <c r="AC86" s="27" t="s">
        <v>571</v>
      </c>
      <c r="AD86" s="28">
        <v>46051.186006539348</v>
      </c>
      <c r="AE86" s="27" t="s">
        <v>1341</v>
      </c>
      <c r="AF86" s="27" t="s">
        <v>559</v>
      </c>
      <c r="AG86" s="27" t="s">
        <v>571</v>
      </c>
      <c r="AH86" s="28">
        <v>46052.200923194447</v>
      </c>
      <c r="AI86" s="27" t="s">
        <v>649</v>
      </c>
      <c r="AJ86" s="27" t="s">
        <v>1342</v>
      </c>
      <c r="AK86" s="27">
        <v>313</v>
      </c>
      <c r="AL86" s="27" t="s">
        <v>107</v>
      </c>
      <c r="AM86" s="27" t="s">
        <v>1343</v>
      </c>
      <c r="AN86" s="27" t="s">
        <v>687</v>
      </c>
      <c r="AO86" s="27">
        <v>0</v>
      </c>
    </row>
    <row r="87" spans="1:41" hidden="1">
      <c r="A87" s="27" t="s">
        <v>1344</v>
      </c>
      <c r="B87" s="27" t="s">
        <v>1345</v>
      </c>
      <c r="C87" s="27" t="s">
        <v>1346</v>
      </c>
      <c r="D87" s="27" t="s">
        <v>548</v>
      </c>
      <c r="E87" s="27" t="s">
        <v>638</v>
      </c>
      <c r="F87" s="28">
        <v>46050.330619236112</v>
      </c>
      <c r="G87" s="28">
        <v>46052.156467719906</v>
      </c>
      <c r="H87" s="28">
        <v>46050.332872743056</v>
      </c>
      <c r="I87" s="27" t="s">
        <v>1347</v>
      </c>
      <c r="J87" s="27" t="s">
        <v>1348</v>
      </c>
      <c r="K87" s="27" t="s">
        <v>566</v>
      </c>
      <c r="L87" s="27"/>
      <c r="M87" s="27" t="s">
        <v>1349</v>
      </c>
      <c r="N87" s="27" t="s">
        <v>1350</v>
      </c>
      <c r="O87" s="27"/>
      <c r="P87" s="27" t="s">
        <v>1351</v>
      </c>
      <c r="Q87" s="27" t="s">
        <v>556</v>
      </c>
      <c r="R87" s="27" t="s">
        <v>583</v>
      </c>
      <c r="S87" s="27"/>
      <c r="T87" s="27" t="s">
        <v>559</v>
      </c>
      <c r="U87" s="27" t="s">
        <v>1346</v>
      </c>
      <c r="V87" s="28">
        <v>46050.361568703702</v>
      </c>
      <c r="W87" s="27" t="s">
        <v>1352</v>
      </c>
      <c r="X87" s="27" t="s">
        <v>559</v>
      </c>
      <c r="Y87" s="27" t="s">
        <v>1353</v>
      </c>
      <c r="Z87" s="28">
        <v>46051.127006875002</v>
      </c>
      <c r="AA87" s="27" t="s">
        <v>1354</v>
      </c>
      <c r="AB87" s="27" t="s">
        <v>559</v>
      </c>
      <c r="AC87" s="27" t="s">
        <v>571</v>
      </c>
      <c r="AD87" s="28">
        <v>46051.163560659719</v>
      </c>
      <c r="AE87" s="27" t="s">
        <v>1355</v>
      </c>
      <c r="AF87" s="27" t="s">
        <v>559</v>
      </c>
      <c r="AG87" s="27" t="s">
        <v>571</v>
      </c>
      <c r="AH87" s="28">
        <v>46052.156467719906</v>
      </c>
      <c r="AI87" s="27" t="s">
        <v>649</v>
      </c>
      <c r="AJ87" s="27" t="s">
        <v>1356</v>
      </c>
      <c r="AK87" s="27" t="s">
        <v>1357</v>
      </c>
      <c r="AL87" s="27" t="s">
        <v>107</v>
      </c>
      <c r="AM87" s="27" t="s">
        <v>1358</v>
      </c>
      <c r="AN87" s="27" t="s">
        <v>710</v>
      </c>
      <c r="AO87" s="27"/>
    </row>
    <row r="88" spans="1:41" hidden="1">
      <c r="A88" s="27" t="s">
        <v>1359</v>
      </c>
      <c r="B88" s="27" t="s">
        <v>1360</v>
      </c>
      <c r="C88" s="27" t="s">
        <v>1361</v>
      </c>
      <c r="D88" s="27" t="s">
        <v>548</v>
      </c>
      <c r="E88" s="27" t="s">
        <v>638</v>
      </c>
      <c r="F88" s="28">
        <v>46050.367443229166</v>
      </c>
      <c r="G88" s="28">
        <v>46058.0780556713</v>
      </c>
      <c r="H88" s="28">
        <v>46050.367443229166</v>
      </c>
      <c r="I88" s="27" t="s">
        <v>302</v>
      </c>
      <c r="J88" s="27" t="s">
        <v>303</v>
      </c>
      <c r="K88" s="27" t="s">
        <v>1248</v>
      </c>
      <c r="L88" s="27"/>
      <c r="M88" s="27" t="s">
        <v>1362</v>
      </c>
      <c r="N88" s="27"/>
      <c r="O88" s="27"/>
      <c r="P88" s="27" t="s">
        <v>1363</v>
      </c>
      <c r="Q88" s="27" t="s">
        <v>623</v>
      </c>
      <c r="R88" s="27" t="s">
        <v>644</v>
      </c>
      <c r="S88" s="27"/>
      <c r="T88" s="27" t="s">
        <v>559</v>
      </c>
      <c r="U88" s="27" t="s">
        <v>1361</v>
      </c>
      <c r="V88" s="28">
        <v>46050.368045405092</v>
      </c>
      <c r="W88" s="27" t="s">
        <v>1364</v>
      </c>
      <c r="X88" s="27" t="s">
        <v>559</v>
      </c>
      <c r="Y88" s="27" t="s">
        <v>1362</v>
      </c>
      <c r="Z88" s="28">
        <v>46050.372398125</v>
      </c>
      <c r="AA88" s="27" t="s">
        <v>1365</v>
      </c>
      <c r="AB88" s="27" t="s">
        <v>559</v>
      </c>
      <c r="AC88" s="27" t="s">
        <v>1366</v>
      </c>
      <c r="AD88" s="28">
        <v>46051.199043680557</v>
      </c>
      <c r="AE88" s="27" t="s">
        <v>1367</v>
      </c>
      <c r="AF88" s="27" t="s">
        <v>559</v>
      </c>
      <c r="AG88" s="27" t="s">
        <v>1366</v>
      </c>
      <c r="AH88" s="28">
        <v>46058.078055682869</v>
      </c>
      <c r="AI88" s="27" t="s">
        <v>1368</v>
      </c>
      <c r="AJ88" s="27" t="s">
        <v>1369</v>
      </c>
      <c r="AK88" s="27">
        <v>3374</v>
      </c>
      <c r="AL88" s="27" t="s">
        <v>116</v>
      </c>
      <c r="AM88" s="27" t="s">
        <v>1370</v>
      </c>
      <c r="AN88" s="27" t="s">
        <v>665</v>
      </c>
      <c r="AO88" s="27">
        <v>0</v>
      </c>
    </row>
    <row r="89" spans="1:41" hidden="1">
      <c r="A89" s="27" t="s">
        <v>1371</v>
      </c>
      <c r="B89" s="27" t="s">
        <v>1372</v>
      </c>
      <c r="C89" s="27" t="s">
        <v>1373</v>
      </c>
      <c r="D89" s="27" t="s">
        <v>548</v>
      </c>
      <c r="E89" s="27" t="s">
        <v>578</v>
      </c>
      <c r="F89" s="28">
        <v>46051.076688877314</v>
      </c>
      <c r="G89" s="28">
        <v>46051.077641909724</v>
      </c>
      <c r="H89" s="28">
        <v>46051.076688877314</v>
      </c>
      <c r="I89" s="27" t="s">
        <v>1374</v>
      </c>
      <c r="J89" s="27" t="s">
        <v>1375</v>
      </c>
      <c r="K89" s="27" t="s">
        <v>566</v>
      </c>
      <c r="L89" s="27"/>
      <c r="M89" s="27" t="s">
        <v>1376</v>
      </c>
      <c r="N89" s="27" t="s">
        <v>1377</v>
      </c>
      <c r="O89" s="27"/>
      <c r="P89" s="27" t="s">
        <v>1378</v>
      </c>
      <c r="Q89" s="27" t="s">
        <v>1264</v>
      </c>
      <c r="R89" s="27" t="s">
        <v>1379</v>
      </c>
      <c r="S89" s="27"/>
      <c r="T89" s="27" t="s">
        <v>549</v>
      </c>
      <c r="U89" s="27" t="s">
        <v>1373</v>
      </c>
      <c r="V89" s="28">
        <v>46051.0776419213</v>
      </c>
      <c r="W89" s="27"/>
      <c r="X89" s="27"/>
      <c r="Y89" s="27" t="s">
        <v>1376</v>
      </c>
      <c r="Z89" s="28"/>
      <c r="AA89" s="27"/>
      <c r="AB89" s="27"/>
      <c r="AC89" s="27" t="s">
        <v>573</v>
      </c>
      <c r="AD89" s="28"/>
      <c r="AE89" s="27"/>
      <c r="AF89" s="27"/>
      <c r="AG89" s="27" t="s">
        <v>108</v>
      </c>
      <c r="AH89" s="28"/>
      <c r="AI89" s="27"/>
      <c r="AJ89" s="27" t="s">
        <v>1380</v>
      </c>
      <c r="AK89" s="27">
        <v>1726</v>
      </c>
      <c r="AL89" s="27"/>
      <c r="AM89" s="27"/>
      <c r="AN89" s="27" t="s">
        <v>710</v>
      </c>
      <c r="AO89" s="27">
        <v>90</v>
      </c>
    </row>
    <row r="90" spans="1:41" hidden="1">
      <c r="A90" s="27" t="s">
        <v>1381</v>
      </c>
      <c r="B90" s="27" t="s">
        <v>1382</v>
      </c>
      <c r="C90" s="27" t="s">
        <v>1373</v>
      </c>
      <c r="D90" s="27" t="s">
        <v>548</v>
      </c>
      <c r="E90" s="27" t="s">
        <v>638</v>
      </c>
      <c r="F90" s="28">
        <v>46051.14567229167</v>
      </c>
      <c r="G90" s="28">
        <v>46064.311223715275</v>
      </c>
      <c r="H90" s="28">
        <v>46051.14567229167</v>
      </c>
      <c r="I90" s="27" t="s">
        <v>1374</v>
      </c>
      <c r="J90" s="27" t="s">
        <v>1375</v>
      </c>
      <c r="K90" s="27" t="s">
        <v>1248</v>
      </c>
      <c r="L90" s="27"/>
      <c r="M90" s="27" t="s">
        <v>1376</v>
      </c>
      <c r="N90" s="27"/>
      <c r="O90" s="27"/>
      <c r="P90" s="27" t="s">
        <v>1383</v>
      </c>
      <c r="Q90" s="27" t="s">
        <v>1264</v>
      </c>
      <c r="R90" s="27" t="s">
        <v>1379</v>
      </c>
      <c r="S90" s="27"/>
      <c r="T90" s="27" t="s">
        <v>559</v>
      </c>
      <c r="U90" s="27" t="s">
        <v>1373</v>
      </c>
      <c r="V90" s="28">
        <v>46051.264994293982</v>
      </c>
      <c r="W90" s="27" t="s">
        <v>1383</v>
      </c>
      <c r="X90" s="27" t="s">
        <v>559</v>
      </c>
      <c r="Y90" s="27" t="s">
        <v>1376</v>
      </c>
      <c r="Z90" s="28">
        <v>46057.308362777774</v>
      </c>
      <c r="AA90" s="27" t="s">
        <v>1384</v>
      </c>
      <c r="AB90" s="27" t="s">
        <v>559</v>
      </c>
      <c r="AC90" s="27" t="s">
        <v>1366</v>
      </c>
      <c r="AD90" s="28">
        <v>46064.307258622684</v>
      </c>
      <c r="AE90" s="27" t="s">
        <v>1385</v>
      </c>
      <c r="AF90" s="27" t="s">
        <v>559</v>
      </c>
      <c r="AG90" s="27" t="s">
        <v>1366</v>
      </c>
      <c r="AH90" s="28">
        <v>46064.311223726851</v>
      </c>
      <c r="AI90" s="27" t="s">
        <v>1386</v>
      </c>
      <c r="AJ90" s="27" t="s">
        <v>1380</v>
      </c>
      <c r="AK90" s="27">
        <v>1726</v>
      </c>
      <c r="AL90" s="27" t="s">
        <v>116</v>
      </c>
      <c r="AM90" s="27" t="s">
        <v>1387</v>
      </c>
      <c r="AN90" s="27" t="s">
        <v>710</v>
      </c>
      <c r="AO90" s="27">
        <v>90</v>
      </c>
    </row>
    <row r="91" spans="1:41" hidden="1">
      <c r="A91" s="27" t="s">
        <v>1388</v>
      </c>
      <c r="B91" s="27" t="s">
        <v>1389</v>
      </c>
      <c r="C91" s="27" t="s">
        <v>1390</v>
      </c>
      <c r="D91" s="27" t="s">
        <v>548</v>
      </c>
      <c r="E91" s="27" t="s">
        <v>638</v>
      </c>
      <c r="F91" s="28">
        <v>46051.290883298614</v>
      </c>
      <c r="G91" s="28">
        <v>46053.176320694445</v>
      </c>
      <c r="H91" s="28">
        <v>46051.290883298614</v>
      </c>
      <c r="I91" s="27" t="s">
        <v>1391</v>
      </c>
      <c r="J91" s="27" t="s">
        <v>1392</v>
      </c>
      <c r="K91" s="27" t="s">
        <v>566</v>
      </c>
      <c r="L91" s="27"/>
      <c r="M91" s="27" t="s">
        <v>1393</v>
      </c>
      <c r="N91" s="27"/>
      <c r="O91" s="27"/>
      <c r="P91" s="27" t="s">
        <v>1394</v>
      </c>
      <c r="Q91" s="27" t="s">
        <v>556</v>
      </c>
      <c r="R91" s="27" t="s">
        <v>583</v>
      </c>
      <c r="S91" s="27"/>
      <c r="T91" s="27" t="s">
        <v>559</v>
      </c>
      <c r="U91" s="27" t="s">
        <v>1390</v>
      </c>
      <c r="V91" s="28">
        <v>46051.293465983799</v>
      </c>
      <c r="W91" s="27" t="s">
        <v>1394</v>
      </c>
      <c r="X91" s="27" t="s">
        <v>559</v>
      </c>
      <c r="Y91" s="27" t="s">
        <v>1393</v>
      </c>
      <c r="Z91" s="28">
        <v>46052.070550081022</v>
      </c>
      <c r="AA91" s="27" t="s">
        <v>1395</v>
      </c>
      <c r="AB91" s="27" t="s">
        <v>559</v>
      </c>
      <c r="AC91" s="27" t="s">
        <v>571</v>
      </c>
      <c r="AD91" s="28">
        <v>46052.162587812498</v>
      </c>
      <c r="AE91" s="27" t="s">
        <v>882</v>
      </c>
      <c r="AF91" s="27" t="s">
        <v>559</v>
      </c>
      <c r="AG91" s="27" t="s">
        <v>571</v>
      </c>
      <c r="AH91" s="28">
        <v>46053.17632071759</v>
      </c>
      <c r="AI91" s="27" t="s">
        <v>649</v>
      </c>
      <c r="AJ91" s="27" t="s">
        <v>1396</v>
      </c>
      <c r="AK91" s="27">
        <v>1335</v>
      </c>
      <c r="AL91" s="27" t="s">
        <v>107</v>
      </c>
      <c r="AM91" s="27" t="s">
        <v>1397</v>
      </c>
      <c r="AN91" s="27" t="s">
        <v>665</v>
      </c>
      <c r="AO91" s="27">
        <v>0</v>
      </c>
    </row>
    <row r="92" spans="1:41" hidden="1">
      <c r="A92" s="27" t="s">
        <v>1398</v>
      </c>
      <c r="B92" s="27" t="s">
        <v>1399</v>
      </c>
      <c r="C92" s="27" t="s">
        <v>1400</v>
      </c>
      <c r="D92" s="27" t="s">
        <v>548</v>
      </c>
      <c r="E92" s="27" t="s">
        <v>638</v>
      </c>
      <c r="F92" s="28">
        <v>46052.069572615743</v>
      </c>
      <c r="G92" s="28">
        <v>46058.291024398146</v>
      </c>
      <c r="H92" s="28">
        <v>46052.069572615743</v>
      </c>
      <c r="I92" s="27" t="s">
        <v>1401</v>
      </c>
      <c r="J92" s="27" t="s">
        <v>1402</v>
      </c>
      <c r="K92" s="27" t="s">
        <v>566</v>
      </c>
      <c r="L92" s="27"/>
      <c r="M92" s="27" t="s">
        <v>1118</v>
      </c>
      <c r="N92" s="27"/>
      <c r="O92" s="27"/>
      <c r="P92" s="27" t="s">
        <v>965</v>
      </c>
      <c r="Q92" s="27" t="s">
        <v>556</v>
      </c>
      <c r="R92" s="27" t="s">
        <v>583</v>
      </c>
      <c r="S92" s="27"/>
      <c r="T92" s="27" t="s">
        <v>559</v>
      </c>
      <c r="U92" s="27" t="s">
        <v>1400</v>
      </c>
      <c r="V92" s="28">
        <v>46052.076099062499</v>
      </c>
      <c r="W92" s="27" t="s">
        <v>1403</v>
      </c>
      <c r="X92" s="27" t="s">
        <v>559</v>
      </c>
      <c r="Y92" s="27" t="s">
        <v>1121</v>
      </c>
      <c r="Z92" s="28">
        <v>46052.092986793985</v>
      </c>
      <c r="AA92" s="27" t="s">
        <v>1404</v>
      </c>
      <c r="AB92" s="27" t="s">
        <v>559</v>
      </c>
      <c r="AC92" s="27" t="s">
        <v>571</v>
      </c>
      <c r="AD92" s="28">
        <v>46052.209923310184</v>
      </c>
      <c r="AE92" s="27" t="s">
        <v>867</v>
      </c>
      <c r="AF92" s="27" t="s">
        <v>559</v>
      </c>
      <c r="AG92" s="27" t="s">
        <v>683</v>
      </c>
      <c r="AH92" s="28">
        <v>46058.291024409722</v>
      </c>
      <c r="AI92" s="27" t="s">
        <v>684</v>
      </c>
      <c r="AJ92" s="27" t="s">
        <v>1405</v>
      </c>
      <c r="AK92" s="27">
        <v>789</v>
      </c>
      <c r="AL92" s="27" t="s">
        <v>107</v>
      </c>
      <c r="AM92" s="27" t="s">
        <v>1406</v>
      </c>
      <c r="AN92" s="27" t="s">
        <v>665</v>
      </c>
      <c r="AO92" s="27">
        <v>0</v>
      </c>
    </row>
    <row r="93" spans="1:41" hidden="1">
      <c r="A93" s="27" t="s">
        <v>1407</v>
      </c>
      <c r="B93" s="27" t="s">
        <v>1408</v>
      </c>
      <c r="C93" s="27" t="s">
        <v>1409</v>
      </c>
      <c r="D93" s="27" t="s">
        <v>548</v>
      </c>
      <c r="E93" s="27" t="s">
        <v>638</v>
      </c>
      <c r="F93" s="28">
        <v>46052.599502812503</v>
      </c>
      <c r="G93" s="28">
        <v>46066.103197025463</v>
      </c>
      <c r="H93" s="28">
        <v>46052.599502812503</v>
      </c>
      <c r="I93" s="27" t="s">
        <v>1410</v>
      </c>
      <c r="J93" s="27" t="s">
        <v>1411</v>
      </c>
      <c r="K93" s="27" t="s">
        <v>566</v>
      </c>
      <c r="L93" s="27"/>
      <c r="M93" s="27" t="s">
        <v>1211</v>
      </c>
      <c r="N93" s="27"/>
      <c r="O93" s="27"/>
      <c r="P93" s="27" t="s">
        <v>1412</v>
      </c>
      <c r="Q93" s="27" t="s">
        <v>556</v>
      </c>
      <c r="R93" s="27" t="s">
        <v>583</v>
      </c>
      <c r="S93" s="27"/>
      <c r="T93" s="27" t="s">
        <v>559</v>
      </c>
      <c r="U93" s="27" t="s">
        <v>1409</v>
      </c>
      <c r="V93" s="28">
        <v>46052.603825150465</v>
      </c>
      <c r="W93" s="27" t="s">
        <v>1413</v>
      </c>
      <c r="X93" s="27" t="s">
        <v>559</v>
      </c>
      <c r="Y93" s="27" t="s">
        <v>1211</v>
      </c>
      <c r="Z93" s="28">
        <v>46062.119032858798</v>
      </c>
      <c r="AA93" s="27" t="s">
        <v>1414</v>
      </c>
      <c r="AB93" s="27" t="s">
        <v>559</v>
      </c>
      <c r="AC93" s="27" t="s">
        <v>571</v>
      </c>
      <c r="AD93" s="28">
        <v>46062.149009849534</v>
      </c>
      <c r="AE93" s="27" t="s">
        <v>1415</v>
      </c>
      <c r="AF93" s="27" t="s">
        <v>559</v>
      </c>
      <c r="AG93" s="27" t="s">
        <v>683</v>
      </c>
      <c r="AH93" s="28">
        <v>46066.103197037039</v>
      </c>
      <c r="AI93" s="27" t="s">
        <v>684</v>
      </c>
      <c r="AJ93" s="27" t="s">
        <v>1416</v>
      </c>
      <c r="AK93" s="27" t="s">
        <v>1417</v>
      </c>
      <c r="AL93" s="27" t="s">
        <v>107</v>
      </c>
      <c r="AM93" s="27" t="s">
        <v>1418</v>
      </c>
      <c r="AN93" s="27" t="s">
        <v>665</v>
      </c>
      <c r="AO93" s="27">
        <v>0</v>
      </c>
    </row>
    <row r="94" spans="1:41" hidden="1">
      <c r="A94" s="27" t="s">
        <v>1419</v>
      </c>
      <c r="B94" s="27" t="s">
        <v>1420</v>
      </c>
      <c r="C94" s="27" t="s">
        <v>1421</v>
      </c>
      <c r="D94" s="27" t="s">
        <v>548</v>
      </c>
      <c r="E94" s="27" t="s">
        <v>549</v>
      </c>
      <c r="F94" s="28">
        <v>46057.033548634259</v>
      </c>
      <c r="G94" s="28">
        <v>46132.354350578702</v>
      </c>
      <c r="H94" s="28">
        <v>46057.033548634259</v>
      </c>
      <c r="I94" s="27" t="s">
        <v>1422</v>
      </c>
      <c r="J94" s="27" t="s">
        <v>1423</v>
      </c>
      <c r="K94" s="27" t="s">
        <v>566</v>
      </c>
      <c r="L94" s="27"/>
      <c r="M94" s="27" t="s">
        <v>1121</v>
      </c>
      <c r="N94" s="27"/>
      <c r="O94" s="27"/>
      <c r="P94" s="27" t="s">
        <v>1424</v>
      </c>
      <c r="Q94" s="27" t="s">
        <v>569</v>
      </c>
      <c r="R94" s="27" t="s">
        <v>583</v>
      </c>
      <c r="S94" s="27"/>
      <c r="T94" s="27" t="s">
        <v>559</v>
      </c>
      <c r="U94" s="27" t="s">
        <v>1421</v>
      </c>
      <c r="V94" s="28">
        <v>46057.035322812502</v>
      </c>
      <c r="W94" s="27" t="s">
        <v>1425</v>
      </c>
      <c r="X94" s="27" t="s">
        <v>559</v>
      </c>
      <c r="Y94" s="27" t="s">
        <v>1121</v>
      </c>
      <c r="Z94" s="28">
        <v>46126.383479571756</v>
      </c>
      <c r="AA94" s="27" t="s">
        <v>559</v>
      </c>
      <c r="AB94" s="27" t="s">
        <v>549</v>
      </c>
      <c r="AC94" s="27" t="s">
        <v>571</v>
      </c>
      <c r="AD94" s="28">
        <v>46132.354350578702</v>
      </c>
      <c r="AE94" s="27" t="s">
        <v>1426</v>
      </c>
      <c r="AF94" s="27"/>
      <c r="AG94" s="27" t="s">
        <v>108</v>
      </c>
      <c r="AH94" s="28"/>
      <c r="AI94" s="27"/>
      <c r="AJ94" s="27" t="s">
        <v>1427</v>
      </c>
      <c r="AK94" s="27">
        <v>845</v>
      </c>
      <c r="AL94" s="27"/>
      <c r="AM94" s="27"/>
      <c r="AN94" s="27" t="s">
        <v>665</v>
      </c>
      <c r="AO94" s="27">
        <v>0</v>
      </c>
    </row>
    <row r="95" spans="1:41" hidden="1">
      <c r="A95" s="27" t="s">
        <v>1428</v>
      </c>
      <c r="B95" s="27" t="s">
        <v>1429</v>
      </c>
      <c r="C95" s="27" t="s">
        <v>1430</v>
      </c>
      <c r="D95" s="27" t="s">
        <v>548</v>
      </c>
      <c r="E95" s="27" t="s">
        <v>638</v>
      </c>
      <c r="F95" s="28">
        <v>46057.043987326389</v>
      </c>
      <c r="G95" s="28">
        <v>46078.248382210651</v>
      </c>
      <c r="H95" s="28">
        <v>46076.226349803241</v>
      </c>
      <c r="I95" s="27" t="s">
        <v>244</v>
      </c>
      <c r="J95" s="27" t="s">
        <v>245</v>
      </c>
      <c r="K95" s="27" t="s">
        <v>676</v>
      </c>
      <c r="L95" s="27" t="s">
        <v>1431</v>
      </c>
      <c r="M95" s="27" t="s">
        <v>963</v>
      </c>
      <c r="N95" s="27" t="s">
        <v>1432</v>
      </c>
      <c r="O95" s="27"/>
      <c r="P95" s="27" t="s">
        <v>1433</v>
      </c>
      <c r="Q95" s="27" t="s">
        <v>623</v>
      </c>
      <c r="R95" s="27" t="s">
        <v>644</v>
      </c>
      <c r="S95" s="27"/>
      <c r="T95" s="27" t="s">
        <v>559</v>
      </c>
      <c r="U95" s="27" t="s">
        <v>1430</v>
      </c>
      <c r="V95" s="28">
        <v>46076.299706400459</v>
      </c>
      <c r="W95" s="27" t="s">
        <v>1433</v>
      </c>
      <c r="X95" s="27" t="s">
        <v>559</v>
      </c>
      <c r="Y95" s="27" t="s">
        <v>912</v>
      </c>
      <c r="Z95" s="28">
        <v>46076.318450057872</v>
      </c>
      <c r="AA95" s="27" t="s">
        <v>681</v>
      </c>
      <c r="AB95" s="27" t="s">
        <v>559</v>
      </c>
      <c r="AC95" s="27" t="s">
        <v>571</v>
      </c>
      <c r="AD95" s="28">
        <v>46077.100795150465</v>
      </c>
      <c r="AE95" s="27" t="s">
        <v>1434</v>
      </c>
      <c r="AF95" s="27" t="s">
        <v>559</v>
      </c>
      <c r="AG95" s="27" t="s">
        <v>683</v>
      </c>
      <c r="AH95" s="28">
        <v>46078.24838222222</v>
      </c>
      <c r="AI95" s="27" t="s">
        <v>684</v>
      </c>
      <c r="AJ95" s="27" t="s">
        <v>1435</v>
      </c>
      <c r="AK95" s="27" t="s">
        <v>1436</v>
      </c>
      <c r="AL95" s="27" t="s">
        <v>107</v>
      </c>
      <c r="AM95" s="27" t="s">
        <v>1437</v>
      </c>
      <c r="AN95" s="27" t="s">
        <v>665</v>
      </c>
      <c r="AO95" s="27">
        <v>0</v>
      </c>
    </row>
    <row r="96" spans="1:41" hidden="1">
      <c r="A96" s="27" t="s">
        <v>1438</v>
      </c>
      <c r="B96" s="27" t="s">
        <v>1439</v>
      </c>
      <c r="C96" s="27" t="s">
        <v>1440</v>
      </c>
      <c r="D96" s="27" t="s">
        <v>548</v>
      </c>
      <c r="E96" s="27" t="s">
        <v>638</v>
      </c>
      <c r="F96" s="28">
        <v>46057.189697164351</v>
      </c>
      <c r="G96" s="28">
        <v>46092.400049340278</v>
      </c>
      <c r="H96" s="28">
        <v>46057.189697164351</v>
      </c>
      <c r="I96" s="27" t="s">
        <v>1441</v>
      </c>
      <c r="J96" s="27" t="s">
        <v>1442</v>
      </c>
      <c r="K96" s="27" t="s">
        <v>566</v>
      </c>
      <c r="L96" s="27"/>
      <c r="M96" s="27" t="s">
        <v>890</v>
      </c>
      <c r="N96" s="27" t="s">
        <v>1443</v>
      </c>
      <c r="O96" s="27" t="s">
        <v>1443</v>
      </c>
      <c r="P96" s="27" t="s">
        <v>1444</v>
      </c>
      <c r="Q96" s="27" t="s">
        <v>623</v>
      </c>
      <c r="R96" s="27" t="s">
        <v>583</v>
      </c>
      <c r="S96" s="27"/>
      <c r="T96" s="27" t="s">
        <v>559</v>
      </c>
      <c r="U96" s="27" t="s">
        <v>1440</v>
      </c>
      <c r="V96" s="28">
        <v>46057.19137364583</v>
      </c>
      <c r="W96" s="27" t="s">
        <v>1445</v>
      </c>
      <c r="X96" s="27" t="s">
        <v>559</v>
      </c>
      <c r="Y96" s="27" t="s">
        <v>893</v>
      </c>
      <c r="Z96" s="28">
        <v>46078.248162731485</v>
      </c>
      <c r="AA96" s="27" t="s">
        <v>1300</v>
      </c>
      <c r="AB96" s="27" t="s">
        <v>559</v>
      </c>
      <c r="AC96" s="27" t="s">
        <v>571</v>
      </c>
      <c r="AD96" s="28">
        <v>46079.045031064816</v>
      </c>
      <c r="AE96" s="27" t="s">
        <v>1446</v>
      </c>
      <c r="AF96" s="27" t="s">
        <v>559</v>
      </c>
      <c r="AG96" s="27" t="s">
        <v>796</v>
      </c>
      <c r="AH96" s="28">
        <v>46092.400049351854</v>
      </c>
      <c r="AI96" s="27" t="s">
        <v>638</v>
      </c>
      <c r="AJ96" s="27" t="s">
        <v>1447</v>
      </c>
      <c r="AK96" s="27" t="s">
        <v>1448</v>
      </c>
      <c r="AL96" s="27" t="s">
        <v>116</v>
      </c>
      <c r="AM96" s="27" t="s">
        <v>1449</v>
      </c>
      <c r="AN96" s="27" t="s">
        <v>665</v>
      </c>
      <c r="AO96" s="27">
        <v>0</v>
      </c>
    </row>
    <row r="97" spans="1:41" hidden="1">
      <c r="A97" s="27" t="s">
        <v>1450</v>
      </c>
      <c r="B97" s="27" t="s">
        <v>1451</v>
      </c>
      <c r="C97" s="27" t="s">
        <v>850</v>
      </c>
      <c r="D97" s="27" t="s">
        <v>548</v>
      </c>
      <c r="E97" s="27" t="s">
        <v>638</v>
      </c>
      <c r="F97" s="28">
        <v>46057.283939502318</v>
      </c>
      <c r="G97" s="28">
        <v>46063.165903090281</v>
      </c>
      <c r="H97" s="28">
        <v>46057.283939502318</v>
      </c>
      <c r="I97" s="27" t="s">
        <v>1452</v>
      </c>
      <c r="J97" s="27" t="s">
        <v>1453</v>
      </c>
      <c r="K97" s="27" t="s">
        <v>566</v>
      </c>
      <c r="L97" s="27"/>
      <c r="M97" s="27" t="s">
        <v>1454</v>
      </c>
      <c r="N97" s="27"/>
      <c r="O97" s="27"/>
      <c r="P97" s="27" t="s">
        <v>976</v>
      </c>
      <c r="Q97" s="27" t="s">
        <v>556</v>
      </c>
      <c r="R97" s="27" t="s">
        <v>659</v>
      </c>
      <c r="S97" s="27"/>
      <c r="T97" s="27" t="s">
        <v>559</v>
      </c>
      <c r="U97" s="27" t="s">
        <v>850</v>
      </c>
      <c r="V97" s="28">
        <v>46057.288906469905</v>
      </c>
      <c r="W97" s="27" t="s">
        <v>976</v>
      </c>
      <c r="X97" s="27" t="s">
        <v>559</v>
      </c>
      <c r="Y97" s="27" t="s">
        <v>778</v>
      </c>
      <c r="Z97" s="28">
        <v>46058.073601921293</v>
      </c>
      <c r="AA97" s="27" t="s">
        <v>1455</v>
      </c>
      <c r="AB97" s="27" t="s">
        <v>559</v>
      </c>
      <c r="AC97" s="27" t="s">
        <v>571</v>
      </c>
      <c r="AD97" s="28">
        <v>46058.143799606485</v>
      </c>
      <c r="AE97" s="27" t="s">
        <v>1456</v>
      </c>
      <c r="AF97" s="27" t="s">
        <v>559</v>
      </c>
      <c r="AG97" s="27" t="s">
        <v>571</v>
      </c>
      <c r="AH97" s="28">
        <v>46063.165903090281</v>
      </c>
      <c r="AI97" s="27" t="s">
        <v>649</v>
      </c>
      <c r="AJ97" s="27" t="s">
        <v>1457</v>
      </c>
      <c r="AK97" s="27" t="s">
        <v>1458</v>
      </c>
      <c r="AL97" s="27" t="s">
        <v>107</v>
      </c>
      <c r="AM97" s="27" t="s">
        <v>1459</v>
      </c>
      <c r="AN97" s="27" t="s">
        <v>687</v>
      </c>
      <c r="AO97" s="27">
        <v>0</v>
      </c>
    </row>
    <row r="98" spans="1:41" hidden="1">
      <c r="A98" s="27" t="s">
        <v>1460</v>
      </c>
      <c r="B98" s="27" t="s">
        <v>1461</v>
      </c>
      <c r="C98" s="27" t="s">
        <v>850</v>
      </c>
      <c r="D98" s="27" t="s">
        <v>548</v>
      </c>
      <c r="E98" s="27" t="s">
        <v>668</v>
      </c>
      <c r="F98" s="28">
        <v>46057.289697812499</v>
      </c>
      <c r="G98" s="28">
        <v>46219.262821331016</v>
      </c>
      <c r="H98" s="28">
        <v>46057.289697812499</v>
      </c>
      <c r="I98" s="27" t="s">
        <v>1452</v>
      </c>
      <c r="J98" s="27" t="s">
        <v>1462</v>
      </c>
      <c r="K98" s="27" t="s">
        <v>566</v>
      </c>
      <c r="L98" s="27"/>
      <c r="M98" s="27" t="s">
        <v>1454</v>
      </c>
      <c r="N98" s="27"/>
      <c r="O98" s="27"/>
      <c r="P98" s="27" t="s">
        <v>976</v>
      </c>
      <c r="Q98" s="27" t="s">
        <v>556</v>
      </c>
      <c r="R98" s="27" t="s">
        <v>659</v>
      </c>
      <c r="S98" s="27"/>
      <c r="T98" s="27" t="s">
        <v>668</v>
      </c>
      <c r="U98" s="27" t="s">
        <v>850</v>
      </c>
      <c r="V98" s="28"/>
      <c r="W98" s="27"/>
      <c r="X98" s="27"/>
      <c r="Y98" s="27" t="s">
        <v>778</v>
      </c>
      <c r="Z98" s="28"/>
      <c r="AA98" s="27"/>
      <c r="AB98" s="27"/>
      <c r="AC98" s="27" t="s">
        <v>573</v>
      </c>
      <c r="AD98" s="28"/>
      <c r="AE98" s="27"/>
      <c r="AF98" s="27"/>
      <c r="AG98" s="27" t="s">
        <v>108</v>
      </c>
      <c r="AH98" s="28"/>
      <c r="AI98" s="27"/>
      <c r="AJ98" s="27" t="s">
        <v>1457</v>
      </c>
      <c r="AK98" s="27" t="s">
        <v>1463</v>
      </c>
      <c r="AL98" s="27"/>
      <c r="AM98" s="27"/>
      <c r="AN98" s="27" t="s">
        <v>665</v>
      </c>
      <c r="AO98" s="27">
        <v>0</v>
      </c>
    </row>
    <row r="99" spans="1:41" hidden="1">
      <c r="A99" s="27" t="s">
        <v>1464</v>
      </c>
      <c r="B99" s="27" t="s">
        <v>1465</v>
      </c>
      <c r="C99" s="27" t="s">
        <v>850</v>
      </c>
      <c r="D99" s="27" t="s">
        <v>548</v>
      </c>
      <c r="E99" s="27" t="s">
        <v>638</v>
      </c>
      <c r="F99" s="28">
        <v>46057.310859571757</v>
      </c>
      <c r="G99" s="28">
        <v>46063.10813641204</v>
      </c>
      <c r="H99" s="28">
        <v>46057.310859571757</v>
      </c>
      <c r="I99" s="27" t="s">
        <v>1466</v>
      </c>
      <c r="J99" s="27" t="s">
        <v>1467</v>
      </c>
      <c r="K99" s="27" t="s">
        <v>566</v>
      </c>
      <c r="L99" s="27"/>
      <c r="M99" s="27" t="s">
        <v>1454</v>
      </c>
      <c r="N99" s="27"/>
      <c r="O99" s="27"/>
      <c r="P99" s="27" t="s">
        <v>976</v>
      </c>
      <c r="Q99" s="27" t="s">
        <v>556</v>
      </c>
      <c r="R99" s="27" t="s">
        <v>659</v>
      </c>
      <c r="S99" s="27"/>
      <c r="T99" s="27" t="s">
        <v>559</v>
      </c>
      <c r="U99" s="27" t="s">
        <v>850</v>
      </c>
      <c r="V99" s="28">
        <v>46057.311152905095</v>
      </c>
      <c r="W99" s="27" t="s">
        <v>976</v>
      </c>
      <c r="X99" s="27" t="s">
        <v>559</v>
      </c>
      <c r="Y99" s="27" t="s">
        <v>778</v>
      </c>
      <c r="Z99" s="28">
        <v>46057.329781203705</v>
      </c>
      <c r="AA99" s="27" t="s">
        <v>1468</v>
      </c>
      <c r="AB99" s="27" t="s">
        <v>559</v>
      </c>
      <c r="AC99" s="27" t="s">
        <v>571</v>
      </c>
      <c r="AD99" s="28">
        <v>46058.111685949072</v>
      </c>
      <c r="AE99" s="27" t="s">
        <v>1469</v>
      </c>
      <c r="AF99" s="27" t="s">
        <v>559</v>
      </c>
      <c r="AG99" s="27" t="s">
        <v>571</v>
      </c>
      <c r="AH99" s="28">
        <v>46063.10813641204</v>
      </c>
      <c r="AI99" s="27" t="s">
        <v>649</v>
      </c>
      <c r="AJ99" s="27" t="s">
        <v>1470</v>
      </c>
      <c r="AK99" s="27">
        <v>4341</v>
      </c>
      <c r="AL99" s="27" t="s">
        <v>107</v>
      </c>
      <c r="AM99" s="27" t="s">
        <v>1471</v>
      </c>
      <c r="AN99" s="27" t="s">
        <v>665</v>
      </c>
      <c r="AO99" s="27">
        <v>0</v>
      </c>
    </row>
    <row r="100" spans="1:41" hidden="1">
      <c r="A100" s="27" t="s">
        <v>1472</v>
      </c>
      <c r="B100" s="27" t="s">
        <v>1473</v>
      </c>
      <c r="C100" s="27" t="s">
        <v>1474</v>
      </c>
      <c r="D100" s="27" t="s">
        <v>548</v>
      </c>
      <c r="E100" s="27" t="s">
        <v>549</v>
      </c>
      <c r="F100" s="28">
        <v>46058.359692256941</v>
      </c>
      <c r="G100" s="28">
        <v>46062.157277662038</v>
      </c>
      <c r="H100" s="28">
        <v>46058.359692256941</v>
      </c>
      <c r="I100" s="27" t="s">
        <v>1475</v>
      </c>
      <c r="J100" s="27" t="s">
        <v>1476</v>
      </c>
      <c r="K100" s="27" t="s">
        <v>566</v>
      </c>
      <c r="L100" s="27"/>
      <c r="M100" s="27" t="s">
        <v>769</v>
      </c>
      <c r="N100" s="27" t="s">
        <v>1477</v>
      </c>
      <c r="O100" s="27" t="s">
        <v>1478</v>
      </c>
      <c r="P100" s="27" t="s">
        <v>1479</v>
      </c>
      <c r="Q100" s="27" t="s">
        <v>623</v>
      </c>
      <c r="R100" s="27" t="s">
        <v>583</v>
      </c>
      <c r="S100" s="27"/>
      <c r="T100" s="27" t="s">
        <v>559</v>
      </c>
      <c r="U100" s="27" t="s">
        <v>769</v>
      </c>
      <c r="V100" s="28">
        <v>46059.303919270831</v>
      </c>
      <c r="W100" s="27" t="s">
        <v>1480</v>
      </c>
      <c r="X100" s="27" t="s">
        <v>559</v>
      </c>
      <c r="Y100" s="27" t="s">
        <v>769</v>
      </c>
      <c r="Z100" s="28">
        <v>46059.304245844905</v>
      </c>
      <c r="AA100" s="27" t="s">
        <v>681</v>
      </c>
      <c r="AB100" s="27" t="s">
        <v>549</v>
      </c>
      <c r="AC100" s="27" t="s">
        <v>571</v>
      </c>
      <c r="AD100" s="28">
        <v>46062.157277662038</v>
      </c>
      <c r="AE100" s="27" t="s">
        <v>1481</v>
      </c>
      <c r="AF100" s="27"/>
      <c r="AG100" s="27" t="s">
        <v>108</v>
      </c>
      <c r="AH100" s="28"/>
      <c r="AI100" s="27"/>
      <c r="AJ100" s="27" t="s">
        <v>1482</v>
      </c>
      <c r="AK100" s="27" t="s">
        <v>1483</v>
      </c>
      <c r="AL100" s="27"/>
      <c r="AM100" s="27"/>
      <c r="AN100" s="27" t="s">
        <v>710</v>
      </c>
      <c r="AO100" s="27">
        <v>30</v>
      </c>
    </row>
    <row r="101" spans="1:41" hidden="1">
      <c r="A101" s="27" t="s">
        <v>1484</v>
      </c>
      <c r="B101" s="27" t="s">
        <v>1485</v>
      </c>
      <c r="C101" s="27" t="s">
        <v>1474</v>
      </c>
      <c r="D101" s="27" t="s">
        <v>548</v>
      </c>
      <c r="E101" s="27" t="s">
        <v>549</v>
      </c>
      <c r="F101" s="28">
        <v>46058.368441840277</v>
      </c>
      <c r="G101" s="28">
        <v>46062.157018136575</v>
      </c>
      <c r="H101" s="28">
        <v>46058.368441840277</v>
      </c>
      <c r="I101" s="27" t="s">
        <v>1475</v>
      </c>
      <c r="J101" s="27" t="s">
        <v>1476</v>
      </c>
      <c r="K101" s="27" t="s">
        <v>566</v>
      </c>
      <c r="L101" s="27"/>
      <c r="M101" s="27" t="s">
        <v>766</v>
      </c>
      <c r="N101" s="27" t="s">
        <v>1477</v>
      </c>
      <c r="O101" s="27" t="s">
        <v>1486</v>
      </c>
      <c r="P101" s="27" t="s">
        <v>1487</v>
      </c>
      <c r="Q101" s="27" t="s">
        <v>623</v>
      </c>
      <c r="R101" s="27" t="s">
        <v>583</v>
      </c>
      <c r="S101" s="27"/>
      <c r="T101" s="27" t="s">
        <v>559</v>
      </c>
      <c r="U101" s="27" t="s">
        <v>769</v>
      </c>
      <c r="V101" s="28">
        <v>46059.305429490742</v>
      </c>
      <c r="W101" s="27" t="s">
        <v>1032</v>
      </c>
      <c r="X101" s="27" t="s">
        <v>559</v>
      </c>
      <c r="Y101" s="27" t="s">
        <v>769</v>
      </c>
      <c r="Z101" s="28">
        <v>46059.30565318287</v>
      </c>
      <c r="AA101" s="27" t="s">
        <v>681</v>
      </c>
      <c r="AB101" s="27" t="s">
        <v>549</v>
      </c>
      <c r="AC101" s="27" t="s">
        <v>571</v>
      </c>
      <c r="AD101" s="28">
        <v>46062.157018136575</v>
      </c>
      <c r="AE101" s="27" t="s">
        <v>1481</v>
      </c>
      <c r="AF101" s="27"/>
      <c r="AG101" s="27" t="s">
        <v>108</v>
      </c>
      <c r="AH101" s="28"/>
      <c r="AI101" s="27"/>
      <c r="AJ101" s="27" t="s">
        <v>1482</v>
      </c>
      <c r="AK101" s="27" t="s">
        <v>1483</v>
      </c>
      <c r="AL101" s="27"/>
      <c r="AM101" s="27"/>
      <c r="AN101" s="27" t="s">
        <v>710</v>
      </c>
      <c r="AO101" s="27">
        <v>30</v>
      </c>
    </row>
    <row r="102" spans="1:41" hidden="1">
      <c r="A102" s="27" t="s">
        <v>1488</v>
      </c>
      <c r="B102" s="27" t="s">
        <v>1489</v>
      </c>
      <c r="C102" s="27" t="s">
        <v>1474</v>
      </c>
      <c r="D102" s="27" t="s">
        <v>548</v>
      </c>
      <c r="E102" s="27" t="s">
        <v>638</v>
      </c>
      <c r="F102" s="28">
        <v>46058.375820833331</v>
      </c>
      <c r="G102" s="28">
        <v>46065.151175474537</v>
      </c>
      <c r="H102" s="28">
        <v>46058.375820833331</v>
      </c>
      <c r="I102" s="27" t="s">
        <v>1475</v>
      </c>
      <c r="J102" s="27" t="s">
        <v>1490</v>
      </c>
      <c r="K102" s="27" t="s">
        <v>566</v>
      </c>
      <c r="L102" s="27"/>
      <c r="M102" s="27" t="s">
        <v>766</v>
      </c>
      <c r="N102" s="27" t="s">
        <v>1477</v>
      </c>
      <c r="O102" s="27" t="s">
        <v>1486</v>
      </c>
      <c r="P102" s="27" t="s">
        <v>1491</v>
      </c>
      <c r="Q102" s="27" t="s">
        <v>623</v>
      </c>
      <c r="R102" s="27" t="s">
        <v>583</v>
      </c>
      <c r="S102" s="27"/>
      <c r="T102" s="27" t="s">
        <v>559</v>
      </c>
      <c r="U102" s="27" t="s">
        <v>1474</v>
      </c>
      <c r="V102" s="28">
        <v>46058.398157812502</v>
      </c>
      <c r="W102" s="27" t="s">
        <v>1492</v>
      </c>
      <c r="X102" s="27" t="s">
        <v>559</v>
      </c>
      <c r="Y102" s="27" t="s">
        <v>769</v>
      </c>
      <c r="Z102" s="28">
        <v>46059.304800868056</v>
      </c>
      <c r="AA102" s="27" t="s">
        <v>681</v>
      </c>
      <c r="AB102" s="27" t="s">
        <v>559</v>
      </c>
      <c r="AC102" s="27" t="s">
        <v>571</v>
      </c>
      <c r="AD102" s="28">
        <v>46062.159260335648</v>
      </c>
      <c r="AE102" s="27" t="s">
        <v>1493</v>
      </c>
      <c r="AF102" s="27" t="s">
        <v>559</v>
      </c>
      <c r="AG102" s="27" t="s">
        <v>683</v>
      </c>
      <c r="AH102" s="28">
        <v>46065.151175474537</v>
      </c>
      <c r="AI102" s="27" t="s">
        <v>684</v>
      </c>
      <c r="AJ102" s="27" t="s">
        <v>1482</v>
      </c>
      <c r="AK102" s="27" t="s">
        <v>1494</v>
      </c>
      <c r="AL102" s="27" t="s">
        <v>107</v>
      </c>
      <c r="AM102" s="27" t="s">
        <v>1495</v>
      </c>
      <c r="AN102" s="27" t="s">
        <v>710</v>
      </c>
      <c r="AO102" s="27">
        <v>30</v>
      </c>
    </row>
    <row r="103" spans="1:41" hidden="1">
      <c r="A103" s="27" t="s">
        <v>1496</v>
      </c>
      <c r="B103" s="27" t="s">
        <v>1497</v>
      </c>
      <c r="C103" s="27" t="s">
        <v>1498</v>
      </c>
      <c r="D103" s="27" t="s">
        <v>548</v>
      </c>
      <c r="E103" s="27" t="s">
        <v>638</v>
      </c>
      <c r="F103" s="28">
        <v>46059.552959525463</v>
      </c>
      <c r="G103" s="28">
        <v>46065.131144074076</v>
      </c>
      <c r="H103" s="28">
        <v>46059.552959525463</v>
      </c>
      <c r="I103" s="27" t="s">
        <v>1499</v>
      </c>
      <c r="J103" s="27" t="s">
        <v>1499</v>
      </c>
      <c r="K103" s="27" t="s">
        <v>566</v>
      </c>
      <c r="L103" s="27"/>
      <c r="M103" s="27" t="s">
        <v>1500</v>
      </c>
      <c r="N103" s="27"/>
      <c r="O103" s="27"/>
      <c r="P103" s="27" t="s">
        <v>1501</v>
      </c>
      <c r="Q103" s="27" t="s">
        <v>569</v>
      </c>
      <c r="R103" s="27" t="s">
        <v>583</v>
      </c>
      <c r="S103" s="27"/>
      <c r="T103" s="27" t="s">
        <v>559</v>
      </c>
      <c r="U103" s="27" t="s">
        <v>1498</v>
      </c>
      <c r="V103" s="28">
        <v>46059.555643981483</v>
      </c>
      <c r="W103" s="27" t="s">
        <v>1501</v>
      </c>
      <c r="X103" s="27" t="s">
        <v>559</v>
      </c>
      <c r="Y103" s="27" t="s">
        <v>1500</v>
      </c>
      <c r="Z103" s="28">
        <v>46062.326688981484</v>
      </c>
      <c r="AA103" s="27" t="s">
        <v>1502</v>
      </c>
      <c r="AB103" s="27" t="s">
        <v>559</v>
      </c>
      <c r="AC103" s="27" t="s">
        <v>571</v>
      </c>
      <c r="AD103" s="28">
        <v>46062.393479641207</v>
      </c>
      <c r="AE103" s="27" t="s">
        <v>1503</v>
      </c>
      <c r="AF103" s="27" t="s">
        <v>559</v>
      </c>
      <c r="AG103" s="27" t="s">
        <v>683</v>
      </c>
      <c r="AH103" s="28">
        <v>46065.131144074076</v>
      </c>
      <c r="AI103" s="27" t="s">
        <v>684</v>
      </c>
      <c r="AJ103" s="27" t="s">
        <v>1504</v>
      </c>
      <c r="AK103" s="27" t="s">
        <v>1505</v>
      </c>
      <c r="AL103" s="27" t="s">
        <v>125</v>
      </c>
      <c r="AM103" s="27" t="s">
        <v>1506</v>
      </c>
      <c r="AN103" s="27" t="s">
        <v>687</v>
      </c>
      <c r="AO103" s="27">
        <v>0</v>
      </c>
    </row>
    <row r="104" spans="1:41" hidden="1">
      <c r="A104" s="27" t="s">
        <v>1507</v>
      </c>
      <c r="B104" s="27" t="s">
        <v>1508</v>
      </c>
      <c r="C104" s="27" t="s">
        <v>1509</v>
      </c>
      <c r="D104" s="27" t="s">
        <v>548</v>
      </c>
      <c r="E104" s="27" t="s">
        <v>638</v>
      </c>
      <c r="F104" s="28">
        <v>46062.048417939812</v>
      </c>
      <c r="G104" s="28">
        <v>46069.360410138892</v>
      </c>
      <c r="H104" s="28">
        <v>46062.048417939812</v>
      </c>
      <c r="I104" s="27" t="s">
        <v>1510</v>
      </c>
      <c r="J104" s="27" t="s">
        <v>1511</v>
      </c>
      <c r="K104" s="27" t="s">
        <v>566</v>
      </c>
      <c r="L104" s="27"/>
      <c r="M104" s="27" t="s">
        <v>778</v>
      </c>
      <c r="N104" s="27"/>
      <c r="O104" s="27"/>
      <c r="P104" s="27" t="s">
        <v>976</v>
      </c>
      <c r="Q104" s="27" t="s">
        <v>556</v>
      </c>
      <c r="R104" s="27" t="s">
        <v>659</v>
      </c>
      <c r="S104" s="27"/>
      <c r="T104" s="27" t="s">
        <v>559</v>
      </c>
      <c r="U104" s="27" t="s">
        <v>1509</v>
      </c>
      <c r="V104" s="28">
        <v>46062.049702615739</v>
      </c>
      <c r="W104" s="27" t="s">
        <v>976</v>
      </c>
      <c r="X104" s="27" t="s">
        <v>559</v>
      </c>
      <c r="Y104" s="27" t="s">
        <v>778</v>
      </c>
      <c r="Z104" s="28">
        <v>46064.098356828705</v>
      </c>
      <c r="AA104" s="27" t="s">
        <v>1512</v>
      </c>
      <c r="AB104" s="27" t="s">
        <v>559</v>
      </c>
      <c r="AC104" s="27" t="s">
        <v>571</v>
      </c>
      <c r="AD104" s="28">
        <v>46064.146713495371</v>
      </c>
      <c r="AE104" s="27" t="s">
        <v>1513</v>
      </c>
      <c r="AF104" s="27" t="s">
        <v>559</v>
      </c>
      <c r="AG104" s="27" t="s">
        <v>571</v>
      </c>
      <c r="AH104" s="28">
        <v>46069.360410150461</v>
      </c>
      <c r="AI104" s="27" t="s">
        <v>649</v>
      </c>
      <c r="AJ104" s="27" t="s">
        <v>1514</v>
      </c>
      <c r="AK104" s="27" t="s">
        <v>1515</v>
      </c>
      <c r="AL104" s="27" t="s">
        <v>107</v>
      </c>
      <c r="AM104" s="27" t="s">
        <v>1516</v>
      </c>
      <c r="AN104" s="27" t="s">
        <v>665</v>
      </c>
      <c r="AO104" s="27">
        <v>0</v>
      </c>
    </row>
    <row r="105" spans="1:41" hidden="1">
      <c r="A105" s="27" t="s">
        <v>1517</v>
      </c>
      <c r="B105" s="27" t="s">
        <v>1518</v>
      </c>
      <c r="C105" s="27" t="s">
        <v>1509</v>
      </c>
      <c r="D105" s="27" t="s">
        <v>548</v>
      </c>
      <c r="E105" s="27" t="s">
        <v>638</v>
      </c>
      <c r="F105" s="28">
        <v>46062.086416736114</v>
      </c>
      <c r="G105" s="28">
        <v>46069.369103831021</v>
      </c>
      <c r="H105" s="28">
        <v>46062.086416736114</v>
      </c>
      <c r="I105" s="27" t="s">
        <v>1519</v>
      </c>
      <c r="J105" s="27" t="s">
        <v>1520</v>
      </c>
      <c r="K105" s="27" t="s">
        <v>566</v>
      </c>
      <c r="L105" s="27"/>
      <c r="M105" s="27" t="s">
        <v>778</v>
      </c>
      <c r="N105" s="27"/>
      <c r="O105" s="27"/>
      <c r="P105" s="27" t="s">
        <v>976</v>
      </c>
      <c r="Q105" s="27" t="s">
        <v>556</v>
      </c>
      <c r="R105" s="27" t="s">
        <v>659</v>
      </c>
      <c r="S105" s="27"/>
      <c r="T105" s="27" t="s">
        <v>559</v>
      </c>
      <c r="U105" s="27" t="s">
        <v>1509</v>
      </c>
      <c r="V105" s="28">
        <v>46062.086910081016</v>
      </c>
      <c r="W105" s="27" t="s">
        <v>976</v>
      </c>
      <c r="X105" s="27" t="s">
        <v>559</v>
      </c>
      <c r="Y105" s="27" t="s">
        <v>778</v>
      </c>
      <c r="Z105" s="28">
        <v>46064.09436747685</v>
      </c>
      <c r="AA105" s="27" t="s">
        <v>1521</v>
      </c>
      <c r="AB105" s="27" t="s">
        <v>559</v>
      </c>
      <c r="AC105" s="27" t="s">
        <v>571</v>
      </c>
      <c r="AD105" s="28">
        <v>46064.143558553238</v>
      </c>
      <c r="AE105" s="27" t="s">
        <v>1513</v>
      </c>
      <c r="AF105" s="27" t="s">
        <v>559</v>
      </c>
      <c r="AG105" s="27" t="s">
        <v>571</v>
      </c>
      <c r="AH105" s="28">
        <v>46069.369103831021</v>
      </c>
      <c r="AI105" s="27" t="s">
        <v>649</v>
      </c>
      <c r="AJ105" s="27" t="s">
        <v>1522</v>
      </c>
      <c r="AK105" s="27">
        <v>2795</v>
      </c>
      <c r="AL105" s="27" t="s">
        <v>107</v>
      </c>
      <c r="AM105" s="27" t="s">
        <v>1523</v>
      </c>
      <c r="AN105" s="27" t="s">
        <v>665</v>
      </c>
      <c r="AO105" s="27">
        <v>0</v>
      </c>
    </row>
    <row r="106" spans="1:41" hidden="1">
      <c r="A106" s="27" t="s">
        <v>1524</v>
      </c>
      <c r="B106" s="27" t="s">
        <v>1525</v>
      </c>
      <c r="C106" s="27" t="s">
        <v>1233</v>
      </c>
      <c r="D106" s="27" t="s">
        <v>548</v>
      </c>
      <c r="E106" s="27" t="s">
        <v>638</v>
      </c>
      <c r="F106" s="28">
        <v>46062.414054930552</v>
      </c>
      <c r="G106" s="28">
        <v>46076.093769722225</v>
      </c>
      <c r="H106" s="28">
        <v>46063.044083541667</v>
      </c>
      <c r="I106" s="27" t="s">
        <v>1526</v>
      </c>
      <c r="J106" s="27" t="s">
        <v>1527</v>
      </c>
      <c r="K106" s="27" t="s">
        <v>566</v>
      </c>
      <c r="L106" s="27"/>
      <c r="M106" s="27" t="s">
        <v>1236</v>
      </c>
      <c r="N106" s="27"/>
      <c r="O106" s="27"/>
      <c r="P106" s="27" t="s">
        <v>1528</v>
      </c>
      <c r="Q106" s="27" t="s">
        <v>556</v>
      </c>
      <c r="R106" s="27" t="s">
        <v>557</v>
      </c>
      <c r="S106" s="27"/>
      <c r="T106" s="27" t="s">
        <v>559</v>
      </c>
      <c r="U106" s="27" t="s">
        <v>1233</v>
      </c>
      <c r="V106" s="28">
        <v>46063.046540497686</v>
      </c>
      <c r="W106" s="27" t="s">
        <v>1529</v>
      </c>
      <c r="X106" s="27" t="s">
        <v>559</v>
      </c>
      <c r="Y106" s="27" t="s">
        <v>1239</v>
      </c>
      <c r="Z106" s="28">
        <v>46066.183479074076</v>
      </c>
      <c r="AA106" s="27" t="s">
        <v>1240</v>
      </c>
      <c r="AB106" s="27" t="s">
        <v>559</v>
      </c>
      <c r="AC106" s="27" t="s">
        <v>571</v>
      </c>
      <c r="AD106" s="28">
        <v>46072.291197870371</v>
      </c>
      <c r="AE106" s="27" t="s">
        <v>1530</v>
      </c>
      <c r="AF106" s="27" t="s">
        <v>559</v>
      </c>
      <c r="AG106" s="27" t="s">
        <v>683</v>
      </c>
      <c r="AH106" s="28">
        <v>46076.093769733794</v>
      </c>
      <c r="AI106" s="27" t="s">
        <v>684</v>
      </c>
      <c r="AJ106" s="27" t="s">
        <v>1531</v>
      </c>
      <c r="AK106" s="27">
        <v>906</v>
      </c>
      <c r="AL106" s="27" t="s">
        <v>107</v>
      </c>
      <c r="AM106" s="27" t="s">
        <v>1532</v>
      </c>
      <c r="AN106" s="27" t="s">
        <v>665</v>
      </c>
      <c r="AO106" s="27">
        <v>0</v>
      </c>
    </row>
    <row r="107" spans="1:41" hidden="1">
      <c r="A107" s="27" t="s">
        <v>1533</v>
      </c>
      <c r="B107" s="27" t="s">
        <v>1534</v>
      </c>
      <c r="C107" s="27" t="s">
        <v>1233</v>
      </c>
      <c r="D107" s="27" t="s">
        <v>548</v>
      </c>
      <c r="E107" s="27" t="s">
        <v>638</v>
      </c>
      <c r="F107" s="28">
        <v>46063.070962708334</v>
      </c>
      <c r="G107" s="28">
        <v>46073.115009131943</v>
      </c>
      <c r="H107" s="28">
        <v>46063.070962708334</v>
      </c>
      <c r="I107" s="27" t="s">
        <v>1234</v>
      </c>
      <c r="J107" s="27" t="s">
        <v>1235</v>
      </c>
      <c r="K107" s="27" t="s">
        <v>566</v>
      </c>
      <c r="L107" s="27"/>
      <c r="M107" s="27" t="s">
        <v>1236</v>
      </c>
      <c r="N107" s="27"/>
      <c r="O107" s="27"/>
      <c r="P107" s="27" t="s">
        <v>1535</v>
      </c>
      <c r="Q107" s="27" t="s">
        <v>556</v>
      </c>
      <c r="R107" s="27" t="s">
        <v>583</v>
      </c>
      <c r="S107" s="27"/>
      <c r="T107" s="27" t="s">
        <v>559</v>
      </c>
      <c r="U107" s="27" t="s">
        <v>1233</v>
      </c>
      <c r="V107" s="28">
        <v>46063.075424861112</v>
      </c>
      <c r="W107" s="27" t="s">
        <v>1536</v>
      </c>
      <c r="X107" s="27" t="s">
        <v>559</v>
      </c>
      <c r="Y107" s="27" t="s">
        <v>1239</v>
      </c>
      <c r="Z107" s="28">
        <v>46066.182658900463</v>
      </c>
      <c r="AA107" s="27" t="s">
        <v>1240</v>
      </c>
      <c r="AB107" s="27" t="s">
        <v>559</v>
      </c>
      <c r="AC107" s="27" t="s">
        <v>571</v>
      </c>
      <c r="AD107" s="28">
        <v>46072.290084224536</v>
      </c>
      <c r="AE107" s="27" t="s">
        <v>867</v>
      </c>
      <c r="AF107" s="27" t="s">
        <v>559</v>
      </c>
      <c r="AG107" s="27" t="s">
        <v>683</v>
      </c>
      <c r="AH107" s="28">
        <v>46073.115009131943</v>
      </c>
      <c r="AI107" s="27" t="s">
        <v>1537</v>
      </c>
      <c r="AJ107" s="27" t="s">
        <v>1241</v>
      </c>
      <c r="AK107" s="27">
        <v>1478</v>
      </c>
      <c r="AL107" s="27" t="s">
        <v>107</v>
      </c>
      <c r="AM107" s="27" t="s">
        <v>1538</v>
      </c>
      <c r="AN107" s="27" t="s">
        <v>665</v>
      </c>
      <c r="AO107" s="27">
        <v>0</v>
      </c>
    </row>
    <row r="108" spans="1:41" hidden="1">
      <c r="A108" s="27" t="s">
        <v>1539</v>
      </c>
      <c r="B108" s="27" t="s">
        <v>1540</v>
      </c>
      <c r="C108" s="27" t="s">
        <v>1541</v>
      </c>
      <c r="D108" s="27" t="s">
        <v>548</v>
      </c>
      <c r="E108" s="27" t="s">
        <v>549</v>
      </c>
      <c r="F108" s="28">
        <v>46063.121650324072</v>
      </c>
      <c r="G108" s="28">
        <v>46063.304053854168</v>
      </c>
      <c r="H108" s="28">
        <v>46063.275564837961</v>
      </c>
      <c r="I108" s="27" t="s">
        <v>1542</v>
      </c>
      <c r="J108" s="27" t="s">
        <v>1543</v>
      </c>
      <c r="K108" s="27" t="s">
        <v>676</v>
      </c>
      <c r="L108" s="27" t="s">
        <v>1544</v>
      </c>
      <c r="M108" s="27" t="s">
        <v>1545</v>
      </c>
      <c r="N108" s="27"/>
      <c r="O108" s="27"/>
      <c r="P108" s="27" t="s">
        <v>1546</v>
      </c>
      <c r="Q108" s="27" t="s">
        <v>623</v>
      </c>
      <c r="R108" s="27" t="s">
        <v>583</v>
      </c>
      <c r="S108" s="27"/>
      <c r="T108" s="27" t="s">
        <v>559</v>
      </c>
      <c r="U108" s="27" t="s">
        <v>1541</v>
      </c>
      <c r="V108" s="28">
        <v>46063.276263101849</v>
      </c>
      <c r="W108" s="27" t="s">
        <v>1547</v>
      </c>
      <c r="X108" s="27" t="s">
        <v>549</v>
      </c>
      <c r="Y108" s="27" t="s">
        <v>571</v>
      </c>
      <c r="Z108" s="28">
        <v>46063.304053854168</v>
      </c>
      <c r="AA108" s="27" t="s">
        <v>1548</v>
      </c>
      <c r="AB108" s="27"/>
      <c r="AC108" s="27" t="s">
        <v>573</v>
      </c>
      <c r="AD108" s="28"/>
      <c r="AE108" s="27"/>
      <c r="AF108" s="27"/>
      <c r="AG108" s="27" t="s">
        <v>573</v>
      </c>
      <c r="AH108" s="28"/>
      <c r="AI108" s="27"/>
      <c r="AJ108" s="27" t="s">
        <v>1549</v>
      </c>
      <c r="AK108" s="27">
        <v>2794</v>
      </c>
      <c r="AL108" s="27"/>
      <c r="AM108" s="27"/>
      <c r="AN108" s="27" t="s">
        <v>665</v>
      </c>
      <c r="AO108" s="27">
        <v>0</v>
      </c>
    </row>
    <row r="109" spans="1:41" hidden="1">
      <c r="A109" s="27" t="s">
        <v>1550</v>
      </c>
      <c r="B109" s="27" t="s">
        <v>1551</v>
      </c>
      <c r="C109" s="27" t="s">
        <v>1541</v>
      </c>
      <c r="D109" s="27" t="s">
        <v>548</v>
      </c>
      <c r="E109" s="27" t="s">
        <v>549</v>
      </c>
      <c r="F109" s="28">
        <v>46063.123531990743</v>
      </c>
      <c r="G109" s="28">
        <v>46063.303990960645</v>
      </c>
      <c r="H109" s="28">
        <v>46063.272615462964</v>
      </c>
      <c r="I109" s="27" t="s">
        <v>1542</v>
      </c>
      <c r="J109" s="27" t="s">
        <v>1552</v>
      </c>
      <c r="K109" s="27" t="s">
        <v>676</v>
      </c>
      <c r="L109" s="27" t="s">
        <v>1553</v>
      </c>
      <c r="M109" s="27" t="s">
        <v>1545</v>
      </c>
      <c r="N109" s="27"/>
      <c r="O109" s="27"/>
      <c r="P109" s="27" t="s">
        <v>1554</v>
      </c>
      <c r="Q109" s="27" t="s">
        <v>623</v>
      </c>
      <c r="R109" s="27" t="s">
        <v>583</v>
      </c>
      <c r="S109" s="27"/>
      <c r="T109" s="27" t="s">
        <v>559</v>
      </c>
      <c r="U109" s="27" t="s">
        <v>1541</v>
      </c>
      <c r="V109" s="28">
        <v>46063.273312557867</v>
      </c>
      <c r="W109" s="27" t="s">
        <v>1547</v>
      </c>
      <c r="X109" s="27" t="s">
        <v>549</v>
      </c>
      <c r="Y109" s="27" t="s">
        <v>571</v>
      </c>
      <c r="Z109" s="28">
        <v>46063.303990983797</v>
      </c>
      <c r="AA109" s="27" t="s">
        <v>1555</v>
      </c>
      <c r="AB109" s="27"/>
      <c r="AC109" s="27" t="s">
        <v>573</v>
      </c>
      <c r="AD109" s="28"/>
      <c r="AE109" s="27"/>
      <c r="AF109" s="27"/>
      <c r="AG109" s="27" t="s">
        <v>573</v>
      </c>
      <c r="AH109" s="28"/>
      <c r="AI109" s="27"/>
      <c r="AJ109" s="27" t="s">
        <v>1549</v>
      </c>
      <c r="AK109" s="27">
        <v>3057</v>
      </c>
      <c r="AL109" s="27"/>
      <c r="AM109" s="27"/>
      <c r="AN109" s="27" t="s">
        <v>665</v>
      </c>
      <c r="AO109" s="27">
        <v>0</v>
      </c>
    </row>
    <row r="110" spans="1:41" hidden="1">
      <c r="A110" s="27" t="s">
        <v>1556</v>
      </c>
      <c r="B110" s="27" t="s">
        <v>1557</v>
      </c>
      <c r="C110" s="27" t="s">
        <v>1558</v>
      </c>
      <c r="D110" s="27" t="s">
        <v>548</v>
      </c>
      <c r="E110" s="27" t="s">
        <v>638</v>
      </c>
      <c r="F110" s="28">
        <v>46063.142538136577</v>
      </c>
      <c r="G110" s="28">
        <v>46072.226177557874</v>
      </c>
      <c r="H110" s="28">
        <v>46063.142538136577</v>
      </c>
      <c r="I110" s="27" t="s">
        <v>1559</v>
      </c>
      <c r="J110" s="27" t="s">
        <v>1560</v>
      </c>
      <c r="K110" s="27" t="s">
        <v>566</v>
      </c>
      <c r="L110" s="27"/>
      <c r="M110" s="27" t="s">
        <v>1561</v>
      </c>
      <c r="N110" s="27"/>
      <c r="O110" s="27"/>
      <c r="P110" s="27" t="s">
        <v>1562</v>
      </c>
      <c r="Q110" s="27" t="s">
        <v>623</v>
      </c>
      <c r="R110" s="27" t="s">
        <v>583</v>
      </c>
      <c r="S110" s="27"/>
      <c r="T110" s="27" t="s">
        <v>559</v>
      </c>
      <c r="U110" s="27" t="s">
        <v>1558</v>
      </c>
      <c r="V110" s="28">
        <v>46063.271755960646</v>
      </c>
      <c r="W110" s="27" t="s">
        <v>1563</v>
      </c>
      <c r="X110" s="27" t="s">
        <v>559</v>
      </c>
      <c r="Y110" s="27" t="s">
        <v>1561</v>
      </c>
      <c r="Z110" s="28">
        <v>46063.36478408565</v>
      </c>
      <c r="AA110" s="27" t="s">
        <v>1564</v>
      </c>
      <c r="AB110" s="27" t="s">
        <v>559</v>
      </c>
      <c r="AC110" s="27" t="s">
        <v>571</v>
      </c>
      <c r="AD110" s="28">
        <v>46064.131288564815</v>
      </c>
      <c r="AE110" s="27" t="s">
        <v>1565</v>
      </c>
      <c r="AF110" s="27" t="s">
        <v>559</v>
      </c>
      <c r="AG110" s="27" t="s">
        <v>683</v>
      </c>
      <c r="AH110" s="28">
        <v>46072.226177557874</v>
      </c>
      <c r="AI110" s="27" t="s">
        <v>1566</v>
      </c>
      <c r="AJ110" s="27" t="s">
        <v>1567</v>
      </c>
      <c r="AK110" s="27" t="s">
        <v>1568</v>
      </c>
      <c r="AL110" s="27" t="s">
        <v>107</v>
      </c>
      <c r="AM110" s="27" t="s">
        <v>1569</v>
      </c>
      <c r="AN110" s="27" t="s">
        <v>710</v>
      </c>
      <c r="AO110" s="27">
        <v>30</v>
      </c>
    </row>
    <row r="111" spans="1:41" hidden="1">
      <c r="A111" s="27" t="s">
        <v>1570</v>
      </c>
      <c r="B111" s="27" t="s">
        <v>1571</v>
      </c>
      <c r="C111" s="27" t="s">
        <v>1509</v>
      </c>
      <c r="D111" s="27" t="s">
        <v>548</v>
      </c>
      <c r="E111" s="27" t="s">
        <v>638</v>
      </c>
      <c r="F111" s="28">
        <v>46063.143671284721</v>
      </c>
      <c r="G111" s="28">
        <v>46069.355135127313</v>
      </c>
      <c r="H111" s="28">
        <v>46063.143671284721</v>
      </c>
      <c r="I111" s="27" t="s">
        <v>1572</v>
      </c>
      <c r="J111" s="27" t="s">
        <v>1572</v>
      </c>
      <c r="K111" s="27" t="s">
        <v>566</v>
      </c>
      <c r="L111" s="27"/>
      <c r="M111" s="27" t="s">
        <v>778</v>
      </c>
      <c r="N111" s="27"/>
      <c r="O111" s="27"/>
      <c r="P111" s="27" t="s">
        <v>976</v>
      </c>
      <c r="Q111" s="27" t="s">
        <v>556</v>
      </c>
      <c r="R111" s="27" t="s">
        <v>659</v>
      </c>
      <c r="S111" s="27"/>
      <c r="T111" s="27" t="s">
        <v>559</v>
      </c>
      <c r="U111" s="27" t="s">
        <v>1509</v>
      </c>
      <c r="V111" s="28">
        <v>46063.144528321762</v>
      </c>
      <c r="W111" s="27" t="s">
        <v>1573</v>
      </c>
      <c r="X111" s="27" t="s">
        <v>559</v>
      </c>
      <c r="Y111" s="27" t="s">
        <v>778</v>
      </c>
      <c r="Z111" s="28">
        <v>46064.099356979168</v>
      </c>
      <c r="AA111" s="27" t="s">
        <v>1574</v>
      </c>
      <c r="AB111" s="27" t="s">
        <v>559</v>
      </c>
      <c r="AC111" s="27" t="s">
        <v>571</v>
      </c>
      <c r="AD111" s="28">
        <v>46064.138634884257</v>
      </c>
      <c r="AE111" s="27" t="s">
        <v>1513</v>
      </c>
      <c r="AF111" s="27" t="s">
        <v>559</v>
      </c>
      <c r="AG111" s="27" t="s">
        <v>571</v>
      </c>
      <c r="AH111" s="28">
        <v>46069.355135138889</v>
      </c>
      <c r="AI111" s="27" t="s">
        <v>649</v>
      </c>
      <c r="AJ111" s="27" t="s">
        <v>1575</v>
      </c>
      <c r="AK111" s="27">
        <v>3215</v>
      </c>
      <c r="AL111" s="27" t="s">
        <v>107</v>
      </c>
      <c r="AM111" s="27" t="s">
        <v>1576</v>
      </c>
      <c r="AN111" s="27" t="s">
        <v>665</v>
      </c>
      <c r="AO111" s="27">
        <v>0</v>
      </c>
    </row>
    <row r="112" spans="1:41" hidden="1">
      <c r="A112" s="27" t="s">
        <v>1577</v>
      </c>
      <c r="B112" s="27" t="s">
        <v>1578</v>
      </c>
      <c r="C112" s="27" t="s">
        <v>1558</v>
      </c>
      <c r="D112" s="27" t="s">
        <v>548</v>
      </c>
      <c r="E112" s="27" t="s">
        <v>638</v>
      </c>
      <c r="F112" s="28">
        <v>46063.272692025464</v>
      </c>
      <c r="G112" s="28">
        <v>46072.209797569441</v>
      </c>
      <c r="H112" s="28">
        <v>46063.272692025464</v>
      </c>
      <c r="I112" s="27" t="s">
        <v>1559</v>
      </c>
      <c r="J112" s="27" t="s">
        <v>1560</v>
      </c>
      <c r="K112" s="27" t="s">
        <v>566</v>
      </c>
      <c r="L112" s="27"/>
      <c r="M112" s="27" t="s">
        <v>1561</v>
      </c>
      <c r="N112" s="27"/>
      <c r="O112" s="27"/>
      <c r="P112" s="27" t="s">
        <v>1562</v>
      </c>
      <c r="Q112" s="27" t="s">
        <v>623</v>
      </c>
      <c r="R112" s="27" t="s">
        <v>583</v>
      </c>
      <c r="S112" s="27"/>
      <c r="T112" s="27" t="s">
        <v>559</v>
      </c>
      <c r="U112" s="27" t="s">
        <v>1558</v>
      </c>
      <c r="V112" s="28">
        <v>46063.349373530094</v>
      </c>
      <c r="W112" s="27" t="s">
        <v>1579</v>
      </c>
      <c r="X112" s="27" t="s">
        <v>559</v>
      </c>
      <c r="Y112" s="27" t="s">
        <v>1561</v>
      </c>
      <c r="Z112" s="28">
        <v>46063.365147222219</v>
      </c>
      <c r="AA112" s="27" t="s">
        <v>1564</v>
      </c>
      <c r="AB112" s="27" t="s">
        <v>559</v>
      </c>
      <c r="AC112" s="27" t="s">
        <v>571</v>
      </c>
      <c r="AD112" s="28">
        <v>46064.129991261572</v>
      </c>
      <c r="AE112" s="27" t="s">
        <v>1580</v>
      </c>
      <c r="AF112" s="27" t="s">
        <v>559</v>
      </c>
      <c r="AG112" s="27" t="s">
        <v>683</v>
      </c>
      <c r="AH112" s="28">
        <v>46072.209797581017</v>
      </c>
      <c r="AI112" s="27" t="s">
        <v>684</v>
      </c>
      <c r="AJ112" s="27" t="s">
        <v>1567</v>
      </c>
      <c r="AK112" s="27">
        <v>1116</v>
      </c>
      <c r="AL112" s="27" t="s">
        <v>107</v>
      </c>
      <c r="AM112" s="27" t="s">
        <v>1581</v>
      </c>
      <c r="AN112" s="27" t="s">
        <v>710</v>
      </c>
      <c r="AO112" s="27">
        <v>30</v>
      </c>
    </row>
    <row r="113" spans="1:41" hidden="1">
      <c r="A113" s="27" t="s">
        <v>1582</v>
      </c>
      <c r="B113" s="27" t="s">
        <v>1583</v>
      </c>
      <c r="C113" s="27" t="s">
        <v>1584</v>
      </c>
      <c r="D113" s="27" t="s">
        <v>548</v>
      </c>
      <c r="E113" s="27" t="s">
        <v>668</v>
      </c>
      <c r="F113" s="28">
        <v>46064.067029918981</v>
      </c>
      <c r="G113" s="28">
        <v>46064.108763969911</v>
      </c>
      <c r="H113" s="28">
        <v>46064.070066342596</v>
      </c>
      <c r="I113" s="27" t="s">
        <v>1585</v>
      </c>
      <c r="J113" s="27" t="s">
        <v>1586</v>
      </c>
      <c r="K113" s="27" t="s">
        <v>566</v>
      </c>
      <c r="L113" s="27"/>
      <c r="M113" s="27" t="s">
        <v>1587</v>
      </c>
      <c r="N113" s="27"/>
      <c r="O113" s="27"/>
      <c r="P113" s="27" t="s">
        <v>1588</v>
      </c>
      <c r="Q113" s="27" t="s">
        <v>556</v>
      </c>
      <c r="R113" s="27" t="s">
        <v>583</v>
      </c>
      <c r="S113" s="27"/>
      <c r="T113" s="27" t="s">
        <v>559</v>
      </c>
      <c r="U113" s="27" t="s">
        <v>1584</v>
      </c>
      <c r="V113" s="28">
        <v>46064.10876398148</v>
      </c>
      <c r="W113" s="27" t="s">
        <v>1589</v>
      </c>
      <c r="X113" s="27"/>
      <c r="Y113" s="27" t="s">
        <v>1590</v>
      </c>
      <c r="Z113" s="28"/>
      <c r="AA113" s="27"/>
      <c r="AB113" s="27"/>
      <c r="AC113" s="27" t="s">
        <v>573</v>
      </c>
      <c r="AD113" s="28"/>
      <c r="AE113" s="27"/>
      <c r="AF113" s="27"/>
      <c r="AG113" s="27" t="s">
        <v>573</v>
      </c>
      <c r="AH113" s="28"/>
      <c r="AI113" s="27"/>
      <c r="AJ113" s="27" t="s">
        <v>1591</v>
      </c>
      <c r="AK113" s="27">
        <v>1892</v>
      </c>
      <c r="AL113" s="27"/>
      <c r="AM113" s="27"/>
      <c r="AN113" s="27" t="s">
        <v>710</v>
      </c>
      <c r="AO113" s="27"/>
    </row>
    <row r="114" spans="1:41" hidden="1">
      <c r="A114" s="27" t="s">
        <v>1592</v>
      </c>
      <c r="B114" s="27" t="s">
        <v>1593</v>
      </c>
      <c r="C114" s="27" t="s">
        <v>1584</v>
      </c>
      <c r="D114" s="27" t="s">
        <v>548</v>
      </c>
      <c r="E114" s="27" t="s">
        <v>578</v>
      </c>
      <c r="F114" s="28">
        <v>46065.268593993052</v>
      </c>
      <c r="G114" s="28">
        <v>46066.162372662038</v>
      </c>
      <c r="H114" s="28">
        <v>46065.400124120373</v>
      </c>
      <c r="I114" s="27" t="s">
        <v>1585</v>
      </c>
      <c r="J114" s="27" t="s">
        <v>1586</v>
      </c>
      <c r="K114" s="27" t="s">
        <v>566</v>
      </c>
      <c r="L114" s="27"/>
      <c r="M114" s="27" t="s">
        <v>1587</v>
      </c>
      <c r="N114" s="27"/>
      <c r="O114" s="27"/>
      <c r="P114" s="27" t="s">
        <v>1594</v>
      </c>
      <c r="Q114" s="27" t="s">
        <v>556</v>
      </c>
      <c r="R114" s="27" t="s">
        <v>583</v>
      </c>
      <c r="S114" s="27"/>
      <c r="T114" s="27" t="s">
        <v>549</v>
      </c>
      <c r="U114" s="27" t="s">
        <v>1584</v>
      </c>
      <c r="V114" s="28">
        <v>46066.162372673614</v>
      </c>
      <c r="W114" s="27"/>
      <c r="X114" s="27"/>
      <c r="Y114" s="27" t="s">
        <v>1590</v>
      </c>
      <c r="Z114" s="28"/>
      <c r="AA114" s="27"/>
      <c r="AB114" s="27"/>
      <c r="AC114" s="27" t="s">
        <v>573</v>
      </c>
      <c r="AD114" s="28"/>
      <c r="AE114" s="27"/>
      <c r="AF114" s="27"/>
      <c r="AG114" s="27" t="s">
        <v>573</v>
      </c>
      <c r="AH114" s="28"/>
      <c r="AI114" s="27"/>
      <c r="AJ114" s="27" t="s">
        <v>1591</v>
      </c>
      <c r="AK114" s="27">
        <v>1892</v>
      </c>
      <c r="AL114" s="27"/>
      <c r="AM114" s="27"/>
      <c r="AN114" s="27" t="s">
        <v>710</v>
      </c>
      <c r="AO114" s="27"/>
    </row>
    <row r="115" spans="1:41" hidden="1">
      <c r="A115" s="27" t="s">
        <v>1595</v>
      </c>
      <c r="B115" s="27" t="s">
        <v>1596</v>
      </c>
      <c r="C115" s="27" t="s">
        <v>1597</v>
      </c>
      <c r="D115" s="27" t="s">
        <v>548</v>
      </c>
      <c r="E115" s="27" t="s">
        <v>578</v>
      </c>
      <c r="F115" s="28">
        <v>46065.323012986111</v>
      </c>
      <c r="G115" s="28">
        <v>46113.122595324072</v>
      </c>
      <c r="H115" s="28">
        <v>46065.323012986111</v>
      </c>
      <c r="I115" s="27" t="s">
        <v>1598</v>
      </c>
      <c r="J115" s="27" t="s">
        <v>1599</v>
      </c>
      <c r="K115" s="27" t="s">
        <v>676</v>
      </c>
      <c r="L115" s="27" t="s">
        <v>1600</v>
      </c>
      <c r="M115" s="27" t="s">
        <v>1597</v>
      </c>
      <c r="N115" s="27" t="s">
        <v>1601</v>
      </c>
      <c r="O115" s="27" t="s">
        <v>1602</v>
      </c>
      <c r="P115" s="27" t="s">
        <v>1603</v>
      </c>
      <c r="Q115" s="27" t="s">
        <v>569</v>
      </c>
      <c r="R115" s="27" t="s">
        <v>659</v>
      </c>
      <c r="S115" s="27"/>
      <c r="T115" s="27" t="s">
        <v>549</v>
      </c>
      <c r="U115" s="27" t="s">
        <v>1597</v>
      </c>
      <c r="V115" s="28">
        <v>46113.122595335648</v>
      </c>
      <c r="W115" s="27"/>
      <c r="X115" s="27"/>
      <c r="Y115" s="27" t="s">
        <v>1597</v>
      </c>
      <c r="Z115" s="28"/>
      <c r="AA115" s="27"/>
      <c r="AB115" s="27"/>
      <c r="AC115" s="27" t="s">
        <v>573</v>
      </c>
      <c r="AD115" s="28"/>
      <c r="AE115" s="27"/>
      <c r="AF115" s="27"/>
      <c r="AG115" s="27" t="s">
        <v>108</v>
      </c>
      <c r="AH115" s="28"/>
      <c r="AI115" s="27"/>
      <c r="AJ115" s="27" t="s">
        <v>1604</v>
      </c>
      <c r="AK115" s="27" t="s">
        <v>1605</v>
      </c>
      <c r="AL115" s="27"/>
      <c r="AM115" s="27"/>
      <c r="AN115" s="27" t="s">
        <v>710</v>
      </c>
      <c r="AO115" s="27">
        <v>4</v>
      </c>
    </row>
    <row r="116" spans="1:41" hidden="1">
      <c r="A116" s="27" t="s">
        <v>1606</v>
      </c>
      <c r="B116" s="27" t="s">
        <v>1607</v>
      </c>
      <c r="C116" s="27" t="s">
        <v>1584</v>
      </c>
      <c r="D116" s="27" t="s">
        <v>548</v>
      </c>
      <c r="E116" s="27" t="s">
        <v>638</v>
      </c>
      <c r="F116" s="28">
        <v>46066.163363321757</v>
      </c>
      <c r="G116" s="28">
        <v>46084.32780146991</v>
      </c>
      <c r="H116" s="28">
        <v>46072.068206087963</v>
      </c>
      <c r="I116" s="27" t="s">
        <v>1585</v>
      </c>
      <c r="J116" s="27" t="s">
        <v>1586</v>
      </c>
      <c r="K116" s="27" t="s">
        <v>566</v>
      </c>
      <c r="L116" s="27"/>
      <c r="M116" s="27" t="s">
        <v>1587</v>
      </c>
      <c r="N116" s="27"/>
      <c r="O116" s="27"/>
      <c r="P116" s="27" t="s">
        <v>1594</v>
      </c>
      <c r="Q116" s="27" t="s">
        <v>556</v>
      </c>
      <c r="R116" s="27" t="s">
        <v>583</v>
      </c>
      <c r="S116" s="27"/>
      <c r="T116" s="27" t="s">
        <v>559</v>
      </c>
      <c r="U116" s="27" t="s">
        <v>1590</v>
      </c>
      <c r="V116" s="28">
        <v>46072.068803912036</v>
      </c>
      <c r="W116" s="27" t="s">
        <v>1608</v>
      </c>
      <c r="X116" s="27" t="s">
        <v>559</v>
      </c>
      <c r="Y116" s="27" t="s">
        <v>1590</v>
      </c>
      <c r="Z116" s="28">
        <v>46073.340155798614</v>
      </c>
      <c r="AA116" s="27" t="s">
        <v>1609</v>
      </c>
      <c r="AB116" s="27" t="s">
        <v>559</v>
      </c>
      <c r="AC116" s="27" t="s">
        <v>571</v>
      </c>
      <c r="AD116" s="28">
        <v>46075.998005312496</v>
      </c>
      <c r="AE116" s="27" t="s">
        <v>1610</v>
      </c>
      <c r="AF116" s="27" t="s">
        <v>559</v>
      </c>
      <c r="AG116" s="27" t="s">
        <v>571</v>
      </c>
      <c r="AH116" s="28">
        <v>46084.327801481479</v>
      </c>
      <c r="AI116" s="27" t="s">
        <v>649</v>
      </c>
      <c r="AJ116" s="27" t="s">
        <v>1591</v>
      </c>
      <c r="AK116" s="27">
        <v>1892</v>
      </c>
      <c r="AL116" s="27" t="s">
        <v>125</v>
      </c>
      <c r="AM116" s="27" t="s">
        <v>1611</v>
      </c>
      <c r="AN116" s="27" t="s">
        <v>710</v>
      </c>
      <c r="AO116" s="27"/>
    </row>
    <row r="117" spans="1:41" hidden="1">
      <c r="A117" s="27" t="s">
        <v>1612</v>
      </c>
      <c r="B117" s="27" t="s">
        <v>1613</v>
      </c>
      <c r="C117" s="27" t="s">
        <v>609</v>
      </c>
      <c r="D117" s="27" t="s">
        <v>548</v>
      </c>
      <c r="E117" s="27" t="s">
        <v>638</v>
      </c>
      <c r="F117" s="28">
        <v>46072.023874004626</v>
      </c>
      <c r="G117" s="28">
        <v>46093.129916724538</v>
      </c>
      <c r="H117" s="28">
        <v>46072.023874004626</v>
      </c>
      <c r="I117" s="27" t="s">
        <v>239</v>
      </c>
      <c r="J117" s="27" t="s">
        <v>242</v>
      </c>
      <c r="K117" s="27" t="s">
        <v>566</v>
      </c>
      <c r="L117" s="27"/>
      <c r="M117" s="27" t="s">
        <v>778</v>
      </c>
      <c r="N117" s="27"/>
      <c r="O117" s="27"/>
      <c r="P117" s="27" t="s">
        <v>1614</v>
      </c>
      <c r="Q117" s="27" t="s">
        <v>556</v>
      </c>
      <c r="R117" s="27" t="s">
        <v>583</v>
      </c>
      <c r="S117" s="27"/>
      <c r="T117" s="27" t="s">
        <v>559</v>
      </c>
      <c r="U117" s="27" t="s">
        <v>609</v>
      </c>
      <c r="V117" s="28">
        <v>46072.025722094906</v>
      </c>
      <c r="W117" s="27" t="s">
        <v>1615</v>
      </c>
      <c r="X117" s="27" t="s">
        <v>559</v>
      </c>
      <c r="Y117" s="27" t="s">
        <v>778</v>
      </c>
      <c r="Z117" s="28">
        <v>46072.054310254629</v>
      </c>
      <c r="AA117" s="27" t="s">
        <v>1616</v>
      </c>
      <c r="AB117" s="27" t="s">
        <v>559</v>
      </c>
      <c r="AC117" s="27" t="s">
        <v>609</v>
      </c>
      <c r="AD117" s="28">
        <v>46072.07371449074</v>
      </c>
      <c r="AE117" s="27" t="s">
        <v>1617</v>
      </c>
      <c r="AF117" s="27" t="s">
        <v>559</v>
      </c>
      <c r="AG117" s="27" t="s">
        <v>609</v>
      </c>
      <c r="AH117" s="28">
        <v>46093.129916724538</v>
      </c>
      <c r="AI117" s="27" t="s">
        <v>1618</v>
      </c>
      <c r="AJ117" s="27" t="s">
        <v>1619</v>
      </c>
      <c r="AK117" s="27">
        <v>2315</v>
      </c>
      <c r="AL117" s="27" t="s">
        <v>107</v>
      </c>
      <c r="AM117" s="27" t="s">
        <v>1620</v>
      </c>
      <c r="AN117" s="27" t="s">
        <v>665</v>
      </c>
      <c r="AO117" s="27">
        <v>0</v>
      </c>
    </row>
    <row r="118" spans="1:41" hidden="1">
      <c r="A118" s="27" t="s">
        <v>1621</v>
      </c>
      <c r="B118" s="27" t="s">
        <v>1622</v>
      </c>
      <c r="C118" s="27" t="s">
        <v>609</v>
      </c>
      <c r="D118" s="27" t="s">
        <v>548</v>
      </c>
      <c r="E118" s="27" t="s">
        <v>578</v>
      </c>
      <c r="F118" s="28">
        <v>46072.026405868055</v>
      </c>
      <c r="G118" s="28">
        <v>46072.027960092593</v>
      </c>
      <c r="H118" s="28">
        <v>46072.026405868055</v>
      </c>
      <c r="I118" s="27" t="s">
        <v>1623</v>
      </c>
      <c r="J118" s="27" t="s">
        <v>1624</v>
      </c>
      <c r="K118" s="27" t="s">
        <v>566</v>
      </c>
      <c r="L118" s="27"/>
      <c r="M118" s="27" t="s">
        <v>778</v>
      </c>
      <c r="N118" s="27"/>
      <c r="O118" s="27"/>
      <c r="P118" s="27" t="s">
        <v>1614</v>
      </c>
      <c r="Q118" s="27" t="s">
        <v>556</v>
      </c>
      <c r="R118" s="27" t="s">
        <v>583</v>
      </c>
      <c r="S118" s="27"/>
      <c r="T118" s="27" t="s">
        <v>549</v>
      </c>
      <c r="U118" s="27" t="s">
        <v>609</v>
      </c>
      <c r="V118" s="28">
        <v>46072.027960104169</v>
      </c>
      <c r="W118" s="27"/>
      <c r="X118" s="27"/>
      <c r="Y118" s="27" t="s">
        <v>778</v>
      </c>
      <c r="Z118" s="28"/>
      <c r="AA118" s="27"/>
      <c r="AB118" s="27"/>
      <c r="AC118" s="27" t="s">
        <v>573</v>
      </c>
      <c r="AD118" s="28"/>
      <c r="AE118" s="27"/>
      <c r="AF118" s="27"/>
      <c r="AG118" s="27" t="s">
        <v>108</v>
      </c>
      <c r="AH118" s="28"/>
      <c r="AI118" s="27"/>
      <c r="AJ118" s="27" t="s">
        <v>1625</v>
      </c>
      <c r="AK118" s="27" t="s">
        <v>1626</v>
      </c>
      <c r="AL118" s="27"/>
      <c r="AM118" s="27"/>
      <c r="AN118" s="27" t="s">
        <v>665</v>
      </c>
      <c r="AO118" s="27">
        <v>0</v>
      </c>
    </row>
    <row r="119" spans="1:41" hidden="1">
      <c r="A119" s="27" t="s">
        <v>1627</v>
      </c>
      <c r="B119" s="27" t="s">
        <v>1628</v>
      </c>
      <c r="C119" s="27" t="s">
        <v>1629</v>
      </c>
      <c r="D119" s="27" t="s">
        <v>548</v>
      </c>
      <c r="E119" s="27" t="s">
        <v>638</v>
      </c>
      <c r="F119" s="28">
        <v>46073.333101863427</v>
      </c>
      <c r="G119" s="28">
        <v>46090.088643425923</v>
      </c>
      <c r="H119" s="28">
        <v>46073.333101863427</v>
      </c>
      <c r="I119" s="27" t="s">
        <v>1630</v>
      </c>
      <c r="J119" s="27" t="s">
        <v>1631</v>
      </c>
      <c r="K119" s="27" t="s">
        <v>566</v>
      </c>
      <c r="L119" s="27"/>
      <c r="M119" s="27" t="s">
        <v>1632</v>
      </c>
      <c r="N119" s="27"/>
      <c r="O119" s="27"/>
      <c r="P119" s="27" t="s">
        <v>1633</v>
      </c>
      <c r="Q119" s="27" t="s">
        <v>569</v>
      </c>
      <c r="R119" s="27" t="s">
        <v>583</v>
      </c>
      <c r="S119" s="27"/>
      <c r="T119" s="27" t="s">
        <v>559</v>
      </c>
      <c r="U119" s="27" t="s">
        <v>1629</v>
      </c>
      <c r="V119" s="28">
        <v>46073.337573090277</v>
      </c>
      <c r="W119" s="27" t="s">
        <v>1634</v>
      </c>
      <c r="X119" s="27" t="s">
        <v>559</v>
      </c>
      <c r="Y119" s="27" t="s">
        <v>1635</v>
      </c>
      <c r="Z119" s="28">
        <v>46085.389639074077</v>
      </c>
      <c r="AA119" s="27" t="s">
        <v>867</v>
      </c>
      <c r="AB119" s="27" t="s">
        <v>559</v>
      </c>
      <c r="AC119" s="27" t="s">
        <v>571</v>
      </c>
      <c r="AD119" s="28">
        <v>46085.557812476851</v>
      </c>
      <c r="AE119" s="27" t="s">
        <v>1636</v>
      </c>
      <c r="AF119" s="27" t="s">
        <v>559</v>
      </c>
      <c r="AG119" s="27" t="s">
        <v>683</v>
      </c>
      <c r="AH119" s="28">
        <v>46090.088643425923</v>
      </c>
      <c r="AI119" s="27" t="s">
        <v>684</v>
      </c>
      <c r="AJ119" s="27" t="s">
        <v>1637</v>
      </c>
      <c r="AK119" s="27">
        <v>2536</v>
      </c>
      <c r="AL119" s="27" t="s">
        <v>107</v>
      </c>
      <c r="AM119" s="27" t="s">
        <v>1638</v>
      </c>
      <c r="AN119" s="27" t="s">
        <v>710</v>
      </c>
      <c r="AO119" s="27">
        <v>-365</v>
      </c>
    </row>
    <row r="120" spans="1:41" hidden="1">
      <c r="A120" s="27" t="s">
        <v>1639</v>
      </c>
      <c r="B120" s="27" t="s">
        <v>1640</v>
      </c>
      <c r="C120" s="27" t="s">
        <v>690</v>
      </c>
      <c r="D120" s="27" t="s">
        <v>548</v>
      </c>
      <c r="E120" s="27" t="s">
        <v>549</v>
      </c>
      <c r="F120" s="28">
        <v>46076.297517453706</v>
      </c>
      <c r="G120" s="28">
        <v>46140.133966400463</v>
      </c>
      <c r="H120" s="28">
        <v>46076.297517453706</v>
      </c>
      <c r="I120" s="27" t="s">
        <v>691</v>
      </c>
      <c r="J120" s="27" t="s">
        <v>1641</v>
      </c>
      <c r="K120" s="27" t="s">
        <v>566</v>
      </c>
      <c r="L120" s="27"/>
      <c r="M120" s="27" t="s">
        <v>624</v>
      </c>
      <c r="N120" s="27"/>
      <c r="O120" s="27"/>
      <c r="P120" s="27" t="s">
        <v>1642</v>
      </c>
      <c r="Q120" s="27" t="s">
        <v>556</v>
      </c>
      <c r="R120" s="27" t="s">
        <v>583</v>
      </c>
      <c r="S120" s="27"/>
      <c r="T120" s="27" t="s">
        <v>559</v>
      </c>
      <c r="U120" s="27" t="s">
        <v>690</v>
      </c>
      <c r="V120" s="28">
        <v>46076.299471828701</v>
      </c>
      <c r="W120" s="27" t="s">
        <v>1643</v>
      </c>
      <c r="X120" s="27" t="s">
        <v>559</v>
      </c>
      <c r="Y120" s="27" t="s">
        <v>624</v>
      </c>
      <c r="Z120" s="28">
        <v>46136.173802662037</v>
      </c>
      <c r="AA120" s="27" t="s">
        <v>559</v>
      </c>
      <c r="AB120" s="27" t="s">
        <v>559</v>
      </c>
      <c r="AC120" s="27" t="s">
        <v>624</v>
      </c>
      <c r="AD120" s="28">
        <v>46136.175208125002</v>
      </c>
      <c r="AE120" s="27" t="s">
        <v>559</v>
      </c>
      <c r="AF120" s="27" t="s">
        <v>549</v>
      </c>
      <c r="AG120" s="27" t="s">
        <v>571</v>
      </c>
      <c r="AH120" s="28">
        <v>46140.133966400463</v>
      </c>
      <c r="AI120" s="27" t="s">
        <v>1644</v>
      </c>
      <c r="AJ120" s="27" t="s">
        <v>695</v>
      </c>
      <c r="AK120" s="27">
        <v>3537</v>
      </c>
      <c r="AL120" s="27" t="s">
        <v>107</v>
      </c>
      <c r="AM120" s="27" t="s">
        <v>1645</v>
      </c>
      <c r="AN120" s="27" t="s">
        <v>665</v>
      </c>
      <c r="AO120" s="27">
        <v>0</v>
      </c>
    </row>
    <row r="121" spans="1:41" hidden="1">
      <c r="A121" s="27" t="s">
        <v>1646</v>
      </c>
      <c r="B121" s="27" t="s">
        <v>1647</v>
      </c>
      <c r="C121" s="27" t="s">
        <v>850</v>
      </c>
      <c r="D121" s="27" t="s">
        <v>548</v>
      </c>
      <c r="E121" s="27" t="s">
        <v>638</v>
      </c>
      <c r="F121" s="28">
        <v>46077.013224965274</v>
      </c>
      <c r="G121" s="28">
        <v>46079.220447951389</v>
      </c>
      <c r="H121" s="28">
        <v>46077.013224965274</v>
      </c>
      <c r="I121" s="27" t="s">
        <v>1648</v>
      </c>
      <c r="J121" s="27" t="s">
        <v>1649</v>
      </c>
      <c r="K121" s="27" t="s">
        <v>566</v>
      </c>
      <c r="L121" s="27"/>
      <c r="M121" s="27" t="s">
        <v>1454</v>
      </c>
      <c r="N121" s="27"/>
      <c r="O121" s="27"/>
      <c r="P121" s="27" t="s">
        <v>976</v>
      </c>
      <c r="Q121" s="27" t="s">
        <v>556</v>
      </c>
      <c r="R121" s="27" t="s">
        <v>659</v>
      </c>
      <c r="S121" s="27"/>
      <c r="T121" s="27" t="s">
        <v>559</v>
      </c>
      <c r="U121" s="27" t="s">
        <v>850</v>
      </c>
      <c r="V121" s="28">
        <v>46077.014587824073</v>
      </c>
      <c r="W121" s="27" t="s">
        <v>976</v>
      </c>
      <c r="X121" s="27" t="s">
        <v>559</v>
      </c>
      <c r="Y121" s="27" t="s">
        <v>778</v>
      </c>
      <c r="Z121" s="28">
        <v>46077.045545891204</v>
      </c>
      <c r="AA121" s="27" t="s">
        <v>1650</v>
      </c>
      <c r="AB121" s="27" t="s">
        <v>559</v>
      </c>
      <c r="AC121" s="27" t="s">
        <v>571</v>
      </c>
      <c r="AD121" s="28">
        <v>46077.11887648148</v>
      </c>
      <c r="AE121" s="27" t="s">
        <v>867</v>
      </c>
      <c r="AF121" s="27" t="s">
        <v>559</v>
      </c>
      <c r="AG121" s="27" t="s">
        <v>571</v>
      </c>
      <c r="AH121" s="28">
        <v>46079.220447962965</v>
      </c>
      <c r="AI121" s="27" t="s">
        <v>649</v>
      </c>
      <c r="AJ121" s="27" t="s">
        <v>1651</v>
      </c>
      <c r="AK121" s="27" t="s">
        <v>1652</v>
      </c>
      <c r="AL121" s="27" t="s">
        <v>107</v>
      </c>
      <c r="AM121" s="27" t="s">
        <v>1653</v>
      </c>
      <c r="AN121" s="27" t="s">
        <v>665</v>
      </c>
      <c r="AO121" s="27">
        <v>0</v>
      </c>
    </row>
    <row r="122" spans="1:41" hidden="1">
      <c r="A122" s="27" t="s">
        <v>1654</v>
      </c>
      <c r="B122" s="27" t="s">
        <v>1655</v>
      </c>
      <c r="C122" s="27" t="s">
        <v>850</v>
      </c>
      <c r="D122" s="27" t="s">
        <v>548</v>
      </c>
      <c r="E122" s="27" t="s">
        <v>638</v>
      </c>
      <c r="F122" s="28">
        <v>46077.015399618052</v>
      </c>
      <c r="G122" s="28">
        <v>46079.220871481484</v>
      </c>
      <c r="H122" s="28">
        <v>46077.015399618052</v>
      </c>
      <c r="I122" s="27" t="s">
        <v>1648</v>
      </c>
      <c r="J122" s="27" t="s">
        <v>1656</v>
      </c>
      <c r="K122" s="27" t="s">
        <v>566</v>
      </c>
      <c r="L122" s="27"/>
      <c r="M122" s="27" t="s">
        <v>1454</v>
      </c>
      <c r="N122" s="27"/>
      <c r="O122" s="27"/>
      <c r="P122" s="27" t="s">
        <v>976</v>
      </c>
      <c r="Q122" s="27" t="s">
        <v>556</v>
      </c>
      <c r="R122" s="27" t="s">
        <v>659</v>
      </c>
      <c r="S122" s="27"/>
      <c r="T122" s="27" t="s">
        <v>559</v>
      </c>
      <c r="U122" s="27" t="s">
        <v>850</v>
      </c>
      <c r="V122" s="28">
        <v>46077.020187349539</v>
      </c>
      <c r="W122" s="27" t="s">
        <v>976</v>
      </c>
      <c r="X122" s="27" t="s">
        <v>559</v>
      </c>
      <c r="Y122" s="27" t="s">
        <v>778</v>
      </c>
      <c r="Z122" s="28">
        <v>46077.046242708333</v>
      </c>
      <c r="AA122" s="27" t="s">
        <v>1650</v>
      </c>
      <c r="AB122" s="27" t="s">
        <v>559</v>
      </c>
      <c r="AC122" s="27" t="s">
        <v>571</v>
      </c>
      <c r="AD122" s="28">
        <v>46077.11910866898</v>
      </c>
      <c r="AE122" s="27" t="s">
        <v>867</v>
      </c>
      <c r="AF122" s="27" t="s">
        <v>559</v>
      </c>
      <c r="AG122" s="27" t="s">
        <v>571</v>
      </c>
      <c r="AH122" s="28">
        <v>46079.220871481484</v>
      </c>
      <c r="AI122" s="27" t="s">
        <v>649</v>
      </c>
      <c r="AJ122" s="27" t="s">
        <v>1651</v>
      </c>
      <c r="AK122" s="27" t="s">
        <v>1657</v>
      </c>
      <c r="AL122" s="27" t="s">
        <v>107</v>
      </c>
      <c r="AM122" s="27" t="s">
        <v>1658</v>
      </c>
      <c r="AN122" s="27" t="s">
        <v>665</v>
      </c>
      <c r="AO122" s="27">
        <v>0</v>
      </c>
    </row>
    <row r="123" spans="1:41" hidden="1">
      <c r="A123" s="27" t="s">
        <v>1659</v>
      </c>
      <c r="B123" s="27" t="s">
        <v>1660</v>
      </c>
      <c r="C123" s="27" t="s">
        <v>850</v>
      </c>
      <c r="D123" s="27" t="s">
        <v>548</v>
      </c>
      <c r="E123" s="27" t="s">
        <v>638</v>
      </c>
      <c r="F123" s="28">
        <v>46077.032693506946</v>
      </c>
      <c r="G123" s="28">
        <v>46080.060581261576</v>
      </c>
      <c r="H123" s="28">
        <v>46077.032693506946</v>
      </c>
      <c r="I123" s="27" t="s">
        <v>1661</v>
      </c>
      <c r="J123" s="27" t="s">
        <v>1662</v>
      </c>
      <c r="K123" s="27" t="s">
        <v>566</v>
      </c>
      <c r="L123" s="27"/>
      <c r="M123" s="27" t="s">
        <v>1454</v>
      </c>
      <c r="N123" s="27"/>
      <c r="O123" s="27"/>
      <c r="P123" s="27" t="s">
        <v>976</v>
      </c>
      <c r="Q123" s="27" t="s">
        <v>556</v>
      </c>
      <c r="R123" s="27" t="s">
        <v>659</v>
      </c>
      <c r="S123" s="27"/>
      <c r="T123" s="27" t="s">
        <v>559</v>
      </c>
      <c r="U123" s="27" t="s">
        <v>850</v>
      </c>
      <c r="V123" s="28">
        <v>46077.034350624999</v>
      </c>
      <c r="W123" s="27" t="s">
        <v>976</v>
      </c>
      <c r="X123" s="27" t="s">
        <v>559</v>
      </c>
      <c r="Y123" s="27" t="s">
        <v>778</v>
      </c>
      <c r="Z123" s="28">
        <v>46077.048200509256</v>
      </c>
      <c r="AA123" s="27" t="s">
        <v>1650</v>
      </c>
      <c r="AB123" s="27" t="s">
        <v>559</v>
      </c>
      <c r="AC123" s="27" t="s">
        <v>571</v>
      </c>
      <c r="AD123" s="28">
        <v>46077.123821944442</v>
      </c>
      <c r="AE123" s="27" t="s">
        <v>867</v>
      </c>
      <c r="AF123" s="27" t="s">
        <v>559</v>
      </c>
      <c r="AG123" s="27" t="s">
        <v>571</v>
      </c>
      <c r="AH123" s="28">
        <v>46080.060581273145</v>
      </c>
      <c r="AI123" s="27" t="s">
        <v>649</v>
      </c>
      <c r="AJ123" s="27" t="s">
        <v>1663</v>
      </c>
      <c r="AK123" s="27" t="s">
        <v>1664</v>
      </c>
      <c r="AL123" s="27" t="s">
        <v>107</v>
      </c>
      <c r="AM123" s="27" t="s">
        <v>1665</v>
      </c>
      <c r="AN123" s="27" t="s">
        <v>665</v>
      </c>
      <c r="AO123" s="27">
        <v>0</v>
      </c>
    </row>
    <row r="124" spans="1:41" hidden="1">
      <c r="A124" s="27" t="s">
        <v>1666</v>
      </c>
      <c r="B124" s="27" t="s">
        <v>1667</v>
      </c>
      <c r="C124" s="27" t="s">
        <v>850</v>
      </c>
      <c r="D124" s="27" t="s">
        <v>548</v>
      </c>
      <c r="E124" s="27" t="s">
        <v>638</v>
      </c>
      <c r="F124" s="28">
        <v>46077.036555486113</v>
      </c>
      <c r="G124" s="28">
        <v>46080.060424687501</v>
      </c>
      <c r="H124" s="28">
        <v>46077.036555486113</v>
      </c>
      <c r="I124" s="27" t="s">
        <v>1661</v>
      </c>
      <c r="J124" s="27" t="s">
        <v>1662</v>
      </c>
      <c r="K124" s="27" t="s">
        <v>566</v>
      </c>
      <c r="L124" s="27"/>
      <c r="M124" s="27" t="s">
        <v>1454</v>
      </c>
      <c r="N124" s="27"/>
      <c r="O124" s="27"/>
      <c r="P124" s="27" t="s">
        <v>976</v>
      </c>
      <c r="Q124" s="27" t="s">
        <v>556</v>
      </c>
      <c r="R124" s="27" t="s">
        <v>659</v>
      </c>
      <c r="S124" s="27"/>
      <c r="T124" s="27" t="s">
        <v>559</v>
      </c>
      <c r="U124" s="27" t="s">
        <v>850</v>
      </c>
      <c r="V124" s="28">
        <v>46077.03686375</v>
      </c>
      <c r="W124" s="27" t="s">
        <v>976</v>
      </c>
      <c r="X124" s="27" t="s">
        <v>559</v>
      </c>
      <c r="Y124" s="27" t="s">
        <v>778</v>
      </c>
      <c r="Z124" s="28">
        <v>46077.04647238426</v>
      </c>
      <c r="AA124" s="27" t="s">
        <v>1650</v>
      </c>
      <c r="AB124" s="27" t="s">
        <v>559</v>
      </c>
      <c r="AC124" s="27" t="s">
        <v>571</v>
      </c>
      <c r="AD124" s="28">
        <v>46077.123501539354</v>
      </c>
      <c r="AE124" s="27" t="s">
        <v>867</v>
      </c>
      <c r="AF124" s="27" t="s">
        <v>559</v>
      </c>
      <c r="AG124" s="27" t="s">
        <v>571</v>
      </c>
      <c r="AH124" s="28">
        <v>46080.060424699077</v>
      </c>
      <c r="AI124" s="27" t="s">
        <v>649</v>
      </c>
      <c r="AJ124" s="27" t="s">
        <v>1663</v>
      </c>
      <c r="AK124" s="27" t="s">
        <v>1668</v>
      </c>
      <c r="AL124" s="27" t="s">
        <v>107</v>
      </c>
      <c r="AM124" s="27" t="s">
        <v>1669</v>
      </c>
      <c r="AN124" s="27" t="s">
        <v>665</v>
      </c>
      <c r="AO124" s="27">
        <v>0</v>
      </c>
    </row>
    <row r="125" spans="1:41" hidden="1">
      <c r="A125" s="27" t="s">
        <v>1670</v>
      </c>
      <c r="B125" s="27" t="s">
        <v>1671</v>
      </c>
      <c r="C125" s="27" t="s">
        <v>1672</v>
      </c>
      <c r="D125" s="27" t="s">
        <v>548</v>
      </c>
      <c r="E125" s="27" t="s">
        <v>638</v>
      </c>
      <c r="F125" s="28">
        <v>46077.057102685183</v>
      </c>
      <c r="G125" s="28">
        <v>46083.133721203703</v>
      </c>
      <c r="H125" s="28">
        <v>46077.057102685183</v>
      </c>
      <c r="I125" s="27" t="s">
        <v>1673</v>
      </c>
      <c r="J125" s="27" t="s">
        <v>1674</v>
      </c>
      <c r="K125" s="27" t="s">
        <v>566</v>
      </c>
      <c r="L125" s="27" t="s">
        <v>839</v>
      </c>
      <c r="M125" s="27" t="s">
        <v>1454</v>
      </c>
      <c r="N125" s="27"/>
      <c r="O125" s="27"/>
      <c r="P125" s="27" t="s">
        <v>976</v>
      </c>
      <c r="Q125" s="27" t="s">
        <v>556</v>
      </c>
      <c r="R125" s="27" t="s">
        <v>659</v>
      </c>
      <c r="S125" s="27"/>
      <c r="T125" s="27" t="s">
        <v>559</v>
      </c>
      <c r="U125" s="27" t="s">
        <v>1672</v>
      </c>
      <c r="V125" s="28">
        <v>46077.061458379627</v>
      </c>
      <c r="W125" s="27" t="s">
        <v>976</v>
      </c>
      <c r="X125" s="27" t="s">
        <v>559</v>
      </c>
      <c r="Y125" s="27" t="s">
        <v>778</v>
      </c>
      <c r="Z125" s="28">
        <v>46077.091268414355</v>
      </c>
      <c r="AA125" s="27" t="s">
        <v>1650</v>
      </c>
      <c r="AB125" s="27" t="s">
        <v>559</v>
      </c>
      <c r="AC125" s="27" t="s">
        <v>571</v>
      </c>
      <c r="AD125" s="28">
        <v>46077.133161296297</v>
      </c>
      <c r="AE125" s="27" t="s">
        <v>867</v>
      </c>
      <c r="AF125" s="27" t="s">
        <v>559</v>
      </c>
      <c r="AG125" s="27" t="s">
        <v>571</v>
      </c>
      <c r="AH125" s="28">
        <v>46083.133721203703</v>
      </c>
      <c r="AI125" s="27" t="s">
        <v>649</v>
      </c>
      <c r="AJ125" s="27" t="s">
        <v>1675</v>
      </c>
      <c r="AK125" s="27">
        <v>3991</v>
      </c>
      <c r="AL125" s="27" t="s">
        <v>107</v>
      </c>
      <c r="AM125" s="27" t="s">
        <v>1676</v>
      </c>
      <c r="AN125" s="27" t="s">
        <v>665</v>
      </c>
      <c r="AO125" s="27">
        <v>0</v>
      </c>
    </row>
    <row r="126" spans="1:41" hidden="1">
      <c r="A126" s="27" t="s">
        <v>1677</v>
      </c>
      <c r="B126" s="27" t="s">
        <v>1678</v>
      </c>
      <c r="C126" s="27" t="s">
        <v>1679</v>
      </c>
      <c r="D126" s="27" t="s">
        <v>548</v>
      </c>
      <c r="E126" s="27" t="s">
        <v>638</v>
      </c>
      <c r="F126" s="28">
        <v>46077.059507280093</v>
      </c>
      <c r="G126" s="28">
        <v>46079.135138495367</v>
      </c>
      <c r="H126" s="28">
        <v>46077.059507280093</v>
      </c>
      <c r="I126" s="27" t="s">
        <v>1680</v>
      </c>
      <c r="J126" s="27" t="s">
        <v>1681</v>
      </c>
      <c r="K126" s="27" t="s">
        <v>566</v>
      </c>
      <c r="L126" s="27"/>
      <c r="M126" s="27" t="s">
        <v>778</v>
      </c>
      <c r="N126" s="27"/>
      <c r="O126" s="27"/>
      <c r="P126" s="27" t="s">
        <v>976</v>
      </c>
      <c r="Q126" s="27" t="s">
        <v>556</v>
      </c>
      <c r="R126" s="27" t="s">
        <v>659</v>
      </c>
      <c r="S126" s="27"/>
      <c r="T126" s="27" t="s">
        <v>559</v>
      </c>
      <c r="U126" s="27" t="s">
        <v>1679</v>
      </c>
      <c r="V126" s="28">
        <v>46077.060089699073</v>
      </c>
      <c r="W126" s="27" t="s">
        <v>1682</v>
      </c>
      <c r="X126" s="27" t="s">
        <v>559</v>
      </c>
      <c r="Y126" s="27" t="s">
        <v>778</v>
      </c>
      <c r="Z126" s="28">
        <v>46077.090879421296</v>
      </c>
      <c r="AA126" s="27" t="s">
        <v>1650</v>
      </c>
      <c r="AB126" s="27" t="s">
        <v>559</v>
      </c>
      <c r="AC126" s="27" t="s">
        <v>571</v>
      </c>
      <c r="AD126" s="28">
        <v>46077.132980486109</v>
      </c>
      <c r="AE126" s="27" t="s">
        <v>867</v>
      </c>
      <c r="AF126" s="27" t="s">
        <v>559</v>
      </c>
      <c r="AG126" s="27" t="s">
        <v>571</v>
      </c>
      <c r="AH126" s="28">
        <v>46079.135138495367</v>
      </c>
      <c r="AI126" s="27" t="s">
        <v>649</v>
      </c>
      <c r="AJ126" s="27" t="s">
        <v>1683</v>
      </c>
      <c r="AK126" s="27" t="s">
        <v>1684</v>
      </c>
      <c r="AL126" s="27" t="s">
        <v>107</v>
      </c>
      <c r="AM126" s="27" t="s">
        <v>1685</v>
      </c>
      <c r="AN126" s="27" t="s">
        <v>665</v>
      </c>
      <c r="AO126" s="27">
        <v>0</v>
      </c>
    </row>
    <row r="127" spans="1:41" hidden="1">
      <c r="A127" s="27" t="s">
        <v>1686</v>
      </c>
      <c r="B127" s="27" t="s">
        <v>1687</v>
      </c>
      <c r="C127" s="27" t="s">
        <v>887</v>
      </c>
      <c r="D127" s="27" t="s">
        <v>548</v>
      </c>
      <c r="E127" s="27" t="s">
        <v>638</v>
      </c>
      <c r="F127" s="28">
        <v>46078.056057905094</v>
      </c>
      <c r="G127" s="28">
        <v>46083.374648634257</v>
      </c>
      <c r="H127" s="28">
        <v>46078.056057905094</v>
      </c>
      <c r="I127" s="27" t="s">
        <v>888</v>
      </c>
      <c r="J127" s="27" t="s">
        <v>889</v>
      </c>
      <c r="K127" s="27" t="s">
        <v>566</v>
      </c>
      <c r="L127" s="27"/>
      <c r="M127" s="27" t="s">
        <v>890</v>
      </c>
      <c r="N127" s="27" t="s">
        <v>552</v>
      </c>
      <c r="O127" s="27"/>
      <c r="P127" s="27" t="s">
        <v>1688</v>
      </c>
      <c r="Q127" s="27" t="s">
        <v>556</v>
      </c>
      <c r="R127" s="27" t="s">
        <v>659</v>
      </c>
      <c r="S127" s="27"/>
      <c r="T127" s="27" t="s">
        <v>559</v>
      </c>
      <c r="U127" s="27" t="s">
        <v>887</v>
      </c>
      <c r="V127" s="28">
        <v>46078.071023668985</v>
      </c>
      <c r="W127" s="27" t="s">
        <v>1689</v>
      </c>
      <c r="X127" s="27" t="s">
        <v>559</v>
      </c>
      <c r="Y127" s="27" t="s">
        <v>893</v>
      </c>
      <c r="Z127" s="28">
        <v>46078.249613854168</v>
      </c>
      <c r="AA127" s="27" t="s">
        <v>1300</v>
      </c>
      <c r="AB127" s="27" t="s">
        <v>559</v>
      </c>
      <c r="AC127" s="27" t="s">
        <v>571</v>
      </c>
      <c r="AD127" s="28">
        <v>46079.046590729165</v>
      </c>
      <c r="AE127" s="27" t="s">
        <v>895</v>
      </c>
      <c r="AF127" s="27" t="s">
        <v>559</v>
      </c>
      <c r="AG127" s="27" t="s">
        <v>683</v>
      </c>
      <c r="AH127" s="28">
        <v>46083.374648634257</v>
      </c>
      <c r="AI127" s="27" t="s">
        <v>684</v>
      </c>
      <c r="AJ127" s="27" t="s">
        <v>896</v>
      </c>
      <c r="AK127" s="27" t="s">
        <v>897</v>
      </c>
      <c r="AL127" s="27" t="s">
        <v>125</v>
      </c>
      <c r="AM127" s="27" t="s">
        <v>1690</v>
      </c>
      <c r="AN127" s="27" t="s">
        <v>710</v>
      </c>
      <c r="AO127" s="27">
        <v>14</v>
      </c>
    </row>
    <row r="128" spans="1:41" hidden="1">
      <c r="A128" s="27" t="s">
        <v>1691</v>
      </c>
      <c r="B128" s="27" t="s">
        <v>1692</v>
      </c>
      <c r="C128" s="27" t="s">
        <v>1693</v>
      </c>
      <c r="D128" s="27" t="s">
        <v>548</v>
      </c>
      <c r="E128" s="27" t="s">
        <v>638</v>
      </c>
      <c r="F128" s="28">
        <v>46078.057535624997</v>
      </c>
      <c r="G128" s="28">
        <v>46092.399963553238</v>
      </c>
      <c r="H128" s="28">
        <v>46078.057535624997</v>
      </c>
      <c r="I128" s="27" t="s">
        <v>1694</v>
      </c>
      <c r="J128" s="27" t="s">
        <v>1695</v>
      </c>
      <c r="K128" s="27" t="s">
        <v>566</v>
      </c>
      <c r="L128" s="27"/>
      <c r="M128" s="27" t="s">
        <v>1696</v>
      </c>
      <c r="N128" s="27"/>
      <c r="O128" s="27"/>
      <c r="P128" s="27" t="s">
        <v>1697</v>
      </c>
      <c r="Q128" s="27" t="s">
        <v>556</v>
      </c>
      <c r="R128" s="27" t="s">
        <v>583</v>
      </c>
      <c r="S128" s="27"/>
      <c r="T128" s="27" t="s">
        <v>559</v>
      </c>
      <c r="U128" s="27" t="s">
        <v>1693</v>
      </c>
      <c r="V128" s="28">
        <v>46078.058501053238</v>
      </c>
      <c r="W128" s="27" t="s">
        <v>1698</v>
      </c>
      <c r="X128" s="27" t="s">
        <v>559</v>
      </c>
      <c r="Y128" s="27" t="s">
        <v>1699</v>
      </c>
      <c r="Z128" s="28">
        <v>46078.136091400462</v>
      </c>
      <c r="AA128" s="27" t="s">
        <v>1700</v>
      </c>
      <c r="AB128" s="27" t="s">
        <v>559</v>
      </c>
      <c r="AC128" s="27" t="s">
        <v>571</v>
      </c>
      <c r="AD128" s="28">
        <v>46079.041961041665</v>
      </c>
      <c r="AE128" s="27" t="s">
        <v>1701</v>
      </c>
      <c r="AF128" s="27" t="s">
        <v>559</v>
      </c>
      <c r="AG128" s="27" t="s">
        <v>796</v>
      </c>
      <c r="AH128" s="28">
        <v>46092.399963564814</v>
      </c>
      <c r="AI128" s="27" t="s">
        <v>638</v>
      </c>
      <c r="AJ128" s="27" t="s">
        <v>1702</v>
      </c>
      <c r="AK128" s="27" t="s">
        <v>1703</v>
      </c>
      <c r="AL128" s="27" t="s">
        <v>116</v>
      </c>
      <c r="AM128" s="27" t="s">
        <v>1704</v>
      </c>
      <c r="AN128" s="27" t="s">
        <v>665</v>
      </c>
      <c r="AO128" s="27">
        <v>0</v>
      </c>
    </row>
    <row r="129" spans="1:41" hidden="1">
      <c r="A129" s="27" t="s">
        <v>1705</v>
      </c>
      <c r="B129" s="27" t="s">
        <v>1706</v>
      </c>
      <c r="C129" s="27" t="s">
        <v>1707</v>
      </c>
      <c r="D129" s="27" t="s">
        <v>548</v>
      </c>
      <c r="E129" s="27" t="s">
        <v>638</v>
      </c>
      <c r="F129" s="28">
        <v>46078.165809270831</v>
      </c>
      <c r="G129" s="28">
        <v>46092.400608912038</v>
      </c>
      <c r="H129" s="28">
        <v>46078.165809282407</v>
      </c>
      <c r="I129" s="27" t="s">
        <v>1708</v>
      </c>
      <c r="J129" s="27" t="s">
        <v>1709</v>
      </c>
      <c r="K129" s="27" t="s">
        <v>566</v>
      </c>
      <c r="L129" s="27"/>
      <c r="M129" s="27" t="s">
        <v>890</v>
      </c>
      <c r="N129" s="27"/>
      <c r="O129" s="27"/>
      <c r="P129" s="27" t="s">
        <v>1710</v>
      </c>
      <c r="Q129" s="27" t="s">
        <v>556</v>
      </c>
      <c r="R129" s="27" t="s">
        <v>583</v>
      </c>
      <c r="S129" s="27"/>
      <c r="T129" s="27" t="s">
        <v>559</v>
      </c>
      <c r="U129" s="27" t="s">
        <v>1707</v>
      </c>
      <c r="V129" s="28">
        <v>46078.201655636571</v>
      </c>
      <c r="W129" s="27" t="s">
        <v>1711</v>
      </c>
      <c r="X129" s="27" t="s">
        <v>559</v>
      </c>
      <c r="Y129" s="27" t="s">
        <v>893</v>
      </c>
      <c r="Z129" s="28">
        <v>46078.250787650461</v>
      </c>
      <c r="AA129" s="27" t="s">
        <v>1300</v>
      </c>
      <c r="AB129" s="27" t="s">
        <v>559</v>
      </c>
      <c r="AC129" s="27" t="s">
        <v>571</v>
      </c>
      <c r="AD129" s="28">
        <v>46079.047367210645</v>
      </c>
      <c r="AE129" s="27" t="s">
        <v>895</v>
      </c>
      <c r="AF129" s="27" t="s">
        <v>559</v>
      </c>
      <c r="AG129" s="27" t="s">
        <v>796</v>
      </c>
      <c r="AH129" s="28">
        <v>46092.400608923614</v>
      </c>
      <c r="AI129" s="27" t="s">
        <v>1712</v>
      </c>
      <c r="AJ129" s="27" t="s">
        <v>1713</v>
      </c>
      <c r="AK129" s="27" t="s">
        <v>1714</v>
      </c>
      <c r="AL129" s="27" t="s">
        <v>107</v>
      </c>
      <c r="AM129" s="27" t="s">
        <v>1715</v>
      </c>
      <c r="AN129" s="27" t="s">
        <v>665</v>
      </c>
      <c r="AO129" s="27">
        <v>0</v>
      </c>
    </row>
    <row r="130" spans="1:41" hidden="1">
      <c r="A130" s="27" t="s">
        <v>1716</v>
      </c>
      <c r="B130" s="27" t="s">
        <v>1717</v>
      </c>
      <c r="C130" s="27" t="s">
        <v>1718</v>
      </c>
      <c r="D130" s="27" t="s">
        <v>548</v>
      </c>
      <c r="E130" s="27" t="s">
        <v>638</v>
      </c>
      <c r="F130" s="28">
        <v>46079.344740868059</v>
      </c>
      <c r="G130" s="28">
        <v>46093.271410127316</v>
      </c>
      <c r="H130" s="28">
        <v>46080.088985000002</v>
      </c>
      <c r="I130" s="27" t="s">
        <v>1719</v>
      </c>
      <c r="J130" s="27" t="s">
        <v>1720</v>
      </c>
      <c r="K130" s="27" t="s">
        <v>676</v>
      </c>
      <c r="L130" s="27" t="s">
        <v>1721</v>
      </c>
      <c r="M130" s="27" t="s">
        <v>1722</v>
      </c>
      <c r="N130" s="27" t="s">
        <v>1723</v>
      </c>
      <c r="O130" s="27"/>
      <c r="P130" s="27" t="s">
        <v>1724</v>
      </c>
      <c r="Q130" s="27" t="s">
        <v>556</v>
      </c>
      <c r="R130" s="27" t="s">
        <v>583</v>
      </c>
      <c r="S130" s="27"/>
      <c r="T130" s="27" t="s">
        <v>559</v>
      </c>
      <c r="U130" s="27" t="s">
        <v>1718</v>
      </c>
      <c r="V130" s="28">
        <v>46080.112799016206</v>
      </c>
      <c r="W130" s="27" t="s">
        <v>1725</v>
      </c>
      <c r="X130" s="27" t="s">
        <v>559</v>
      </c>
      <c r="Y130" s="27" t="s">
        <v>1726</v>
      </c>
      <c r="Z130" s="28">
        <v>46084.262055729167</v>
      </c>
      <c r="AA130" s="27" t="s">
        <v>1727</v>
      </c>
      <c r="AB130" s="27" t="s">
        <v>559</v>
      </c>
      <c r="AC130" s="27" t="s">
        <v>571</v>
      </c>
      <c r="AD130" s="28">
        <v>46090.003984212963</v>
      </c>
      <c r="AE130" s="27" t="s">
        <v>1728</v>
      </c>
      <c r="AF130" s="27" t="s">
        <v>559</v>
      </c>
      <c r="AG130" s="27" t="s">
        <v>571</v>
      </c>
      <c r="AH130" s="28">
        <v>46093.271410138892</v>
      </c>
      <c r="AI130" s="27" t="s">
        <v>649</v>
      </c>
      <c r="AJ130" s="27" t="s">
        <v>1729</v>
      </c>
      <c r="AK130" s="27" t="s">
        <v>1730</v>
      </c>
      <c r="AL130" s="27" t="s">
        <v>125</v>
      </c>
      <c r="AM130" s="27" t="s">
        <v>1731</v>
      </c>
      <c r="AN130" s="27" t="s">
        <v>665</v>
      </c>
      <c r="AO130" s="27">
        <v>0</v>
      </c>
    </row>
    <row r="131" spans="1:41" hidden="1">
      <c r="A131" s="27" t="s">
        <v>1732</v>
      </c>
      <c r="B131" s="27" t="s">
        <v>1733</v>
      </c>
      <c r="C131" s="27" t="s">
        <v>1734</v>
      </c>
      <c r="D131" s="27" t="s">
        <v>548</v>
      </c>
      <c r="E131" s="27" t="s">
        <v>638</v>
      </c>
      <c r="F131" s="28">
        <v>46080.173277094909</v>
      </c>
      <c r="G131" s="28">
        <v>46092.206417094909</v>
      </c>
      <c r="H131" s="28">
        <v>46080.173277094909</v>
      </c>
      <c r="I131" s="27" t="s">
        <v>128</v>
      </c>
      <c r="J131" s="27" t="s">
        <v>129</v>
      </c>
      <c r="K131" s="27" t="s">
        <v>566</v>
      </c>
      <c r="L131" s="27"/>
      <c r="M131" s="27" t="s">
        <v>1735</v>
      </c>
      <c r="N131" s="27"/>
      <c r="O131" s="27"/>
      <c r="P131" s="27" t="s">
        <v>1736</v>
      </c>
      <c r="Q131" s="27" t="s">
        <v>556</v>
      </c>
      <c r="R131" s="27" t="s">
        <v>557</v>
      </c>
      <c r="S131" s="27"/>
      <c r="T131" s="27" t="s">
        <v>559</v>
      </c>
      <c r="U131" s="27" t="s">
        <v>1734</v>
      </c>
      <c r="V131" s="28">
        <v>46080.189027083332</v>
      </c>
      <c r="W131" s="27" t="s">
        <v>1737</v>
      </c>
      <c r="X131" s="27" t="s">
        <v>559</v>
      </c>
      <c r="Y131" s="27" t="s">
        <v>1735</v>
      </c>
      <c r="Z131" s="28">
        <v>46080.275519884257</v>
      </c>
      <c r="AA131" s="27" t="s">
        <v>559</v>
      </c>
      <c r="AB131" s="27" t="s">
        <v>559</v>
      </c>
      <c r="AC131" s="27" t="s">
        <v>571</v>
      </c>
      <c r="AD131" s="28">
        <v>46083.161482905096</v>
      </c>
      <c r="AE131" s="27" t="s">
        <v>1738</v>
      </c>
      <c r="AF131" s="27" t="s">
        <v>559</v>
      </c>
      <c r="AG131" s="27" t="s">
        <v>571</v>
      </c>
      <c r="AH131" s="28">
        <v>46092.206417094909</v>
      </c>
      <c r="AI131" s="27" t="s">
        <v>649</v>
      </c>
      <c r="AJ131" s="27" t="s">
        <v>1739</v>
      </c>
      <c r="AK131" s="27">
        <v>3624</v>
      </c>
      <c r="AL131" s="27" t="s">
        <v>107</v>
      </c>
      <c r="AM131" s="27" t="s">
        <v>1740</v>
      </c>
      <c r="AN131" s="27" t="s">
        <v>665</v>
      </c>
      <c r="AO131" s="27">
        <v>0</v>
      </c>
    </row>
    <row r="132" spans="1:41" hidden="1">
      <c r="A132" s="27" t="s">
        <v>1741</v>
      </c>
      <c r="B132" s="27" t="s">
        <v>1742</v>
      </c>
      <c r="C132" s="27" t="s">
        <v>1743</v>
      </c>
      <c r="D132" s="27" t="s">
        <v>548</v>
      </c>
      <c r="E132" s="27" t="s">
        <v>578</v>
      </c>
      <c r="F132" s="28">
        <v>46080.277997650461</v>
      </c>
      <c r="G132" s="28">
        <v>46080.281769085646</v>
      </c>
      <c r="H132" s="28">
        <v>46080.277997650461</v>
      </c>
      <c r="I132" s="27" t="s">
        <v>1542</v>
      </c>
      <c r="J132" s="27" t="s">
        <v>1543</v>
      </c>
      <c r="K132" s="27" t="s">
        <v>566</v>
      </c>
      <c r="L132" s="27"/>
      <c r="M132" s="27" t="s">
        <v>1744</v>
      </c>
      <c r="N132" s="27"/>
      <c r="O132" s="27"/>
      <c r="P132" s="27" t="s">
        <v>1745</v>
      </c>
      <c r="Q132" s="27" t="s">
        <v>556</v>
      </c>
      <c r="R132" s="27" t="s">
        <v>659</v>
      </c>
      <c r="S132" s="27"/>
      <c r="T132" s="27" t="s">
        <v>549</v>
      </c>
      <c r="U132" s="27" t="s">
        <v>1743</v>
      </c>
      <c r="V132" s="28">
        <v>46080.281769131943</v>
      </c>
      <c r="W132" s="27"/>
      <c r="X132" s="27"/>
      <c r="Y132" s="27" t="s">
        <v>1744</v>
      </c>
      <c r="Z132" s="28"/>
      <c r="AA132" s="27"/>
      <c r="AB132" s="27"/>
      <c r="AC132" s="27" t="s">
        <v>573</v>
      </c>
      <c r="AD132" s="28"/>
      <c r="AE132" s="27"/>
      <c r="AF132" s="27"/>
      <c r="AG132" s="27" t="s">
        <v>108</v>
      </c>
      <c r="AH132" s="28"/>
      <c r="AI132" s="27"/>
      <c r="AJ132" s="27" t="s">
        <v>1549</v>
      </c>
      <c r="AK132" s="27">
        <v>2794</v>
      </c>
      <c r="AL132" s="27"/>
      <c r="AM132" s="27"/>
      <c r="AN132" s="27" t="s">
        <v>665</v>
      </c>
      <c r="AO132" s="27">
        <v>0</v>
      </c>
    </row>
    <row r="133" spans="1:41" hidden="1">
      <c r="A133" s="27" t="s">
        <v>1746</v>
      </c>
      <c r="B133" s="27" t="s">
        <v>1747</v>
      </c>
      <c r="C133" s="27" t="s">
        <v>1743</v>
      </c>
      <c r="D133" s="27" t="s">
        <v>548</v>
      </c>
      <c r="E133" s="27" t="s">
        <v>668</v>
      </c>
      <c r="F133" s="28">
        <v>46080.288057569443</v>
      </c>
      <c r="G133" s="28">
        <v>46080.288381967592</v>
      </c>
      <c r="H133" s="28">
        <v>46080.288057569443</v>
      </c>
      <c r="I133" s="27" t="s">
        <v>1542</v>
      </c>
      <c r="J133" s="27" t="s">
        <v>1543</v>
      </c>
      <c r="K133" s="27" t="s">
        <v>676</v>
      </c>
      <c r="L133" s="27" t="s">
        <v>1748</v>
      </c>
      <c r="M133" s="27" t="s">
        <v>1744</v>
      </c>
      <c r="N133" s="27"/>
      <c r="O133" s="27"/>
      <c r="P133" s="27" t="s">
        <v>1745</v>
      </c>
      <c r="Q133" s="27" t="s">
        <v>556</v>
      </c>
      <c r="R133" s="27" t="s">
        <v>659</v>
      </c>
      <c r="S133" s="27"/>
      <c r="T133" s="27" t="s">
        <v>559</v>
      </c>
      <c r="U133" s="27" t="s">
        <v>1743</v>
      </c>
      <c r="V133" s="28">
        <v>46080.288381990744</v>
      </c>
      <c r="W133" s="27" t="s">
        <v>1745</v>
      </c>
      <c r="X133" s="27"/>
      <c r="Y133" s="27" t="s">
        <v>1744</v>
      </c>
      <c r="Z133" s="28"/>
      <c r="AA133" s="27"/>
      <c r="AB133" s="27"/>
      <c r="AC133" s="27" t="s">
        <v>573</v>
      </c>
      <c r="AD133" s="28"/>
      <c r="AE133" s="27"/>
      <c r="AF133" s="27"/>
      <c r="AG133" s="27" t="s">
        <v>108</v>
      </c>
      <c r="AH133" s="28"/>
      <c r="AI133" s="27"/>
      <c r="AJ133" s="27" t="s">
        <v>1549</v>
      </c>
      <c r="AK133" s="27">
        <v>2794</v>
      </c>
      <c r="AL133" s="27"/>
      <c r="AM133" s="27"/>
      <c r="AN133" s="27" t="s">
        <v>665</v>
      </c>
      <c r="AO133" s="27">
        <v>0</v>
      </c>
    </row>
    <row r="134" spans="1:41" hidden="1">
      <c r="A134" s="27" t="s">
        <v>1749</v>
      </c>
      <c r="B134" s="27" t="s">
        <v>1750</v>
      </c>
      <c r="C134" s="27" t="s">
        <v>1679</v>
      </c>
      <c r="D134" s="27" t="s">
        <v>548</v>
      </c>
      <c r="E134" s="27" t="s">
        <v>638</v>
      </c>
      <c r="F134" s="28">
        <v>46080.384201620371</v>
      </c>
      <c r="G134" s="28">
        <v>46092.08383030093</v>
      </c>
      <c r="H134" s="28">
        <v>46080.384201620371</v>
      </c>
      <c r="I134" s="27" t="s">
        <v>1751</v>
      </c>
      <c r="J134" s="27" t="s">
        <v>1752</v>
      </c>
      <c r="K134" s="27" t="s">
        <v>566</v>
      </c>
      <c r="L134" s="27"/>
      <c r="M134" s="27" t="s">
        <v>778</v>
      </c>
      <c r="N134" s="27"/>
      <c r="O134" s="27"/>
      <c r="P134" s="27" t="s">
        <v>976</v>
      </c>
      <c r="Q134" s="27" t="s">
        <v>556</v>
      </c>
      <c r="R134" s="27" t="s">
        <v>659</v>
      </c>
      <c r="S134" s="27"/>
      <c r="T134" s="27" t="s">
        <v>559</v>
      </c>
      <c r="U134" s="27" t="s">
        <v>1679</v>
      </c>
      <c r="V134" s="28">
        <v>46080.384556412035</v>
      </c>
      <c r="W134" s="27" t="s">
        <v>1753</v>
      </c>
      <c r="X134" s="27" t="s">
        <v>559</v>
      </c>
      <c r="Y134" s="27" t="s">
        <v>778</v>
      </c>
      <c r="Z134" s="28">
        <v>46085.048543321762</v>
      </c>
      <c r="AA134" s="27" t="s">
        <v>1754</v>
      </c>
      <c r="AB134" s="27" t="s">
        <v>559</v>
      </c>
      <c r="AC134" s="27" t="s">
        <v>571</v>
      </c>
      <c r="AD134" s="28">
        <v>46090.002409409724</v>
      </c>
      <c r="AE134" s="27" t="s">
        <v>1755</v>
      </c>
      <c r="AF134" s="27" t="s">
        <v>559</v>
      </c>
      <c r="AG134" s="27" t="s">
        <v>571</v>
      </c>
      <c r="AH134" s="28">
        <v>46092.083830312498</v>
      </c>
      <c r="AI134" s="27" t="s">
        <v>649</v>
      </c>
      <c r="AJ134" s="27" t="s">
        <v>1756</v>
      </c>
      <c r="AK134" s="27">
        <v>2787</v>
      </c>
      <c r="AL134" s="27" t="s">
        <v>107</v>
      </c>
      <c r="AM134" s="27" t="s">
        <v>1757</v>
      </c>
      <c r="AN134" s="27" t="s">
        <v>665</v>
      </c>
      <c r="AO134" s="27">
        <v>0</v>
      </c>
    </row>
    <row r="135" spans="1:41" hidden="1">
      <c r="A135" s="27" t="s">
        <v>1758</v>
      </c>
      <c r="B135" s="27" t="s">
        <v>1759</v>
      </c>
      <c r="C135" s="27" t="s">
        <v>1760</v>
      </c>
      <c r="D135" s="27" t="s">
        <v>548</v>
      </c>
      <c r="E135" s="27" t="s">
        <v>638</v>
      </c>
      <c r="F135" s="28">
        <v>46083.075484942128</v>
      </c>
      <c r="G135" s="28">
        <v>46093.304483043983</v>
      </c>
      <c r="H135" s="28">
        <v>46083.075484942128</v>
      </c>
      <c r="I135" s="27" t="s">
        <v>261</v>
      </c>
      <c r="J135" s="27" t="s">
        <v>1761</v>
      </c>
      <c r="K135" s="27" t="s">
        <v>566</v>
      </c>
      <c r="L135" s="27"/>
      <c r="M135" s="27" t="s">
        <v>937</v>
      </c>
      <c r="N135" s="27" t="s">
        <v>1762</v>
      </c>
      <c r="O135" s="27">
        <v>4640</v>
      </c>
      <c r="P135" s="27" t="s">
        <v>1763</v>
      </c>
      <c r="Q135" s="27" t="s">
        <v>556</v>
      </c>
      <c r="R135" s="27" t="s">
        <v>583</v>
      </c>
      <c r="S135" s="27"/>
      <c r="T135" s="27" t="s">
        <v>559</v>
      </c>
      <c r="U135" s="27" t="s">
        <v>1760</v>
      </c>
      <c r="V135" s="28">
        <v>46083.08581783565</v>
      </c>
      <c r="W135" s="27" t="s">
        <v>1764</v>
      </c>
      <c r="X135" s="27" t="s">
        <v>559</v>
      </c>
      <c r="Y135" s="27" t="s">
        <v>560</v>
      </c>
      <c r="Z135" s="28">
        <v>46090.342080289352</v>
      </c>
      <c r="AA135" s="27" t="s">
        <v>1765</v>
      </c>
      <c r="AB135" s="27" t="s">
        <v>559</v>
      </c>
      <c r="AC135" s="27" t="s">
        <v>571</v>
      </c>
      <c r="AD135" s="28">
        <v>46091.248926099535</v>
      </c>
      <c r="AE135" s="27" t="s">
        <v>1766</v>
      </c>
      <c r="AF135" s="27" t="s">
        <v>559</v>
      </c>
      <c r="AG135" s="27" t="s">
        <v>571</v>
      </c>
      <c r="AH135" s="28">
        <v>46093.304483055559</v>
      </c>
      <c r="AI135" s="27" t="s">
        <v>649</v>
      </c>
      <c r="AJ135" s="27" t="s">
        <v>1767</v>
      </c>
      <c r="AK135" s="27">
        <v>4640</v>
      </c>
      <c r="AL135" s="27" t="s">
        <v>107</v>
      </c>
      <c r="AM135" s="27" t="s">
        <v>1768</v>
      </c>
      <c r="AN135" s="27" t="s">
        <v>665</v>
      </c>
      <c r="AO135" s="27">
        <v>0</v>
      </c>
    </row>
    <row r="136" spans="1:41" hidden="1">
      <c r="A136" s="27" t="s">
        <v>1769</v>
      </c>
      <c r="B136" s="27" t="s">
        <v>1770</v>
      </c>
      <c r="C136" s="27" t="s">
        <v>1509</v>
      </c>
      <c r="D136" s="27" t="s">
        <v>548</v>
      </c>
      <c r="E136" s="27" t="s">
        <v>638</v>
      </c>
      <c r="F136" s="28">
        <v>46083.302069953701</v>
      </c>
      <c r="G136" s="28">
        <v>46092.12302525463</v>
      </c>
      <c r="H136" s="28">
        <v>46083.302069953701</v>
      </c>
      <c r="I136" s="27" t="s">
        <v>1510</v>
      </c>
      <c r="J136" s="27" t="s">
        <v>1511</v>
      </c>
      <c r="K136" s="27" t="s">
        <v>566</v>
      </c>
      <c r="L136" s="27"/>
      <c r="M136" s="27" t="s">
        <v>778</v>
      </c>
      <c r="N136" s="27"/>
      <c r="O136" s="27"/>
      <c r="P136" s="27" t="s">
        <v>976</v>
      </c>
      <c r="Q136" s="27" t="s">
        <v>556</v>
      </c>
      <c r="R136" s="27" t="s">
        <v>659</v>
      </c>
      <c r="S136" s="27"/>
      <c r="T136" s="27" t="s">
        <v>559</v>
      </c>
      <c r="U136" s="27" t="s">
        <v>1509</v>
      </c>
      <c r="V136" s="28">
        <v>46083.303189525461</v>
      </c>
      <c r="W136" s="27" t="s">
        <v>976</v>
      </c>
      <c r="X136" s="27" t="s">
        <v>559</v>
      </c>
      <c r="Y136" s="27" t="s">
        <v>778</v>
      </c>
      <c r="Z136" s="28">
        <v>46085.049599444443</v>
      </c>
      <c r="AA136" s="27" t="s">
        <v>779</v>
      </c>
      <c r="AB136" s="27" t="s">
        <v>559</v>
      </c>
      <c r="AC136" s="27" t="s">
        <v>571</v>
      </c>
      <c r="AD136" s="28">
        <v>46090.001385416668</v>
      </c>
      <c r="AE136" s="27" t="s">
        <v>1755</v>
      </c>
      <c r="AF136" s="27" t="s">
        <v>559</v>
      </c>
      <c r="AG136" s="27" t="s">
        <v>571</v>
      </c>
      <c r="AH136" s="28">
        <v>46092.123025266206</v>
      </c>
      <c r="AI136" s="27" t="s">
        <v>649</v>
      </c>
      <c r="AJ136" s="27" t="s">
        <v>1514</v>
      </c>
      <c r="AK136" s="27" t="s">
        <v>1515</v>
      </c>
      <c r="AL136" s="27" t="s">
        <v>107</v>
      </c>
      <c r="AM136" s="27" t="s">
        <v>1771</v>
      </c>
      <c r="AN136" s="27" t="s">
        <v>665</v>
      </c>
      <c r="AO136" s="27">
        <v>0</v>
      </c>
    </row>
    <row r="137" spans="1:41" hidden="1">
      <c r="A137" s="27" t="s">
        <v>1772</v>
      </c>
      <c r="B137" s="27" t="s">
        <v>1773</v>
      </c>
      <c r="C137" s="27" t="s">
        <v>1440</v>
      </c>
      <c r="D137" s="27" t="s">
        <v>548</v>
      </c>
      <c r="E137" s="27" t="s">
        <v>578</v>
      </c>
      <c r="F137" s="28">
        <v>46083.336352800929</v>
      </c>
      <c r="G137" s="28">
        <v>46083.336913749998</v>
      </c>
      <c r="H137" s="28">
        <v>46083.336352800929</v>
      </c>
      <c r="I137" s="27" t="s">
        <v>1774</v>
      </c>
      <c r="J137" s="27" t="s">
        <v>1775</v>
      </c>
      <c r="K137" s="27" t="s">
        <v>566</v>
      </c>
      <c r="L137" s="27"/>
      <c r="M137" s="27" t="s">
        <v>890</v>
      </c>
      <c r="N137" s="27"/>
      <c r="O137" s="27"/>
      <c r="P137" s="27" t="s">
        <v>1776</v>
      </c>
      <c r="Q137" s="27" t="s">
        <v>643</v>
      </c>
      <c r="R137" s="27" t="s">
        <v>659</v>
      </c>
      <c r="S137" s="27"/>
      <c r="T137" s="27" t="s">
        <v>549</v>
      </c>
      <c r="U137" s="27" t="s">
        <v>1440</v>
      </c>
      <c r="V137" s="28">
        <v>46083.336913784726</v>
      </c>
      <c r="W137" s="27"/>
      <c r="X137" s="27"/>
      <c r="Y137" s="27" t="s">
        <v>893</v>
      </c>
      <c r="Z137" s="28"/>
      <c r="AA137" s="27"/>
      <c r="AB137" s="27"/>
      <c r="AC137" s="27" t="s">
        <v>573</v>
      </c>
      <c r="AD137" s="28"/>
      <c r="AE137" s="27"/>
      <c r="AF137" s="27"/>
      <c r="AG137" s="27" t="s">
        <v>108</v>
      </c>
      <c r="AH137" s="28"/>
      <c r="AI137" s="27"/>
      <c r="AJ137" s="27" t="s">
        <v>1777</v>
      </c>
      <c r="AK137" s="27">
        <v>1950</v>
      </c>
      <c r="AL137" s="27"/>
      <c r="AM137" s="27"/>
      <c r="AN137" s="27" t="s">
        <v>665</v>
      </c>
      <c r="AO137" s="27">
        <v>0</v>
      </c>
    </row>
    <row r="138" spans="1:41" hidden="1">
      <c r="A138" s="27" t="s">
        <v>1778</v>
      </c>
      <c r="B138" s="27" t="s">
        <v>1779</v>
      </c>
      <c r="C138" s="27" t="s">
        <v>1780</v>
      </c>
      <c r="D138" s="27" t="s">
        <v>548</v>
      </c>
      <c r="E138" s="27" t="s">
        <v>578</v>
      </c>
      <c r="F138" s="28">
        <v>46085.005970196762</v>
      </c>
      <c r="G138" s="28">
        <v>46085.011772337966</v>
      </c>
      <c r="H138" s="28">
        <v>46085.009851585652</v>
      </c>
      <c r="I138" s="27" t="s">
        <v>1781</v>
      </c>
      <c r="J138" s="27" t="s">
        <v>1782</v>
      </c>
      <c r="K138" s="27" t="s">
        <v>566</v>
      </c>
      <c r="L138" s="27"/>
      <c r="M138" s="27" t="s">
        <v>1735</v>
      </c>
      <c r="N138" s="27"/>
      <c r="O138" s="27"/>
      <c r="P138" s="27" t="s">
        <v>1783</v>
      </c>
      <c r="Q138" s="27" t="s">
        <v>556</v>
      </c>
      <c r="R138" s="27" t="s">
        <v>583</v>
      </c>
      <c r="S138" s="27"/>
      <c r="T138" s="27" t="s">
        <v>549</v>
      </c>
      <c r="U138" s="27" t="s">
        <v>1780</v>
      </c>
      <c r="V138" s="28">
        <v>46085.011772349535</v>
      </c>
      <c r="W138" s="27"/>
      <c r="X138" s="27"/>
      <c r="Y138" s="27" t="s">
        <v>1735</v>
      </c>
      <c r="Z138" s="28"/>
      <c r="AA138" s="27"/>
      <c r="AB138" s="27"/>
      <c r="AC138" s="27" t="s">
        <v>573</v>
      </c>
      <c r="AD138" s="28"/>
      <c r="AE138" s="27"/>
      <c r="AF138" s="27"/>
      <c r="AG138" s="27" t="s">
        <v>573</v>
      </c>
      <c r="AH138" s="28"/>
      <c r="AI138" s="27"/>
      <c r="AJ138" s="27" t="s">
        <v>1784</v>
      </c>
      <c r="AK138" s="27">
        <v>1823</v>
      </c>
      <c r="AL138" s="27"/>
      <c r="AM138" s="27"/>
      <c r="AN138" s="27" t="s">
        <v>665</v>
      </c>
      <c r="AO138" s="27">
        <v>0</v>
      </c>
    </row>
    <row r="139" spans="1:41" hidden="1">
      <c r="A139" s="27" t="s">
        <v>1785</v>
      </c>
      <c r="B139" s="27" t="s">
        <v>1786</v>
      </c>
      <c r="C139" s="27" t="s">
        <v>1780</v>
      </c>
      <c r="D139" s="27" t="s">
        <v>548</v>
      </c>
      <c r="E139" s="27" t="s">
        <v>638</v>
      </c>
      <c r="F139" s="28">
        <v>46085.013193460647</v>
      </c>
      <c r="G139" s="28">
        <v>46091.068117569448</v>
      </c>
      <c r="H139" s="28">
        <v>46085.013193460647</v>
      </c>
      <c r="I139" s="27" t="s">
        <v>1787</v>
      </c>
      <c r="J139" s="27" t="s">
        <v>1788</v>
      </c>
      <c r="K139" s="27" t="s">
        <v>566</v>
      </c>
      <c r="L139" s="27"/>
      <c r="M139" s="27" t="s">
        <v>1735</v>
      </c>
      <c r="N139" s="27"/>
      <c r="O139" s="27"/>
      <c r="P139" s="27" t="s">
        <v>1783</v>
      </c>
      <c r="Q139" s="27" t="s">
        <v>556</v>
      </c>
      <c r="R139" s="27" t="s">
        <v>583</v>
      </c>
      <c r="S139" s="27"/>
      <c r="T139" s="27" t="s">
        <v>559</v>
      </c>
      <c r="U139" s="27" t="s">
        <v>1780</v>
      </c>
      <c r="V139" s="28">
        <v>46085.020914039349</v>
      </c>
      <c r="W139" s="27" t="s">
        <v>1789</v>
      </c>
      <c r="X139" s="27" t="s">
        <v>559</v>
      </c>
      <c r="Y139" s="27" t="s">
        <v>1735</v>
      </c>
      <c r="Z139" s="28">
        <v>46085.290085578701</v>
      </c>
      <c r="AA139" s="27" t="s">
        <v>559</v>
      </c>
      <c r="AB139" s="27" t="s">
        <v>559</v>
      </c>
      <c r="AC139" s="27" t="s">
        <v>571</v>
      </c>
      <c r="AD139" s="28">
        <v>46089.998828368058</v>
      </c>
      <c r="AE139" s="27" t="s">
        <v>895</v>
      </c>
      <c r="AF139" s="27" t="s">
        <v>559</v>
      </c>
      <c r="AG139" s="27" t="s">
        <v>683</v>
      </c>
      <c r="AH139" s="28">
        <v>46091.068117569448</v>
      </c>
      <c r="AI139" s="27" t="s">
        <v>684</v>
      </c>
      <c r="AJ139" s="27" t="s">
        <v>1790</v>
      </c>
      <c r="AK139" s="27" t="s">
        <v>1791</v>
      </c>
      <c r="AL139" s="27" t="s">
        <v>107</v>
      </c>
      <c r="AM139" s="27" t="s">
        <v>1792</v>
      </c>
      <c r="AN139" s="27" t="s">
        <v>665</v>
      </c>
      <c r="AO139" s="27">
        <v>0</v>
      </c>
    </row>
    <row r="140" spans="1:41" hidden="1">
      <c r="A140" s="27" t="s">
        <v>1793</v>
      </c>
      <c r="B140" s="27" t="s">
        <v>1794</v>
      </c>
      <c r="C140" s="27" t="s">
        <v>1088</v>
      </c>
      <c r="D140" s="27" t="s">
        <v>548</v>
      </c>
      <c r="E140" s="27" t="s">
        <v>638</v>
      </c>
      <c r="F140" s="28">
        <v>46085.051787384262</v>
      </c>
      <c r="G140" s="28">
        <v>46093.328013854167</v>
      </c>
      <c r="H140" s="28">
        <v>46085.051787384262</v>
      </c>
      <c r="I140" s="27" t="s">
        <v>1598</v>
      </c>
      <c r="J140" s="27" t="s">
        <v>1599</v>
      </c>
      <c r="K140" s="27" t="s">
        <v>566</v>
      </c>
      <c r="L140" s="27"/>
      <c r="M140" s="27" t="s">
        <v>1090</v>
      </c>
      <c r="N140" s="27"/>
      <c r="O140" s="27"/>
      <c r="P140" s="27" t="s">
        <v>1795</v>
      </c>
      <c r="Q140" s="27" t="s">
        <v>569</v>
      </c>
      <c r="R140" s="27" t="s">
        <v>583</v>
      </c>
      <c r="S140" s="27"/>
      <c r="T140" s="27" t="s">
        <v>559</v>
      </c>
      <c r="U140" s="27" t="s">
        <v>1088</v>
      </c>
      <c r="V140" s="28">
        <v>46091.075648437502</v>
      </c>
      <c r="W140" s="27" t="s">
        <v>1796</v>
      </c>
      <c r="X140" s="27" t="s">
        <v>559</v>
      </c>
      <c r="Y140" s="27" t="s">
        <v>1093</v>
      </c>
      <c r="Z140" s="28">
        <v>46091.243035868058</v>
      </c>
      <c r="AA140" s="27" t="s">
        <v>1797</v>
      </c>
      <c r="AB140" s="27" t="s">
        <v>559</v>
      </c>
      <c r="AC140" s="27" t="s">
        <v>571</v>
      </c>
      <c r="AD140" s="28">
        <v>46091.306143888891</v>
      </c>
      <c r="AE140" s="27" t="s">
        <v>1493</v>
      </c>
      <c r="AF140" s="27" t="s">
        <v>559</v>
      </c>
      <c r="AG140" s="27" t="s">
        <v>683</v>
      </c>
      <c r="AH140" s="28">
        <v>46093.328013865743</v>
      </c>
      <c r="AI140" s="27" t="s">
        <v>684</v>
      </c>
      <c r="AJ140" s="27" t="s">
        <v>1604</v>
      </c>
      <c r="AK140" s="27" t="s">
        <v>1605</v>
      </c>
      <c r="AL140" s="27" t="s">
        <v>107</v>
      </c>
      <c r="AM140" s="27" t="s">
        <v>1798</v>
      </c>
      <c r="AN140" s="27" t="s">
        <v>710</v>
      </c>
      <c r="AO140" s="27">
        <v>365</v>
      </c>
    </row>
    <row r="141" spans="1:41" hidden="1">
      <c r="A141" s="27" t="s">
        <v>1799</v>
      </c>
      <c r="B141" s="27" t="s">
        <v>1800</v>
      </c>
      <c r="C141" s="27" t="s">
        <v>1801</v>
      </c>
      <c r="D141" s="27" t="s">
        <v>548</v>
      </c>
      <c r="E141" s="27" t="s">
        <v>638</v>
      </c>
      <c r="F141" s="28">
        <v>46085.289279826386</v>
      </c>
      <c r="G141" s="28">
        <v>46170.053599571758</v>
      </c>
      <c r="H141" s="28">
        <v>46086.080942326385</v>
      </c>
      <c r="I141" s="27" t="s">
        <v>1802</v>
      </c>
      <c r="J141" s="27" t="s">
        <v>1803</v>
      </c>
      <c r="K141" s="27" t="s">
        <v>566</v>
      </c>
      <c r="L141" s="27"/>
      <c r="M141" s="27" t="s">
        <v>1118</v>
      </c>
      <c r="N141" s="27" t="s">
        <v>1804</v>
      </c>
      <c r="O141" s="27"/>
      <c r="P141" s="27" t="s">
        <v>1805</v>
      </c>
      <c r="Q141" s="27" t="s">
        <v>556</v>
      </c>
      <c r="R141" s="27" t="s">
        <v>659</v>
      </c>
      <c r="S141" s="27"/>
      <c r="T141" s="27" t="s">
        <v>559</v>
      </c>
      <c r="U141" s="27" t="s">
        <v>1801</v>
      </c>
      <c r="V141" s="28">
        <v>46086.111484398149</v>
      </c>
      <c r="W141" s="27" t="s">
        <v>1806</v>
      </c>
      <c r="X141" s="27" t="s">
        <v>559</v>
      </c>
      <c r="Y141" s="27" t="s">
        <v>1121</v>
      </c>
      <c r="Z141" s="28">
        <v>46127.087778402776</v>
      </c>
      <c r="AA141" s="27" t="s">
        <v>1807</v>
      </c>
      <c r="AB141" s="27" t="s">
        <v>559</v>
      </c>
      <c r="AC141" s="27" t="s">
        <v>571</v>
      </c>
      <c r="AD141" s="28">
        <v>46156.16041300926</v>
      </c>
      <c r="AE141" s="27" t="s">
        <v>1808</v>
      </c>
      <c r="AF141" s="27" t="s">
        <v>559</v>
      </c>
      <c r="AG141" s="27" t="s">
        <v>683</v>
      </c>
      <c r="AH141" s="28">
        <v>46170.053599583334</v>
      </c>
      <c r="AI141" s="27" t="s">
        <v>1809</v>
      </c>
      <c r="AJ141" s="27" t="s">
        <v>1810</v>
      </c>
      <c r="AK141" s="27">
        <v>1709</v>
      </c>
      <c r="AL141" s="27" t="s">
        <v>107</v>
      </c>
      <c r="AM141" s="27" t="s">
        <v>1811</v>
      </c>
      <c r="AN141" s="27" t="s">
        <v>687</v>
      </c>
      <c r="AO141" s="27">
        <v>0</v>
      </c>
    </row>
    <row r="142" spans="1:41" hidden="1">
      <c r="A142" s="27" t="s">
        <v>1812</v>
      </c>
      <c r="B142" s="27" t="s">
        <v>1813</v>
      </c>
      <c r="C142" s="27" t="s">
        <v>1373</v>
      </c>
      <c r="D142" s="27" t="s">
        <v>548</v>
      </c>
      <c r="E142" s="27" t="s">
        <v>638</v>
      </c>
      <c r="F142" s="28">
        <v>46086.615896180556</v>
      </c>
      <c r="G142" s="28">
        <v>46093.16797584491</v>
      </c>
      <c r="H142" s="28">
        <v>46086.615896180556</v>
      </c>
      <c r="I142" s="27" t="s">
        <v>1374</v>
      </c>
      <c r="J142" s="27" t="s">
        <v>1375</v>
      </c>
      <c r="K142" s="27" t="s">
        <v>676</v>
      </c>
      <c r="L142" s="27" t="s">
        <v>1814</v>
      </c>
      <c r="M142" s="27" t="s">
        <v>1376</v>
      </c>
      <c r="N142" s="27" t="s">
        <v>1815</v>
      </c>
      <c r="O142" s="27"/>
      <c r="P142" s="27" t="s">
        <v>1816</v>
      </c>
      <c r="Q142" s="27" t="s">
        <v>643</v>
      </c>
      <c r="R142" s="27" t="s">
        <v>1379</v>
      </c>
      <c r="S142" s="27"/>
      <c r="T142" s="27" t="s">
        <v>559</v>
      </c>
      <c r="U142" s="27" t="s">
        <v>1373</v>
      </c>
      <c r="V142" s="28">
        <v>46086.617367465275</v>
      </c>
      <c r="W142" s="27" t="s">
        <v>1817</v>
      </c>
      <c r="X142" s="27" t="s">
        <v>559</v>
      </c>
      <c r="Y142" s="27" t="s">
        <v>1376</v>
      </c>
      <c r="Z142" s="28">
        <v>46090.264049502315</v>
      </c>
      <c r="AA142" s="27" t="s">
        <v>1818</v>
      </c>
      <c r="AB142" s="27" t="s">
        <v>559</v>
      </c>
      <c r="AC142" s="27" t="s">
        <v>571</v>
      </c>
      <c r="AD142" s="28">
        <v>46091.248067581022</v>
      </c>
      <c r="AE142" s="27" t="s">
        <v>867</v>
      </c>
      <c r="AF142" s="27" t="s">
        <v>559</v>
      </c>
      <c r="AG142" s="27" t="s">
        <v>683</v>
      </c>
      <c r="AH142" s="28">
        <v>46093.167975856479</v>
      </c>
      <c r="AI142" s="27" t="s">
        <v>684</v>
      </c>
      <c r="AJ142" s="27" t="s">
        <v>1380</v>
      </c>
      <c r="AK142" s="27">
        <v>1726</v>
      </c>
      <c r="AL142" s="27" t="s">
        <v>125</v>
      </c>
      <c r="AM142" s="27" t="s">
        <v>1819</v>
      </c>
      <c r="AN142" s="27" t="s">
        <v>710</v>
      </c>
      <c r="AO142" s="27">
        <v>90</v>
      </c>
    </row>
    <row r="143" spans="1:41" hidden="1">
      <c r="A143" s="27" t="s">
        <v>1820</v>
      </c>
      <c r="B143" s="27" t="s">
        <v>1821</v>
      </c>
      <c r="C143" s="27" t="s">
        <v>1509</v>
      </c>
      <c r="D143" s="27" t="s">
        <v>548</v>
      </c>
      <c r="E143" s="27" t="s">
        <v>638</v>
      </c>
      <c r="F143" s="28">
        <v>46090.095560092595</v>
      </c>
      <c r="G143" s="28">
        <v>46111.290794305554</v>
      </c>
      <c r="H143" s="28">
        <v>46090.095560092595</v>
      </c>
      <c r="I143" s="27" t="s">
        <v>1822</v>
      </c>
      <c r="J143" s="27" t="s">
        <v>1823</v>
      </c>
      <c r="K143" s="27" t="s">
        <v>566</v>
      </c>
      <c r="L143" s="27"/>
      <c r="M143" s="27" t="s">
        <v>778</v>
      </c>
      <c r="N143" s="27"/>
      <c r="O143" s="27"/>
      <c r="P143" s="27" t="s">
        <v>976</v>
      </c>
      <c r="Q143" s="27" t="s">
        <v>556</v>
      </c>
      <c r="R143" s="27" t="s">
        <v>659</v>
      </c>
      <c r="S143" s="27"/>
      <c r="T143" s="27" t="s">
        <v>559</v>
      </c>
      <c r="U143" s="27" t="s">
        <v>1509</v>
      </c>
      <c r="V143" s="28">
        <v>46090.097137164354</v>
      </c>
      <c r="W143" s="27" t="s">
        <v>976</v>
      </c>
      <c r="X143" s="27" t="s">
        <v>559</v>
      </c>
      <c r="Y143" s="27" t="s">
        <v>778</v>
      </c>
      <c r="Z143" s="28">
        <v>46099.221968020836</v>
      </c>
      <c r="AA143" s="27" t="s">
        <v>976</v>
      </c>
      <c r="AB143" s="27" t="s">
        <v>559</v>
      </c>
      <c r="AC143" s="27" t="s">
        <v>571</v>
      </c>
      <c r="AD143" s="28">
        <v>46107.146959976853</v>
      </c>
      <c r="AE143" s="27" t="s">
        <v>1824</v>
      </c>
      <c r="AF143" s="27" t="s">
        <v>559</v>
      </c>
      <c r="AG143" s="27" t="s">
        <v>571</v>
      </c>
      <c r="AH143" s="28">
        <v>46111.29079431713</v>
      </c>
      <c r="AI143" s="27" t="s">
        <v>649</v>
      </c>
      <c r="AJ143" s="27" t="s">
        <v>1825</v>
      </c>
      <c r="AK143" s="27">
        <v>3579</v>
      </c>
      <c r="AL143" s="27" t="s">
        <v>107</v>
      </c>
      <c r="AM143" s="27" t="s">
        <v>1826</v>
      </c>
      <c r="AN143" s="27" t="s">
        <v>665</v>
      </c>
      <c r="AO143" s="27">
        <v>0</v>
      </c>
    </row>
    <row r="144" spans="1:41" hidden="1">
      <c r="A144" s="27" t="s">
        <v>1827</v>
      </c>
      <c r="B144" s="27" t="s">
        <v>1828</v>
      </c>
      <c r="C144" s="27" t="s">
        <v>959</v>
      </c>
      <c r="D144" s="27" t="s">
        <v>548</v>
      </c>
      <c r="E144" s="27" t="s">
        <v>638</v>
      </c>
      <c r="F144" s="28">
        <v>46090.312700555558</v>
      </c>
      <c r="G144" s="28">
        <v>46094.34097380787</v>
      </c>
      <c r="H144" s="28">
        <v>46090.312700555558</v>
      </c>
      <c r="I144" s="27" t="s">
        <v>1829</v>
      </c>
      <c r="J144" s="27" t="s">
        <v>1830</v>
      </c>
      <c r="K144" s="27" t="s">
        <v>676</v>
      </c>
      <c r="L144" s="27" t="s">
        <v>1831</v>
      </c>
      <c r="M144" s="27" t="s">
        <v>963</v>
      </c>
      <c r="N144" s="27" t="s">
        <v>1832</v>
      </c>
      <c r="O144" s="27"/>
      <c r="P144" s="27" t="s">
        <v>1833</v>
      </c>
      <c r="Q144" s="27" t="s">
        <v>623</v>
      </c>
      <c r="R144" s="27" t="s">
        <v>583</v>
      </c>
      <c r="S144" s="27"/>
      <c r="T144" s="27" t="s">
        <v>559</v>
      </c>
      <c r="U144" s="27" t="s">
        <v>959</v>
      </c>
      <c r="V144" s="28">
        <v>46090.330725439817</v>
      </c>
      <c r="W144" s="27" t="s">
        <v>1834</v>
      </c>
      <c r="X144" s="27" t="s">
        <v>559</v>
      </c>
      <c r="Y144" s="27" t="s">
        <v>912</v>
      </c>
      <c r="Z144" s="28">
        <v>46093.05255792824</v>
      </c>
      <c r="AA144" s="27" t="s">
        <v>1109</v>
      </c>
      <c r="AB144" s="27" t="s">
        <v>559</v>
      </c>
      <c r="AC144" s="27" t="s">
        <v>571</v>
      </c>
      <c r="AD144" s="28">
        <v>46093.288659189813</v>
      </c>
      <c r="AE144" s="27" t="s">
        <v>1835</v>
      </c>
      <c r="AF144" s="27" t="s">
        <v>559</v>
      </c>
      <c r="AG144" s="27" t="s">
        <v>571</v>
      </c>
      <c r="AH144" s="28">
        <v>46094.34097380787</v>
      </c>
      <c r="AI144" s="27" t="s">
        <v>649</v>
      </c>
      <c r="AJ144" s="27" t="s">
        <v>1836</v>
      </c>
      <c r="AK144" s="27" t="s">
        <v>1837</v>
      </c>
      <c r="AL144" s="27" t="s">
        <v>107</v>
      </c>
      <c r="AM144" s="27" t="s">
        <v>1838</v>
      </c>
      <c r="AN144" s="27" t="s">
        <v>687</v>
      </c>
      <c r="AO144" s="27">
        <v>0</v>
      </c>
    </row>
    <row r="145" spans="1:41" hidden="1">
      <c r="A145" s="27" t="s">
        <v>1839</v>
      </c>
      <c r="B145" s="27" t="s">
        <v>1840</v>
      </c>
      <c r="C145" s="27" t="s">
        <v>1841</v>
      </c>
      <c r="D145" s="27" t="s">
        <v>548</v>
      </c>
      <c r="E145" s="27" t="s">
        <v>578</v>
      </c>
      <c r="F145" s="28">
        <v>46091.413993541668</v>
      </c>
      <c r="G145" s="28">
        <v>46091.415581516201</v>
      </c>
      <c r="H145" s="28">
        <v>46091.413993541668</v>
      </c>
      <c r="I145" s="27" t="s">
        <v>1842</v>
      </c>
      <c r="J145" s="27" t="s">
        <v>1843</v>
      </c>
      <c r="K145" s="27" t="s">
        <v>566</v>
      </c>
      <c r="L145" s="27"/>
      <c r="M145" s="27" t="s">
        <v>1844</v>
      </c>
      <c r="N145" s="27" t="s">
        <v>1845</v>
      </c>
      <c r="O145" s="27"/>
      <c r="P145" s="27" t="s">
        <v>1846</v>
      </c>
      <c r="Q145" s="27" t="s">
        <v>623</v>
      </c>
      <c r="R145" s="27" t="s">
        <v>583</v>
      </c>
      <c r="S145" s="27"/>
      <c r="T145" s="27" t="s">
        <v>549</v>
      </c>
      <c r="U145" s="27" t="s">
        <v>1841</v>
      </c>
      <c r="V145" s="28">
        <v>46091.415581527777</v>
      </c>
      <c r="W145" s="27"/>
      <c r="X145" s="27"/>
      <c r="Y145" s="27" t="s">
        <v>1847</v>
      </c>
      <c r="Z145" s="28"/>
      <c r="AA145" s="27"/>
      <c r="AB145" s="27"/>
      <c r="AC145" s="27" t="s">
        <v>573</v>
      </c>
      <c r="AD145" s="28"/>
      <c r="AE145" s="27"/>
      <c r="AF145" s="27"/>
      <c r="AG145" s="27" t="s">
        <v>108</v>
      </c>
      <c r="AH145" s="28"/>
      <c r="AI145" s="27"/>
      <c r="AJ145" s="27" t="s">
        <v>1848</v>
      </c>
      <c r="AK145" s="27">
        <v>2173</v>
      </c>
      <c r="AL145" s="27"/>
      <c r="AM145" s="27"/>
      <c r="AN145" s="27" t="s">
        <v>687</v>
      </c>
      <c r="AO145" s="27">
        <v>0</v>
      </c>
    </row>
    <row r="146" spans="1:41" hidden="1">
      <c r="A146" s="27" t="s">
        <v>1849</v>
      </c>
      <c r="B146" s="27" t="s">
        <v>1850</v>
      </c>
      <c r="C146" s="27" t="s">
        <v>1851</v>
      </c>
      <c r="D146" s="27" t="s">
        <v>548</v>
      </c>
      <c r="E146" s="27" t="s">
        <v>578</v>
      </c>
      <c r="F146" s="28">
        <v>46092.341726469909</v>
      </c>
      <c r="G146" s="28">
        <v>46092.360499768518</v>
      </c>
      <c r="H146" s="28">
        <v>46092.341726481478</v>
      </c>
      <c r="I146" s="27" t="s">
        <v>1510</v>
      </c>
      <c r="J146" s="27" t="s">
        <v>1511</v>
      </c>
      <c r="K146" s="27" t="s">
        <v>566</v>
      </c>
      <c r="L146" s="27"/>
      <c r="M146" s="27" t="s">
        <v>1852</v>
      </c>
      <c r="N146" s="27" t="s">
        <v>1853</v>
      </c>
      <c r="O146" s="27"/>
      <c r="P146" s="27" t="s">
        <v>1854</v>
      </c>
      <c r="Q146" s="27" t="s">
        <v>556</v>
      </c>
      <c r="R146" s="27" t="s">
        <v>583</v>
      </c>
      <c r="S146" s="27"/>
      <c r="T146" s="27" t="s">
        <v>549</v>
      </c>
      <c r="U146" s="27" t="s">
        <v>1851</v>
      </c>
      <c r="V146" s="28">
        <v>46092.360499768518</v>
      </c>
      <c r="W146" s="27"/>
      <c r="X146" s="27"/>
      <c r="Y146" s="27" t="s">
        <v>1852</v>
      </c>
      <c r="Z146" s="28"/>
      <c r="AA146" s="27"/>
      <c r="AB146" s="27"/>
      <c r="AC146" s="27" t="s">
        <v>573</v>
      </c>
      <c r="AD146" s="28"/>
      <c r="AE146" s="27"/>
      <c r="AF146" s="27"/>
      <c r="AG146" s="27" t="s">
        <v>108</v>
      </c>
      <c r="AH146" s="28"/>
      <c r="AI146" s="27"/>
      <c r="AJ146" s="27" t="s">
        <v>1514</v>
      </c>
      <c r="AK146" s="27" t="s">
        <v>1515</v>
      </c>
      <c r="AL146" s="27"/>
      <c r="AM146" s="27"/>
      <c r="AN146" s="27" t="s">
        <v>665</v>
      </c>
      <c r="AO146" s="27">
        <v>0</v>
      </c>
    </row>
    <row r="147" spans="1:41" hidden="1">
      <c r="A147" s="27" t="s">
        <v>1855</v>
      </c>
      <c r="B147" s="27" t="s">
        <v>1856</v>
      </c>
      <c r="C147" s="27" t="s">
        <v>1857</v>
      </c>
      <c r="D147" s="27" t="s">
        <v>548</v>
      </c>
      <c r="E147" s="27" t="s">
        <v>638</v>
      </c>
      <c r="F147" s="28">
        <v>46097.226677152779</v>
      </c>
      <c r="G147" s="28">
        <v>46114.378272256945</v>
      </c>
      <c r="H147" s="28">
        <v>46099.357365381948</v>
      </c>
      <c r="I147" s="27" t="s">
        <v>1858</v>
      </c>
      <c r="J147" s="27" t="s">
        <v>1859</v>
      </c>
      <c r="K147" s="27" t="s">
        <v>676</v>
      </c>
      <c r="L147" s="27" t="s">
        <v>1860</v>
      </c>
      <c r="M147" s="27" t="s">
        <v>1861</v>
      </c>
      <c r="N147" s="27" t="s">
        <v>1862</v>
      </c>
      <c r="O147" s="27"/>
      <c r="P147" s="27" t="s">
        <v>1863</v>
      </c>
      <c r="Q147" s="27" t="s">
        <v>569</v>
      </c>
      <c r="R147" s="27" t="s">
        <v>557</v>
      </c>
      <c r="S147" s="27"/>
      <c r="T147" s="27" t="s">
        <v>559</v>
      </c>
      <c r="U147" s="27" t="s">
        <v>1857</v>
      </c>
      <c r="V147" s="28">
        <v>46099.369932048612</v>
      </c>
      <c r="W147" s="27" t="s">
        <v>1864</v>
      </c>
      <c r="X147" s="27" t="s">
        <v>559</v>
      </c>
      <c r="Y147" s="27" t="s">
        <v>1865</v>
      </c>
      <c r="Z147" s="28">
        <v>46112.138374166665</v>
      </c>
      <c r="AA147" s="27" t="s">
        <v>1032</v>
      </c>
      <c r="AB147" s="27" t="s">
        <v>559</v>
      </c>
      <c r="AC147" s="27" t="s">
        <v>571</v>
      </c>
      <c r="AD147" s="28">
        <v>46112.279189189816</v>
      </c>
      <c r="AE147" s="27" t="s">
        <v>1866</v>
      </c>
      <c r="AF147" s="27" t="s">
        <v>559</v>
      </c>
      <c r="AG147" s="27" t="s">
        <v>683</v>
      </c>
      <c r="AH147" s="28">
        <v>46114.37827228009</v>
      </c>
      <c r="AI147" s="27" t="s">
        <v>684</v>
      </c>
      <c r="AJ147" s="27" t="s">
        <v>1867</v>
      </c>
      <c r="AK147" s="27" t="s">
        <v>1868</v>
      </c>
      <c r="AL147" s="27" t="s">
        <v>107</v>
      </c>
      <c r="AM147" s="27" t="s">
        <v>1869</v>
      </c>
      <c r="AN147" s="27" t="s">
        <v>710</v>
      </c>
      <c r="AO147" s="27">
        <v>365</v>
      </c>
    </row>
    <row r="148" spans="1:41" hidden="1">
      <c r="A148" s="27" t="s">
        <v>1870</v>
      </c>
      <c r="B148" s="27" t="s">
        <v>1871</v>
      </c>
      <c r="C148" s="27" t="s">
        <v>1679</v>
      </c>
      <c r="D148" s="27" t="s">
        <v>548</v>
      </c>
      <c r="E148" s="27" t="s">
        <v>638</v>
      </c>
      <c r="F148" s="28">
        <v>46097.325025868056</v>
      </c>
      <c r="G148" s="28">
        <v>46111.132495891201</v>
      </c>
      <c r="H148" s="28">
        <v>46097.325025868056</v>
      </c>
      <c r="I148" s="27" t="s">
        <v>1872</v>
      </c>
      <c r="J148" s="27" t="s">
        <v>1873</v>
      </c>
      <c r="K148" s="27" t="s">
        <v>566</v>
      </c>
      <c r="L148" s="27"/>
      <c r="M148" s="27" t="s">
        <v>778</v>
      </c>
      <c r="N148" s="27"/>
      <c r="O148" s="27"/>
      <c r="P148" s="27" t="s">
        <v>1874</v>
      </c>
      <c r="Q148" s="27" t="s">
        <v>556</v>
      </c>
      <c r="R148" s="27" t="s">
        <v>659</v>
      </c>
      <c r="S148" s="27"/>
      <c r="T148" s="27" t="s">
        <v>559</v>
      </c>
      <c r="U148" s="27" t="s">
        <v>1679</v>
      </c>
      <c r="V148" s="28">
        <v>46097.325545428241</v>
      </c>
      <c r="W148" s="27" t="s">
        <v>1875</v>
      </c>
      <c r="X148" s="27" t="s">
        <v>559</v>
      </c>
      <c r="Y148" s="27" t="s">
        <v>778</v>
      </c>
      <c r="Z148" s="28">
        <v>46099.221314722221</v>
      </c>
      <c r="AA148" s="27" t="s">
        <v>1874</v>
      </c>
      <c r="AB148" s="27" t="s">
        <v>559</v>
      </c>
      <c r="AC148" s="27" t="s">
        <v>571</v>
      </c>
      <c r="AD148" s="28">
        <v>46107.144217638888</v>
      </c>
      <c r="AE148" s="27" t="s">
        <v>1876</v>
      </c>
      <c r="AF148" s="27" t="s">
        <v>559</v>
      </c>
      <c r="AG148" s="27" t="s">
        <v>571</v>
      </c>
      <c r="AH148" s="28">
        <v>46111.132495902777</v>
      </c>
      <c r="AI148" s="27" t="s">
        <v>649</v>
      </c>
      <c r="AJ148" s="27" t="s">
        <v>1877</v>
      </c>
      <c r="AK148" s="27">
        <v>2804</v>
      </c>
      <c r="AL148" s="27" t="s">
        <v>116</v>
      </c>
      <c r="AM148" s="27" t="s">
        <v>1878</v>
      </c>
      <c r="AN148" s="27" t="s">
        <v>665</v>
      </c>
      <c r="AO148" s="27">
        <v>0</v>
      </c>
    </row>
    <row r="149" spans="1:41" hidden="1">
      <c r="A149" s="27" t="s">
        <v>1879</v>
      </c>
      <c r="B149" s="27" t="s">
        <v>1880</v>
      </c>
      <c r="C149" s="27" t="s">
        <v>602</v>
      </c>
      <c r="D149" s="27" t="s">
        <v>548</v>
      </c>
      <c r="E149" s="27" t="s">
        <v>638</v>
      </c>
      <c r="F149" s="28">
        <v>46098.104137256945</v>
      </c>
      <c r="G149" s="28">
        <v>46136.780996180554</v>
      </c>
      <c r="H149" s="28">
        <v>46098.129047870367</v>
      </c>
      <c r="I149" s="27" t="s">
        <v>1881</v>
      </c>
      <c r="J149" s="27" t="s">
        <v>1882</v>
      </c>
      <c r="K149" s="27" t="s">
        <v>676</v>
      </c>
      <c r="L149" s="27" t="s">
        <v>1883</v>
      </c>
      <c r="M149" s="27" t="s">
        <v>1349</v>
      </c>
      <c r="N149" s="27" t="s">
        <v>1884</v>
      </c>
      <c r="O149" s="27"/>
      <c r="P149" s="27" t="s">
        <v>1885</v>
      </c>
      <c r="Q149" s="27" t="s">
        <v>643</v>
      </c>
      <c r="R149" s="27" t="s">
        <v>583</v>
      </c>
      <c r="S149" s="27"/>
      <c r="T149" s="27" t="s">
        <v>559</v>
      </c>
      <c r="U149" s="27" t="s">
        <v>602</v>
      </c>
      <c r="V149" s="28">
        <v>46098.14605758102</v>
      </c>
      <c r="W149" s="27" t="s">
        <v>1886</v>
      </c>
      <c r="X149" s="27" t="s">
        <v>559</v>
      </c>
      <c r="Y149" s="27" t="s">
        <v>1353</v>
      </c>
      <c r="Z149" s="28">
        <v>46114.09911289352</v>
      </c>
      <c r="AA149" s="27" t="s">
        <v>1887</v>
      </c>
      <c r="AB149" s="27" t="s">
        <v>559</v>
      </c>
      <c r="AC149" s="27" t="s">
        <v>571</v>
      </c>
      <c r="AD149" s="28">
        <v>46118.084812777779</v>
      </c>
      <c r="AE149" s="27" t="s">
        <v>1888</v>
      </c>
      <c r="AF149" s="27" t="s">
        <v>559</v>
      </c>
      <c r="AG149" s="27" t="s">
        <v>683</v>
      </c>
      <c r="AH149" s="28">
        <v>46136.78099619213</v>
      </c>
      <c r="AI149" s="27" t="s">
        <v>684</v>
      </c>
      <c r="AJ149" s="27" t="s">
        <v>1889</v>
      </c>
      <c r="AK149" s="27" t="s">
        <v>1890</v>
      </c>
      <c r="AL149" s="27" t="s">
        <v>107</v>
      </c>
      <c r="AM149" s="27" t="s">
        <v>1891</v>
      </c>
      <c r="AN149" s="27" t="s">
        <v>710</v>
      </c>
      <c r="AO149" s="27"/>
    </row>
    <row r="150" spans="1:41" hidden="1">
      <c r="A150" s="27" t="s">
        <v>1892</v>
      </c>
      <c r="B150" s="27" t="s">
        <v>1893</v>
      </c>
      <c r="C150" s="27" t="s">
        <v>1894</v>
      </c>
      <c r="D150" s="27" t="s">
        <v>548</v>
      </c>
      <c r="E150" s="27" t="s">
        <v>638</v>
      </c>
      <c r="F150" s="28">
        <v>46099.327759108797</v>
      </c>
      <c r="G150" s="28">
        <v>46108.002864155096</v>
      </c>
      <c r="H150" s="28">
        <v>46099.327759108797</v>
      </c>
      <c r="I150" s="27" t="s">
        <v>1895</v>
      </c>
      <c r="J150" s="27" t="s">
        <v>1896</v>
      </c>
      <c r="K150" s="27" t="s">
        <v>566</v>
      </c>
      <c r="L150" s="27"/>
      <c r="M150" s="27" t="s">
        <v>1897</v>
      </c>
      <c r="N150" s="27"/>
      <c r="O150" s="27"/>
      <c r="P150" s="27" t="s">
        <v>1898</v>
      </c>
      <c r="Q150" s="27" t="s">
        <v>1264</v>
      </c>
      <c r="R150" s="27" t="s">
        <v>557</v>
      </c>
      <c r="S150" s="27"/>
      <c r="T150" s="27" t="s">
        <v>559</v>
      </c>
      <c r="U150" s="27" t="s">
        <v>1894</v>
      </c>
      <c r="V150" s="28">
        <v>46099.329696678244</v>
      </c>
      <c r="W150" s="27" t="s">
        <v>1899</v>
      </c>
      <c r="X150" s="27" t="s">
        <v>559</v>
      </c>
      <c r="Y150" s="27" t="s">
        <v>1900</v>
      </c>
      <c r="Z150" s="28">
        <v>46099.405028240741</v>
      </c>
      <c r="AA150" s="27" t="s">
        <v>1901</v>
      </c>
      <c r="AB150" s="27" t="s">
        <v>559</v>
      </c>
      <c r="AC150" s="27" t="s">
        <v>571</v>
      </c>
      <c r="AD150" s="28">
        <v>46107.141470752314</v>
      </c>
      <c r="AE150" s="27" t="s">
        <v>1902</v>
      </c>
      <c r="AF150" s="27" t="s">
        <v>559</v>
      </c>
      <c r="AG150" s="27" t="s">
        <v>683</v>
      </c>
      <c r="AH150" s="28">
        <v>46108.002864166665</v>
      </c>
      <c r="AI150" s="27" t="s">
        <v>684</v>
      </c>
      <c r="AJ150" s="27" t="s">
        <v>1903</v>
      </c>
      <c r="AK150" s="27" t="s">
        <v>1904</v>
      </c>
      <c r="AL150" s="27" t="s">
        <v>116</v>
      </c>
      <c r="AM150" s="27" t="s">
        <v>1905</v>
      </c>
      <c r="AN150" s="27" t="s">
        <v>687</v>
      </c>
      <c r="AO150" s="27">
        <v>0</v>
      </c>
    </row>
    <row r="151" spans="1:41" hidden="1">
      <c r="A151" s="27" t="s">
        <v>1906</v>
      </c>
      <c r="B151" s="27" t="s">
        <v>1907</v>
      </c>
      <c r="C151" s="27" t="s">
        <v>1908</v>
      </c>
      <c r="D151" s="27" t="s">
        <v>548</v>
      </c>
      <c r="E151" s="27" t="s">
        <v>638</v>
      </c>
      <c r="F151" s="28">
        <v>46107.057209525461</v>
      </c>
      <c r="G151" s="28">
        <v>46112.111678472225</v>
      </c>
      <c r="H151" s="28">
        <v>46107.057209525461</v>
      </c>
      <c r="I151" s="27" t="s">
        <v>1909</v>
      </c>
      <c r="J151" s="27" t="s">
        <v>1910</v>
      </c>
      <c r="K151" s="27" t="s">
        <v>566</v>
      </c>
      <c r="L151" s="27"/>
      <c r="M151" s="27" t="s">
        <v>778</v>
      </c>
      <c r="N151" s="27"/>
      <c r="O151" s="27"/>
      <c r="P151" s="27" t="s">
        <v>976</v>
      </c>
      <c r="Q151" s="27" t="s">
        <v>556</v>
      </c>
      <c r="R151" s="27" t="s">
        <v>659</v>
      </c>
      <c r="S151" s="27"/>
      <c r="T151" s="27" t="s">
        <v>559</v>
      </c>
      <c r="U151" s="27" t="s">
        <v>1908</v>
      </c>
      <c r="V151" s="28">
        <v>46107.05935974537</v>
      </c>
      <c r="W151" s="27" t="s">
        <v>1911</v>
      </c>
      <c r="X151" s="27" t="s">
        <v>559</v>
      </c>
      <c r="Y151" s="27" t="s">
        <v>778</v>
      </c>
      <c r="Z151" s="28">
        <v>46111.069004826386</v>
      </c>
      <c r="AA151" s="27" t="s">
        <v>976</v>
      </c>
      <c r="AB151" s="27" t="s">
        <v>559</v>
      </c>
      <c r="AC151" s="27" t="s">
        <v>571</v>
      </c>
      <c r="AD151" s="28">
        <v>46111.084743703701</v>
      </c>
      <c r="AE151" s="27" t="s">
        <v>1912</v>
      </c>
      <c r="AF151" s="27" t="s">
        <v>559</v>
      </c>
      <c r="AG151" s="27" t="s">
        <v>571</v>
      </c>
      <c r="AH151" s="28">
        <v>46112.111678483794</v>
      </c>
      <c r="AI151" s="27" t="s">
        <v>649</v>
      </c>
      <c r="AJ151" s="27" t="s">
        <v>1913</v>
      </c>
      <c r="AK151" s="27">
        <v>3159</v>
      </c>
      <c r="AL151" s="27" t="s">
        <v>107</v>
      </c>
      <c r="AM151" s="27" t="s">
        <v>1914</v>
      </c>
      <c r="AN151" s="27" t="s">
        <v>665</v>
      </c>
      <c r="AO151" s="27">
        <v>0</v>
      </c>
    </row>
    <row r="152" spans="1:41" hidden="1">
      <c r="A152" s="27" t="s">
        <v>1915</v>
      </c>
      <c r="B152" s="27" t="s">
        <v>1916</v>
      </c>
      <c r="C152" s="27" t="s">
        <v>1917</v>
      </c>
      <c r="D152" s="27" t="s">
        <v>548</v>
      </c>
      <c r="E152" s="27" t="s">
        <v>638</v>
      </c>
      <c r="F152" s="28">
        <v>46107.083234606478</v>
      </c>
      <c r="G152" s="28">
        <v>46112.345700520833</v>
      </c>
      <c r="H152" s="28">
        <v>46107.083234606478</v>
      </c>
      <c r="I152" s="27" t="s">
        <v>1918</v>
      </c>
      <c r="J152" s="27" t="s">
        <v>1919</v>
      </c>
      <c r="K152" s="27" t="s">
        <v>566</v>
      </c>
      <c r="L152" s="27"/>
      <c r="M152" s="27" t="s">
        <v>1920</v>
      </c>
      <c r="N152" s="27"/>
      <c r="O152" s="27"/>
      <c r="P152" s="27" t="s">
        <v>1921</v>
      </c>
      <c r="Q152" s="27" t="s">
        <v>556</v>
      </c>
      <c r="R152" s="27" t="s">
        <v>644</v>
      </c>
      <c r="S152" s="27"/>
      <c r="T152" s="27" t="s">
        <v>559</v>
      </c>
      <c r="U152" s="27" t="s">
        <v>1917</v>
      </c>
      <c r="V152" s="28">
        <v>46107.092730497687</v>
      </c>
      <c r="W152" s="27" t="s">
        <v>1922</v>
      </c>
      <c r="X152" s="27" t="s">
        <v>559</v>
      </c>
      <c r="Y152" s="27" t="s">
        <v>1923</v>
      </c>
      <c r="Z152" s="28">
        <v>46111.319469386573</v>
      </c>
      <c r="AA152" s="27" t="s">
        <v>1765</v>
      </c>
      <c r="AB152" s="27" t="s">
        <v>559</v>
      </c>
      <c r="AC152" s="27" t="s">
        <v>571</v>
      </c>
      <c r="AD152" s="28">
        <v>46111.380117581015</v>
      </c>
      <c r="AE152" s="27" t="s">
        <v>1924</v>
      </c>
      <c r="AF152" s="27" t="s">
        <v>559</v>
      </c>
      <c r="AG152" s="27" t="s">
        <v>683</v>
      </c>
      <c r="AH152" s="28">
        <v>46112.345700520833</v>
      </c>
      <c r="AI152" s="27" t="s">
        <v>684</v>
      </c>
      <c r="AJ152" s="27" t="s">
        <v>1925</v>
      </c>
      <c r="AK152" s="27" t="s">
        <v>1926</v>
      </c>
      <c r="AL152" s="27" t="s">
        <v>107</v>
      </c>
      <c r="AM152" s="27" t="s">
        <v>1927</v>
      </c>
      <c r="AN152" s="27" t="s">
        <v>665</v>
      </c>
      <c r="AO152" s="27">
        <v>0</v>
      </c>
    </row>
    <row r="153" spans="1:41" hidden="1">
      <c r="A153" s="27" t="s">
        <v>1928</v>
      </c>
      <c r="B153" s="27" t="s">
        <v>1929</v>
      </c>
      <c r="C153" s="27" t="s">
        <v>1930</v>
      </c>
      <c r="D153" s="27" t="s">
        <v>548</v>
      </c>
      <c r="E153" s="27" t="s">
        <v>638</v>
      </c>
      <c r="F153" s="28">
        <v>46108.111356226851</v>
      </c>
      <c r="G153" s="28">
        <v>46112.090667743054</v>
      </c>
      <c r="H153" s="28">
        <v>46108.111356226851</v>
      </c>
      <c r="I153" s="27" t="s">
        <v>1931</v>
      </c>
      <c r="J153" s="27" t="s">
        <v>1932</v>
      </c>
      <c r="K153" s="27" t="s">
        <v>566</v>
      </c>
      <c r="L153" s="27"/>
      <c r="M153" s="27" t="s">
        <v>1454</v>
      </c>
      <c r="N153" s="27"/>
      <c r="O153" s="27"/>
      <c r="P153" s="27" t="s">
        <v>1933</v>
      </c>
      <c r="Q153" s="27" t="s">
        <v>556</v>
      </c>
      <c r="R153" s="27" t="s">
        <v>659</v>
      </c>
      <c r="S153" s="27"/>
      <c r="T153" s="27" t="s">
        <v>559</v>
      </c>
      <c r="U153" s="27" t="s">
        <v>1930</v>
      </c>
      <c r="V153" s="28">
        <v>46108.11483608796</v>
      </c>
      <c r="W153" s="27" t="s">
        <v>1934</v>
      </c>
      <c r="X153" s="27" t="s">
        <v>559</v>
      </c>
      <c r="Y153" s="27" t="s">
        <v>778</v>
      </c>
      <c r="Z153" s="28">
        <v>46111.068725254627</v>
      </c>
      <c r="AA153" s="27" t="s">
        <v>1933</v>
      </c>
      <c r="AB153" s="27" t="s">
        <v>559</v>
      </c>
      <c r="AC153" s="27" t="s">
        <v>571</v>
      </c>
      <c r="AD153" s="28">
        <v>46111.08410644676</v>
      </c>
      <c r="AE153" s="27" t="s">
        <v>1935</v>
      </c>
      <c r="AF153" s="27" t="s">
        <v>559</v>
      </c>
      <c r="AG153" s="27" t="s">
        <v>571</v>
      </c>
      <c r="AH153" s="28">
        <v>46112.090667743054</v>
      </c>
      <c r="AI153" s="27" t="s">
        <v>649</v>
      </c>
      <c r="AJ153" s="27" t="s">
        <v>1936</v>
      </c>
      <c r="AK153" s="27">
        <v>2983</v>
      </c>
      <c r="AL153" s="27" t="s">
        <v>107</v>
      </c>
      <c r="AM153" s="27" t="s">
        <v>1937</v>
      </c>
      <c r="AN153" s="27" t="s">
        <v>665</v>
      </c>
      <c r="AO153" s="27">
        <v>0</v>
      </c>
    </row>
    <row r="154" spans="1:41" hidden="1">
      <c r="A154" s="27" t="s">
        <v>1938</v>
      </c>
      <c r="B154" s="27" t="s">
        <v>1939</v>
      </c>
      <c r="C154" s="27" t="s">
        <v>1841</v>
      </c>
      <c r="D154" s="27" t="s">
        <v>548</v>
      </c>
      <c r="E154" s="27" t="s">
        <v>578</v>
      </c>
      <c r="F154" s="28">
        <v>46108.173405289352</v>
      </c>
      <c r="G154" s="28">
        <v>46119.312950254629</v>
      </c>
      <c r="H154" s="28">
        <v>46108.173405289352</v>
      </c>
      <c r="I154" s="27" t="s">
        <v>1842</v>
      </c>
      <c r="J154" s="27" t="s">
        <v>1843</v>
      </c>
      <c r="K154" s="27" t="s">
        <v>566</v>
      </c>
      <c r="L154" s="27"/>
      <c r="M154" s="27" t="s">
        <v>1844</v>
      </c>
      <c r="N154" s="27" t="s">
        <v>1845</v>
      </c>
      <c r="O154" s="27"/>
      <c r="P154" s="27" t="s">
        <v>1940</v>
      </c>
      <c r="Q154" s="27" t="s">
        <v>623</v>
      </c>
      <c r="R154" s="27" t="s">
        <v>583</v>
      </c>
      <c r="S154" s="27"/>
      <c r="T154" s="27" t="s">
        <v>549</v>
      </c>
      <c r="U154" s="27" t="s">
        <v>1841</v>
      </c>
      <c r="V154" s="28">
        <v>46119.312950266205</v>
      </c>
      <c r="W154" s="27"/>
      <c r="X154" s="27"/>
      <c r="Y154" s="27" t="s">
        <v>1847</v>
      </c>
      <c r="Z154" s="28"/>
      <c r="AA154" s="27"/>
      <c r="AB154" s="27"/>
      <c r="AC154" s="27" t="s">
        <v>573</v>
      </c>
      <c r="AD154" s="28"/>
      <c r="AE154" s="27"/>
      <c r="AF154" s="27"/>
      <c r="AG154" s="27" t="s">
        <v>108</v>
      </c>
      <c r="AH154" s="28"/>
      <c r="AI154" s="27"/>
      <c r="AJ154" s="27" t="s">
        <v>1848</v>
      </c>
      <c r="AK154" s="27">
        <v>2173</v>
      </c>
      <c r="AL154" s="27"/>
      <c r="AM154" s="27"/>
      <c r="AN154" s="27" t="s">
        <v>687</v>
      </c>
      <c r="AO154" s="27">
        <v>0</v>
      </c>
    </row>
    <row r="155" spans="1:41" hidden="1">
      <c r="A155" s="27" t="s">
        <v>1941</v>
      </c>
      <c r="B155" s="27" t="s">
        <v>1942</v>
      </c>
      <c r="C155" s="27" t="s">
        <v>1943</v>
      </c>
      <c r="D155" s="27" t="s">
        <v>548</v>
      </c>
      <c r="E155" s="27" t="s">
        <v>638</v>
      </c>
      <c r="F155" s="28">
        <v>46112.102003518521</v>
      </c>
      <c r="G155" s="28">
        <v>46133.127754108798</v>
      </c>
      <c r="H155" s="28">
        <v>46112.115240578707</v>
      </c>
      <c r="I155" s="27" t="s">
        <v>1944</v>
      </c>
      <c r="J155" s="27" t="s">
        <v>1945</v>
      </c>
      <c r="K155" s="27" t="s">
        <v>676</v>
      </c>
      <c r="L155" s="27" t="s">
        <v>1946</v>
      </c>
      <c r="M155" s="27" t="s">
        <v>1947</v>
      </c>
      <c r="N155" s="27" t="s">
        <v>1948</v>
      </c>
      <c r="O155" s="27"/>
      <c r="P155" s="27" t="s">
        <v>1949</v>
      </c>
      <c r="Q155" s="27" t="s">
        <v>623</v>
      </c>
      <c r="R155" s="27" t="s">
        <v>583</v>
      </c>
      <c r="S155" s="27"/>
      <c r="T155" s="27" t="s">
        <v>559</v>
      </c>
      <c r="U155" s="27" t="s">
        <v>1943</v>
      </c>
      <c r="V155" s="28">
        <v>46112.116337025465</v>
      </c>
      <c r="W155" s="27" t="s">
        <v>1950</v>
      </c>
      <c r="X155" s="27" t="s">
        <v>559</v>
      </c>
      <c r="Y155" s="27" t="s">
        <v>1078</v>
      </c>
      <c r="Z155" s="28">
        <v>46127.100981076386</v>
      </c>
      <c r="AA155" s="27" t="s">
        <v>867</v>
      </c>
      <c r="AB155" s="27" t="s">
        <v>559</v>
      </c>
      <c r="AC155" s="27" t="s">
        <v>571</v>
      </c>
      <c r="AD155" s="28">
        <v>46127.318465069446</v>
      </c>
      <c r="AE155" s="27" t="s">
        <v>1951</v>
      </c>
      <c r="AF155" s="27" t="s">
        <v>559</v>
      </c>
      <c r="AG155" s="27" t="s">
        <v>571</v>
      </c>
      <c r="AH155" s="28">
        <v>46133.127754108798</v>
      </c>
      <c r="AI155" s="27" t="s">
        <v>649</v>
      </c>
      <c r="AJ155" s="27" t="s">
        <v>1952</v>
      </c>
      <c r="AK155" s="27">
        <v>3901</v>
      </c>
      <c r="AL155" s="27" t="s">
        <v>107</v>
      </c>
      <c r="AM155" s="27" t="s">
        <v>1953</v>
      </c>
      <c r="AN155" s="27" t="s">
        <v>665</v>
      </c>
      <c r="AO155" s="27">
        <v>0</v>
      </c>
    </row>
    <row r="156" spans="1:41" hidden="1">
      <c r="A156" s="27" t="s">
        <v>1954</v>
      </c>
      <c r="B156" s="27" t="s">
        <v>1955</v>
      </c>
      <c r="C156" s="27" t="s">
        <v>1841</v>
      </c>
      <c r="D156" s="27" t="s">
        <v>548</v>
      </c>
      <c r="E156" s="27" t="s">
        <v>578</v>
      </c>
      <c r="F156" s="28">
        <v>46112.404651689816</v>
      </c>
      <c r="G156" s="28">
        <v>46119.313247789352</v>
      </c>
      <c r="H156" s="28">
        <v>46112.404651689816</v>
      </c>
      <c r="I156" s="27" t="s">
        <v>1956</v>
      </c>
      <c r="J156" s="27" t="s">
        <v>1957</v>
      </c>
      <c r="K156" s="27" t="s">
        <v>566</v>
      </c>
      <c r="L156" s="27"/>
      <c r="M156" s="27" t="s">
        <v>1844</v>
      </c>
      <c r="N156" s="27" t="s">
        <v>1845</v>
      </c>
      <c r="O156" s="27"/>
      <c r="P156" s="27" t="s">
        <v>1958</v>
      </c>
      <c r="Q156" s="27" t="s">
        <v>623</v>
      </c>
      <c r="R156" s="27" t="s">
        <v>583</v>
      </c>
      <c r="S156" s="27"/>
      <c r="T156" s="27" t="s">
        <v>549</v>
      </c>
      <c r="U156" s="27" t="s">
        <v>1841</v>
      </c>
      <c r="V156" s="28">
        <v>46119.313247800928</v>
      </c>
      <c r="W156" s="27"/>
      <c r="X156" s="27"/>
      <c r="Y156" s="27" t="s">
        <v>1847</v>
      </c>
      <c r="Z156" s="28"/>
      <c r="AA156" s="27"/>
      <c r="AB156" s="27"/>
      <c r="AC156" s="27" t="s">
        <v>573</v>
      </c>
      <c r="AD156" s="28"/>
      <c r="AE156" s="27"/>
      <c r="AF156" s="27"/>
      <c r="AG156" s="27" t="s">
        <v>108</v>
      </c>
      <c r="AH156" s="28"/>
      <c r="AI156" s="27"/>
      <c r="AJ156" s="27" t="s">
        <v>1959</v>
      </c>
      <c r="AK156" s="27">
        <v>4141</v>
      </c>
      <c r="AL156" s="27"/>
      <c r="AM156" s="27"/>
      <c r="AN156" s="27" t="s">
        <v>687</v>
      </c>
      <c r="AO156" s="27">
        <v>0</v>
      </c>
    </row>
    <row r="157" spans="1:41" hidden="1">
      <c r="A157" s="27" t="s">
        <v>1960</v>
      </c>
      <c r="B157" s="27" t="s">
        <v>1961</v>
      </c>
      <c r="C157" s="27" t="s">
        <v>1509</v>
      </c>
      <c r="D157" s="27" t="s">
        <v>548</v>
      </c>
      <c r="E157" s="27" t="s">
        <v>638</v>
      </c>
      <c r="F157" s="28">
        <v>46113.119380706019</v>
      </c>
      <c r="G157" s="28">
        <v>46125.165586319446</v>
      </c>
      <c r="H157" s="28">
        <v>46113.119380706019</v>
      </c>
      <c r="I157" s="27" t="s">
        <v>1962</v>
      </c>
      <c r="J157" s="27" t="s">
        <v>1963</v>
      </c>
      <c r="K157" s="27" t="s">
        <v>566</v>
      </c>
      <c r="L157" s="27"/>
      <c r="M157" s="27" t="s">
        <v>778</v>
      </c>
      <c r="N157" s="27"/>
      <c r="O157" s="27"/>
      <c r="P157" s="27" t="s">
        <v>1964</v>
      </c>
      <c r="Q157" s="27" t="s">
        <v>556</v>
      </c>
      <c r="R157" s="27" t="s">
        <v>659</v>
      </c>
      <c r="S157" s="27"/>
      <c r="T157" s="27" t="s">
        <v>559</v>
      </c>
      <c r="U157" s="27" t="s">
        <v>1509</v>
      </c>
      <c r="V157" s="28">
        <v>46113.120907835648</v>
      </c>
      <c r="W157" s="27" t="s">
        <v>1964</v>
      </c>
      <c r="X157" s="27" t="s">
        <v>559</v>
      </c>
      <c r="Y157" s="27" t="s">
        <v>778</v>
      </c>
      <c r="Z157" s="28">
        <v>46114.163926134257</v>
      </c>
      <c r="AA157" s="27" t="s">
        <v>1964</v>
      </c>
      <c r="AB157" s="27" t="s">
        <v>559</v>
      </c>
      <c r="AC157" s="27" t="s">
        <v>571</v>
      </c>
      <c r="AD157" s="28">
        <v>46118.121135381945</v>
      </c>
      <c r="AE157" s="27" t="s">
        <v>1965</v>
      </c>
      <c r="AF157" s="27" t="s">
        <v>559</v>
      </c>
      <c r="AG157" s="27" t="s">
        <v>571</v>
      </c>
      <c r="AH157" s="28">
        <v>46125.165586331015</v>
      </c>
      <c r="AI157" s="27" t="s">
        <v>649</v>
      </c>
      <c r="AJ157" s="27" t="s">
        <v>1966</v>
      </c>
      <c r="AK157" s="27" t="s">
        <v>1967</v>
      </c>
      <c r="AL157" s="27" t="s">
        <v>107</v>
      </c>
      <c r="AM157" s="27" t="s">
        <v>1968</v>
      </c>
      <c r="AN157" s="27" t="s">
        <v>665</v>
      </c>
      <c r="AO157" s="27">
        <v>0</v>
      </c>
    </row>
    <row r="158" spans="1:41" hidden="1">
      <c r="A158" s="27" t="s">
        <v>1969</v>
      </c>
      <c r="B158" s="27" t="s">
        <v>1970</v>
      </c>
      <c r="C158" s="27" t="s">
        <v>1509</v>
      </c>
      <c r="D158" s="27" t="s">
        <v>548</v>
      </c>
      <c r="E158" s="27" t="s">
        <v>578</v>
      </c>
      <c r="F158" s="28">
        <v>46113.122782395832</v>
      </c>
      <c r="G158" s="28">
        <v>46113.122962939815</v>
      </c>
      <c r="H158" s="28">
        <v>46113.122782395832</v>
      </c>
      <c r="I158" s="27" t="s">
        <v>1962</v>
      </c>
      <c r="J158" s="27" t="s">
        <v>1971</v>
      </c>
      <c r="K158" s="27" t="s">
        <v>566</v>
      </c>
      <c r="L158" s="27"/>
      <c r="M158" s="27" t="s">
        <v>778</v>
      </c>
      <c r="N158" s="27"/>
      <c r="O158" s="27"/>
      <c r="P158" s="27" t="s">
        <v>1964</v>
      </c>
      <c r="Q158" s="27" t="s">
        <v>556</v>
      </c>
      <c r="R158" s="27" t="s">
        <v>659</v>
      </c>
      <c r="S158" s="27"/>
      <c r="T158" s="27" t="s">
        <v>549</v>
      </c>
      <c r="U158" s="27" t="s">
        <v>1509</v>
      </c>
      <c r="V158" s="28">
        <v>46113.122962939815</v>
      </c>
      <c r="W158" s="27"/>
      <c r="X158" s="27"/>
      <c r="Y158" s="27" t="s">
        <v>778</v>
      </c>
      <c r="Z158" s="28"/>
      <c r="AA158" s="27"/>
      <c r="AB158" s="27"/>
      <c r="AC158" s="27" t="s">
        <v>573</v>
      </c>
      <c r="AD158" s="28"/>
      <c r="AE158" s="27"/>
      <c r="AF158" s="27"/>
      <c r="AG158" s="27" t="s">
        <v>108</v>
      </c>
      <c r="AH158" s="28"/>
      <c r="AI158" s="27"/>
      <c r="AJ158" s="27" t="s">
        <v>1966</v>
      </c>
      <c r="AK158" s="27" t="s">
        <v>1972</v>
      </c>
      <c r="AL158" s="27"/>
      <c r="AM158" s="27"/>
      <c r="AN158" s="27" t="s">
        <v>665</v>
      </c>
      <c r="AO158" s="27">
        <v>0</v>
      </c>
    </row>
    <row r="159" spans="1:41" hidden="1">
      <c r="A159" s="27" t="s">
        <v>1973</v>
      </c>
      <c r="B159" s="27" t="s">
        <v>1974</v>
      </c>
      <c r="C159" s="27" t="s">
        <v>1509</v>
      </c>
      <c r="D159" s="27" t="s">
        <v>548</v>
      </c>
      <c r="E159" s="27" t="s">
        <v>638</v>
      </c>
      <c r="F159" s="28">
        <v>46113.123381747682</v>
      </c>
      <c r="G159" s="28">
        <v>46124.459708113427</v>
      </c>
      <c r="H159" s="28">
        <v>46113.123381747682</v>
      </c>
      <c r="I159" s="27" t="s">
        <v>1962</v>
      </c>
      <c r="J159" s="27" t="s">
        <v>1975</v>
      </c>
      <c r="K159" s="27" t="s">
        <v>566</v>
      </c>
      <c r="L159" s="27"/>
      <c r="M159" s="27" t="s">
        <v>778</v>
      </c>
      <c r="N159" s="27"/>
      <c r="O159" s="27"/>
      <c r="P159" s="27" t="s">
        <v>1964</v>
      </c>
      <c r="Q159" s="27" t="s">
        <v>556</v>
      </c>
      <c r="R159" s="27" t="s">
        <v>659</v>
      </c>
      <c r="S159" s="27"/>
      <c r="T159" s="27" t="s">
        <v>559</v>
      </c>
      <c r="U159" s="27" t="s">
        <v>1509</v>
      </c>
      <c r="V159" s="28">
        <v>46113.123660335645</v>
      </c>
      <c r="W159" s="27" t="s">
        <v>1964</v>
      </c>
      <c r="X159" s="27" t="s">
        <v>559</v>
      </c>
      <c r="Y159" s="27" t="s">
        <v>778</v>
      </c>
      <c r="Z159" s="28">
        <v>46114.151955300928</v>
      </c>
      <c r="AA159" s="27" t="s">
        <v>1964</v>
      </c>
      <c r="AB159" s="27" t="s">
        <v>559</v>
      </c>
      <c r="AC159" s="27" t="s">
        <v>571</v>
      </c>
      <c r="AD159" s="28">
        <v>46118.11829150463</v>
      </c>
      <c r="AE159" s="27" t="s">
        <v>1965</v>
      </c>
      <c r="AF159" s="27" t="s">
        <v>559</v>
      </c>
      <c r="AG159" s="27" t="s">
        <v>571</v>
      </c>
      <c r="AH159" s="28">
        <v>46124.459708125003</v>
      </c>
      <c r="AI159" s="27" t="s">
        <v>649</v>
      </c>
      <c r="AJ159" s="27" t="s">
        <v>1966</v>
      </c>
      <c r="AK159" s="27" t="s">
        <v>1967</v>
      </c>
      <c r="AL159" s="27" t="s">
        <v>107</v>
      </c>
      <c r="AM159" s="27" t="s">
        <v>1976</v>
      </c>
      <c r="AN159" s="27" t="s">
        <v>665</v>
      </c>
      <c r="AO159" s="27">
        <v>0</v>
      </c>
    </row>
    <row r="160" spans="1:41" hidden="1">
      <c r="A160" s="27" t="s">
        <v>1977</v>
      </c>
      <c r="B160" s="27" t="s">
        <v>1978</v>
      </c>
      <c r="C160" s="27" t="s">
        <v>1509</v>
      </c>
      <c r="D160" s="27" t="s">
        <v>548</v>
      </c>
      <c r="E160" s="27" t="s">
        <v>638</v>
      </c>
      <c r="F160" s="28">
        <v>46113.124856655093</v>
      </c>
      <c r="G160" s="28">
        <v>46120.165601273147</v>
      </c>
      <c r="H160" s="28">
        <v>46113.124856655093</v>
      </c>
      <c r="I160" s="27" t="s">
        <v>1962</v>
      </c>
      <c r="J160" s="27" t="s">
        <v>1979</v>
      </c>
      <c r="K160" s="27" t="s">
        <v>566</v>
      </c>
      <c r="L160" s="27"/>
      <c r="M160" s="27" t="s">
        <v>778</v>
      </c>
      <c r="N160" s="27"/>
      <c r="O160" s="27"/>
      <c r="P160" s="27" t="s">
        <v>1964</v>
      </c>
      <c r="Q160" s="27" t="s">
        <v>556</v>
      </c>
      <c r="R160" s="27" t="s">
        <v>659</v>
      </c>
      <c r="S160" s="27"/>
      <c r="T160" s="27" t="s">
        <v>559</v>
      </c>
      <c r="U160" s="27" t="s">
        <v>1509</v>
      </c>
      <c r="V160" s="28">
        <v>46113.125121990743</v>
      </c>
      <c r="W160" s="27" t="s">
        <v>1964</v>
      </c>
      <c r="X160" s="27" t="s">
        <v>559</v>
      </c>
      <c r="Y160" s="27" t="s">
        <v>778</v>
      </c>
      <c r="Z160" s="28">
        <v>46114.151542002313</v>
      </c>
      <c r="AA160" s="27" t="s">
        <v>1964</v>
      </c>
      <c r="AB160" s="27" t="s">
        <v>559</v>
      </c>
      <c r="AC160" s="27" t="s">
        <v>571</v>
      </c>
      <c r="AD160" s="28">
        <v>46118.114197083334</v>
      </c>
      <c r="AE160" s="27" t="s">
        <v>895</v>
      </c>
      <c r="AF160" s="27" t="s">
        <v>559</v>
      </c>
      <c r="AG160" s="27" t="s">
        <v>571</v>
      </c>
      <c r="AH160" s="28">
        <v>46120.165601284723</v>
      </c>
      <c r="AI160" s="27" t="s">
        <v>649</v>
      </c>
      <c r="AJ160" s="27" t="s">
        <v>1966</v>
      </c>
      <c r="AK160" s="27" t="s">
        <v>1980</v>
      </c>
      <c r="AL160" s="27" t="s">
        <v>107</v>
      </c>
      <c r="AM160" s="27" t="s">
        <v>1981</v>
      </c>
      <c r="AN160" s="27" t="s">
        <v>665</v>
      </c>
      <c r="AO160" s="27">
        <v>0</v>
      </c>
    </row>
    <row r="161" spans="1:41" hidden="1">
      <c r="A161" s="27" t="s">
        <v>1982</v>
      </c>
      <c r="B161" s="27" t="s">
        <v>1983</v>
      </c>
      <c r="C161" s="27" t="s">
        <v>1930</v>
      </c>
      <c r="D161" s="27" t="s">
        <v>548</v>
      </c>
      <c r="E161" s="27" t="s">
        <v>638</v>
      </c>
      <c r="F161" s="28">
        <v>46113.134379236108</v>
      </c>
      <c r="G161" s="28">
        <v>46122.443775729167</v>
      </c>
      <c r="H161" s="28">
        <v>46113.134379236108</v>
      </c>
      <c r="I161" s="27" t="s">
        <v>1984</v>
      </c>
      <c r="J161" s="27" t="s">
        <v>1985</v>
      </c>
      <c r="K161" s="27" t="s">
        <v>566</v>
      </c>
      <c r="L161" s="27"/>
      <c r="M161" s="27" t="s">
        <v>1454</v>
      </c>
      <c r="N161" s="27"/>
      <c r="O161" s="27"/>
      <c r="P161" s="27" t="s">
        <v>1933</v>
      </c>
      <c r="Q161" s="27" t="s">
        <v>556</v>
      </c>
      <c r="R161" s="27" t="s">
        <v>659</v>
      </c>
      <c r="S161" s="27"/>
      <c r="T161" s="27" t="s">
        <v>559</v>
      </c>
      <c r="U161" s="27" t="s">
        <v>1930</v>
      </c>
      <c r="V161" s="28">
        <v>46113.135130821756</v>
      </c>
      <c r="W161" s="27" t="s">
        <v>1933</v>
      </c>
      <c r="X161" s="27" t="s">
        <v>559</v>
      </c>
      <c r="Y161" s="27" t="s">
        <v>778</v>
      </c>
      <c r="Z161" s="28">
        <v>46113.142330428243</v>
      </c>
      <c r="AA161" s="27" t="s">
        <v>1933</v>
      </c>
      <c r="AB161" s="27" t="s">
        <v>559</v>
      </c>
      <c r="AC161" s="27" t="s">
        <v>571</v>
      </c>
      <c r="AD161" s="28">
        <v>46113.163704351849</v>
      </c>
      <c r="AE161" s="27" t="s">
        <v>1986</v>
      </c>
      <c r="AF161" s="27" t="s">
        <v>559</v>
      </c>
      <c r="AG161" s="27" t="s">
        <v>571</v>
      </c>
      <c r="AH161" s="28">
        <v>46122.443775740743</v>
      </c>
      <c r="AI161" s="27" t="s">
        <v>649</v>
      </c>
      <c r="AJ161" s="27" t="s">
        <v>1987</v>
      </c>
      <c r="AK161" s="27">
        <v>4264</v>
      </c>
      <c r="AL161" s="27" t="s">
        <v>116</v>
      </c>
      <c r="AM161" s="27" t="s">
        <v>1988</v>
      </c>
      <c r="AN161" s="27" t="s">
        <v>665</v>
      </c>
      <c r="AO161" s="27">
        <v>0</v>
      </c>
    </row>
    <row r="162" spans="1:41" hidden="1">
      <c r="A162" s="27" t="s">
        <v>1989</v>
      </c>
      <c r="B162" s="27" t="s">
        <v>1990</v>
      </c>
      <c r="C162" s="27" t="s">
        <v>1991</v>
      </c>
      <c r="D162" s="27" t="s">
        <v>548</v>
      </c>
      <c r="E162" s="27" t="s">
        <v>638</v>
      </c>
      <c r="F162" s="28">
        <v>46115.308865509258</v>
      </c>
      <c r="G162" s="28">
        <v>46125.211723865737</v>
      </c>
      <c r="H162" s="28">
        <v>46115.308865509258</v>
      </c>
      <c r="I162" s="27" t="s">
        <v>1992</v>
      </c>
      <c r="J162" s="27" t="s">
        <v>1993</v>
      </c>
      <c r="K162" s="27" t="s">
        <v>676</v>
      </c>
      <c r="L162" s="27" t="s">
        <v>1994</v>
      </c>
      <c r="M162" s="27" t="s">
        <v>1722</v>
      </c>
      <c r="N162" s="27" t="s">
        <v>1995</v>
      </c>
      <c r="O162" s="27"/>
      <c r="P162" s="27" t="s">
        <v>1996</v>
      </c>
      <c r="Q162" s="27" t="s">
        <v>569</v>
      </c>
      <c r="R162" s="27" t="s">
        <v>583</v>
      </c>
      <c r="S162" s="27"/>
      <c r="T162" s="27" t="s">
        <v>559</v>
      </c>
      <c r="U162" s="27" t="s">
        <v>1991</v>
      </c>
      <c r="V162" s="28">
        <v>46115.309774004629</v>
      </c>
      <c r="W162" s="27" t="s">
        <v>1997</v>
      </c>
      <c r="X162" s="27" t="s">
        <v>559</v>
      </c>
      <c r="Y162" s="27" t="s">
        <v>1726</v>
      </c>
      <c r="Z162" s="28">
        <v>46116.486716666666</v>
      </c>
      <c r="AA162" s="27" t="s">
        <v>1727</v>
      </c>
      <c r="AB162" s="27" t="s">
        <v>559</v>
      </c>
      <c r="AC162" s="27" t="s">
        <v>571</v>
      </c>
      <c r="AD162" s="28">
        <v>46119.375964884261</v>
      </c>
      <c r="AE162" s="27" t="s">
        <v>1998</v>
      </c>
      <c r="AF162" s="27" t="s">
        <v>559</v>
      </c>
      <c r="AG162" s="27" t="s">
        <v>683</v>
      </c>
      <c r="AH162" s="28">
        <v>46125.211723877313</v>
      </c>
      <c r="AI162" s="27" t="s">
        <v>684</v>
      </c>
      <c r="AJ162" s="27" t="s">
        <v>1999</v>
      </c>
      <c r="AK162" s="27">
        <v>10132</v>
      </c>
      <c r="AL162" s="27" t="s">
        <v>107</v>
      </c>
      <c r="AM162" s="27" t="s">
        <v>2000</v>
      </c>
      <c r="AN162" s="27" t="s">
        <v>710</v>
      </c>
      <c r="AO162" s="27">
        <v>365</v>
      </c>
    </row>
    <row r="163" spans="1:41" hidden="1">
      <c r="A163" s="27" t="s">
        <v>2001</v>
      </c>
      <c r="B163" s="27" t="s">
        <v>2002</v>
      </c>
      <c r="C163" s="27" t="s">
        <v>2003</v>
      </c>
      <c r="D163" s="27" t="s">
        <v>548</v>
      </c>
      <c r="E163" s="27" t="s">
        <v>638</v>
      </c>
      <c r="F163" s="28">
        <v>46118.047065254628</v>
      </c>
      <c r="G163" s="28">
        <v>46122.09333408565</v>
      </c>
      <c r="H163" s="28">
        <v>46118.047065254628</v>
      </c>
      <c r="I163" s="27" t="s">
        <v>2004</v>
      </c>
      <c r="J163" s="27" t="s">
        <v>2005</v>
      </c>
      <c r="K163" s="27" t="s">
        <v>676</v>
      </c>
      <c r="L163" s="27" t="s">
        <v>794</v>
      </c>
      <c r="M163" s="27" t="s">
        <v>2006</v>
      </c>
      <c r="N163" s="27"/>
      <c r="O163" s="27"/>
      <c r="P163" s="27" t="s">
        <v>2007</v>
      </c>
      <c r="Q163" s="27" t="s">
        <v>569</v>
      </c>
      <c r="R163" s="27" t="s">
        <v>1379</v>
      </c>
      <c r="S163" s="27"/>
      <c r="T163" s="27" t="s">
        <v>559</v>
      </c>
      <c r="U163" s="27" t="s">
        <v>2003</v>
      </c>
      <c r="V163" s="28">
        <v>46118.050894907406</v>
      </c>
      <c r="W163" s="27" t="s">
        <v>2008</v>
      </c>
      <c r="X163" s="27" t="s">
        <v>559</v>
      </c>
      <c r="Y163" s="27" t="s">
        <v>2009</v>
      </c>
      <c r="Z163" s="28">
        <v>46118.313260659721</v>
      </c>
      <c r="AA163" s="27" t="s">
        <v>2010</v>
      </c>
      <c r="AB163" s="27" t="s">
        <v>559</v>
      </c>
      <c r="AC163" s="27" t="s">
        <v>571</v>
      </c>
      <c r="AD163" s="28">
        <v>46119.26788097222</v>
      </c>
      <c r="AE163" s="27" t="s">
        <v>2011</v>
      </c>
      <c r="AF163" s="27" t="s">
        <v>559</v>
      </c>
      <c r="AG163" s="27" t="s">
        <v>683</v>
      </c>
      <c r="AH163" s="28">
        <v>46122.093334108795</v>
      </c>
      <c r="AI163" s="27" t="s">
        <v>684</v>
      </c>
      <c r="AJ163" s="27" t="s">
        <v>2012</v>
      </c>
      <c r="AK163" s="27" t="s">
        <v>2013</v>
      </c>
      <c r="AL163" s="27" t="s">
        <v>107</v>
      </c>
      <c r="AM163" s="27" t="s">
        <v>2014</v>
      </c>
      <c r="AN163" s="27" t="s">
        <v>710</v>
      </c>
      <c r="AO163" s="27">
        <v>365</v>
      </c>
    </row>
    <row r="164" spans="1:41" hidden="1">
      <c r="A164" s="27" t="s">
        <v>2015</v>
      </c>
      <c r="B164" s="27" t="s">
        <v>2016</v>
      </c>
      <c r="C164" s="27" t="s">
        <v>1509</v>
      </c>
      <c r="D164" s="27" t="s">
        <v>548</v>
      </c>
      <c r="E164" s="27" t="s">
        <v>578</v>
      </c>
      <c r="F164" s="28">
        <v>46118.084872025465</v>
      </c>
      <c r="G164" s="28">
        <v>46118.085069606481</v>
      </c>
      <c r="H164" s="28">
        <v>46118.084872025465</v>
      </c>
      <c r="I164" s="27" t="s">
        <v>2017</v>
      </c>
      <c r="J164" s="27" t="s">
        <v>2018</v>
      </c>
      <c r="K164" s="27" t="s">
        <v>566</v>
      </c>
      <c r="L164" s="27"/>
      <c r="M164" s="27" t="s">
        <v>778</v>
      </c>
      <c r="N164" s="27"/>
      <c r="O164" s="27"/>
      <c r="P164" s="27" t="s">
        <v>1933</v>
      </c>
      <c r="Q164" s="27" t="s">
        <v>556</v>
      </c>
      <c r="R164" s="27" t="s">
        <v>659</v>
      </c>
      <c r="S164" s="27"/>
      <c r="T164" s="27" t="s">
        <v>549</v>
      </c>
      <c r="U164" s="27" t="s">
        <v>1509</v>
      </c>
      <c r="V164" s="28">
        <v>46118.085069618057</v>
      </c>
      <c r="W164" s="27"/>
      <c r="X164" s="27"/>
      <c r="Y164" s="27" t="s">
        <v>778</v>
      </c>
      <c r="Z164" s="28"/>
      <c r="AA164" s="27"/>
      <c r="AB164" s="27"/>
      <c r="AC164" s="27" t="s">
        <v>573</v>
      </c>
      <c r="AD164" s="28"/>
      <c r="AE164" s="27"/>
      <c r="AF164" s="27"/>
      <c r="AG164" s="27" t="s">
        <v>108</v>
      </c>
      <c r="AH164" s="28"/>
      <c r="AI164" s="27"/>
      <c r="AJ164" s="27" t="s">
        <v>2019</v>
      </c>
      <c r="AK164" s="27">
        <v>3563</v>
      </c>
      <c r="AL164" s="27"/>
      <c r="AM164" s="27"/>
      <c r="AN164" s="27" t="s">
        <v>665</v>
      </c>
      <c r="AO164" s="27">
        <v>0</v>
      </c>
    </row>
    <row r="165" spans="1:41" hidden="1">
      <c r="A165" s="27" t="s">
        <v>2020</v>
      </c>
      <c r="B165" s="27" t="s">
        <v>2021</v>
      </c>
      <c r="C165" s="27" t="s">
        <v>1509</v>
      </c>
      <c r="D165" s="27" t="s">
        <v>548</v>
      </c>
      <c r="E165" s="27" t="s">
        <v>638</v>
      </c>
      <c r="F165" s="28">
        <v>46118.086227812499</v>
      </c>
      <c r="G165" s="28">
        <v>46199.315256192131</v>
      </c>
      <c r="H165" s="28">
        <v>46118.086227812499</v>
      </c>
      <c r="I165" s="27" t="s">
        <v>2017</v>
      </c>
      <c r="J165" s="27" t="s">
        <v>2018</v>
      </c>
      <c r="K165" s="27" t="s">
        <v>566</v>
      </c>
      <c r="L165" s="27"/>
      <c r="M165" s="27" t="s">
        <v>778</v>
      </c>
      <c r="N165" s="27"/>
      <c r="O165" s="27"/>
      <c r="P165" s="27" t="s">
        <v>1933</v>
      </c>
      <c r="Q165" s="27" t="s">
        <v>556</v>
      </c>
      <c r="R165" s="27" t="s">
        <v>659</v>
      </c>
      <c r="S165" s="27"/>
      <c r="T165" s="27" t="s">
        <v>559</v>
      </c>
      <c r="U165" s="27" t="s">
        <v>1509</v>
      </c>
      <c r="V165" s="28">
        <v>46118.087092407404</v>
      </c>
      <c r="W165" s="27" t="s">
        <v>1933</v>
      </c>
      <c r="X165" s="27" t="s">
        <v>559</v>
      </c>
      <c r="Y165" s="27" t="s">
        <v>778</v>
      </c>
      <c r="Z165" s="28">
        <v>46184.073734166668</v>
      </c>
      <c r="AA165" s="27" t="s">
        <v>1933</v>
      </c>
      <c r="AB165" s="27" t="s">
        <v>559</v>
      </c>
      <c r="AC165" s="27" t="s">
        <v>571</v>
      </c>
      <c r="AD165" s="28">
        <v>46184.096266215274</v>
      </c>
      <c r="AE165" s="27" t="s">
        <v>2022</v>
      </c>
      <c r="AF165" s="27" t="s">
        <v>559</v>
      </c>
      <c r="AG165" s="27" t="s">
        <v>571</v>
      </c>
      <c r="AH165" s="28">
        <v>46199.315256203707</v>
      </c>
      <c r="AI165" s="27" t="s">
        <v>649</v>
      </c>
      <c r="AJ165" s="27" t="s">
        <v>2019</v>
      </c>
      <c r="AK165" s="27">
        <v>3563</v>
      </c>
      <c r="AL165" s="27" t="s">
        <v>107</v>
      </c>
      <c r="AM165" s="27" t="s">
        <v>2023</v>
      </c>
      <c r="AN165" s="27" t="s">
        <v>665</v>
      </c>
      <c r="AO165" s="27">
        <v>0</v>
      </c>
    </row>
    <row r="166" spans="1:41" hidden="1">
      <c r="A166" s="27" t="s">
        <v>2024</v>
      </c>
      <c r="B166" s="27" t="s">
        <v>2025</v>
      </c>
      <c r="C166" s="27" t="s">
        <v>1841</v>
      </c>
      <c r="D166" s="27" t="s">
        <v>548</v>
      </c>
      <c r="E166" s="27" t="s">
        <v>638</v>
      </c>
      <c r="F166" s="28">
        <v>46119.31901806713</v>
      </c>
      <c r="G166" s="28">
        <v>46124.433784340275</v>
      </c>
      <c r="H166" s="28">
        <v>46119.31901806713</v>
      </c>
      <c r="I166" s="27" t="s">
        <v>1842</v>
      </c>
      <c r="J166" s="27" t="s">
        <v>1843</v>
      </c>
      <c r="K166" s="27" t="s">
        <v>566</v>
      </c>
      <c r="L166" s="27"/>
      <c r="M166" s="27" t="s">
        <v>1844</v>
      </c>
      <c r="N166" s="27" t="s">
        <v>1845</v>
      </c>
      <c r="O166" s="27"/>
      <c r="P166" s="27" t="s">
        <v>2026</v>
      </c>
      <c r="Q166" s="27" t="s">
        <v>556</v>
      </c>
      <c r="R166" s="27" t="s">
        <v>2027</v>
      </c>
      <c r="S166" s="27"/>
      <c r="T166" s="27" t="s">
        <v>559</v>
      </c>
      <c r="U166" s="27" t="s">
        <v>1841</v>
      </c>
      <c r="V166" s="28">
        <v>46119.31977065972</v>
      </c>
      <c r="W166" s="27" t="s">
        <v>2028</v>
      </c>
      <c r="X166" s="27" t="s">
        <v>559</v>
      </c>
      <c r="Y166" s="27" t="s">
        <v>1847</v>
      </c>
      <c r="Z166" s="28">
        <v>46120.269290300923</v>
      </c>
      <c r="AA166" s="27" t="s">
        <v>2029</v>
      </c>
      <c r="AB166" s="27" t="s">
        <v>559</v>
      </c>
      <c r="AC166" s="27" t="s">
        <v>571</v>
      </c>
      <c r="AD166" s="28">
        <v>46121.260527094906</v>
      </c>
      <c r="AE166" s="27" t="s">
        <v>2030</v>
      </c>
      <c r="AF166" s="27" t="s">
        <v>559</v>
      </c>
      <c r="AG166" s="27" t="s">
        <v>571</v>
      </c>
      <c r="AH166" s="28">
        <v>46124.433784340275</v>
      </c>
      <c r="AI166" s="27" t="s">
        <v>649</v>
      </c>
      <c r="AJ166" s="27" t="s">
        <v>1848</v>
      </c>
      <c r="AK166" s="27">
        <v>2173</v>
      </c>
      <c r="AL166" s="27" t="s">
        <v>107</v>
      </c>
      <c r="AM166" s="27" t="s">
        <v>2031</v>
      </c>
      <c r="AN166" s="27" t="s">
        <v>710</v>
      </c>
      <c r="AO166" s="27">
        <v>14</v>
      </c>
    </row>
    <row r="167" spans="1:41" hidden="1">
      <c r="A167" s="27" t="s">
        <v>2032</v>
      </c>
      <c r="B167" s="27" t="s">
        <v>2033</v>
      </c>
      <c r="C167" s="27" t="s">
        <v>2034</v>
      </c>
      <c r="D167" s="27" t="s">
        <v>548</v>
      </c>
      <c r="E167" s="27" t="s">
        <v>638</v>
      </c>
      <c r="F167" s="28">
        <v>46119.36506984954</v>
      </c>
      <c r="G167" s="28">
        <v>46134.313210775465</v>
      </c>
      <c r="H167" s="28">
        <v>46120.27579190972</v>
      </c>
      <c r="I167" s="27" t="s">
        <v>2035</v>
      </c>
      <c r="J167" s="27" t="s">
        <v>2036</v>
      </c>
      <c r="K167" s="27" t="s">
        <v>676</v>
      </c>
      <c r="L167" s="27" t="s">
        <v>2037</v>
      </c>
      <c r="M167" s="27" t="s">
        <v>2038</v>
      </c>
      <c r="N167" s="27" t="s">
        <v>2039</v>
      </c>
      <c r="O167" s="27"/>
      <c r="P167" s="27" t="s">
        <v>2040</v>
      </c>
      <c r="Q167" s="27" t="s">
        <v>1264</v>
      </c>
      <c r="R167" s="27" t="s">
        <v>583</v>
      </c>
      <c r="S167" s="27"/>
      <c r="T167" s="27" t="s">
        <v>559</v>
      </c>
      <c r="U167" s="27" t="s">
        <v>2034</v>
      </c>
      <c r="V167" s="28">
        <v>46120.35056042824</v>
      </c>
      <c r="W167" s="27" t="s">
        <v>2041</v>
      </c>
      <c r="X167" s="27" t="s">
        <v>559</v>
      </c>
      <c r="Y167" s="27" t="s">
        <v>2038</v>
      </c>
      <c r="Z167" s="28">
        <v>46120.375959837962</v>
      </c>
      <c r="AA167" s="27" t="s">
        <v>2042</v>
      </c>
      <c r="AB167" s="27" t="s">
        <v>559</v>
      </c>
      <c r="AC167" s="27" t="s">
        <v>571</v>
      </c>
      <c r="AD167" s="28">
        <v>46121.255672893516</v>
      </c>
      <c r="AE167" s="27" t="s">
        <v>2043</v>
      </c>
      <c r="AF167" s="27" t="s">
        <v>559</v>
      </c>
      <c r="AG167" s="27" t="s">
        <v>683</v>
      </c>
      <c r="AH167" s="28">
        <v>46134.313210775465</v>
      </c>
      <c r="AI167" s="27" t="s">
        <v>684</v>
      </c>
      <c r="AJ167" s="27" t="s">
        <v>2044</v>
      </c>
      <c r="AK167" s="27">
        <v>3674</v>
      </c>
      <c r="AL167" s="27" t="s">
        <v>125</v>
      </c>
      <c r="AM167" s="27" t="s">
        <v>2045</v>
      </c>
      <c r="AN167" s="27" t="s">
        <v>710</v>
      </c>
      <c r="AO167" s="27">
        <v>180</v>
      </c>
    </row>
    <row r="168" spans="1:41" hidden="1">
      <c r="A168" s="27" t="s">
        <v>2046</v>
      </c>
      <c r="B168" s="27" t="s">
        <v>2047</v>
      </c>
      <c r="C168" s="27" t="s">
        <v>2048</v>
      </c>
      <c r="D168" s="27" t="s">
        <v>548</v>
      </c>
      <c r="E168" s="27" t="s">
        <v>638</v>
      </c>
      <c r="F168" s="28">
        <v>46120.124512175928</v>
      </c>
      <c r="G168" s="28">
        <v>46121.173892395833</v>
      </c>
      <c r="H168" s="28">
        <v>46120.124512175928</v>
      </c>
      <c r="I168" s="27" t="s">
        <v>2049</v>
      </c>
      <c r="J168" s="27" t="s">
        <v>2050</v>
      </c>
      <c r="K168" s="27" t="s">
        <v>566</v>
      </c>
      <c r="L168" s="27"/>
      <c r="M168" s="27" t="s">
        <v>2051</v>
      </c>
      <c r="N168" s="27"/>
      <c r="O168" s="27"/>
      <c r="P168" s="27" t="s">
        <v>2052</v>
      </c>
      <c r="Q168" s="27" t="s">
        <v>556</v>
      </c>
      <c r="R168" s="27" t="s">
        <v>583</v>
      </c>
      <c r="S168" s="27"/>
      <c r="T168" s="27" t="s">
        <v>559</v>
      </c>
      <c r="U168" s="27" t="s">
        <v>2048</v>
      </c>
      <c r="V168" s="28">
        <v>46120.127304108799</v>
      </c>
      <c r="W168" s="27" t="s">
        <v>2053</v>
      </c>
      <c r="X168" s="27" t="s">
        <v>559</v>
      </c>
      <c r="Y168" s="27" t="s">
        <v>2054</v>
      </c>
      <c r="Z168" s="28">
        <v>46120.272493194447</v>
      </c>
      <c r="AA168" s="27" t="s">
        <v>2055</v>
      </c>
      <c r="AB168" s="27" t="s">
        <v>559</v>
      </c>
      <c r="AC168" s="27" t="s">
        <v>571</v>
      </c>
      <c r="AD168" s="28">
        <v>46121.077047673614</v>
      </c>
      <c r="AE168" s="27" t="s">
        <v>2056</v>
      </c>
      <c r="AF168" s="27" t="s">
        <v>559</v>
      </c>
      <c r="AG168" s="27" t="s">
        <v>683</v>
      </c>
      <c r="AH168" s="28">
        <v>46121.173892407409</v>
      </c>
      <c r="AI168" s="27" t="s">
        <v>684</v>
      </c>
      <c r="AJ168" s="27" t="s">
        <v>2057</v>
      </c>
      <c r="AK168" s="27">
        <v>3746</v>
      </c>
      <c r="AL168" s="27" t="s">
        <v>116</v>
      </c>
      <c r="AM168" s="27" t="s">
        <v>2058</v>
      </c>
      <c r="AN168" s="27" t="s">
        <v>665</v>
      </c>
      <c r="AO168" s="27">
        <v>0</v>
      </c>
    </row>
    <row r="169" spans="1:41" hidden="1">
      <c r="A169" s="27" t="s">
        <v>2059</v>
      </c>
      <c r="B169" s="27" t="s">
        <v>2060</v>
      </c>
      <c r="C169" s="27" t="s">
        <v>2061</v>
      </c>
      <c r="D169" s="27" t="s">
        <v>548</v>
      </c>
      <c r="E169" s="27" t="s">
        <v>638</v>
      </c>
      <c r="F169" s="28">
        <v>46122.316942060184</v>
      </c>
      <c r="G169" s="28">
        <v>46132.000359710648</v>
      </c>
      <c r="H169" s="28">
        <v>46122.316942060184</v>
      </c>
      <c r="I169" s="27" t="s">
        <v>2062</v>
      </c>
      <c r="J169" s="27" t="s">
        <v>2063</v>
      </c>
      <c r="K169" s="27" t="s">
        <v>566</v>
      </c>
      <c r="L169" s="27"/>
      <c r="M169" s="27" t="s">
        <v>2064</v>
      </c>
      <c r="N169" s="27"/>
      <c r="O169" s="27"/>
      <c r="P169" s="27" t="s">
        <v>2065</v>
      </c>
      <c r="Q169" s="27" t="s">
        <v>623</v>
      </c>
      <c r="R169" s="27" t="s">
        <v>583</v>
      </c>
      <c r="S169" s="27"/>
      <c r="T169" s="27" t="s">
        <v>559</v>
      </c>
      <c r="U169" s="27" t="s">
        <v>2061</v>
      </c>
      <c r="V169" s="28">
        <v>46122.324573148151</v>
      </c>
      <c r="W169" s="27" t="s">
        <v>2066</v>
      </c>
      <c r="X169" s="27" t="s">
        <v>559</v>
      </c>
      <c r="Y169" s="27" t="s">
        <v>2067</v>
      </c>
      <c r="Z169" s="28">
        <v>46126.383067187497</v>
      </c>
      <c r="AA169" s="27" t="s">
        <v>2068</v>
      </c>
      <c r="AB169" s="27" t="s">
        <v>559</v>
      </c>
      <c r="AC169" s="27" t="s">
        <v>571</v>
      </c>
      <c r="AD169" s="28">
        <v>46127.087880497682</v>
      </c>
      <c r="AE169" s="27" t="s">
        <v>2069</v>
      </c>
      <c r="AF169" s="27" t="s">
        <v>559</v>
      </c>
      <c r="AG169" s="27" t="s">
        <v>571</v>
      </c>
      <c r="AH169" s="28">
        <v>46132.000359710648</v>
      </c>
      <c r="AI169" s="27" t="s">
        <v>649</v>
      </c>
      <c r="AJ169" s="27" t="s">
        <v>2070</v>
      </c>
      <c r="AK169" s="27">
        <v>2902</v>
      </c>
      <c r="AL169" s="27" t="s">
        <v>116</v>
      </c>
      <c r="AM169" s="27" t="s">
        <v>2071</v>
      </c>
      <c r="AN169" s="27" t="s">
        <v>710</v>
      </c>
      <c r="AO169" s="27">
        <v>14</v>
      </c>
    </row>
    <row r="170" spans="1:41" hidden="1">
      <c r="A170" s="27" t="s">
        <v>2072</v>
      </c>
      <c r="B170" s="27" t="s">
        <v>2073</v>
      </c>
      <c r="C170" s="27" t="s">
        <v>1943</v>
      </c>
      <c r="D170" s="27" t="s">
        <v>548</v>
      </c>
      <c r="E170" s="27" t="s">
        <v>578</v>
      </c>
      <c r="F170" s="28">
        <v>46122.335478611109</v>
      </c>
      <c r="G170" s="28">
        <v>46122.339215127315</v>
      </c>
      <c r="H170" s="28">
        <v>46122.335478611109</v>
      </c>
      <c r="I170" s="27" t="s">
        <v>1559</v>
      </c>
      <c r="J170" s="27" t="s">
        <v>1560</v>
      </c>
      <c r="K170" s="27" t="s">
        <v>566</v>
      </c>
      <c r="L170" s="27"/>
      <c r="M170" s="27" t="s">
        <v>2074</v>
      </c>
      <c r="N170" s="27"/>
      <c r="O170" s="27"/>
      <c r="P170" s="27" t="s">
        <v>2075</v>
      </c>
      <c r="Q170" s="27" t="s">
        <v>643</v>
      </c>
      <c r="R170" s="27" t="s">
        <v>583</v>
      </c>
      <c r="S170" s="27"/>
      <c r="T170" s="27" t="s">
        <v>549</v>
      </c>
      <c r="U170" s="27" t="s">
        <v>1943</v>
      </c>
      <c r="V170" s="28">
        <v>46122.339215138891</v>
      </c>
      <c r="W170" s="27"/>
      <c r="X170" s="27"/>
      <c r="Y170" s="27" t="s">
        <v>2074</v>
      </c>
      <c r="Z170" s="28"/>
      <c r="AA170" s="27"/>
      <c r="AB170" s="27"/>
      <c r="AC170" s="27" t="s">
        <v>573</v>
      </c>
      <c r="AD170" s="28"/>
      <c r="AE170" s="27"/>
      <c r="AF170" s="27"/>
      <c r="AG170" s="27" t="s">
        <v>108</v>
      </c>
      <c r="AH170" s="28"/>
      <c r="AI170" s="27"/>
      <c r="AJ170" s="27" t="s">
        <v>1567</v>
      </c>
      <c r="AK170" s="27">
        <v>1116</v>
      </c>
      <c r="AL170" s="27"/>
      <c r="AM170" s="27"/>
      <c r="AN170" s="27" t="s">
        <v>665</v>
      </c>
      <c r="AO170" s="27">
        <v>0</v>
      </c>
    </row>
    <row r="171" spans="1:41" hidden="1">
      <c r="A171" s="27" t="s">
        <v>2076</v>
      </c>
      <c r="B171" s="27" t="s">
        <v>2077</v>
      </c>
      <c r="C171" s="27" t="s">
        <v>1943</v>
      </c>
      <c r="D171" s="27" t="s">
        <v>548</v>
      </c>
      <c r="E171" s="27" t="s">
        <v>638</v>
      </c>
      <c r="F171" s="28">
        <v>46125.289070810184</v>
      </c>
      <c r="G171" s="28">
        <v>46128.389452986114</v>
      </c>
      <c r="H171" s="28">
        <v>46125.289070810184</v>
      </c>
      <c r="I171" s="27" t="s">
        <v>2078</v>
      </c>
      <c r="J171" s="27" t="s">
        <v>2079</v>
      </c>
      <c r="K171" s="27" t="s">
        <v>566</v>
      </c>
      <c r="L171" s="27"/>
      <c r="M171" s="27" t="s">
        <v>1561</v>
      </c>
      <c r="N171" s="27"/>
      <c r="O171" s="27"/>
      <c r="P171" s="27" t="s">
        <v>2080</v>
      </c>
      <c r="Q171" s="27" t="s">
        <v>623</v>
      </c>
      <c r="R171" s="27" t="s">
        <v>583</v>
      </c>
      <c r="S171" s="27"/>
      <c r="T171" s="27" t="s">
        <v>559</v>
      </c>
      <c r="U171" s="27" t="s">
        <v>1943</v>
      </c>
      <c r="V171" s="28">
        <v>46125.290079270831</v>
      </c>
      <c r="W171" s="27" t="s">
        <v>2081</v>
      </c>
      <c r="X171" s="27" t="s">
        <v>559</v>
      </c>
      <c r="Y171" s="27" t="s">
        <v>1561</v>
      </c>
      <c r="Z171" s="28">
        <v>46125.291931828702</v>
      </c>
      <c r="AA171" s="27" t="s">
        <v>1032</v>
      </c>
      <c r="AB171" s="27" t="s">
        <v>559</v>
      </c>
      <c r="AC171" s="27" t="s">
        <v>571</v>
      </c>
      <c r="AD171" s="28">
        <v>46126.073887638886</v>
      </c>
      <c r="AE171" s="27" t="s">
        <v>2082</v>
      </c>
      <c r="AF171" s="27" t="s">
        <v>559</v>
      </c>
      <c r="AG171" s="27" t="s">
        <v>683</v>
      </c>
      <c r="AH171" s="28">
        <v>46128.389452986114</v>
      </c>
      <c r="AI171" s="27" t="s">
        <v>684</v>
      </c>
      <c r="AJ171" s="27" t="s">
        <v>2083</v>
      </c>
      <c r="AK171" s="27" t="s">
        <v>2084</v>
      </c>
      <c r="AL171" s="27" t="s">
        <v>116</v>
      </c>
      <c r="AM171" s="27" t="s">
        <v>2085</v>
      </c>
      <c r="AN171" s="27" t="s">
        <v>665</v>
      </c>
      <c r="AO171" s="27">
        <v>0</v>
      </c>
    </row>
    <row r="172" spans="1:41" hidden="1">
      <c r="A172" s="27" t="s">
        <v>2086</v>
      </c>
      <c r="B172" s="27" t="s">
        <v>2087</v>
      </c>
      <c r="C172" s="27" t="s">
        <v>1597</v>
      </c>
      <c r="D172" s="27" t="s">
        <v>548</v>
      </c>
      <c r="E172" s="27" t="s">
        <v>578</v>
      </c>
      <c r="F172" s="28">
        <v>46127.077666331017</v>
      </c>
      <c r="G172" s="28">
        <v>46220.056889340274</v>
      </c>
      <c r="H172" s="28">
        <v>46127.077666331017</v>
      </c>
      <c r="I172" s="27" t="s">
        <v>2088</v>
      </c>
      <c r="J172" s="27" t="s">
        <v>2089</v>
      </c>
      <c r="K172" s="27" t="s">
        <v>566</v>
      </c>
      <c r="L172" s="27"/>
      <c r="M172" s="27" t="s">
        <v>1597</v>
      </c>
      <c r="N172" s="27"/>
      <c r="O172" s="27"/>
      <c r="P172" s="27" t="s">
        <v>1776</v>
      </c>
      <c r="Q172" s="27" t="s">
        <v>569</v>
      </c>
      <c r="R172" s="27" t="s">
        <v>583</v>
      </c>
      <c r="S172" s="27"/>
      <c r="T172" s="27" t="s">
        <v>549</v>
      </c>
      <c r="U172" s="27" t="s">
        <v>1597</v>
      </c>
      <c r="V172" s="28">
        <v>46220.05688935185</v>
      </c>
      <c r="W172" s="27"/>
      <c r="X172" s="27"/>
      <c r="Y172" s="27" t="s">
        <v>1597</v>
      </c>
      <c r="Z172" s="28"/>
      <c r="AA172" s="27"/>
      <c r="AB172" s="27"/>
      <c r="AC172" s="27" t="s">
        <v>573</v>
      </c>
      <c r="AD172" s="28"/>
      <c r="AE172" s="27"/>
      <c r="AF172" s="27"/>
      <c r="AG172" s="27" t="s">
        <v>108</v>
      </c>
      <c r="AH172" s="28"/>
      <c r="AI172" s="27"/>
      <c r="AJ172" s="27" t="s">
        <v>2090</v>
      </c>
      <c r="AK172" s="27" t="s">
        <v>2091</v>
      </c>
      <c r="AL172" s="27"/>
      <c r="AM172" s="27"/>
      <c r="AN172" s="27" t="s">
        <v>710</v>
      </c>
      <c r="AO172" s="27">
        <v>120</v>
      </c>
    </row>
    <row r="173" spans="1:41" hidden="1">
      <c r="A173" s="27" t="s">
        <v>2092</v>
      </c>
      <c r="B173" s="27" t="s">
        <v>2093</v>
      </c>
      <c r="C173" s="27" t="s">
        <v>1088</v>
      </c>
      <c r="D173" s="27" t="s">
        <v>548</v>
      </c>
      <c r="E173" s="27" t="s">
        <v>668</v>
      </c>
      <c r="F173" s="28">
        <v>46129.057794421293</v>
      </c>
      <c r="G173" s="28">
        <v>46129.057794421293</v>
      </c>
      <c r="H173" s="28">
        <v>46129.057794421293</v>
      </c>
      <c r="I173" s="27" t="s">
        <v>2088</v>
      </c>
      <c r="J173" s="27" t="s">
        <v>2089</v>
      </c>
      <c r="K173" s="27" t="s">
        <v>566</v>
      </c>
      <c r="L173" s="27"/>
      <c r="M173" s="27" t="s">
        <v>2094</v>
      </c>
      <c r="N173" s="27"/>
      <c r="O173" s="27"/>
      <c r="P173" s="27" t="s">
        <v>1795</v>
      </c>
      <c r="Q173" s="27" t="s">
        <v>569</v>
      </c>
      <c r="R173" s="27" t="s">
        <v>583</v>
      </c>
      <c r="S173" s="27"/>
      <c r="T173" s="27" t="s">
        <v>668</v>
      </c>
      <c r="U173" s="27" t="s">
        <v>1088</v>
      </c>
      <c r="V173" s="28"/>
      <c r="W173" s="27"/>
      <c r="X173" s="27"/>
      <c r="Y173" s="27" t="s">
        <v>2095</v>
      </c>
      <c r="Z173" s="28"/>
      <c r="AA173" s="27"/>
      <c r="AB173" s="27"/>
      <c r="AC173" s="27" t="s">
        <v>573</v>
      </c>
      <c r="AD173" s="28"/>
      <c r="AE173" s="27"/>
      <c r="AF173" s="27"/>
      <c r="AG173" s="27" t="s">
        <v>108</v>
      </c>
      <c r="AH173" s="28"/>
      <c r="AI173" s="27"/>
      <c r="AJ173" s="27" t="s">
        <v>2090</v>
      </c>
      <c r="AK173" s="27" t="s">
        <v>2091</v>
      </c>
      <c r="AL173" s="27"/>
      <c r="AM173" s="27"/>
      <c r="AN173" s="27" t="s">
        <v>710</v>
      </c>
      <c r="AO173" s="27">
        <v>365</v>
      </c>
    </row>
    <row r="174" spans="1:41" hidden="1">
      <c r="A174" s="27" t="s">
        <v>2096</v>
      </c>
      <c r="B174" s="27" t="s">
        <v>2097</v>
      </c>
      <c r="C174" s="27" t="s">
        <v>1421</v>
      </c>
      <c r="D174" s="27" t="s">
        <v>548</v>
      </c>
      <c r="E174" s="27" t="s">
        <v>549</v>
      </c>
      <c r="F174" s="28">
        <v>46129.061131249997</v>
      </c>
      <c r="G174" s="28">
        <v>46140.246479918984</v>
      </c>
      <c r="H174" s="28">
        <v>46129.061131249997</v>
      </c>
      <c r="I174" s="27" t="s">
        <v>2098</v>
      </c>
      <c r="J174" s="27" t="s">
        <v>2099</v>
      </c>
      <c r="K174" s="27" t="s">
        <v>676</v>
      </c>
      <c r="L174" s="27" t="s">
        <v>2100</v>
      </c>
      <c r="M174" s="27" t="s">
        <v>1121</v>
      </c>
      <c r="N174" s="27" t="s">
        <v>2101</v>
      </c>
      <c r="O174" s="27" t="s">
        <v>2102</v>
      </c>
      <c r="P174" s="27" t="s">
        <v>2103</v>
      </c>
      <c r="Q174" s="27" t="s">
        <v>556</v>
      </c>
      <c r="R174" s="27" t="s">
        <v>557</v>
      </c>
      <c r="S174" s="27"/>
      <c r="T174" s="27" t="s">
        <v>559</v>
      </c>
      <c r="U174" s="27" t="s">
        <v>1121</v>
      </c>
      <c r="V174" s="28">
        <v>46135.963942581016</v>
      </c>
      <c r="W174" s="27" t="s">
        <v>2104</v>
      </c>
      <c r="X174" s="27" t="s">
        <v>549</v>
      </c>
      <c r="Y174" s="27" t="s">
        <v>1121</v>
      </c>
      <c r="Z174" s="28">
        <v>46140.246479918984</v>
      </c>
      <c r="AA174" s="27" t="s">
        <v>2105</v>
      </c>
      <c r="AB174" s="27"/>
      <c r="AC174" s="27" t="s">
        <v>573</v>
      </c>
      <c r="AD174" s="28"/>
      <c r="AE174" s="27"/>
      <c r="AF174" s="27"/>
      <c r="AG174" s="27" t="s">
        <v>108</v>
      </c>
      <c r="AH174" s="28"/>
      <c r="AI174" s="27"/>
      <c r="AJ174" s="27" t="s">
        <v>2106</v>
      </c>
      <c r="AK174" s="27" t="s">
        <v>2107</v>
      </c>
      <c r="AL174" s="27"/>
      <c r="AM174" s="27"/>
      <c r="AN174" s="27" t="s">
        <v>710</v>
      </c>
      <c r="AO174" s="27">
        <v>90</v>
      </c>
    </row>
    <row r="175" spans="1:41" hidden="1">
      <c r="A175" s="27" t="s">
        <v>2108</v>
      </c>
      <c r="B175" s="27" t="s">
        <v>2109</v>
      </c>
      <c r="C175" s="27" t="s">
        <v>2110</v>
      </c>
      <c r="D175" s="27" t="s">
        <v>548</v>
      </c>
      <c r="E175" s="27" t="s">
        <v>578</v>
      </c>
      <c r="F175" s="28">
        <v>46132.118696817131</v>
      </c>
      <c r="G175" s="28">
        <v>46134.340085231481</v>
      </c>
      <c r="H175" s="28">
        <v>46134.338344837961</v>
      </c>
      <c r="I175" s="27" t="s">
        <v>2111</v>
      </c>
      <c r="J175" s="27" t="s">
        <v>2112</v>
      </c>
      <c r="K175" s="27" t="s">
        <v>566</v>
      </c>
      <c r="L175" s="27"/>
      <c r="M175" s="27" t="s">
        <v>1844</v>
      </c>
      <c r="N175" s="27" t="s">
        <v>2113</v>
      </c>
      <c r="O175" s="27"/>
      <c r="P175" s="27" t="s">
        <v>2114</v>
      </c>
      <c r="Q175" s="27" t="s">
        <v>556</v>
      </c>
      <c r="R175" s="27" t="s">
        <v>583</v>
      </c>
      <c r="S175" s="27"/>
      <c r="T175" s="27" t="s">
        <v>549</v>
      </c>
      <c r="U175" s="27" t="s">
        <v>2110</v>
      </c>
      <c r="V175" s="28">
        <v>46134.340085243057</v>
      </c>
      <c r="W175" s="27"/>
      <c r="X175" s="27"/>
      <c r="Y175" s="27" t="s">
        <v>1847</v>
      </c>
      <c r="Z175" s="28"/>
      <c r="AA175" s="27"/>
      <c r="AB175" s="27"/>
      <c r="AC175" s="27" t="s">
        <v>573</v>
      </c>
      <c r="AD175" s="28"/>
      <c r="AE175" s="27"/>
      <c r="AF175" s="27"/>
      <c r="AG175" s="27" t="s">
        <v>573</v>
      </c>
      <c r="AH175" s="28"/>
      <c r="AI175" s="27"/>
      <c r="AJ175" s="27" t="s">
        <v>2115</v>
      </c>
      <c r="AK175" s="27">
        <v>2573</v>
      </c>
      <c r="AL175" s="27"/>
      <c r="AM175" s="27"/>
      <c r="AN175" s="27" t="s">
        <v>665</v>
      </c>
      <c r="AO175" s="27">
        <v>0</v>
      </c>
    </row>
    <row r="176" spans="1:41" hidden="1">
      <c r="A176" s="27" t="s">
        <v>2116</v>
      </c>
      <c r="B176" s="27" t="s">
        <v>2117</v>
      </c>
      <c r="C176" s="27" t="s">
        <v>909</v>
      </c>
      <c r="D176" s="27" t="s">
        <v>548</v>
      </c>
      <c r="E176" s="27" t="s">
        <v>638</v>
      </c>
      <c r="F176" s="28">
        <v>46132.139100960645</v>
      </c>
      <c r="G176" s="28">
        <v>46136.083598483798</v>
      </c>
      <c r="H176" s="28">
        <v>46132.139100960645</v>
      </c>
      <c r="I176" s="27" t="s">
        <v>2118</v>
      </c>
      <c r="J176" s="27" t="s">
        <v>2119</v>
      </c>
      <c r="K176" s="27" t="s">
        <v>676</v>
      </c>
      <c r="L176" s="27" t="s">
        <v>2120</v>
      </c>
      <c r="M176" s="27" t="s">
        <v>912</v>
      </c>
      <c r="N176" s="27" t="s">
        <v>2121</v>
      </c>
      <c r="O176" s="27"/>
      <c r="P176" s="27" t="s">
        <v>2122</v>
      </c>
      <c r="Q176" s="27" t="s">
        <v>643</v>
      </c>
      <c r="R176" s="27" t="s">
        <v>583</v>
      </c>
      <c r="S176" s="27"/>
      <c r="T176" s="27" t="s">
        <v>559</v>
      </c>
      <c r="U176" s="27" t="s">
        <v>909</v>
      </c>
      <c r="V176" s="28">
        <v>46132.140034502314</v>
      </c>
      <c r="W176" s="27" t="s">
        <v>2123</v>
      </c>
      <c r="X176" s="27" t="s">
        <v>559</v>
      </c>
      <c r="Y176" s="27" t="s">
        <v>912</v>
      </c>
      <c r="Z176" s="28">
        <v>46132.147759409723</v>
      </c>
      <c r="AA176" s="27" t="s">
        <v>2124</v>
      </c>
      <c r="AB176" s="27" t="s">
        <v>559</v>
      </c>
      <c r="AC176" s="27" t="s">
        <v>571</v>
      </c>
      <c r="AD176" s="28">
        <v>46132.317911608799</v>
      </c>
      <c r="AE176" s="27" t="s">
        <v>2125</v>
      </c>
      <c r="AF176" s="27" t="s">
        <v>559</v>
      </c>
      <c r="AG176" s="27" t="s">
        <v>571</v>
      </c>
      <c r="AH176" s="28">
        <v>46136.083598495374</v>
      </c>
      <c r="AI176" s="27" t="s">
        <v>649</v>
      </c>
      <c r="AJ176" s="27" t="s">
        <v>2126</v>
      </c>
      <c r="AK176" s="27">
        <v>3067</v>
      </c>
      <c r="AL176" s="27" t="s">
        <v>125</v>
      </c>
      <c r="AM176" s="27" t="s">
        <v>2127</v>
      </c>
      <c r="AN176" s="27" t="s">
        <v>687</v>
      </c>
      <c r="AO176" s="27">
        <v>0</v>
      </c>
    </row>
    <row r="177" spans="1:41" hidden="1">
      <c r="A177" s="27" t="s">
        <v>2128</v>
      </c>
      <c r="B177" s="27" t="s">
        <v>2129</v>
      </c>
      <c r="C177" s="27" t="s">
        <v>2110</v>
      </c>
      <c r="D177" s="27" t="s">
        <v>548</v>
      </c>
      <c r="E177" s="27" t="s">
        <v>578</v>
      </c>
      <c r="F177" s="28">
        <v>46133.103149664355</v>
      </c>
      <c r="G177" s="28">
        <v>46133.103778136574</v>
      </c>
      <c r="H177" s="28">
        <v>46133.103149664355</v>
      </c>
      <c r="I177" s="27" t="s">
        <v>2111</v>
      </c>
      <c r="J177" s="27" t="s">
        <v>2112</v>
      </c>
      <c r="K177" s="27" t="s">
        <v>566</v>
      </c>
      <c r="L177" s="27"/>
      <c r="M177" s="27" t="s">
        <v>1847</v>
      </c>
      <c r="N177" s="27"/>
      <c r="O177" s="27"/>
      <c r="P177" s="27" t="s">
        <v>2114</v>
      </c>
      <c r="Q177" s="27" t="s">
        <v>556</v>
      </c>
      <c r="R177" s="27" t="s">
        <v>583</v>
      </c>
      <c r="S177" s="27"/>
      <c r="T177" s="27" t="s">
        <v>549</v>
      </c>
      <c r="U177" s="27" t="s">
        <v>2110</v>
      </c>
      <c r="V177" s="28">
        <v>46133.10377814815</v>
      </c>
      <c r="W177" s="27"/>
      <c r="X177" s="27"/>
      <c r="Y177" s="27" t="s">
        <v>1847</v>
      </c>
      <c r="Z177" s="28"/>
      <c r="AA177" s="27"/>
      <c r="AB177" s="27"/>
      <c r="AC177" s="27" t="s">
        <v>573</v>
      </c>
      <c r="AD177" s="28"/>
      <c r="AE177" s="27"/>
      <c r="AF177" s="27"/>
      <c r="AG177" s="27" t="s">
        <v>108</v>
      </c>
      <c r="AH177" s="28"/>
      <c r="AI177" s="27"/>
      <c r="AJ177" s="27" t="s">
        <v>2115</v>
      </c>
      <c r="AK177" s="27">
        <v>2573</v>
      </c>
      <c r="AL177" s="27"/>
      <c r="AM177" s="27"/>
      <c r="AN177" s="27" t="s">
        <v>665</v>
      </c>
      <c r="AO177" s="27">
        <v>0</v>
      </c>
    </row>
    <row r="178" spans="1:41" hidden="1">
      <c r="A178" s="27" t="s">
        <v>2130</v>
      </c>
      <c r="B178" s="27" t="s">
        <v>2131</v>
      </c>
      <c r="C178" s="27" t="s">
        <v>2110</v>
      </c>
      <c r="D178" s="27" t="s">
        <v>548</v>
      </c>
      <c r="E178" s="27" t="s">
        <v>549</v>
      </c>
      <c r="F178" s="28">
        <v>46134.337618252313</v>
      </c>
      <c r="G178" s="28">
        <v>46134.363218865743</v>
      </c>
      <c r="H178" s="28">
        <v>46134.337618252313</v>
      </c>
      <c r="I178" s="27" t="s">
        <v>2111</v>
      </c>
      <c r="J178" s="27" t="s">
        <v>2112</v>
      </c>
      <c r="K178" s="27" t="s">
        <v>676</v>
      </c>
      <c r="L178" s="27" t="s">
        <v>2132</v>
      </c>
      <c r="M178" s="27" t="s">
        <v>1844</v>
      </c>
      <c r="N178" s="27"/>
      <c r="O178" s="27"/>
      <c r="P178" s="27" t="s">
        <v>2114</v>
      </c>
      <c r="Q178" s="27" t="s">
        <v>556</v>
      </c>
      <c r="R178" s="27" t="s">
        <v>583</v>
      </c>
      <c r="S178" s="27"/>
      <c r="T178" s="27" t="s">
        <v>559</v>
      </c>
      <c r="U178" s="27" t="s">
        <v>2110</v>
      </c>
      <c r="V178" s="28">
        <v>46134.339617777776</v>
      </c>
      <c r="W178" s="27" t="s">
        <v>2133</v>
      </c>
      <c r="X178" s="27" t="s">
        <v>549</v>
      </c>
      <c r="Y178" s="27" t="s">
        <v>1847</v>
      </c>
      <c r="Z178" s="28">
        <v>46134.363218877312</v>
      </c>
      <c r="AA178" s="27" t="s">
        <v>2134</v>
      </c>
      <c r="AB178" s="27"/>
      <c r="AC178" s="27" t="s">
        <v>573</v>
      </c>
      <c r="AD178" s="28"/>
      <c r="AE178" s="27"/>
      <c r="AF178" s="27"/>
      <c r="AG178" s="27" t="s">
        <v>108</v>
      </c>
      <c r="AH178" s="28"/>
      <c r="AI178" s="27"/>
      <c r="AJ178" s="27" t="s">
        <v>2115</v>
      </c>
      <c r="AK178" s="27">
        <v>2573</v>
      </c>
      <c r="AL178" s="27"/>
      <c r="AM178" s="27"/>
      <c r="AN178" s="27" t="s">
        <v>665</v>
      </c>
      <c r="AO178" s="27">
        <v>0</v>
      </c>
    </row>
    <row r="179" spans="1:41" hidden="1">
      <c r="A179" s="27" t="s">
        <v>2135</v>
      </c>
      <c r="B179" s="27" t="s">
        <v>2136</v>
      </c>
      <c r="C179" s="27" t="s">
        <v>2110</v>
      </c>
      <c r="D179" s="27" t="s">
        <v>548</v>
      </c>
      <c r="E179" s="27" t="s">
        <v>638</v>
      </c>
      <c r="F179" s="28">
        <v>46134.373208449077</v>
      </c>
      <c r="G179" s="28">
        <v>46139.091910358795</v>
      </c>
      <c r="H179" s="28">
        <v>46134.373545150462</v>
      </c>
      <c r="I179" s="27" t="s">
        <v>2111</v>
      </c>
      <c r="J179" s="27" t="s">
        <v>2112</v>
      </c>
      <c r="K179" s="27" t="s">
        <v>566</v>
      </c>
      <c r="L179" s="27"/>
      <c r="M179" s="27" t="s">
        <v>1844</v>
      </c>
      <c r="N179" s="27"/>
      <c r="O179" s="27"/>
      <c r="P179" s="27" t="s">
        <v>2114</v>
      </c>
      <c r="Q179" s="27" t="s">
        <v>623</v>
      </c>
      <c r="R179" s="27" t="s">
        <v>583</v>
      </c>
      <c r="S179" s="27"/>
      <c r="T179" s="27" t="s">
        <v>559</v>
      </c>
      <c r="U179" s="27" t="s">
        <v>2110</v>
      </c>
      <c r="V179" s="28">
        <v>46134.374415219907</v>
      </c>
      <c r="W179" s="27" t="s">
        <v>2137</v>
      </c>
      <c r="X179" s="27" t="s">
        <v>559</v>
      </c>
      <c r="Y179" s="27" t="s">
        <v>1847</v>
      </c>
      <c r="Z179" s="28">
        <v>46135.124159247687</v>
      </c>
      <c r="AA179" s="27" t="s">
        <v>2138</v>
      </c>
      <c r="AB179" s="27" t="s">
        <v>559</v>
      </c>
      <c r="AC179" s="27" t="s">
        <v>571</v>
      </c>
      <c r="AD179" s="28">
        <v>46135.146055462959</v>
      </c>
      <c r="AE179" s="27" t="s">
        <v>2139</v>
      </c>
      <c r="AF179" s="27" t="s">
        <v>559</v>
      </c>
      <c r="AG179" s="27" t="s">
        <v>571</v>
      </c>
      <c r="AH179" s="28">
        <v>46139.091910370371</v>
      </c>
      <c r="AI179" s="27" t="s">
        <v>649</v>
      </c>
      <c r="AJ179" s="27" t="s">
        <v>2115</v>
      </c>
      <c r="AK179" s="27">
        <v>2573</v>
      </c>
      <c r="AL179" s="27" t="s">
        <v>107</v>
      </c>
      <c r="AM179" s="27" t="s">
        <v>2140</v>
      </c>
      <c r="AN179" s="27" t="s">
        <v>665</v>
      </c>
      <c r="AO179" s="27">
        <v>0</v>
      </c>
    </row>
    <row r="180" spans="1:41" hidden="1">
      <c r="A180" s="27" t="s">
        <v>2141</v>
      </c>
      <c r="B180" s="27" t="s">
        <v>2142</v>
      </c>
      <c r="C180" s="27" t="s">
        <v>1735</v>
      </c>
      <c r="D180" s="27" t="s">
        <v>548</v>
      </c>
      <c r="E180" s="27" t="s">
        <v>638</v>
      </c>
      <c r="F180" s="28">
        <v>46134.389299386574</v>
      </c>
      <c r="G180" s="28">
        <v>46142.337707395833</v>
      </c>
      <c r="H180" s="28">
        <v>46134.389299386574</v>
      </c>
      <c r="I180" s="27" t="s">
        <v>2143</v>
      </c>
      <c r="J180" s="27" t="s">
        <v>2144</v>
      </c>
      <c r="K180" s="27" t="s">
        <v>566</v>
      </c>
      <c r="L180" s="27"/>
      <c r="M180" s="27" t="s">
        <v>2145</v>
      </c>
      <c r="N180" s="27" t="s">
        <v>2146</v>
      </c>
      <c r="O180" s="27"/>
      <c r="P180" s="27" t="s">
        <v>2147</v>
      </c>
      <c r="Q180" s="27" t="s">
        <v>623</v>
      </c>
      <c r="R180" s="27" t="s">
        <v>557</v>
      </c>
      <c r="S180" s="27"/>
      <c r="T180" s="27" t="s">
        <v>559</v>
      </c>
      <c r="U180" s="27" t="s">
        <v>1735</v>
      </c>
      <c r="V180" s="28">
        <v>46134.389911087965</v>
      </c>
      <c r="W180" s="27" t="s">
        <v>2148</v>
      </c>
      <c r="X180" s="27" t="s">
        <v>559</v>
      </c>
      <c r="Y180" s="27" t="s">
        <v>2149</v>
      </c>
      <c r="Z180" s="28">
        <v>46136.377705474537</v>
      </c>
      <c r="AA180" s="27" t="s">
        <v>2150</v>
      </c>
      <c r="AB180" s="27" t="s">
        <v>559</v>
      </c>
      <c r="AC180" s="27" t="s">
        <v>571</v>
      </c>
      <c r="AD180" s="28">
        <v>46139.106466747682</v>
      </c>
      <c r="AE180" s="27" t="s">
        <v>2151</v>
      </c>
      <c r="AF180" s="27" t="s">
        <v>559</v>
      </c>
      <c r="AG180" s="27" t="s">
        <v>571</v>
      </c>
      <c r="AH180" s="28">
        <v>46142.337707395833</v>
      </c>
      <c r="AI180" s="27" t="s">
        <v>649</v>
      </c>
      <c r="AJ180" s="27" t="s">
        <v>2152</v>
      </c>
      <c r="AK180" s="27" t="s">
        <v>2153</v>
      </c>
      <c r="AL180" s="27" t="s">
        <v>116</v>
      </c>
      <c r="AM180" s="27" t="s">
        <v>2154</v>
      </c>
      <c r="AN180" s="27" t="s">
        <v>665</v>
      </c>
      <c r="AO180" s="27">
        <v>0</v>
      </c>
    </row>
    <row r="181" spans="1:41" hidden="1">
      <c r="A181" s="27" t="s">
        <v>2155</v>
      </c>
      <c r="B181" s="27" t="s">
        <v>2156</v>
      </c>
      <c r="C181" s="27" t="s">
        <v>1088</v>
      </c>
      <c r="D181" s="27" t="s">
        <v>548</v>
      </c>
      <c r="E181" s="27" t="s">
        <v>638</v>
      </c>
      <c r="F181" s="28">
        <v>46139.220668888891</v>
      </c>
      <c r="G181" s="28">
        <v>46148.113203923611</v>
      </c>
      <c r="H181" s="28">
        <v>46139.220668888891</v>
      </c>
      <c r="I181" s="27" t="s">
        <v>2088</v>
      </c>
      <c r="J181" s="27" t="s">
        <v>2089</v>
      </c>
      <c r="K181" s="27" t="s">
        <v>566</v>
      </c>
      <c r="L181" s="27"/>
      <c r="M181" s="27" t="s">
        <v>2094</v>
      </c>
      <c r="N181" s="27"/>
      <c r="O181" s="27"/>
      <c r="P181" s="27" t="s">
        <v>1795</v>
      </c>
      <c r="Q181" s="27" t="s">
        <v>569</v>
      </c>
      <c r="R181" s="27" t="s">
        <v>583</v>
      </c>
      <c r="S181" s="27"/>
      <c r="T181" s="27" t="s">
        <v>559</v>
      </c>
      <c r="U181" s="27" t="s">
        <v>1088</v>
      </c>
      <c r="V181" s="28">
        <v>46139.223362291668</v>
      </c>
      <c r="W181" s="27" t="s">
        <v>2157</v>
      </c>
      <c r="X181" s="27" t="s">
        <v>559</v>
      </c>
      <c r="Y181" s="27" t="s">
        <v>2095</v>
      </c>
      <c r="Z181" s="28">
        <v>46146.258035208331</v>
      </c>
      <c r="AA181" s="27" t="s">
        <v>1765</v>
      </c>
      <c r="AB181" s="27" t="s">
        <v>559</v>
      </c>
      <c r="AC181" s="27" t="s">
        <v>571</v>
      </c>
      <c r="AD181" s="28">
        <v>46147.094662916665</v>
      </c>
      <c r="AE181" s="27" t="s">
        <v>2158</v>
      </c>
      <c r="AF181" s="27" t="s">
        <v>559</v>
      </c>
      <c r="AG181" s="27" t="s">
        <v>571</v>
      </c>
      <c r="AH181" s="28">
        <v>46148.113203935187</v>
      </c>
      <c r="AI181" s="27" t="s">
        <v>649</v>
      </c>
      <c r="AJ181" s="27" t="s">
        <v>2090</v>
      </c>
      <c r="AK181" s="27" t="s">
        <v>2091</v>
      </c>
      <c r="AL181" s="27" t="s">
        <v>116</v>
      </c>
      <c r="AM181" s="27" t="s">
        <v>2159</v>
      </c>
      <c r="AN181" s="27" t="s">
        <v>710</v>
      </c>
      <c r="AO181" s="27">
        <v>365</v>
      </c>
    </row>
    <row r="182" spans="1:41" hidden="1">
      <c r="A182" s="27" t="s">
        <v>2160</v>
      </c>
      <c r="B182" s="27" t="s">
        <v>2161</v>
      </c>
      <c r="C182" s="27" t="s">
        <v>2162</v>
      </c>
      <c r="D182" s="27" t="s">
        <v>548</v>
      </c>
      <c r="E182" s="27" t="s">
        <v>578</v>
      </c>
      <c r="F182" s="28">
        <v>46139.243122002314</v>
      </c>
      <c r="G182" s="28">
        <v>46139.243545949073</v>
      </c>
      <c r="H182" s="28">
        <v>46139.243122002314</v>
      </c>
      <c r="I182" s="27" t="s">
        <v>2163</v>
      </c>
      <c r="J182" s="27" t="s">
        <v>2164</v>
      </c>
      <c r="K182" s="27" t="s">
        <v>566</v>
      </c>
      <c r="L182" s="27"/>
      <c r="M182" s="27" t="s">
        <v>2165</v>
      </c>
      <c r="N182" s="27"/>
      <c r="O182" s="27"/>
      <c r="P182" s="27" t="s">
        <v>2166</v>
      </c>
      <c r="Q182" s="27" t="s">
        <v>623</v>
      </c>
      <c r="R182" s="27" t="s">
        <v>583</v>
      </c>
      <c r="S182" s="27"/>
      <c r="T182" s="27" t="s">
        <v>549</v>
      </c>
      <c r="U182" s="27" t="s">
        <v>2162</v>
      </c>
      <c r="V182" s="28">
        <v>46139.243545960649</v>
      </c>
      <c r="W182" s="27"/>
      <c r="X182" s="27"/>
      <c r="Y182" s="27" t="s">
        <v>2165</v>
      </c>
      <c r="Z182" s="28"/>
      <c r="AA182" s="27"/>
      <c r="AB182" s="27"/>
      <c r="AC182" s="27" t="s">
        <v>573</v>
      </c>
      <c r="AD182" s="28"/>
      <c r="AE182" s="27"/>
      <c r="AF182" s="27"/>
      <c r="AG182" s="27" t="s">
        <v>108</v>
      </c>
      <c r="AH182" s="28"/>
      <c r="AI182" s="27"/>
      <c r="AJ182" s="27" t="s">
        <v>2167</v>
      </c>
      <c r="AK182" s="27">
        <v>3277</v>
      </c>
      <c r="AL182" s="27"/>
      <c r="AM182" s="27"/>
      <c r="AN182" s="27" t="s">
        <v>687</v>
      </c>
      <c r="AO182" s="27">
        <v>0</v>
      </c>
    </row>
    <row r="183" spans="1:41" hidden="1">
      <c r="A183" s="27" t="s">
        <v>2168</v>
      </c>
      <c r="B183" s="27" t="s">
        <v>2169</v>
      </c>
      <c r="C183" s="27" t="s">
        <v>2162</v>
      </c>
      <c r="D183" s="27" t="s">
        <v>548</v>
      </c>
      <c r="E183" s="27" t="s">
        <v>638</v>
      </c>
      <c r="F183" s="28">
        <v>46139.248495925924</v>
      </c>
      <c r="G183" s="28">
        <v>46142.312653877314</v>
      </c>
      <c r="H183" s="28">
        <v>46139.248495925924</v>
      </c>
      <c r="I183" s="27" t="s">
        <v>2163</v>
      </c>
      <c r="J183" s="27" t="s">
        <v>2164</v>
      </c>
      <c r="K183" s="27" t="s">
        <v>566</v>
      </c>
      <c r="L183" s="27"/>
      <c r="M183" s="27" t="s">
        <v>963</v>
      </c>
      <c r="N183" s="27"/>
      <c r="O183" s="27"/>
      <c r="P183" s="27" t="s">
        <v>2170</v>
      </c>
      <c r="Q183" s="27" t="s">
        <v>643</v>
      </c>
      <c r="R183" s="27" t="s">
        <v>583</v>
      </c>
      <c r="S183" s="27"/>
      <c r="T183" s="27" t="s">
        <v>559</v>
      </c>
      <c r="U183" s="27" t="s">
        <v>2162</v>
      </c>
      <c r="V183" s="28">
        <v>46139.249662766204</v>
      </c>
      <c r="W183" s="27" t="s">
        <v>2171</v>
      </c>
      <c r="X183" s="27" t="s">
        <v>559</v>
      </c>
      <c r="Y183" s="27" t="s">
        <v>912</v>
      </c>
      <c r="Z183" s="28">
        <v>46139.302135034719</v>
      </c>
      <c r="AA183" s="27" t="s">
        <v>2172</v>
      </c>
      <c r="AB183" s="27" t="s">
        <v>559</v>
      </c>
      <c r="AC183" s="27" t="s">
        <v>571</v>
      </c>
      <c r="AD183" s="28">
        <v>46140.151029131943</v>
      </c>
      <c r="AE183" s="27" t="s">
        <v>2173</v>
      </c>
      <c r="AF183" s="27" t="s">
        <v>559</v>
      </c>
      <c r="AG183" s="27" t="s">
        <v>571</v>
      </c>
      <c r="AH183" s="28">
        <v>46142.312653877314</v>
      </c>
      <c r="AI183" s="27" t="s">
        <v>649</v>
      </c>
      <c r="AJ183" s="27" t="s">
        <v>2167</v>
      </c>
      <c r="AK183" s="27">
        <v>3277</v>
      </c>
      <c r="AL183" s="27" t="s">
        <v>116</v>
      </c>
      <c r="AM183" s="27" t="s">
        <v>2174</v>
      </c>
      <c r="AN183" s="27" t="s">
        <v>687</v>
      </c>
      <c r="AO183" s="27">
        <v>0</v>
      </c>
    </row>
    <row r="184" spans="1:41" hidden="1">
      <c r="A184" s="27" t="s">
        <v>2175</v>
      </c>
      <c r="B184" s="27" t="s">
        <v>2176</v>
      </c>
      <c r="C184" s="27" t="s">
        <v>1421</v>
      </c>
      <c r="D184" s="27" t="s">
        <v>548</v>
      </c>
      <c r="E184" s="27" t="s">
        <v>638</v>
      </c>
      <c r="F184" s="28">
        <v>46140.059256446759</v>
      </c>
      <c r="G184" s="28">
        <v>46142.338742476852</v>
      </c>
      <c r="H184" s="28">
        <v>46140.243259513889</v>
      </c>
      <c r="I184" s="27" t="s">
        <v>2098</v>
      </c>
      <c r="J184" s="27" t="s">
        <v>2099</v>
      </c>
      <c r="K184" s="27" t="s">
        <v>676</v>
      </c>
      <c r="L184" s="27" t="s">
        <v>2177</v>
      </c>
      <c r="M184" s="27" t="s">
        <v>1121</v>
      </c>
      <c r="N184" s="27" t="s">
        <v>2101</v>
      </c>
      <c r="O184" s="27"/>
      <c r="P184" s="27" t="s">
        <v>2178</v>
      </c>
      <c r="Q184" s="27" t="s">
        <v>556</v>
      </c>
      <c r="R184" s="27" t="s">
        <v>557</v>
      </c>
      <c r="S184" s="27"/>
      <c r="T184" s="27" t="s">
        <v>559</v>
      </c>
      <c r="U184" s="27" t="s">
        <v>1421</v>
      </c>
      <c r="V184" s="28">
        <v>46140.245177048608</v>
      </c>
      <c r="W184" s="27" t="s">
        <v>2179</v>
      </c>
      <c r="X184" s="27" t="s">
        <v>559</v>
      </c>
      <c r="Y184" s="27" t="s">
        <v>1121</v>
      </c>
      <c r="Z184" s="28">
        <v>46140.246979432872</v>
      </c>
      <c r="AA184" s="27" t="s">
        <v>2180</v>
      </c>
      <c r="AB184" s="27" t="s">
        <v>559</v>
      </c>
      <c r="AC184" s="27" t="s">
        <v>571</v>
      </c>
      <c r="AD184" s="28">
        <v>46140.281014641201</v>
      </c>
      <c r="AE184" s="27" t="s">
        <v>2181</v>
      </c>
      <c r="AF184" s="27" t="s">
        <v>559</v>
      </c>
      <c r="AG184" s="27" t="s">
        <v>571</v>
      </c>
      <c r="AH184" s="28">
        <v>46142.338742488428</v>
      </c>
      <c r="AI184" s="27" t="s">
        <v>649</v>
      </c>
      <c r="AJ184" s="27" t="s">
        <v>2106</v>
      </c>
      <c r="AK184" s="27" t="s">
        <v>2107</v>
      </c>
      <c r="AL184" s="27" t="s">
        <v>125</v>
      </c>
      <c r="AM184" s="27" t="s">
        <v>2182</v>
      </c>
      <c r="AN184" s="27" t="s">
        <v>710</v>
      </c>
      <c r="AO184" s="27">
        <v>14</v>
      </c>
    </row>
    <row r="185" spans="1:41" hidden="1">
      <c r="A185" s="27" t="s">
        <v>2183</v>
      </c>
      <c r="B185" s="27" t="s">
        <v>2184</v>
      </c>
      <c r="C185" s="27" t="s">
        <v>1509</v>
      </c>
      <c r="D185" s="27" t="s">
        <v>548</v>
      </c>
      <c r="E185" s="27" t="s">
        <v>638</v>
      </c>
      <c r="F185" s="28">
        <v>46140.068297268517</v>
      </c>
      <c r="G185" s="28">
        <v>46199.304491365743</v>
      </c>
      <c r="H185" s="28">
        <v>46140.068297268517</v>
      </c>
      <c r="I185" s="27" t="s">
        <v>2185</v>
      </c>
      <c r="J185" s="27" t="s">
        <v>2186</v>
      </c>
      <c r="K185" s="27" t="s">
        <v>566</v>
      </c>
      <c r="L185" s="27"/>
      <c r="M185" s="27" t="s">
        <v>778</v>
      </c>
      <c r="N185" s="27"/>
      <c r="O185" s="27"/>
      <c r="P185" s="27" t="s">
        <v>976</v>
      </c>
      <c r="Q185" s="27" t="s">
        <v>556</v>
      </c>
      <c r="R185" s="27" t="s">
        <v>659</v>
      </c>
      <c r="S185" s="27"/>
      <c r="T185" s="27" t="s">
        <v>559</v>
      </c>
      <c r="U185" s="27" t="s">
        <v>1509</v>
      </c>
      <c r="V185" s="28">
        <v>46140.069104768518</v>
      </c>
      <c r="W185" s="27" t="s">
        <v>976</v>
      </c>
      <c r="X185" s="27" t="s">
        <v>559</v>
      </c>
      <c r="Y185" s="27" t="s">
        <v>778</v>
      </c>
      <c r="Z185" s="28">
        <v>46184.072790532409</v>
      </c>
      <c r="AA185" s="27" t="s">
        <v>976</v>
      </c>
      <c r="AB185" s="27" t="s">
        <v>559</v>
      </c>
      <c r="AC185" s="27" t="s">
        <v>571</v>
      </c>
      <c r="AD185" s="28">
        <v>46184.105493391202</v>
      </c>
      <c r="AE185" s="27" t="s">
        <v>2187</v>
      </c>
      <c r="AF185" s="27" t="s">
        <v>559</v>
      </c>
      <c r="AG185" s="27" t="s">
        <v>571</v>
      </c>
      <c r="AH185" s="28">
        <v>46199.304491377312</v>
      </c>
      <c r="AI185" s="27" t="s">
        <v>649</v>
      </c>
      <c r="AJ185" s="27" t="s">
        <v>2188</v>
      </c>
      <c r="AK185" s="27" t="s">
        <v>2189</v>
      </c>
      <c r="AL185" s="27" t="s">
        <v>107</v>
      </c>
      <c r="AM185" s="27" t="s">
        <v>2190</v>
      </c>
      <c r="AN185" s="27" t="s">
        <v>665</v>
      </c>
      <c r="AO185" s="27">
        <v>0</v>
      </c>
    </row>
    <row r="186" spans="1:41" hidden="1">
      <c r="A186" s="27" t="s">
        <v>2191</v>
      </c>
      <c r="B186" s="27" t="s">
        <v>2192</v>
      </c>
      <c r="C186" s="27" t="s">
        <v>2193</v>
      </c>
      <c r="D186" s="27" t="s">
        <v>548</v>
      </c>
      <c r="E186" s="27" t="s">
        <v>578</v>
      </c>
      <c r="F186" s="28">
        <v>46147.27477614583</v>
      </c>
      <c r="G186" s="28">
        <v>46147.275956122685</v>
      </c>
      <c r="H186" s="28">
        <v>46147.27477614583</v>
      </c>
      <c r="I186" s="27" t="s">
        <v>2194</v>
      </c>
      <c r="J186" s="27" t="s">
        <v>2195</v>
      </c>
      <c r="K186" s="27" t="s">
        <v>566</v>
      </c>
      <c r="L186" s="27"/>
      <c r="M186" s="27" t="s">
        <v>912</v>
      </c>
      <c r="N186" s="27"/>
      <c r="O186" s="27"/>
      <c r="P186" s="27" t="s">
        <v>2196</v>
      </c>
      <c r="Q186" s="27" t="s">
        <v>556</v>
      </c>
      <c r="R186" s="27" t="s">
        <v>583</v>
      </c>
      <c r="S186" s="27"/>
      <c r="T186" s="27" t="s">
        <v>549</v>
      </c>
      <c r="U186" s="27" t="s">
        <v>2193</v>
      </c>
      <c r="V186" s="28">
        <v>46147.275956134261</v>
      </c>
      <c r="W186" s="27"/>
      <c r="X186" s="27"/>
      <c r="Y186" s="27" t="s">
        <v>912</v>
      </c>
      <c r="Z186" s="28"/>
      <c r="AA186" s="27"/>
      <c r="AB186" s="27"/>
      <c r="AC186" s="27" t="s">
        <v>573</v>
      </c>
      <c r="AD186" s="28"/>
      <c r="AE186" s="27"/>
      <c r="AF186" s="27"/>
      <c r="AG186" s="27" t="s">
        <v>108</v>
      </c>
      <c r="AH186" s="28"/>
      <c r="AI186" s="27"/>
      <c r="AJ186" s="27" t="s">
        <v>2197</v>
      </c>
      <c r="AK186" s="27">
        <v>1443</v>
      </c>
      <c r="AL186" s="27"/>
      <c r="AM186" s="27"/>
      <c r="AN186" s="27" t="s">
        <v>710</v>
      </c>
      <c r="AO186" s="27">
        <v>1</v>
      </c>
    </row>
    <row r="187" spans="1:41" hidden="1">
      <c r="A187" s="27" t="s">
        <v>2198</v>
      </c>
      <c r="B187" s="27" t="s">
        <v>2199</v>
      </c>
      <c r="C187" s="27" t="s">
        <v>2193</v>
      </c>
      <c r="D187" s="27" t="s">
        <v>548</v>
      </c>
      <c r="E187" s="27" t="s">
        <v>578</v>
      </c>
      <c r="F187" s="28">
        <v>46147.277523402779</v>
      </c>
      <c r="G187" s="28">
        <v>46147.278167777775</v>
      </c>
      <c r="H187" s="28">
        <v>46147.277523402779</v>
      </c>
      <c r="I187" s="27" t="s">
        <v>2194</v>
      </c>
      <c r="J187" s="27" t="s">
        <v>2200</v>
      </c>
      <c r="K187" s="27" t="s">
        <v>566</v>
      </c>
      <c r="L187" s="27"/>
      <c r="M187" s="27" t="s">
        <v>912</v>
      </c>
      <c r="N187" s="27"/>
      <c r="O187" s="27"/>
      <c r="P187" s="27" t="s">
        <v>2201</v>
      </c>
      <c r="Q187" s="27" t="s">
        <v>556</v>
      </c>
      <c r="R187" s="27" t="s">
        <v>583</v>
      </c>
      <c r="S187" s="27"/>
      <c r="T187" s="27" t="s">
        <v>549</v>
      </c>
      <c r="U187" s="27" t="s">
        <v>2193</v>
      </c>
      <c r="V187" s="28">
        <v>46147.278167800927</v>
      </c>
      <c r="W187" s="27"/>
      <c r="X187" s="27"/>
      <c r="Y187" s="27" t="s">
        <v>912</v>
      </c>
      <c r="Z187" s="28"/>
      <c r="AA187" s="27"/>
      <c r="AB187" s="27"/>
      <c r="AC187" s="27" t="s">
        <v>573</v>
      </c>
      <c r="AD187" s="28"/>
      <c r="AE187" s="27"/>
      <c r="AF187" s="27"/>
      <c r="AG187" s="27" t="s">
        <v>108</v>
      </c>
      <c r="AH187" s="28"/>
      <c r="AI187" s="27"/>
      <c r="AJ187" s="27" t="s">
        <v>2197</v>
      </c>
      <c r="AK187" s="27">
        <v>2066</v>
      </c>
      <c r="AL187" s="27"/>
      <c r="AM187" s="27"/>
      <c r="AN187" s="27" t="s">
        <v>710</v>
      </c>
      <c r="AO187" s="27">
        <v>1</v>
      </c>
    </row>
    <row r="188" spans="1:41" hidden="1">
      <c r="A188" s="27" t="s">
        <v>2202</v>
      </c>
      <c r="B188" s="27" t="s">
        <v>2203</v>
      </c>
      <c r="C188" s="27" t="s">
        <v>2193</v>
      </c>
      <c r="D188" s="27" t="s">
        <v>548</v>
      </c>
      <c r="E188" s="27" t="s">
        <v>578</v>
      </c>
      <c r="F188" s="28">
        <v>46147.284422523146</v>
      </c>
      <c r="G188" s="28">
        <v>46147.28607765046</v>
      </c>
      <c r="H188" s="28">
        <v>46147.284422523146</v>
      </c>
      <c r="I188" s="27" t="s">
        <v>2194</v>
      </c>
      <c r="J188" s="27" t="s">
        <v>2204</v>
      </c>
      <c r="K188" s="27" t="s">
        <v>566</v>
      </c>
      <c r="L188" s="27"/>
      <c r="M188" s="27" t="s">
        <v>912</v>
      </c>
      <c r="N188" s="27"/>
      <c r="O188" s="27"/>
      <c r="P188" s="27" t="s">
        <v>2201</v>
      </c>
      <c r="Q188" s="27" t="s">
        <v>556</v>
      </c>
      <c r="R188" s="27" t="s">
        <v>583</v>
      </c>
      <c r="S188" s="27"/>
      <c r="T188" s="27" t="s">
        <v>549</v>
      </c>
      <c r="U188" s="27" t="s">
        <v>2193</v>
      </c>
      <c r="V188" s="28">
        <v>46147.286077685189</v>
      </c>
      <c r="W188" s="27"/>
      <c r="X188" s="27"/>
      <c r="Y188" s="27" t="s">
        <v>912</v>
      </c>
      <c r="Z188" s="28"/>
      <c r="AA188" s="27"/>
      <c r="AB188" s="27"/>
      <c r="AC188" s="27" t="s">
        <v>573</v>
      </c>
      <c r="AD188" s="28"/>
      <c r="AE188" s="27"/>
      <c r="AF188" s="27"/>
      <c r="AG188" s="27" t="s">
        <v>108</v>
      </c>
      <c r="AH188" s="28"/>
      <c r="AI188" s="27"/>
      <c r="AJ188" s="27" t="s">
        <v>2197</v>
      </c>
      <c r="AK188" s="27" t="s">
        <v>2205</v>
      </c>
      <c r="AL188" s="27"/>
      <c r="AM188" s="27"/>
      <c r="AN188" s="27" t="s">
        <v>710</v>
      </c>
      <c r="AO188" s="27">
        <v>1</v>
      </c>
    </row>
    <row r="189" spans="1:41" hidden="1">
      <c r="A189" s="27" t="s">
        <v>2206</v>
      </c>
      <c r="B189" s="27" t="s">
        <v>2207</v>
      </c>
      <c r="C189" s="27" t="s">
        <v>2193</v>
      </c>
      <c r="D189" s="27" t="s">
        <v>548</v>
      </c>
      <c r="E189" s="27" t="s">
        <v>578</v>
      </c>
      <c r="F189" s="28">
        <v>46147.286759363429</v>
      </c>
      <c r="G189" s="28">
        <v>46147.28765233796</v>
      </c>
      <c r="H189" s="28">
        <v>46147.286759363429</v>
      </c>
      <c r="I189" s="27" t="s">
        <v>2194</v>
      </c>
      <c r="J189" s="27" t="s">
        <v>2208</v>
      </c>
      <c r="K189" s="27" t="s">
        <v>566</v>
      </c>
      <c r="L189" s="27"/>
      <c r="M189" s="27" t="s">
        <v>912</v>
      </c>
      <c r="N189" s="27"/>
      <c r="O189" s="27"/>
      <c r="P189" s="27" t="s">
        <v>2201</v>
      </c>
      <c r="Q189" s="27" t="s">
        <v>556</v>
      </c>
      <c r="R189" s="27" t="s">
        <v>583</v>
      </c>
      <c r="S189" s="27"/>
      <c r="T189" s="27" t="s">
        <v>549</v>
      </c>
      <c r="U189" s="27" t="s">
        <v>2193</v>
      </c>
      <c r="V189" s="28">
        <v>46147.287652349536</v>
      </c>
      <c r="W189" s="27"/>
      <c r="X189" s="27"/>
      <c r="Y189" s="27" t="s">
        <v>912</v>
      </c>
      <c r="Z189" s="28"/>
      <c r="AA189" s="27"/>
      <c r="AB189" s="27"/>
      <c r="AC189" s="27" t="s">
        <v>573</v>
      </c>
      <c r="AD189" s="28"/>
      <c r="AE189" s="27"/>
      <c r="AF189" s="27"/>
      <c r="AG189" s="27" t="s">
        <v>108</v>
      </c>
      <c r="AH189" s="28"/>
      <c r="AI189" s="27"/>
      <c r="AJ189" s="27" t="s">
        <v>2197</v>
      </c>
      <c r="AK189" s="27">
        <v>3494</v>
      </c>
      <c r="AL189" s="27"/>
      <c r="AM189" s="27"/>
      <c r="AN189" s="27" t="s">
        <v>710</v>
      </c>
      <c r="AO189" s="27">
        <v>1</v>
      </c>
    </row>
    <row r="190" spans="1:41" hidden="1">
      <c r="A190" s="27" t="s">
        <v>2209</v>
      </c>
      <c r="B190" s="27" t="s">
        <v>2210</v>
      </c>
      <c r="C190" s="27" t="s">
        <v>1908</v>
      </c>
      <c r="D190" s="27" t="s">
        <v>548</v>
      </c>
      <c r="E190" s="27" t="s">
        <v>578</v>
      </c>
      <c r="F190" s="28">
        <v>46148.097812581022</v>
      </c>
      <c r="G190" s="28">
        <v>46148.194012604166</v>
      </c>
      <c r="H190" s="28">
        <v>46148.097812581022</v>
      </c>
      <c r="I190" s="27" t="s">
        <v>2211</v>
      </c>
      <c r="J190" s="27" t="s">
        <v>2212</v>
      </c>
      <c r="K190" s="27" t="s">
        <v>566</v>
      </c>
      <c r="L190" s="27"/>
      <c r="M190" s="27" t="s">
        <v>778</v>
      </c>
      <c r="N190" s="27"/>
      <c r="O190" s="27"/>
      <c r="P190" s="27" t="s">
        <v>976</v>
      </c>
      <c r="Q190" s="27" t="s">
        <v>556</v>
      </c>
      <c r="R190" s="27" t="s">
        <v>659</v>
      </c>
      <c r="S190" s="27"/>
      <c r="T190" s="27" t="s">
        <v>549</v>
      </c>
      <c r="U190" s="27" t="s">
        <v>1908</v>
      </c>
      <c r="V190" s="28">
        <v>46148.194012615742</v>
      </c>
      <c r="W190" s="27"/>
      <c r="X190" s="27"/>
      <c r="Y190" s="27" t="s">
        <v>778</v>
      </c>
      <c r="Z190" s="28"/>
      <c r="AA190" s="27"/>
      <c r="AB190" s="27"/>
      <c r="AC190" s="27" t="s">
        <v>573</v>
      </c>
      <c r="AD190" s="28"/>
      <c r="AE190" s="27"/>
      <c r="AF190" s="27"/>
      <c r="AG190" s="27" t="s">
        <v>108</v>
      </c>
      <c r="AH190" s="28"/>
      <c r="AI190" s="27"/>
      <c r="AJ190" s="27" t="s">
        <v>2213</v>
      </c>
      <c r="AK190" s="27" t="s">
        <v>2214</v>
      </c>
      <c r="AL190" s="27"/>
      <c r="AM190" s="27"/>
      <c r="AN190" s="27" t="s">
        <v>665</v>
      </c>
      <c r="AO190" s="27">
        <v>0</v>
      </c>
    </row>
    <row r="191" spans="1:41" hidden="1">
      <c r="A191" s="27" t="s">
        <v>2215</v>
      </c>
      <c r="B191" s="27" t="s">
        <v>2216</v>
      </c>
      <c r="C191" s="27" t="s">
        <v>2217</v>
      </c>
      <c r="D191" s="27" t="s">
        <v>548</v>
      </c>
      <c r="E191" s="27" t="s">
        <v>638</v>
      </c>
      <c r="F191" s="28">
        <v>46148.166256504628</v>
      </c>
      <c r="G191" s="28">
        <v>46161.332111631942</v>
      </c>
      <c r="H191" s="28">
        <v>46148.166256504628</v>
      </c>
      <c r="I191" s="27" t="s">
        <v>2218</v>
      </c>
      <c r="J191" s="27" t="s">
        <v>2219</v>
      </c>
      <c r="K191" s="27" t="s">
        <v>676</v>
      </c>
      <c r="L191" s="27" t="s">
        <v>2220</v>
      </c>
      <c r="M191" s="27" t="s">
        <v>2221</v>
      </c>
      <c r="N191" s="27"/>
      <c r="O191" s="27"/>
      <c r="P191" s="27" t="s">
        <v>2222</v>
      </c>
      <c r="Q191" s="27" t="s">
        <v>569</v>
      </c>
      <c r="R191" s="27" t="s">
        <v>583</v>
      </c>
      <c r="S191" s="27"/>
      <c r="T191" s="27" t="s">
        <v>559</v>
      </c>
      <c r="U191" s="27" t="s">
        <v>2217</v>
      </c>
      <c r="V191" s="28">
        <v>46148.240255497687</v>
      </c>
      <c r="W191" s="27" t="s">
        <v>2223</v>
      </c>
      <c r="X191" s="27" t="s">
        <v>559</v>
      </c>
      <c r="Y191" s="27" t="s">
        <v>2224</v>
      </c>
      <c r="Z191" s="28">
        <v>46155.335218414351</v>
      </c>
      <c r="AA191" s="27" t="s">
        <v>2225</v>
      </c>
      <c r="AB191" s="27" t="s">
        <v>559</v>
      </c>
      <c r="AC191" s="27" t="s">
        <v>571</v>
      </c>
      <c r="AD191" s="28">
        <v>46156.099481180558</v>
      </c>
      <c r="AE191" s="27" t="s">
        <v>2226</v>
      </c>
      <c r="AF191" s="27" t="s">
        <v>559</v>
      </c>
      <c r="AG191" s="27" t="s">
        <v>683</v>
      </c>
      <c r="AH191" s="28">
        <v>46161.332111631942</v>
      </c>
      <c r="AI191" s="27" t="s">
        <v>684</v>
      </c>
      <c r="AJ191" s="27" t="s">
        <v>2227</v>
      </c>
      <c r="AK191" s="27">
        <v>3002</v>
      </c>
      <c r="AL191" s="27" t="s">
        <v>125</v>
      </c>
      <c r="AM191" s="27" t="s">
        <v>2228</v>
      </c>
      <c r="AN191" s="27" t="s">
        <v>710</v>
      </c>
      <c r="AO191" s="27">
        <v>365</v>
      </c>
    </row>
    <row r="192" spans="1:41" hidden="1">
      <c r="A192" s="27" t="s">
        <v>2229</v>
      </c>
      <c r="B192" s="27" t="s">
        <v>2230</v>
      </c>
      <c r="C192" s="27" t="s">
        <v>1908</v>
      </c>
      <c r="D192" s="27" t="s">
        <v>548</v>
      </c>
      <c r="E192" s="27" t="s">
        <v>578</v>
      </c>
      <c r="F192" s="28">
        <v>46148.195426851853</v>
      </c>
      <c r="G192" s="28">
        <v>46156.070046516201</v>
      </c>
      <c r="H192" s="28">
        <v>46148.195426851853</v>
      </c>
      <c r="I192" s="27" t="s">
        <v>2211</v>
      </c>
      <c r="J192" s="27" t="s">
        <v>2231</v>
      </c>
      <c r="K192" s="27" t="s">
        <v>566</v>
      </c>
      <c r="L192" s="27"/>
      <c r="M192" s="27" t="s">
        <v>778</v>
      </c>
      <c r="N192" s="27"/>
      <c r="O192" s="27"/>
      <c r="P192" s="27" t="s">
        <v>976</v>
      </c>
      <c r="Q192" s="27" t="s">
        <v>556</v>
      </c>
      <c r="R192" s="27" t="s">
        <v>659</v>
      </c>
      <c r="S192" s="27"/>
      <c r="T192" s="27" t="s">
        <v>549</v>
      </c>
      <c r="U192" s="27" t="s">
        <v>1908</v>
      </c>
      <c r="V192" s="28">
        <v>46156.070046527777</v>
      </c>
      <c r="W192" s="27"/>
      <c r="X192" s="27"/>
      <c r="Y192" s="27" t="s">
        <v>778</v>
      </c>
      <c r="Z192" s="28"/>
      <c r="AA192" s="27"/>
      <c r="AB192" s="27"/>
      <c r="AC192" s="27" t="s">
        <v>573</v>
      </c>
      <c r="AD192" s="28"/>
      <c r="AE192" s="27"/>
      <c r="AF192" s="27"/>
      <c r="AG192" s="27" t="s">
        <v>108</v>
      </c>
      <c r="AH192" s="28"/>
      <c r="AI192" s="27"/>
      <c r="AJ192" s="27" t="s">
        <v>2213</v>
      </c>
      <c r="AK192" s="27" t="s">
        <v>2232</v>
      </c>
      <c r="AL192" s="27"/>
      <c r="AM192" s="27"/>
      <c r="AN192" s="27" t="s">
        <v>665</v>
      </c>
      <c r="AO192" s="27">
        <v>0</v>
      </c>
    </row>
    <row r="193" spans="1:41" hidden="1">
      <c r="A193" s="27" t="s">
        <v>2233</v>
      </c>
      <c r="B193" s="27" t="s">
        <v>277</v>
      </c>
      <c r="C193" s="27" t="s">
        <v>1509</v>
      </c>
      <c r="D193" s="27" t="s">
        <v>548</v>
      </c>
      <c r="E193" s="27" t="s">
        <v>67</v>
      </c>
      <c r="F193" s="28">
        <v>46154.10718013889</v>
      </c>
      <c r="G193" s="28">
        <v>46237.27009903935</v>
      </c>
      <c r="H193" s="28">
        <v>46154.10718013889</v>
      </c>
      <c r="I193" s="27" t="s">
        <v>278</v>
      </c>
      <c r="J193" s="27" t="s">
        <v>279</v>
      </c>
      <c r="K193" s="27" t="s">
        <v>566</v>
      </c>
      <c r="L193" s="27"/>
      <c r="M193" s="27" t="s">
        <v>778</v>
      </c>
      <c r="N193" s="27"/>
      <c r="O193" s="27"/>
      <c r="P193" s="27" t="s">
        <v>976</v>
      </c>
      <c r="Q193" s="27" t="s">
        <v>556</v>
      </c>
      <c r="R193" s="27" t="s">
        <v>659</v>
      </c>
      <c r="S193" s="27"/>
      <c r="T193" s="27" t="s">
        <v>559</v>
      </c>
      <c r="U193" s="27" t="s">
        <v>1509</v>
      </c>
      <c r="V193" s="28">
        <v>46154.108389155095</v>
      </c>
      <c r="W193" s="27" t="s">
        <v>976</v>
      </c>
      <c r="X193" s="27" t="s">
        <v>559</v>
      </c>
      <c r="Y193" s="27" t="s">
        <v>778</v>
      </c>
      <c r="Z193" s="28">
        <v>46184.073266527776</v>
      </c>
      <c r="AA193" s="27" t="s">
        <v>976</v>
      </c>
      <c r="AB193" s="27" t="s">
        <v>559</v>
      </c>
      <c r="AC193" s="27" t="s">
        <v>162</v>
      </c>
      <c r="AD193" s="28">
        <v>46237.270099050926</v>
      </c>
      <c r="AE193" s="27" t="s">
        <v>559</v>
      </c>
      <c r="AF193" s="27"/>
      <c r="AG193" s="27" t="s">
        <v>259</v>
      </c>
      <c r="AH193" s="28"/>
      <c r="AI193" s="27"/>
      <c r="AJ193" s="27" t="s">
        <v>2234</v>
      </c>
      <c r="AK193" s="27" t="s">
        <v>2235</v>
      </c>
      <c r="AL193" s="27" t="s">
        <v>107</v>
      </c>
      <c r="AM193" s="27" t="s">
        <v>2236</v>
      </c>
      <c r="AN193" s="27" t="s">
        <v>665</v>
      </c>
      <c r="AO193" s="27">
        <v>0</v>
      </c>
    </row>
    <row r="194" spans="1:41" hidden="1">
      <c r="A194" s="27" t="s">
        <v>2237</v>
      </c>
      <c r="B194" s="27" t="s">
        <v>2238</v>
      </c>
      <c r="C194" s="27" t="s">
        <v>1509</v>
      </c>
      <c r="D194" s="27" t="s">
        <v>548</v>
      </c>
      <c r="E194" s="27" t="s">
        <v>638</v>
      </c>
      <c r="F194" s="28">
        <v>46154.130463217596</v>
      </c>
      <c r="G194" s="28">
        <v>46209.089264097223</v>
      </c>
      <c r="H194" s="28">
        <v>46154.130463217596</v>
      </c>
      <c r="I194" s="27" t="s">
        <v>2211</v>
      </c>
      <c r="J194" s="27" t="s">
        <v>2212</v>
      </c>
      <c r="K194" s="27" t="s">
        <v>566</v>
      </c>
      <c r="L194" s="27"/>
      <c r="M194" s="27" t="s">
        <v>778</v>
      </c>
      <c r="N194" s="27"/>
      <c r="O194" s="27"/>
      <c r="P194" s="27" t="s">
        <v>976</v>
      </c>
      <c r="Q194" s="27" t="s">
        <v>556</v>
      </c>
      <c r="R194" s="27" t="s">
        <v>659</v>
      </c>
      <c r="S194" s="27"/>
      <c r="T194" s="27" t="s">
        <v>559</v>
      </c>
      <c r="U194" s="27" t="s">
        <v>1509</v>
      </c>
      <c r="V194" s="28">
        <v>46154.130860451391</v>
      </c>
      <c r="W194" s="27" t="s">
        <v>976</v>
      </c>
      <c r="X194" s="27" t="s">
        <v>559</v>
      </c>
      <c r="Y194" s="27" t="s">
        <v>778</v>
      </c>
      <c r="Z194" s="28">
        <v>46184.071406724535</v>
      </c>
      <c r="AA194" s="27" t="s">
        <v>976</v>
      </c>
      <c r="AB194" s="27" t="s">
        <v>559</v>
      </c>
      <c r="AC194" s="27" t="s">
        <v>571</v>
      </c>
      <c r="AD194" s="28">
        <v>46197.397345185185</v>
      </c>
      <c r="AE194" s="27" t="s">
        <v>2239</v>
      </c>
      <c r="AF194" s="27" t="s">
        <v>559</v>
      </c>
      <c r="AG194" s="27" t="s">
        <v>683</v>
      </c>
      <c r="AH194" s="28">
        <v>46209.089264108799</v>
      </c>
      <c r="AI194" s="27" t="s">
        <v>684</v>
      </c>
      <c r="AJ194" s="27" t="s">
        <v>2213</v>
      </c>
      <c r="AK194" s="27" t="s">
        <v>2214</v>
      </c>
      <c r="AL194" s="27" t="s">
        <v>107</v>
      </c>
      <c r="AM194" s="27" t="s">
        <v>2240</v>
      </c>
      <c r="AN194" s="27" t="s">
        <v>665</v>
      </c>
      <c r="AO194" s="27">
        <v>0</v>
      </c>
    </row>
    <row r="195" spans="1:41" hidden="1">
      <c r="A195" s="27" t="s">
        <v>2241</v>
      </c>
      <c r="B195" s="27" t="s">
        <v>2242</v>
      </c>
      <c r="C195" s="27" t="s">
        <v>1509</v>
      </c>
      <c r="D195" s="27" t="s">
        <v>548</v>
      </c>
      <c r="E195" s="27" t="s">
        <v>638</v>
      </c>
      <c r="F195" s="28">
        <v>46154.131949490744</v>
      </c>
      <c r="G195" s="28">
        <v>46204.355593310182</v>
      </c>
      <c r="H195" s="28">
        <v>46154.131949490744</v>
      </c>
      <c r="I195" s="27" t="s">
        <v>2211</v>
      </c>
      <c r="J195" s="27" t="s">
        <v>2231</v>
      </c>
      <c r="K195" s="27" t="s">
        <v>566</v>
      </c>
      <c r="L195" s="27"/>
      <c r="M195" s="27" t="s">
        <v>778</v>
      </c>
      <c r="N195" s="27"/>
      <c r="O195" s="27"/>
      <c r="P195" s="27" t="s">
        <v>976</v>
      </c>
      <c r="Q195" s="27" t="s">
        <v>556</v>
      </c>
      <c r="R195" s="27" t="s">
        <v>659</v>
      </c>
      <c r="S195" s="27"/>
      <c r="T195" s="27" t="s">
        <v>559</v>
      </c>
      <c r="U195" s="27" t="s">
        <v>1509</v>
      </c>
      <c r="V195" s="28">
        <v>46154.132251898147</v>
      </c>
      <c r="W195" s="27" t="s">
        <v>976</v>
      </c>
      <c r="X195" s="27" t="s">
        <v>559</v>
      </c>
      <c r="Y195" s="27" t="s">
        <v>778</v>
      </c>
      <c r="Z195" s="28">
        <v>46184.070646828703</v>
      </c>
      <c r="AA195" s="27" t="s">
        <v>976</v>
      </c>
      <c r="AB195" s="27" t="s">
        <v>559</v>
      </c>
      <c r="AC195" s="27" t="s">
        <v>571</v>
      </c>
      <c r="AD195" s="28">
        <v>46197.397987222219</v>
      </c>
      <c r="AE195" s="27" t="s">
        <v>2243</v>
      </c>
      <c r="AF195" s="27" t="s">
        <v>559</v>
      </c>
      <c r="AG195" s="27" t="s">
        <v>683</v>
      </c>
      <c r="AH195" s="28">
        <v>46204.355593321758</v>
      </c>
      <c r="AI195" s="27" t="s">
        <v>684</v>
      </c>
      <c r="AJ195" s="27" t="s">
        <v>2213</v>
      </c>
      <c r="AK195" s="27" t="s">
        <v>2232</v>
      </c>
      <c r="AL195" s="27" t="s">
        <v>107</v>
      </c>
      <c r="AM195" s="27" t="s">
        <v>2244</v>
      </c>
      <c r="AN195" s="27" t="s">
        <v>665</v>
      </c>
      <c r="AO195" s="27">
        <v>0</v>
      </c>
    </row>
    <row r="196" spans="1:41" hidden="1">
      <c r="A196" s="27" t="s">
        <v>2245</v>
      </c>
      <c r="B196" s="27" t="s">
        <v>2246</v>
      </c>
      <c r="C196" s="27" t="s">
        <v>1509</v>
      </c>
      <c r="D196" s="27" t="s">
        <v>548</v>
      </c>
      <c r="E196" s="27" t="s">
        <v>638</v>
      </c>
      <c r="F196" s="28">
        <v>46154.339134652779</v>
      </c>
      <c r="G196" s="28">
        <v>46203.374965370371</v>
      </c>
      <c r="H196" s="28">
        <v>46154.339134652779</v>
      </c>
      <c r="I196" s="27" t="s">
        <v>2247</v>
      </c>
      <c r="J196" s="27" t="s">
        <v>2248</v>
      </c>
      <c r="K196" s="27" t="s">
        <v>566</v>
      </c>
      <c r="L196" s="27"/>
      <c r="M196" s="27" t="s">
        <v>778</v>
      </c>
      <c r="N196" s="27"/>
      <c r="O196" s="27"/>
      <c r="P196" s="27" t="s">
        <v>976</v>
      </c>
      <c r="Q196" s="27" t="s">
        <v>556</v>
      </c>
      <c r="R196" s="27" t="s">
        <v>659</v>
      </c>
      <c r="S196" s="27"/>
      <c r="T196" s="27" t="s">
        <v>559</v>
      </c>
      <c r="U196" s="27" t="s">
        <v>1509</v>
      </c>
      <c r="V196" s="28">
        <v>46154.340297337963</v>
      </c>
      <c r="W196" s="27" t="s">
        <v>976</v>
      </c>
      <c r="X196" s="27" t="s">
        <v>559</v>
      </c>
      <c r="Y196" s="27" t="s">
        <v>778</v>
      </c>
      <c r="Z196" s="28">
        <v>46184.069686006944</v>
      </c>
      <c r="AA196" s="27" t="s">
        <v>976</v>
      </c>
      <c r="AB196" s="27" t="s">
        <v>559</v>
      </c>
      <c r="AC196" s="27" t="s">
        <v>571</v>
      </c>
      <c r="AD196" s="28">
        <v>46195.069912175924</v>
      </c>
      <c r="AE196" s="27" t="s">
        <v>2249</v>
      </c>
      <c r="AF196" s="27" t="s">
        <v>559</v>
      </c>
      <c r="AG196" s="27" t="s">
        <v>683</v>
      </c>
      <c r="AH196" s="28">
        <v>46203.374965381947</v>
      </c>
      <c r="AI196" s="27" t="s">
        <v>684</v>
      </c>
      <c r="AJ196" s="27" t="s">
        <v>2250</v>
      </c>
      <c r="AK196" s="27" t="s">
        <v>2251</v>
      </c>
      <c r="AL196" s="27" t="s">
        <v>107</v>
      </c>
      <c r="AM196" s="27" t="s">
        <v>2252</v>
      </c>
      <c r="AN196" s="27" t="s">
        <v>665</v>
      </c>
      <c r="AO196" s="27">
        <v>0</v>
      </c>
    </row>
    <row r="197" spans="1:41" hidden="1">
      <c r="A197" s="27" t="s">
        <v>2253</v>
      </c>
      <c r="B197" s="27" t="s">
        <v>2254</v>
      </c>
      <c r="C197" s="27" t="s">
        <v>2255</v>
      </c>
      <c r="D197" s="27" t="s">
        <v>548</v>
      </c>
      <c r="E197" s="27" t="s">
        <v>578</v>
      </c>
      <c r="F197" s="28">
        <v>46154.37760428241</v>
      </c>
      <c r="G197" s="28">
        <v>46154.48169390046</v>
      </c>
      <c r="H197" s="28">
        <v>46154.37760428241</v>
      </c>
      <c r="I197" s="27" t="s">
        <v>2256</v>
      </c>
      <c r="J197" s="27" t="s">
        <v>2257</v>
      </c>
      <c r="K197" s="27" t="s">
        <v>566</v>
      </c>
      <c r="L197" s="27"/>
      <c r="M197" s="27" t="s">
        <v>2258</v>
      </c>
      <c r="N197" s="27"/>
      <c r="O197" s="27"/>
      <c r="P197" s="27" t="s">
        <v>2259</v>
      </c>
      <c r="Q197" s="27" t="s">
        <v>623</v>
      </c>
      <c r="R197" s="27" t="s">
        <v>583</v>
      </c>
      <c r="S197" s="27"/>
      <c r="T197" s="27" t="s">
        <v>549</v>
      </c>
      <c r="U197" s="27" t="s">
        <v>2255</v>
      </c>
      <c r="V197" s="28">
        <v>46154.48169390046</v>
      </c>
      <c r="W197" s="27"/>
      <c r="X197" s="27"/>
      <c r="Y197" s="27" t="s">
        <v>2258</v>
      </c>
      <c r="Z197" s="28"/>
      <c r="AA197" s="27"/>
      <c r="AB197" s="27"/>
      <c r="AC197" s="27" t="s">
        <v>573</v>
      </c>
      <c r="AD197" s="28"/>
      <c r="AE197" s="27"/>
      <c r="AF197" s="27"/>
      <c r="AG197" s="27" t="s">
        <v>108</v>
      </c>
      <c r="AH197" s="28"/>
      <c r="AI197" s="27"/>
      <c r="AJ197" s="27" t="s">
        <v>2260</v>
      </c>
      <c r="AK197" s="27">
        <v>1561</v>
      </c>
      <c r="AL197" s="27"/>
      <c r="AM197" s="27"/>
      <c r="AN197" s="27" t="s">
        <v>665</v>
      </c>
      <c r="AO197" s="27">
        <v>0</v>
      </c>
    </row>
    <row r="198" spans="1:41" hidden="1">
      <c r="A198" s="27" t="s">
        <v>2261</v>
      </c>
      <c r="B198" s="27" t="s">
        <v>2262</v>
      </c>
      <c r="C198" s="27" t="s">
        <v>2193</v>
      </c>
      <c r="D198" s="27" t="s">
        <v>548</v>
      </c>
      <c r="E198" s="27" t="s">
        <v>638</v>
      </c>
      <c r="F198" s="28">
        <v>46155.093789155093</v>
      </c>
      <c r="G198" s="28">
        <v>46188.341680752317</v>
      </c>
      <c r="H198" s="28">
        <v>46155.095763599536</v>
      </c>
      <c r="I198" s="27" t="s">
        <v>2194</v>
      </c>
      <c r="J198" s="27" t="s">
        <v>2208</v>
      </c>
      <c r="K198" s="27" t="s">
        <v>676</v>
      </c>
      <c r="L198" s="27" t="s">
        <v>2263</v>
      </c>
      <c r="M198" s="27" t="s">
        <v>912</v>
      </c>
      <c r="N198" s="27"/>
      <c r="O198" s="27"/>
      <c r="P198" s="27" t="s">
        <v>2196</v>
      </c>
      <c r="Q198" s="27" t="s">
        <v>623</v>
      </c>
      <c r="R198" s="27" t="s">
        <v>583</v>
      </c>
      <c r="S198" s="27"/>
      <c r="T198" s="27" t="s">
        <v>559</v>
      </c>
      <c r="U198" s="27" t="s">
        <v>2193</v>
      </c>
      <c r="V198" s="28">
        <v>46155.105637627312</v>
      </c>
      <c r="W198" s="27" t="s">
        <v>2264</v>
      </c>
      <c r="X198" s="27" t="s">
        <v>559</v>
      </c>
      <c r="Y198" s="27" t="s">
        <v>912</v>
      </c>
      <c r="Z198" s="28">
        <v>46167.397833437499</v>
      </c>
      <c r="AA198" s="27" t="s">
        <v>2265</v>
      </c>
      <c r="AB198" s="27" t="s">
        <v>559</v>
      </c>
      <c r="AC198" s="27" t="s">
        <v>571</v>
      </c>
      <c r="AD198" s="28">
        <v>46176.076708518522</v>
      </c>
      <c r="AE198" s="27" t="s">
        <v>2266</v>
      </c>
      <c r="AF198" s="27" t="s">
        <v>559</v>
      </c>
      <c r="AG198" s="27" t="s">
        <v>683</v>
      </c>
      <c r="AH198" s="28">
        <v>46188.341680763886</v>
      </c>
      <c r="AI198" s="27" t="s">
        <v>684</v>
      </c>
      <c r="AJ198" s="27" t="s">
        <v>2197</v>
      </c>
      <c r="AK198" s="27">
        <v>3494</v>
      </c>
      <c r="AL198" s="27" t="s">
        <v>107</v>
      </c>
      <c r="AM198" s="27" t="s">
        <v>2267</v>
      </c>
      <c r="AN198" s="27" t="s">
        <v>710</v>
      </c>
      <c r="AO198" s="27"/>
    </row>
    <row r="199" spans="1:41" hidden="1">
      <c r="A199" s="27" t="s">
        <v>2268</v>
      </c>
      <c r="B199" s="27" t="s">
        <v>2269</v>
      </c>
      <c r="C199" s="27" t="s">
        <v>2270</v>
      </c>
      <c r="D199" s="27" t="s">
        <v>548</v>
      </c>
      <c r="E199" s="27" t="s">
        <v>638</v>
      </c>
      <c r="F199" s="28">
        <v>46155.140799421293</v>
      </c>
      <c r="G199" s="28">
        <v>46184.140501018519</v>
      </c>
      <c r="H199" s="28">
        <v>46161.172626192129</v>
      </c>
      <c r="I199" s="27" t="s">
        <v>2271</v>
      </c>
      <c r="J199" s="27" t="s">
        <v>2272</v>
      </c>
      <c r="K199" s="27" t="s">
        <v>676</v>
      </c>
      <c r="L199" s="27" t="s">
        <v>2273</v>
      </c>
      <c r="M199" s="27" t="s">
        <v>581</v>
      </c>
      <c r="N199" s="27" t="s">
        <v>794</v>
      </c>
      <c r="O199" s="27"/>
      <c r="P199" s="27" t="s">
        <v>2274</v>
      </c>
      <c r="Q199" s="27" t="s">
        <v>569</v>
      </c>
      <c r="R199" s="27" t="s">
        <v>809</v>
      </c>
      <c r="S199" s="27"/>
      <c r="T199" s="27" t="s">
        <v>559</v>
      </c>
      <c r="U199" s="27" t="s">
        <v>2270</v>
      </c>
      <c r="V199" s="28">
        <v>46161.175308784725</v>
      </c>
      <c r="W199" s="27" t="s">
        <v>2275</v>
      </c>
      <c r="X199" s="27" t="s">
        <v>559</v>
      </c>
      <c r="Y199" s="27" t="s">
        <v>584</v>
      </c>
      <c r="Z199" s="28">
        <v>46177.260344432871</v>
      </c>
      <c r="AA199" s="27" t="s">
        <v>2276</v>
      </c>
      <c r="AB199" s="27" t="s">
        <v>559</v>
      </c>
      <c r="AC199" s="27" t="s">
        <v>571</v>
      </c>
      <c r="AD199" s="28">
        <v>46182.259301041668</v>
      </c>
      <c r="AE199" s="27" t="s">
        <v>2277</v>
      </c>
      <c r="AF199" s="27" t="s">
        <v>559</v>
      </c>
      <c r="AG199" s="27" t="s">
        <v>683</v>
      </c>
      <c r="AH199" s="28">
        <v>46184.140501030095</v>
      </c>
      <c r="AI199" s="27" t="s">
        <v>2278</v>
      </c>
      <c r="AJ199" s="27" t="s">
        <v>2279</v>
      </c>
      <c r="AK199" s="27" t="s">
        <v>2280</v>
      </c>
      <c r="AL199" s="27" t="s">
        <v>116</v>
      </c>
      <c r="AM199" s="27" t="s">
        <v>2281</v>
      </c>
      <c r="AN199" s="27" t="s">
        <v>665</v>
      </c>
      <c r="AO199" s="27">
        <v>0</v>
      </c>
    </row>
    <row r="200" spans="1:41" hidden="1">
      <c r="A200" s="27" t="s">
        <v>2282</v>
      </c>
      <c r="B200" s="27" t="s">
        <v>2283</v>
      </c>
      <c r="C200" s="27" t="s">
        <v>2284</v>
      </c>
      <c r="D200" s="27" t="s">
        <v>548</v>
      </c>
      <c r="E200" s="27" t="s">
        <v>578</v>
      </c>
      <c r="F200" s="28">
        <v>46155.161485821758</v>
      </c>
      <c r="G200" s="28">
        <v>46160.307098541663</v>
      </c>
      <c r="H200" s="28">
        <v>46156.048135775462</v>
      </c>
      <c r="I200" s="27" t="s">
        <v>2285</v>
      </c>
      <c r="J200" s="27" t="s">
        <v>2286</v>
      </c>
      <c r="K200" s="27" t="s">
        <v>566</v>
      </c>
      <c r="L200" s="27"/>
      <c r="M200" s="27" t="s">
        <v>1211</v>
      </c>
      <c r="N200" s="27" t="s">
        <v>2287</v>
      </c>
      <c r="O200" s="27"/>
      <c r="P200" s="27" t="s">
        <v>2288</v>
      </c>
      <c r="Q200" s="27" t="s">
        <v>556</v>
      </c>
      <c r="R200" s="27" t="s">
        <v>583</v>
      </c>
      <c r="S200" s="27"/>
      <c r="T200" s="27" t="s">
        <v>549</v>
      </c>
      <c r="U200" s="27" t="s">
        <v>2284</v>
      </c>
      <c r="V200" s="28">
        <v>46160.307098541663</v>
      </c>
      <c r="W200" s="27"/>
      <c r="X200" s="27"/>
      <c r="Y200" s="27" t="s">
        <v>1211</v>
      </c>
      <c r="Z200" s="28"/>
      <c r="AA200" s="27"/>
      <c r="AB200" s="27"/>
      <c r="AC200" s="27" t="s">
        <v>573</v>
      </c>
      <c r="AD200" s="28"/>
      <c r="AE200" s="27"/>
      <c r="AF200" s="27"/>
      <c r="AG200" s="27" t="s">
        <v>573</v>
      </c>
      <c r="AH200" s="28"/>
      <c r="AI200" s="27"/>
      <c r="AJ200" s="27" t="s">
        <v>2289</v>
      </c>
      <c r="AK200" s="27" t="s">
        <v>2290</v>
      </c>
      <c r="AL200" s="27"/>
      <c r="AM200" s="27"/>
      <c r="AN200" s="27" t="s">
        <v>687</v>
      </c>
      <c r="AO200" s="27">
        <v>0</v>
      </c>
    </row>
    <row r="201" spans="1:41" hidden="1">
      <c r="A201" s="27" t="s">
        <v>2291</v>
      </c>
      <c r="B201" s="27" t="s">
        <v>2292</v>
      </c>
      <c r="C201" s="27" t="s">
        <v>2284</v>
      </c>
      <c r="D201" s="27" t="s">
        <v>548</v>
      </c>
      <c r="E201" s="27" t="s">
        <v>578</v>
      </c>
      <c r="F201" s="28">
        <v>46155.164576284726</v>
      </c>
      <c r="G201" s="28">
        <v>46155.16662340278</v>
      </c>
      <c r="H201" s="28">
        <v>46155.164576284726</v>
      </c>
      <c r="I201" s="27" t="s">
        <v>2285</v>
      </c>
      <c r="J201" s="27" t="s">
        <v>2286</v>
      </c>
      <c r="K201" s="27" t="s">
        <v>566</v>
      </c>
      <c r="L201" s="27"/>
      <c r="M201" s="27" t="s">
        <v>1211</v>
      </c>
      <c r="N201" s="27" t="s">
        <v>2293</v>
      </c>
      <c r="O201" s="27"/>
      <c r="P201" s="27" t="s">
        <v>2294</v>
      </c>
      <c r="Q201" s="27" t="s">
        <v>556</v>
      </c>
      <c r="R201" s="27" t="s">
        <v>583</v>
      </c>
      <c r="S201" s="27"/>
      <c r="T201" s="27" t="s">
        <v>549</v>
      </c>
      <c r="U201" s="27" t="s">
        <v>2284</v>
      </c>
      <c r="V201" s="28">
        <v>46155.166623414349</v>
      </c>
      <c r="W201" s="27"/>
      <c r="X201" s="27"/>
      <c r="Y201" s="27" t="s">
        <v>1211</v>
      </c>
      <c r="Z201" s="28"/>
      <c r="AA201" s="27"/>
      <c r="AB201" s="27"/>
      <c r="AC201" s="27" t="s">
        <v>573</v>
      </c>
      <c r="AD201" s="28"/>
      <c r="AE201" s="27"/>
      <c r="AF201" s="27"/>
      <c r="AG201" s="27" t="s">
        <v>108</v>
      </c>
      <c r="AH201" s="28"/>
      <c r="AI201" s="27"/>
      <c r="AJ201" s="27" t="s">
        <v>2289</v>
      </c>
      <c r="AK201" s="27" t="s">
        <v>2290</v>
      </c>
      <c r="AL201" s="27"/>
      <c r="AM201" s="27"/>
      <c r="AN201" s="27" t="s">
        <v>665</v>
      </c>
      <c r="AO201" s="27">
        <v>0</v>
      </c>
    </row>
    <row r="202" spans="1:41" hidden="1">
      <c r="A202" s="27" t="s">
        <v>2295</v>
      </c>
      <c r="B202" s="27" t="s">
        <v>2296</v>
      </c>
      <c r="C202" s="27" t="s">
        <v>2297</v>
      </c>
      <c r="D202" s="27" t="s">
        <v>548</v>
      </c>
      <c r="E202" s="27" t="s">
        <v>638</v>
      </c>
      <c r="F202" s="28">
        <v>46155.328373472221</v>
      </c>
      <c r="G202" s="28">
        <v>46163.31495980324</v>
      </c>
      <c r="H202" s="28">
        <v>46155.328373472221</v>
      </c>
      <c r="I202" s="27" t="s">
        <v>2298</v>
      </c>
      <c r="J202" s="27" t="s">
        <v>2299</v>
      </c>
      <c r="K202" s="27" t="s">
        <v>676</v>
      </c>
      <c r="L202" s="27" t="s">
        <v>2300</v>
      </c>
      <c r="M202" s="27" t="s">
        <v>2297</v>
      </c>
      <c r="N202" s="27"/>
      <c r="O202" s="27"/>
      <c r="P202" s="27" t="s">
        <v>2301</v>
      </c>
      <c r="Q202" s="27" t="s">
        <v>556</v>
      </c>
      <c r="R202" s="27" t="s">
        <v>583</v>
      </c>
      <c r="S202" s="27"/>
      <c r="T202" s="27" t="s">
        <v>559</v>
      </c>
      <c r="U202" s="27" t="s">
        <v>2297</v>
      </c>
      <c r="V202" s="28">
        <v>46155.328924756941</v>
      </c>
      <c r="W202" s="27" t="s">
        <v>2302</v>
      </c>
      <c r="X202" s="27" t="s">
        <v>559</v>
      </c>
      <c r="Y202" s="27" t="s">
        <v>2297</v>
      </c>
      <c r="Z202" s="28">
        <v>46155.329689548613</v>
      </c>
      <c r="AA202" s="27" t="s">
        <v>2303</v>
      </c>
      <c r="AB202" s="27" t="s">
        <v>559</v>
      </c>
      <c r="AC202" s="27" t="s">
        <v>571</v>
      </c>
      <c r="AD202" s="28">
        <v>46160.012859224538</v>
      </c>
      <c r="AE202" s="27" t="s">
        <v>2304</v>
      </c>
      <c r="AF202" s="27" t="s">
        <v>559</v>
      </c>
      <c r="AG202" s="27" t="s">
        <v>571</v>
      </c>
      <c r="AH202" s="28">
        <v>46163.31495980324</v>
      </c>
      <c r="AI202" s="27" t="s">
        <v>649</v>
      </c>
      <c r="AJ202" s="27" t="s">
        <v>2305</v>
      </c>
      <c r="AK202" s="27" t="s">
        <v>2306</v>
      </c>
      <c r="AL202" s="27" t="s">
        <v>107</v>
      </c>
      <c r="AM202" s="27" t="s">
        <v>2307</v>
      </c>
      <c r="AN202" s="27" t="s">
        <v>665</v>
      </c>
      <c r="AO202" s="27">
        <v>0</v>
      </c>
    </row>
    <row r="203" spans="1:41" hidden="1">
      <c r="A203" s="27" t="s">
        <v>2308</v>
      </c>
      <c r="B203" s="27" t="s">
        <v>2309</v>
      </c>
      <c r="C203" s="27" t="s">
        <v>2310</v>
      </c>
      <c r="D203" s="27" t="s">
        <v>548</v>
      </c>
      <c r="E203" s="27" t="s">
        <v>638</v>
      </c>
      <c r="F203" s="28">
        <v>46155.349497951385</v>
      </c>
      <c r="G203" s="28">
        <v>46177.270764884262</v>
      </c>
      <c r="H203" s="28">
        <v>46155.349497951385</v>
      </c>
      <c r="I203" s="27" t="s">
        <v>1209</v>
      </c>
      <c r="J203" s="27" t="s">
        <v>2311</v>
      </c>
      <c r="K203" s="27" t="s">
        <v>676</v>
      </c>
      <c r="L203" s="27" t="s">
        <v>2312</v>
      </c>
      <c r="M203" s="27" t="s">
        <v>2313</v>
      </c>
      <c r="N203" s="27"/>
      <c r="O203" s="27"/>
      <c r="P203" s="27" t="s">
        <v>2314</v>
      </c>
      <c r="Q203" s="27" t="s">
        <v>623</v>
      </c>
      <c r="R203" s="27" t="s">
        <v>659</v>
      </c>
      <c r="S203" s="27"/>
      <c r="T203" s="27" t="s">
        <v>559</v>
      </c>
      <c r="U203" s="27" t="s">
        <v>2310</v>
      </c>
      <c r="V203" s="28">
        <v>46155.355213576389</v>
      </c>
      <c r="W203" s="27" t="s">
        <v>2314</v>
      </c>
      <c r="X203" s="27" t="s">
        <v>559</v>
      </c>
      <c r="Y203" s="27" t="s">
        <v>2315</v>
      </c>
      <c r="Z203" s="28">
        <v>46156.15846741898</v>
      </c>
      <c r="AA203" s="27" t="s">
        <v>2316</v>
      </c>
      <c r="AB203" s="27" t="s">
        <v>559</v>
      </c>
      <c r="AC203" s="27" t="s">
        <v>571</v>
      </c>
      <c r="AD203" s="28">
        <v>46160.054701099536</v>
      </c>
      <c r="AE203" s="27" t="s">
        <v>1493</v>
      </c>
      <c r="AF203" s="27" t="s">
        <v>559</v>
      </c>
      <c r="AG203" s="27" t="s">
        <v>683</v>
      </c>
      <c r="AH203" s="28">
        <v>46177.270764907407</v>
      </c>
      <c r="AI203" s="27" t="s">
        <v>684</v>
      </c>
      <c r="AJ203" s="27" t="s">
        <v>1217</v>
      </c>
      <c r="AK203" s="27" t="s">
        <v>2317</v>
      </c>
      <c r="AL203" s="27" t="s">
        <v>107</v>
      </c>
      <c r="AM203" s="27" t="s">
        <v>2318</v>
      </c>
      <c r="AN203" s="27" t="s">
        <v>710</v>
      </c>
      <c r="AO203" s="27">
        <v>30</v>
      </c>
    </row>
    <row r="204" spans="1:41" hidden="1">
      <c r="A204" s="27" t="s">
        <v>2319</v>
      </c>
      <c r="B204" s="27" t="s">
        <v>2320</v>
      </c>
      <c r="C204" s="27" t="s">
        <v>2310</v>
      </c>
      <c r="D204" s="27" t="s">
        <v>548</v>
      </c>
      <c r="E204" s="27" t="s">
        <v>638</v>
      </c>
      <c r="F204" s="28">
        <v>46155.358326759262</v>
      </c>
      <c r="G204" s="28">
        <v>46177.52006091435</v>
      </c>
      <c r="H204" s="28">
        <v>46155.358326759262</v>
      </c>
      <c r="I204" s="27" t="s">
        <v>2321</v>
      </c>
      <c r="J204" s="27" t="s">
        <v>2311</v>
      </c>
      <c r="K204" s="27" t="s">
        <v>676</v>
      </c>
      <c r="L204" s="27" t="s">
        <v>2322</v>
      </c>
      <c r="M204" s="27" t="s">
        <v>2313</v>
      </c>
      <c r="N204" s="27"/>
      <c r="O204" s="27"/>
      <c r="P204" s="27" t="s">
        <v>2314</v>
      </c>
      <c r="Q204" s="27" t="s">
        <v>623</v>
      </c>
      <c r="R204" s="27" t="s">
        <v>659</v>
      </c>
      <c r="S204" s="27"/>
      <c r="T204" s="27" t="s">
        <v>559</v>
      </c>
      <c r="U204" s="27" t="s">
        <v>2310</v>
      </c>
      <c r="V204" s="28">
        <v>46155.358567881944</v>
      </c>
      <c r="W204" s="27" t="s">
        <v>2314</v>
      </c>
      <c r="X204" s="27" t="s">
        <v>559</v>
      </c>
      <c r="Y204" s="27" t="s">
        <v>2315</v>
      </c>
      <c r="Z204" s="28">
        <v>46156.159054421296</v>
      </c>
      <c r="AA204" s="27" t="s">
        <v>2323</v>
      </c>
      <c r="AB204" s="27" t="s">
        <v>559</v>
      </c>
      <c r="AC204" s="27" t="s">
        <v>571</v>
      </c>
      <c r="AD204" s="28">
        <v>46160.054421574074</v>
      </c>
      <c r="AE204" s="27" t="s">
        <v>1493</v>
      </c>
      <c r="AF204" s="27" t="s">
        <v>559</v>
      </c>
      <c r="AG204" s="27" t="s">
        <v>683</v>
      </c>
      <c r="AH204" s="28">
        <v>46177.520060925926</v>
      </c>
      <c r="AI204" s="27" t="s">
        <v>684</v>
      </c>
      <c r="AJ204" s="27" t="s">
        <v>2324</v>
      </c>
      <c r="AK204" s="27" t="s">
        <v>2325</v>
      </c>
      <c r="AL204" s="27" t="s">
        <v>107</v>
      </c>
      <c r="AM204" s="27" t="s">
        <v>2326</v>
      </c>
      <c r="AN204" s="27" t="s">
        <v>710</v>
      </c>
      <c r="AO204" s="27">
        <v>30</v>
      </c>
    </row>
    <row r="205" spans="1:41" hidden="1">
      <c r="A205" s="27" t="s">
        <v>2327</v>
      </c>
      <c r="B205" s="27" t="s">
        <v>2328</v>
      </c>
      <c r="C205" s="27" t="s">
        <v>2310</v>
      </c>
      <c r="D205" s="27" t="s">
        <v>548</v>
      </c>
      <c r="E205" s="27" t="s">
        <v>638</v>
      </c>
      <c r="F205" s="28">
        <v>46155.362636759259</v>
      </c>
      <c r="G205" s="28">
        <v>46177.272650312501</v>
      </c>
      <c r="H205" s="28">
        <v>46155.362636759259</v>
      </c>
      <c r="I205" s="27" t="s">
        <v>2329</v>
      </c>
      <c r="J205" s="27" t="s">
        <v>2330</v>
      </c>
      <c r="K205" s="27" t="s">
        <v>676</v>
      </c>
      <c r="L205" s="27" t="s">
        <v>2331</v>
      </c>
      <c r="M205" s="27" t="s">
        <v>2313</v>
      </c>
      <c r="N205" s="27"/>
      <c r="O205" s="27"/>
      <c r="P205" s="27" t="s">
        <v>2332</v>
      </c>
      <c r="Q205" s="27" t="s">
        <v>556</v>
      </c>
      <c r="R205" s="27" t="s">
        <v>659</v>
      </c>
      <c r="S205" s="27"/>
      <c r="T205" s="27" t="s">
        <v>559</v>
      </c>
      <c r="U205" s="27" t="s">
        <v>2310</v>
      </c>
      <c r="V205" s="28">
        <v>46155.363068101855</v>
      </c>
      <c r="W205" s="27" t="s">
        <v>2333</v>
      </c>
      <c r="X205" s="27" t="s">
        <v>559</v>
      </c>
      <c r="Y205" s="27" t="s">
        <v>2315</v>
      </c>
      <c r="Z205" s="28">
        <v>46156.156686018519</v>
      </c>
      <c r="AA205" s="27" t="s">
        <v>2334</v>
      </c>
      <c r="AB205" s="27" t="s">
        <v>559</v>
      </c>
      <c r="AC205" s="27" t="s">
        <v>571</v>
      </c>
      <c r="AD205" s="28">
        <v>46160.025985810185</v>
      </c>
      <c r="AE205" s="27" t="s">
        <v>2335</v>
      </c>
      <c r="AF205" s="27" t="s">
        <v>559</v>
      </c>
      <c r="AG205" s="27" t="s">
        <v>683</v>
      </c>
      <c r="AH205" s="28">
        <v>46177.272650324077</v>
      </c>
      <c r="AI205" s="27" t="s">
        <v>684</v>
      </c>
      <c r="AJ205" s="27" t="s">
        <v>2336</v>
      </c>
      <c r="AK205" s="27" t="s">
        <v>2337</v>
      </c>
      <c r="AL205" s="27" t="s">
        <v>107</v>
      </c>
      <c r="AM205" s="27" t="s">
        <v>2338</v>
      </c>
      <c r="AN205" s="27" t="s">
        <v>710</v>
      </c>
      <c r="AO205" s="27">
        <v>30</v>
      </c>
    </row>
    <row r="206" spans="1:41" hidden="1">
      <c r="A206" s="27" t="s">
        <v>2339</v>
      </c>
      <c r="B206" s="27" t="s">
        <v>2340</v>
      </c>
      <c r="C206" s="27" t="s">
        <v>699</v>
      </c>
      <c r="D206" s="27" t="s">
        <v>548</v>
      </c>
      <c r="E206" s="27" t="s">
        <v>638</v>
      </c>
      <c r="F206" s="28">
        <v>46156.050457129626</v>
      </c>
      <c r="G206" s="28">
        <v>46176.290350081021</v>
      </c>
      <c r="H206" s="28">
        <v>46156.050457129626</v>
      </c>
      <c r="I206" s="27" t="s">
        <v>2341</v>
      </c>
      <c r="J206" s="27" t="s">
        <v>2342</v>
      </c>
      <c r="K206" s="27" t="s">
        <v>676</v>
      </c>
      <c r="L206" s="27" t="s">
        <v>2343</v>
      </c>
      <c r="M206" s="27" t="s">
        <v>703</v>
      </c>
      <c r="N206" s="27"/>
      <c r="O206" s="27">
        <v>3406</v>
      </c>
      <c r="P206" s="27" t="s">
        <v>2344</v>
      </c>
      <c r="Q206" s="27" t="s">
        <v>569</v>
      </c>
      <c r="R206" s="27" t="s">
        <v>583</v>
      </c>
      <c r="S206" s="27"/>
      <c r="T206" s="27" t="s">
        <v>559</v>
      </c>
      <c r="U206" s="27" t="s">
        <v>699</v>
      </c>
      <c r="V206" s="28">
        <v>46156.051912881943</v>
      </c>
      <c r="W206" s="27" t="s">
        <v>2345</v>
      </c>
      <c r="X206" s="27" t="s">
        <v>559</v>
      </c>
      <c r="Y206" s="27" t="s">
        <v>703</v>
      </c>
      <c r="Z206" s="28">
        <v>46171.03524203704</v>
      </c>
      <c r="AA206" s="27" t="s">
        <v>2346</v>
      </c>
      <c r="AB206" s="27" t="s">
        <v>559</v>
      </c>
      <c r="AC206" s="27" t="s">
        <v>571</v>
      </c>
      <c r="AD206" s="28">
        <v>46176.284796423613</v>
      </c>
      <c r="AE206" s="27" t="s">
        <v>2347</v>
      </c>
      <c r="AF206" s="27" t="s">
        <v>559</v>
      </c>
      <c r="AG206" s="27" t="s">
        <v>683</v>
      </c>
      <c r="AH206" s="28">
        <v>46176.29035009259</v>
      </c>
      <c r="AI206" s="27" t="s">
        <v>2348</v>
      </c>
      <c r="AJ206" s="27" t="s">
        <v>2349</v>
      </c>
      <c r="AK206" s="27">
        <v>3406</v>
      </c>
      <c r="AL206" s="27" t="s">
        <v>125</v>
      </c>
      <c r="AM206" s="27" t="s">
        <v>2350</v>
      </c>
      <c r="AN206" s="27" t="s">
        <v>710</v>
      </c>
      <c r="AO206" s="27">
        <v>90</v>
      </c>
    </row>
    <row r="207" spans="1:41" hidden="1">
      <c r="A207" s="27" t="s">
        <v>2351</v>
      </c>
      <c r="B207" s="27" t="s">
        <v>2352</v>
      </c>
      <c r="C207" s="27" t="s">
        <v>749</v>
      </c>
      <c r="D207" s="27" t="s">
        <v>548</v>
      </c>
      <c r="E207" s="27" t="s">
        <v>578</v>
      </c>
      <c r="F207" s="28">
        <v>46156.058368958336</v>
      </c>
      <c r="G207" s="28">
        <v>46156.065795173614</v>
      </c>
      <c r="H207" s="28">
        <v>46156.058368958336</v>
      </c>
      <c r="I207" s="27" t="s">
        <v>2353</v>
      </c>
      <c r="J207" s="27" t="s">
        <v>2354</v>
      </c>
      <c r="K207" s="27" t="s">
        <v>566</v>
      </c>
      <c r="L207" s="27"/>
      <c r="M207" s="27" t="s">
        <v>753</v>
      </c>
      <c r="N207" s="27" t="s">
        <v>2355</v>
      </c>
      <c r="O207" s="27">
        <v>1152</v>
      </c>
      <c r="P207" s="27" t="s">
        <v>2356</v>
      </c>
      <c r="Q207" s="27" t="s">
        <v>556</v>
      </c>
      <c r="R207" s="27" t="s">
        <v>583</v>
      </c>
      <c r="S207" s="27"/>
      <c r="T207" s="27" t="s">
        <v>549</v>
      </c>
      <c r="U207" s="27" t="s">
        <v>749</v>
      </c>
      <c r="V207" s="28">
        <v>46156.065795185183</v>
      </c>
      <c r="W207" s="27"/>
      <c r="X207" s="27"/>
      <c r="Y207" s="27" t="s">
        <v>753</v>
      </c>
      <c r="Z207" s="28"/>
      <c r="AA207" s="27"/>
      <c r="AB207" s="27"/>
      <c r="AC207" s="27" t="s">
        <v>573</v>
      </c>
      <c r="AD207" s="28"/>
      <c r="AE207" s="27"/>
      <c r="AF207" s="27"/>
      <c r="AG207" s="27" t="s">
        <v>108</v>
      </c>
      <c r="AH207" s="28"/>
      <c r="AI207" s="27"/>
      <c r="AJ207" s="27" t="s">
        <v>2357</v>
      </c>
      <c r="AK207" s="27">
        <v>1152</v>
      </c>
      <c r="AL207" s="27"/>
      <c r="AM207" s="27"/>
      <c r="AN207" s="27" t="s">
        <v>665</v>
      </c>
      <c r="AO207" s="27">
        <v>0</v>
      </c>
    </row>
    <row r="208" spans="1:41" hidden="1">
      <c r="A208" s="27" t="s">
        <v>2358</v>
      </c>
      <c r="B208" s="27" t="s">
        <v>2359</v>
      </c>
      <c r="C208" s="27" t="s">
        <v>749</v>
      </c>
      <c r="D208" s="27" t="s">
        <v>548</v>
      </c>
      <c r="E208" s="27" t="s">
        <v>638</v>
      </c>
      <c r="F208" s="28">
        <v>46156.067476736112</v>
      </c>
      <c r="G208" s="28">
        <v>46213.002066909721</v>
      </c>
      <c r="H208" s="28">
        <v>46156.067476736112</v>
      </c>
      <c r="I208" s="27" t="s">
        <v>2353</v>
      </c>
      <c r="J208" s="27" t="s">
        <v>2354</v>
      </c>
      <c r="K208" s="27" t="s">
        <v>676</v>
      </c>
      <c r="L208" s="27" t="s">
        <v>2360</v>
      </c>
      <c r="M208" s="27" t="s">
        <v>753</v>
      </c>
      <c r="N208" s="27" t="s">
        <v>2355</v>
      </c>
      <c r="O208" s="27">
        <v>1152</v>
      </c>
      <c r="P208" s="27" t="s">
        <v>2361</v>
      </c>
      <c r="Q208" s="27" t="s">
        <v>556</v>
      </c>
      <c r="R208" s="27" t="s">
        <v>583</v>
      </c>
      <c r="S208" s="27"/>
      <c r="T208" s="27" t="s">
        <v>559</v>
      </c>
      <c r="U208" s="27" t="s">
        <v>749</v>
      </c>
      <c r="V208" s="28">
        <v>46156.080706458335</v>
      </c>
      <c r="W208" s="27" t="s">
        <v>2362</v>
      </c>
      <c r="X208" s="27" t="s">
        <v>559</v>
      </c>
      <c r="Y208" s="27" t="s">
        <v>753</v>
      </c>
      <c r="Z208" s="28">
        <v>46195.15977017361</v>
      </c>
      <c r="AA208" s="27" t="s">
        <v>1300</v>
      </c>
      <c r="AB208" s="27" t="s">
        <v>559</v>
      </c>
      <c r="AC208" s="27" t="s">
        <v>168</v>
      </c>
      <c r="AD208" s="28">
        <v>46205.162800358798</v>
      </c>
      <c r="AE208" s="27" t="s">
        <v>2363</v>
      </c>
      <c r="AF208" s="27" t="s">
        <v>559</v>
      </c>
      <c r="AG208" s="27" t="s">
        <v>571</v>
      </c>
      <c r="AH208" s="28">
        <v>46213.002066909721</v>
      </c>
      <c r="AI208" s="27" t="s">
        <v>2364</v>
      </c>
      <c r="AJ208" s="27" t="s">
        <v>2357</v>
      </c>
      <c r="AK208" s="27">
        <v>1152</v>
      </c>
      <c r="AL208" s="27" t="s">
        <v>107</v>
      </c>
      <c r="AM208" s="27" t="s">
        <v>2365</v>
      </c>
      <c r="AN208" s="27" t="s">
        <v>665</v>
      </c>
      <c r="AO208" s="27">
        <v>0</v>
      </c>
    </row>
    <row r="209" spans="1:41" hidden="1">
      <c r="A209" s="27" t="s">
        <v>2366</v>
      </c>
      <c r="B209" s="27" t="s">
        <v>2367</v>
      </c>
      <c r="C209" s="27" t="s">
        <v>1908</v>
      </c>
      <c r="D209" s="27" t="s">
        <v>548</v>
      </c>
      <c r="E209" s="27" t="s">
        <v>638</v>
      </c>
      <c r="F209" s="28">
        <v>46156.071725636575</v>
      </c>
      <c r="G209" s="28">
        <v>46209.109681238428</v>
      </c>
      <c r="H209" s="28">
        <v>46156.071725636575</v>
      </c>
      <c r="I209" s="27" t="s">
        <v>2211</v>
      </c>
      <c r="J209" s="27" t="s">
        <v>2231</v>
      </c>
      <c r="K209" s="27" t="s">
        <v>566</v>
      </c>
      <c r="L209" s="27"/>
      <c r="M209" s="27" t="s">
        <v>778</v>
      </c>
      <c r="N209" s="27"/>
      <c r="O209" s="27"/>
      <c r="P209" s="27" t="s">
        <v>976</v>
      </c>
      <c r="Q209" s="27" t="s">
        <v>556</v>
      </c>
      <c r="R209" s="27" t="s">
        <v>659</v>
      </c>
      <c r="S209" s="27"/>
      <c r="T209" s="27" t="s">
        <v>559</v>
      </c>
      <c r="U209" s="27" t="s">
        <v>1908</v>
      </c>
      <c r="V209" s="28">
        <v>46156.072648726855</v>
      </c>
      <c r="W209" s="27" t="s">
        <v>976</v>
      </c>
      <c r="X209" s="27" t="s">
        <v>559</v>
      </c>
      <c r="Y209" s="27" t="s">
        <v>778</v>
      </c>
      <c r="Z209" s="28">
        <v>46184.069080775465</v>
      </c>
      <c r="AA209" s="27" t="s">
        <v>976</v>
      </c>
      <c r="AB209" s="27" t="s">
        <v>559</v>
      </c>
      <c r="AC209" s="27" t="s">
        <v>571</v>
      </c>
      <c r="AD209" s="28">
        <v>46197.399577268516</v>
      </c>
      <c r="AE209" s="27" t="s">
        <v>2368</v>
      </c>
      <c r="AF209" s="27" t="s">
        <v>559</v>
      </c>
      <c r="AG209" s="27" t="s">
        <v>683</v>
      </c>
      <c r="AH209" s="28">
        <v>46209.109681238428</v>
      </c>
      <c r="AI209" s="27" t="s">
        <v>684</v>
      </c>
      <c r="AJ209" s="27" t="s">
        <v>2213</v>
      </c>
      <c r="AK209" s="27" t="s">
        <v>2232</v>
      </c>
      <c r="AL209" s="27" t="s">
        <v>107</v>
      </c>
      <c r="AM209" s="27" t="s">
        <v>2369</v>
      </c>
      <c r="AN209" s="27" t="s">
        <v>665</v>
      </c>
      <c r="AO209" s="27">
        <v>0</v>
      </c>
    </row>
    <row r="210" spans="1:41" hidden="1">
      <c r="A210" s="27" t="s">
        <v>2370</v>
      </c>
      <c r="B210" s="27" t="s">
        <v>2371</v>
      </c>
      <c r="C210" s="27" t="s">
        <v>1908</v>
      </c>
      <c r="D210" s="27" t="s">
        <v>548</v>
      </c>
      <c r="E210" s="27" t="s">
        <v>638</v>
      </c>
      <c r="F210" s="28">
        <v>46156.073488020833</v>
      </c>
      <c r="G210" s="28">
        <v>46204.296166932872</v>
      </c>
      <c r="H210" s="28">
        <v>46156.073488020833</v>
      </c>
      <c r="I210" s="27" t="s">
        <v>2211</v>
      </c>
      <c r="J210" s="27" t="s">
        <v>2212</v>
      </c>
      <c r="K210" s="27" t="s">
        <v>566</v>
      </c>
      <c r="L210" s="27"/>
      <c r="M210" s="27" t="s">
        <v>778</v>
      </c>
      <c r="N210" s="27"/>
      <c r="O210" s="27"/>
      <c r="P210" s="27" t="s">
        <v>976</v>
      </c>
      <c r="Q210" s="27" t="s">
        <v>556</v>
      </c>
      <c r="R210" s="27" t="s">
        <v>659</v>
      </c>
      <c r="S210" s="27"/>
      <c r="T210" s="27" t="s">
        <v>559</v>
      </c>
      <c r="U210" s="27" t="s">
        <v>1908</v>
      </c>
      <c r="V210" s="28">
        <v>46156.075837395831</v>
      </c>
      <c r="W210" s="27" t="s">
        <v>2372</v>
      </c>
      <c r="X210" s="27" t="s">
        <v>559</v>
      </c>
      <c r="Y210" s="27" t="s">
        <v>778</v>
      </c>
      <c r="Z210" s="28">
        <v>46184.068354733798</v>
      </c>
      <c r="AA210" s="27" t="s">
        <v>976</v>
      </c>
      <c r="AB210" s="27" t="s">
        <v>559</v>
      </c>
      <c r="AC210" s="27" t="s">
        <v>571</v>
      </c>
      <c r="AD210" s="28">
        <v>46197.399734895836</v>
      </c>
      <c r="AE210" s="27" t="s">
        <v>2368</v>
      </c>
      <c r="AF210" s="27" t="s">
        <v>559</v>
      </c>
      <c r="AG210" s="27" t="s">
        <v>683</v>
      </c>
      <c r="AH210" s="28">
        <v>46204.296166944441</v>
      </c>
      <c r="AI210" s="27" t="s">
        <v>684</v>
      </c>
      <c r="AJ210" s="27" t="s">
        <v>2213</v>
      </c>
      <c r="AK210" s="27" t="s">
        <v>2214</v>
      </c>
      <c r="AL210" s="27" t="s">
        <v>107</v>
      </c>
      <c r="AM210" s="27" t="s">
        <v>2373</v>
      </c>
      <c r="AN210" s="27" t="s">
        <v>665</v>
      </c>
      <c r="AO210" s="27">
        <v>0</v>
      </c>
    </row>
    <row r="211" spans="1:41" hidden="1">
      <c r="A211" s="27" t="s">
        <v>2374</v>
      </c>
      <c r="B211" s="27" t="s">
        <v>2375</v>
      </c>
      <c r="C211" s="27" t="s">
        <v>749</v>
      </c>
      <c r="D211" s="27" t="s">
        <v>548</v>
      </c>
      <c r="E211" s="27" t="s">
        <v>638</v>
      </c>
      <c r="F211" s="28">
        <v>46156.091822372684</v>
      </c>
      <c r="G211" s="28">
        <v>46213.001630983796</v>
      </c>
      <c r="H211" s="28">
        <v>46156.091822372684</v>
      </c>
      <c r="I211" s="27" t="s">
        <v>2353</v>
      </c>
      <c r="J211" s="27" t="s">
        <v>2354</v>
      </c>
      <c r="K211" s="27" t="s">
        <v>676</v>
      </c>
      <c r="L211" s="27" t="s">
        <v>2360</v>
      </c>
      <c r="M211" s="27" t="s">
        <v>753</v>
      </c>
      <c r="N211" s="27" t="s">
        <v>2355</v>
      </c>
      <c r="O211" s="27" t="s">
        <v>2376</v>
      </c>
      <c r="P211" s="27" t="s">
        <v>2377</v>
      </c>
      <c r="Q211" s="27" t="s">
        <v>556</v>
      </c>
      <c r="R211" s="27" t="s">
        <v>583</v>
      </c>
      <c r="S211" s="27"/>
      <c r="T211" s="27" t="s">
        <v>559</v>
      </c>
      <c r="U211" s="27" t="s">
        <v>749</v>
      </c>
      <c r="V211" s="28">
        <v>46188.357732083336</v>
      </c>
      <c r="W211" s="27" t="s">
        <v>2377</v>
      </c>
      <c r="X211" s="27" t="s">
        <v>559</v>
      </c>
      <c r="Y211" s="27" t="s">
        <v>753</v>
      </c>
      <c r="Z211" s="28">
        <v>46195.160674606479</v>
      </c>
      <c r="AA211" s="27" t="s">
        <v>1300</v>
      </c>
      <c r="AB211" s="27" t="s">
        <v>559</v>
      </c>
      <c r="AC211" s="27" t="s">
        <v>168</v>
      </c>
      <c r="AD211" s="28">
        <v>46205.15854921296</v>
      </c>
      <c r="AE211" s="27" t="s">
        <v>2378</v>
      </c>
      <c r="AF211" s="27" t="s">
        <v>559</v>
      </c>
      <c r="AG211" s="27" t="s">
        <v>571</v>
      </c>
      <c r="AH211" s="28">
        <v>46213.001630983796</v>
      </c>
      <c r="AI211" s="27" t="s">
        <v>649</v>
      </c>
      <c r="AJ211" s="27" t="s">
        <v>2357</v>
      </c>
      <c r="AK211" s="27">
        <v>1152</v>
      </c>
      <c r="AL211" s="27" t="s">
        <v>107</v>
      </c>
      <c r="AM211" s="27" t="s">
        <v>2379</v>
      </c>
      <c r="AN211" s="27" t="s">
        <v>665</v>
      </c>
      <c r="AO211" s="27">
        <v>0</v>
      </c>
    </row>
    <row r="212" spans="1:41" hidden="1">
      <c r="A212" s="27" t="s">
        <v>2380</v>
      </c>
      <c r="B212" s="27" t="s">
        <v>2381</v>
      </c>
      <c r="C212" s="27" t="s">
        <v>2382</v>
      </c>
      <c r="D212" s="27" t="s">
        <v>548</v>
      </c>
      <c r="E212" s="27" t="s">
        <v>638</v>
      </c>
      <c r="F212" s="28">
        <v>46156.271295011575</v>
      </c>
      <c r="G212" s="28">
        <v>46177.25674892361</v>
      </c>
      <c r="H212" s="28">
        <v>46161.392085497682</v>
      </c>
      <c r="I212" s="27" t="s">
        <v>2383</v>
      </c>
      <c r="J212" s="27" t="s">
        <v>2384</v>
      </c>
      <c r="K212" s="27" t="s">
        <v>676</v>
      </c>
      <c r="L212" s="27" t="s">
        <v>2385</v>
      </c>
      <c r="M212" s="27" t="s">
        <v>2386</v>
      </c>
      <c r="N212" s="27"/>
      <c r="O212" s="27"/>
      <c r="P212" s="27" t="s">
        <v>2387</v>
      </c>
      <c r="Q212" s="27" t="s">
        <v>556</v>
      </c>
      <c r="R212" s="27" t="s">
        <v>583</v>
      </c>
      <c r="S212" s="27"/>
      <c r="T212" s="27" t="s">
        <v>559</v>
      </c>
      <c r="U212" s="27" t="s">
        <v>2382</v>
      </c>
      <c r="V212" s="28">
        <v>46164.167837291665</v>
      </c>
      <c r="W212" s="27" t="s">
        <v>2388</v>
      </c>
      <c r="X212" s="27" t="s">
        <v>559</v>
      </c>
      <c r="Y212" s="27" t="s">
        <v>2389</v>
      </c>
      <c r="Z212" s="28">
        <v>46164.290543946758</v>
      </c>
      <c r="AA212" s="27" t="s">
        <v>2390</v>
      </c>
      <c r="AB212" s="27" t="s">
        <v>559</v>
      </c>
      <c r="AC212" s="27" t="s">
        <v>571</v>
      </c>
      <c r="AD212" s="28">
        <v>46167.071934930558</v>
      </c>
      <c r="AE212" s="27" t="s">
        <v>2391</v>
      </c>
      <c r="AF212" s="27" t="s">
        <v>559</v>
      </c>
      <c r="AG212" s="27" t="s">
        <v>571</v>
      </c>
      <c r="AH212" s="28">
        <v>46177.256748935186</v>
      </c>
      <c r="AI212" s="27" t="s">
        <v>649</v>
      </c>
      <c r="AJ212" s="27" t="s">
        <v>2392</v>
      </c>
      <c r="AK212" s="27">
        <v>4555</v>
      </c>
      <c r="AL212" s="27" t="s">
        <v>125</v>
      </c>
      <c r="AM212" s="27" t="s">
        <v>2393</v>
      </c>
      <c r="AN212" s="27" t="s">
        <v>687</v>
      </c>
      <c r="AO212" s="27">
        <v>0</v>
      </c>
    </row>
    <row r="213" spans="1:41" hidden="1">
      <c r="A213" s="27" t="s">
        <v>2394</v>
      </c>
      <c r="B213" s="27" t="s">
        <v>2395</v>
      </c>
      <c r="C213" s="27" t="s">
        <v>850</v>
      </c>
      <c r="D213" s="27" t="s">
        <v>548</v>
      </c>
      <c r="E213" s="27" t="s">
        <v>638</v>
      </c>
      <c r="F213" s="28">
        <v>46156.320577141203</v>
      </c>
      <c r="G213" s="28">
        <v>46217.297702766205</v>
      </c>
      <c r="H213" s="28">
        <v>46156.320577141203</v>
      </c>
      <c r="I213" s="27" t="s">
        <v>2396</v>
      </c>
      <c r="J213" s="27" t="s">
        <v>2397</v>
      </c>
      <c r="K213" s="27" t="s">
        <v>566</v>
      </c>
      <c r="L213" s="27"/>
      <c r="M213" s="27" t="s">
        <v>778</v>
      </c>
      <c r="N213" s="27"/>
      <c r="O213" s="27"/>
      <c r="P213" s="27" t="s">
        <v>976</v>
      </c>
      <c r="Q213" s="27" t="s">
        <v>556</v>
      </c>
      <c r="R213" s="27" t="s">
        <v>659</v>
      </c>
      <c r="S213" s="27"/>
      <c r="T213" s="27" t="s">
        <v>559</v>
      </c>
      <c r="U213" s="27" t="s">
        <v>850</v>
      </c>
      <c r="V213" s="28">
        <v>46156.321627442128</v>
      </c>
      <c r="W213" s="27" t="s">
        <v>976</v>
      </c>
      <c r="X213" s="27" t="s">
        <v>559</v>
      </c>
      <c r="Y213" s="27" t="s">
        <v>778</v>
      </c>
      <c r="Z213" s="28">
        <v>46184.067337372682</v>
      </c>
      <c r="AA213" s="27" t="s">
        <v>976</v>
      </c>
      <c r="AB213" s="27" t="s">
        <v>559</v>
      </c>
      <c r="AC213" s="27" t="s">
        <v>571</v>
      </c>
      <c r="AD213" s="28">
        <v>46188.139952430553</v>
      </c>
      <c r="AE213" s="27" t="s">
        <v>2398</v>
      </c>
      <c r="AF213" s="27" t="s">
        <v>559</v>
      </c>
      <c r="AG213" s="27" t="s">
        <v>683</v>
      </c>
      <c r="AH213" s="28">
        <v>46217.297702777774</v>
      </c>
      <c r="AI213" s="27" t="s">
        <v>684</v>
      </c>
      <c r="AJ213" s="27" t="s">
        <v>2399</v>
      </c>
      <c r="AK213" s="27" t="s">
        <v>2400</v>
      </c>
      <c r="AL213" s="27" t="s">
        <v>107</v>
      </c>
      <c r="AM213" s="27" t="s">
        <v>2401</v>
      </c>
      <c r="AN213" s="27" t="s">
        <v>687</v>
      </c>
      <c r="AO213" s="27">
        <v>0</v>
      </c>
    </row>
    <row r="214" spans="1:41" hidden="1">
      <c r="A214" s="27" t="s">
        <v>2402</v>
      </c>
      <c r="B214" s="27" t="s">
        <v>2403</v>
      </c>
      <c r="C214" s="27" t="s">
        <v>850</v>
      </c>
      <c r="D214" s="27" t="s">
        <v>548</v>
      </c>
      <c r="E214" s="27" t="s">
        <v>638</v>
      </c>
      <c r="F214" s="28">
        <v>46156.322693263886</v>
      </c>
      <c r="G214" s="28">
        <v>46198.248001041669</v>
      </c>
      <c r="H214" s="28">
        <v>46156.322693263886</v>
      </c>
      <c r="I214" s="27" t="s">
        <v>2396</v>
      </c>
      <c r="J214" s="27" t="s">
        <v>2404</v>
      </c>
      <c r="K214" s="27" t="s">
        <v>566</v>
      </c>
      <c r="L214" s="27"/>
      <c r="M214" s="27" t="s">
        <v>778</v>
      </c>
      <c r="N214" s="27"/>
      <c r="O214" s="27"/>
      <c r="P214" s="27" t="s">
        <v>976</v>
      </c>
      <c r="Q214" s="27" t="s">
        <v>556</v>
      </c>
      <c r="R214" s="27" t="s">
        <v>659</v>
      </c>
      <c r="S214" s="27"/>
      <c r="T214" s="27" t="s">
        <v>559</v>
      </c>
      <c r="U214" s="27" t="s">
        <v>850</v>
      </c>
      <c r="V214" s="28">
        <v>46156.322948009256</v>
      </c>
      <c r="W214" s="27" t="s">
        <v>976</v>
      </c>
      <c r="X214" s="27" t="s">
        <v>559</v>
      </c>
      <c r="Y214" s="27" t="s">
        <v>778</v>
      </c>
      <c r="Z214" s="28">
        <v>46184.066488124998</v>
      </c>
      <c r="AA214" s="27" t="s">
        <v>976</v>
      </c>
      <c r="AB214" s="27" t="s">
        <v>559</v>
      </c>
      <c r="AC214" s="27" t="s">
        <v>571</v>
      </c>
      <c r="AD214" s="28">
        <v>46188.139200648147</v>
      </c>
      <c r="AE214" s="27" t="s">
        <v>2398</v>
      </c>
      <c r="AF214" s="27" t="s">
        <v>559</v>
      </c>
      <c r="AG214" s="27" t="s">
        <v>683</v>
      </c>
      <c r="AH214" s="28">
        <v>46198.248001053238</v>
      </c>
      <c r="AI214" s="27" t="s">
        <v>684</v>
      </c>
      <c r="AJ214" s="27" t="s">
        <v>2399</v>
      </c>
      <c r="AK214" s="27" t="s">
        <v>2405</v>
      </c>
      <c r="AL214" s="27" t="s">
        <v>107</v>
      </c>
      <c r="AM214" s="27" t="s">
        <v>2406</v>
      </c>
      <c r="AN214" s="27" t="s">
        <v>687</v>
      </c>
      <c r="AO214" s="27">
        <v>0</v>
      </c>
    </row>
    <row r="215" spans="1:41" hidden="1">
      <c r="A215" s="27" t="s">
        <v>2407</v>
      </c>
      <c r="B215" s="27" t="s">
        <v>2408</v>
      </c>
      <c r="C215" s="27" t="s">
        <v>2284</v>
      </c>
      <c r="D215" s="27" t="s">
        <v>548</v>
      </c>
      <c r="E215" s="27" t="s">
        <v>578</v>
      </c>
      <c r="F215" s="28">
        <v>46157.024729976853</v>
      </c>
      <c r="G215" s="28">
        <v>46160.307742048608</v>
      </c>
      <c r="H215" s="28">
        <v>46157.024729976853</v>
      </c>
      <c r="I215" s="27" t="s">
        <v>2285</v>
      </c>
      <c r="J215" s="27" t="s">
        <v>2409</v>
      </c>
      <c r="K215" s="27" t="s">
        <v>566</v>
      </c>
      <c r="L215" s="27"/>
      <c r="M215" s="27" t="s">
        <v>1211</v>
      </c>
      <c r="N215" s="27"/>
      <c r="O215" s="27"/>
      <c r="P215" s="27" t="s">
        <v>2410</v>
      </c>
      <c r="Q215" s="27" t="s">
        <v>556</v>
      </c>
      <c r="R215" s="27" t="s">
        <v>583</v>
      </c>
      <c r="S215" s="27"/>
      <c r="T215" s="27" t="s">
        <v>549</v>
      </c>
      <c r="U215" s="27" t="s">
        <v>2284</v>
      </c>
      <c r="V215" s="28">
        <v>46160.307742048608</v>
      </c>
      <c r="W215" s="27"/>
      <c r="X215" s="27"/>
      <c r="Y215" s="27" t="s">
        <v>1211</v>
      </c>
      <c r="Z215" s="28"/>
      <c r="AA215" s="27"/>
      <c r="AB215" s="27"/>
      <c r="AC215" s="27" t="s">
        <v>573</v>
      </c>
      <c r="AD215" s="28"/>
      <c r="AE215" s="27"/>
      <c r="AF215" s="27"/>
      <c r="AG215" s="27" t="s">
        <v>108</v>
      </c>
      <c r="AH215" s="28"/>
      <c r="AI215" s="27"/>
      <c r="AJ215" s="27" t="s">
        <v>2289</v>
      </c>
      <c r="AK215" s="27" t="s">
        <v>2411</v>
      </c>
      <c r="AL215" s="27"/>
      <c r="AM215" s="27"/>
      <c r="AN215" s="27" t="s">
        <v>665</v>
      </c>
      <c r="AO215" s="27">
        <v>0</v>
      </c>
    </row>
    <row r="216" spans="1:41" hidden="1">
      <c r="A216" s="27" t="s">
        <v>2412</v>
      </c>
      <c r="B216" s="27" t="s">
        <v>2413</v>
      </c>
      <c r="C216" s="27" t="s">
        <v>1679</v>
      </c>
      <c r="D216" s="27" t="s">
        <v>548</v>
      </c>
      <c r="E216" s="27" t="s">
        <v>638</v>
      </c>
      <c r="F216" s="28">
        <v>46160.102427627317</v>
      </c>
      <c r="G216" s="28">
        <v>46197.336169513888</v>
      </c>
      <c r="H216" s="28">
        <v>46160.102427627317</v>
      </c>
      <c r="I216" s="27" t="s">
        <v>2414</v>
      </c>
      <c r="J216" s="27" t="s">
        <v>2415</v>
      </c>
      <c r="K216" s="27" t="s">
        <v>566</v>
      </c>
      <c r="L216" s="27"/>
      <c r="M216" s="27" t="s">
        <v>778</v>
      </c>
      <c r="N216" s="27"/>
      <c r="O216" s="27"/>
      <c r="P216" s="27" t="s">
        <v>1874</v>
      </c>
      <c r="Q216" s="27" t="s">
        <v>556</v>
      </c>
      <c r="R216" s="27" t="s">
        <v>659</v>
      </c>
      <c r="S216" s="27"/>
      <c r="T216" s="27" t="s">
        <v>559</v>
      </c>
      <c r="U216" s="27" t="s">
        <v>1679</v>
      </c>
      <c r="V216" s="28">
        <v>46160.102847407405</v>
      </c>
      <c r="W216" s="27" t="s">
        <v>2416</v>
      </c>
      <c r="X216" s="27" t="s">
        <v>559</v>
      </c>
      <c r="Y216" s="27" t="s">
        <v>778</v>
      </c>
      <c r="Z216" s="28">
        <v>46167.346322094905</v>
      </c>
      <c r="AA216" s="27" t="s">
        <v>1455</v>
      </c>
      <c r="AB216" s="27" t="s">
        <v>559</v>
      </c>
      <c r="AC216" s="27" t="s">
        <v>571</v>
      </c>
      <c r="AD216" s="28">
        <v>46176.28335730324</v>
      </c>
      <c r="AE216" s="27" t="s">
        <v>2417</v>
      </c>
      <c r="AF216" s="27" t="s">
        <v>559</v>
      </c>
      <c r="AG216" s="27" t="s">
        <v>571</v>
      </c>
      <c r="AH216" s="28">
        <v>46197.336169513888</v>
      </c>
      <c r="AI216" s="27" t="s">
        <v>649</v>
      </c>
      <c r="AJ216" s="27" t="s">
        <v>2418</v>
      </c>
      <c r="AK216" s="27">
        <v>2835</v>
      </c>
      <c r="AL216" s="27" t="s">
        <v>107</v>
      </c>
      <c r="AM216" s="27" t="s">
        <v>2419</v>
      </c>
      <c r="AN216" s="27" t="s">
        <v>665</v>
      </c>
      <c r="AO216" s="27">
        <v>0</v>
      </c>
    </row>
    <row r="217" spans="1:41" hidden="1">
      <c r="A217" s="27" t="s">
        <v>2420</v>
      </c>
      <c r="B217" s="27" t="s">
        <v>2421</v>
      </c>
      <c r="C217" s="27" t="s">
        <v>2284</v>
      </c>
      <c r="D217" s="27" t="s">
        <v>548</v>
      </c>
      <c r="E217" s="27" t="s">
        <v>638</v>
      </c>
      <c r="F217" s="28">
        <v>46160.117300740741</v>
      </c>
      <c r="G217" s="28">
        <v>46164.306223981483</v>
      </c>
      <c r="H217" s="28">
        <v>46160.117300740741</v>
      </c>
      <c r="I217" s="27" t="s">
        <v>2285</v>
      </c>
      <c r="J217" s="27" t="s">
        <v>2409</v>
      </c>
      <c r="K217" s="27" t="s">
        <v>566</v>
      </c>
      <c r="L217" s="27"/>
      <c r="M217" s="27" t="s">
        <v>1211</v>
      </c>
      <c r="N217" s="27"/>
      <c r="O217" s="27"/>
      <c r="P217" s="27" t="s">
        <v>2422</v>
      </c>
      <c r="Q217" s="27" t="s">
        <v>556</v>
      </c>
      <c r="R217" s="27" t="s">
        <v>583</v>
      </c>
      <c r="S217" s="27"/>
      <c r="T217" s="27" t="s">
        <v>559</v>
      </c>
      <c r="U217" s="27" t="s">
        <v>2284</v>
      </c>
      <c r="V217" s="28">
        <v>46160.306201099535</v>
      </c>
      <c r="W217" s="27" t="s">
        <v>2423</v>
      </c>
      <c r="X217" s="27" t="s">
        <v>559</v>
      </c>
      <c r="Y217" s="27" t="s">
        <v>1211</v>
      </c>
      <c r="Z217" s="28">
        <v>46162.404492847221</v>
      </c>
      <c r="AA217" s="27" t="s">
        <v>1765</v>
      </c>
      <c r="AB217" s="27" t="s">
        <v>559</v>
      </c>
      <c r="AC217" s="27" t="s">
        <v>571</v>
      </c>
      <c r="AD217" s="28">
        <v>46162.977706956015</v>
      </c>
      <c r="AE217" s="27" t="s">
        <v>2424</v>
      </c>
      <c r="AF217" s="27" t="s">
        <v>559</v>
      </c>
      <c r="AG217" s="27" t="s">
        <v>571</v>
      </c>
      <c r="AH217" s="28">
        <v>46164.306223993059</v>
      </c>
      <c r="AI217" s="27" t="s">
        <v>649</v>
      </c>
      <c r="AJ217" s="27" t="s">
        <v>2289</v>
      </c>
      <c r="AK217" s="27" t="s">
        <v>2411</v>
      </c>
      <c r="AL217" s="27" t="s">
        <v>116</v>
      </c>
      <c r="AM217" s="27" t="s">
        <v>2425</v>
      </c>
      <c r="AN217" s="27" t="s">
        <v>665</v>
      </c>
      <c r="AO217" s="27">
        <v>0</v>
      </c>
    </row>
    <row r="218" spans="1:41" hidden="1">
      <c r="A218" s="27" t="s">
        <v>2426</v>
      </c>
      <c r="B218" s="27" t="s">
        <v>2427</v>
      </c>
      <c r="C218" s="27" t="s">
        <v>1679</v>
      </c>
      <c r="D218" s="27" t="s">
        <v>548</v>
      </c>
      <c r="E218" s="27" t="s">
        <v>578</v>
      </c>
      <c r="F218" s="28">
        <v>46161.083424490738</v>
      </c>
      <c r="G218" s="28">
        <v>46161.083687199076</v>
      </c>
      <c r="H218" s="28">
        <v>46161.083424490738</v>
      </c>
      <c r="I218" s="27" t="s">
        <v>322</v>
      </c>
      <c r="J218" s="27" t="s">
        <v>1873</v>
      </c>
      <c r="K218" s="27" t="s">
        <v>566</v>
      </c>
      <c r="L218" s="27"/>
      <c r="M218" s="27" t="s">
        <v>778</v>
      </c>
      <c r="N218" s="27"/>
      <c r="O218" s="27"/>
      <c r="P218" s="27" t="s">
        <v>2428</v>
      </c>
      <c r="Q218" s="27" t="s">
        <v>556</v>
      </c>
      <c r="R218" s="27" t="s">
        <v>659</v>
      </c>
      <c r="S218" s="27"/>
      <c r="T218" s="27" t="s">
        <v>549</v>
      </c>
      <c r="U218" s="27" t="s">
        <v>1679</v>
      </c>
      <c r="V218" s="28">
        <v>46161.083687210645</v>
      </c>
      <c r="W218" s="27"/>
      <c r="X218" s="27"/>
      <c r="Y218" s="27" t="s">
        <v>778</v>
      </c>
      <c r="Z218" s="28"/>
      <c r="AA218" s="27"/>
      <c r="AB218" s="27"/>
      <c r="AC218" s="27" t="s">
        <v>573</v>
      </c>
      <c r="AD218" s="28"/>
      <c r="AE218" s="27"/>
      <c r="AF218" s="27"/>
      <c r="AG218" s="27" t="s">
        <v>108</v>
      </c>
      <c r="AH218" s="28"/>
      <c r="AI218" s="27"/>
      <c r="AJ218" s="27" t="s">
        <v>1877</v>
      </c>
      <c r="AK218" s="27">
        <v>2804</v>
      </c>
      <c r="AL218" s="27"/>
      <c r="AM218" s="27"/>
      <c r="AN218" s="27" t="s">
        <v>665</v>
      </c>
      <c r="AO218" s="27">
        <v>0</v>
      </c>
    </row>
    <row r="219" spans="1:41" hidden="1">
      <c r="A219" s="27" t="s">
        <v>2429</v>
      </c>
      <c r="B219" s="27" t="s">
        <v>2430</v>
      </c>
      <c r="C219" s="27" t="s">
        <v>1679</v>
      </c>
      <c r="D219" s="27" t="s">
        <v>548</v>
      </c>
      <c r="E219" s="27" t="s">
        <v>638</v>
      </c>
      <c r="F219" s="28">
        <v>46161.085132280095</v>
      </c>
      <c r="G219" s="28">
        <v>46197.35044652778</v>
      </c>
      <c r="H219" s="28">
        <v>46161.085132280095</v>
      </c>
      <c r="I219" s="27" t="s">
        <v>322</v>
      </c>
      <c r="J219" s="27" t="s">
        <v>1873</v>
      </c>
      <c r="K219" s="27" t="s">
        <v>566</v>
      </c>
      <c r="L219" s="27"/>
      <c r="M219" s="27" t="s">
        <v>778</v>
      </c>
      <c r="N219" s="27"/>
      <c r="O219" s="27"/>
      <c r="P219" s="27" t="s">
        <v>2431</v>
      </c>
      <c r="Q219" s="27" t="s">
        <v>556</v>
      </c>
      <c r="R219" s="27" t="s">
        <v>659</v>
      </c>
      <c r="S219" s="27"/>
      <c r="T219" s="27" t="s">
        <v>559</v>
      </c>
      <c r="U219" s="27" t="s">
        <v>1679</v>
      </c>
      <c r="V219" s="28">
        <v>46161.088879178242</v>
      </c>
      <c r="W219" s="27" t="s">
        <v>1765</v>
      </c>
      <c r="X219" s="27" t="s">
        <v>559</v>
      </c>
      <c r="Y219" s="27" t="s">
        <v>778</v>
      </c>
      <c r="Z219" s="28">
        <v>46184.065662256944</v>
      </c>
      <c r="AA219" s="27" t="s">
        <v>2431</v>
      </c>
      <c r="AB219" s="27" t="s">
        <v>559</v>
      </c>
      <c r="AC219" s="27" t="s">
        <v>571</v>
      </c>
      <c r="AD219" s="28">
        <v>46184.257146574077</v>
      </c>
      <c r="AE219" s="27" t="s">
        <v>2432</v>
      </c>
      <c r="AF219" s="27" t="s">
        <v>559</v>
      </c>
      <c r="AG219" s="27" t="s">
        <v>571</v>
      </c>
      <c r="AH219" s="28">
        <v>46197.350446539349</v>
      </c>
      <c r="AI219" s="27" t="s">
        <v>649</v>
      </c>
      <c r="AJ219" s="27" t="s">
        <v>1877</v>
      </c>
      <c r="AK219" s="27">
        <v>2804</v>
      </c>
      <c r="AL219" s="27" t="s">
        <v>107</v>
      </c>
      <c r="AM219" s="27" t="s">
        <v>2433</v>
      </c>
      <c r="AN219" s="27" t="s">
        <v>665</v>
      </c>
      <c r="AO219" s="27">
        <v>0</v>
      </c>
    </row>
    <row r="220" spans="1:41" hidden="1">
      <c r="A220" s="27" t="s">
        <v>2434</v>
      </c>
      <c r="B220" s="27" t="s">
        <v>2435</v>
      </c>
      <c r="C220" s="27" t="s">
        <v>2436</v>
      </c>
      <c r="D220" s="27" t="s">
        <v>548</v>
      </c>
      <c r="E220" s="27" t="s">
        <v>668</v>
      </c>
      <c r="F220" s="28">
        <v>46161.118041215275</v>
      </c>
      <c r="G220" s="28">
        <v>46161.168227303242</v>
      </c>
      <c r="H220" s="28">
        <v>46161.126815983793</v>
      </c>
      <c r="I220" s="27" t="s">
        <v>137</v>
      </c>
      <c r="J220" s="27" t="s">
        <v>138</v>
      </c>
      <c r="K220" s="27" t="s">
        <v>676</v>
      </c>
      <c r="L220" s="27" t="s">
        <v>2437</v>
      </c>
      <c r="M220" s="27" t="s">
        <v>2438</v>
      </c>
      <c r="N220" s="27" t="s">
        <v>2439</v>
      </c>
      <c r="O220" s="27"/>
      <c r="P220" s="27" t="s">
        <v>2440</v>
      </c>
      <c r="Q220" s="27" t="s">
        <v>569</v>
      </c>
      <c r="R220" s="27" t="s">
        <v>583</v>
      </c>
      <c r="S220" s="27"/>
      <c r="T220" s="27" t="s">
        <v>559</v>
      </c>
      <c r="U220" s="27" t="s">
        <v>2436</v>
      </c>
      <c r="V220" s="28">
        <v>46161.168227326387</v>
      </c>
      <c r="W220" s="27" t="s">
        <v>2441</v>
      </c>
      <c r="X220" s="27"/>
      <c r="Y220" s="27" t="s">
        <v>2442</v>
      </c>
      <c r="Z220" s="28"/>
      <c r="AA220" s="27"/>
      <c r="AB220" s="27"/>
      <c r="AC220" s="27" t="s">
        <v>573</v>
      </c>
      <c r="AD220" s="28"/>
      <c r="AE220" s="27"/>
      <c r="AF220" s="27"/>
      <c r="AG220" s="27" t="s">
        <v>573</v>
      </c>
      <c r="AH220" s="28"/>
      <c r="AI220" s="27"/>
      <c r="AJ220" s="27" t="s">
        <v>2443</v>
      </c>
      <c r="AK220" s="27" t="s">
        <v>2444</v>
      </c>
      <c r="AL220" s="27"/>
      <c r="AM220" s="27"/>
      <c r="AN220" s="27" t="s">
        <v>687</v>
      </c>
      <c r="AO220" s="27">
        <v>0</v>
      </c>
    </row>
    <row r="221" spans="1:41" hidden="1">
      <c r="A221" s="27" t="s">
        <v>2445</v>
      </c>
      <c r="B221" s="27" t="s">
        <v>2446</v>
      </c>
      <c r="C221" s="27" t="s">
        <v>2110</v>
      </c>
      <c r="D221" s="27" t="s">
        <v>548</v>
      </c>
      <c r="E221" s="27" t="s">
        <v>668</v>
      </c>
      <c r="F221" s="28">
        <v>46161.340001053242</v>
      </c>
      <c r="G221" s="28">
        <v>46161.340001053242</v>
      </c>
      <c r="H221" s="28">
        <v>46161.340001053242</v>
      </c>
      <c r="I221" s="27" t="s">
        <v>2111</v>
      </c>
      <c r="J221" s="27" t="s">
        <v>2112</v>
      </c>
      <c r="K221" s="27" t="s">
        <v>566</v>
      </c>
      <c r="L221" s="27"/>
      <c r="M221" s="27" t="s">
        <v>1844</v>
      </c>
      <c r="N221" s="27"/>
      <c r="O221" s="27"/>
      <c r="P221" s="27" t="s">
        <v>1776</v>
      </c>
      <c r="Q221" s="27" t="s">
        <v>1264</v>
      </c>
      <c r="R221" s="27" t="s">
        <v>809</v>
      </c>
      <c r="S221" s="27"/>
      <c r="T221" s="27" t="s">
        <v>668</v>
      </c>
      <c r="U221" s="27" t="s">
        <v>2110</v>
      </c>
      <c r="V221" s="28"/>
      <c r="W221" s="27"/>
      <c r="X221" s="27"/>
      <c r="Y221" s="27" t="s">
        <v>1847</v>
      </c>
      <c r="Z221" s="28"/>
      <c r="AA221" s="27"/>
      <c r="AB221" s="27"/>
      <c r="AC221" s="27" t="s">
        <v>573</v>
      </c>
      <c r="AD221" s="28"/>
      <c r="AE221" s="27"/>
      <c r="AF221" s="27"/>
      <c r="AG221" s="27" t="s">
        <v>108</v>
      </c>
      <c r="AH221" s="28"/>
      <c r="AI221" s="27"/>
      <c r="AJ221" s="27" t="s">
        <v>2115</v>
      </c>
      <c r="AK221" s="27">
        <v>2573</v>
      </c>
      <c r="AL221" s="27"/>
      <c r="AM221" s="27"/>
      <c r="AN221" s="27" t="s">
        <v>710</v>
      </c>
      <c r="AO221" s="27">
        <v>10</v>
      </c>
    </row>
    <row r="222" spans="1:41" hidden="1">
      <c r="A222" s="27" t="s">
        <v>2447</v>
      </c>
      <c r="B222" s="27" t="s">
        <v>2448</v>
      </c>
      <c r="C222" s="27" t="s">
        <v>1841</v>
      </c>
      <c r="D222" s="27" t="s">
        <v>548</v>
      </c>
      <c r="E222" s="27" t="s">
        <v>578</v>
      </c>
      <c r="F222" s="28">
        <v>46162.090370011574</v>
      </c>
      <c r="G222" s="28">
        <v>46162.099393159719</v>
      </c>
      <c r="H222" s="28">
        <v>46162.090370011574</v>
      </c>
      <c r="I222" s="27" t="s">
        <v>2449</v>
      </c>
      <c r="J222" s="27" t="s">
        <v>2450</v>
      </c>
      <c r="K222" s="27" t="s">
        <v>566</v>
      </c>
      <c r="L222" s="27"/>
      <c r="M222" s="27" t="s">
        <v>1841</v>
      </c>
      <c r="N222" s="27"/>
      <c r="O222" s="27"/>
      <c r="P222" s="27" t="s">
        <v>1776</v>
      </c>
      <c r="Q222" s="27" t="s">
        <v>556</v>
      </c>
      <c r="R222" s="27" t="s">
        <v>583</v>
      </c>
      <c r="S222" s="27"/>
      <c r="T222" s="27" t="s">
        <v>549</v>
      </c>
      <c r="U222" s="27" t="s">
        <v>1841</v>
      </c>
      <c r="V222" s="28">
        <v>46162.099393171295</v>
      </c>
      <c r="W222" s="27"/>
      <c r="X222" s="27"/>
      <c r="Y222" s="27" t="s">
        <v>1841</v>
      </c>
      <c r="Z222" s="28"/>
      <c r="AA222" s="27"/>
      <c r="AB222" s="27"/>
      <c r="AC222" s="27" t="s">
        <v>573</v>
      </c>
      <c r="AD222" s="28"/>
      <c r="AE222" s="27"/>
      <c r="AF222" s="27"/>
      <c r="AG222" s="27" t="s">
        <v>108</v>
      </c>
      <c r="AH222" s="28"/>
      <c r="AI222" s="27"/>
      <c r="AJ222" s="27" t="s">
        <v>2451</v>
      </c>
      <c r="AK222" s="27" t="s">
        <v>2452</v>
      </c>
      <c r="AL222" s="27"/>
      <c r="AM222" s="27"/>
      <c r="AN222" s="27" t="s">
        <v>710</v>
      </c>
      <c r="AO222" s="27">
        <v>30</v>
      </c>
    </row>
    <row r="223" spans="1:41" hidden="1">
      <c r="A223" s="27" t="s">
        <v>2453</v>
      </c>
      <c r="B223" s="27" t="s">
        <v>2454</v>
      </c>
      <c r="C223" s="27" t="s">
        <v>2284</v>
      </c>
      <c r="D223" s="27" t="s">
        <v>548</v>
      </c>
      <c r="E223" s="27" t="s">
        <v>578</v>
      </c>
      <c r="F223" s="28">
        <v>46162.297458981484</v>
      </c>
      <c r="G223" s="28">
        <v>46162.30741765046</v>
      </c>
      <c r="H223" s="28">
        <v>46162.297458981484</v>
      </c>
      <c r="I223" s="27" t="s">
        <v>2455</v>
      </c>
      <c r="J223" s="27" t="s">
        <v>2456</v>
      </c>
      <c r="K223" s="27" t="s">
        <v>566</v>
      </c>
      <c r="L223" s="27"/>
      <c r="M223" s="27" t="s">
        <v>1211</v>
      </c>
      <c r="N223" s="27"/>
      <c r="O223" s="27"/>
      <c r="P223" s="27" t="s">
        <v>2457</v>
      </c>
      <c r="Q223" s="27" t="s">
        <v>556</v>
      </c>
      <c r="R223" s="27" t="s">
        <v>583</v>
      </c>
      <c r="S223" s="27"/>
      <c r="T223" s="27" t="s">
        <v>549</v>
      </c>
      <c r="U223" s="27" t="s">
        <v>2284</v>
      </c>
      <c r="V223" s="28">
        <v>46162.307417662036</v>
      </c>
      <c r="W223" s="27"/>
      <c r="X223" s="27"/>
      <c r="Y223" s="27" t="s">
        <v>1211</v>
      </c>
      <c r="Z223" s="28"/>
      <c r="AA223" s="27"/>
      <c r="AB223" s="27"/>
      <c r="AC223" s="27" t="s">
        <v>573</v>
      </c>
      <c r="AD223" s="28"/>
      <c r="AE223" s="27"/>
      <c r="AF223" s="27"/>
      <c r="AG223" s="27" t="s">
        <v>108</v>
      </c>
      <c r="AH223" s="28"/>
      <c r="AI223" s="27"/>
      <c r="AJ223" s="27" t="s">
        <v>2458</v>
      </c>
      <c r="AK223" s="27" t="s">
        <v>2459</v>
      </c>
      <c r="AL223" s="27"/>
      <c r="AM223" s="27"/>
      <c r="AN223" s="27" t="s">
        <v>665</v>
      </c>
      <c r="AO223" s="27">
        <v>0</v>
      </c>
    </row>
    <row r="224" spans="1:41" hidden="1">
      <c r="A224" s="27" t="s">
        <v>2460</v>
      </c>
      <c r="B224" s="27" t="s">
        <v>2461</v>
      </c>
      <c r="C224" s="27" t="s">
        <v>2284</v>
      </c>
      <c r="D224" s="27" t="s">
        <v>548</v>
      </c>
      <c r="E224" s="27" t="s">
        <v>549</v>
      </c>
      <c r="F224" s="28">
        <v>46162.302630231483</v>
      </c>
      <c r="G224" s="28">
        <v>46162.406940138892</v>
      </c>
      <c r="H224" s="28">
        <v>46162.302630231483</v>
      </c>
      <c r="I224" s="27" t="s">
        <v>2462</v>
      </c>
      <c r="J224" s="27" t="s">
        <v>2463</v>
      </c>
      <c r="K224" s="27" t="s">
        <v>566</v>
      </c>
      <c r="L224" s="27"/>
      <c r="M224" s="27" t="s">
        <v>1211</v>
      </c>
      <c r="N224" s="27"/>
      <c r="O224" s="27"/>
      <c r="P224" s="27" t="s">
        <v>2457</v>
      </c>
      <c r="Q224" s="27" t="s">
        <v>556</v>
      </c>
      <c r="R224" s="27" t="s">
        <v>583</v>
      </c>
      <c r="S224" s="27"/>
      <c r="T224" s="27" t="s">
        <v>559</v>
      </c>
      <c r="U224" s="27" t="s">
        <v>2284</v>
      </c>
      <c r="V224" s="28">
        <v>46162.303898368053</v>
      </c>
      <c r="W224" s="27" t="s">
        <v>2457</v>
      </c>
      <c r="X224" s="27" t="s">
        <v>549</v>
      </c>
      <c r="Y224" s="27" t="s">
        <v>1211</v>
      </c>
      <c r="Z224" s="28">
        <v>46162.40694015046</v>
      </c>
      <c r="AA224" s="27"/>
      <c r="AB224" s="27"/>
      <c r="AC224" s="27" t="s">
        <v>573</v>
      </c>
      <c r="AD224" s="28"/>
      <c r="AE224" s="27"/>
      <c r="AF224" s="27"/>
      <c r="AG224" s="27" t="s">
        <v>108</v>
      </c>
      <c r="AH224" s="28"/>
      <c r="AI224" s="27"/>
      <c r="AJ224" s="27" t="s">
        <v>2464</v>
      </c>
      <c r="AK224" s="27" t="s">
        <v>2465</v>
      </c>
      <c r="AL224" s="27"/>
      <c r="AM224" s="27"/>
      <c r="AN224" s="27" t="s">
        <v>665</v>
      </c>
      <c r="AO224" s="27">
        <v>0</v>
      </c>
    </row>
    <row r="225" spans="1:41" hidden="1">
      <c r="A225" s="27" t="s">
        <v>2466</v>
      </c>
      <c r="B225" s="27" t="s">
        <v>2467</v>
      </c>
      <c r="C225" s="27" t="s">
        <v>2284</v>
      </c>
      <c r="D225" s="27" t="s">
        <v>548</v>
      </c>
      <c r="E225" s="27" t="s">
        <v>638</v>
      </c>
      <c r="F225" s="28">
        <v>46162.310851064816</v>
      </c>
      <c r="G225" s="28">
        <v>46164.298813321759</v>
      </c>
      <c r="H225" s="28">
        <v>46162.310851064816</v>
      </c>
      <c r="I225" s="27" t="s">
        <v>2468</v>
      </c>
      <c r="J225" s="27" t="s">
        <v>2469</v>
      </c>
      <c r="K225" s="27" t="s">
        <v>566</v>
      </c>
      <c r="L225" s="27"/>
      <c r="M225" s="27" t="s">
        <v>1211</v>
      </c>
      <c r="N225" s="27"/>
      <c r="O225" s="27"/>
      <c r="P225" s="27" t="s">
        <v>2470</v>
      </c>
      <c r="Q225" s="27" t="s">
        <v>556</v>
      </c>
      <c r="R225" s="27" t="s">
        <v>583</v>
      </c>
      <c r="S225" s="27"/>
      <c r="T225" s="27" t="s">
        <v>559</v>
      </c>
      <c r="U225" s="27" t="s">
        <v>2284</v>
      </c>
      <c r="V225" s="28">
        <v>46162.323244409723</v>
      </c>
      <c r="W225" s="27" t="s">
        <v>2470</v>
      </c>
      <c r="X225" s="27" t="s">
        <v>559</v>
      </c>
      <c r="Y225" s="27" t="s">
        <v>1211</v>
      </c>
      <c r="Z225" s="28">
        <v>46162.4003050463</v>
      </c>
      <c r="AA225" s="27" t="s">
        <v>1765</v>
      </c>
      <c r="AB225" s="27" t="s">
        <v>559</v>
      </c>
      <c r="AC225" s="27" t="s">
        <v>571</v>
      </c>
      <c r="AD225" s="28">
        <v>46162.980426539354</v>
      </c>
      <c r="AE225" s="27" t="s">
        <v>2471</v>
      </c>
      <c r="AF225" s="27" t="s">
        <v>559</v>
      </c>
      <c r="AG225" s="27" t="s">
        <v>571</v>
      </c>
      <c r="AH225" s="28">
        <v>46164.298813321759</v>
      </c>
      <c r="AI225" s="27" t="s">
        <v>649</v>
      </c>
      <c r="AJ225" s="27" t="s">
        <v>2472</v>
      </c>
      <c r="AK225" s="27" t="s">
        <v>2473</v>
      </c>
      <c r="AL225" s="27" t="s">
        <v>116</v>
      </c>
      <c r="AM225" s="27" t="s">
        <v>2474</v>
      </c>
      <c r="AN225" s="27" t="s">
        <v>665</v>
      </c>
      <c r="AO225" s="27">
        <v>0</v>
      </c>
    </row>
    <row r="226" spans="1:41" hidden="1">
      <c r="A226" s="27" t="s">
        <v>2475</v>
      </c>
      <c r="B226" s="27" t="s">
        <v>2476</v>
      </c>
      <c r="C226" s="27" t="s">
        <v>2284</v>
      </c>
      <c r="D226" s="27" t="s">
        <v>548</v>
      </c>
      <c r="E226" s="27" t="s">
        <v>549</v>
      </c>
      <c r="F226" s="28">
        <v>46162.316258379629</v>
      </c>
      <c r="G226" s="28">
        <v>46162.406107997682</v>
      </c>
      <c r="H226" s="28">
        <v>46162.316258379629</v>
      </c>
      <c r="I226" s="27" t="s">
        <v>2462</v>
      </c>
      <c r="J226" s="27" t="s">
        <v>2463</v>
      </c>
      <c r="K226" s="27" t="s">
        <v>566</v>
      </c>
      <c r="L226" s="27"/>
      <c r="M226" s="27" t="s">
        <v>1211</v>
      </c>
      <c r="N226" s="27"/>
      <c r="O226" s="27"/>
      <c r="P226" s="27" t="s">
        <v>2457</v>
      </c>
      <c r="Q226" s="27" t="s">
        <v>556</v>
      </c>
      <c r="R226" s="27" t="s">
        <v>583</v>
      </c>
      <c r="S226" s="27"/>
      <c r="T226" s="27" t="s">
        <v>559</v>
      </c>
      <c r="U226" s="27" t="s">
        <v>2284</v>
      </c>
      <c r="V226" s="28">
        <v>46162.316992893517</v>
      </c>
      <c r="W226" s="27" t="s">
        <v>2457</v>
      </c>
      <c r="X226" s="27" t="s">
        <v>549</v>
      </c>
      <c r="Y226" s="27" t="s">
        <v>1211</v>
      </c>
      <c r="Z226" s="28">
        <v>46162.406108009258</v>
      </c>
      <c r="AA226" s="27"/>
      <c r="AB226" s="27"/>
      <c r="AC226" s="27" t="s">
        <v>573</v>
      </c>
      <c r="AD226" s="28"/>
      <c r="AE226" s="27"/>
      <c r="AF226" s="27"/>
      <c r="AG226" s="27" t="s">
        <v>108</v>
      </c>
      <c r="AH226" s="28"/>
      <c r="AI226" s="27"/>
      <c r="AJ226" s="27" t="s">
        <v>2464</v>
      </c>
      <c r="AK226" s="27" t="s">
        <v>2465</v>
      </c>
      <c r="AL226" s="27"/>
      <c r="AM226" s="27"/>
      <c r="AN226" s="27" t="s">
        <v>687</v>
      </c>
      <c r="AO226" s="27">
        <v>0</v>
      </c>
    </row>
    <row r="227" spans="1:41" hidden="1">
      <c r="A227" s="27" t="s">
        <v>2477</v>
      </c>
      <c r="B227" s="27" t="s">
        <v>2478</v>
      </c>
      <c r="C227" s="27" t="s">
        <v>2284</v>
      </c>
      <c r="D227" s="27" t="s">
        <v>548</v>
      </c>
      <c r="E227" s="27" t="s">
        <v>638</v>
      </c>
      <c r="F227" s="28">
        <v>46162.318089247688</v>
      </c>
      <c r="G227" s="28">
        <v>46164.292889317127</v>
      </c>
      <c r="H227" s="28">
        <v>46162.318089247688</v>
      </c>
      <c r="I227" s="27" t="s">
        <v>2462</v>
      </c>
      <c r="J227" s="27" t="s">
        <v>2463</v>
      </c>
      <c r="K227" s="27" t="s">
        <v>566</v>
      </c>
      <c r="L227" s="27"/>
      <c r="M227" s="27" t="s">
        <v>1211</v>
      </c>
      <c r="N227" s="27"/>
      <c r="O227" s="27"/>
      <c r="P227" s="27" t="s">
        <v>2457</v>
      </c>
      <c r="Q227" s="27" t="s">
        <v>556</v>
      </c>
      <c r="R227" s="27" t="s">
        <v>583</v>
      </c>
      <c r="S227" s="27"/>
      <c r="T227" s="27" t="s">
        <v>559</v>
      </c>
      <c r="U227" s="27" t="s">
        <v>2284</v>
      </c>
      <c r="V227" s="28">
        <v>46162.318919444442</v>
      </c>
      <c r="W227" s="27" t="s">
        <v>2479</v>
      </c>
      <c r="X227" s="27" t="s">
        <v>559</v>
      </c>
      <c r="Y227" s="27" t="s">
        <v>1211</v>
      </c>
      <c r="Z227" s="28">
        <v>46162.405469027777</v>
      </c>
      <c r="AA227" s="27" t="s">
        <v>1765</v>
      </c>
      <c r="AB227" s="27" t="s">
        <v>559</v>
      </c>
      <c r="AC227" s="27" t="s">
        <v>571</v>
      </c>
      <c r="AD227" s="28">
        <v>46162.975346712963</v>
      </c>
      <c r="AE227" s="27" t="s">
        <v>2480</v>
      </c>
      <c r="AF227" s="27" t="s">
        <v>559</v>
      </c>
      <c r="AG227" s="27" t="s">
        <v>571</v>
      </c>
      <c r="AH227" s="28">
        <v>46164.292889328703</v>
      </c>
      <c r="AI227" s="27" t="s">
        <v>649</v>
      </c>
      <c r="AJ227" s="27" t="s">
        <v>2464</v>
      </c>
      <c r="AK227" s="27" t="s">
        <v>2465</v>
      </c>
      <c r="AL227" s="27" t="s">
        <v>116</v>
      </c>
      <c r="AM227" s="27" t="s">
        <v>2481</v>
      </c>
      <c r="AN227" s="27" t="s">
        <v>665</v>
      </c>
      <c r="AO227" s="27">
        <v>0</v>
      </c>
    </row>
    <row r="228" spans="1:41" hidden="1">
      <c r="A228" s="27" t="s">
        <v>2482</v>
      </c>
      <c r="B228" s="27" t="s">
        <v>2483</v>
      </c>
      <c r="C228" s="27" t="s">
        <v>690</v>
      </c>
      <c r="D228" s="27" t="s">
        <v>548</v>
      </c>
      <c r="E228" s="27" t="s">
        <v>578</v>
      </c>
      <c r="F228" s="28">
        <v>46164.153390451385</v>
      </c>
      <c r="G228" s="28">
        <v>46164.171510277774</v>
      </c>
      <c r="H228" s="28">
        <v>46164.153390451385</v>
      </c>
      <c r="I228" s="27" t="s">
        <v>2383</v>
      </c>
      <c r="J228" s="27" t="s">
        <v>2384</v>
      </c>
      <c r="K228" s="27" t="s">
        <v>676</v>
      </c>
      <c r="L228" s="27" t="s">
        <v>2385</v>
      </c>
      <c r="M228" s="27" t="s">
        <v>624</v>
      </c>
      <c r="N228" s="27"/>
      <c r="O228" s="27"/>
      <c r="P228" s="27" t="s">
        <v>2484</v>
      </c>
      <c r="Q228" s="27" t="s">
        <v>643</v>
      </c>
      <c r="R228" s="27" t="s">
        <v>583</v>
      </c>
      <c r="S228" s="27"/>
      <c r="T228" s="27" t="s">
        <v>549</v>
      </c>
      <c r="U228" s="27" t="s">
        <v>690</v>
      </c>
      <c r="V228" s="28">
        <v>46164.17151028935</v>
      </c>
      <c r="W228" s="27"/>
      <c r="X228" s="27"/>
      <c r="Y228" s="27" t="s">
        <v>624</v>
      </c>
      <c r="Z228" s="28"/>
      <c r="AA228" s="27"/>
      <c r="AB228" s="27"/>
      <c r="AC228" s="27" t="s">
        <v>573</v>
      </c>
      <c r="AD228" s="28"/>
      <c r="AE228" s="27"/>
      <c r="AF228" s="27"/>
      <c r="AG228" s="27" t="s">
        <v>108</v>
      </c>
      <c r="AH228" s="28"/>
      <c r="AI228" s="27"/>
      <c r="AJ228" s="27" t="s">
        <v>2392</v>
      </c>
      <c r="AK228" s="27">
        <v>4555</v>
      </c>
      <c r="AL228" s="27"/>
      <c r="AM228" s="27"/>
      <c r="AN228" s="27" t="s">
        <v>710</v>
      </c>
      <c r="AO228" s="27">
        <v>90</v>
      </c>
    </row>
    <row r="229" spans="1:41" hidden="1">
      <c r="A229" s="27" t="s">
        <v>2485</v>
      </c>
      <c r="B229" s="27" t="s">
        <v>136</v>
      </c>
      <c r="C229" s="27" t="s">
        <v>2486</v>
      </c>
      <c r="D229" s="27" t="s">
        <v>548</v>
      </c>
      <c r="E229" s="27" t="s">
        <v>70</v>
      </c>
      <c r="F229" s="28">
        <v>46164.348161793983</v>
      </c>
      <c r="G229" s="28">
        <v>46239.266966840281</v>
      </c>
      <c r="H229" s="28">
        <v>46181.289080069444</v>
      </c>
      <c r="I229" s="27" t="s">
        <v>137</v>
      </c>
      <c r="J229" s="27" t="s">
        <v>138</v>
      </c>
      <c r="K229" s="27" t="s">
        <v>676</v>
      </c>
      <c r="L229" s="27" t="s">
        <v>2487</v>
      </c>
      <c r="M229" s="27" t="s">
        <v>654</v>
      </c>
      <c r="N229" s="27" t="s">
        <v>2488</v>
      </c>
      <c r="O229" s="27"/>
      <c r="P229" s="27" t="s">
        <v>2196</v>
      </c>
      <c r="Q229" s="27" t="s">
        <v>556</v>
      </c>
      <c r="R229" s="27" t="s">
        <v>583</v>
      </c>
      <c r="S229" s="27"/>
      <c r="T229" s="27" t="s">
        <v>559</v>
      </c>
      <c r="U229" s="27" t="s">
        <v>2486</v>
      </c>
      <c r="V229" s="28">
        <v>46223.169829305552</v>
      </c>
      <c r="W229" s="27" t="s">
        <v>2489</v>
      </c>
      <c r="X229" s="27" t="s">
        <v>559</v>
      </c>
      <c r="Y229" s="27" t="s">
        <v>654</v>
      </c>
      <c r="Z229" s="28">
        <v>46239.266966840281</v>
      </c>
      <c r="AA229" s="27" t="s">
        <v>2490</v>
      </c>
      <c r="AB229" s="27"/>
      <c r="AC229" s="27" t="s">
        <v>2491</v>
      </c>
      <c r="AD229" s="28"/>
      <c r="AE229" s="27"/>
      <c r="AF229" s="27"/>
      <c r="AG229" s="27" t="s">
        <v>126</v>
      </c>
      <c r="AH229" s="28"/>
      <c r="AI229" s="27"/>
      <c r="AJ229" s="27" t="s">
        <v>2443</v>
      </c>
      <c r="AK229" s="27" t="s">
        <v>2444</v>
      </c>
      <c r="AL229" s="27"/>
      <c r="AM229" s="27"/>
      <c r="AN229" s="27" t="s">
        <v>687</v>
      </c>
      <c r="AO229" s="27">
        <v>0</v>
      </c>
    </row>
    <row r="230" spans="1:41" hidden="1">
      <c r="A230" s="27" t="s">
        <v>2492</v>
      </c>
      <c r="B230" s="27" t="s">
        <v>113</v>
      </c>
      <c r="C230" s="27" t="s">
        <v>2493</v>
      </c>
      <c r="D230" s="27" t="s">
        <v>548</v>
      </c>
      <c r="E230" s="27" t="s">
        <v>70</v>
      </c>
      <c r="F230" s="28">
        <v>46167.032202858798</v>
      </c>
      <c r="G230" s="28">
        <v>46210.283727002316</v>
      </c>
      <c r="H230" s="28">
        <v>46167.032202870367</v>
      </c>
      <c r="I230" s="27" t="s">
        <v>114</v>
      </c>
      <c r="J230" s="27" t="s">
        <v>115</v>
      </c>
      <c r="K230" s="27" t="s">
        <v>566</v>
      </c>
      <c r="L230" s="27"/>
      <c r="M230" s="27" t="s">
        <v>1289</v>
      </c>
      <c r="N230" s="27"/>
      <c r="O230" s="27"/>
      <c r="P230" s="27" t="s">
        <v>2494</v>
      </c>
      <c r="Q230" s="27" t="s">
        <v>556</v>
      </c>
      <c r="R230" s="27" t="s">
        <v>583</v>
      </c>
      <c r="S230" s="27"/>
      <c r="T230" s="27" t="s">
        <v>559</v>
      </c>
      <c r="U230" s="27" t="s">
        <v>2493</v>
      </c>
      <c r="V230" s="28">
        <v>46167.033106226852</v>
      </c>
      <c r="W230" s="27" t="s">
        <v>2495</v>
      </c>
      <c r="X230" s="27" t="s">
        <v>559</v>
      </c>
      <c r="Y230" s="27" t="s">
        <v>1289</v>
      </c>
      <c r="Z230" s="28">
        <v>46210.186584872688</v>
      </c>
      <c r="AA230" s="27" t="s">
        <v>2496</v>
      </c>
      <c r="AB230" s="27"/>
      <c r="AC230" s="27" t="s">
        <v>2491</v>
      </c>
      <c r="AD230" s="28"/>
      <c r="AE230" s="27"/>
      <c r="AF230" s="27"/>
      <c r="AG230" s="27" t="s">
        <v>108</v>
      </c>
      <c r="AH230" s="28"/>
      <c r="AI230" s="27"/>
      <c r="AJ230" s="27" t="s">
        <v>2497</v>
      </c>
      <c r="AK230" s="27">
        <v>2532</v>
      </c>
      <c r="AL230" s="27" t="s">
        <v>116</v>
      </c>
      <c r="AM230" s="27"/>
      <c r="AN230" s="27" t="s">
        <v>687</v>
      </c>
      <c r="AO230" s="27">
        <v>0</v>
      </c>
    </row>
    <row r="231" spans="1:41" hidden="1">
      <c r="A231" s="27" t="s">
        <v>2498</v>
      </c>
      <c r="B231" s="27" t="s">
        <v>2499</v>
      </c>
      <c r="C231" s="27" t="s">
        <v>2500</v>
      </c>
      <c r="D231" s="27" t="s">
        <v>548</v>
      </c>
      <c r="E231" s="27" t="s">
        <v>578</v>
      </c>
      <c r="F231" s="28">
        <v>46168.152981921296</v>
      </c>
      <c r="G231" s="28">
        <v>46168.155093159723</v>
      </c>
      <c r="H231" s="28">
        <v>46168.152981921296</v>
      </c>
      <c r="I231" s="27" t="s">
        <v>2501</v>
      </c>
      <c r="J231" s="27" t="s">
        <v>2502</v>
      </c>
      <c r="K231" s="27" t="s">
        <v>566</v>
      </c>
      <c r="L231" s="27"/>
      <c r="M231" s="27" t="s">
        <v>2500</v>
      </c>
      <c r="N231" s="27"/>
      <c r="O231" s="27" t="s">
        <v>2503</v>
      </c>
      <c r="P231" s="27" t="s">
        <v>2504</v>
      </c>
      <c r="Q231" s="27" t="s">
        <v>556</v>
      </c>
      <c r="R231" s="27" t="s">
        <v>583</v>
      </c>
      <c r="S231" s="27"/>
      <c r="T231" s="27" t="s">
        <v>549</v>
      </c>
      <c r="U231" s="27" t="s">
        <v>2500</v>
      </c>
      <c r="V231" s="28">
        <v>46168.155093159723</v>
      </c>
      <c r="W231" s="27"/>
      <c r="X231" s="27"/>
      <c r="Y231" s="27" t="s">
        <v>2500</v>
      </c>
      <c r="Z231" s="28"/>
      <c r="AA231" s="27"/>
      <c r="AB231" s="27"/>
      <c r="AC231" s="27" t="s">
        <v>573</v>
      </c>
      <c r="AD231" s="28"/>
      <c r="AE231" s="27"/>
      <c r="AF231" s="27"/>
      <c r="AG231" s="27" t="s">
        <v>108</v>
      </c>
      <c r="AH231" s="28"/>
      <c r="AI231" s="27"/>
      <c r="AJ231" s="27" t="s">
        <v>2505</v>
      </c>
      <c r="AK231" s="27">
        <v>1359</v>
      </c>
      <c r="AL231" s="27"/>
      <c r="AM231" s="27"/>
      <c r="AN231" s="27" t="s">
        <v>687</v>
      </c>
      <c r="AO231" s="27">
        <v>0</v>
      </c>
    </row>
    <row r="232" spans="1:41" hidden="1">
      <c r="A232" s="27" t="s">
        <v>2506</v>
      </c>
      <c r="B232" s="27" t="s">
        <v>110</v>
      </c>
      <c r="C232" s="27" t="s">
        <v>1509</v>
      </c>
      <c r="D232" s="27" t="s">
        <v>548</v>
      </c>
      <c r="E232" s="27" t="s">
        <v>70</v>
      </c>
      <c r="F232" s="28">
        <v>46177.380468495372</v>
      </c>
      <c r="G232" s="28">
        <v>46209.306841990743</v>
      </c>
      <c r="H232" s="28">
        <v>46177.380468495372</v>
      </c>
      <c r="I232" s="27" t="s">
        <v>111</v>
      </c>
      <c r="J232" s="27" t="s">
        <v>112</v>
      </c>
      <c r="K232" s="27" t="s">
        <v>566</v>
      </c>
      <c r="L232" s="27"/>
      <c r="M232" s="27" t="s">
        <v>778</v>
      </c>
      <c r="N232" s="27"/>
      <c r="O232" s="27"/>
      <c r="P232" s="27" t="s">
        <v>976</v>
      </c>
      <c r="Q232" s="27" t="s">
        <v>556</v>
      </c>
      <c r="R232" s="27" t="s">
        <v>659</v>
      </c>
      <c r="S232" s="27"/>
      <c r="T232" s="27" t="s">
        <v>559</v>
      </c>
      <c r="U232" s="27" t="s">
        <v>1509</v>
      </c>
      <c r="V232" s="28">
        <v>46177.380960300929</v>
      </c>
      <c r="W232" s="27" t="s">
        <v>976</v>
      </c>
      <c r="X232" s="27" t="s">
        <v>559</v>
      </c>
      <c r="Y232" s="27" t="s">
        <v>778</v>
      </c>
      <c r="Z232" s="28">
        <v>46184.064344363425</v>
      </c>
      <c r="AA232" s="27" t="s">
        <v>976</v>
      </c>
      <c r="AB232" s="27"/>
      <c r="AC232" s="27" t="s">
        <v>2491</v>
      </c>
      <c r="AD232" s="28"/>
      <c r="AE232" s="27"/>
      <c r="AF232" s="27"/>
      <c r="AG232" s="27" t="s">
        <v>108</v>
      </c>
      <c r="AH232" s="28"/>
      <c r="AI232" s="27"/>
      <c r="AJ232" s="27" t="s">
        <v>2507</v>
      </c>
      <c r="AK232" s="27" t="s">
        <v>2508</v>
      </c>
      <c r="AL232" s="27" t="s">
        <v>107</v>
      </c>
      <c r="AM232" s="27"/>
      <c r="AN232" s="27" t="s">
        <v>665</v>
      </c>
      <c r="AO232" s="27">
        <v>0</v>
      </c>
    </row>
    <row r="233" spans="1:41" hidden="1">
      <c r="A233" s="27" t="s">
        <v>2509</v>
      </c>
      <c r="B233" s="27" t="s">
        <v>2510</v>
      </c>
      <c r="C233" s="27" t="s">
        <v>1841</v>
      </c>
      <c r="D233" s="27" t="s">
        <v>548</v>
      </c>
      <c r="E233" s="27" t="s">
        <v>668</v>
      </c>
      <c r="F233" s="28">
        <v>46178.265447199075</v>
      </c>
      <c r="G233" s="28">
        <v>46178.265447199075</v>
      </c>
      <c r="H233" s="28">
        <v>46178.265447199075</v>
      </c>
      <c r="I233" s="27" t="s">
        <v>2511</v>
      </c>
      <c r="J233" s="27" t="s">
        <v>2512</v>
      </c>
      <c r="K233" s="27" t="s">
        <v>566</v>
      </c>
      <c r="L233" s="27"/>
      <c r="M233" s="27" t="s">
        <v>1776</v>
      </c>
      <c r="N233" s="27"/>
      <c r="O233" s="27"/>
      <c r="P233" s="27" t="s">
        <v>1776</v>
      </c>
      <c r="Q233" s="27" t="s">
        <v>556</v>
      </c>
      <c r="R233" s="27" t="s">
        <v>1379</v>
      </c>
      <c r="S233" s="27"/>
      <c r="T233" s="27" t="s">
        <v>668</v>
      </c>
      <c r="U233" s="27" t="s">
        <v>1841</v>
      </c>
      <c r="V233" s="28"/>
      <c r="W233" s="27"/>
      <c r="X233" s="27"/>
      <c r="Y233" s="27" t="s">
        <v>1776</v>
      </c>
      <c r="Z233" s="28"/>
      <c r="AA233" s="27"/>
      <c r="AB233" s="27"/>
      <c r="AC233" s="27" t="s">
        <v>573</v>
      </c>
      <c r="AD233" s="28"/>
      <c r="AE233" s="27"/>
      <c r="AF233" s="27"/>
      <c r="AG233" s="27" t="s">
        <v>108</v>
      </c>
      <c r="AH233" s="28"/>
      <c r="AI233" s="27"/>
      <c r="AJ233" s="27" t="s">
        <v>2513</v>
      </c>
      <c r="AK233" s="27" t="s">
        <v>2514</v>
      </c>
      <c r="AL233" s="27"/>
      <c r="AM233" s="27"/>
      <c r="AN233" s="27" t="s">
        <v>665</v>
      </c>
      <c r="AO233" s="27">
        <v>0</v>
      </c>
    </row>
    <row r="234" spans="1:41" hidden="1">
      <c r="A234" s="27" t="s">
        <v>2515</v>
      </c>
      <c r="B234" s="27" t="s">
        <v>2516</v>
      </c>
      <c r="C234" s="27" t="s">
        <v>1908</v>
      </c>
      <c r="D234" s="27" t="s">
        <v>548</v>
      </c>
      <c r="E234" s="27" t="s">
        <v>638</v>
      </c>
      <c r="F234" s="28">
        <v>46181.973542476851</v>
      </c>
      <c r="G234" s="28">
        <v>46196.359642268515</v>
      </c>
      <c r="H234" s="28">
        <v>46181.973542476851</v>
      </c>
      <c r="I234" s="27" t="s">
        <v>2517</v>
      </c>
      <c r="J234" s="27" t="s">
        <v>2518</v>
      </c>
      <c r="K234" s="27" t="s">
        <v>566</v>
      </c>
      <c r="L234" s="27"/>
      <c r="M234" s="27" t="s">
        <v>778</v>
      </c>
      <c r="N234" s="27"/>
      <c r="O234" s="27"/>
      <c r="P234" s="27" t="s">
        <v>976</v>
      </c>
      <c r="Q234" s="27" t="s">
        <v>556</v>
      </c>
      <c r="R234" s="27" t="s">
        <v>659</v>
      </c>
      <c r="S234" s="27"/>
      <c r="T234" s="27" t="s">
        <v>559</v>
      </c>
      <c r="U234" s="27" t="s">
        <v>1908</v>
      </c>
      <c r="V234" s="28">
        <v>46181.97554550926</v>
      </c>
      <c r="W234" s="27" t="s">
        <v>2519</v>
      </c>
      <c r="X234" s="27" t="s">
        <v>559</v>
      </c>
      <c r="Y234" s="27" t="s">
        <v>778</v>
      </c>
      <c r="Z234" s="28">
        <v>46184.063530150466</v>
      </c>
      <c r="AA234" s="27" t="s">
        <v>976</v>
      </c>
      <c r="AB234" s="27" t="s">
        <v>559</v>
      </c>
      <c r="AC234" s="27" t="s">
        <v>571</v>
      </c>
      <c r="AD234" s="28">
        <v>46188.141476006946</v>
      </c>
      <c r="AE234" s="27" t="s">
        <v>2520</v>
      </c>
      <c r="AF234" s="27" t="s">
        <v>559</v>
      </c>
      <c r="AG234" s="27" t="s">
        <v>683</v>
      </c>
      <c r="AH234" s="28">
        <v>46196.359642268515</v>
      </c>
      <c r="AI234" s="27" t="s">
        <v>684</v>
      </c>
      <c r="AJ234" s="27" t="s">
        <v>2521</v>
      </c>
      <c r="AK234" s="27">
        <v>4229</v>
      </c>
      <c r="AL234" s="27" t="s">
        <v>107</v>
      </c>
      <c r="AM234" s="27" t="s">
        <v>2522</v>
      </c>
      <c r="AN234" s="27" t="s">
        <v>665</v>
      </c>
      <c r="AO234" s="27">
        <v>0</v>
      </c>
    </row>
    <row r="235" spans="1:41" hidden="1">
      <c r="A235" s="27" t="s">
        <v>2523</v>
      </c>
      <c r="B235" s="27" t="s">
        <v>2524</v>
      </c>
      <c r="C235" s="27" t="s">
        <v>2525</v>
      </c>
      <c r="D235" s="27" t="s">
        <v>548</v>
      </c>
      <c r="E235" s="27" t="s">
        <v>638</v>
      </c>
      <c r="F235" s="28">
        <v>46183.289254317133</v>
      </c>
      <c r="G235" s="28">
        <v>46195.098200381944</v>
      </c>
      <c r="H235" s="28">
        <v>46183.306086805555</v>
      </c>
      <c r="I235" s="27" t="s">
        <v>836</v>
      </c>
      <c r="J235" s="27" t="s">
        <v>837</v>
      </c>
      <c r="K235" s="27" t="s">
        <v>566</v>
      </c>
      <c r="L235" s="27"/>
      <c r="M235" s="27" t="s">
        <v>842</v>
      </c>
      <c r="N235" s="27"/>
      <c r="O235" s="27"/>
      <c r="P235" s="27" t="s">
        <v>2526</v>
      </c>
      <c r="Q235" s="27" t="s">
        <v>643</v>
      </c>
      <c r="R235" s="27" t="s">
        <v>583</v>
      </c>
      <c r="S235" s="27"/>
      <c r="T235" s="27" t="s">
        <v>559</v>
      </c>
      <c r="U235" s="27" t="s">
        <v>2525</v>
      </c>
      <c r="V235" s="28">
        <v>46183.307676412034</v>
      </c>
      <c r="W235" s="27" t="s">
        <v>794</v>
      </c>
      <c r="X235" s="27" t="s">
        <v>559</v>
      </c>
      <c r="Y235" s="27" t="s">
        <v>842</v>
      </c>
      <c r="Z235" s="28">
        <v>46184.149925995371</v>
      </c>
      <c r="AA235" s="27" t="s">
        <v>2527</v>
      </c>
      <c r="AB235" s="27" t="s">
        <v>559</v>
      </c>
      <c r="AC235" s="27" t="s">
        <v>571</v>
      </c>
      <c r="AD235" s="28">
        <v>46195.065994201388</v>
      </c>
      <c r="AE235" s="27" t="s">
        <v>2528</v>
      </c>
      <c r="AF235" s="27" t="s">
        <v>559</v>
      </c>
      <c r="AG235" s="27" t="s">
        <v>1083</v>
      </c>
      <c r="AH235" s="28">
        <v>46195.098200393521</v>
      </c>
      <c r="AI235" s="27" t="s">
        <v>649</v>
      </c>
      <c r="AJ235" s="27" t="s">
        <v>845</v>
      </c>
      <c r="AK235" s="27" t="s">
        <v>846</v>
      </c>
      <c r="AL235" s="27" t="s">
        <v>116</v>
      </c>
      <c r="AM235" s="27" t="s">
        <v>2529</v>
      </c>
      <c r="AN235" s="27" t="s">
        <v>710</v>
      </c>
      <c r="AO235" s="27"/>
    </row>
    <row r="236" spans="1:41" hidden="1">
      <c r="A236" s="27" t="s">
        <v>2530</v>
      </c>
      <c r="B236" s="27" t="s">
        <v>2531</v>
      </c>
      <c r="C236" s="27" t="s">
        <v>2532</v>
      </c>
      <c r="D236" s="27" t="s">
        <v>548</v>
      </c>
      <c r="E236" s="27" t="s">
        <v>578</v>
      </c>
      <c r="F236" s="28">
        <v>46185.321660555557</v>
      </c>
      <c r="G236" s="28">
        <v>46185.336061354166</v>
      </c>
      <c r="H236" s="28">
        <v>46185.329921319448</v>
      </c>
      <c r="I236" s="27" t="s">
        <v>173</v>
      </c>
      <c r="J236" s="27" t="s">
        <v>2533</v>
      </c>
      <c r="K236" s="27" t="s">
        <v>566</v>
      </c>
      <c r="L236" s="27"/>
      <c r="M236" s="27" t="s">
        <v>890</v>
      </c>
      <c r="N236" s="27"/>
      <c r="O236" s="27"/>
      <c r="P236" s="27" t="s">
        <v>2534</v>
      </c>
      <c r="Q236" s="27" t="s">
        <v>623</v>
      </c>
      <c r="R236" s="27" t="s">
        <v>583</v>
      </c>
      <c r="S236" s="27"/>
      <c r="T236" s="27" t="s">
        <v>549</v>
      </c>
      <c r="U236" s="27" t="s">
        <v>2532</v>
      </c>
      <c r="V236" s="28">
        <v>46185.336061365742</v>
      </c>
      <c r="W236" s="27"/>
      <c r="X236" s="27"/>
      <c r="Y236" s="27" t="s">
        <v>893</v>
      </c>
      <c r="Z236" s="28"/>
      <c r="AA236" s="27"/>
      <c r="AB236" s="27"/>
      <c r="AC236" s="27" t="s">
        <v>573</v>
      </c>
      <c r="AD236" s="28"/>
      <c r="AE236" s="27"/>
      <c r="AF236" s="27"/>
      <c r="AG236" s="27" t="s">
        <v>573</v>
      </c>
      <c r="AH236" s="28"/>
      <c r="AI236" s="27"/>
      <c r="AJ236" s="27" t="s">
        <v>2535</v>
      </c>
      <c r="AK236" s="27" t="s">
        <v>2536</v>
      </c>
      <c r="AL236" s="27"/>
      <c r="AM236" s="27"/>
      <c r="AN236" s="27" t="s">
        <v>665</v>
      </c>
      <c r="AO236" s="27">
        <v>0</v>
      </c>
    </row>
    <row r="237" spans="1:41" hidden="1">
      <c r="A237" s="27" t="s">
        <v>2537</v>
      </c>
      <c r="B237" s="27" t="s">
        <v>2538</v>
      </c>
      <c r="C237" s="27" t="s">
        <v>2532</v>
      </c>
      <c r="D237" s="27" t="s">
        <v>548</v>
      </c>
      <c r="E237" s="27" t="s">
        <v>638</v>
      </c>
      <c r="F237" s="28">
        <v>46185.340565833336</v>
      </c>
      <c r="G237" s="28">
        <v>46223.280768946759</v>
      </c>
      <c r="H237" s="28">
        <v>46185.340565833336</v>
      </c>
      <c r="I237" s="27" t="s">
        <v>173</v>
      </c>
      <c r="J237" s="27" t="s">
        <v>2533</v>
      </c>
      <c r="K237" s="27" t="s">
        <v>566</v>
      </c>
      <c r="L237" s="27"/>
      <c r="M237" s="27" t="s">
        <v>2539</v>
      </c>
      <c r="N237" s="27"/>
      <c r="O237" s="27" t="s">
        <v>2540</v>
      </c>
      <c r="P237" s="27" t="s">
        <v>2541</v>
      </c>
      <c r="Q237" s="27" t="s">
        <v>623</v>
      </c>
      <c r="R237" s="27" t="s">
        <v>583</v>
      </c>
      <c r="S237" s="27"/>
      <c r="T237" s="27" t="s">
        <v>559</v>
      </c>
      <c r="U237" s="27" t="s">
        <v>2532</v>
      </c>
      <c r="V237" s="28">
        <v>46185.353635567131</v>
      </c>
      <c r="W237" s="27" t="s">
        <v>2542</v>
      </c>
      <c r="X237" s="27" t="s">
        <v>559</v>
      </c>
      <c r="Y237" s="27" t="s">
        <v>2543</v>
      </c>
      <c r="Z237" s="28">
        <v>46195.205156111107</v>
      </c>
      <c r="AA237" s="27" t="s">
        <v>2544</v>
      </c>
      <c r="AB237" s="27" t="s">
        <v>559</v>
      </c>
      <c r="AC237" s="27" t="s">
        <v>571</v>
      </c>
      <c r="AD237" s="28">
        <v>46197.412708333337</v>
      </c>
      <c r="AE237" s="27" t="s">
        <v>2545</v>
      </c>
      <c r="AF237" s="27" t="s">
        <v>559</v>
      </c>
      <c r="AG237" s="27" t="s">
        <v>796</v>
      </c>
      <c r="AH237" s="28">
        <v>46223.280768958335</v>
      </c>
      <c r="AI237" s="27" t="s">
        <v>2546</v>
      </c>
      <c r="AJ237" s="27" t="s">
        <v>2535</v>
      </c>
      <c r="AK237" s="27" t="s">
        <v>2536</v>
      </c>
      <c r="AL237" s="27" t="s">
        <v>107</v>
      </c>
      <c r="AM237" s="27" t="s">
        <v>2547</v>
      </c>
      <c r="AN237" s="27" t="s">
        <v>665</v>
      </c>
      <c r="AO237" s="27">
        <v>0</v>
      </c>
    </row>
    <row r="238" spans="1:41" hidden="1">
      <c r="A238" s="27" t="s">
        <v>2548</v>
      </c>
      <c r="B238" s="27" t="s">
        <v>2549</v>
      </c>
      <c r="C238" s="27" t="s">
        <v>1145</v>
      </c>
      <c r="D238" s="27" t="s">
        <v>548</v>
      </c>
      <c r="E238" s="27" t="s">
        <v>638</v>
      </c>
      <c r="F238" s="28">
        <v>46188.351509988424</v>
      </c>
      <c r="G238" s="28">
        <v>46198.145549305555</v>
      </c>
      <c r="H238" s="28">
        <v>46188.353479537036</v>
      </c>
      <c r="I238" s="27" t="s">
        <v>2550</v>
      </c>
      <c r="J238" s="27" t="s">
        <v>2551</v>
      </c>
      <c r="K238" s="27" t="s">
        <v>566</v>
      </c>
      <c r="L238" s="27"/>
      <c r="M238" s="27" t="s">
        <v>1289</v>
      </c>
      <c r="N238" s="27"/>
      <c r="O238" s="27"/>
      <c r="P238" s="27" t="s">
        <v>2552</v>
      </c>
      <c r="Q238" s="27" t="s">
        <v>643</v>
      </c>
      <c r="R238" s="27" t="s">
        <v>583</v>
      </c>
      <c r="S238" s="27"/>
      <c r="T238" s="27" t="s">
        <v>559</v>
      </c>
      <c r="U238" s="27" t="s">
        <v>1145</v>
      </c>
      <c r="V238" s="28">
        <v>46188.354798206019</v>
      </c>
      <c r="W238" s="27" t="s">
        <v>2553</v>
      </c>
      <c r="X238" s="27" t="s">
        <v>559</v>
      </c>
      <c r="Y238" s="27" t="s">
        <v>1289</v>
      </c>
      <c r="Z238" s="28">
        <v>46195.337172638887</v>
      </c>
      <c r="AA238" s="27" t="s">
        <v>2554</v>
      </c>
      <c r="AB238" s="27" t="s">
        <v>559</v>
      </c>
      <c r="AC238" s="27" t="s">
        <v>571</v>
      </c>
      <c r="AD238" s="28">
        <v>46197.103300648145</v>
      </c>
      <c r="AE238" s="27" t="s">
        <v>2555</v>
      </c>
      <c r="AF238" s="27" t="s">
        <v>559</v>
      </c>
      <c r="AG238" s="27" t="s">
        <v>571</v>
      </c>
      <c r="AH238" s="28">
        <v>46198.145549305555</v>
      </c>
      <c r="AI238" s="27" t="s">
        <v>649</v>
      </c>
      <c r="AJ238" s="27" t="s">
        <v>2556</v>
      </c>
      <c r="AK238" s="27">
        <v>514</v>
      </c>
      <c r="AL238" s="27" t="s">
        <v>116</v>
      </c>
      <c r="AM238" s="27" t="s">
        <v>2557</v>
      </c>
      <c r="AN238" s="27" t="s">
        <v>665</v>
      </c>
      <c r="AO238" s="27">
        <v>0</v>
      </c>
    </row>
    <row r="239" spans="1:41" hidden="1">
      <c r="A239" s="27" t="s">
        <v>2558</v>
      </c>
      <c r="B239" s="27" t="s">
        <v>2559</v>
      </c>
      <c r="C239" s="27" t="s">
        <v>2560</v>
      </c>
      <c r="D239" s="27" t="s">
        <v>548</v>
      </c>
      <c r="E239" s="27" t="s">
        <v>638</v>
      </c>
      <c r="F239" s="28">
        <v>46188.39988153935</v>
      </c>
      <c r="G239" s="28">
        <v>46196.308348796294</v>
      </c>
      <c r="H239" s="28">
        <v>46189.060004108796</v>
      </c>
      <c r="I239" s="27" t="s">
        <v>1475</v>
      </c>
      <c r="J239" s="27" t="s">
        <v>1476</v>
      </c>
      <c r="K239" s="27" t="s">
        <v>566</v>
      </c>
      <c r="L239" s="27"/>
      <c r="M239" s="27" t="s">
        <v>1362</v>
      </c>
      <c r="N239" s="27"/>
      <c r="O239" s="27"/>
      <c r="P239" s="27" t="s">
        <v>2561</v>
      </c>
      <c r="Q239" s="27" t="s">
        <v>1264</v>
      </c>
      <c r="R239" s="27" t="s">
        <v>583</v>
      </c>
      <c r="S239" s="27"/>
      <c r="T239" s="27" t="s">
        <v>559</v>
      </c>
      <c r="U239" s="27" t="s">
        <v>2560</v>
      </c>
      <c r="V239" s="28">
        <v>46189.061275219909</v>
      </c>
      <c r="W239" s="27" t="s">
        <v>2562</v>
      </c>
      <c r="X239" s="27" t="s">
        <v>559</v>
      </c>
      <c r="Y239" s="27" t="s">
        <v>1362</v>
      </c>
      <c r="Z239" s="28">
        <v>46189.101245231483</v>
      </c>
      <c r="AA239" s="27" t="s">
        <v>681</v>
      </c>
      <c r="AB239" s="27" t="s">
        <v>559</v>
      </c>
      <c r="AC239" s="27" t="s">
        <v>571</v>
      </c>
      <c r="AD239" s="28">
        <v>46192.113556898148</v>
      </c>
      <c r="AE239" s="27" t="s">
        <v>2563</v>
      </c>
      <c r="AF239" s="27" t="s">
        <v>559</v>
      </c>
      <c r="AG239" s="27" t="s">
        <v>796</v>
      </c>
      <c r="AH239" s="28">
        <v>46196.308348796294</v>
      </c>
      <c r="AI239" s="27" t="s">
        <v>2564</v>
      </c>
      <c r="AJ239" s="27" t="s">
        <v>1482</v>
      </c>
      <c r="AK239" s="27" t="s">
        <v>1483</v>
      </c>
      <c r="AL239" s="27" t="s">
        <v>116</v>
      </c>
      <c r="AM239" s="27" t="s">
        <v>2565</v>
      </c>
      <c r="AN239" s="27" t="s">
        <v>710</v>
      </c>
      <c r="AO239" s="27"/>
    </row>
    <row r="240" spans="1:41" hidden="1">
      <c r="A240" s="27" t="s">
        <v>2566</v>
      </c>
      <c r="B240" s="27" t="s">
        <v>2567</v>
      </c>
      <c r="C240" s="27" t="s">
        <v>2310</v>
      </c>
      <c r="D240" s="27" t="s">
        <v>548</v>
      </c>
      <c r="E240" s="27" t="s">
        <v>578</v>
      </c>
      <c r="F240" s="28">
        <v>46189.078725520834</v>
      </c>
      <c r="G240" s="28">
        <v>46189.079718009256</v>
      </c>
      <c r="H240" s="28">
        <v>46189.078725520834</v>
      </c>
      <c r="I240" s="27" t="s">
        <v>2568</v>
      </c>
      <c r="J240" s="27" t="s">
        <v>2569</v>
      </c>
      <c r="K240" s="27" t="s">
        <v>676</v>
      </c>
      <c r="L240" s="27" t="s">
        <v>2570</v>
      </c>
      <c r="M240" s="27" t="s">
        <v>2313</v>
      </c>
      <c r="N240" s="27"/>
      <c r="O240" s="27"/>
      <c r="P240" s="27" t="s">
        <v>2571</v>
      </c>
      <c r="Q240" s="27" t="s">
        <v>556</v>
      </c>
      <c r="R240" s="27" t="s">
        <v>583</v>
      </c>
      <c r="S240" s="27"/>
      <c r="T240" s="27" t="s">
        <v>549</v>
      </c>
      <c r="U240" s="27" t="s">
        <v>2310</v>
      </c>
      <c r="V240" s="28">
        <v>46189.079718032408</v>
      </c>
      <c r="W240" s="27"/>
      <c r="X240" s="27"/>
      <c r="Y240" s="27" t="s">
        <v>2315</v>
      </c>
      <c r="Z240" s="28"/>
      <c r="AA240" s="27"/>
      <c r="AB240" s="27"/>
      <c r="AC240" s="27" t="s">
        <v>573</v>
      </c>
      <c r="AD240" s="28"/>
      <c r="AE240" s="27"/>
      <c r="AF240" s="27"/>
      <c r="AG240" s="27" t="s">
        <v>108</v>
      </c>
      <c r="AH240" s="28"/>
      <c r="AI240" s="27"/>
      <c r="AJ240" s="27" t="s">
        <v>2572</v>
      </c>
      <c r="AK240" s="27" t="s">
        <v>2573</v>
      </c>
      <c r="AL240" s="27"/>
      <c r="AM240" s="27"/>
      <c r="AN240" s="27" t="s">
        <v>665</v>
      </c>
      <c r="AO240" s="27">
        <v>0</v>
      </c>
    </row>
    <row r="241" spans="1:41" hidden="1">
      <c r="A241" s="27" t="s">
        <v>2574</v>
      </c>
      <c r="B241" s="27" t="s">
        <v>2575</v>
      </c>
      <c r="C241" s="27" t="s">
        <v>2310</v>
      </c>
      <c r="D241" s="27" t="s">
        <v>548</v>
      </c>
      <c r="E241" s="27" t="s">
        <v>578</v>
      </c>
      <c r="F241" s="28">
        <v>46189.100680995369</v>
      </c>
      <c r="G241" s="28">
        <v>46210.066586932873</v>
      </c>
      <c r="H241" s="28">
        <v>46209.997675335646</v>
      </c>
      <c r="I241" s="27" t="s">
        <v>2568</v>
      </c>
      <c r="J241" s="27" t="s">
        <v>2576</v>
      </c>
      <c r="K241" s="27" t="s">
        <v>676</v>
      </c>
      <c r="L241" s="27" t="s">
        <v>2570</v>
      </c>
      <c r="M241" s="27" t="s">
        <v>2313</v>
      </c>
      <c r="N241" s="27"/>
      <c r="O241" s="27"/>
      <c r="P241" s="27" t="s">
        <v>2577</v>
      </c>
      <c r="Q241" s="27" t="s">
        <v>556</v>
      </c>
      <c r="R241" s="27" t="s">
        <v>583</v>
      </c>
      <c r="S241" s="27"/>
      <c r="T241" s="27" t="s">
        <v>549</v>
      </c>
      <c r="U241" s="27" t="s">
        <v>2310</v>
      </c>
      <c r="V241" s="28">
        <v>46210.066586990739</v>
      </c>
      <c r="W241" s="27"/>
      <c r="X241" s="27"/>
      <c r="Y241" s="27" t="s">
        <v>2315</v>
      </c>
      <c r="Z241" s="28"/>
      <c r="AA241" s="27"/>
      <c r="AB241" s="27"/>
      <c r="AC241" s="27" t="s">
        <v>573</v>
      </c>
      <c r="AD241" s="28"/>
      <c r="AE241" s="27"/>
      <c r="AF241" s="27"/>
      <c r="AG241" s="27" t="s">
        <v>573</v>
      </c>
      <c r="AH241" s="28"/>
      <c r="AI241" s="27"/>
      <c r="AJ241" s="27" t="s">
        <v>2572</v>
      </c>
      <c r="AK241" s="27" t="s">
        <v>2578</v>
      </c>
      <c r="AL241" s="27"/>
      <c r="AM241" s="27"/>
      <c r="AN241" s="27" t="s">
        <v>665</v>
      </c>
      <c r="AO241" s="27">
        <v>0</v>
      </c>
    </row>
    <row r="242" spans="1:41" hidden="1">
      <c r="A242" s="27" t="s">
        <v>2579</v>
      </c>
      <c r="B242" s="27" t="s">
        <v>2580</v>
      </c>
      <c r="C242" s="27" t="s">
        <v>1275</v>
      </c>
      <c r="D242" s="27" t="s">
        <v>548</v>
      </c>
      <c r="E242" s="27" t="s">
        <v>668</v>
      </c>
      <c r="F242" s="28">
        <v>46192.090632476851</v>
      </c>
      <c r="G242" s="28">
        <v>46192.211940000001</v>
      </c>
      <c r="H242" s="28">
        <v>46192.090632476851</v>
      </c>
      <c r="I242" s="27" t="s">
        <v>2581</v>
      </c>
      <c r="J242" s="27" t="s">
        <v>2582</v>
      </c>
      <c r="K242" s="27" t="s">
        <v>566</v>
      </c>
      <c r="L242" s="27"/>
      <c r="M242" s="27" t="s">
        <v>1278</v>
      </c>
      <c r="N242" s="27"/>
      <c r="O242" s="27"/>
      <c r="P242" s="27" t="s">
        <v>2583</v>
      </c>
      <c r="Q242" s="27" t="s">
        <v>623</v>
      </c>
      <c r="R242" s="27" t="s">
        <v>809</v>
      </c>
      <c r="S242" s="27"/>
      <c r="T242" s="27" t="s">
        <v>559</v>
      </c>
      <c r="U242" s="27" t="s">
        <v>1275</v>
      </c>
      <c r="V242" s="28">
        <v>46192.211940011577</v>
      </c>
      <c r="W242" s="27" t="s">
        <v>2584</v>
      </c>
      <c r="X242" s="27"/>
      <c r="Y242" s="27" t="s">
        <v>1278</v>
      </c>
      <c r="Z242" s="28"/>
      <c r="AA242" s="27"/>
      <c r="AB242" s="27"/>
      <c r="AC242" s="27" t="s">
        <v>573</v>
      </c>
      <c r="AD242" s="28"/>
      <c r="AE242" s="27"/>
      <c r="AF242" s="27"/>
      <c r="AG242" s="27" t="s">
        <v>108</v>
      </c>
      <c r="AH242" s="28"/>
      <c r="AI242" s="27"/>
      <c r="AJ242" s="27" t="s">
        <v>2585</v>
      </c>
      <c r="AK242" s="27">
        <v>2341</v>
      </c>
      <c r="AL242" s="27"/>
      <c r="AM242" s="27"/>
      <c r="AN242" s="27" t="s">
        <v>710</v>
      </c>
      <c r="AO242" s="27">
        <v>30</v>
      </c>
    </row>
    <row r="243" spans="1:41" hidden="1">
      <c r="A243" s="27" t="s">
        <v>2586</v>
      </c>
      <c r="B243" s="27" t="s">
        <v>215</v>
      </c>
      <c r="C243" s="27" t="s">
        <v>1597</v>
      </c>
      <c r="D243" s="27" t="s">
        <v>548</v>
      </c>
      <c r="E243" s="27" t="s">
        <v>67</v>
      </c>
      <c r="F243" s="28">
        <v>46195.027428449073</v>
      </c>
      <c r="G243" s="28">
        <v>46224.110601238426</v>
      </c>
      <c r="H243" s="28">
        <v>46197.130963518517</v>
      </c>
      <c r="I243" s="27" t="s">
        <v>216</v>
      </c>
      <c r="J243" s="27" t="s">
        <v>217</v>
      </c>
      <c r="K243" s="27" t="s">
        <v>676</v>
      </c>
      <c r="L243" s="27" t="s">
        <v>2587</v>
      </c>
      <c r="M243" s="27" t="s">
        <v>2588</v>
      </c>
      <c r="N243" s="27" t="s">
        <v>2589</v>
      </c>
      <c r="O243" s="27"/>
      <c r="P243" s="27" t="s">
        <v>2590</v>
      </c>
      <c r="Q243" s="27" t="s">
        <v>569</v>
      </c>
      <c r="R243" s="27" t="s">
        <v>557</v>
      </c>
      <c r="S243" s="27"/>
      <c r="T243" s="27" t="s">
        <v>559</v>
      </c>
      <c r="U243" s="27" t="s">
        <v>1597</v>
      </c>
      <c r="V243" s="28">
        <v>46197.131969456015</v>
      </c>
      <c r="W243" s="27" t="s">
        <v>2591</v>
      </c>
      <c r="X243" s="27" t="s">
        <v>559</v>
      </c>
      <c r="Y243" s="27" t="s">
        <v>1852</v>
      </c>
      <c r="Z243" s="28">
        <v>46197.325305694445</v>
      </c>
      <c r="AA243" s="27" t="s">
        <v>2592</v>
      </c>
      <c r="AB243" s="27" t="s">
        <v>559</v>
      </c>
      <c r="AC243" s="27" t="s">
        <v>162</v>
      </c>
      <c r="AD243" s="28">
        <v>46224.110601250002</v>
      </c>
      <c r="AE243" s="27" t="s">
        <v>2593</v>
      </c>
      <c r="AF243" s="27"/>
      <c r="AG243" s="27" t="s">
        <v>214</v>
      </c>
      <c r="AH243" s="28"/>
      <c r="AI243" s="27"/>
      <c r="AJ243" s="27" t="s">
        <v>2594</v>
      </c>
      <c r="AK243" s="27">
        <v>4396</v>
      </c>
      <c r="AL243" s="27" t="s">
        <v>107</v>
      </c>
      <c r="AM243" s="27" t="s">
        <v>2595</v>
      </c>
      <c r="AN243" s="27" t="s">
        <v>710</v>
      </c>
      <c r="AO243" s="27"/>
    </row>
    <row r="244" spans="1:41" hidden="1">
      <c r="A244" s="27" t="s">
        <v>2596</v>
      </c>
      <c r="B244" s="27" t="s">
        <v>250</v>
      </c>
      <c r="C244" s="27" t="s">
        <v>850</v>
      </c>
      <c r="D244" s="27" t="s">
        <v>548</v>
      </c>
      <c r="E244" s="27" t="s">
        <v>67</v>
      </c>
      <c r="F244" s="28">
        <v>46196.084583148149</v>
      </c>
      <c r="G244" s="28">
        <v>46251.318264490743</v>
      </c>
      <c r="H244" s="28">
        <v>46196.084583148149</v>
      </c>
      <c r="I244" s="27" t="s">
        <v>105</v>
      </c>
      <c r="J244" s="27" t="s">
        <v>106</v>
      </c>
      <c r="K244" s="27" t="s">
        <v>566</v>
      </c>
      <c r="L244" s="27"/>
      <c r="M244" s="27" t="s">
        <v>778</v>
      </c>
      <c r="N244" s="27"/>
      <c r="O244" s="27"/>
      <c r="P244" s="27" t="s">
        <v>976</v>
      </c>
      <c r="Q244" s="27" t="s">
        <v>556</v>
      </c>
      <c r="R244" s="27" t="s">
        <v>659</v>
      </c>
      <c r="S244" s="27"/>
      <c r="T244" s="27" t="s">
        <v>559</v>
      </c>
      <c r="U244" s="27" t="s">
        <v>850</v>
      </c>
      <c r="V244" s="28">
        <v>46196.085247592593</v>
      </c>
      <c r="W244" s="27" t="s">
        <v>976</v>
      </c>
      <c r="X244" s="27" t="s">
        <v>559</v>
      </c>
      <c r="Y244" s="27" t="s">
        <v>778</v>
      </c>
      <c r="Z244" s="28">
        <v>46196.111999780092</v>
      </c>
      <c r="AA244" s="27" t="s">
        <v>976</v>
      </c>
      <c r="AB244" s="27" t="s">
        <v>559</v>
      </c>
      <c r="AC244" s="27" t="s">
        <v>162</v>
      </c>
      <c r="AD244" s="28">
        <v>46251.318264502312</v>
      </c>
      <c r="AE244" s="27" t="s">
        <v>2597</v>
      </c>
      <c r="AF244" s="27"/>
      <c r="AG244" s="27" t="s">
        <v>251</v>
      </c>
      <c r="AH244" s="28"/>
      <c r="AI244" s="27"/>
      <c r="AJ244" s="27" t="s">
        <v>2598</v>
      </c>
      <c r="AK244" s="27" t="s">
        <v>2599</v>
      </c>
      <c r="AL244" s="27" t="s">
        <v>107</v>
      </c>
      <c r="AM244" s="27" t="s">
        <v>2600</v>
      </c>
      <c r="AN244" s="27" t="s">
        <v>665</v>
      </c>
      <c r="AO244" s="27">
        <v>0</v>
      </c>
    </row>
    <row r="245" spans="1:41" hidden="1">
      <c r="A245" s="27" t="s">
        <v>2601</v>
      </c>
      <c r="B245" s="27" t="s">
        <v>266</v>
      </c>
      <c r="C245" s="27" t="s">
        <v>850</v>
      </c>
      <c r="D245" s="27" t="s">
        <v>548</v>
      </c>
      <c r="E245" s="27" t="s">
        <v>67</v>
      </c>
      <c r="F245" s="28">
        <v>46196.086062152775</v>
      </c>
      <c r="G245" s="28">
        <v>46251.319507337961</v>
      </c>
      <c r="H245" s="28">
        <v>46196.086062152775</v>
      </c>
      <c r="I245" s="27" t="s">
        <v>105</v>
      </c>
      <c r="J245" s="27" t="s">
        <v>106</v>
      </c>
      <c r="K245" s="27" t="s">
        <v>566</v>
      </c>
      <c r="L245" s="27"/>
      <c r="M245" s="27" t="s">
        <v>778</v>
      </c>
      <c r="N245" s="27"/>
      <c r="O245" s="27"/>
      <c r="P245" s="27" t="s">
        <v>976</v>
      </c>
      <c r="Q245" s="27" t="s">
        <v>556</v>
      </c>
      <c r="R245" s="27" t="s">
        <v>659</v>
      </c>
      <c r="S245" s="27"/>
      <c r="T245" s="27" t="s">
        <v>559</v>
      </c>
      <c r="U245" s="27" t="s">
        <v>850</v>
      </c>
      <c r="V245" s="28">
        <v>46196.086793773145</v>
      </c>
      <c r="W245" s="27" t="s">
        <v>976</v>
      </c>
      <c r="X245" s="27" t="s">
        <v>559</v>
      </c>
      <c r="Y245" s="27" t="s">
        <v>778</v>
      </c>
      <c r="Z245" s="28">
        <v>46196.111621724536</v>
      </c>
      <c r="AA245" s="27" t="s">
        <v>976</v>
      </c>
      <c r="AB245" s="27" t="s">
        <v>559</v>
      </c>
      <c r="AC245" s="27" t="s">
        <v>162</v>
      </c>
      <c r="AD245" s="28">
        <v>46251.319507349537</v>
      </c>
      <c r="AE245" s="27" t="s">
        <v>681</v>
      </c>
      <c r="AF245" s="27"/>
      <c r="AG245" s="27" t="s">
        <v>259</v>
      </c>
      <c r="AH245" s="28"/>
      <c r="AI245" s="27"/>
      <c r="AJ245" s="27" t="s">
        <v>2598</v>
      </c>
      <c r="AK245" s="27" t="s">
        <v>2599</v>
      </c>
      <c r="AL245" s="27" t="s">
        <v>107</v>
      </c>
      <c r="AM245" s="27" t="s">
        <v>2602</v>
      </c>
      <c r="AN245" s="27" t="s">
        <v>687</v>
      </c>
      <c r="AO245" s="27">
        <v>0</v>
      </c>
    </row>
    <row r="246" spans="1:41" hidden="1">
      <c r="A246" s="27" t="s">
        <v>2603</v>
      </c>
      <c r="B246" s="27" t="s">
        <v>120</v>
      </c>
      <c r="C246" s="27" t="s">
        <v>850</v>
      </c>
      <c r="D246" s="27" t="s">
        <v>548</v>
      </c>
      <c r="E246" s="27" t="s">
        <v>70</v>
      </c>
      <c r="F246" s="28">
        <v>46196.120060173613</v>
      </c>
      <c r="G246" s="28">
        <v>46209.310879537035</v>
      </c>
      <c r="H246" s="28">
        <v>46196.120060173613</v>
      </c>
      <c r="I246" s="27" t="s">
        <v>105</v>
      </c>
      <c r="J246" s="27" t="s">
        <v>121</v>
      </c>
      <c r="K246" s="27" t="s">
        <v>566</v>
      </c>
      <c r="L246" s="27"/>
      <c r="M246" s="27" t="s">
        <v>778</v>
      </c>
      <c r="N246" s="27"/>
      <c r="O246" s="27"/>
      <c r="P246" s="27" t="s">
        <v>976</v>
      </c>
      <c r="Q246" s="27" t="s">
        <v>556</v>
      </c>
      <c r="R246" s="27" t="s">
        <v>659</v>
      </c>
      <c r="S246" s="27"/>
      <c r="T246" s="27" t="s">
        <v>559</v>
      </c>
      <c r="U246" s="27" t="s">
        <v>850</v>
      </c>
      <c r="V246" s="28">
        <v>46196.120227326392</v>
      </c>
      <c r="W246" s="27" t="s">
        <v>976</v>
      </c>
      <c r="X246" s="27" t="s">
        <v>559</v>
      </c>
      <c r="Y246" s="27" t="s">
        <v>778</v>
      </c>
      <c r="Z246" s="28">
        <v>46197.331706412035</v>
      </c>
      <c r="AA246" s="27" t="s">
        <v>2604</v>
      </c>
      <c r="AB246" s="27"/>
      <c r="AC246" s="27" t="s">
        <v>2491</v>
      </c>
      <c r="AD246" s="28"/>
      <c r="AE246" s="27"/>
      <c r="AF246" s="27"/>
      <c r="AG246" s="27" t="s">
        <v>108</v>
      </c>
      <c r="AH246" s="28"/>
      <c r="AI246" s="27"/>
      <c r="AJ246" s="27" t="s">
        <v>2598</v>
      </c>
      <c r="AK246" s="27" t="s">
        <v>2605</v>
      </c>
      <c r="AL246" s="27" t="s">
        <v>107</v>
      </c>
      <c r="AM246" s="27"/>
      <c r="AN246" s="27" t="s">
        <v>665</v>
      </c>
      <c r="AO246" s="27">
        <v>0</v>
      </c>
    </row>
    <row r="247" spans="1:41" hidden="1">
      <c r="A247" s="27" t="s">
        <v>2606</v>
      </c>
      <c r="B247" s="27" t="s">
        <v>156</v>
      </c>
      <c r="C247" s="27" t="s">
        <v>850</v>
      </c>
      <c r="D247" s="27" t="s">
        <v>548</v>
      </c>
      <c r="E247" s="27" t="s">
        <v>67</v>
      </c>
      <c r="F247" s="28">
        <v>46196.123875625002</v>
      </c>
      <c r="G247" s="28">
        <v>46251.319821168981</v>
      </c>
      <c r="H247" s="28">
        <v>46196.123875625002</v>
      </c>
      <c r="I247" s="27" t="s">
        <v>118</v>
      </c>
      <c r="J247" s="27" t="s">
        <v>157</v>
      </c>
      <c r="K247" s="27" t="s">
        <v>566</v>
      </c>
      <c r="L247" s="27"/>
      <c r="M247" s="27" t="s">
        <v>778</v>
      </c>
      <c r="N247" s="27"/>
      <c r="O247" s="27"/>
      <c r="P247" s="27" t="s">
        <v>976</v>
      </c>
      <c r="Q247" s="27" t="s">
        <v>556</v>
      </c>
      <c r="R247" s="27" t="s">
        <v>659</v>
      </c>
      <c r="S247" s="27"/>
      <c r="T247" s="27" t="s">
        <v>559</v>
      </c>
      <c r="U247" s="27" t="s">
        <v>850</v>
      </c>
      <c r="V247" s="28">
        <v>46196.124117418978</v>
      </c>
      <c r="W247" s="27" t="s">
        <v>976</v>
      </c>
      <c r="X247" s="27" t="s">
        <v>559</v>
      </c>
      <c r="Y247" s="27" t="s">
        <v>778</v>
      </c>
      <c r="Z247" s="28">
        <v>46197.331437824076</v>
      </c>
      <c r="AA247" s="27" t="s">
        <v>2604</v>
      </c>
      <c r="AB247" s="27" t="s">
        <v>559</v>
      </c>
      <c r="AC247" s="27" t="s">
        <v>162</v>
      </c>
      <c r="AD247" s="28">
        <v>46251.319821180557</v>
      </c>
      <c r="AE247" s="27" t="s">
        <v>631</v>
      </c>
      <c r="AF247" s="27"/>
      <c r="AG247" s="27" t="s">
        <v>158</v>
      </c>
      <c r="AH247" s="28"/>
      <c r="AI247" s="27"/>
      <c r="AJ247" s="27" t="s">
        <v>2607</v>
      </c>
      <c r="AK247" s="27" t="s">
        <v>2608</v>
      </c>
      <c r="AL247" s="27" t="s">
        <v>107</v>
      </c>
      <c r="AM247" s="27" t="s">
        <v>2609</v>
      </c>
      <c r="AN247" s="27" t="s">
        <v>665</v>
      </c>
      <c r="AO247" s="27">
        <v>0</v>
      </c>
    </row>
    <row r="248" spans="1:41" hidden="1">
      <c r="A248" s="27" t="s">
        <v>2610</v>
      </c>
      <c r="B248" s="27" t="s">
        <v>117</v>
      </c>
      <c r="C248" s="27" t="s">
        <v>850</v>
      </c>
      <c r="D248" s="27" t="s">
        <v>548</v>
      </c>
      <c r="E248" s="27" t="s">
        <v>70</v>
      </c>
      <c r="F248" s="28">
        <v>46196.124654421299</v>
      </c>
      <c r="G248" s="28">
        <v>46209.311697974539</v>
      </c>
      <c r="H248" s="28">
        <v>46196.124654421299</v>
      </c>
      <c r="I248" s="27" t="s">
        <v>118</v>
      </c>
      <c r="J248" s="27" t="s">
        <v>119</v>
      </c>
      <c r="K248" s="27" t="s">
        <v>566</v>
      </c>
      <c r="L248" s="27"/>
      <c r="M248" s="27" t="s">
        <v>778</v>
      </c>
      <c r="N248" s="27"/>
      <c r="O248" s="27"/>
      <c r="P248" s="27" t="s">
        <v>976</v>
      </c>
      <c r="Q248" s="27" t="s">
        <v>556</v>
      </c>
      <c r="R248" s="27" t="s">
        <v>659</v>
      </c>
      <c r="S248" s="27"/>
      <c r="T248" s="27" t="s">
        <v>559</v>
      </c>
      <c r="U248" s="27" t="s">
        <v>850</v>
      </c>
      <c r="V248" s="28">
        <v>46196.124792071758</v>
      </c>
      <c r="W248" s="27" t="s">
        <v>976</v>
      </c>
      <c r="X248" s="27" t="s">
        <v>559</v>
      </c>
      <c r="Y248" s="27" t="s">
        <v>778</v>
      </c>
      <c r="Z248" s="28">
        <v>46197.331057060183</v>
      </c>
      <c r="AA248" s="27" t="s">
        <v>2604</v>
      </c>
      <c r="AB248" s="27"/>
      <c r="AC248" s="27" t="s">
        <v>2491</v>
      </c>
      <c r="AD248" s="28"/>
      <c r="AE248" s="27"/>
      <c r="AF248" s="27"/>
      <c r="AG248" s="27" t="s">
        <v>108</v>
      </c>
      <c r="AH248" s="28"/>
      <c r="AI248" s="27"/>
      <c r="AJ248" s="27" t="s">
        <v>2607</v>
      </c>
      <c r="AK248" s="27" t="s">
        <v>2611</v>
      </c>
      <c r="AL248" s="27" t="s">
        <v>107</v>
      </c>
      <c r="AM248" s="27"/>
      <c r="AN248" s="27" t="s">
        <v>687</v>
      </c>
      <c r="AO248" s="27">
        <v>0</v>
      </c>
    </row>
    <row r="249" spans="1:41" hidden="1">
      <c r="A249" s="27" t="s">
        <v>2612</v>
      </c>
      <c r="B249" s="27" t="s">
        <v>2613</v>
      </c>
      <c r="C249" s="27" t="s">
        <v>850</v>
      </c>
      <c r="D249" s="27" t="s">
        <v>548</v>
      </c>
      <c r="E249" s="27" t="s">
        <v>578</v>
      </c>
      <c r="F249" s="28">
        <v>46196.125475011577</v>
      </c>
      <c r="G249" s="28">
        <v>46196.125655949072</v>
      </c>
      <c r="H249" s="28">
        <v>46196.125475011577</v>
      </c>
      <c r="I249" s="27" t="s">
        <v>118</v>
      </c>
      <c r="J249" s="27" t="s">
        <v>119</v>
      </c>
      <c r="K249" s="27" t="s">
        <v>566</v>
      </c>
      <c r="L249" s="27"/>
      <c r="M249" s="27" t="s">
        <v>778</v>
      </c>
      <c r="N249" s="27"/>
      <c r="O249" s="27"/>
      <c r="P249" s="27" t="s">
        <v>976</v>
      </c>
      <c r="Q249" s="27" t="s">
        <v>556</v>
      </c>
      <c r="R249" s="27" t="s">
        <v>659</v>
      </c>
      <c r="S249" s="27"/>
      <c r="T249" s="27" t="s">
        <v>549</v>
      </c>
      <c r="U249" s="27" t="s">
        <v>850</v>
      </c>
      <c r="V249" s="28">
        <v>46196.125655960648</v>
      </c>
      <c r="W249" s="27"/>
      <c r="X249" s="27"/>
      <c r="Y249" s="27" t="s">
        <v>778</v>
      </c>
      <c r="Z249" s="28"/>
      <c r="AA249" s="27"/>
      <c r="AB249" s="27"/>
      <c r="AC249" s="27" t="s">
        <v>573</v>
      </c>
      <c r="AD249" s="28"/>
      <c r="AE249" s="27"/>
      <c r="AF249" s="27"/>
      <c r="AG249" s="27" t="s">
        <v>108</v>
      </c>
      <c r="AH249" s="28"/>
      <c r="AI249" s="27"/>
      <c r="AJ249" s="27" t="s">
        <v>2607</v>
      </c>
      <c r="AK249" s="27" t="s">
        <v>2611</v>
      </c>
      <c r="AL249" s="27"/>
      <c r="AM249" s="27"/>
      <c r="AN249" s="27" t="s">
        <v>687</v>
      </c>
      <c r="AO249" s="27">
        <v>0</v>
      </c>
    </row>
    <row r="250" spans="1:41" hidden="1">
      <c r="A250" s="27" t="s">
        <v>2614</v>
      </c>
      <c r="B250" s="27" t="s">
        <v>103</v>
      </c>
      <c r="C250" s="27" t="s">
        <v>850</v>
      </c>
      <c r="D250" s="27" t="s">
        <v>548</v>
      </c>
      <c r="E250" s="27" t="s">
        <v>70</v>
      </c>
      <c r="F250" s="28">
        <v>46196.129831284721</v>
      </c>
      <c r="G250" s="28">
        <v>46237.316267048613</v>
      </c>
      <c r="H250" s="28">
        <v>46196.129831284721</v>
      </c>
      <c r="I250" s="27" t="s">
        <v>105</v>
      </c>
      <c r="J250" s="27" t="s">
        <v>106</v>
      </c>
      <c r="K250" s="27" t="s">
        <v>566</v>
      </c>
      <c r="L250" s="27"/>
      <c r="M250" s="27" t="s">
        <v>778</v>
      </c>
      <c r="N250" s="27"/>
      <c r="O250" s="27"/>
      <c r="P250" s="27" t="s">
        <v>2615</v>
      </c>
      <c r="Q250" s="27" t="s">
        <v>556</v>
      </c>
      <c r="R250" s="27" t="s">
        <v>659</v>
      </c>
      <c r="S250" s="27"/>
      <c r="T250" s="27" t="s">
        <v>559</v>
      </c>
      <c r="U250" s="27" t="s">
        <v>850</v>
      </c>
      <c r="V250" s="28">
        <v>46196.130953078704</v>
      </c>
      <c r="W250" s="27" t="s">
        <v>976</v>
      </c>
      <c r="X250" s="27" t="s">
        <v>559</v>
      </c>
      <c r="Y250" s="27" t="s">
        <v>778</v>
      </c>
      <c r="Z250" s="28">
        <v>46197.330761469908</v>
      </c>
      <c r="AA250" s="27" t="s">
        <v>2604</v>
      </c>
      <c r="AB250" s="27"/>
      <c r="AC250" s="27" t="s">
        <v>2491</v>
      </c>
      <c r="AD250" s="28"/>
      <c r="AE250" s="27"/>
      <c r="AF250" s="27"/>
      <c r="AG250" s="27" t="s">
        <v>108</v>
      </c>
      <c r="AH250" s="28"/>
      <c r="AI250" s="27"/>
      <c r="AJ250" s="27" t="s">
        <v>2598</v>
      </c>
      <c r="AK250" s="27" t="s">
        <v>2599</v>
      </c>
      <c r="AL250" s="27" t="s">
        <v>107</v>
      </c>
      <c r="AM250" s="27"/>
      <c r="AN250" s="27" t="s">
        <v>665</v>
      </c>
      <c r="AO250" s="27">
        <v>0</v>
      </c>
    </row>
    <row r="251" spans="1:41" hidden="1">
      <c r="A251" s="27" t="s">
        <v>2616</v>
      </c>
      <c r="B251" s="27" t="s">
        <v>2617</v>
      </c>
      <c r="C251" s="27" t="s">
        <v>2618</v>
      </c>
      <c r="D251" s="27" t="s">
        <v>548</v>
      </c>
      <c r="E251" s="27" t="s">
        <v>578</v>
      </c>
      <c r="F251" s="28">
        <v>46198.254584317132</v>
      </c>
      <c r="G251" s="28">
        <v>46198.254902372682</v>
      </c>
      <c r="H251" s="28">
        <v>46198.254584317132</v>
      </c>
      <c r="I251" s="27" t="s">
        <v>2619</v>
      </c>
      <c r="J251" s="27" t="s">
        <v>2620</v>
      </c>
      <c r="K251" s="27" t="s">
        <v>566</v>
      </c>
      <c r="L251" s="27"/>
      <c r="M251" s="27" t="s">
        <v>2618</v>
      </c>
      <c r="N251" s="27" t="s">
        <v>2621</v>
      </c>
      <c r="O251" s="27" t="s">
        <v>2622</v>
      </c>
      <c r="P251" s="27" t="s">
        <v>2623</v>
      </c>
      <c r="Q251" s="27" t="s">
        <v>556</v>
      </c>
      <c r="R251" s="27" t="s">
        <v>583</v>
      </c>
      <c r="S251" s="27"/>
      <c r="T251" s="27" t="s">
        <v>549</v>
      </c>
      <c r="U251" s="27" t="s">
        <v>2618</v>
      </c>
      <c r="V251" s="28">
        <v>46198.254902384258</v>
      </c>
      <c r="W251" s="27"/>
      <c r="X251" s="27"/>
      <c r="Y251" s="27" t="s">
        <v>2618</v>
      </c>
      <c r="Z251" s="28"/>
      <c r="AA251" s="27"/>
      <c r="AB251" s="27"/>
      <c r="AC251" s="27" t="s">
        <v>573</v>
      </c>
      <c r="AD251" s="28"/>
      <c r="AE251" s="27"/>
      <c r="AF251" s="27"/>
      <c r="AG251" s="27" t="s">
        <v>108</v>
      </c>
      <c r="AH251" s="28"/>
      <c r="AI251" s="27"/>
      <c r="AJ251" s="27" t="s">
        <v>2624</v>
      </c>
      <c r="AK251" s="27" t="s">
        <v>2625</v>
      </c>
      <c r="AL251" s="27"/>
      <c r="AM251" s="27"/>
      <c r="AN251" s="27" t="s">
        <v>710</v>
      </c>
      <c r="AO251" s="27">
        <v>0</v>
      </c>
    </row>
    <row r="252" spans="1:41" hidden="1">
      <c r="A252" s="27" t="s">
        <v>2626</v>
      </c>
      <c r="B252" s="27" t="s">
        <v>172</v>
      </c>
      <c r="C252" s="27" t="s">
        <v>2532</v>
      </c>
      <c r="D252" s="27" t="s">
        <v>548</v>
      </c>
      <c r="E252" s="27" t="s">
        <v>67</v>
      </c>
      <c r="F252" s="28">
        <v>46199.353989178242</v>
      </c>
      <c r="G252" s="28">
        <v>46247.11604627315</v>
      </c>
      <c r="H252" s="28">
        <v>46199.353989178242</v>
      </c>
      <c r="I252" s="27" t="s">
        <v>173</v>
      </c>
      <c r="J252" s="27" t="s">
        <v>174</v>
      </c>
      <c r="K252" s="27" t="s">
        <v>566</v>
      </c>
      <c r="L252" s="27"/>
      <c r="M252" s="27" t="s">
        <v>2539</v>
      </c>
      <c r="N252" s="27"/>
      <c r="O252" s="27" t="s">
        <v>2540</v>
      </c>
      <c r="P252" s="27" t="s">
        <v>2627</v>
      </c>
      <c r="Q252" s="27" t="s">
        <v>623</v>
      </c>
      <c r="R252" s="27" t="s">
        <v>583</v>
      </c>
      <c r="S252" s="27"/>
      <c r="T252" s="27" t="s">
        <v>559</v>
      </c>
      <c r="U252" s="27" t="s">
        <v>2532</v>
      </c>
      <c r="V252" s="28">
        <v>46199.359077094909</v>
      </c>
      <c r="W252" s="27" t="s">
        <v>2628</v>
      </c>
      <c r="X252" s="27" t="s">
        <v>559</v>
      </c>
      <c r="Y252" s="27" t="s">
        <v>2543</v>
      </c>
      <c r="Z252" s="28">
        <v>46204.411775219909</v>
      </c>
      <c r="AA252" s="27" t="s">
        <v>2629</v>
      </c>
      <c r="AB252" s="27" t="s">
        <v>559</v>
      </c>
      <c r="AC252" s="27" t="s">
        <v>162</v>
      </c>
      <c r="AD252" s="28">
        <v>46247.116046284726</v>
      </c>
      <c r="AE252" s="27" t="s">
        <v>2597</v>
      </c>
      <c r="AF252" s="27"/>
      <c r="AG252" s="27" t="s">
        <v>168</v>
      </c>
      <c r="AH252" s="28"/>
      <c r="AI252" s="27"/>
      <c r="AJ252" s="27" t="s">
        <v>2535</v>
      </c>
      <c r="AK252" s="27">
        <v>1931</v>
      </c>
      <c r="AL252" s="27" t="s">
        <v>116</v>
      </c>
      <c r="AM252" s="27" t="s">
        <v>2630</v>
      </c>
      <c r="AN252" s="27" t="s">
        <v>665</v>
      </c>
      <c r="AO252" s="27">
        <v>0</v>
      </c>
    </row>
    <row r="253" spans="1:41" hidden="1">
      <c r="A253" s="27" t="s">
        <v>2631</v>
      </c>
      <c r="B253" s="27" t="s">
        <v>2632</v>
      </c>
      <c r="C253" s="27" t="s">
        <v>2633</v>
      </c>
      <c r="D253" s="27" t="s">
        <v>548</v>
      </c>
      <c r="E253" s="27" t="s">
        <v>578</v>
      </c>
      <c r="F253" s="28">
        <v>46203.389144131943</v>
      </c>
      <c r="G253" s="28">
        <v>46203.390771412036</v>
      </c>
      <c r="H253" s="28">
        <v>46203.389144131943</v>
      </c>
      <c r="I253" s="27" t="s">
        <v>224</v>
      </c>
      <c r="J253" s="27" t="s">
        <v>224</v>
      </c>
      <c r="K253" s="27" t="s">
        <v>566</v>
      </c>
      <c r="L253" s="27"/>
      <c r="M253" s="27" t="s">
        <v>2634</v>
      </c>
      <c r="N253" s="27"/>
      <c r="O253" s="27"/>
      <c r="P253" s="27" t="s">
        <v>2635</v>
      </c>
      <c r="Q253" s="27" t="s">
        <v>623</v>
      </c>
      <c r="R253" s="27" t="s">
        <v>583</v>
      </c>
      <c r="S253" s="27"/>
      <c r="T253" s="27" t="s">
        <v>549</v>
      </c>
      <c r="U253" s="27" t="s">
        <v>2633</v>
      </c>
      <c r="V253" s="28">
        <v>46203.390771423612</v>
      </c>
      <c r="W253" s="27"/>
      <c r="X253" s="27"/>
      <c r="Y253" s="27" t="s">
        <v>2634</v>
      </c>
      <c r="Z253" s="28"/>
      <c r="AA253" s="27"/>
      <c r="AB253" s="27"/>
      <c r="AC253" s="27" t="s">
        <v>573</v>
      </c>
      <c r="AD253" s="28"/>
      <c r="AE253" s="27"/>
      <c r="AF253" s="27"/>
      <c r="AG253" s="27" t="s">
        <v>108</v>
      </c>
      <c r="AH253" s="28"/>
      <c r="AI253" s="27"/>
      <c r="AJ253" s="27" t="s">
        <v>2636</v>
      </c>
      <c r="AK253" s="27" t="s">
        <v>2637</v>
      </c>
      <c r="AL253" s="27"/>
      <c r="AM253" s="27"/>
      <c r="AN253" s="27" t="s">
        <v>687</v>
      </c>
      <c r="AO253" s="27">
        <v>0</v>
      </c>
    </row>
    <row r="254" spans="1:41">
      <c r="A254" s="27" t="s">
        <v>2638</v>
      </c>
      <c r="B254" s="27" t="s">
        <v>223</v>
      </c>
      <c r="C254" s="27" t="s">
        <v>2633</v>
      </c>
      <c r="D254" s="27" t="s">
        <v>548</v>
      </c>
      <c r="E254" s="27" t="s">
        <v>67</v>
      </c>
      <c r="F254" s="28">
        <v>46203.391762627318</v>
      </c>
      <c r="G254" s="28">
        <v>46230.081224374997</v>
      </c>
      <c r="H254" s="28">
        <v>46203.391762627318</v>
      </c>
      <c r="I254" s="27" t="s">
        <v>224</v>
      </c>
      <c r="J254" s="27" t="s">
        <v>225</v>
      </c>
      <c r="K254" s="27" t="s">
        <v>566</v>
      </c>
      <c r="L254" s="27"/>
      <c r="M254" s="27" t="s">
        <v>2634</v>
      </c>
      <c r="N254" s="27"/>
      <c r="O254" s="27"/>
      <c r="P254" s="27" t="s">
        <v>965</v>
      </c>
      <c r="Q254" s="27" t="s">
        <v>623</v>
      </c>
      <c r="R254" s="27" t="s">
        <v>583</v>
      </c>
      <c r="S254" s="27"/>
      <c r="T254" s="27" t="s">
        <v>559</v>
      </c>
      <c r="U254" s="27" t="s">
        <v>2633</v>
      </c>
      <c r="V254" s="28">
        <v>46203.39276829861</v>
      </c>
      <c r="W254" s="27" t="s">
        <v>2639</v>
      </c>
      <c r="X254" s="27" t="s">
        <v>559</v>
      </c>
      <c r="Y254" s="27" t="s">
        <v>2634</v>
      </c>
      <c r="Z254" s="28">
        <v>46225.077777060185</v>
      </c>
      <c r="AA254" s="27" t="s">
        <v>2640</v>
      </c>
      <c r="AB254" s="27" t="s">
        <v>559</v>
      </c>
      <c r="AC254" s="27" t="s">
        <v>162</v>
      </c>
      <c r="AD254" s="28">
        <v>46230.081224386573</v>
      </c>
      <c r="AE254" s="27" t="s">
        <v>2597</v>
      </c>
      <c r="AF254" s="27"/>
      <c r="AG254" s="27" t="s">
        <v>126</v>
      </c>
      <c r="AH254" s="28"/>
      <c r="AI254" s="27"/>
      <c r="AJ254" s="27" t="s">
        <v>2636</v>
      </c>
      <c r="AK254" s="27" t="s">
        <v>2641</v>
      </c>
      <c r="AL254" s="27" t="s">
        <v>116</v>
      </c>
      <c r="AM254" s="27" t="s">
        <v>2642</v>
      </c>
      <c r="AN254" s="27" t="s">
        <v>687</v>
      </c>
      <c r="AO254" s="27">
        <v>0</v>
      </c>
    </row>
    <row r="255" spans="1:41" hidden="1">
      <c r="A255" s="27" t="s">
        <v>2643</v>
      </c>
      <c r="B255" s="27" t="s">
        <v>2644</v>
      </c>
      <c r="C255" s="27" t="s">
        <v>1672</v>
      </c>
      <c r="D255" s="27" t="s">
        <v>548</v>
      </c>
      <c r="E255" s="27" t="s">
        <v>578</v>
      </c>
      <c r="F255" s="28">
        <v>46204.137329537036</v>
      </c>
      <c r="G255" s="28">
        <v>46230.19834771991</v>
      </c>
      <c r="H255" s="28">
        <v>46204.137329537036</v>
      </c>
      <c r="I255" s="27" t="s">
        <v>261</v>
      </c>
      <c r="J255" s="27" t="s">
        <v>2645</v>
      </c>
      <c r="K255" s="27" t="s">
        <v>566</v>
      </c>
      <c r="L255" s="27"/>
      <c r="M255" s="27" t="s">
        <v>1454</v>
      </c>
      <c r="N255" s="27"/>
      <c r="O255" s="27"/>
      <c r="P255" s="27" t="s">
        <v>2646</v>
      </c>
      <c r="Q255" s="27" t="s">
        <v>556</v>
      </c>
      <c r="R255" s="27" t="s">
        <v>659</v>
      </c>
      <c r="S255" s="27"/>
      <c r="T255" s="27" t="s">
        <v>549</v>
      </c>
      <c r="U255" s="27" t="s">
        <v>1672</v>
      </c>
      <c r="V255" s="28">
        <v>46230.19834771991</v>
      </c>
      <c r="W255" s="27"/>
      <c r="X255" s="27"/>
      <c r="Y255" s="27" t="s">
        <v>778</v>
      </c>
      <c r="Z255" s="28"/>
      <c r="AA255" s="27"/>
      <c r="AB255" s="27"/>
      <c r="AC255" s="27" t="s">
        <v>573</v>
      </c>
      <c r="AD255" s="28"/>
      <c r="AE255" s="27"/>
      <c r="AF255" s="27"/>
      <c r="AG255" s="27" t="s">
        <v>108</v>
      </c>
      <c r="AH255" s="28"/>
      <c r="AI255" s="27"/>
      <c r="AJ255" s="27" t="s">
        <v>1767</v>
      </c>
      <c r="AK255" s="27">
        <v>1247</v>
      </c>
      <c r="AL255" s="27"/>
      <c r="AM255" s="27"/>
      <c r="AN255" s="27" t="s">
        <v>665</v>
      </c>
      <c r="AO255" s="27">
        <v>0</v>
      </c>
    </row>
    <row r="256" spans="1:41" hidden="1">
      <c r="A256" s="27" t="s">
        <v>2647</v>
      </c>
      <c r="B256" s="27" t="s">
        <v>2648</v>
      </c>
      <c r="C256" s="27" t="s">
        <v>1672</v>
      </c>
      <c r="D256" s="27" t="s">
        <v>548</v>
      </c>
      <c r="E256" s="27" t="s">
        <v>578</v>
      </c>
      <c r="F256" s="28">
        <v>46204.144087986111</v>
      </c>
      <c r="G256" s="28">
        <v>46204.14461372685</v>
      </c>
      <c r="H256" s="28">
        <v>46204.144087986111</v>
      </c>
      <c r="I256" s="27" t="s">
        <v>261</v>
      </c>
      <c r="J256" s="27" t="s">
        <v>2649</v>
      </c>
      <c r="K256" s="27" t="s">
        <v>566</v>
      </c>
      <c r="L256" s="27"/>
      <c r="M256" s="27" t="s">
        <v>1454</v>
      </c>
      <c r="N256" s="27"/>
      <c r="O256" s="27"/>
      <c r="P256" s="27" t="s">
        <v>2646</v>
      </c>
      <c r="Q256" s="27" t="s">
        <v>556</v>
      </c>
      <c r="R256" s="27" t="s">
        <v>659</v>
      </c>
      <c r="S256" s="27"/>
      <c r="T256" s="27" t="s">
        <v>549</v>
      </c>
      <c r="U256" s="27" t="s">
        <v>1672</v>
      </c>
      <c r="V256" s="28">
        <v>46204.14461372685</v>
      </c>
      <c r="W256" s="27"/>
      <c r="X256" s="27"/>
      <c r="Y256" s="27" t="s">
        <v>778</v>
      </c>
      <c r="Z256" s="28"/>
      <c r="AA256" s="27"/>
      <c r="AB256" s="27"/>
      <c r="AC256" s="27" t="s">
        <v>573</v>
      </c>
      <c r="AD256" s="28"/>
      <c r="AE256" s="27"/>
      <c r="AF256" s="27"/>
      <c r="AG256" s="27" t="s">
        <v>108</v>
      </c>
      <c r="AH256" s="28"/>
      <c r="AI256" s="27"/>
      <c r="AJ256" s="27" t="s">
        <v>1767</v>
      </c>
      <c r="AK256" s="27">
        <v>1818</v>
      </c>
      <c r="AL256" s="27"/>
      <c r="AM256" s="27"/>
      <c r="AN256" s="27" t="s">
        <v>665</v>
      </c>
      <c r="AO256" s="27">
        <v>0</v>
      </c>
    </row>
    <row r="257" spans="1:41" hidden="1">
      <c r="A257" s="27" t="s">
        <v>2650</v>
      </c>
      <c r="B257" s="27" t="s">
        <v>2651</v>
      </c>
      <c r="C257" s="27" t="s">
        <v>1672</v>
      </c>
      <c r="D257" s="27" t="s">
        <v>548</v>
      </c>
      <c r="E257" s="27" t="s">
        <v>549</v>
      </c>
      <c r="F257" s="28">
        <v>46204.14566396991</v>
      </c>
      <c r="G257" s="28">
        <v>46220.043584884261</v>
      </c>
      <c r="H257" s="28">
        <v>46204.14566396991</v>
      </c>
      <c r="I257" s="27" t="s">
        <v>261</v>
      </c>
      <c r="J257" s="27" t="s">
        <v>1761</v>
      </c>
      <c r="K257" s="27" t="s">
        <v>566</v>
      </c>
      <c r="L257" s="27"/>
      <c r="M257" s="27" t="s">
        <v>1454</v>
      </c>
      <c r="N257" s="27"/>
      <c r="O257" s="27"/>
      <c r="P257" s="27" t="s">
        <v>2646</v>
      </c>
      <c r="Q257" s="27" t="s">
        <v>556</v>
      </c>
      <c r="R257" s="27" t="s">
        <v>659</v>
      </c>
      <c r="S257" s="27"/>
      <c r="T257" s="27" t="s">
        <v>549</v>
      </c>
      <c r="U257" s="27" t="s">
        <v>1672</v>
      </c>
      <c r="V257" s="28">
        <v>46220.042422222221</v>
      </c>
      <c r="W257" s="27"/>
      <c r="X257" s="27" t="s">
        <v>549</v>
      </c>
      <c r="Y257" s="27" t="s">
        <v>1672</v>
      </c>
      <c r="Z257" s="28">
        <v>46220.043584884261</v>
      </c>
      <c r="AA257" s="27"/>
      <c r="AB257" s="27"/>
      <c r="AC257" s="27" t="s">
        <v>573</v>
      </c>
      <c r="AD257" s="28"/>
      <c r="AE257" s="27"/>
      <c r="AF257" s="27"/>
      <c r="AG257" s="27" t="s">
        <v>108</v>
      </c>
      <c r="AH257" s="28"/>
      <c r="AI257" s="27"/>
      <c r="AJ257" s="27" t="s">
        <v>1767</v>
      </c>
      <c r="AK257" s="27">
        <v>4640</v>
      </c>
      <c r="AL257" s="27"/>
      <c r="AM257" s="27"/>
      <c r="AN257" s="27" t="s">
        <v>665</v>
      </c>
      <c r="AO257" s="27">
        <v>0</v>
      </c>
    </row>
    <row r="258" spans="1:41" hidden="1">
      <c r="A258" s="27" t="s">
        <v>2652</v>
      </c>
      <c r="B258" s="27" t="s">
        <v>2653</v>
      </c>
      <c r="C258" s="27" t="s">
        <v>1672</v>
      </c>
      <c r="D258" s="27" t="s">
        <v>548</v>
      </c>
      <c r="E258" s="27" t="s">
        <v>578</v>
      </c>
      <c r="F258" s="28">
        <v>46204.145815405092</v>
      </c>
      <c r="G258" s="28">
        <v>46220.042647152775</v>
      </c>
      <c r="H258" s="28">
        <v>46204.145815405092</v>
      </c>
      <c r="I258" s="27" t="s">
        <v>261</v>
      </c>
      <c r="J258" s="27" t="s">
        <v>262</v>
      </c>
      <c r="K258" s="27" t="s">
        <v>566</v>
      </c>
      <c r="L258" s="27"/>
      <c r="M258" s="27" t="s">
        <v>1454</v>
      </c>
      <c r="N258" s="27"/>
      <c r="O258" s="27"/>
      <c r="P258" s="27" t="s">
        <v>2646</v>
      </c>
      <c r="Q258" s="27" t="s">
        <v>556</v>
      </c>
      <c r="R258" s="27" t="s">
        <v>659</v>
      </c>
      <c r="S258" s="27"/>
      <c r="T258" s="27" t="s">
        <v>549</v>
      </c>
      <c r="U258" s="27" t="s">
        <v>1672</v>
      </c>
      <c r="V258" s="28">
        <v>46220.042647152775</v>
      </c>
      <c r="W258" s="27"/>
      <c r="X258" s="27"/>
      <c r="Y258" s="27" t="s">
        <v>778</v>
      </c>
      <c r="Z258" s="28"/>
      <c r="AA258" s="27"/>
      <c r="AB258" s="27"/>
      <c r="AC258" s="27" t="s">
        <v>573</v>
      </c>
      <c r="AD258" s="28"/>
      <c r="AE258" s="27"/>
      <c r="AF258" s="27"/>
      <c r="AG258" s="27" t="s">
        <v>108</v>
      </c>
      <c r="AH258" s="28"/>
      <c r="AI258" s="27"/>
      <c r="AJ258" s="27" t="s">
        <v>1767</v>
      </c>
      <c r="AK258" s="27" t="s">
        <v>2654</v>
      </c>
      <c r="AL258" s="27"/>
      <c r="AM258" s="27"/>
      <c r="AN258" s="27" t="s">
        <v>665</v>
      </c>
      <c r="AO258" s="27">
        <v>0</v>
      </c>
    </row>
    <row r="259" spans="1:41" hidden="1">
      <c r="A259" s="27" t="s">
        <v>2655</v>
      </c>
      <c r="B259" s="27" t="s">
        <v>2656</v>
      </c>
      <c r="C259" s="27" t="s">
        <v>1672</v>
      </c>
      <c r="D259" s="27" t="s">
        <v>548</v>
      </c>
      <c r="E259" s="27" t="s">
        <v>549</v>
      </c>
      <c r="F259" s="28">
        <v>46204.150373194447</v>
      </c>
      <c r="G259" s="28">
        <v>46220.045118888891</v>
      </c>
      <c r="H259" s="28">
        <v>46204.150373194447</v>
      </c>
      <c r="I259" s="27" t="s">
        <v>261</v>
      </c>
      <c r="J259" s="27" t="s">
        <v>1761</v>
      </c>
      <c r="K259" s="27" t="s">
        <v>566</v>
      </c>
      <c r="L259" s="27"/>
      <c r="M259" s="27" t="s">
        <v>1454</v>
      </c>
      <c r="N259" s="27"/>
      <c r="O259" s="27"/>
      <c r="P259" s="27" t="s">
        <v>2646</v>
      </c>
      <c r="Q259" s="27" t="s">
        <v>556</v>
      </c>
      <c r="R259" s="27" t="s">
        <v>659</v>
      </c>
      <c r="S259" s="27"/>
      <c r="T259" s="27" t="s">
        <v>549</v>
      </c>
      <c r="U259" s="27" t="s">
        <v>1672</v>
      </c>
      <c r="V259" s="28">
        <v>46220.043997465276</v>
      </c>
      <c r="W259" s="27"/>
      <c r="X259" s="27" t="s">
        <v>549</v>
      </c>
      <c r="Y259" s="27" t="s">
        <v>1672</v>
      </c>
      <c r="Z259" s="28">
        <v>46220.044332893522</v>
      </c>
      <c r="AA259" s="27"/>
      <c r="AB259" s="27" t="s">
        <v>549</v>
      </c>
      <c r="AC259" s="27" t="s">
        <v>1672</v>
      </c>
      <c r="AD259" s="28">
        <v>46220.044739467594</v>
      </c>
      <c r="AE259" s="27"/>
      <c r="AF259" s="27" t="s">
        <v>549</v>
      </c>
      <c r="AG259" s="27" t="s">
        <v>1672</v>
      </c>
      <c r="AH259" s="28">
        <v>46220.04511890046</v>
      </c>
      <c r="AI259" s="27"/>
      <c r="AJ259" s="27" t="s">
        <v>1767</v>
      </c>
      <c r="AK259" s="27">
        <v>4640</v>
      </c>
      <c r="AL259" s="27"/>
      <c r="AM259" s="27"/>
      <c r="AN259" s="27" t="s">
        <v>665</v>
      </c>
      <c r="AO259" s="27">
        <v>0</v>
      </c>
    </row>
    <row r="260" spans="1:41" hidden="1">
      <c r="A260" s="27" t="s">
        <v>2657</v>
      </c>
      <c r="B260" s="27" t="s">
        <v>2658</v>
      </c>
      <c r="C260" s="27" t="s">
        <v>1672</v>
      </c>
      <c r="D260" s="27" t="s">
        <v>548</v>
      </c>
      <c r="E260" s="27" t="s">
        <v>549</v>
      </c>
      <c r="F260" s="28">
        <v>46204.150386990739</v>
      </c>
      <c r="G260" s="28">
        <v>46220.043340960648</v>
      </c>
      <c r="H260" s="28">
        <v>46204.150386990739</v>
      </c>
      <c r="I260" s="27" t="s">
        <v>261</v>
      </c>
      <c r="J260" s="27" t="s">
        <v>262</v>
      </c>
      <c r="K260" s="27" t="s">
        <v>566</v>
      </c>
      <c r="L260" s="27"/>
      <c r="M260" s="27" t="s">
        <v>1454</v>
      </c>
      <c r="N260" s="27"/>
      <c r="O260" s="27"/>
      <c r="P260" s="27" t="s">
        <v>2646</v>
      </c>
      <c r="Q260" s="27" t="s">
        <v>556</v>
      </c>
      <c r="R260" s="27" t="s">
        <v>659</v>
      </c>
      <c r="S260" s="27"/>
      <c r="T260" s="27" t="s">
        <v>549</v>
      </c>
      <c r="U260" s="27" t="s">
        <v>1672</v>
      </c>
      <c r="V260" s="28">
        <v>46220.042039837965</v>
      </c>
      <c r="W260" s="27"/>
      <c r="X260" s="27" t="s">
        <v>549</v>
      </c>
      <c r="Y260" s="27" t="s">
        <v>1672</v>
      </c>
      <c r="Z260" s="28">
        <v>46220.043340960648</v>
      </c>
      <c r="AA260" s="27"/>
      <c r="AB260" s="27"/>
      <c r="AC260" s="27" t="s">
        <v>573</v>
      </c>
      <c r="AD260" s="28"/>
      <c r="AE260" s="27"/>
      <c r="AF260" s="27"/>
      <c r="AG260" s="27" t="s">
        <v>108</v>
      </c>
      <c r="AH260" s="28"/>
      <c r="AI260" s="27"/>
      <c r="AJ260" s="27" t="s">
        <v>1767</v>
      </c>
      <c r="AK260" s="27" t="s">
        <v>2654</v>
      </c>
      <c r="AL260" s="27"/>
      <c r="AM260" s="27"/>
      <c r="AN260" s="27" t="s">
        <v>665</v>
      </c>
      <c r="AO260" s="27">
        <v>0</v>
      </c>
    </row>
    <row r="261" spans="1:41" hidden="1">
      <c r="A261" s="27" t="s">
        <v>2659</v>
      </c>
      <c r="B261" s="27" t="s">
        <v>260</v>
      </c>
      <c r="C261" s="27" t="s">
        <v>1672</v>
      </c>
      <c r="D261" s="27" t="s">
        <v>548</v>
      </c>
      <c r="E261" s="27" t="s">
        <v>67</v>
      </c>
      <c r="F261" s="28">
        <v>46204.162730694443</v>
      </c>
      <c r="G261" s="28">
        <v>46222.871260231484</v>
      </c>
      <c r="H261" s="28">
        <v>46204.162730694443</v>
      </c>
      <c r="I261" s="27" t="s">
        <v>261</v>
      </c>
      <c r="J261" s="27" t="s">
        <v>262</v>
      </c>
      <c r="K261" s="27" t="s">
        <v>566</v>
      </c>
      <c r="L261" s="27"/>
      <c r="M261" s="27" t="s">
        <v>1454</v>
      </c>
      <c r="N261" s="27"/>
      <c r="O261" s="27"/>
      <c r="P261" s="27" t="s">
        <v>2646</v>
      </c>
      <c r="Q261" s="27" t="s">
        <v>556</v>
      </c>
      <c r="R261" s="27" t="s">
        <v>659</v>
      </c>
      <c r="S261" s="27"/>
      <c r="T261" s="27" t="s">
        <v>559</v>
      </c>
      <c r="U261" s="27" t="s">
        <v>1672</v>
      </c>
      <c r="V261" s="28">
        <v>46204.164540254627</v>
      </c>
      <c r="W261" s="27" t="s">
        <v>2646</v>
      </c>
      <c r="X261" s="27" t="s">
        <v>559</v>
      </c>
      <c r="Y261" s="27" t="s">
        <v>778</v>
      </c>
      <c r="Z261" s="28">
        <v>46204.183806006942</v>
      </c>
      <c r="AA261" s="27" t="s">
        <v>2646</v>
      </c>
      <c r="AB261" s="27" t="s">
        <v>559</v>
      </c>
      <c r="AC261" s="27" t="s">
        <v>162</v>
      </c>
      <c r="AD261" s="28">
        <v>46222.871260254629</v>
      </c>
      <c r="AE261" s="27" t="s">
        <v>2597</v>
      </c>
      <c r="AF261" s="27"/>
      <c r="AG261" s="27" t="s">
        <v>259</v>
      </c>
      <c r="AH261" s="28"/>
      <c r="AI261" s="27"/>
      <c r="AJ261" s="27" t="s">
        <v>1767</v>
      </c>
      <c r="AK261" s="27" t="s">
        <v>2654</v>
      </c>
      <c r="AL261" s="27" t="s">
        <v>125</v>
      </c>
      <c r="AM261" s="27" t="s">
        <v>2660</v>
      </c>
      <c r="AN261" s="27" t="s">
        <v>665</v>
      </c>
      <c r="AO261" s="27">
        <v>0</v>
      </c>
    </row>
    <row r="262" spans="1:41" hidden="1">
      <c r="A262" s="27" t="s">
        <v>2661</v>
      </c>
      <c r="B262" s="27" t="s">
        <v>2662</v>
      </c>
      <c r="C262" s="27" t="s">
        <v>1672</v>
      </c>
      <c r="D262" s="27" t="s">
        <v>548</v>
      </c>
      <c r="E262" s="27" t="s">
        <v>638</v>
      </c>
      <c r="F262" s="28">
        <v>46204.170526307869</v>
      </c>
      <c r="G262" s="28">
        <v>46232.179431574077</v>
      </c>
      <c r="H262" s="28">
        <v>46204.170526307869</v>
      </c>
      <c r="I262" s="27" t="s">
        <v>268</v>
      </c>
      <c r="J262" s="27" t="s">
        <v>2663</v>
      </c>
      <c r="K262" s="27" t="s">
        <v>566</v>
      </c>
      <c r="L262" s="27"/>
      <c r="M262" s="27" t="s">
        <v>1454</v>
      </c>
      <c r="N262" s="27"/>
      <c r="O262" s="27"/>
      <c r="P262" s="27" t="s">
        <v>2664</v>
      </c>
      <c r="Q262" s="27" t="s">
        <v>556</v>
      </c>
      <c r="R262" s="27" t="s">
        <v>659</v>
      </c>
      <c r="S262" s="27"/>
      <c r="T262" s="27" t="s">
        <v>559</v>
      </c>
      <c r="U262" s="27" t="s">
        <v>1672</v>
      </c>
      <c r="V262" s="28">
        <v>46204.170728773148</v>
      </c>
      <c r="W262" s="27" t="s">
        <v>2664</v>
      </c>
      <c r="X262" s="27" t="s">
        <v>559</v>
      </c>
      <c r="Y262" s="27" t="s">
        <v>778</v>
      </c>
      <c r="Z262" s="28">
        <v>46204.184088576389</v>
      </c>
      <c r="AA262" s="27" t="s">
        <v>2664</v>
      </c>
      <c r="AB262" s="27" t="s">
        <v>559</v>
      </c>
      <c r="AC262" s="27" t="s">
        <v>162</v>
      </c>
      <c r="AD262" s="28">
        <v>46220.25117841435</v>
      </c>
      <c r="AE262" s="27" t="s">
        <v>2665</v>
      </c>
      <c r="AF262" s="27" t="s">
        <v>559</v>
      </c>
      <c r="AG262" s="27" t="s">
        <v>259</v>
      </c>
      <c r="AH262" s="28">
        <v>46232.179431574077</v>
      </c>
      <c r="AI262" s="27" t="s">
        <v>2666</v>
      </c>
      <c r="AJ262" s="27" t="s">
        <v>2667</v>
      </c>
      <c r="AK262" s="27" t="s">
        <v>2668</v>
      </c>
      <c r="AL262" s="27" t="s">
        <v>107</v>
      </c>
      <c r="AM262" s="27" t="s">
        <v>2669</v>
      </c>
      <c r="AN262" s="27" t="s">
        <v>665</v>
      </c>
      <c r="AO262" s="27">
        <v>0</v>
      </c>
    </row>
    <row r="263" spans="1:41">
      <c r="A263" s="27" t="s">
        <v>2670</v>
      </c>
      <c r="B263" s="27" t="s">
        <v>299</v>
      </c>
      <c r="C263" s="27" t="s">
        <v>1672</v>
      </c>
      <c r="D263" s="27" t="s">
        <v>548</v>
      </c>
      <c r="E263" s="27" t="s">
        <v>67</v>
      </c>
      <c r="F263" s="28">
        <v>46204.171763726852</v>
      </c>
      <c r="G263" s="28">
        <v>46231.203152268521</v>
      </c>
      <c r="H263" s="28">
        <v>46204.171763726852</v>
      </c>
      <c r="I263" s="27" t="s">
        <v>268</v>
      </c>
      <c r="J263" s="27" t="s">
        <v>300</v>
      </c>
      <c r="K263" s="27" t="s">
        <v>566</v>
      </c>
      <c r="L263" s="27"/>
      <c r="M263" s="27" t="s">
        <v>1454</v>
      </c>
      <c r="N263" s="27"/>
      <c r="O263" s="27"/>
      <c r="P263" s="27" t="s">
        <v>2664</v>
      </c>
      <c r="Q263" s="27" t="s">
        <v>556</v>
      </c>
      <c r="R263" s="27" t="s">
        <v>659</v>
      </c>
      <c r="S263" s="27"/>
      <c r="T263" s="27" t="s">
        <v>559</v>
      </c>
      <c r="U263" s="27" t="s">
        <v>1672</v>
      </c>
      <c r="V263" s="28">
        <v>46204.172948645835</v>
      </c>
      <c r="W263" s="27" t="s">
        <v>2664</v>
      </c>
      <c r="X263" s="27" t="s">
        <v>559</v>
      </c>
      <c r="Y263" s="27" t="s">
        <v>778</v>
      </c>
      <c r="Z263" s="28">
        <v>46204.183410138889</v>
      </c>
      <c r="AA263" s="27" t="s">
        <v>2664</v>
      </c>
      <c r="AB263" s="27" t="s">
        <v>559</v>
      </c>
      <c r="AC263" s="27" t="s">
        <v>162</v>
      </c>
      <c r="AD263" s="28">
        <v>46231.203152268521</v>
      </c>
      <c r="AE263" s="27" t="s">
        <v>2597</v>
      </c>
      <c r="AF263" s="27"/>
      <c r="AG263" s="27" t="s">
        <v>295</v>
      </c>
      <c r="AH263" s="28"/>
      <c r="AI263" s="27"/>
      <c r="AJ263" s="27" t="s">
        <v>2667</v>
      </c>
      <c r="AK263" s="27" t="s">
        <v>2671</v>
      </c>
      <c r="AL263" s="27" t="s">
        <v>125</v>
      </c>
      <c r="AM263" s="27" t="s">
        <v>2672</v>
      </c>
      <c r="AN263" s="27" t="s">
        <v>665</v>
      </c>
      <c r="AO263" s="27">
        <v>0</v>
      </c>
    </row>
    <row r="264" spans="1:41" hidden="1">
      <c r="A264" s="27" t="s">
        <v>2673</v>
      </c>
      <c r="B264" s="27" t="s">
        <v>267</v>
      </c>
      <c r="C264" s="27" t="s">
        <v>1672</v>
      </c>
      <c r="D264" s="27" t="s">
        <v>548</v>
      </c>
      <c r="E264" s="27" t="s">
        <v>67</v>
      </c>
      <c r="F264" s="28">
        <v>46204.173632141203</v>
      </c>
      <c r="G264" s="28">
        <v>46239.623320162034</v>
      </c>
      <c r="H264" s="28">
        <v>46204.173632141203</v>
      </c>
      <c r="I264" s="27" t="s">
        <v>268</v>
      </c>
      <c r="J264" s="27" t="s">
        <v>269</v>
      </c>
      <c r="K264" s="27" t="s">
        <v>566</v>
      </c>
      <c r="L264" s="27"/>
      <c r="M264" s="27" t="s">
        <v>1454</v>
      </c>
      <c r="N264" s="27"/>
      <c r="O264" s="27"/>
      <c r="P264" s="27" t="s">
        <v>2664</v>
      </c>
      <c r="Q264" s="27" t="s">
        <v>556</v>
      </c>
      <c r="R264" s="27" t="s">
        <v>659</v>
      </c>
      <c r="S264" s="27"/>
      <c r="T264" s="27" t="s">
        <v>559</v>
      </c>
      <c r="U264" s="27" t="s">
        <v>1672</v>
      </c>
      <c r="V264" s="28">
        <v>46204.174811805555</v>
      </c>
      <c r="W264" s="27" t="s">
        <v>2664</v>
      </c>
      <c r="X264" s="27" t="s">
        <v>559</v>
      </c>
      <c r="Y264" s="27" t="s">
        <v>778</v>
      </c>
      <c r="Z264" s="28">
        <v>46204.182987881948</v>
      </c>
      <c r="AA264" s="27" t="s">
        <v>2664</v>
      </c>
      <c r="AB264" s="27" t="s">
        <v>559</v>
      </c>
      <c r="AC264" s="27" t="s">
        <v>162</v>
      </c>
      <c r="AD264" s="28">
        <v>46239.623320162034</v>
      </c>
      <c r="AE264" s="27" t="s">
        <v>559</v>
      </c>
      <c r="AF264" s="27"/>
      <c r="AG264" s="27" t="s">
        <v>259</v>
      </c>
      <c r="AH264" s="28"/>
      <c r="AI264" s="27"/>
      <c r="AJ264" s="27" t="s">
        <v>2667</v>
      </c>
      <c r="AK264" s="27" t="s">
        <v>2671</v>
      </c>
      <c r="AL264" s="27" t="s">
        <v>107</v>
      </c>
      <c r="AM264" s="27" t="s">
        <v>2674</v>
      </c>
      <c r="AN264" s="27" t="s">
        <v>665</v>
      </c>
      <c r="AO264" s="27">
        <v>0</v>
      </c>
    </row>
    <row r="265" spans="1:41" hidden="1">
      <c r="A265" s="27" t="s">
        <v>2675</v>
      </c>
      <c r="B265" s="27" t="s">
        <v>2676</v>
      </c>
      <c r="C265" s="27" t="s">
        <v>1672</v>
      </c>
      <c r="D265" s="27" t="s">
        <v>548</v>
      </c>
      <c r="E265" s="27" t="s">
        <v>638</v>
      </c>
      <c r="F265" s="28">
        <v>46204.176712986111</v>
      </c>
      <c r="G265" s="28">
        <v>46232.179792662035</v>
      </c>
      <c r="H265" s="28">
        <v>46204.176712986111</v>
      </c>
      <c r="I265" s="27" t="s">
        <v>2677</v>
      </c>
      <c r="J265" s="27" t="s">
        <v>2678</v>
      </c>
      <c r="K265" s="27" t="s">
        <v>566</v>
      </c>
      <c r="L265" s="27"/>
      <c r="M265" s="27" t="s">
        <v>1454</v>
      </c>
      <c r="N265" s="27"/>
      <c r="O265" s="27"/>
      <c r="P265" s="27" t="s">
        <v>2664</v>
      </c>
      <c r="Q265" s="27" t="s">
        <v>556</v>
      </c>
      <c r="R265" s="27" t="s">
        <v>659</v>
      </c>
      <c r="S265" s="27"/>
      <c r="T265" s="27" t="s">
        <v>559</v>
      </c>
      <c r="U265" s="27" t="s">
        <v>1672</v>
      </c>
      <c r="V265" s="28">
        <v>46204.178489583333</v>
      </c>
      <c r="W265" s="27" t="s">
        <v>2679</v>
      </c>
      <c r="X265" s="27" t="s">
        <v>559</v>
      </c>
      <c r="Y265" s="27" t="s">
        <v>778</v>
      </c>
      <c r="Z265" s="28">
        <v>46204.182730266206</v>
      </c>
      <c r="AA265" s="27" t="s">
        <v>2646</v>
      </c>
      <c r="AB265" s="27" t="s">
        <v>559</v>
      </c>
      <c r="AC265" s="27" t="s">
        <v>162</v>
      </c>
      <c r="AD265" s="28">
        <v>46222.873294166668</v>
      </c>
      <c r="AE265" s="27" t="s">
        <v>2597</v>
      </c>
      <c r="AF265" s="27" t="s">
        <v>559</v>
      </c>
      <c r="AG265" s="27" t="s">
        <v>259</v>
      </c>
      <c r="AH265" s="28">
        <v>46232.179792662035</v>
      </c>
      <c r="AI265" s="27" t="s">
        <v>2666</v>
      </c>
      <c r="AJ265" s="27" t="s">
        <v>2680</v>
      </c>
      <c r="AK265" s="27">
        <v>3861</v>
      </c>
      <c r="AL265" s="27" t="s">
        <v>107</v>
      </c>
      <c r="AM265" s="27" t="s">
        <v>2681</v>
      </c>
      <c r="AN265" s="27" t="s">
        <v>665</v>
      </c>
      <c r="AO265" s="27">
        <v>0</v>
      </c>
    </row>
    <row r="266" spans="1:41">
      <c r="A266" s="27" t="s">
        <v>2682</v>
      </c>
      <c r="B266" s="27" t="s">
        <v>252</v>
      </c>
      <c r="C266" s="27" t="s">
        <v>775</v>
      </c>
      <c r="D266" s="27" t="s">
        <v>548</v>
      </c>
      <c r="E266" s="27" t="s">
        <v>67</v>
      </c>
      <c r="F266" s="28">
        <v>46204.212451481479</v>
      </c>
      <c r="G266" s="28">
        <v>46222.873836076389</v>
      </c>
      <c r="H266" s="28">
        <v>46204.212451481479</v>
      </c>
      <c r="I266" s="27" t="s">
        <v>253</v>
      </c>
      <c r="J266" s="27" t="s">
        <v>254</v>
      </c>
      <c r="K266" s="27" t="s">
        <v>566</v>
      </c>
      <c r="L266" s="27"/>
      <c r="M266" s="27" t="s">
        <v>1454</v>
      </c>
      <c r="N266" s="27" t="s">
        <v>794</v>
      </c>
      <c r="O266" s="27" t="s">
        <v>794</v>
      </c>
      <c r="P266" s="27" t="s">
        <v>2683</v>
      </c>
      <c r="Q266" s="27" t="s">
        <v>556</v>
      </c>
      <c r="R266" s="27" t="s">
        <v>659</v>
      </c>
      <c r="S266" s="27"/>
      <c r="T266" s="27" t="s">
        <v>559</v>
      </c>
      <c r="U266" s="27" t="s">
        <v>775</v>
      </c>
      <c r="V266" s="28">
        <v>46204.213216458331</v>
      </c>
      <c r="W266" s="27" t="s">
        <v>2683</v>
      </c>
      <c r="X266" s="27" t="s">
        <v>559</v>
      </c>
      <c r="Y266" s="27" t="s">
        <v>778</v>
      </c>
      <c r="Z266" s="28">
        <v>46205.209283715281</v>
      </c>
      <c r="AA266" s="27" t="s">
        <v>2683</v>
      </c>
      <c r="AB266" s="27" t="s">
        <v>559</v>
      </c>
      <c r="AC266" s="27" t="s">
        <v>162</v>
      </c>
      <c r="AD266" s="28">
        <v>46222.873836099534</v>
      </c>
      <c r="AE266" s="27" t="s">
        <v>2665</v>
      </c>
      <c r="AF266" s="27"/>
      <c r="AG266" s="27" t="s">
        <v>255</v>
      </c>
      <c r="AH266" s="28"/>
      <c r="AI266" s="27"/>
      <c r="AJ266" s="27" t="s">
        <v>2684</v>
      </c>
      <c r="AK266" s="27" t="s">
        <v>2685</v>
      </c>
      <c r="AL266" s="27" t="s">
        <v>107</v>
      </c>
      <c r="AM266" s="27" t="s">
        <v>2686</v>
      </c>
      <c r="AN266" s="27" t="s">
        <v>665</v>
      </c>
      <c r="AO266" s="27">
        <v>0</v>
      </c>
    </row>
    <row r="267" spans="1:41" hidden="1">
      <c r="A267" s="27" t="s">
        <v>2687</v>
      </c>
      <c r="B267" s="27" t="s">
        <v>2688</v>
      </c>
      <c r="C267" s="27" t="s">
        <v>1275</v>
      </c>
      <c r="D267" s="27" t="s">
        <v>548</v>
      </c>
      <c r="E267" s="27" t="s">
        <v>668</v>
      </c>
      <c r="F267" s="28">
        <v>46205.094609768516</v>
      </c>
      <c r="G267" s="28">
        <v>46205.104366747684</v>
      </c>
      <c r="H267" s="28">
        <v>46205.094609768516</v>
      </c>
      <c r="I267" s="27" t="s">
        <v>2581</v>
      </c>
      <c r="J267" s="27" t="s">
        <v>2582</v>
      </c>
      <c r="K267" s="27" t="s">
        <v>566</v>
      </c>
      <c r="L267" s="27"/>
      <c r="M267" s="27" t="s">
        <v>1278</v>
      </c>
      <c r="N267" s="27"/>
      <c r="O267" s="27" t="s">
        <v>2689</v>
      </c>
      <c r="P267" s="27" t="s">
        <v>2690</v>
      </c>
      <c r="Q267" s="27" t="s">
        <v>623</v>
      </c>
      <c r="R267" s="27" t="s">
        <v>809</v>
      </c>
      <c r="S267" s="27"/>
      <c r="T267" s="27" t="s">
        <v>559</v>
      </c>
      <c r="U267" s="27" t="s">
        <v>1275</v>
      </c>
      <c r="V267" s="28">
        <v>46205.10436675926</v>
      </c>
      <c r="W267" s="27" t="s">
        <v>2691</v>
      </c>
      <c r="X267" s="27"/>
      <c r="Y267" s="27" t="s">
        <v>1278</v>
      </c>
      <c r="Z267" s="28"/>
      <c r="AA267" s="27"/>
      <c r="AB267" s="27"/>
      <c r="AC267" s="27" t="s">
        <v>573</v>
      </c>
      <c r="AD267" s="28"/>
      <c r="AE267" s="27"/>
      <c r="AF267" s="27"/>
      <c r="AG267" s="27" t="s">
        <v>108</v>
      </c>
      <c r="AH267" s="28"/>
      <c r="AI267" s="27"/>
      <c r="AJ267" s="27" t="s">
        <v>2585</v>
      </c>
      <c r="AK267" s="27">
        <v>2341</v>
      </c>
      <c r="AL267" s="27"/>
      <c r="AM267" s="27"/>
      <c r="AN267" s="27" t="s">
        <v>710</v>
      </c>
      <c r="AO267" s="27">
        <v>30</v>
      </c>
    </row>
    <row r="268" spans="1:41" hidden="1">
      <c r="A268" s="27" t="s">
        <v>2692</v>
      </c>
      <c r="B268" s="27" t="s">
        <v>2693</v>
      </c>
      <c r="C268" s="27" t="s">
        <v>1421</v>
      </c>
      <c r="D268" s="27" t="s">
        <v>548</v>
      </c>
      <c r="E268" s="27" t="s">
        <v>638</v>
      </c>
      <c r="F268" s="28">
        <v>46206.292347893519</v>
      </c>
      <c r="G268" s="28">
        <v>46239.665299780092</v>
      </c>
      <c r="H268" s="28">
        <v>46206.292347893519</v>
      </c>
      <c r="I268" s="27" t="s">
        <v>2694</v>
      </c>
      <c r="J268" s="27" t="s">
        <v>2695</v>
      </c>
      <c r="K268" s="27" t="s">
        <v>676</v>
      </c>
      <c r="L268" s="27" t="s">
        <v>2696</v>
      </c>
      <c r="M268" s="27" t="s">
        <v>1121</v>
      </c>
      <c r="N268" s="27" t="s">
        <v>2697</v>
      </c>
      <c r="O268" s="27" t="s">
        <v>2698</v>
      </c>
      <c r="P268" s="27" t="s">
        <v>2699</v>
      </c>
      <c r="Q268" s="27" t="s">
        <v>556</v>
      </c>
      <c r="R268" s="27" t="s">
        <v>583</v>
      </c>
      <c r="S268" s="27"/>
      <c r="T268" s="27" t="s">
        <v>559</v>
      </c>
      <c r="U268" s="27" t="s">
        <v>1421</v>
      </c>
      <c r="V268" s="28">
        <v>46206.295955381946</v>
      </c>
      <c r="W268" s="27" t="s">
        <v>2700</v>
      </c>
      <c r="X268" s="27" t="s">
        <v>559</v>
      </c>
      <c r="Y268" s="27" t="s">
        <v>1121</v>
      </c>
      <c r="Z268" s="28">
        <v>46216.153470266203</v>
      </c>
      <c r="AA268" s="27" t="s">
        <v>559</v>
      </c>
      <c r="AB268" s="27" t="s">
        <v>559</v>
      </c>
      <c r="AC268" s="27" t="s">
        <v>162</v>
      </c>
      <c r="AD268" s="28">
        <v>46222.874689780096</v>
      </c>
      <c r="AE268" s="27" t="s">
        <v>2597</v>
      </c>
      <c r="AF268" s="27" t="s">
        <v>559</v>
      </c>
      <c r="AG268" s="27" t="s">
        <v>259</v>
      </c>
      <c r="AH268" s="28">
        <v>46239.665299780092</v>
      </c>
      <c r="AI268" s="27" t="s">
        <v>2701</v>
      </c>
      <c r="AJ268" s="27" t="s">
        <v>2702</v>
      </c>
      <c r="AK268" s="27">
        <v>2987</v>
      </c>
      <c r="AL268" s="27" t="s">
        <v>125</v>
      </c>
      <c r="AM268" s="27" t="s">
        <v>2703</v>
      </c>
      <c r="AN268" s="27" t="s">
        <v>687</v>
      </c>
      <c r="AO268" s="27">
        <v>0</v>
      </c>
    </row>
    <row r="269" spans="1:41" hidden="1">
      <c r="A269" s="27" t="s">
        <v>2704</v>
      </c>
      <c r="B269" s="27" t="s">
        <v>2705</v>
      </c>
      <c r="C269" s="27" t="s">
        <v>2706</v>
      </c>
      <c r="D269" s="27" t="s">
        <v>548</v>
      </c>
      <c r="E269" s="27" t="s">
        <v>549</v>
      </c>
      <c r="F269" s="28">
        <v>46206.320695775466</v>
      </c>
      <c r="G269" s="28">
        <v>46206.331592881943</v>
      </c>
      <c r="H269" s="28">
        <v>46206.320695775466</v>
      </c>
      <c r="I269" s="27" t="s">
        <v>188</v>
      </c>
      <c r="J269" s="27" t="s">
        <v>189</v>
      </c>
      <c r="K269" s="27" t="s">
        <v>566</v>
      </c>
      <c r="L269" s="27"/>
      <c r="M269" s="27" t="s">
        <v>2707</v>
      </c>
      <c r="N269" s="27"/>
      <c r="O269" s="27"/>
      <c r="P269" s="27" t="s">
        <v>2708</v>
      </c>
      <c r="Q269" s="27" t="s">
        <v>556</v>
      </c>
      <c r="R269" s="27" t="s">
        <v>583</v>
      </c>
      <c r="S269" s="27"/>
      <c r="T269" s="27" t="s">
        <v>559</v>
      </c>
      <c r="U269" s="27" t="s">
        <v>2706</v>
      </c>
      <c r="V269" s="28">
        <v>46206.323143240741</v>
      </c>
      <c r="W269" s="27" t="s">
        <v>2709</v>
      </c>
      <c r="X269" s="27" t="s">
        <v>549</v>
      </c>
      <c r="Y269" s="27" t="s">
        <v>2707</v>
      </c>
      <c r="Z269" s="28">
        <v>46206.331592905095</v>
      </c>
      <c r="AA269" s="27" t="s">
        <v>2710</v>
      </c>
      <c r="AB269" s="27"/>
      <c r="AC269" s="27" t="s">
        <v>573</v>
      </c>
      <c r="AD269" s="28"/>
      <c r="AE269" s="27"/>
      <c r="AF269" s="27"/>
      <c r="AG269" s="27" t="s">
        <v>108</v>
      </c>
      <c r="AH269" s="28"/>
      <c r="AI269" s="27"/>
      <c r="AJ269" s="27" t="s">
        <v>2711</v>
      </c>
      <c r="AK269" s="27" t="s">
        <v>2712</v>
      </c>
      <c r="AL269" s="27"/>
      <c r="AM269" s="27"/>
      <c r="AN269" s="27" t="s">
        <v>665</v>
      </c>
      <c r="AO269" s="27">
        <v>0</v>
      </c>
    </row>
    <row r="270" spans="1:41" hidden="1">
      <c r="A270" s="27" t="s">
        <v>2713</v>
      </c>
      <c r="B270" s="27" t="s">
        <v>187</v>
      </c>
      <c r="C270" s="27" t="s">
        <v>2706</v>
      </c>
      <c r="D270" s="27" t="s">
        <v>548</v>
      </c>
      <c r="E270" s="27" t="s">
        <v>67</v>
      </c>
      <c r="F270" s="28">
        <v>46206.335672870373</v>
      </c>
      <c r="G270" s="28">
        <v>46239.623100185185</v>
      </c>
      <c r="H270" s="28">
        <v>46206.335672870373</v>
      </c>
      <c r="I270" s="27" t="s">
        <v>188</v>
      </c>
      <c r="J270" s="27" t="s">
        <v>189</v>
      </c>
      <c r="K270" s="27" t="s">
        <v>566</v>
      </c>
      <c r="L270" s="27"/>
      <c r="M270" s="27" t="s">
        <v>2707</v>
      </c>
      <c r="N270" s="27"/>
      <c r="O270" s="27"/>
      <c r="P270" s="27" t="s">
        <v>2714</v>
      </c>
      <c r="Q270" s="27" t="s">
        <v>556</v>
      </c>
      <c r="R270" s="27" t="s">
        <v>583</v>
      </c>
      <c r="S270" s="27"/>
      <c r="T270" s="27" t="s">
        <v>559</v>
      </c>
      <c r="U270" s="27" t="s">
        <v>2706</v>
      </c>
      <c r="V270" s="28">
        <v>46206.337318206017</v>
      </c>
      <c r="W270" s="27" t="s">
        <v>2715</v>
      </c>
      <c r="X270" s="27" t="s">
        <v>559</v>
      </c>
      <c r="Y270" s="27" t="s">
        <v>2707</v>
      </c>
      <c r="Z270" s="28">
        <v>46206.339653124996</v>
      </c>
      <c r="AA270" s="27" t="s">
        <v>2716</v>
      </c>
      <c r="AB270" s="27" t="s">
        <v>559</v>
      </c>
      <c r="AC270" s="27" t="s">
        <v>162</v>
      </c>
      <c r="AD270" s="28">
        <v>46239.623100196761</v>
      </c>
      <c r="AE270" s="27" t="s">
        <v>559</v>
      </c>
      <c r="AF270" s="27"/>
      <c r="AG270" s="27" t="s">
        <v>168</v>
      </c>
      <c r="AH270" s="28"/>
      <c r="AI270" s="27"/>
      <c r="AJ270" s="27" t="s">
        <v>2711</v>
      </c>
      <c r="AK270" s="27" t="s">
        <v>2712</v>
      </c>
      <c r="AL270" s="27" t="s">
        <v>116</v>
      </c>
      <c r="AM270" s="27" t="s">
        <v>2717</v>
      </c>
      <c r="AN270" s="27" t="s">
        <v>665</v>
      </c>
      <c r="AO270" s="27">
        <v>0</v>
      </c>
    </row>
    <row r="271" spans="1:41" hidden="1">
      <c r="A271" s="27" t="s">
        <v>2718</v>
      </c>
      <c r="B271" s="27" t="s">
        <v>2719</v>
      </c>
      <c r="C271" s="27" t="s">
        <v>1430</v>
      </c>
      <c r="D271" s="27" t="s">
        <v>548</v>
      </c>
      <c r="E271" s="27" t="s">
        <v>578</v>
      </c>
      <c r="F271" s="28">
        <v>46206.372254837966</v>
      </c>
      <c r="G271" s="28">
        <v>46237.200887870371</v>
      </c>
      <c r="H271" s="28">
        <v>46237.192279930554</v>
      </c>
      <c r="I271" s="27" t="s">
        <v>235</v>
      </c>
      <c r="J271" s="27" t="s">
        <v>236</v>
      </c>
      <c r="K271" s="27" t="s">
        <v>676</v>
      </c>
      <c r="L271" s="27" t="s">
        <v>2720</v>
      </c>
      <c r="M271" s="27" t="s">
        <v>963</v>
      </c>
      <c r="N271" s="27" t="s">
        <v>2721</v>
      </c>
      <c r="O271" s="27"/>
      <c r="P271" s="27" t="s">
        <v>2722</v>
      </c>
      <c r="Q271" s="27" t="s">
        <v>556</v>
      </c>
      <c r="R271" s="27" t="s">
        <v>659</v>
      </c>
      <c r="S271" s="27"/>
      <c r="T271" s="27" t="s">
        <v>549</v>
      </c>
      <c r="U271" s="27" t="s">
        <v>1430</v>
      </c>
      <c r="V271" s="28">
        <v>46237.200887881947</v>
      </c>
      <c r="W271" s="27"/>
      <c r="X271" s="27"/>
      <c r="Y271" s="27" t="s">
        <v>912</v>
      </c>
      <c r="Z271" s="28"/>
      <c r="AA271" s="27"/>
      <c r="AB271" s="27"/>
      <c r="AC271" s="27" t="s">
        <v>2723</v>
      </c>
      <c r="AD271" s="28"/>
      <c r="AE271" s="27"/>
      <c r="AF271" s="27"/>
      <c r="AG271" s="27" t="s">
        <v>126</v>
      </c>
      <c r="AH271" s="28"/>
      <c r="AI271" s="27"/>
      <c r="AJ271" s="27" t="s">
        <v>2724</v>
      </c>
      <c r="AK271" s="27" t="s">
        <v>2725</v>
      </c>
      <c r="AL271" s="27" t="s">
        <v>107</v>
      </c>
      <c r="AM271" s="27"/>
      <c r="AN271" s="27" t="s">
        <v>665</v>
      </c>
      <c r="AO271" s="27">
        <v>0</v>
      </c>
    </row>
    <row r="272" spans="1:41" hidden="1">
      <c r="A272" s="27" t="s">
        <v>2726</v>
      </c>
      <c r="B272" s="27" t="s">
        <v>2727</v>
      </c>
      <c r="C272" s="27" t="s">
        <v>1430</v>
      </c>
      <c r="D272" s="27" t="s">
        <v>548</v>
      </c>
      <c r="E272" s="27" t="s">
        <v>578</v>
      </c>
      <c r="F272" s="28">
        <v>46206.380816446763</v>
      </c>
      <c r="G272" s="28">
        <v>46237.199767951388</v>
      </c>
      <c r="H272" s="28">
        <v>46237.194642002316</v>
      </c>
      <c r="I272" s="27" t="s">
        <v>244</v>
      </c>
      <c r="J272" s="27" t="s">
        <v>245</v>
      </c>
      <c r="K272" s="27" t="s">
        <v>676</v>
      </c>
      <c r="L272" s="27" t="s">
        <v>2720</v>
      </c>
      <c r="M272" s="27" t="s">
        <v>963</v>
      </c>
      <c r="N272" s="27" t="s">
        <v>2728</v>
      </c>
      <c r="O272" s="27"/>
      <c r="P272" s="27" t="s">
        <v>659</v>
      </c>
      <c r="Q272" s="27" t="s">
        <v>556</v>
      </c>
      <c r="R272" s="27" t="s">
        <v>659</v>
      </c>
      <c r="S272" s="27"/>
      <c r="T272" s="27" t="s">
        <v>549</v>
      </c>
      <c r="U272" s="27" t="s">
        <v>1430</v>
      </c>
      <c r="V272" s="28">
        <v>46237.199767962964</v>
      </c>
      <c r="W272" s="27"/>
      <c r="X272" s="27"/>
      <c r="Y272" s="27" t="s">
        <v>912</v>
      </c>
      <c r="Z272" s="28"/>
      <c r="AA272" s="27"/>
      <c r="AB272" s="27"/>
      <c r="AC272" s="27" t="s">
        <v>2723</v>
      </c>
      <c r="AD272" s="28"/>
      <c r="AE272" s="27"/>
      <c r="AF272" s="27"/>
      <c r="AG272" s="27" t="s">
        <v>126</v>
      </c>
      <c r="AH272" s="28"/>
      <c r="AI272" s="27"/>
      <c r="AJ272" s="27" t="s">
        <v>1435</v>
      </c>
      <c r="AK272" s="27" t="s">
        <v>1436</v>
      </c>
      <c r="AL272" s="27" t="s">
        <v>107</v>
      </c>
      <c r="AM272" s="27"/>
      <c r="AN272" s="27" t="s">
        <v>665</v>
      </c>
      <c r="AO272" s="27">
        <v>0</v>
      </c>
    </row>
    <row r="273" spans="1:41" hidden="1">
      <c r="A273" s="27" t="s">
        <v>2729</v>
      </c>
      <c r="B273" s="27" t="s">
        <v>221</v>
      </c>
      <c r="C273" s="27" t="s">
        <v>1679</v>
      </c>
      <c r="D273" s="27" t="s">
        <v>548</v>
      </c>
      <c r="E273" s="27" t="s">
        <v>67</v>
      </c>
      <c r="F273" s="28">
        <v>46206.46205357639</v>
      </c>
      <c r="G273" s="28">
        <v>46222.862948599533</v>
      </c>
      <c r="H273" s="28">
        <v>46206.46205357639</v>
      </c>
      <c r="I273" s="27" t="s">
        <v>222</v>
      </c>
      <c r="J273" s="27" t="s">
        <v>222</v>
      </c>
      <c r="K273" s="27" t="s">
        <v>566</v>
      </c>
      <c r="L273" s="27"/>
      <c r="M273" s="27" t="s">
        <v>1454</v>
      </c>
      <c r="N273" s="27"/>
      <c r="O273" s="27"/>
      <c r="P273" s="27" t="s">
        <v>2730</v>
      </c>
      <c r="Q273" s="27" t="s">
        <v>556</v>
      </c>
      <c r="R273" s="27" t="s">
        <v>659</v>
      </c>
      <c r="S273" s="27"/>
      <c r="T273" s="27" t="s">
        <v>559</v>
      </c>
      <c r="U273" s="27" t="s">
        <v>1679</v>
      </c>
      <c r="V273" s="28">
        <v>46206.4626403125</v>
      </c>
      <c r="W273" s="27" t="s">
        <v>2731</v>
      </c>
      <c r="X273" s="27" t="s">
        <v>559</v>
      </c>
      <c r="Y273" s="27" t="s">
        <v>778</v>
      </c>
      <c r="Z273" s="28">
        <v>46209.251442071756</v>
      </c>
      <c r="AA273" s="27" t="s">
        <v>2732</v>
      </c>
      <c r="AB273" s="27" t="s">
        <v>559</v>
      </c>
      <c r="AC273" s="27" t="s">
        <v>162</v>
      </c>
      <c r="AD273" s="28">
        <v>46222.862948599533</v>
      </c>
      <c r="AE273" s="27" t="s">
        <v>2597</v>
      </c>
      <c r="AF273" s="27"/>
      <c r="AG273" s="27" t="s">
        <v>214</v>
      </c>
      <c r="AH273" s="28"/>
      <c r="AI273" s="27"/>
      <c r="AJ273" s="27" t="s">
        <v>2733</v>
      </c>
      <c r="AK273" s="27" t="s">
        <v>2734</v>
      </c>
      <c r="AL273" s="27" t="s">
        <v>116</v>
      </c>
      <c r="AM273" s="27" t="s">
        <v>2735</v>
      </c>
      <c r="AN273" s="27" t="s">
        <v>665</v>
      </c>
      <c r="AO273" s="27">
        <v>0</v>
      </c>
    </row>
    <row r="274" spans="1:41">
      <c r="A274" s="27" t="s">
        <v>2736</v>
      </c>
      <c r="B274" s="27" t="s">
        <v>163</v>
      </c>
      <c r="C274" s="27" t="s">
        <v>609</v>
      </c>
      <c r="D274" s="27" t="s">
        <v>548</v>
      </c>
      <c r="E274" s="27" t="s">
        <v>67</v>
      </c>
      <c r="F274" s="28">
        <v>46209.158434537036</v>
      </c>
      <c r="G274" s="28">
        <v>46209.168637627314</v>
      </c>
      <c r="H274" s="28">
        <v>46209.158434537036</v>
      </c>
      <c r="I274" s="27" t="s">
        <v>164</v>
      </c>
      <c r="J274" s="27" t="s">
        <v>165</v>
      </c>
      <c r="K274" s="27" t="s">
        <v>566</v>
      </c>
      <c r="L274" s="27"/>
      <c r="M274" s="27" t="s">
        <v>807</v>
      </c>
      <c r="N274" s="27"/>
      <c r="O274" s="27"/>
      <c r="P274" s="27" t="s">
        <v>2737</v>
      </c>
      <c r="Q274" s="27" t="s">
        <v>556</v>
      </c>
      <c r="R274" s="27" t="s">
        <v>557</v>
      </c>
      <c r="S274" s="27"/>
      <c r="T274" s="27" t="s">
        <v>559</v>
      </c>
      <c r="U274" s="27" t="s">
        <v>609</v>
      </c>
      <c r="V274" s="28">
        <v>46209.159640625003</v>
      </c>
      <c r="W274" s="27" t="s">
        <v>2738</v>
      </c>
      <c r="X274" s="27" t="s">
        <v>559</v>
      </c>
      <c r="Y274" s="27" t="s">
        <v>609</v>
      </c>
      <c r="Z274" s="28">
        <v>46209.160468877315</v>
      </c>
      <c r="AA274" s="27" t="s">
        <v>2739</v>
      </c>
      <c r="AB274" s="27" t="s">
        <v>559</v>
      </c>
      <c r="AC274" s="27" t="s">
        <v>249</v>
      </c>
      <c r="AD274" s="28">
        <v>46209.16863763889</v>
      </c>
      <c r="AE274" s="27" t="s">
        <v>2740</v>
      </c>
      <c r="AF274" s="27"/>
      <c r="AG274" s="27" t="s">
        <v>162</v>
      </c>
      <c r="AH274" s="28"/>
      <c r="AI274" s="27"/>
      <c r="AJ274" s="27" t="s">
        <v>2741</v>
      </c>
      <c r="AK274" s="27">
        <v>1824</v>
      </c>
      <c r="AL274" s="27" t="s">
        <v>116</v>
      </c>
      <c r="AM274" s="27" t="s">
        <v>2742</v>
      </c>
      <c r="AN274" s="27" t="s">
        <v>665</v>
      </c>
      <c r="AO274" s="27">
        <v>0</v>
      </c>
    </row>
    <row r="275" spans="1:41" hidden="1">
      <c r="A275" s="27" t="s">
        <v>2743</v>
      </c>
      <c r="B275" s="27" t="s">
        <v>2744</v>
      </c>
      <c r="C275" s="27" t="s">
        <v>2310</v>
      </c>
      <c r="D275" s="27" t="s">
        <v>548</v>
      </c>
      <c r="E275" s="27" t="s">
        <v>549</v>
      </c>
      <c r="F275" s="28">
        <v>46210.073116493055</v>
      </c>
      <c r="G275" s="28">
        <v>46247.508493263886</v>
      </c>
      <c r="H275" s="28">
        <v>46210.073116493055</v>
      </c>
      <c r="I275" s="27" t="s">
        <v>2568</v>
      </c>
      <c r="J275" s="27" t="s">
        <v>2569</v>
      </c>
      <c r="K275" s="27" t="s">
        <v>676</v>
      </c>
      <c r="L275" s="27" t="s">
        <v>2570</v>
      </c>
      <c r="M275" s="27" t="s">
        <v>2313</v>
      </c>
      <c r="N275" s="27"/>
      <c r="O275" s="27"/>
      <c r="P275" s="27" t="s">
        <v>2745</v>
      </c>
      <c r="Q275" s="27" t="s">
        <v>556</v>
      </c>
      <c r="R275" s="27" t="s">
        <v>583</v>
      </c>
      <c r="S275" s="27"/>
      <c r="T275" s="27" t="s">
        <v>559</v>
      </c>
      <c r="U275" s="27" t="s">
        <v>2310</v>
      </c>
      <c r="V275" s="28">
        <v>46210.075290439818</v>
      </c>
      <c r="W275" s="27" t="s">
        <v>2746</v>
      </c>
      <c r="X275" s="27" t="s">
        <v>559</v>
      </c>
      <c r="Y275" s="27" t="s">
        <v>2315</v>
      </c>
      <c r="Z275" s="28">
        <v>46210.078729710651</v>
      </c>
      <c r="AA275" s="27" t="s">
        <v>2747</v>
      </c>
      <c r="AB275" s="27" t="s">
        <v>559</v>
      </c>
      <c r="AC275" s="27" t="s">
        <v>2748</v>
      </c>
      <c r="AD275" s="28">
        <v>46219.123980138887</v>
      </c>
      <c r="AE275" s="27" t="s">
        <v>2749</v>
      </c>
      <c r="AF275" s="27" t="s">
        <v>549</v>
      </c>
      <c r="AG275" s="27" t="s">
        <v>162</v>
      </c>
      <c r="AH275" s="28">
        <v>46247.508493275462</v>
      </c>
      <c r="AI275" s="27" t="s">
        <v>2750</v>
      </c>
      <c r="AJ275" s="27" t="s">
        <v>2572</v>
      </c>
      <c r="AK275" s="27" t="s">
        <v>2573</v>
      </c>
      <c r="AL275" s="27" t="s">
        <v>107</v>
      </c>
      <c r="AM275" s="27" t="s">
        <v>2751</v>
      </c>
      <c r="AN275" s="27" t="s">
        <v>665</v>
      </c>
      <c r="AO275" s="27">
        <v>0</v>
      </c>
    </row>
    <row r="276" spans="1:41" hidden="1">
      <c r="A276" s="27" t="s">
        <v>2752</v>
      </c>
      <c r="B276" s="27" t="s">
        <v>2753</v>
      </c>
      <c r="C276" s="27" t="s">
        <v>2754</v>
      </c>
      <c r="D276" s="27" t="s">
        <v>548</v>
      </c>
      <c r="E276" s="27" t="s">
        <v>578</v>
      </c>
      <c r="F276" s="28">
        <v>46210.274297083335</v>
      </c>
      <c r="G276" s="28">
        <v>46210.275636331018</v>
      </c>
      <c r="H276" s="28">
        <v>46210.274297083335</v>
      </c>
      <c r="I276" s="27" t="s">
        <v>1822</v>
      </c>
      <c r="J276" s="27" t="s">
        <v>1823</v>
      </c>
      <c r="K276" s="27" t="s">
        <v>566</v>
      </c>
      <c r="L276" s="27"/>
      <c r="M276" s="27" t="s">
        <v>912</v>
      </c>
      <c r="N276" s="27"/>
      <c r="O276" s="27"/>
      <c r="P276" s="27" t="s">
        <v>2755</v>
      </c>
      <c r="Q276" s="27" t="s">
        <v>569</v>
      </c>
      <c r="R276" s="27" t="s">
        <v>583</v>
      </c>
      <c r="S276" s="27"/>
      <c r="T276" s="27" t="s">
        <v>549</v>
      </c>
      <c r="U276" s="27" t="s">
        <v>2754</v>
      </c>
      <c r="V276" s="28">
        <v>46210.275636342594</v>
      </c>
      <c r="W276" s="27"/>
      <c r="X276" s="27"/>
      <c r="Y276" s="27" t="s">
        <v>912</v>
      </c>
      <c r="Z276" s="28"/>
      <c r="AA276" s="27"/>
      <c r="AB276" s="27"/>
      <c r="AC276" s="27" t="s">
        <v>2723</v>
      </c>
      <c r="AD276" s="28"/>
      <c r="AE276" s="27"/>
      <c r="AF276" s="27"/>
      <c r="AG276" s="27" t="s">
        <v>126</v>
      </c>
      <c r="AH276" s="28"/>
      <c r="AI276" s="27"/>
      <c r="AJ276" s="27" t="s">
        <v>1825</v>
      </c>
      <c r="AK276" s="27">
        <v>3579</v>
      </c>
      <c r="AL276" s="27"/>
      <c r="AM276" s="27"/>
      <c r="AN276" s="27" t="s">
        <v>710</v>
      </c>
      <c r="AO276" s="27">
        <v>14</v>
      </c>
    </row>
    <row r="277" spans="1:41" hidden="1">
      <c r="A277" s="27" t="s">
        <v>2756</v>
      </c>
      <c r="B277" s="27" t="s">
        <v>2757</v>
      </c>
      <c r="C277" s="27" t="s">
        <v>2754</v>
      </c>
      <c r="D277" s="27" t="s">
        <v>548</v>
      </c>
      <c r="E277" s="27" t="s">
        <v>578</v>
      </c>
      <c r="F277" s="28">
        <v>46210.285462893517</v>
      </c>
      <c r="G277" s="28">
        <v>46210.289554710645</v>
      </c>
      <c r="H277" s="28">
        <v>46210.285462893517</v>
      </c>
      <c r="I277" s="27" t="s">
        <v>2758</v>
      </c>
      <c r="J277" s="27" t="s">
        <v>2759</v>
      </c>
      <c r="K277" s="27" t="s">
        <v>566</v>
      </c>
      <c r="L277" s="27"/>
      <c r="M277" s="27" t="s">
        <v>912</v>
      </c>
      <c r="N277" s="27"/>
      <c r="O277" s="27"/>
      <c r="P277" s="27" t="s">
        <v>2760</v>
      </c>
      <c r="Q277" s="27" t="s">
        <v>556</v>
      </c>
      <c r="R277" s="27" t="s">
        <v>583</v>
      </c>
      <c r="S277" s="27"/>
      <c r="T277" s="27" t="s">
        <v>549</v>
      </c>
      <c r="U277" s="27" t="s">
        <v>2754</v>
      </c>
      <c r="V277" s="28">
        <v>46210.289554722222</v>
      </c>
      <c r="W277" s="27"/>
      <c r="X277" s="27"/>
      <c r="Y277" s="27" t="s">
        <v>912</v>
      </c>
      <c r="Z277" s="28"/>
      <c r="AA277" s="27"/>
      <c r="AB277" s="27"/>
      <c r="AC277" s="27" t="s">
        <v>2723</v>
      </c>
      <c r="AD277" s="28"/>
      <c r="AE277" s="27"/>
      <c r="AF277" s="27"/>
      <c r="AG277" s="27" t="s">
        <v>126</v>
      </c>
      <c r="AH277" s="28"/>
      <c r="AI277" s="27"/>
      <c r="AJ277" s="27" t="s">
        <v>2761</v>
      </c>
      <c r="AK277" s="27">
        <v>3114</v>
      </c>
      <c r="AL277" s="27"/>
      <c r="AM277" s="27"/>
      <c r="AN277" s="27" t="s">
        <v>710</v>
      </c>
      <c r="AO277" s="27">
        <v>14</v>
      </c>
    </row>
    <row r="278" spans="1:41">
      <c r="A278" s="27" t="s">
        <v>2762</v>
      </c>
      <c r="B278" s="27" t="s">
        <v>305</v>
      </c>
      <c r="C278" s="27" t="s">
        <v>2310</v>
      </c>
      <c r="D278" s="27" t="s">
        <v>548</v>
      </c>
      <c r="E278" s="27" t="s">
        <v>67</v>
      </c>
      <c r="F278" s="28">
        <v>46210.336582268515</v>
      </c>
      <c r="G278" s="28">
        <v>46222.86333241898</v>
      </c>
      <c r="H278" s="28">
        <v>46212.158407696763</v>
      </c>
      <c r="I278" s="27" t="s">
        <v>306</v>
      </c>
      <c r="J278" s="27" t="s">
        <v>307</v>
      </c>
      <c r="K278" s="27" t="s">
        <v>676</v>
      </c>
      <c r="L278" s="27" t="s">
        <v>2763</v>
      </c>
      <c r="M278" s="27" t="s">
        <v>2313</v>
      </c>
      <c r="N278" s="27"/>
      <c r="O278" s="27"/>
      <c r="P278" s="27" t="s">
        <v>2764</v>
      </c>
      <c r="Q278" s="27" t="s">
        <v>556</v>
      </c>
      <c r="R278" s="27" t="s">
        <v>583</v>
      </c>
      <c r="S278" s="27"/>
      <c r="T278" s="27" t="s">
        <v>559</v>
      </c>
      <c r="U278" s="27" t="s">
        <v>2310</v>
      </c>
      <c r="V278" s="28">
        <v>46212.158908449077</v>
      </c>
      <c r="W278" s="27" t="s">
        <v>2764</v>
      </c>
      <c r="X278" s="27" t="s">
        <v>559</v>
      </c>
      <c r="Y278" s="27" t="s">
        <v>2315</v>
      </c>
      <c r="Z278" s="28">
        <v>46212.16088033565</v>
      </c>
      <c r="AA278" s="27" t="s">
        <v>2765</v>
      </c>
      <c r="AB278" s="27" t="s">
        <v>559</v>
      </c>
      <c r="AC278" s="27" t="s">
        <v>162</v>
      </c>
      <c r="AD278" s="28">
        <v>46222.863332430556</v>
      </c>
      <c r="AE278" s="27" t="s">
        <v>2597</v>
      </c>
      <c r="AF278" s="27"/>
      <c r="AG278" s="27" t="s">
        <v>295</v>
      </c>
      <c r="AH278" s="28"/>
      <c r="AI278" s="27"/>
      <c r="AJ278" s="27" t="s">
        <v>2766</v>
      </c>
      <c r="AK278" s="27" t="s">
        <v>2767</v>
      </c>
      <c r="AL278" s="27" t="s">
        <v>116</v>
      </c>
      <c r="AM278" s="27" t="s">
        <v>2768</v>
      </c>
      <c r="AN278" s="27" t="s">
        <v>665</v>
      </c>
      <c r="AO278" s="27">
        <v>0</v>
      </c>
    </row>
    <row r="279" spans="1:41" hidden="1">
      <c r="A279" s="27" t="s">
        <v>2769</v>
      </c>
      <c r="B279" s="27" t="s">
        <v>2770</v>
      </c>
      <c r="C279" s="27" t="s">
        <v>1509</v>
      </c>
      <c r="D279" s="27" t="s">
        <v>548</v>
      </c>
      <c r="E279" s="27" t="s">
        <v>638</v>
      </c>
      <c r="F279" s="28">
        <v>46211.339323819448</v>
      </c>
      <c r="G279" s="28">
        <v>46248.406909375</v>
      </c>
      <c r="H279" s="28">
        <v>46211.339323819448</v>
      </c>
      <c r="I279" s="27" t="s">
        <v>2771</v>
      </c>
      <c r="J279" s="27" t="s">
        <v>2772</v>
      </c>
      <c r="K279" s="27" t="s">
        <v>566</v>
      </c>
      <c r="L279" s="27"/>
      <c r="M279" s="27" t="s">
        <v>778</v>
      </c>
      <c r="N279" s="27"/>
      <c r="O279" s="27"/>
      <c r="P279" s="27" t="s">
        <v>976</v>
      </c>
      <c r="Q279" s="27" t="s">
        <v>556</v>
      </c>
      <c r="R279" s="27" t="s">
        <v>659</v>
      </c>
      <c r="S279" s="27"/>
      <c r="T279" s="27" t="s">
        <v>559</v>
      </c>
      <c r="U279" s="27" t="s">
        <v>1509</v>
      </c>
      <c r="V279" s="28">
        <v>46211.339671319445</v>
      </c>
      <c r="W279" s="27" t="s">
        <v>976</v>
      </c>
      <c r="X279" s="27" t="s">
        <v>559</v>
      </c>
      <c r="Y279" s="27" t="s">
        <v>778</v>
      </c>
      <c r="Z279" s="28">
        <v>46212.264278761577</v>
      </c>
      <c r="AA279" s="27" t="s">
        <v>976</v>
      </c>
      <c r="AB279" s="27" t="s">
        <v>559</v>
      </c>
      <c r="AC279" s="27" t="s">
        <v>162</v>
      </c>
      <c r="AD279" s="28">
        <v>46222.867346261577</v>
      </c>
      <c r="AE279" s="27" t="s">
        <v>2597</v>
      </c>
      <c r="AF279" s="27" t="s">
        <v>559</v>
      </c>
      <c r="AG279" s="27" t="s">
        <v>259</v>
      </c>
      <c r="AH279" s="28">
        <v>46248.406909386576</v>
      </c>
      <c r="AI279" s="27" t="s">
        <v>2773</v>
      </c>
      <c r="AJ279" s="27" t="s">
        <v>2774</v>
      </c>
      <c r="AK279" s="27" t="s">
        <v>2775</v>
      </c>
      <c r="AL279" s="27" t="s">
        <v>107</v>
      </c>
      <c r="AM279" s="27" t="s">
        <v>2776</v>
      </c>
      <c r="AN279" s="27" t="s">
        <v>665</v>
      </c>
      <c r="AO279" s="27">
        <v>0</v>
      </c>
    </row>
    <row r="280" spans="1:41" hidden="1">
      <c r="A280" s="27" t="s">
        <v>2777</v>
      </c>
      <c r="B280" s="27" t="s">
        <v>2778</v>
      </c>
      <c r="C280" s="27" t="s">
        <v>1509</v>
      </c>
      <c r="D280" s="27" t="s">
        <v>548</v>
      </c>
      <c r="E280" s="27" t="s">
        <v>638</v>
      </c>
      <c r="F280" s="28">
        <v>46212.03723253472</v>
      </c>
      <c r="G280" s="28">
        <v>46234.470305011571</v>
      </c>
      <c r="H280" s="28">
        <v>46212.03723253472</v>
      </c>
      <c r="I280" s="27" t="s">
        <v>2779</v>
      </c>
      <c r="J280" s="27" t="s">
        <v>2780</v>
      </c>
      <c r="K280" s="27" t="s">
        <v>566</v>
      </c>
      <c r="L280" s="27"/>
      <c r="M280" s="27" t="s">
        <v>778</v>
      </c>
      <c r="N280" s="27"/>
      <c r="O280" s="27"/>
      <c r="P280" s="27" t="s">
        <v>976</v>
      </c>
      <c r="Q280" s="27" t="s">
        <v>556</v>
      </c>
      <c r="R280" s="27" t="s">
        <v>659</v>
      </c>
      <c r="S280" s="27"/>
      <c r="T280" s="27" t="s">
        <v>559</v>
      </c>
      <c r="U280" s="27" t="s">
        <v>1509</v>
      </c>
      <c r="V280" s="28">
        <v>46212.043282037041</v>
      </c>
      <c r="W280" s="27" t="s">
        <v>976</v>
      </c>
      <c r="X280" s="27" t="s">
        <v>559</v>
      </c>
      <c r="Y280" s="27" t="s">
        <v>778</v>
      </c>
      <c r="Z280" s="28">
        <v>46212.246299155093</v>
      </c>
      <c r="AA280" s="27" t="s">
        <v>976</v>
      </c>
      <c r="AB280" s="27" t="s">
        <v>559</v>
      </c>
      <c r="AC280" s="27" t="s">
        <v>162</v>
      </c>
      <c r="AD280" s="28">
        <v>46222.864841527778</v>
      </c>
      <c r="AE280" s="27" t="s">
        <v>2597</v>
      </c>
      <c r="AF280" s="27" t="s">
        <v>559</v>
      </c>
      <c r="AG280" s="27" t="s">
        <v>295</v>
      </c>
      <c r="AH280" s="28">
        <v>46234.470305023147</v>
      </c>
      <c r="AI280" s="27" t="s">
        <v>2781</v>
      </c>
      <c r="AJ280" s="27" t="s">
        <v>2782</v>
      </c>
      <c r="AK280" s="27">
        <v>4202</v>
      </c>
      <c r="AL280" s="27" t="s">
        <v>107</v>
      </c>
      <c r="AM280" s="27" t="s">
        <v>2783</v>
      </c>
      <c r="AN280" s="27" t="s">
        <v>665</v>
      </c>
      <c r="AO280" s="27">
        <v>0</v>
      </c>
    </row>
    <row r="281" spans="1:41" hidden="1">
      <c r="A281" s="27" t="s">
        <v>2784</v>
      </c>
      <c r="B281" s="27" t="s">
        <v>2785</v>
      </c>
      <c r="C281" s="27" t="s">
        <v>2297</v>
      </c>
      <c r="D281" s="27" t="s">
        <v>548</v>
      </c>
      <c r="E281" s="27" t="s">
        <v>549</v>
      </c>
      <c r="F281" s="28">
        <v>46212.095840335649</v>
      </c>
      <c r="G281" s="28">
        <v>46212.132312071757</v>
      </c>
      <c r="H281" s="28">
        <v>46212.095840335649</v>
      </c>
      <c r="I281" s="27" t="s">
        <v>2786</v>
      </c>
      <c r="J281" s="27" t="s">
        <v>2787</v>
      </c>
      <c r="K281" s="27" t="s">
        <v>676</v>
      </c>
      <c r="L281" s="27" t="s">
        <v>2300</v>
      </c>
      <c r="M281" s="27" t="s">
        <v>2297</v>
      </c>
      <c r="N281" s="27" t="s">
        <v>2788</v>
      </c>
      <c r="O281" s="27">
        <v>1997</v>
      </c>
      <c r="P281" s="27" t="s">
        <v>2789</v>
      </c>
      <c r="Q281" s="27" t="s">
        <v>1264</v>
      </c>
      <c r="R281" s="27" t="s">
        <v>583</v>
      </c>
      <c r="S281" s="27"/>
      <c r="T281" s="27" t="s">
        <v>559</v>
      </c>
      <c r="U281" s="27" t="s">
        <v>2297</v>
      </c>
      <c r="V281" s="28">
        <v>46212.098091655091</v>
      </c>
      <c r="W281" s="27" t="s">
        <v>2790</v>
      </c>
      <c r="X281" s="27" t="s">
        <v>559</v>
      </c>
      <c r="Y281" s="27" t="s">
        <v>2297</v>
      </c>
      <c r="Z281" s="28">
        <v>46212.098678657407</v>
      </c>
      <c r="AA281" s="27" t="s">
        <v>559</v>
      </c>
      <c r="AB281" s="27" t="s">
        <v>549</v>
      </c>
      <c r="AC281" s="27" t="s">
        <v>2748</v>
      </c>
      <c r="AD281" s="28">
        <v>46212.132312094909</v>
      </c>
      <c r="AE281" s="27" t="s">
        <v>2791</v>
      </c>
      <c r="AF281" s="27"/>
      <c r="AG281" s="27" t="s">
        <v>126</v>
      </c>
      <c r="AH281" s="28"/>
      <c r="AI281" s="27"/>
      <c r="AJ281" s="27" t="s">
        <v>2792</v>
      </c>
      <c r="AK281" s="27">
        <v>1997</v>
      </c>
      <c r="AL281" s="27"/>
      <c r="AM281" s="27"/>
      <c r="AN281" s="27" t="s">
        <v>710</v>
      </c>
      <c r="AO281" s="27">
        <v>180</v>
      </c>
    </row>
    <row r="282" spans="1:41" hidden="1">
      <c r="A282" s="27" t="s">
        <v>2793</v>
      </c>
      <c r="B282" s="27" t="s">
        <v>2794</v>
      </c>
      <c r="C282" s="27" t="s">
        <v>2795</v>
      </c>
      <c r="D282" s="27" t="s">
        <v>548</v>
      </c>
      <c r="E282" s="27" t="s">
        <v>578</v>
      </c>
      <c r="F282" s="28">
        <v>46212.432087094909</v>
      </c>
      <c r="G282" s="28">
        <v>46230.129561979164</v>
      </c>
      <c r="H282" s="28">
        <v>46230.118697835649</v>
      </c>
      <c r="I282" s="27" t="s">
        <v>2796</v>
      </c>
      <c r="J282" s="27" t="s">
        <v>2797</v>
      </c>
      <c r="K282" s="27" t="s">
        <v>676</v>
      </c>
      <c r="L282" s="27" t="s">
        <v>2798</v>
      </c>
      <c r="M282" s="27" t="s">
        <v>2799</v>
      </c>
      <c r="N282" s="27"/>
      <c r="O282" s="27"/>
      <c r="P282" s="27" t="s">
        <v>2800</v>
      </c>
      <c r="Q282" s="27" t="s">
        <v>556</v>
      </c>
      <c r="R282" s="27" t="s">
        <v>659</v>
      </c>
      <c r="S282" s="27"/>
      <c r="T282" s="27" t="s">
        <v>549</v>
      </c>
      <c r="U282" s="27" t="s">
        <v>2795</v>
      </c>
      <c r="V282" s="28">
        <v>46230.12956199074</v>
      </c>
      <c r="W282" s="27"/>
      <c r="X282" s="27"/>
      <c r="Y282" s="27" t="s">
        <v>2799</v>
      </c>
      <c r="Z282" s="28"/>
      <c r="AA282" s="27"/>
      <c r="AB282" s="27"/>
      <c r="AC282" s="27" t="s">
        <v>573</v>
      </c>
      <c r="AD282" s="28"/>
      <c r="AE282" s="27"/>
      <c r="AF282" s="27"/>
      <c r="AG282" s="27" t="s">
        <v>573</v>
      </c>
      <c r="AH282" s="28"/>
      <c r="AI282" s="27"/>
      <c r="AJ282" s="27" t="s">
        <v>2801</v>
      </c>
      <c r="AK282" s="27" t="s">
        <v>2802</v>
      </c>
      <c r="AL282" s="27" t="s">
        <v>107</v>
      </c>
      <c r="AM282" s="27"/>
      <c r="AN282" s="27" t="s">
        <v>687</v>
      </c>
      <c r="AO282" s="27">
        <v>0</v>
      </c>
    </row>
    <row r="283" spans="1:41" hidden="1">
      <c r="A283" s="27" t="s">
        <v>2803</v>
      </c>
      <c r="B283" s="27" t="s">
        <v>2804</v>
      </c>
      <c r="C283" s="27" t="s">
        <v>2805</v>
      </c>
      <c r="D283" s="27" t="s">
        <v>548</v>
      </c>
      <c r="E283" s="27" t="s">
        <v>549</v>
      </c>
      <c r="F283" s="28">
        <v>46213.075873055554</v>
      </c>
      <c r="G283" s="28">
        <v>46248.322439039352</v>
      </c>
      <c r="H283" s="28">
        <v>46216.40272121528</v>
      </c>
      <c r="I283" s="27" t="s">
        <v>134</v>
      </c>
      <c r="J283" s="27" t="s">
        <v>135</v>
      </c>
      <c r="K283" s="27" t="s">
        <v>676</v>
      </c>
      <c r="L283" s="27" t="s">
        <v>2806</v>
      </c>
      <c r="M283" s="27" t="s">
        <v>2807</v>
      </c>
      <c r="N283" s="27"/>
      <c r="O283" s="27"/>
      <c r="P283" s="27" t="s">
        <v>2808</v>
      </c>
      <c r="Q283" s="27" t="s">
        <v>569</v>
      </c>
      <c r="R283" s="27" t="s">
        <v>557</v>
      </c>
      <c r="S283" s="27"/>
      <c r="T283" s="27" t="s">
        <v>559</v>
      </c>
      <c r="U283" s="27" t="s">
        <v>2805</v>
      </c>
      <c r="V283" s="28">
        <v>46217.082337268519</v>
      </c>
      <c r="W283" s="27" t="s">
        <v>2809</v>
      </c>
      <c r="X283" s="27" t="s">
        <v>559</v>
      </c>
      <c r="Y283" s="27" t="s">
        <v>609</v>
      </c>
      <c r="Z283" s="28">
        <v>46248.321923344905</v>
      </c>
      <c r="AA283" s="27" t="s">
        <v>2810</v>
      </c>
      <c r="AB283" s="27" t="s">
        <v>549</v>
      </c>
      <c r="AC283" s="27" t="s">
        <v>609</v>
      </c>
      <c r="AD283" s="28">
        <v>46248.322439039352</v>
      </c>
      <c r="AE283" s="27" t="s">
        <v>2810</v>
      </c>
      <c r="AF283" s="27"/>
      <c r="AG283" s="27" t="s">
        <v>573</v>
      </c>
      <c r="AH283" s="28"/>
      <c r="AI283" s="27"/>
      <c r="AJ283" s="27" t="s">
        <v>2811</v>
      </c>
      <c r="AK283" s="27">
        <v>955</v>
      </c>
      <c r="AL283" s="27"/>
      <c r="AM283" s="27"/>
      <c r="AN283" s="27" t="s">
        <v>710</v>
      </c>
      <c r="AO283" s="27"/>
    </row>
    <row r="284" spans="1:41" hidden="1">
      <c r="A284" s="27" t="s">
        <v>2812</v>
      </c>
      <c r="B284" s="27" t="s">
        <v>2813</v>
      </c>
      <c r="C284" s="27" t="s">
        <v>2814</v>
      </c>
      <c r="D284" s="27" t="s">
        <v>548</v>
      </c>
      <c r="E284" s="27" t="s">
        <v>668</v>
      </c>
      <c r="F284" s="28">
        <v>46213.096720682872</v>
      </c>
      <c r="G284" s="28">
        <v>46213.097909247685</v>
      </c>
      <c r="H284" s="28">
        <v>46213.096720682872</v>
      </c>
      <c r="I284" s="27" t="s">
        <v>2815</v>
      </c>
      <c r="J284" s="27" t="s">
        <v>2816</v>
      </c>
      <c r="K284" s="27" t="s">
        <v>676</v>
      </c>
      <c r="L284" s="27" t="s">
        <v>794</v>
      </c>
      <c r="M284" s="27" t="s">
        <v>2817</v>
      </c>
      <c r="N284" s="27" t="s">
        <v>2818</v>
      </c>
      <c r="O284" s="27"/>
      <c r="P284" s="27" t="s">
        <v>2819</v>
      </c>
      <c r="Q284" s="27" t="s">
        <v>623</v>
      </c>
      <c r="R284" s="27" t="s">
        <v>583</v>
      </c>
      <c r="S284" s="27"/>
      <c r="T284" s="27" t="s">
        <v>559</v>
      </c>
      <c r="U284" s="27" t="s">
        <v>2814</v>
      </c>
      <c r="V284" s="28">
        <v>46213.097909247685</v>
      </c>
      <c r="W284" s="27" t="s">
        <v>2820</v>
      </c>
      <c r="X284" s="27"/>
      <c r="Y284" s="27" t="s">
        <v>2821</v>
      </c>
      <c r="Z284" s="28"/>
      <c r="AA284" s="27"/>
      <c r="AB284" s="27"/>
      <c r="AC284" s="27" t="s">
        <v>2723</v>
      </c>
      <c r="AD284" s="28"/>
      <c r="AE284" s="27"/>
      <c r="AF284" s="27"/>
      <c r="AG284" s="27" t="s">
        <v>126</v>
      </c>
      <c r="AH284" s="28"/>
      <c r="AI284" s="27"/>
      <c r="AJ284" s="27" t="s">
        <v>2822</v>
      </c>
      <c r="AK284" s="27">
        <v>4201</v>
      </c>
      <c r="AL284" s="27"/>
      <c r="AM284" s="27"/>
      <c r="AN284" s="27" t="s">
        <v>710</v>
      </c>
      <c r="AO284" s="27">
        <v>30</v>
      </c>
    </row>
    <row r="285" spans="1:41">
      <c r="A285" s="27" t="s">
        <v>2823</v>
      </c>
      <c r="B285" s="27" t="s">
        <v>301</v>
      </c>
      <c r="C285" s="27" t="s">
        <v>1509</v>
      </c>
      <c r="D285" s="27" t="s">
        <v>548</v>
      </c>
      <c r="E285" s="27" t="s">
        <v>67</v>
      </c>
      <c r="F285" s="28">
        <v>46213.153485821756</v>
      </c>
      <c r="G285" s="28">
        <v>46222.859591030094</v>
      </c>
      <c r="H285" s="28">
        <v>46213.153485821756</v>
      </c>
      <c r="I285" s="27" t="s">
        <v>302</v>
      </c>
      <c r="J285" s="27" t="s">
        <v>303</v>
      </c>
      <c r="K285" s="27" t="s">
        <v>566</v>
      </c>
      <c r="L285" s="27"/>
      <c r="M285" s="27" t="s">
        <v>778</v>
      </c>
      <c r="N285" s="27"/>
      <c r="O285" s="27"/>
      <c r="P285" s="27" t="s">
        <v>976</v>
      </c>
      <c r="Q285" s="27" t="s">
        <v>556</v>
      </c>
      <c r="R285" s="27" t="s">
        <v>659</v>
      </c>
      <c r="S285" s="27"/>
      <c r="T285" s="27" t="s">
        <v>559</v>
      </c>
      <c r="U285" s="27" t="s">
        <v>1509</v>
      </c>
      <c r="V285" s="28">
        <v>46213.15433578704</v>
      </c>
      <c r="W285" s="27" t="s">
        <v>976</v>
      </c>
      <c r="X285" s="27" t="s">
        <v>559</v>
      </c>
      <c r="Y285" s="27" t="s">
        <v>778</v>
      </c>
      <c r="Z285" s="28">
        <v>46219.126527997687</v>
      </c>
      <c r="AA285" s="27" t="s">
        <v>976</v>
      </c>
      <c r="AB285" s="27" t="s">
        <v>559</v>
      </c>
      <c r="AC285" s="27" t="s">
        <v>162</v>
      </c>
      <c r="AD285" s="28">
        <v>46222.85959104167</v>
      </c>
      <c r="AE285" s="27" t="s">
        <v>2824</v>
      </c>
      <c r="AF285" s="27"/>
      <c r="AG285" s="27" t="s">
        <v>295</v>
      </c>
      <c r="AH285" s="28"/>
      <c r="AI285" s="27"/>
      <c r="AJ285" s="27" t="s">
        <v>1369</v>
      </c>
      <c r="AK285" s="27">
        <v>3374</v>
      </c>
      <c r="AL285" s="27" t="s">
        <v>125</v>
      </c>
      <c r="AM285" s="27" t="s">
        <v>2825</v>
      </c>
      <c r="AN285" s="27" t="s">
        <v>665</v>
      </c>
      <c r="AO285" s="27">
        <v>0</v>
      </c>
    </row>
    <row r="286" spans="1:41" hidden="1">
      <c r="A286" s="27" t="s">
        <v>2826</v>
      </c>
      <c r="B286" s="27" t="s">
        <v>2827</v>
      </c>
      <c r="C286" s="27" t="s">
        <v>1734</v>
      </c>
      <c r="D286" s="27" t="s">
        <v>548</v>
      </c>
      <c r="E286" s="27" t="s">
        <v>668</v>
      </c>
      <c r="F286" s="28">
        <v>46216.196199583334</v>
      </c>
      <c r="G286" s="28">
        <v>46231.183565902778</v>
      </c>
      <c r="H286" s="28">
        <v>46216.196199583334</v>
      </c>
      <c r="I286" s="27" t="s">
        <v>2828</v>
      </c>
      <c r="J286" s="27" t="s">
        <v>2829</v>
      </c>
      <c r="K286" s="27" t="s">
        <v>566</v>
      </c>
      <c r="L286" s="27"/>
      <c r="M286" s="27" t="s">
        <v>2830</v>
      </c>
      <c r="N286" s="27"/>
      <c r="O286" s="27"/>
      <c r="P286" s="27" t="s">
        <v>2831</v>
      </c>
      <c r="Q286" s="27" t="s">
        <v>623</v>
      </c>
      <c r="R286" s="27" t="s">
        <v>557</v>
      </c>
      <c r="S286" s="27"/>
      <c r="T286" s="27" t="s">
        <v>559</v>
      </c>
      <c r="U286" s="27" t="s">
        <v>1734</v>
      </c>
      <c r="V286" s="28">
        <v>46231.183565902778</v>
      </c>
      <c r="W286" s="27" t="s">
        <v>2832</v>
      </c>
      <c r="X286" s="27"/>
      <c r="Y286" s="27" t="s">
        <v>2830</v>
      </c>
      <c r="Z286" s="28"/>
      <c r="AA286" s="27"/>
      <c r="AB286" s="27"/>
      <c r="AC286" s="27" t="s">
        <v>2723</v>
      </c>
      <c r="AD286" s="28"/>
      <c r="AE286" s="27"/>
      <c r="AF286" s="27"/>
      <c r="AG286" s="27" t="s">
        <v>126</v>
      </c>
      <c r="AH286" s="28"/>
      <c r="AI286" s="27"/>
      <c r="AJ286" s="27" t="s">
        <v>2833</v>
      </c>
      <c r="AK286" s="27" t="s">
        <v>2834</v>
      </c>
      <c r="AL286" s="27"/>
      <c r="AM286" s="27"/>
      <c r="AN286" s="27" t="s">
        <v>687</v>
      </c>
      <c r="AO286" s="27">
        <v>0</v>
      </c>
    </row>
    <row r="287" spans="1:41" hidden="1">
      <c r="A287" s="27" t="s">
        <v>2835</v>
      </c>
      <c r="B287" s="27" t="s">
        <v>211</v>
      </c>
      <c r="C287" s="27" t="s">
        <v>775</v>
      </c>
      <c r="D287" s="27" t="s">
        <v>548</v>
      </c>
      <c r="E287" s="27" t="s">
        <v>67</v>
      </c>
      <c r="F287" s="28">
        <v>46216.363403877316</v>
      </c>
      <c r="G287" s="28">
        <v>46222.859134328704</v>
      </c>
      <c r="H287" s="28">
        <v>46216.363403877316</v>
      </c>
      <c r="I287" s="27" t="s">
        <v>212</v>
      </c>
      <c r="J287" s="27" t="s">
        <v>213</v>
      </c>
      <c r="K287" s="27" t="s">
        <v>566</v>
      </c>
      <c r="L287" s="27"/>
      <c r="M287" s="27" t="s">
        <v>778</v>
      </c>
      <c r="N287" s="27" t="s">
        <v>794</v>
      </c>
      <c r="O287" s="27">
        <v>1802</v>
      </c>
      <c r="P287" s="27" t="s">
        <v>2836</v>
      </c>
      <c r="Q287" s="27" t="s">
        <v>556</v>
      </c>
      <c r="R287" s="27" t="s">
        <v>659</v>
      </c>
      <c r="S287" s="27"/>
      <c r="T287" s="27" t="s">
        <v>559</v>
      </c>
      <c r="U287" s="27" t="s">
        <v>775</v>
      </c>
      <c r="V287" s="28">
        <v>46216.365481967594</v>
      </c>
      <c r="W287" s="27" t="s">
        <v>2837</v>
      </c>
      <c r="X287" s="27" t="s">
        <v>559</v>
      </c>
      <c r="Y287" s="27" t="s">
        <v>778</v>
      </c>
      <c r="Z287" s="28">
        <v>46217.141275601854</v>
      </c>
      <c r="AA287" s="27" t="s">
        <v>2836</v>
      </c>
      <c r="AB287" s="27" t="s">
        <v>559</v>
      </c>
      <c r="AC287" s="27" t="s">
        <v>162</v>
      </c>
      <c r="AD287" s="28">
        <v>46222.85913434028</v>
      </c>
      <c r="AE287" s="27" t="s">
        <v>2597</v>
      </c>
      <c r="AF287" s="27"/>
      <c r="AG287" s="27" t="s">
        <v>214</v>
      </c>
      <c r="AH287" s="28"/>
      <c r="AI287" s="27"/>
      <c r="AJ287" s="27" t="s">
        <v>2838</v>
      </c>
      <c r="AK287" s="27">
        <v>1802</v>
      </c>
      <c r="AL287" s="27" t="s">
        <v>107</v>
      </c>
      <c r="AM287" s="27" t="s">
        <v>2839</v>
      </c>
      <c r="AN287" s="27" t="s">
        <v>665</v>
      </c>
      <c r="AO287" s="27">
        <v>0</v>
      </c>
    </row>
    <row r="288" spans="1:41" hidden="1">
      <c r="A288" s="27" t="s">
        <v>2840</v>
      </c>
      <c r="B288" s="27" t="s">
        <v>2841</v>
      </c>
      <c r="C288" s="27" t="s">
        <v>618</v>
      </c>
      <c r="D288" s="27" t="s">
        <v>548</v>
      </c>
      <c r="E288" s="27" t="s">
        <v>578</v>
      </c>
      <c r="F288" s="28">
        <v>46217.161714108799</v>
      </c>
      <c r="G288" s="28">
        <v>46217.328436122683</v>
      </c>
      <c r="H288" s="28">
        <v>46217.282111898145</v>
      </c>
      <c r="I288" s="27" t="s">
        <v>2842</v>
      </c>
      <c r="J288" s="27" t="s">
        <v>2843</v>
      </c>
      <c r="K288" s="27" t="s">
        <v>676</v>
      </c>
      <c r="L288" s="27" t="s">
        <v>839</v>
      </c>
      <c r="M288" s="27" t="s">
        <v>621</v>
      </c>
      <c r="N288" s="27" t="s">
        <v>2844</v>
      </c>
      <c r="O288" s="27"/>
      <c r="P288" s="27" t="s">
        <v>2845</v>
      </c>
      <c r="Q288" s="27" t="s">
        <v>623</v>
      </c>
      <c r="R288" s="27" t="s">
        <v>583</v>
      </c>
      <c r="S288" s="27"/>
      <c r="T288" s="27" t="s">
        <v>549</v>
      </c>
      <c r="U288" s="27" t="s">
        <v>618</v>
      </c>
      <c r="V288" s="28">
        <v>46217.328436134259</v>
      </c>
      <c r="W288" s="27"/>
      <c r="X288" s="27"/>
      <c r="Y288" s="27" t="s">
        <v>624</v>
      </c>
      <c r="Z288" s="28"/>
      <c r="AA288" s="27"/>
      <c r="AB288" s="27"/>
      <c r="AC288" s="27" t="s">
        <v>573</v>
      </c>
      <c r="AD288" s="28"/>
      <c r="AE288" s="27"/>
      <c r="AF288" s="27"/>
      <c r="AG288" s="27" t="s">
        <v>573</v>
      </c>
      <c r="AH288" s="28"/>
      <c r="AI288" s="27"/>
      <c r="AJ288" s="27" t="s">
        <v>2846</v>
      </c>
      <c r="AK288" s="27">
        <v>3823</v>
      </c>
      <c r="AL288" s="27"/>
      <c r="AM288" s="27"/>
      <c r="AN288" s="27" t="s">
        <v>687</v>
      </c>
      <c r="AO288" s="27">
        <v>0</v>
      </c>
    </row>
    <row r="289" spans="1:41" hidden="1">
      <c r="A289" s="27" t="s">
        <v>2847</v>
      </c>
      <c r="B289" s="27" t="s">
        <v>2848</v>
      </c>
      <c r="C289" s="27" t="s">
        <v>618</v>
      </c>
      <c r="D289" s="27" t="s">
        <v>548</v>
      </c>
      <c r="E289" s="27" t="s">
        <v>578</v>
      </c>
      <c r="F289" s="28">
        <v>46217.28798079861</v>
      </c>
      <c r="G289" s="28">
        <v>46217.400406932873</v>
      </c>
      <c r="H289" s="28">
        <v>46217.28798079861</v>
      </c>
      <c r="I289" s="27" t="s">
        <v>2842</v>
      </c>
      <c r="J289" s="27" t="s">
        <v>2849</v>
      </c>
      <c r="K289" s="27" t="s">
        <v>676</v>
      </c>
      <c r="L289" s="27" t="s">
        <v>839</v>
      </c>
      <c r="M289" s="27" t="s">
        <v>621</v>
      </c>
      <c r="N289" s="27" t="s">
        <v>2850</v>
      </c>
      <c r="O289" s="27"/>
      <c r="P289" s="27" t="s">
        <v>2845</v>
      </c>
      <c r="Q289" s="27" t="s">
        <v>623</v>
      </c>
      <c r="R289" s="27" t="s">
        <v>583</v>
      </c>
      <c r="S289" s="27"/>
      <c r="T289" s="27" t="s">
        <v>549</v>
      </c>
      <c r="U289" s="27" t="s">
        <v>618</v>
      </c>
      <c r="V289" s="28">
        <v>46217.400406944442</v>
      </c>
      <c r="W289" s="27"/>
      <c r="X289" s="27"/>
      <c r="Y289" s="27" t="s">
        <v>624</v>
      </c>
      <c r="Z289" s="28"/>
      <c r="AA289" s="27"/>
      <c r="AB289" s="27"/>
      <c r="AC289" s="27" t="s">
        <v>2723</v>
      </c>
      <c r="AD289" s="28"/>
      <c r="AE289" s="27"/>
      <c r="AF289" s="27"/>
      <c r="AG289" s="27" t="s">
        <v>126</v>
      </c>
      <c r="AH289" s="28"/>
      <c r="AI289" s="27"/>
      <c r="AJ289" s="27" t="s">
        <v>2846</v>
      </c>
      <c r="AK289" s="27">
        <v>176</v>
      </c>
      <c r="AL289" s="27"/>
      <c r="AM289" s="27"/>
      <c r="AN289" s="27" t="s">
        <v>687</v>
      </c>
      <c r="AO289" s="27">
        <v>0</v>
      </c>
    </row>
    <row r="290" spans="1:41" hidden="1">
      <c r="A290" s="27" t="s">
        <v>2851</v>
      </c>
      <c r="B290" s="27" t="s">
        <v>2852</v>
      </c>
      <c r="C290" s="27" t="s">
        <v>618</v>
      </c>
      <c r="D290" s="27" t="s">
        <v>548</v>
      </c>
      <c r="E290" s="27" t="s">
        <v>638</v>
      </c>
      <c r="F290" s="28">
        <v>46217.332905636576</v>
      </c>
      <c r="G290" s="28">
        <v>46248.729913634263</v>
      </c>
      <c r="H290" s="28">
        <v>46217.332905636576</v>
      </c>
      <c r="I290" s="27" t="s">
        <v>2842</v>
      </c>
      <c r="J290" s="27" t="s">
        <v>2849</v>
      </c>
      <c r="K290" s="27" t="s">
        <v>676</v>
      </c>
      <c r="L290" s="27" t="s">
        <v>839</v>
      </c>
      <c r="M290" s="27" t="s">
        <v>621</v>
      </c>
      <c r="N290" s="27" t="s">
        <v>2850</v>
      </c>
      <c r="O290" s="27"/>
      <c r="P290" s="27" t="s">
        <v>2845</v>
      </c>
      <c r="Q290" s="27" t="s">
        <v>623</v>
      </c>
      <c r="R290" s="27" t="s">
        <v>583</v>
      </c>
      <c r="S290" s="27"/>
      <c r="T290" s="27" t="s">
        <v>559</v>
      </c>
      <c r="U290" s="27" t="s">
        <v>618</v>
      </c>
      <c r="V290" s="28">
        <v>46217.399275104166</v>
      </c>
      <c r="W290" s="27" t="s">
        <v>2853</v>
      </c>
      <c r="X290" s="27" t="s">
        <v>559</v>
      </c>
      <c r="Y290" s="27" t="s">
        <v>624</v>
      </c>
      <c r="Z290" s="28">
        <v>46220.100748761572</v>
      </c>
      <c r="AA290" s="27" t="s">
        <v>2854</v>
      </c>
      <c r="AB290" s="27" t="s">
        <v>559</v>
      </c>
      <c r="AC290" s="27" t="s">
        <v>162</v>
      </c>
      <c r="AD290" s="28">
        <v>46230.161696701391</v>
      </c>
      <c r="AE290" s="27" t="s">
        <v>681</v>
      </c>
      <c r="AF290" s="27" t="s">
        <v>559</v>
      </c>
      <c r="AG290" s="27" t="s">
        <v>259</v>
      </c>
      <c r="AH290" s="28">
        <v>46248.729913634263</v>
      </c>
      <c r="AI290" s="27" t="s">
        <v>2855</v>
      </c>
      <c r="AJ290" s="27" t="s">
        <v>2846</v>
      </c>
      <c r="AK290" s="27">
        <v>176</v>
      </c>
      <c r="AL290" s="27" t="s">
        <v>107</v>
      </c>
      <c r="AM290" s="27" t="s">
        <v>2856</v>
      </c>
      <c r="AN290" s="27" t="s">
        <v>687</v>
      </c>
      <c r="AO290" s="27">
        <v>0</v>
      </c>
    </row>
    <row r="291" spans="1:41" hidden="1">
      <c r="A291" s="27" t="s">
        <v>2857</v>
      </c>
      <c r="B291" s="27" t="s">
        <v>2858</v>
      </c>
      <c r="C291" s="27" t="s">
        <v>2859</v>
      </c>
      <c r="D291" s="27" t="s">
        <v>548</v>
      </c>
      <c r="E291" s="27" t="s">
        <v>578</v>
      </c>
      <c r="F291" s="28">
        <v>46218.174622199076</v>
      </c>
      <c r="G291" s="28">
        <v>46218.178213090279</v>
      </c>
      <c r="H291" s="28">
        <v>46218.174622199076</v>
      </c>
      <c r="I291" s="27" t="s">
        <v>2860</v>
      </c>
      <c r="J291" s="27" t="s">
        <v>2861</v>
      </c>
      <c r="K291" s="27" t="s">
        <v>566</v>
      </c>
      <c r="L291" s="27"/>
      <c r="M291" s="27" t="s">
        <v>2862</v>
      </c>
      <c r="N291" s="27"/>
      <c r="O291" s="27"/>
      <c r="P291" s="27" t="s">
        <v>2863</v>
      </c>
      <c r="Q291" s="27" t="s">
        <v>556</v>
      </c>
      <c r="R291" s="27" t="s">
        <v>583</v>
      </c>
      <c r="S291" s="27"/>
      <c r="T291" s="27" t="s">
        <v>549</v>
      </c>
      <c r="U291" s="27" t="s">
        <v>2859</v>
      </c>
      <c r="V291" s="28">
        <v>46218.178213113424</v>
      </c>
      <c r="W291" s="27"/>
      <c r="X291" s="27"/>
      <c r="Y291" s="27" t="s">
        <v>2862</v>
      </c>
      <c r="Z291" s="28"/>
      <c r="AA291" s="27"/>
      <c r="AB291" s="27"/>
      <c r="AC291" s="27" t="s">
        <v>2723</v>
      </c>
      <c r="AD291" s="28"/>
      <c r="AE291" s="27"/>
      <c r="AF291" s="27"/>
      <c r="AG291" s="27" t="s">
        <v>126</v>
      </c>
      <c r="AH291" s="28"/>
      <c r="AI291" s="27"/>
      <c r="AJ291" s="27" t="s">
        <v>2864</v>
      </c>
      <c r="AK291" s="27" t="s">
        <v>2865</v>
      </c>
      <c r="AL291" s="27"/>
      <c r="AM291" s="27"/>
      <c r="AN291" s="27" t="s">
        <v>665</v>
      </c>
      <c r="AO291" s="27">
        <v>0</v>
      </c>
    </row>
    <row r="292" spans="1:41">
      <c r="A292" s="27" t="s">
        <v>2866</v>
      </c>
      <c r="B292" s="27" t="s">
        <v>304</v>
      </c>
      <c r="C292" s="27" t="s">
        <v>850</v>
      </c>
      <c r="D292" s="27" t="s">
        <v>548</v>
      </c>
      <c r="E292" s="27" t="s">
        <v>67</v>
      </c>
      <c r="F292" s="28">
        <v>46219.115175960651</v>
      </c>
      <c r="G292" s="28">
        <v>46222.85863195602</v>
      </c>
      <c r="H292" s="28">
        <v>46219.115175960651</v>
      </c>
      <c r="I292" s="27" t="s">
        <v>219</v>
      </c>
      <c r="J292" s="27" t="s">
        <v>220</v>
      </c>
      <c r="K292" s="27" t="s">
        <v>566</v>
      </c>
      <c r="L292" s="27"/>
      <c r="M292" s="27" t="s">
        <v>778</v>
      </c>
      <c r="N292" s="27"/>
      <c r="O292" s="27"/>
      <c r="P292" s="27" t="s">
        <v>976</v>
      </c>
      <c r="Q292" s="27" t="s">
        <v>556</v>
      </c>
      <c r="R292" s="27" t="s">
        <v>659</v>
      </c>
      <c r="S292" s="27"/>
      <c r="T292" s="27" t="s">
        <v>559</v>
      </c>
      <c r="U292" s="27" t="s">
        <v>850</v>
      </c>
      <c r="V292" s="28">
        <v>46219.118473842595</v>
      </c>
      <c r="W292" s="27" t="s">
        <v>976</v>
      </c>
      <c r="X292" s="27" t="s">
        <v>559</v>
      </c>
      <c r="Y292" s="27" t="s">
        <v>778</v>
      </c>
      <c r="Z292" s="28">
        <v>46219.147912118053</v>
      </c>
      <c r="AA292" s="27" t="s">
        <v>976</v>
      </c>
      <c r="AB292" s="27" t="s">
        <v>559</v>
      </c>
      <c r="AC292" s="27" t="s">
        <v>162</v>
      </c>
      <c r="AD292" s="28">
        <v>46222.858631967596</v>
      </c>
      <c r="AE292" s="27" t="s">
        <v>2824</v>
      </c>
      <c r="AF292" s="27"/>
      <c r="AG292" s="27" t="s">
        <v>295</v>
      </c>
      <c r="AH292" s="28"/>
      <c r="AI292" s="27"/>
      <c r="AJ292" s="27" t="s">
        <v>2867</v>
      </c>
      <c r="AK292" s="27" t="s">
        <v>2868</v>
      </c>
      <c r="AL292" s="27" t="s">
        <v>107</v>
      </c>
      <c r="AM292" s="27" t="s">
        <v>2869</v>
      </c>
      <c r="AN292" s="27" t="s">
        <v>665</v>
      </c>
      <c r="AO292" s="27">
        <v>0</v>
      </c>
    </row>
    <row r="293" spans="1:41" hidden="1">
      <c r="A293" s="27" t="s">
        <v>2870</v>
      </c>
      <c r="B293" s="27" t="s">
        <v>218</v>
      </c>
      <c r="C293" s="27" t="s">
        <v>850</v>
      </c>
      <c r="D293" s="27" t="s">
        <v>548</v>
      </c>
      <c r="E293" s="27" t="s">
        <v>67</v>
      </c>
      <c r="F293" s="28">
        <v>46219.124604988428</v>
      </c>
      <c r="G293" s="28">
        <v>46222.858132997688</v>
      </c>
      <c r="H293" s="28">
        <v>46219.124604988428</v>
      </c>
      <c r="I293" s="27" t="s">
        <v>219</v>
      </c>
      <c r="J293" s="27" t="s">
        <v>220</v>
      </c>
      <c r="K293" s="27" t="s">
        <v>566</v>
      </c>
      <c r="L293" s="27"/>
      <c r="M293" s="27" t="s">
        <v>778</v>
      </c>
      <c r="N293" s="27"/>
      <c r="O293" s="27"/>
      <c r="P293" s="27" t="s">
        <v>976</v>
      </c>
      <c r="Q293" s="27" t="s">
        <v>556</v>
      </c>
      <c r="R293" s="27" t="s">
        <v>659</v>
      </c>
      <c r="S293" s="27"/>
      <c r="T293" s="27" t="s">
        <v>559</v>
      </c>
      <c r="U293" s="27" t="s">
        <v>850</v>
      </c>
      <c r="V293" s="28">
        <v>46219.125516192129</v>
      </c>
      <c r="W293" s="27" t="s">
        <v>976</v>
      </c>
      <c r="X293" s="27" t="s">
        <v>559</v>
      </c>
      <c r="Y293" s="27" t="s">
        <v>778</v>
      </c>
      <c r="Z293" s="28">
        <v>46219.191297280093</v>
      </c>
      <c r="AA293" s="27" t="s">
        <v>976</v>
      </c>
      <c r="AB293" s="27" t="s">
        <v>559</v>
      </c>
      <c r="AC293" s="27" t="s">
        <v>162</v>
      </c>
      <c r="AD293" s="28">
        <v>46222.858133009257</v>
      </c>
      <c r="AE293" s="27" t="s">
        <v>2597</v>
      </c>
      <c r="AF293" s="27"/>
      <c r="AG293" s="27" t="s">
        <v>214</v>
      </c>
      <c r="AH293" s="28"/>
      <c r="AI293" s="27"/>
      <c r="AJ293" s="27" t="s">
        <v>2867</v>
      </c>
      <c r="AK293" s="27" t="s">
        <v>2871</v>
      </c>
      <c r="AL293" s="27" t="s">
        <v>116</v>
      </c>
      <c r="AM293" s="27" t="s">
        <v>2872</v>
      </c>
      <c r="AN293" s="27" t="s">
        <v>665</v>
      </c>
      <c r="AO293" s="27">
        <v>0</v>
      </c>
    </row>
    <row r="294" spans="1:41" hidden="1">
      <c r="A294" s="27" t="s">
        <v>2873</v>
      </c>
      <c r="B294" s="27" t="s">
        <v>2874</v>
      </c>
      <c r="C294" s="27" t="s">
        <v>850</v>
      </c>
      <c r="D294" s="27" t="s">
        <v>548</v>
      </c>
      <c r="E294" s="27" t="s">
        <v>638</v>
      </c>
      <c r="F294" s="28">
        <v>46219.140974224538</v>
      </c>
      <c r="G294" s="28">
        <v>46234.469157650463</v>
      </c>
      <c r="H294" s="28">
        <v>46219.140974224538</v>
      </c>
      <c r="I294" s="27" t="s">
        <v>2875</v>
      </c>
      <c r="J294" s="27" t="s">
        <v>2876</v>
      </c>
      <c r="K294" s="27" t="s">
        <v>566</v>
      </c>
      <c r="L294" s="27"/>
      <c r="M294" s="27" t="s">
        <v>778</v>
      </c>
      <c r="N294" s="27"/>
      <c r="O294" s="27"/>
      <c r="P294" s="27" t="s">
        <v>976</v>
      </c>
      <c r="Q294" s="27" t="s">
        <v>556</v>
      </c>
      <c r="R294" s="27" t="s">
        <v>659</v>
      </c>
      <c r="S294" s="27"/>
      <c r="T294" s="27" t="s">
        <v>559</v>
      </c>
      <c r="U294" s="27" t="s">
        <v>850</v>
      </c>
      <c r="V294" s="28">
        <v>46219.143414918981</v>
      </c>
      <c r="W294" s="27" t="s">
        <v>976</v>
      </c>
      <c r="X294" s="27" t="s">
        <v>559</v>
      </c>
      <c r="Y294" s="27" t="s">
        <v>778</v>
      </c>
      <c r="Z294" s="28">
        <v>46219.200832766204</v>
      </c>
      <c r="AA294" s="27" t="s">
        <v>976</v>
      </c>
      <c r="AB294" s="27" t="s">
        <v>559</v>
      </c>
      <c r="AC294" s="27" t="s">
        <v>162</v>
      </c>
      <c r="AD294" s="28">
        <v>46222.79978429398</v>
      </c>
      <c r="AE294" s="27" t="s">
        <v>631</v>
      </c>
      <c r="AF294" s="27" t="s">
        <v>559</v>
      </c>
      <c r="AG294" s="27" t="s">
        <v>295</v>
      </c>
      <c r="AH294" s="28">
        <v>46234.469157662039</v>
      </c>
      <c r="AI294" s="27" t="s">
        <v>2877</v>
      </c>
      <c r="AJ294" s="27" t="s">
        <v>2878</v>
      </c>
      <c r="AK294" s="27" t="s">
        <v>2879</v>
      </c>
      <c r="AL294" s="27" t="s">
        <v>125</v>
      </c>
      <c r="AM294" s="27" t="s">
        <v>2880</v>
      </c>
      <c r="AN294" s="27" t="s">
        <v>665</v>
      </c>
      <c r="AO294" s="27">
        <v>0</v>
      </c>
    </row>
    <row r="295" spans="1:41" hidden="1">
      <c r="A295" s="27" t="s">
        <v>2881</v>
      </c>
      <c r="B295" s="27" t="s">
        <v>2882</v>
      </c>
      <c r="C295" s="27" t="s">
        <v>850</v>
      </c>
      <c r="D295" s="27" t="s">
        <v>548</v>
      </c>
      <c r="E295" s="27" t="s">
        <v>668</v>
      </c>
      <c r="F295" s="28">
        <v>46219.28086363426</v>
      </c>
      <c r="G295" s="28">
        <v>46219.28086363426</v>
      </c>
      <c r="H295" s="28">
        <v>46219.28086363426</v>
      </c>
      <c r="I295" s="27" t="s">
        <v>2883</v>
      </c>
      <c r="J295" s="27" t="s">
        <v>2884</v>
      </c>
      <c r="K295" s="27" t="s">
        <v>566</v>
      </c>
      <c r="L295" s="27"/>
      <c r="M295" s="27" t="s">
        <v>778</v>
      </c>
      <c r="N295" s="27"/>
      <c r="O295" s="27"/>
      <c r="P295" s="27" t="s">
        <v>976</v>
      </c>
      <c r="Q295" s="27" t="s">
        <v>556</v>
      </c>
      <c r="R295" s="27" t="s">
        <v>659</v>
      </c>
      <c r="S295" s="27"/>
      <c r="T295" s="27" t="s">
        <v>668</v>
      </c>
      <c r="U295" s="27" t="s">
        <v>850</v>
      </c>
      <c r="V295" s="28"/>
      <c r="W295" s="27"/>
      <c r="X295" s="27"/>
      <c r="Y295" s="27" t="s">
        <v>778</v>
      </c>
      <c r="Z295" s="28"/>
      <c r="AA295" s="27"/>
      <c r="AB295" s="27"/>
      <c r="AC295" s="27" t="s">
        <v>2723</v>
      </c>
      <c r="AD295" s="28"/>
      <c r="AE295" s="27"/>
      <c r="AF295" s="27"/>
      <c r="AG295" s="27" t="s">
        <v>126</v>
      </c>
      <c r="AH295" s="28"/>
      <c r="AI295" s="27"/>
      <c r="AJ295" s="27" t="s">
        <v>2885</v>
      </c>
      <c r="AK295" s="27" t="s">
        <v>2886</v>
      </c>
      <c r="AL295" s="27"/>
      <c r="AM295" s="27"/>
      <c r="AN295" s="27" t="s">
        <v>665</v>
      </c>
      <c r="AO295" s="27">
        <v>0</v>
      </c>
    </row>
    <row r="296" spans="1:41" hidden="1">
      <c r="A296" s="27" t="s">
        <v>2887</v>
      </c>
      <c r="B296" s="27" t="s">
        <v>2888</v>
      </c>
      <c r="C296" s="27" t="s">
        <v>2889</v>
      </c>
      <c r="D296" s="27" t="s">
        <v>548</v>
      </c>
      <c r="E296" s="27" t="s">
        <v>668</v>
      </c>
      <c r="F296" s="28">
        <v>46219.326117708333</v>
      </c>
      <c r="G296" s="28">
        <v>46219.333588981484</v>
      </c>
      <c r="H296" s="28">
        <v>46219.326117708333</v>
      </c>
      <c r="I296" s="27" t="s">
        <v>2890</v>
      </c>
      <c r="J296" s="27" t="s">
        <v>2891</v>
      </c>
      <c r="K296" s="27" t="s">
        <v>566</v>
      </c>
      <c r="L296" s="27"/>
      <c r="M296" s="27" t="s">
        <v>2892</v>
      </c>
      <c r="N296" s="27"/>
      <c r="O296" s="27"/>
      <c r="P296" s="27" t="s">
        <v>2893</v>
      </c>
      <c r="Q296" s="27" t="s">
        <v>556</v>
      </c>
      <c r="R296" s="27" t="s">
        <v>583</v>
      </c>
      <c r="S296" s="27"/>
      <c r="T296" s="27" t="s">
        <v>559</v>
      </c>
      <c r="U296" s="27" t="s">
        <v>2889</v>
      </c>
      <c r="V296" s="28">
        <v>46219.333588993053</v>
      </c>
      <c r="W296" s="27" t="s">
        <v>2893</v>
      </c>
      <c r="X296" s="27"/>
      <c r="Y296" s="27" t="s">
        <v>2892</v>
      </c>
      <c r="Z296" s="28"/>
      <c r="AA296" s="27"/>
      <c r="AB296" s="27"/>
      <c r="AC296" s="27" t="s">
        <v>2723</v>
      </c>
      <c r="AD296" s="28"/>
      <c r="AE296" s="27"/>
      <c r="AF296" s="27"/>
      <c r="AG296" s="27" t="s">
        <v>126</v>
      </c>
      <c r="AH296" s="28"/>
      <c r="AI296" s="27"/>
      <c r="AJ296" s="27" t="s">
        <v>2894</v>
      </c>
      <c r="AK296" s="27" t="s">
        <v>2895</v>
      </c>
      <c r="AL296" s="27"/>
      <c r="AM296" s="27"/>
      <c r="AN296" s="27" t="s">
        <v>665</v>
      </c>
      <c r="AO296" s="27">
        <v>0</v>
      </c>
    </row>
    <row r="297" spans="1:41" hidden="1">
      <c r="A297" s="27" t="s">
        <v>2896</v>
      </c>
      <c r="B297" s="27" t="s">
        <v>270</v>
      </c>
      <c r="C297" s="27" t="s">
        <v>2897</v>
      </c>
      <c r="D297" s="27" t="s">
        <v>548</v>
      </c>
      <c r="E297" s="27" t="s">
        <v>67</v>
      </c>
      <c r="F297" s="28">
        <v>46219.351567094905</v>
      </c>
      <c r="G297" s="28">
        <v>46239.622196388889</v>
      </c>
      <c r="H297" s="28">
        <v>46219.351567094905</v>
      </c>
      <c r="I297" s="27" t="s">
        <v>271</v>
      </c>
      <c r="J297" s="27" t="s">
        <v>272</v>
      </c>
      <c r="K297" s="27" t="s">
        <v>566</v>
      </c>
      <c r="L297" s="27"/>
      <c r="M297" s="27" t="s">
        <v>778</v>
      </c>
      <c r="N297" s="27"/>
      <c r="O297" s="27"/>
      <c r="P297" s="27" t="s">
        <v>976</v>
      </c>
      <c r="Q297" s="27" t="s">
        <v>556</v>
      </c>
      <c r="R297" s="27" t="s">
        <v>659</v>
      </c>
      <c r="S297" s="27"/>
      <c r="T297" s="27" t="s">
        <v>559</v>
      </c>
      <c r="U297" s="27" t="s">
        <v>2897</v>
      </c>
      <c r="V297" s="28">
        <v>46219.369400162039</v>
      </c>
      <c r="W297" s="27" t="s">
        <v>976</v>
      </c>
      <c r="X297" s="27" t="s">
        <v>559</v>
      </c>
      <c r="Y297" s="27" t="s">
        <v>778</v>
      </c>
      <c r="Z297" s="28">
        <v>46230.111956064815</v>
      </c>
      <c r="AA297" s="27" t="s">
        <v>2898</v>
      </c>
      <c r="AB297" s="27" t="s">
        <v>559</v>
      </c>
      <c r="AC297" s="27" t="s">
        <v>162</v>
      </c>
      <c r="AD297" s="28">
        <v>46239.622196400465</v>
      </c>
      <c r="AE297" s="27" t="s">
        <v>559</v>
      </c>
      <c r="AF297" s="27"/>
      <c r="AG297" s="27" t="s">
        <v>259</v>
      </c>
      <c r="AH297" s="28"/>
      <c r="AI297" s="27"/>
      <c r="AJ297" s="27" t="s">
        <v>2899</v>
      </c>
      <c r="AK297" s="27">
        <v>1387</v>
      </c>
      <c r="AL297" s="27" t="s">
        <v>107</v>
      </c>
      <c r="AM297" s="27" t="s">
        <v>2900</v>
      </c>
      <c r="AN297" s="27" t="s">
        <v>665</v>
      </c>
      <c r="AO297" s="27">
        <v>0</v>
      </c>
    </row>
    <row r="298" spans="1:41" hidden="1">
      <c r="A298" s="27" t="s">
        <v>2901</v>
      </c>
      <c r="B298" s="27" t="s">
        <v>2902</v>
      </c>
      <c r="C298" s="27" t="s">
        <v>618</v>
      </c>
      <c r="D298" s="27" t="s">
        <v>548</v>
      </c>
      <c r="E298" s="27" t="s">
        <v>668</v>
      </c>
      <c r="F298" s="28">
        <v>46224.313083935187</v>
      </c>
      <c r="G298" s="28">
        <v>46233.364008518518</v>
      </c>
      <c r="H298" s="28">
        <v>46224.313083935187</v>
      </c>
      <c r="I298" s="27" t="s">
        <v>2903</v>
      </c>
      <c r="J298" s="27" t="s">
        <v>2904</v>
      </c>
      <c r="K298" s="27" t="s">
        <v>676</v>
      </c>
      <c r="L298" s="27" t="s">
        <v>839</v>
      </c>
      <c r="M298" s="27" t="s">
        <v>621</v>
      </c>
      <c r="N298" s="27"/>
      <c r="O298" s="27"/>
      <c r="P298" s="27" t="s">
        <v>2905</v>
      </c>
      <c r="Q298" s="27" t="s">
        <v>556</v>
      </c>
      <c r="R298" s="27" t="s">
        <v>583</v>
      </c>
      <c r="S298" s="27"/>
      <c r="T298" s="27" t="s">
        <v>559</v>
      </c>
      <c r="U298" s="27" t="s">
        <v>618</v>
      </c>
      <c r="V298" s="28">
        <v>46233.364008530094</v>
      </c>
      <c r="W298" s="27" t="s">
        <v>2906</v>
      </c>
      <c r="X298" s="27"/>
      <c r="Y298" s="27" t="s">
        <v>624</v>
      </c>
      <c r="Z298" s="28"/>
      <c r="AA298" s="27"/>
      <c r="AB298" s="27"/>
      <c r="AC298" s="27" t="s">
        <v>2723</v>
      </c>
      <c r="AD298" s="28"/>
      <c r="AE298" s="27"/>
      <c r="AF298" s="27"/>
      <c r="AG298" s="27" t="s">
        <v>126</v>
      </c>
      <c r="AH298" s="28"/>
      <c r="AI298" s="27"/>
      <c r="AJ298" s="27" t="s">
        <v>2907</v>
      </c>
      <c r="AK298" s="27">
        <v>4620</v>
      </c>
      <c r="AL298" s="27"/>
      <c r="AM298" s="27"/>
      <c r="AN298" s="27" t="s">
        <v>665</v>
      </c>
      <c r="AO298" s="27">
        <v>0</v>
      </c>
    </row>
    <row r="299" spans="1:41" hidden="1">
      <c r="A299" s="27" t="s">
        <v>2908</v>
      </c>
      <c r="B299" s="27" t="s">
        <v>127</v>
      </c>
      <c r="C299" s="27" t="s">
        <v>850</v>
      </c>
      <c r="D299" s="27" t="s">
        <v>548</v>
      </c>
      <c r="E299" s="27" t="s">
        <v>70</v>
      </c>
      <c r="F299" s="28">
        <v>46225.028997314817</v>
      </c>
      <c r="G299" s="28">
        <v>46244.079157106484</v>
      </c>
      <c r="H299" s="28">
        <v>46225.028997314817</v>
      </c>
      <c r="I299" s="27" t="s">
        <v>128</v>
      </c>
      <c r="J299" s="27" t="s">
        <v>129</v>
      </c>
      <c r="K299" s="27" t="s">
        <v>566</v>
      </c>
      <c r="L299" s="27"/>
      <c r="M299" s="27" t="s">
        <v>778</v>
      </c>
      <c r="N299" s="27"/>
      <c r="O299" s="27"/>
      <c r="P299" s="27" t="s">
        <v>976</v>
      </c>
      <c r="Q299" s="27" t="s">
        <v>556</v>
      </c>
      <c r="R299" s="27" t="s">
        <v>659</v>
      </c>
      <c r="S299" s="27"/>
      <c r="T299" s="27" t="s">
        <v>559</v>
      </c>
      <c r="U299" s="27" t="s">
        <v>850</v>
      </c>
      <c r="V299" s="28">
        <v>46225.029215497685</v>
      </c>
      <c r="W299" s="27" t="s">
        <v>976</v>
      </c>
      <c r="X299" s="27" t="s">
        <v>559</v>
      </c>
      <c r="Y299" s="27" t="s">
        <v>778</v>
      </c>
      <c r="Z299" s="28">
        <v>46230.112486215279</v>
      </c>
      <c r="AA299" s="27" t="s">
        <v>2898</v>
      </c>
      <c r="AB299" s="27"/>
      <c r="AC299" s="27" t="s">
        <v>2491</v>
      </c>
      <c r="AD299" s="28"/>
      <c r="AE299" s="27"/>
      <c r="AF299" s="27"/>
      <c r="AG299" s="27" t="s">
        <v>126</v>
      </c>
      <c r="AH299" s="28"/>
      <c r="AI299" s="27"/>
      <c r="AJ299" s="27" t="s">
        <v>1739</v>
      </c>
      <c r="AK299" s="27">
        <v>3624</v>
      </c>
      <c r="AL299" s="27" t="s">
        <v>116</v>
      </c>
      <c r="AM299" s="27"/>
      <c r="AN299" s="27" t="s">
        <v>665</v>
      </c>
      <c r="AO299" s="27">
        <v>0</v>
      </c>
    </row>
    <row r="300" spans="1:41" hidden="1">
      <c r="A300" s="27" t="s">
        <v>2909</v>
      </c>
      <c r="B300" s="27" t="s">
        <v>287</v>
      </c>
      <c r="C300" s="27" t="s">
        <v>850</v>
      </c>
      <c r="D300" s="27" t="s">
        <v>548</v>
      </c>
      <c r="E300" s="27" t="s">
        <v>67</v>
      </c>
      <c r="F300" s="28">
        <v>46225.029883148149</v>
      </c>
      <c r="G300" s="28">
        <v>46239.622015520836</v>
      </c>
      <c r="H300" s="28">
        <v>46225.029883148149</v>
      </c>
      <c r="I300" s="27" t="s">
        <v>128</v>
      </c>
      <c r="J300" s="27" t="s">
        <v>288</v>
      </c>
      <c r="K300" s="27" t="s">
        <v>566</v>
      </c>
      <c r="L300" s="27"/>
      <c r="M300" s="27" t="s">
        <v>778</v>
      </c>
      <c r="N300" s="27"/>
      <c r="O300" s="27"/>
      <c r="P300" s="27" t="s">
        <v>976</v>
      </c>
      <c r="Q300" s="27" t="s">
        <v>556</v>
      </c>
      <c r="R300" s="27" t="s">
        <v>659</v>
      </c>
      <c r="S300" s="27"/>
      <c r="T300" s="27" t="s">
        <v>559</v>
      </c>
      <c r="U300" s="27" t="s">
        <v>850</v>
      </c>
      <c r="V300" s="28">
        <v>46225.031217511576</v>
      </c>
      <c r="W300" s="27" t="s">
        <v>976</v>
      </c>
      <c r="X300" s="27" t="s">
        <v>559</v>
      </c>
      <c r="Y300" s="27" t="s">
        <v>778</v>
      </c>
      <c r="Z300" s="28">
        <v>46230.114175810188</v>
      </c>
      <c r="AA300" s="27" t="s">
        <v>2898</v>
      </c>
      <c r="AB300" s="27" t="s">
        <v>559</v>
      </c>
      <c r="AC300" s="27" t="s">
        <v>162</v>
      </c>
      <c r="AD300" s="28">
        <v>46239.622015532404</v>
      </c>
      <c r="AE300" s="27" t="s">
        <v>2910</v>
      </c>
      <c r="AF300" s="27"/>
      <c r="AG300" s="27" t="s">
        <v>259</v>
      </c>
      <c r="AH300" s="28"/>
      <c r="AI300" s="27"/>
      <c r="AJ300" s="27" t="s">
        <v>1739</v>
      </c>
      <c r="AK300" s="27">
        <v>4596</v>
      </c>
      <c r="AL300" s="27" t="s">
        <v>116</v>
      </c>
      <c r="AM300" s="27" t="s">
        <v>2911</v>
      </c>
      <c r="AN300" s="27" t="s">
        <v>665</v>
      </c>
      <c r="AO300" s="27">
        <v>0</v>
      </c>
    </row>
    <row r="301" spans="1:41" hidden="1">
      <c r="A301" s="27" t="s">
        <v>2912</v>
      </c>
      <c r="B301" s="27" t="s">
        <v>2913</v>
      </c>
      <c r="C301" s="27" t="s">
        <v>1421</v>
      </c>
      <c r="D301" s="27" t="s">
        <v>548</v>
      </c>
      <c r="E301" s="27" t="s">
        <v>578</v>
      </c>
      <c r="F301" s="28">
        <v>46225.036578622683</v>
      </c>
      <c r="G301" s="28">
        <v>46225.064375150461</v>
      </c>
      <c r="H301" s="28">
        <v>46225.037024305559</v>
      </c>
      <c r="I301" s="27" t="s">
        <v>2914</v>
      </c>
      <c r="J301" s="27" t="s">
        <v>2915</v>
      </c>
      <c r="K301" s="27" t="s">
        <v>566</v>
      </c>
      <c r="L301" s="27"/>
      <c r="M301" s="27" t="s">
        <v>1121</v>
      </c>
      <c r="N301" s="27" t="s">
        <v>2916</v>
      </c>
      <c r="O301" s="27"/>
      <c r="P301" s="27" t="s">
        <v>2917</v>
      </c>
      <c r="Q301" s="27" t="s">
        <v>556</v>
      </c>
      <c r="R301" s="27" t="s">
        <v>583</v>
      </c>
      <c r="S301" s="27"/>
      <c r="T301" s="27" t="s">
        <v>549</v>
      </c>
      <c r="U301" s="27" t="s">
        <v>1421</v>
      </c>
      <c r="V301" s="28">
        <v>46225.064375150461</v>
      </c>
      <c r="W301" s="27"/>
      <c r="X301" s="27"/>
      <c r="Y301" s="27" t="s">
        <v>1121</v>
      </c>
      <c r="Z301" s="28"/>
      <c r="AA301" s="27"/>
      <c r="AB301" s="27"/>
      <c r="AC301" s="27" t="s">
        <v>573</v>
      </c>
      <c r="AD301" s="28"/>
      <c r="AE301" s="27"/>
      <c r="AF301" s="27"/>
      <c r="AG301" s="27" t="s">
        <v>573</v>
      </c>
      <c r="AH301" s="28"/>
      <c r="AI301" s="27"/>
      <c r="AJ301" s="27" t="s">
        <v>2918</v>
      </c>
      <c r="AK301" s="27">
        <v>1672</v>
      </c>
      <c r="AL301" s="27"/>
      <c r="AM301" s="27"/>
      <c r="AN301" s="27" t="s">
        <v>710</v>
      </c>
      <c r="AO301" s="27"/>
    </row>
    <row r="302" spans="1:41" hidden="1">
      <c r="A302" s="27" t="s">
        <v>2919</v>
      </c>
      <c r="B302" s="27" t="s">
        <v>2920</v>
      </c>
      <c r="C302" s="27" t="s">
        <v>1421</v>
      </c>
      <c r="D302" s="27" t="s">
        <v>548</v>
      </c>
      <c r="E302" s="27" t="s">
        <v>549</v>
      </c>
      <c r="F302" s="28">
        <v>46225.056435023151</v>
      </c>
      <c r="G302" s="28">
        <v>46225.118915567131</v>
      </c>
      <c r="H302" s="28">
        <v>46225.056435023151</v>
      </c>
      <c r="I302" s="27" t="s">
        <v>1918</v>
      </c>
      <c r="J302" s="27" t="s">
        <v>1919</v>
      </c>
      <c r="K302" s="27" t="s">
        <v>566</v>
      </c>
      <c r="L302" s="27"/>
      <c r="M302" s="27" t="s">
        <v>1121</v>
      </c>
      <c r="N302" s="27" t="s">
        <v>2916</v>
      </c>
      <c r="O302" s="27"/>
      <c r="P302" s="27" t="s">
        <v>2921</v>
      </c>
      <c r="Q302" s="27" t="s">
        <v>556</v>
      </c>
      <c r="R302" s="27" t="s">
        <v>583</v>
      </c>
      <c r="S302" s="27"/>
      <c r="T302" s="27" t="s">
        <v>559</v>
      </c>
      <c r="U302" s="27" t="s">
        <v>1421</v>
      </c>
      <c r="V302" s="28">
        <v>46225.062828333335</v>
      </c>
      <c r="W302" s="27" t="s">
        <v>2922</v>
      </c>
      <c r="X302" s="27" t="s">
        <v>549</v>
      </c>
      <c r="Y302" s="27" t="s">
        <v>1121</v>
      </c>
      <c r="Z302" s="28">
        <v>46225.118915578707</v>
      </c>
      <c r="AA302" s="27" t="s">
        <v>2923</v>
      </c>
      <c r="AB302" s="27"/>
      <c r="AC302" s="27" t="s">
        <v>2723</v>
      </c>
      <c r="AD302" s="28"/>
      <c r="AE302" s="27"/>
      <c r="AF302" s="27"/>
      <c r="AG302" s="27" t="s">
        <v>126</v>
      </c>
      <c r="AH302" s="28"/>
      <c r="AI302" s="27"/>
      <c r="AJ302" s="27" t="s">
        <v>1925</v>
      </c>
      <c r="AK302" s="27" t="s">
        <v>1926</v>
      </c>
      <c r="AL302" s="27"/>
      <c r="AM302" s="27"/>
      <c r="AN302" s="27" t="s">
        <v>710</v>
      </c>
      <c r="AO302" s="27">
        <v>14</v>
      </c>
    </row>
    <row r="303" spans="1:41" hidden="1">
      <c r="A303" s="27" t="s">
        <v>2924</v>
      </c>
      <c r="B303" s="27" t="s">
        <v>2925</v>
      </c>
      <c r="C303" s="27" t="s">
        <v>1421</v>
      </c>
      <c r="D303" s="27" t="s">
        <v>548</v>
      </c>
      <c r="E303" s="27" t="s">
        <v>549</v>
      </c>
      <c r="F303" s="28">
        <v>46225.096734479164</v>
      </c>
      <c r="G303" s="28">
        <v>46232.103645347219</v>
      </c>
      <c r="H303" s="28">
        <v>46225.096734479164</v>
      </c>
      <c r="I303" s="27" t="s">
        <v>1918</v>
      </c>
      <c r="J303" s="27" t="s">
        <v>1919</v>
      </c>
      <c r="K303" s="27" t="s">
        <v>566</v>
      </c>
      <c r="L303" s="27"/>
      <c r="M303" s="27" t="s">
        <v>1121</v>
      </c>
      <c r="N303" s="27" t="s">
        <v>2916</v>
      </c>
      <c r="O303" s="27"/>
      <c r="P303" s="27" t="s">
        <v>2926</v>
      </c>
      <c r="Q303" s="27" t="s">
        <v>556</v>
      </c>
      <c r="R303" s="27" t="s">
        <v>583</v>
      </c>
      <c r="S303" s="27"/>
      <c r="T303" s="27" t="s">
        <v>559</v>
      </c>
      <c r="U303" s="27" t="s">
        <v>1421</v>
      </c>
      <c r="V303" s="28">
        <v>46225.106475567132</v>
      </c>
      <c r="W303" s="27" t="s">
        <v>2927</v>
      </c>
      <c r="X303" s="27" t="s">
        <v>559</v>
      </c>
      <c r="Y303" s="27" t="s">
        <v>1121</v>
      </c>
      <c r="Z303" s="28">
        <v>46225.11917766204</v>
      </c>
      <c r="AA303" s="27" t="s">
        <v>559</v>
      </c>
      <c r="AB303" s="27" t="s">
        <v>549</v>
      </c>
      <c r="AC303" s="27" t="s">
        <v>609</v>
      </c>
      <c r="AD303" s="28">
        <v>46232.103645358795</v>
      </c>
      <c r="AE303" s="27" t="s">
        <v>2928</v>
      </c>
      <c r="AF303" s="27"/>
      <c r="AG303" s="27" t="s">
        <v>126</v>
      </c>
      <c r="AH303" s="28"/>
      <c r="AI303" s="27"/>
      <c r="AJ303" s="27" t="s">
        <v>1925</v>
      </c>
      <c r="AK303" s="27" t="s">
        <v>1926</v>
      </c>
      <c r="AL303" s="27" t="s">
        <v>116</v>
      </c>
      <c r="AM303" s="27"/>
      <c r="AN303" s="27" t="s">
        <v>710</v>
      </c>
      <c r="AO303" s="27">
        <v>14</v>
      </c>
    </row>
    <row r="304" spans="1:41" hidden="1">
      <c r="A304" s="27" t="s">
        <v>2929</v>
      </c>
      <c r="B304" s="27" t="s">
        <v>195</v>
      </c>
      <c r="C304" s="27" t="s">
        <v>775</v>
      </c>
      <c r="D304" s="27" t="s">
        <v>548</v>
      </c>
      <c r="E304" s="27" t="s">
        <v>67</v>
      </c>
      <c r="F304" s="28">
        <v>46225.142065092594</v>
      </c>
      <c r="G304" s="28">
        <v>46239.621705937498</v>
      </c>
      <c r="H304" s="28">
        <v>46225.142065092594</v>
      </c>
      <c r="I304" s="27" t="s">
        <v>196</v>
      </c>
      <c r="J304" s="27" t="s">
        <v>197</v>
      </c>
      <c r="K304" s="27" t="s">
        <v>566</v>
      </c>
      <c r="L304" s="27"/>
      <c r="M304" s="27" t="s">
        <v>778</v>
      </c>
      <c r="N304" s="27" t="s">
        <v>794</v>
      </c>
      <c r="O304" s="27" t="s">
        <v>794</v>
      </c>
      <c r="P304" s="27" t="s">
        <v>2930</v>
      </c>
      <c r="Q304" s="27" t="s">
        <v>556</v>
      </c>
      <c r="R304" s="27" t="s">
        <v>659</v>
      </c>
      <c r="S304" s="27"/>
      <c r="T304" s="27" t="s">
        <v>559</v>
      </c>
      <c r="U304" s="27" t="s">
        <v>775</v>
      </c>
      <c r="V304" s="28">
        <v>46225.142450324071</v>
      </c>
      <c r="W304" s="27" t="s">
        <v>2930</v>
      </c>
      <c r="X304" s="27" t="s">
        <v>559</v>
      </c>
      <c r="Y304" s="27" t="s">
        <v>778</v>
      </c>
      <c r="Z304" s="28">
        <v>46230.11323653935</v>
      </c>
      <c r="AA304" s="27" t="s">
        <v>2898</v>
      </c>
      <c r="AB304" s="27" t="s">
        <v>559</v>
      </c>
      <c r="AC304" s="27" t="s">
        <v>162</v>
      </c>
      <c r="AD304" s="28">
        <v>46239.621705949074</v>
      </c>
      <c r="AE304" s="27" t="s">
        <v>559</v>
      </c>
      <c r="AF304" s="27"/>
      <c r="AG304" s="27" t="s">
        <v>168</v>
      </c>
      <c r="AH304" s="28"/>
      <c r="AI304" s="27"/>
      <c r="AJ304" s="27" t="s">
        <v>2931</v>
      </c>
      <c r="AK304" s="27" t="s">
        <v>2932</v>
      </c>
      <c r="AL304" s="27" t="s">
        <v>107</v>
      </c>
      <c r="AM304" s="27" t="s">
        <v>2933</v>
      </c>
      <c r="AN304" s="27" t="s">
        <v>665</v>
      </c>
      <c r="AO304" s="27">
        <v>0</v>
      </c>
    </row>
    <row r="305" spans="1:41">
      <c r="A305" s="27" t="s">
        <v>2934</v>
      </c>
      <c r="B305" s="27" t="s">
        <v>296</v>
      </c>
      <c r="C305" s="27" t="s">
        <v>2935</v>
      </c>
      <c r="D305" s="27" t="s">
        <v>548</v>
      </c>
      <c r="E305" s="27" t="s">
        <v>67</v>
      </c>
      <c r="F305" s="28">
        <v>46225.146818310182</v>
      </c>
      <c r="G305" s="28">
        <v>46233.107110266203</v>
      </c>
      <c r="H305" s="28">
        <v>46225.146818310182</v>
      </c>
      <c r="I305" s="27" t="s">
        <v>297</v>
      </c>
      <c r="J305" s="27" t="s">
        <v>298</v>
      </c>
      <c r="K305" s="27" t="s">
        <v>566</v>
      </c>
      <c r="L305" s="27"/>
      <c r="M305" s="27" t="s">
        <v>1421</v>
      </c>
      <c r="N305" s="27" t="s">
        <v>2936</v>
      </c>
      <c r="O305" s="27"/>
      <c r="P305" s="27" t="s">
        <v>2937</v>
      </c>
      <c r="Q305" s="27" t="s">
        <v>556</v>
      </c>
      <c r="R305" s="27" t="s">
        <v>583</v>
      </c>
      <c r="S305" s="27"/>
      <c r="T305" s="27" t="s">
        <v>559</v>
      </c>
      <c r="U305" s="27" t="s">
        <v>2935</v>
      </c>
      <c r="V305" s="28">
        <v>46225.159825601855</v>
      </c>
      <c r="W305" s="27" t="s">
        <v>2938</v>
      </c>
      <c r="X305" s="27" t="s">
        <v>559</v>
      </c>
      <c r="Y305" s="27" t="s">
        <v>1421</v>
      </c>
      <c r="Z305" s="28">
        <v>46231.161558784719</v>
      </c>
      <c r="AA305" s="27" t="s">
        <v>2939</v>
      </c>
      <c r="AB305" s="27" t="s">
        <v>559</v>
      </c>
      <c r="AC305" s="27" t="s">
        <v>162</v>
      </c>
      <c r="AD305" s="28">
        <v>46233.107110277779</v>
      </c>
      <c r="AE305" s="27" t="s">
        <v>631</v>
      </c>
      <c r="AF305" s="27"/>
      <c r="AG305" s="27" t="s">
        <v>295</v>
      </c>
      <c r="AH305" s="28"/>
      <c r="AI305" s="27"/>
      <c r="AJ305" s="27" t="s">
        <v>2940</v>
      </c>
      <c r="AK305" s="27">
        <v>617</v>
      </c>
      <c r="AL305" s="27" t="s">
        <v>107</v>
      </c>
      <c r="AM305" s="27" t="s">
        <v>2941</v>
      </c>
      <c r="AN305" s="27" t="s">
        <v>710</v>
      </c>
      <c r="AO305" s="27">
        <v>14</v>
      </c>
    </row>
    <row r="306" spans="1:41" hidden="1">
      <c r="A306" s="27" t="s">
        <v>2942</v>
      </c>
      <c r="B306" s="27" t="s">
        <v>169</v>
      </c>
      <c r="C306" s="27" t="s">
        <v>2943</v>
      </c>
      <c r="D306" s="27" t="s">
        <v>548</v>
      </c>
      <c r="E306" s="27" t="s">
        <v>67</v>
      </c>
      <c r="F306" s="28">
        <v>46226.089098032404</v>
      </c>
      <c r="G306" s="28">
        <v>46231.204605983796</v>
      </c>
      <c r="H306" s="28">
        <v>46226.089098032404</v>
      </c>
      <c r="I306" s="27" t="s">
        <v>170</v>
      </c>
      <c r="J306" s="27" t="s">
        <v>171</v>
      </c>
      <c r="K306" s="27" t="s">
        <v>566</v>
      </c>
      <c r="L306" s="27"/>
      <c r="M306" s="27" t="s">
        <v>2943</v>
      </c>
      <c r="N306" s="27"/>
      <c r="O306" s="27"/>
      <c r="P306" s="27" t="s">
        <v>2944</v>
      </c>
      <c r="Q306" s="27" t="s">
        <v>569</v>
      </c>
      <c r="R306" s="27" t="s">
        <v>557</v>
      </c>
      <c r="S306" s="27"/>
      <c r="T306" s="27" t="s">
        <v>559</v>
      </c>
      <c r="U306" s="27" t="s">
        <v>2943</v>
      </c>
      <c r="V306" s="28">
        <v>46226.09118333333</v>
      </c>
      <c r="W306" s="27" t="s">
        <v>2944</v>
      </c>
      <c r="X306" s="27" t="s">
        <v>559</v>
      </c>
      <c r="Y306" s="27" t="s">
        <v>2943</v>
      </c>
      <c r="Z306" s="28">
        <v>46226.09164298611</v>
      </c>
      <c r="AA306" s="27" t="s">
        <v>2944</v>
      </c>
      <c r="AB306" s="27" t="s">
        <v>559</v>
      </c>
      <c r="AC306" s="27" t="s">
        <v>162</v>
      </c>
      <c r="AD306" s="28">
        <v>46231.204606006948</v>
      </c>
      <c r="AE306" s="27" t="s">
        <v>2597</v>
      </c>
      <c r="AF306" s="27"/>
      <c r="AG306" s="27" t="s">
        <v>168</v>
      </c>
      <c r="AH306" s="28"/>
      <c r="AI306" s="27"/>
      <c r="AJ306" s="27" t="s">
        <v>2945</v>
      </c>
      <c r="AK306" s="27">
        <v>10099</v>
      </c>
      <c r="AL306" s="27" t="s">
        <v>116</v>
      </c>
      <c r="AM306" s="27" t="s">
        <v>2946</v>
      </c>
      <c r="AN306" s="27" t="s">
        <v>710</v>
      </c>
      <c r="AO306" s="27">
        <v>1</v>
      </c>
    </row>
    <row r="307" spans="1:41" hidden="1">
      <c r="A307" s="27" t="s">
        <v>2947</v>
      </c>
      <c r="B307" s="27" t="s">
        <v>280</v>
      </c>
      <c r="C307" s="27" t="s">
        <v>2943</v>
      </c>
      <c r="D307" s="27" t="s">
        <v>548</v>
      </c>
      <c r="E307" s="27" t="s">
        <v>67</v>
      </c>
      <c r="F307" s="28">
        <v>46226.10378109954</v>
      </c>
      <c r="G307" s="28">
        <v>46231.204190127311</v>
      </c>
      <c r="H307" s="28">
        <v>46226.10378109954</v>
      </c>
      <c r="I307" s="27" t="s">
        <v>281</v>
      </c>
      <c r="J307" s="27" t="s">
        <v>282</v>
      </c>
      <c r="K307" s="27" t="s">
        <v>566</v>
      </c>
      <c r="L307" s="27"/>
      <c r="M307" s="27" t="s">
        <v>2943</v>
      </c>
      <c r="N307" s="27"/>
      <c r="O307" s="27"/>
      <c r="P307" s="27" t="s">
        <v>2948</v>
      </c>
      <c r="Q307" s="27" t="s">
        <v>569</v>
      </c>
      <c r="R307" s="27" t="s">
        <v>583</v>
      </c>
      <c r="S307" s="27"/>
      <c r="T307" s="27" t="s">
        <v>559</v>
      </c>
      <c r="U307" s="27" t="s">
        <v>2943</v>
      </c>
      <c r="V307" s="28">
        <v>46226.104470208331</v>
      </c>
      <c r="W307" s="27" t="s">
        <v>2948</v>
      </c>
      <c r="X307" s="27" t="s">
        <v>559</v>
      </c>
      <c r="Y307" s="27" t="s">
        <v>2943</v>
      </c>
      <c r="Z307" s="28">
        <v>46226.104708483799</v>
      </c>
      <c r="AA307" s="27" t="s">
        <v>2948</v>
      </c>
      <c r="AB307" s="27" t="s">
        <v>559</v>
      </c>
      <c r="AC307" s="27" t="s">
        <v>162</v>
      </c>
      <c r="AD307" s="28">
        <v>46231.204190138887</v>
      </c>
      <c r="AE307" s="27" t="s">
        <v>2597</v>
      </c>
      <c r="AF307" s="27"/>
      <c r="AG307" s="27" t="s">
        <v>259</v>
      </c>
      <c r="AH307" s="28"/>
      <c r="AI307" s="27"/>
      <c r="AJ307" s="27" t="s">
        <v>2949</v>
      </c>
      <c r="AK307" s="27" t="s">
        <v>2950</v>
      </c>
      <c r="AL307" s="27" t="s">
        <v>107</v>
      </c>
      <c r="AM307" s="27" t="s">
        <v>2951</v>
      </c>
      <c r="AN307" s="27" t="s">
        <v>710</v>
      </c>
      <c r="AO307" s="27">
        <v>1</v>
      </c>
    </row>
    <row r="308" spans="1:41" hidden="1">
      <c r="A308" s="27" t="s">
        <v>2952</v>
      </c>
      <c r="B308" s="27" t="s">
        <v>2953</v>
      </c>
      <c r="C308" s="27" t="s">
        <v>2943</v>
      </c>
      <c r="D308" s="27" t="s">
        <v>548</v>
      </c>
      <c r="E308" s="27" t="s">
        <v>549</v>
      </c>
      <c r="F308" s="28">
        <v>46226.108096574077</v>
      </c>
      <c r="G308" s="28">
        <v>46244.08433096065</v>
      </c>
      <c r="H308" s="28">
        <v>46226.108096574077</v>
      </c>
      <c r="I308" s="27" t="s">
        <v>209</v>
      </c>
      <c r="J308" s="27" t="s">
        <v>210</v>
      </c>
      <c r="K308" s="27" t="s">
        <v>566</v>
      </c>
      <c r="L308" s="27"/>
      <c r="M308" s="27" t="s">
        <v>2943</v>
      </c>
      <c r="N308" s="27"/>
      <c r="O308" s="27"/>
      <c r="P308" s="27" t="s">
        <v>2954</v>
      </c>
      <c r="Q308" s="27" t="s">
        <v>569</v>
      </c>
      <c r="R308" s="27" t="s">
        <v>583</v>
      </c>
      <c r="S308" s="27"/>
      <c r="T308" s="27" t="s">
        <v>559</v>
      </c>
      <c r="U308" s="27" t="s">
        <v>2943</v>
      </c>
      <c r="V308" s="28">
        <v>46226.108272060184</v>
      </c>
      <c r="W308" s="27" t="s">
        <v>2954</v>
      </c>
      <c r="X308" s="27" t="s">
        <v>559</v>
      </c>
      <c r="Y308" s="27" t="s">
        <v>2943</v>
      </c>
      <c r="Z308" s="28">
        <v>46226.109703287038</v>
      </c>
      <c r="AA308" s="27" t="s">
        <v>2955</v>
      </c>
      <c r="AB308" s="27" t="s">
        <v>549</v>
      </c>
      <c r="AC308" s="27" t="s">
        <v>2748</v>
      </c>
      <c r="AD308" s="28">
        <v>46244.084330972219</v>
      </c>
      <c r="AE308" s="27" t="s">
        <v>2956</v>
      </c>
      <c r="AF308" s="27"/>
      <c r="AG308" s="27" t="s">
        <v>126</v>
      </c>
      <c r="AH308" s="28"/>
      <c r="AI308" s="27"/>
      <c r="AJ308" s="27" t="s">
        <v>2957</v>
      </c>
      <c r="AK308" s="27">
        <v>10042</v>
      </c>
      <c r="AL308" s="27"/>
      <c r="AM308" s="27"/>
      <c r="AN308" s="27" t="s">
        <v>710</v>
      </c>
      <c r="AO308" s="27">
        <v>1</v>
      </c>
    </row>
    <row r="309" spans="1:41">
      <c r="A309" s="27" t="s">
        <v>2958</v>
      </c>
      <c r="B309" s="27" t="s">
        <v>294</v>
      </c>
      <c r="C309" s="27" t="s">
        <v>2943</v>
      </c>
      <c r="D309" s="27" t="s">
        <v>548</v>
      </c>
      <c r="E309" s="27" t="s">
        <v>67</v>
      </c>
      <c r="F309" s="28">
        <v>46226.123866539354</v>
      </c>
      <c r="G309" s="28">
        <v>46233.106772916668</v>
      </c>
      <c r="H309" s="28">
        <v>46226.123866539354</v>
      </c>
      <c r="I309" s="27" t="s">
        <v>200</v>
      </c>
      <c r="J309" s="27" t="s">
        <v>201</v>
      </c>
      <c r="K309" s="27" t="s">
        <v>566</v>
      </c>
      <c r="L309" s="27"/>
      <c r="M309" s="27" t="s">
        <v>2943</v>
      </c>
      <c r="N309" s="27"/>
      <c r="O309" s="27"/>
      <c r="P309" s="27" t="s">
        <v>2959</v>
      </c>
      <c r="Q309" s="27" t="s">
        <v>569</v>
      </c>
      <c r="R309" s="27" t="s">
        <v>583</v>
      </c>
      <c r="S309" s="27"/>
      <c r="T309" s="27" t="s">
        <v>559</v>
      </c>
      <c r="U309" s="27" t="s">
        <v>2943</v>
      </c>
      <c r="V309" s="28">
        <v>46226.124279745367</v>
      </c>
      <c r="W309" s="27" t="s">
        <v>2959</v>
      </c>
      <c r="X309" s="27" t="s">
        <v>559</v>
      </c>
      <c r="Y309" s="27" t="s">
        <v>2943</v>
      </c>
      <c r="Z309" s="28">
        <v>46226.124603553239</v>
      </c>
      <c r="AA309" s="27" t="s">
        <v>2959</v>
      </c>
      <c r="AB309" s="27" t="s">
        <v>559</v>
      </c>
      <c r="AC309" s="27" t="s">
        <v>162</v>
      </c>
      <c r="AD309" s="28">
        <v>46233.106772928244</v>
      </c>
      <c r="AE309" s="27" t="s">
        <v>631</v>
      </c>
      <c r="AF309" s="27"/>
      <c r="AG309" s="27" t="s">
        <v>295</v>
      </c>
      <c r="AH309" s="28"/>
      <c r="AI309" s="27"/>
      <c r="AJ309" s="27" t="s">
        <v>2960</v>
      </c>
      <c r="AK309" s="27" t="s">
        <v>2961</v>
      </c>
      <c r="AL309" s="27" t="s">
        <v>107</v>
      </c>
      <c r="AM309" s="27" t="s">
        <v>2962</v>
      </c>
      <c r="AN309" s="27" t="s">
        <v>710</v>
      </c>
      <c r="AO309" s="27">
        <v>1</v>
      </c>
    </row>
    <row r="310" spans="1:41">
      <c r="A310" s="27" t="s">
        <v>2963</v>
      </c>
      <c r="B310" s="27" t="s">
        <v>159</v>
      </c>
      <c r="C310" s="27" t="s">
        <v>2943</v>
      </c>
      <c r="D310" s="27" t="s">
        <v>548</v>
      </c>
      <c r="E310" s="27" t="s">
        <v>67</v>
      </c>
      <c r="F310" s="28">
        <v>46226.128341215277</v>
      </c>
      <c r="G310" s="28">
        <v>46233.10640715278</v>
      </c>
      <c r="H310" s="28">
        <v>46226.128341215277</v>
      </c>
      <c r="I310" s="27" t="s">
        <v>160</v>
      </c>
      <c r="J310" s="27" t="s">
        <v>161</v>
      </c>
      <c r="K310" s="27" t="s">
        <v>566</v>
      </c>
      <c r="L310" s="27"/>
      <c r="M310" s="27" t="s">
        <v>2943</v>
      </c>
      <c r="N310" s="27"/>
      <c r="O310" s="27"/>
      <c r="P310" s="27" t="s">
        <v>2964</v>
      </c>
      <c r="Q310" s="27" t="s">
        <v>569</v>
      </c>
      <c r="R310" s="27" t="s">
        <v>583</v>
      </c>
      <c r="S310" s="27"/>
      <c r="T310" s="27" t="s">
        <v>559</v>
      </c>
      <c r="U310" s="27" t="s">
        <v>2943</v>
      </c>
      <c r="V310" s="28">
        <v>46226.128910613428</v>
      </c>
      <c r="W310" s="27" t="s">
        <v>2964</v>
      </c>
      <c r="X310" s="27" t="s">
        <v>559</v>
      </c>
      <c r="Y310" s="27" t="s">
        <v>2943</v>
      </c>
      <c r="Z310" s="28">
        <v>46226.129133182869</v>
      </c>
      <c r="AA310" s="27" t="s">
        <v>2964</v>
      </c>
      <c r="AB310" s="27" t="s">
        <v>559</v>
      </c>
      <c r="AC310" s="27" t="s">
        <v>162</v>
      </c>
      <c r="AD310" s="28">
        <v>46233.106407164349</v>
      </c>
      <c r="AE310" s="27" t="s">
        <v>631</v>
      </c>
      <c r="AF310" s="27"/>
      <c r="AG310" s="27" t="s">
        <v>162</v>
      </c>
      <c r="AH310" s="28"/>
      <c r="AI310" s="27"/>
      <c r="AJ310" s="27" t="s">
        <v>2965</v>
      </c>
      <c r="AK310" s="27" t="s">
        <v>2966</v>
      </c>
      <c r="AL310" s="27" t="s">
        <v>107</v>
      </c>
      <c r="AM310" s="27" t="s">
        <v>2967</v>
      </c>
      <c r="AN310" s="27" t="s">
        <v>710</v>
      </c>
      <c r="AO310" s="27">
        <v>1</v>
      </c>
    </row>
    <row r="311" spans="1:41">
      <c r="A311" s="27" t="s">
        <v>2968</v>
      </c>
      <c r="B311" s="27" t="s">
        <v>246</v>
      </c>
      <c r="C311" s="27" t="s">
        <v>2943</v>
      </c>
      <c r="D311" s="27" t="s">
        <v>548</v>
      </c>
      <c r="E311" s="27" t="s">
        <v>67</v>
      </c>
      <c r="F311" s="28">
        <v>46226.140965833336</v>
      </c>
      <c r="G311" s="28">
        <v>46239.620899050926</v>
      </c>
      <c r="H311" s="28">
        <v>46226.140965833336</v>
      </c>
      <c r="I311" s="27" t="s">
        <v>247</v>
      </c>
      <c r="J311" s="27" t="s">
        <v>248</v>
      </c>
      <c r="K311" s="27" t="s">
        <v>566</v>
      </c>
      <c r="L311" s="27"/>
      <c r="M311" s="27" t="s">
        <v>2943</v>
      </c>
      <c r="N311" s="27"/>
      <c r="O311" s="27"/>
      <c r="P311" s="27" t="s">
        <v>2969</v>
      </c>
      <c r="Q311" s="27" t="s">
        <v>569</v>
      </c>
      <c r="R311" s="27" t="s">
        <v>583</v>
      </c>
      <c r="S311" s="27"/>
      <c r="T311" s="27" t="s">
        <v>559</v>
      </c>
      <c r="U311" s="27" t="s">
        <v>2943</v>
      </c>
      <c r="V311" s="28">
        <v>46226.141623113428</v>
      </c>
      <c r="W311" s="27" t="s">
        <v>2969</v>
      </c>
      <c r="X311" s="27" t="s">
        <v>559</v>
      </c>
      <c r="Y311" s="27" t="s">
        <v>2943</v>
      </c>
      <c r="Z311" s="28">
        <v>46226.141895578701</v>
      </c>
      <c r="AA311" s="27" t="s">
        <v>2969</v>
      </c>
      <c r="AB311" s="27" t="s">
        <v>559</v>
      </c>
      <c r="AC311" s="27" t="s">
        <v>162</v>
      </c>
      <c r="AD311" s="28">
        <v>46239.620899062502</v>
      </c>
      <c r="AE311" s="27" t="s">
        <v>559</v>
      </c>
      <c r="AF311" s="27"/>
      <c r="AG311" s="27" t="s">
        <v>249</v>
      </c>
      <c r="AH311" s="28"/>
      <c r="AI311" s="27"/>
      <c r="AJ311" s="27" t="s">
        <v>2970</v>
      </c>
      <c r="AK311" s="27">
        <v>10125</v>
      </c>
      <c r="AL311" s="27" t="s">
        <v>107</v>
      </c>
      <c r="AM311" s="27" t="s">
        <v>2971</v>
      </c>
      <c r="AN311" s="27" t="s">
        <v>710</v>
      </c>
      <c r="AO311" s="27">
        <v>1</v>
      </c>
    </row>
    <row r="312" spans="1:41" hidden="1">
      <c r="A312" s="27" t="s">
        <v>2972</v>
      </c>
      <c r="B312" s="27" t="s">
        <v>208</v>
      </c>
      <c r="C312" s="27" t="s">
        <v>2943</v>
      </c>
      <c r="D312" s="27" t="s">
        <v>548</v>
      </c>
      <c r="E312" s="27" t="s">
        <v>67</v>
      </c>
      <c r="F312" s="28">
        <v>46226.144208958336</v>
      </c>
      <c r="G312" s="28">
        <v>46239.620102604167</v>
      </c>
      <c r="H312" s="28">
        <v>46226.144208958336</v>
      </c>
      <c r="I312" s="27" t="s">
        <v>209</v>
      </c>
      <c r="J312" s="27" t="s">
        <v>210</v>
      </c>
      <c r="K312" s="27" t="s">
        <v>566</v>
      </c>
      <c r="L312" s="27"/>
      <c r="M312" s="27" t="s">
        <v>2943</v>
      </c>
      <c r="N312" s="27"/>
      <c r="O312" s="27"/>
      <c r="P312" s="27" t="s">
        <v>2973</v>
      </c>
      <c r="Q312" s="27" t="s">
        <v>569</v>
      </c>
      <c r="R312" s="27" t="s">
        <v>583</v>
      </c>
      <c r="S312" s="27"/>
      <c r="T312" s="27" t="s">
        <v>559</v>
      </c>
      <c r="U312" s="27" t="s">
        <v>2943</v>
      </c>
      <c r="V312" s="28">
        <v>46226.14457019676</v>
      </c>
      <c r="W312" s="27" t="s">
        <v>2973</v>
      </c>
      <c r="X312" s="27" t="s">
        <v>559</v>
      </c>
      <c r="Y312" s="27" t="s">
        <v>2943</v>
      </c>
      <c r="Z312" s="28">
        <v>46226.144800231479</v>
      </c>
      <c r="AA312" s="27" t="s">
        <v>2973</v>
      </c>
      <c r="AB312" s="27" t="s">
        <v>559</v>
      </c>
      <c r="AC312" s="27" t="s">
        <v>162</v>
      </c>
      <c r="AD312" s="28">
        <v>46239.620102604167</v>
      </c>
      <c r="AE312" s="27" t="s">
        <v>681</v>
      </c>
      <c r="AF312" s="27"/>
      <c r="AG312" s="27" t="s">
        <v>168</v>
      </c>
      <c r="AH312" s="28"/>
      <c r="AI312" s="27"/>
      <c r="AJ312" s="27" t="s">
        <v>2957</v>
      </c>
      <c r="AK312" s="27">
        <v>10042</v>
      </c>
      <c r="AL312" s="27" t="s">
        <v>107</v>
      </c>
      <c r="AM312" s="27" t="s">
        <v>2974</v>
      </c>
      <c r="AN312" s="27" t="s">
        <v>710</v>
      </c>
      <c r="AO312" s="27">
        <v>1</v>
      </c>
    </row>
    <row r="313" spans="1:41" hidden="1">
      <c r="A313" s="27" t="s">
        <v>2975</v>
      </c>
      <c r="B313" s="27" t="s">
        <v>273</v>
      </c>
      <c r="C313" s="27" t="s">
        <v>2943</v>
      </c>
      <c r="D313" s="27" t="s">
        <v>548</v>
      </c>
      <c r="E313" s="27" t="s">
        <v>67</v>
      </c>
      <c r="F313" s="28">
        <v>46226.150340659726</v>
      </c>
      <c r="G313" s="28">
        <v>46233.106046712965</v>
      </c>
      <c r="H313" s="28">
        <v>46226.150340659726</v>
      </c>
      <c r="I313" s="27" t="s">
        <v>274</v>
      </c>
      <c r="J313" s="27" t="s">
        <v>275</v>
      </c>
      <c r="K313" s="27" t="s">
        <v>566</v>
      </c>
      <c r="L313" s="27"/>
      <c r="M313" s="27" t="s">
        <v>2943</v>
      </c>
      <c r="N313" s="27"/>
      <c r="O313" s="27"/>
      <c r="P313" s="27" t="s">
        <v>2976</v>
      </c>
      <c r="Q313" s="27" t="s">
        <v>569</v>
      </c>
      <c r="R313" s="27" t="s">
        <v>583</v>
      </c>
      <c r="S313" s="27"/>
      <c r="T313" s="27" t="s">
        <v>559</v>
      </c>
      <c r="U313" s="27" t="s">
        <v>2943</v>
      </c>
      <c r="V313" s="28">
        <v>46226.150637881947</v>
      </c>
      <c r="W313" s="27" t="s">
        <v>2976</v>
      </c>
      <c r="X313" s="27" t="s">
        <v>559</v>
      </c>
      <c r="Y313" s="27" t="s">
        <v>2943</v>
      </c>
      <c r="Z313" s="28">
        <v>46226.150898541666</v>
      </c>
      <c r="AA313" s="27" t="s">
        <v>2976</v>
      </c>
      <c r="AB313" s="27" t="s">
        <v>559</v>
      </c>
      <c r="AC313" s="27" t="s">
        <v>162</v>
      </c>
      <c r="AD313" s="28">
        <v>46233.106046724541</v>
      </c>
      <c r="AE313" s="27" t="s">
        <v>631</v>
      </c>
      <c r="AF313" s="27"/>
      <c r="AG313" s="27" t="s">
        <v>259</v>
      </c>
      <c r="AH313" s="28"/>
      <c r="AI313" s="27"/>
      <c r="AJ313" s="27" t="s">
        <v>2977</v>
      </c>
      <c r="AK313" s="27" t="s">
        <v>2978</v>
      </c>
      <c r="AL313" s="27" t="s">
        <v>107</v>
      </c>
      <c r="AM313" s="27" t="s">
        <v>2979</v>
      </c>
      <c r="AN313" s="27" t="s">
        <v>710</v>
      </c>
      <c r="AO313" s="27">
        <v>1</v>
      </c>
    </row>
    <row r="314" spans="1:41" hidden="1">
      <c r="A314" s="27" t="s">
        <v>2980</v>
      </c>
      <c r="B314" s="27" t="s">
        <v>276</v>
      </c>
      <c r="C314" s="27" t="s">
        <v>2943</v>
      </c>
      <c r="D314" s="27" t="s">
        <v>548</v>
      </c>
      <c r="E314" s="27" t="s">
        <v>67</v>
      </c>
      <c r="F314" s="28">
        <v>46226.154782592595</v>
      </c>
      <c r="G314" s="28">
        <v>46233.105761608793</v>
      </c>
      <c r="H314" s="28">
        <v>46226.154782592595</v>
      </c>
      <c r="I314" s="27" t="s">
        <v>274</v>
      </c>
      <c r="J314" s="27" t="s">
        <v>275</v>
      </c>
      <c r="K314" s="27" t="s">
        <v>566</v>
      </c>
      <c r="L314" s="27"/>
      <c r="M314" s="27" t="s">
        <v>2943</v>
      </c>
      <c r="N314" s="27"/>
      <c r="O314" s="27"/>
      <c r="P314" s="27" t="s">
        <v>2981</v>
      </c>
      <c r="Q314" s="27" t="s">
        <v>569</v>
      </c>
      <c r="R314" s="27" t="s">
        <v>583</v>
      </c>
      <c r="S314" s="27"/>
      <c r="T314" s="27" t="s">
        <v>559</v>
      </c>
      <c r="U314" s="27" t="s">
        <v>2943</v>
      </c>
      <c r="V314" s="28">
        <v>46226.155102789351</v>
      </c>
      <c r="W314" s="27" t="s">
        <v>2981</v>
      </c>
      <c r="X314" s="27" t="s">
        <v>559</v>
      </c>
      <c r="Y314" s="27" t="s">
        <v>2943</v>
      </c>
      <c r="Z314" s="28">
        <v>46226.155349895831</v>
      </c>
      <c r="AA314" s="27" t="s">
        <v>2981</v>
      </c>
      <c r="AB314" s="27" t="s">
        <v>559</v>
      </c>
      <c r="AC314" s="27" t="s">
        <v>162</v>
      </c>
      <c r="AD314" s="28">
        <v>46233.105761620369</v>
      </c>
      <c r="AE314" s="27" t="s">
        <v>631</v>
      </c>
      <c r="AF314" s="27"/>
      <c r="AG314" s="27" t="s">
        <v>259</v>
      </c>
      <c r="AH314" s="28"/>
      <c r="AI314" s="27"/>
      <c r="AJ314" s="27" t="s">
        <v>2977</v>
      </c>
      <c r="AK314" s="27" t="s">
        <v>2978</v>
      </c>
      <c r="AL314" s="27" t="s">
        <v>107</v>
      </c>
      <c r="AM314" s="27" t="s">
        <v>2982</v>
      </c>
      <c r="AN314" s="27" t="s">
        <v>710</v>
      </c>
      <c r="AO314" s="27">
        <v>1</v>
      </c>
    </row>
    <row r="315" spans="1:41" hidden="1">
      <c r="A315" s="27" t="s">
        <v>2983</v>
      </c>
      <c r="B315" s="27" t="s">
        <v>184</v>
      </c>
      <c r="C315" s="27" t="s">
        <v>2984</v>
      </c>
      <c r="D315" s="27" t="s">
        <v>548</v>
      </c>
      <c r="E315" s="27" t="s">
        <v>67</v>
      </c>
      <c r="F315" s="28">
        <v>46226.166300173609</v>
      </c>
      <c r="G315" s="28">
        <v>46239.290182106481</v>
      </c>
      <c r="H315" s="28">
        <v>46226.166300173609</v>
      </c>
      <c r="I315" s="27" t="s">
        <v>185</v>
      </c>
      <c r="J315" s="27" t="s">
        <v>186</v>
      </c>
      <c r="K315" s="27" t="s">
        <v>676</v>
      </c>
      <c r="L315" s="27" t="s">
        <v>2985</v>
      </c>
      <c r="M315" s="27" t="s">
        <v>2986</v>
      </c>
      <c r="N315" s="27" t="s">
        <v>2987</v>
      </c>
      <c r="O315" s="27"/>
      <c r="P315" s="27" t="s">
        <v>2988</v>
      </c>
      <c r="Q315" s="27" t="s">
        <v>556</v>
      </c>
      <c r="R315" s="27" t="s">
        <v>557</v>
      </c>
      <c r="S315" s="27"/>
      <c r="T315" s="27" t="s">
        <v>559</v>
      </c>
      <c r="U315" s="27" t="s">
        <v>2984</v>
      </c>
      <c r="V315" s="28">
        <v>46226.172751122685</v>
      </c>
      <c r="W315" s="27" t="s">
        <v>2989</v>
      </c>
      <c r="X315" s="27" t="s">
        <v>559</v>
      </c>
      <c r="Y315" s="27" t="s">
        <v>2990</v>
      </c>
      <c r="Z315" s="28">
        <v>46226.336280682874</v>
      </c>
      <c r="AA315" s="27" t="s">
        <v>2716</v>
      </c>
      <c r="AB315" s="27" t="s">
        <v>559</v>
      </c>
      <c r="AC315" s="27" t="s">
        <v>162</v>
      </c>
      <c r="AD315" s="28">
        <v>46239.290182118057</v>
      </c>
      <c r="AE315" s="27" t="s">
        <v>631</v>
      </c>
      <c r="AF315" s="27"/>
      <c r="AG315" s="27" t="s">
        <v>168</v>
      </c>
      <c r="AH315" s="28"/>
      <c r="AI315" s="27"/>
      <c r="AJ315" s="27" t="s">
        <v>2991</v>
      </c>
      <c r="AK315" s="27">
        <v>3827</v>
      </c>
      <c r="AL315" s="27" t="s">
        <v>107</v>
      </c>
      <c r="AM315" s="27" t="s">
        <v>2992</v>
      </c>
      <c r="AN315" s="27" t="s">
        <v>710</v>
      </c>
      <c r="AO315" s="27">
        <v>2</v>
      </c>
    </row>
    <row r="316" spans="1:41" hidden="1">
      <c r="A316" s="27" t="s">
        <v>2993</v>
      </c>
      <c r="B316" s="27" t="s">
        <v>2994</v>
      </c>
      <c r="C316" s="27" t="s">
        <v>2943</v>
      </c>
      <c r="D316" s="27" t="s">
        <v>548</v>
      </c>
      <c r="E316" s="27" t="s">
        <v>549</v>
      </c>
      <c r="F316" s="28">
        <v>46226.176827650466</v>
      </c>
      <c r="G316" s="28">
        <v>46244.086508576387</v>
      </c>
      <c r="H316" s="28">
        <v>46226.176827650466</v>
      </c>
      <c r="I316" s="27" t="s">
        <v>2995</v>
      </c>
      <c r="J316" s="27" t="s">
        <v>2996</v>
      </c>
      <c r="K316" s="27" t="s">
        <v>566</v>
      </c>
      <c r="L316" s="27"/>
      <c r="M316" s="27" t="s">
        <v>2943</v>
      </c>
      <c r="N316" s="27"/>
      <c r="O316" s="27"/>
      <c r="P316" s="27" t="s">
        <v>2997</v>
      </c>
      <c r="Q316" s="27" t="s">
        <v>569</v>
      </c>
      <c r="R316" s="27" t="s">
        <v>583</v>
      </c>
      <c r="S316" s="27"/>
      <c r="T316" s="27" t="s">
        <v>559</v>
      </c>
      <c r="U316" s="27" t="s">
        <v>2943</v>
      </c>
      <c r="V316" s="28">
        <v>46226.177177835649</v>
      </c>
      <c r="W316" s="27" t="s">
        <v>2997</v>
      </c>
      <c r="X316" s="27" t="s">
        <v>559</v>
      </c>
      <c r="Y316" s="27" t="s">
        <v>2943</v>
      </c>
      <c r="Z316" s="28">
        <v>46226.177439398147</v>
      </c>
      <c r="AA316" s="27" t="s">
        <v>2997</v>
      </c>
      <c r="AB316" s="27" t="s">
        <v>549</v>
      </c>
      <c r="AC316" s="27" t="s">
        <v>2748</v>
      </c>
      <c r="AD316" s="28">
        <v>46244.086508587963</v>
      </c>
      <c r="AE316" s="27" t="s">
        <v>2956</v>
      </c>
      <c r="AF316" s="27"/>
      <c r="AG316" s="27" t="s">
        <v>126</v>
      </c>
      <c r="AH316" s="28"/>
      <c r="AI316" s="27"/>
      <c r="AJ316" s="27" t="s">
        <v>2998</v>
      </c>
      <c r="AK316" s="27">
        <v>10062</v>
      </c>
      <c r="AL316" s="27"/>
      <c r="AM316" s="27"/>
      <c r="AN316" s="27" t="s">
        <v>710</v>
      </c>
      <c r="AO316" s="27">
        <v>1</v>
      </c>
    </row>
    <row r="317" spans="1:41" hidden="1">
      <c r="A317" s="27" t="s">
        <v>2999</v>
      </c>
      <c r="B317" s="27" t="s">
        <v>3000</v>
      </c>
      <c r="C317" s="27" t="s">
        <v>2943</v>
      </c>
      <c r="D317" s="27" t="s">
        <v>548</v>
      </c>
      <c r="E317" s="27" t="s">
        <v>549</v>
      </c>
      <c r="F317" s="28">
        <v>46226.180257025466</v>
      </c>
      <c r="G317" s="28">
        <v>46244.085823460649</v>
      </c>
      <c r="H317" s="28">
        <v>46226.180257025466</v>
      </c>
      <c r="I317" s="27" t="s">
        <v>3001</v>
      </c>
      <c r="J317" s="27" t="s">
        <v>3002</v>
      </c>
      <c r="K317" s="27" t="s">
        <v>566</v>
      </c>
      <c r="L317" s="27"/>
      <c r="M317" s="27" t="s">
        <v>2943</v>
      </c>
      <c r="N317" s="27"/>
      <c r="O317" s="27"/>
      <c r="P317" s="27" t="s">
        <v>3003</v>
      </c>
      <c r="Q317" s="27" t="s">
        <v>569</v>
      </c>
      <c r="R317" s="27" t="s">
        <v>583</v>
      </c>
      <c r="S317" s="27"/>
      <c r="T317" s="27" t="s">
        <v>559</v>
      </c>
      <c r="U317" s="27" t="s">
        <v>2943</v>
      </c>
      <c r="V317" s="28">
        <v>46226.180871921293</v>
      </c>
      <c r="W317" s="27" t="s">
        <v>3003</v>
      </c>
      <c r="X317" s="27" t="s">
        <v>559</v>
      </c>
      <c r="Y317" s="27" t="s">
        <v>2943</v>
      </c>
      <c r="Z317" s="28">
        <v>46226.181167175928</v>
      </c>
      <c r="AA317" s="27" t="s">
        <v>3003</v>
      </c>
      <c r="AB317" s="27" t="s">
        <v>549</v>
      </c>
      <c r="AC317" s="27" t="s">
        <v>2748</v>
      </c>
      <c r="AD317" s="28">
        <v>46244.085823460649</v>
      </c>
      <c r="AE317" s="27" t="s">
        <v>2956</v>
      </c>
      <c r="AF317" s="27"/>
      <c r="AG317" s="27" t="s">
        <v>126</v>
      </c>
      <c r="AH317" s="28"/>
      <c r="AI317" s="27"/>
      <c r="AJ317" s="27" t="s">
        <v>3004</v>
      </c>
      <c r="AK317" s="27">
        <v>10152</v>
      </c>
      <c r="AL317" s="27"/>
      <c r="AM317" s="27"/>
      <c r="AN317" s="27" t="s">
        <v>710</v>
      </c>
      <c r="AO317" s="27">
        <v>1</v>
      </c>
    </row>
    <row r="318" spans="1:41" hidden="1">
      <c r="A318" s="27" t="s">
        <v>3005</v>
      </c>
      <c r="B318" s="27" t="s">
        <v>202</v>
      </c>
      <c r="C318" s="27" t="s">
        <v>2943</v>
      </c>
      <c r="D318" s="27" t="s">
        <v>548</v>
      </c>
      <c r="E318" s="27" t="s">
        <v>67</v>
      </c>
      <c r="F318" s="28">
        <v>46226.21102033565</v>
      </c>
      <c r="G318" s="28">
        <v>46239.619596921293</v>
      </c>
      <c r="H318" s="28">
        <v>46226.21102033565</v>
      </c>
      <c r="I318" s="27" t="s">
        <v>203</v>
      </c>
      <c r="J318" s="27" t="s">
        <v>204</v>
      </c>
      <c r="K318" s="27" t="s">
        <v>566</v>
      </c>
      <c r="L318" s="27"/>
      <c r="M318" s="27" t="s">
        <v>2943</v>
      </c>
      <c r="N318" s="27"/>
      <c r="O318" s="27"/>
      <c r="P318" s="27" t="s">
        <v>3006</v>
      </c>
      <c r="Q318" s="27" t="s">
        <v>569</v>
      </c>
      <c r="R318" s="27" t="s">
        <v>583</v>
      </c>
      <c r="S318" s="27"/>
      <c r="T318" s="27" t="s">
        <v>559</v>
      </c>
      <c r="U318" s="27" t="s">
        <v>2943</v>
      </c>
      <c r="V318" s="28">
        <v>46226.211347488425</v>
      </c>
      <c r="W318" s="27" t="s">
        <v>3006</v>
      </c>
      <c r="X318" s="27" t="s">
        <v>559</v>
      </c>
      <c r="Y318" s="27" t="s">
        <v>2943</v>
      </c>
      <c r="Z318" s="28">
        <v>46226.21167340278</v>
      </c>
      <c r="AA318" s="27" t="s">
        <v>3006</v>
      </c>
      <c r="AB318" s="27" t="s">
        <v>559</v>
      </c>
      <c r="AC318" s="27" t="s">
        <v>162</v>
      </c>
      <c r="AD318" s="28">
        <v>46239.619596932869</v>
      </c>
      <c r="AE318" s="27" t="s">
        <v>681</v>
      </c>
      <c r="AF318" s="27"/>
      <c r="AG318" s="27" t="s">
        <v>168</v>
      </c>
      <c r="AH318" s="28"/>
      <c r="AI318" s="27"/>
      <c r="AJ318" s="27" t="s">
        <v>3007</v>
      </c>
      <c r="AK318" s="27">
        <v>10159</v>
      </c>
      <c r="AL318" s="27" t="s">
        <v>107</v>
      </c>
      <c r="AM318" s="27" t="s">
        <v>3008</v>
      </c>
      <c r="AN318" s="27" t="s">
        <v>710</v>
      </c>
      <c r="AO318" s="27">
        <v>1</v>
      </c>
    </row>
    <row r="319" spans="1:41">
      <c r="A319" s="27" t="s">
        <v>3009</v>
      </c>
      <c r="B319" s="27" t="s">
        <v>229</v>
      </c>
      <c r="C319" s="27" t="s">
        <v>2943</v>
      </c>
      <c r="D319" s="27" t="s">
        <v>548</v>
      </c>
      <c r="E319" s="27" t="s">
        <v>67</v>
      </c>
      <c r="F319" s="28">
        <v>46226.244260752312</v>
      </c>
      <c r="G319" s="28">
        <v>46233.105323958334</v>
      </c>
      <c r="H319" s="28">
        <v>46226.244260752312</v>
      </c>
      <c r="I319" s="27" t="s">
        <v>182</v>
      </c>
      <c r="J319" s="27" t="s">
        <v>183</v>
      </c>
      <c r="K319" s="27" t="s">
        <v>566</v>
      </c>
      <c r="L319" s="27"/>
      <c r="M319" s="27" t="s">
        <v>2943</v>
      </c>
      <c r="N319" s="27"/>
      <c r="O319" s="27"/>
      <c r="P319" s="27" t="s">
        <v>3010</v>
      </c>
      <c r="Q319" s="27" t="s">
        <v>569</v>
      </c>
      <c r="R319" s="27" t="s">
        <v>583</v>
      </c>
      <c r="S319" s="27"/>
      <c r="T319" s="27" t="s">
        <v>559</v>
      </c>
      <c r="U319" s="27" t="s">
        <v>2943</v>
      </c>
      <c r="V319" s="28">
        <v>46226.248091493057</v>
      </c>
      <c r="W319" s="27" t="s">
        <v>3010</v>
      </c>
      <c r="X319" s="27" t="s">
        <v>559</v>
      </c>
      <c r="Y319" s="27" t="s">
        <v>2943</v>
      </c>
      <c r="Z319" s="28">
        <v>46226.248439363429</v>
      </c>
      <c r="AA319" s="27" t="s">
        <v>3010</v>
      </c>
      <c r="AB319" s="27" t="s">
        <v>559</v>
      </c>
      <c r="AC319" s="27" t="s">
        <v>162</v>
      </c>
      <c r="AD319" s="28">
        <v>46233.10532396991</v>
      </c>
      <c r="AE319" s="27" t="s">
        <v>631</v>
      </c>
      <c r="AF319" s="27"/>
      <c r="AG319" s="27" t="s">
        <v>230</v>
      </c>
      <c r="AH319" s="28"/>
      <c r="AI319" s="27"/>
      <c r="AJ319" s="27" t="s">
        <v>3011</v>
      </c>
      <c r="AK319" s="27" t="s">
        <v>3012</v>
      </c>
      <c r="AL319" s="27" t="s">
        <v>107</v>
      </c>
      <c r="AM319" s="27" t="s">
        <v>3013</v>
      </c>
      <c r="AN319" s="27" t="s">
        <v>710</v>
      </c>
      <c r="AO319" s="27">
        <v>1</v>
      </c>
    </row>
    <row r="320" spans="1:41" hidden="1">
      <c r="A320" s="27" t="s">
        <v>3014</v>
      </c>
      <c r="B320" s="27" t="s">
        <v>181</v>
      </c>
      <c r="C320" s="27" t="s">
        <v>2943</v>
      </c>
      <c r="D320" s="27" t="s">
        <v>548</v>
      </c>
      <c r="E320" s="27" t="s">
        <v>67</v>
      </c>
      <c r="F320" s="28">
        <v>46226.25001640046</v>
      </c>
      <c r="G320" s="28">
        <v>46239.619336041666</v>
      </c>
      <c r="H320" s="28">
        <v>46226.25001640046</v>
      </c>
      <c r="I320" s="27" t="s">
        <v>182</v>
      </c>
      <c r="J320" s="27" t="s">
        <v>183</v>
      </c>
      <c r="K320" s="27" t="s">
        <v>566</v>
      </c>
      <c r="L320" s="27"/>
      <c r="M320" s="27" t="s">
        <v>2943</v>
      </c>
      <c r="N320" s="27"/>
      <c r="O320" s="27"/>
      <c r="P320" s="27" t="s">
        <v>3015</v>
      </c>
      <c r="Q320" s="27" t="s">
        <v>569</v>
      </c>
      <c r="R320" s="27" t="s">
        <v>583</v>
      </c>
      <c r="S320" s="27"/>
      <c r="T320" s="27" t="s">
        <v>559</v>
      </c>
      <c r="U320" s="27" t="s">
        <v>2943</v>
      </c>
      <c r="V320" s="28">
        <v>46226.250126354164</v>
      </c>
      <c r="W320" s="27" t="s">
        <v>3015</v>
      </c>
      <c r="X320" s="27" t="s">
        <v>559</v>
      </c>
      <c r="Y320" s="27" t="s">
        <v>2943</v>
      </c>
      <c r="Z320" s="28">
        <v>46226.250710995373</v>
      </c>
      <c r="AA320" s="27" t="s">
        <v>3015</v>
      </c>
      <c r="AB320" s="27" t="s">
        <v>559</v>
      </c>
      <c r="AC320" s="27" t="s">
        <v>162</v>
      </c>
      <c r="AD320" s="28">
        <v>46239.619336053242</v>
      </c>
      <c r="AE320" s="27" t="s">
        <v>559</v>
      </c>
      <c r="AF320" s="27"/>
      <c r="AG320" s="27" t="s">
        <v>168</v>
      </c>
      <c r="AH320" s="28"/>
      <c r="AI320" s="27"/>
      <c r="AJ320" s="27" t="s">
        <v>3011</v>
      </c>
      <c r="AK320" s="27" t="s">
        <v>3012</v>
      </c>
      <c r="AL320" s="27" t="s">
        <v>107</v>
      </c>
      <c r="AM320" s="27" t="s">
        <v>3016</v>
      </c>
      <c r="AN320" s="27" t="s">
        <v>710</v>
      </c>
      <c r="AO320" s="27">
        <v>1</v>
      </c>
    </row>
    <row r="321" spans="1:41">
      <c r="A321" s="27" t="s">
        <v>3017</v>
      </c>
      <c r="B321" s="27" t="s">
        <v>231</v>
      </c>
      <c r="C321" s="27" t="s">
        <v>2943</v>
      </c>
      <c r="D321" s="27" t="s">
        <v>548</v>
      </c>
      <c r="E321" s="27" t="s">
        <v>67</v>
      </c>
      <c r="F321" s="28">
        <v>46226.252932453703</v>
      </c>
      <c r="G321" s="28">
        <v>46233.104958368058</v>
      </c>
      <c r="H321" s="28">
        <v>46226.252932453703</v>
      </c>
      <c r="I321" s="27" t="s">
        <v>232</v>
      </c>
      <c r="J321" s="27" t="s">
        <v>233</v>
      </c>
      <c r="K321" s="27" t="s">
        <v>566</v>
      </c>
      <c r="L321" s="27"/>
      <c r="M321" s="27" t="s">
        <v>2943</v>
      </c>
      <c r="N321" s="27"/>
      <c r="O321" s="27"/>
      <c r="P321" s="27" t="s">
        <v>3018</v>
      </c>
      <c r="Q321" s="27" t="s">
        <v>569</v>
      </c>
      <c r="R321" s="27" t="s">
        <v>583</v>
      </c>
      <c r="S321" s="27"/>
      <c r="T321" s="27" t="s">
        <v>559</v>
      </c>
      <c r="U321" s="27" t="s">
        <v>2943</v>
      </c>
      <c r="V321" s="28">
        <v>46226.253194305558</v>
      </c>
      <c r="W321" s="27" t="s">
        <v>3018</v>
      </c>
      <c r="X321" s="27" t="s">
        <v>559</v>
      </c>
      <c r="Y321" s="27" t="s">
        <v>2943</v>
      </c>
      <c r="Z321" s="28">
        <v>46226.253439062501</v>
      </c>
      <c r="AA321" s="27" t="s">
        <v>3018</v>
      </c>
      <c r="AB321" s="27" t="s">
        <v>559</v>
      </c>
      <c r="AC321" s="27" t="s">
        <v>162</v>
      </c>
      <c r="AD321" s="28">
        <v>46233.104958379627</v>
      </c>
      <c r="AE321" s="27" t="s">
        <v>631</v>
      </c>
      <c r="AF321" s="27"/>
      <c r="AG321" s="27" t="s">
        <v>230</v>
      </c>
      <c r="AH321" s="28"/>
      <c r="AI321" s="27"/>
      <c r="AJ321" s="27" t="s">
        <v>3019</v>
      </c>
      <c r="AK321" s="27">
        <v>10134</v>
      </c>
      <c r="AL321" s="27" t="s">
        <v>107</v>
      </c>
      <c r="AM321" s="27" t="s">
        <v>3020</v>
      </c>
      <c r="AN321" s="27" t="s">
        <v>710</v>
      </c>
      <c r="AO321" s="27">
        <v>1</v>
      </c>
    </row>
    <row r="322" spans="1:41" hidden="1">
      <c r="A322" s="27" t="s">
        <v>3021</v>
      </c>
      <c r="B322" s="27" t="s">
        <v>198</v>
      </c>
      <c r="C322" s="27" t="s">
        <v>2943</v>
      </c>
      <c r="D322" s="27" t="s">
        <v>548</v>
      </c>
      <c r="E322" s="27" t="s">
        <v>67</v>
      </c>
      <c r="F322" s="28">
        <v>46226.255092870371</v>
      </c>
      <c r="G322" s="28">
        <v>46239.619113125002</v>
      </c>
      <c r="H322" s="28">
        <v>46226.255092870371</v>
      </c>
      <c r="I322" s="27" t="s">
        <v>182</v>
      </c>
      <c r="J322" s="27" t="s">
        <v>183</v>
      </c>
      <c r="K322" s="27" t="s">
        <v>566</v>
      </c>
      <c r="L322" s="27"/>
      <c r="M322" s="27" t="s">
        <v>2943</v>
      </c>
      <c r="N322" s="27"/>
      <c r="O322" s="27"/>
      <c r="P322" s="27" t="s">
        <v>3022</v>
      </c>
      <c r="Q322" s="27" t="s">
        <v>569</v>
      </c>
      <c r="R322" s="27" t="s">
        <v>583</v>
      </c>
      <c r="S322" s="27"/>
      <c r="T322" s="27" t="s">
        <v>559</v>
      </c>
      <c r="U322" s="27" t="s">
        <v>2943</v>
      </c>
      <c r="V322" s="28">
        <v>46226.255417766202</v>
      </c>
      <c r="W322" s="27" t="s">
        <v>3022</v>
      </c>
      <c r="X322" s="27" t="s">
        <v>559</v>
      </c>
      <c r="Y322" s="27" t="s">
        <v>2943</v>
      </c>
      <c r="Z322" s="28">
        <v>46226.255639490744</v>
      </c>
      <c r="AA322" s="27" t="s">
        <v>3022</v>
      </c>
      <c r="AB322" s="27" t="s">
        <v>559</v>
      </c>
      <c r="AC322" s="27" t="s">
        <v>162</v>
      </c>
      <c r="AD322" s="28">
        <v>46239.619113136578</v>
      </c>
      <c r="AE322" s="27" t="s">
        <v>681</v>
      </c>
      <c r="AF322" s="27"/>
      <c r="AG322" s="27" t="s">
        <v>168</v>
      </c>
      <c r="AH322" s="28"/>
      <c r="AI322" s="27"/>
      <c r="AJ322" s="27" t="s">
        <v>3011</v>
      </c>
      <c r="AK322" s="27" t="s">
        <v>3012</v>
      </c>
      <c r="AL322" s="27" t="s">
        <v>107</v>
      </c>
      <c r="AM322" s="27" t="s">
        <v>3023</v>
      </c>
      <c r="AN322" s="27" t="s">
        <v>710</v>
      </c>
      <c r="AO322" s="27">
        <v>1</v>
      </c>
    </row>
    <row r="323" spans="1:41" hidden="1">
      <c r="A323" s="27" t="s">
        <v>3024</v>
      </c>
      <c r="B323" s="27" t="s">
        <v>175</v>
      </c>
      <c r="C323" s="27" t="s">
        <v>2943</v>
      </c>
      <c r="D323" s="27" t="s">
        <v>548</v>
      </c>
      <c r="E323" s="27" t="s">
        <v>67</v>
      </c>
      <c r="F323" s="28">
        <v>46226.263291342591</v>
      </c>
      <c r="G323" s="28">
        <v>46233.104649583336</v>
      </c>
      <c r="H323" s="28">
        <v>46226.263291342591</v>
      </c>
      <c r="I323" s="27" t="s">
        <v>176</v>
      </c>
      <c r="J323" s="27" t="s">
        <v>177</v>
      </c>
      <c r="K323" s="27" t="s">
        <v>566</v>
      </c>
      <c r="L323" s="27"/>
      <c r="M323" s="27" t="s">
        <v>2943</v>
      </c>
      <c r="N323" s="27"/>
      <c r="O323" s="27"/>
      <c r="P323" s="27" t="s">
        <v>3025</v>
      </c>
      <c r="Q323" s="27" t="s">
        <v>569</v>
      </c>
      <c r="R323" s="27" t="s">
        <v>583</v>
      </c>
      <c r="S323" s="27"/>
      <c r="T323" s="27" t="s">
        <v>559</v>
      </c>
      <c r="U323" s="27" t="s">
        <v>2943</v>
      </c>
      <c r="V323" s="28">
        <v>46226.26364355324</v>
      </c>
      <c r="W323" s="27" t="s">
        <v>3025</v>
      </c>
      <c r="X323" s="27" t="s">
        <v>559</v>
      </c>
      <c r="Y323" s="27" t="s">
        <v>2943</v>
      </c>
      <c r="Z323" s="28">
        <v>46226.263817962965</v>
      </c>
      <c r="AA323" s="27" t="s">
        <v>3025</v>
      </c>
      <c r="AB323" s="27" t="s">
        <v>559</v>
      </c>
      <c r="AC323" s="27" t="s">
        <v>162</v>
      </c>
      <c r="AD323" s="28">
        <v>46233.104649594905</v>
      </c>
      <c r="AE323" s="27" t="s">
        <v>631</v>
      </c>
      <c r="AF323" s="27"/>
      <c r="AG323" s="27" t="s">
        <v>168</v>
      </c>
      <c r="AH323" s="28"/>
      <c r="AI323" s="27"/>
      <c r="AJ323" s="27" t="s">
        <v>3026</v>
      </c>
      <c r="AK323" s="27">
        <v>10124</v>
      </c>
      <c r="AL323" s="27" t="s">
        <v>107</v>
      </c>
      <c r="AM323" s="27" t="s">
        <v>3027</v>
      </c>
      <c r="AN323" s="27" t="s">
        <v>710</v>
      </c>
      <c r="AO323" s="27">
        <v>1</v>
      </c>
    </row>
    <row r="324" spans="1:41" hidden="1">
      <c r="A324" s="27" t="s">
        <v>3028</v>
      </c>
      <c r="B324" s="27" t="s">
        <v>256</v>
      </c>
      <c r="C324" s="27" t="s">
        <v>2943</v>
      </c>
      <c r="D324" s="27" t="s">
        <v>548</v>
      </c>
      <c r="E324" s="27" t="s">
        <v>67</v>
      </c>
      <c r="F324" s="28">
        <v>46226.26594484954</v>
      </c>
      <c r="G324" s="28">
        <v>46233.104196030094</v>
      </c>
      <c r="H324" s="28">
        <v>46226.26594484954</v>
      </c>
      <c r="I324" s="27" t="s">
        <v>257</v>
      </c>
      <c r="J324" s="27" t="s">
        <v>258</v>
      </c>
      <c r="K324" s="27" t="s">
        <v>566</v>
      </c>
      <c r="L324" s="27"/>
      <c r="M324" s="27" t="s">
        <v>2943</v>
      </c>
      <c r="N324" s="27"/>
      <c r="O324" s="27"/>
      <c r="P324" s="27" t="s">
        <v>3029</v>
      </c>
      <c r="Q324" s="27" t="s">
        <v>569</v>
      </c>
      <c r="R324" s="27" t="s">
        <v>583</v>
      </c>
      <c r="S324" s="27"/>
      <c r="T324" s="27" t="s">
        <v>559</v>
      </c>
      <c r="U324" s="27" t="s">
        <v>2943</v>
      </c>
      <c r="V324" s="28">
        <v>46226.266303645833</v>
      </c>
      <c r="W324" s="27" t="s">
        <v>3029</v>
      </c>
      <c r="X324" s="27" t="s">
        <v>559</v>
      </c>
      <c r="Y324" s="27" t="s">
        <v>2943</v>
      </c>
      <c r="Z324" s="28">
        <v>46226.266475150464</v>
      </c>
      <c r="AA324" s="27" t="s">
        <v>3029</v>
      </c>
      <c r="AB324" s="27" t="s">
        <v>559</v>
      </c>
      <c r="AC324" s="27" t="s">
        <v>162</v>
      </c>
      <c r="AD324" s="28">
        <v>46233.10419604167</v>
      </c>
      <c r="AE324" s="27" t="s">
        <v>631</v>
      </c>
      <c r="AF324" s="27"/>
      <c r="AG324" s="27" t="s">
        <v>259</v>
      </c>
      <c r="AH324" s="28"/>
      <c r="AI324" s="27"/>
      <c r="AJ324" s="27" t="s">
        <v>3030</v>
      </c>
      <c r="AK324" s="27" t="s">
        <v>3031</v>
      </c>
      <c r="AL324" s="27" t="s">
        <v>107</v>
      </c>
      <c r="AM324" s="27" t="s">
        <v>3032</v>
      </c>
      <c r="AN324" s="27" t="s">
        <v>710</v>
      </c>
      <c r="AO324" s="27">
        <v>1</v>
      </c>
    </row>
    <row r="325" spans="1:41" hidden="1">
      <c r="A325" s="27" t="s">
        <v>3033</v>
      </c>
      <c r="B325" s="27" t="s">
        <v>205</v>
      </c>
      <c r="C325" s="27" t="s">
        <v>2943</v>
      </c>
      <c r="D325" s="27" t="s">
        <v>548</v>
      </c>
      <c r="E325" s="27" t="s">
        <v>67</v>
      </c>
      <c r="F325" s="28">
        <v>46226.269127604166</v>
      </c>
      <c r="G325" s="28">
        <v>46239.618911516205</v>
      </c>
      <c r="H325" s="28">
        <v>46226.269127604166</v>
      </c>
      <c r="I325" s="27" t="s">
        <v>206</v>
      </c>
      <c r="J325" s="27" t="s">
        <v>207</v>
      </c>
      <c r="K325" s="27" t="s">
        <v>566</v>
      </c>
      <c r="L325" s="27"/>
      <c r="M325" s="27" t="s">
        <v>2943</v>
      </c>
      <c r="N325" s="27"/>
      <c r="O325" s="27"/>
      <c r="P325" s="27" t="s">
        <v>3034</v>
      </c>
      <c r="Q325" s="27" t="s">
        <v>569</v>
      </c>
      <c r="R325" s="27" t="s">
        <v>583</v>
      </c>
      <c r="S325" s="27"/>
      <c r="T325" s="27" t="s">
        <v>559</v>
      </c>
      <c r="U325" s="27" t="s">
        <v>2943</v>
      </c>
      <c r="V325" s="28">
        <v>46226.269881643515</v>
      </c>
      <c r="W325" s="27" t="s">
        <v>3034</v>
      </c>
      <c r="X325" s="27" t="s">
        <v>559</v>
      </c>
      <c r="Y325" s="27" t="s">
        <v>2943</v>
      </c>
      <c r="Z325" s="28">
        <v>46226.270057453701</v>
      </c>
      <c r="AA325" s="27" t="s">
        <v>3034</v>
      </c>
      <c r="AB325" s="27" t="s">
        <v>559</v>
      </c>
      <c r="AC325" s="27" t="s">
        <v>162</v>
      </c>
      <c r="AD325" s="28">
        <v>46239.61891153935</v>
      </c>
      <c r="AE325" s="27" t="s">
        <v>559</v>
      </c>
      <c r="AF325" s="27"/>
      <c r="AG325" s="27" t="s">
        <v>168</v>
      </c>
      <c r="AH325" s="28"/>
      <c r="AI325" s="27"/>
      <c r="AJ325" s="27" t="s">
        <v>3035</v>
      </c>
      <c r="AK325" s="27" t="s">
        <v>3036</v>
      </c>
      <c r="AL325" s="27" t="s">
        <v>107</v>
      </c>
      <c r="AM325" s="27" t="s">
        <v>3037</v>
      </c>
      <c r="AN325" s="27" t="s">
        <v>710</v>
      </c>
      <c r="AO325" s="27">
        <v>1</v>
      </c>
    </row>
    <row r="326" spans="1:41" hidden="1">
      <c r="A326" s="27" t="s">
        <v>3038</v>
      </c>
      <c r="B326" s="27" t="s">
        <v>263</v>
      </c>
      <c r="C326" s="27" t="s">
        <v>2943</v>
      </c>
      <c r="D326" s="27" t="s">
        <v>548</v>
      </c>
      <c r="E326" s="27" t="s">
        <v>67</v>
      </c>
      <c r="F326" s="28">
        <v>46226.293494768521</v>
      </c>
      <c r="G326" s="28">
        <v>46233.103945844909</v>
      </c>
      <c r="H326" s="28">
        <v>46226.29349478009</v>
      </c>
      <c r="I326" s="27" t="s">
        <v>264</v>
      </c>
      <c r="J326" s="27" t="s">
        <v>265</v>
      </c>
      <c r="K326" s="27" t="s">
        <v>566</v>
      </c>
      <c r="L326" s="27"/>
      <c r="M326" s="27" t="s">
        <v>2943</v>
      </c>
      <c r="N326" s="27"/>
      <c r="O326" s="27"/>
      <c r="P326" s="27" t="s">
        <v>3039</v>
      </c>
      <c r="Q326" s="27" t="s">
        <v>569</v>
      </c>
      <c r="R326" s="27" t="s">
        <v>583</v>
      </c>
      <c r="S326" s="27"/>
      <c r="T326" s="27" t="s">
        <v>559</v>
      </c>
      <c r="U326" s="27" t="s">
        <v>2943</v>
      </c>
      <c r="V326" s="28">
        <v>46226.297026631946</v>
      </c>
      <c r="W326" s="27" t="s">
        <v>3039</v>
      </c>
      <c r="X326" s="27" t="s">
        <v>559</v>
      </c>
      <c r="Y326" s="27" t="s">
        <v>2943</v>
      </c>
      <c r="Z326" s="28">
        <v>46226.297353703703</v>
      </c>
      <c r="AA326" s="27" t="s">
        <v>3039</v>
      </c>
      <c r="AB326" s="27" t="s">
        <v>559</v>
      </c>
      <c r="AC326" s="27" t="s">
        <v>162</v>
      </c>
      <c r="AD326" s="28">
        <v>46233.103945856485</v>
      </c>
      <c r="AE326" s="27" t="s">
        <v>631</v>
      </c>
      <c r="AF326" s="27"/>
      <c r="AG326" s="27" t="s">
        <v>259</v>
      </c>
      <c r="AH326" s="28"/>
      <c r="AI326" s="27"/>
      <c r="AJ326" s="27" t="s">
        <v>3040</v>
      </c>
      <c r="AK326" s="27">
        <v>10224</v>
      </c>
      <c r="AL326" s="27" t="s">
        <v>107</v>
      </c>
      <c r="AM326" s="27" t="s">
        <v>3041</v>
      </c>
      <c r="AN326" s="27" t="s">
        <v>710</v>
      </c>
      <c r="AO326" s="27">
        <v>1</v>
      </c>
    </row>
    <row r="327" spans="1:41" hidden="1">
      <c r="A327" s="27" t="s">
        <v>3042</v>
      </c>
      <c r="B327" s="27" t="s">
        <v>199</v>
      </c>
      <c r="C327" s="27" t="s">
        <v>2943</v>
      </c>
      <c r="D327" s="27" t="s">
        <v>548</v>
      </c>
      <c r="E327" s="27" t="s">
        <v>67</v>
      </c>
      <c r="F327" s="28">
        <v>46226.295224965281</v>
      </c>
      <c r="G327" s="28">
        <v>46239.617916550924</v>
      </c>
      <c r="H327" s="28">
        <v>46226.295224965281</v>
      </c>
      <c r="I327" s="27" t="s">
        <v>200</v>
      </c>
      <c r="J327" s="27" t="s">
        <v>201</v>
      </c>
      <c r="K327" s="27" t="s">
        <v>566</v>
      </c>
      <c r="L327" s="27"/>
      <c r="M327" s="27" t="s">
        <v>2943</v>
      </c>
      <c r="N327" s="27"/>
      <c r="O327" s="27"/>
      <c r="P327" s="27" t="s">
        <v>3043</v>
      </c>
      <c r="Q327" s="27" t="s">
        <v>569</v>
      </c>
      <c r="R327" s="27" t="s">
        <v>583</v>
      </c>
      <c r="S327" s="27"/>
      <c r="T327" s="27" t="s">
        <v>559</v>
      </c>
      <c r="U327" s="27" t="s">
        <v>2943</v>
      </c>
      <c r="V327" s="28">
        <v>46226.297627222222</v>
      </c>
      <c r="W327" s="27" t="s">
        <v>3043</v>
      </c>
      <c r="X327" s="27" t="s">
        <v>559</v>
      </c>
      <c r="Y327" s="27" t="s">
        <v>2943</v>
      </c>
      <c r="Z327" s="28">
        <v>46226.298081504632</v>
      </c>
      <c r="AA327" s="27" t="s">
        <v>3043</v>
      </c>
      <c r="AB327" s="27" t="s">
        <v>559</v>
      </c>
      <c r="AC327" s="27" t="s">
        <v>162</v>
      </c>
      <c r="AD327" s="28">
        <v>46239.6179165625</v>
      </c>
      <c r="AE327" s="27" t="s">
        <v>631</v>
      </c>
      <c r="AF327" s="27"/>
      <c r="AG327" s="27" t="s">
        <v>168</v>
      </c>
      <c r="AH327" s="28"/>
      <c r="AI327" s="27"/>
      <c r="AJ327" s="27" t="s">
        <v>2960</v>
      </c>
      <c r="AK327" s="27" t="s">
        <v>2961</v>
      </c>
      <c r="AL327" s="27" t="s">
        <v>107</v>
      </c>
      <c r="AM327" s="27" t="s">
        <v>3044</v>
      </c>
      <c r="AN327" s="27" t="s">
        <v>710</v>
      </c>
      <c r="AO327" s="27">
        <v>1</v>
      </c>
    </row>
    <row r="328" spans="1:41" hidden="1">
      <c r="A328" s="27" t="s">
        <v>3045</v>
      </c>
      <c r="B328" s="27" t="s">
        <v>3046</v>
      </c>
      <c r="C328" s="27" t="s">
        <v>2943</v>
      </c>
      <c r="D328" s="27" t="s">
        <v>548</v>
      </c>
      <c r="E328" s="27" t="s">
        <v>549</v>
      </c>
      <c r="F328" s="28">
        <v>46226.404679120373</v>
      </c>
      <c r="G328" s="28">
        <v>46244.087093275462</v>
      </c>
      <c r="H328" s="28">
        <v>46226.404679120373</v>
      </c>
      <c r="I328" s="27" t="s">
        <v>3047</v>
      </c>
      <c r="J328" s="27" t="s">
        <v>3048</v>
      </c>
      <c r="K328" s="27" t="s">
        <v>566</v>
      </c>
      <c r="L328" s="27"/>
      <c r="M328" s="27" t="s">
        <v>2943</v>
      </c>
      <c r="N328" s="27"/>
      <c r="O328" s="27"/>
      <c r="P328" s="27" t="s">
        <v>3049</v>
      </c>
      <c r="Q328" s="27" t="s">
        <v>569</v>
      </c>
      <c r="R328" s="27" t="s">
        <v>583</v>
      </c>
      <c r="S328" s="27"/>
      <c r="T328" s="27" t="s">
        <v>559</v>
      </c>
      <c r="U328" s="27" t="s">
        <v>2943</v>
      </c>
      <c r="V328" s="28">
        <v>46226.405763912036</v>
      </c>
      <c r="W328" s="27" t="s">
        <v>3049</v>
      </c>
      <c r="X328" s="27" t="s">
        <v>559</v>
      </c>
      <c r="Y328" s="27" t="s">
        <v>2943</v>
      </c>
      <c r="Z328" s="28">
        <v>46226.406003344906</v>
      </c>
      <c r="AA328" s="27" t="s">
        <v>3049</v>
      </c>
      <c r="AB328" s="27" t="s">
        <v>549</v>
      </c>
      <c r="AC328" s="27" t="s">
        <v>2748</v>
      </c>
      <c r="AD328" s="28">
        <v>46244.087093275462</v>
      </c>
      <c r="AE328" s="27" t="s">
        <v>2956</v>
      </c>
      <c r="AF328" s="27"/>
      <c r="AG328" s="27" t="s">
        <v>126</v>
      </c>
      <c r="AH328" s="28"/>
      <c r="AI328" s="27"/>
      <c r="AJ328" s="27" t="s">
        <v>3050</v>
      </c>
      <c r="AK328" s="27">
        <v>10076</v>
      </c>
      <c r="AL328" s="27"/>
      <c r="AM328" s="27"/>
      <c r="AN328" s="27" t="s">
        <v>710</v>
      </c>
      <c r="AO328" s="27">
        <v>1</v>
      </c>
    </row>
    <row r="329" spans="1:41" hidden="1">
      <c r="A329" s="27" t="s">
        <v>3051</v>
      </c>
      <c r="B329" s="27" t="s">
        <v>290</v>
      </c>
      <c r="C329" s="27" t="s">
        <v>1509</v>
      </c>
      <c r="D329" s="27" t="s">
        <v>548</v>
      </c>
      <c r="E329" s="27" t="s">
        <v>67</v>
      </c>
      <c r="F329" s="28">
        <v>46227.274995428241</v>
      </c>
      <c r="G329" s="28">
        <v>46231.203670787036</v>
      </c>
      <c r="H329" s="28">
        <v>46227.274995428241</v>
      </c>
      <c r="I329" s="27" t="s">
        <v>291</v>
      </c>
      <c r="J329" s="27" t="s">
        <v>292</v>
      </c>
      <c r="K329" s="27" t="s">
        <v>566</v>
      </c>
      <c r="L329" s="27"/>
      <c r="M329" s="27" t="s">
        <v>778</v>
      </c>
      <c r="N329" s="27"/>
      <c r="O329" s="27"/>
      <c r="P329" s="27" t="s">
        <v>976</v>
      </c>
      <c r="Q329" s="27" t="s">
        <v>556</v>
      </c>
      <c r="R329" s="27" t="s">
        <v>659</v>
      </c>
      <c r="S329" s="27"/>
      <c r="T329" s="27" t="s">
        <v>559</v>
      </c>
      <c r="U329" s="27" t="s">
        <v>1509</v>
      </c>
      <c r="V329" s="28">
        <v>46227.275602152775</v>
      </c>
      <c r="W329" s="27" t="s">
        <v>976</v>
      </c>
      <c r="X329" s="27" t="s">
        <v>559</v>
      </c>
      <c r="Y329" s="27" t="s">
        <v>778</v>
      </c>
      <c r="Z329" s="28">
        <v>46230.113412951388</v>
      </c>
      <c r="AA329" s="27" t="s">
        <v>2898</v>
      </c>
      <c r="AB329" s="27" t="s">
        <v>559</v>
      </c>
      <c r="AC329" s="27" t="s">
        <v>162</v>
      </c>
      <c r="AD329" s="28">
        <v>46231.203670787036</v>
      </c>
      <c r="AE329" s="27" t="s">
        <v>2597</v>
      </c>
      <c r="AF329" s="27"/>
      <c r="AG329" s="27" t="s">
        <v>259</v>
      </c>
      <c r="AH329" s="28"/>
      <c r="AI329" s="27"/>
      <c r="AJ329" s="27" t="s">
        <v>3052</v>
      </c>
      <c r="AK329" s="27" t="s">
        <v>3053</v>
      </c>
      <c r="AL329" s="27" t="s">
        <v>125</v>
      </c>
      <c r="AM329" s="27" t="s">
        <v>3054</v>
      </c>
      <c r="AN329" s="27" t="s">
        <v>665</v>
      </c>
      <c r="AO329" s="27">
        <v>0</v>
      </c>
    </row>
    <row r="330" spans="1:41" hidden="1">
      <c r="A330" s="27" t="s">
        <v>3055</v>
      </c>
      <c r="B330" s="27" t="s">
        <v>133</v>
      </c>
      <c r="C330" s="27" t="s">
        <v>2805</v>
      </c>
      <c r="D330" s="27" t="s">
        <v>548</v>
      </c>
      <c r="E330" s="27" t="s">
        <v>70</v>
      </c>
      <c r="F330" s="28">
        <v>46227.312775613427</v>
      </c>
      <c r="G330" s="28">
        <v>46251.166840520833</v>
      </c>
      <c r="H330" s="28">
        <v>46227.312775613427</v>
      </c>
      <c r="I330" s="27" t="s">
        <v>134</v>
      </c>
      <c r="J330" s="27" t="s">
        <v>135</v>
      </c>
      <c r="K330" s="27" t="s">
        <v>566</v>
      </c>
      <c r="L330" s="27"/>
      <c r="M330" s="27" t="s">
        <v>2807</v>
      </c>
      <c r="N330" s="27"/>
      <c r="O330" s="27"/>
      <c r="P330" s="27" t="s">
        <v>3056</v>
      </c>
      <c r="Q330" s="27" t="s">
        <v>569</v>
      </c>
      <c r="R330" s="27" t="s">
        <v>557</v>
      </c>
      <c r="S330" s="27"/>
      <c r="T330" s="27" t="s">
        <v>559</v>
      </c>
      <c r="U330" s="27" t="s">
        <v>2805</v>
      </c>
      <c r="V330" s="28">
        <v>46227.316986979167</v>
      </c>
      <c r="W330" s="27" t="s">
        <v>3057</v>
      </c>
      <c r="X330" s="27" t="s">
        <v>559</v>
      </c>
      <c r="Y330" s="27" t="s">
        <v>3058</v>
      </c>
      <c r="Z330" s="28">
        <v>46248.143880810188</v>
      </c>
      <c r="AA330" s="27" t="s">
        <v>681</v>
      </c>
      <c r="AB330" s="27"/>
      <c r="AC330" s="27" t="s">
        <v>2491</v>
      </c>
      <c r="AD330" s="28"/>
      <c r="AE330" s="27"/>
      <c r="AF330" s="27"/>
      <c r="AG330" s="27" t="s">
        <v>126</v>
      </c>
      <c r="AH330" s="28"/>
      <c r="AI330" s="27"/>
      <c r="AJ330" s="27" t="s">
        <v>2811</v>
      </c>
      <c r="AK330" s="27">
        <v>955</v>
      </c>
      <c r="AL330" s="27" t="s">
        <v>125</v>
      </c>
      <c r="AM330" s="27"/>
      <c r="AN330" s="27" t="s">
        <v>710</v>
      </c>
      <c r="AO330" s="27">
        <v>365</v>
      </c>
    </row>
    <row r="331" spans="1:41" hidden="1">
      <c r="A331" s="27" t="s">
        <v>3059</v>
      </c>
      <c r="B331" s="27" t="s">
        <v>3060</v>
      </c>
      <c r="C331" s="27" t="s">
        <v>1801</v>
      </c>
      <c r="D331" s="27" t="s">
        <v>548</v>
      </c>
      <c r="E331" s="27" t="s">
        <v>668</v>
      </c>
      <c r="F331" s="28">
        <v>46230.069221967591</v>
      </c>
      <c r="G331" s="28">
        <v>46230.170998912035</v>
      </c>
      <c r="H331" s="28">
        <v>46230.069221967591</v>
      </c>
      <c r="I331" s="27" t="s">
        <v>1802</v>
      </c>
      <c r="J331" s="27" t="s">
        <v>1803</v>
      </c>
      <c r="K331" s="27" t="s">
        <v>566</v>
      </c>
      <c r="L331" s="27"/>
      <c r="M331" s="27" t="s">
        <v>1118</v>
      </c>
      <c r="N331" s="27"/>
      <c r="O331" s="27"/>
      <c r="P331" s="27" t="s">
        <v>3061</v>
      </c>
      <c r="Q331" s="27" t="s">
        <v>556</v>
      </c>
      <c r="R331" s="27" t="s">
        <v>583</v>
      </c>
      <c r="S331" s="27"/>
      <c r="T331" s="27" t="s">
        <v>559</v>
      </c>
      <c r="U331" s="27" t="s">
        <v>1121</v>
      </c>
      <c r="V331" s="28">
        <v>46230.170998923611</v>
      </c>
      <c r="W331" s="27" t="s">
        <v>559</v>
      </c>
      <c r="X331" s="27"/>
      <c r="Y331" s="27" t="s">
        <v>1121</v>
      </c>
      <c r="Z331" s="28"/>
      <c r="AA331" s="27"/>
      <c r="AB331" s="27"/>
      <c r="AC331" s="27" t="s">
        <v>2723</v>
      </c>
      <c r="AD331" s="28"/>
      <c r="AE331" s="27"/>
      <c r="AF331" s="27"/>
      <c r="AG331" s="27" t="s">
        <v>126</v>
      </c>
      <c r="AH331" s="28"/>
      <c r="AI331" s="27"/>
      <c r="AJ331" s="27" t="s">
        <v>1810</v>
      </c>
      <c r="AK331" s="27">
        <v>1709</v>
      </c>
      <c r="AL331" s="27"/>
      <c r="AM331" s="27"/>
      <c r="AN331" s="27" t="s">
        <v>665</v>
      </c>
      <c r="AO331" s="27">
        <v>0</v>
      </c>
    </row>
    <row r="332" spans="1:41" hidden="1">
      <c r="A332" s="27" t="s">
        <v>3062</v>
      </c>
      <c r="B332" s="27" t="s">
        <v>234</v>
      </c>
      <c r="C332" s="27" t="s">
        <v>1509</v>
      </c>
      <c r="D332" s="27" t="s">
        <v>548</v>
      </c>
      <c r="E332" s="27" t="s">
        <v>67</v>
      </c>
      <c r="F332" s="28">
        <v>46232.071628449077</v>
      </c>
      <c r="G332" s="28">
        <v>46246.653610682872</v>
      </c>
      <c r="H332" s="28">
        <v>46232.071628449077</v>
      </c>
      <c r="I332" s="27" t="s">
        <v>235</v>
      </c>
      <c r="J332" s="27" t="s">
        <v>236</v>
      </c>
      <c r="K332" s="27" t="s">
        <v>566</v>
      </c>
      <c r="L332" s="27"/>
      <c r="M332" s="27" t="s">
        <v>778</v>
      </c>
      <c r="N332" s="27"/>
      <c r="O332" s="27"/>
      <c r="P332" s="27" t="s">
        <v>976</v>
      </c>
      <c r="Q332" s="27" t="s">
        <v>556</v>
      </c>
      <c r="R332" s="27" t="s">
        <v>659</v>
      </c>
      <c r="S332" s="27"/>
      <c r="T332" s="27" t="s">
        <v>559</v>
      </c>
      <c r="U332" s="27" t="s">
        <v>1509</v>
      </c>
      <c r="V332" s="28">
        <v>46232.074580324072</v>
      </c>
      <c r="W332" s="27" t="s">
        <v>976</v>
      </c>
      <c r="X332" s="27" t="s">
        <v>559</v>
      </c>
      <c r="Y332" s="27" t="s">
        <v>778</v>
      </c>
      <c r="Z332" s="28">
        <v>46241.443700682874</v>
      </c>
      <c r="AA332" s="27" t="s">
        <v>976</v>
      </c>
      <c r="AB332" s="27" t="s">
        <v>559</v>
      </c>
      <c r="AC332" s="27" t="s">
        <v>162</v>
      </c>
      <c r="AD332" s="28">
        <v>46246.653610694448</v>
      </c>
      <c r="AE332" s="27" t="s">
        <v>631</v>
      </c>
      <c r="AF332" s="27"/>
      <c r="AG332" s="27" t="s">
        <v>237</v>
      </c>
      <c r="AH332" s="28"/>
      <c r="AI332" s="27"/>
      <c r="AJ332" s="27" t="s">
        <v>2724</v>
      </c>
      <c r="AK332" s="27" t="s">
        <v>2725</v>
      </c>
      <c r="AL332" s="27" t="s">
        <v>125</v>
      </c>
      <c r="AM332" s="27" t="s">
        <v>3063</v>
      </c>
      <c r="AN332" s="27" t="s">
        <v>665</v>
      </c>
      <c r="AO332" s="27">
        <v>0</v>
      </c>
    </row>
    <row r="333" spans="1:41" hidden="1">
      <c r="A333" s="27" t="s">
        <v>3064</v>
      </c>
      <c r="B333" s="27" t="s">
        <v>243</v>
      </c>
      <c r="C333" s="27" t="s">
        <v>1509</v>
      </c>
      <c r="D333" s="27" t="s">
        <v>548</v>
      </c>
      <c r="E333" s="27" t="s">
        <v>67</v>
      </c>
      <c r="F333" s="28">
        <v>46232.076016087965</v>
      </c>
      <c r="G333" s="28">
        <v>46246.653269062503</v>
      </c>
      <c r="H333" s="28">
        <v>46232.076016087965</v>
      </c>
      <c r="I333" s="27" t="s">
        <v>244</v>
      </c>
      <c r="J333" s="27" t="s">
        <v>245</v>
      </c>
      <c r="K333" s="27" t="s">
        <v>566</v>
      </c>
      <c r="L333" s="27"/>
      <c r="M333" s="27" t="s">
        <v>778</v>
      </c>
      <c r="N333" s="27"/>
      <c r="O333" s="27"/>
      <c r="P333" s="27" t="s">
        <v>976</v>
      </c>
      <c r="Q333" s="27" t="s">
        <v>556</v>
      </c>
      <c r="R333" s="27" t="s">
        <v>659</v>
      </c>
      <c r="S333" s="27"/>
      <c r="T333" s="27" t="s">
        <v>559</v>
      </c>
      <c r="U333" s="27" t="s">
        <v>1509</v>
      </c>
      <c r="V333" s="28">
        <v>46232.077132129627</v>
      </c>
      <c r="W333" s="27" t="s">
        <v>976</v>
      </c>
      <c r="X333" s="27" t="s">
        <v>559</v>
      </c>
      <c r="Y333" s="27" t="s">
        <v>778</v>
      </c>
      <c r="Z333" s="28">
        <v>46241.444855138892</v>
      </c>
      <c r="AA333" s="27" t="s">
        <v>976</v>
      </c>
      <c r="AB333" s="27" t="s">
        <v>559</v>
      </c>
      <c r="AC333" s="27" t="s">
        <v>162</v>
      </c>
      <c r="AD333" s="28">
        <v>46246.653269085647</v>
      </c>
      <c r="AE333" s="27" t="s">
        <v>2597</v>
      </c>
      <c r="AF333" s="27"/>
      <c r="AG333" s="27" t="s">
        <v>237</v>
      </c>
      <c r="AH333" s="28"/>
      <c r="AI333" s="27"/>
      <c r="AJ333" s="27" t="s">
        <v>1435</v>
      </c>
      <c r="AK333" s="27" t="s">
        <v>1436</v>
      </c>
      <c r="AL333" s="27" t="s">
        <v>125</v>
      </c>
      <c r="AM333" s="27" t="s">
        <v>3065</v>
      </c>
      <c r="AN333" s="27" t="s">
        <v>665</v>
      </c>
      <c r="AO333" s="27">
        <v>0</v>
      </c>
    </row>
    <row r="334" spans="1:41" hidden="1">
      <c r="A334" s="27" t="s">
        <v>3066</v>
      </c>
      <c r="B334" s="27" t="s">
        <v>130</v>
      </c>
      <c r="C334" s="27" t="s">
        <v>1509</v>
      </c>
      <c r="D334" s="27" t="s">
        <v>548</v>
      </c>
      <c r="E334" s="27" t="s">
        <v>70</v>
      </c>
      <c r="F334" s="28">
        <v>46233.109634340275</v>
      </c>
      <c r="G334" s="28">
        <v>46251.16752747685</v>
      </c>
      <c r="H334" s="28">
        <v>46233.109634340275</v>
      </c>
      <c r="I334" s="27" t="s">
        <v>131</v>
      </c>
      <c r="J334" s="27" t="s">
        <v>132</v>
      </c>
      <c r="K334" s="27" t="s">
        <v>566</v>
      </c>
      <c r="L334" s="27"/>
      <c r="M334" s="27" t="s">
        <v>778</v>
      </c>
      <c r="N334" s="27"/>
      <c r="O334" s="27"/>
      <c r="P334" s="27" t="s">
        <v>976</v>
      </c>
      <c r="Q334" s="27" t="s">
        <v>556</v>
      </c>
      <c r="R334" s="27" t="s">
        <v>659</v>
      </c>
      <c r="S334" s="27"/>
      <c r="T334" s="27" t="s">
        <v>559</v>
      </c>
      <c r="U334" s="27" t="s">
        <v>1509</v>
      </c>
      <c r="V334" s="28">
        <v>46233.11143287037</v>
      </c>
      <c r="W334" s="27" t="s">
        <v>976</v>
      </c>
      <c r="X334" s="27" t="s">
        <v>559</v>
      </c>
      <c r="Y334" s="27" t="s">
        <v>778</v>
      </c>
      <c r="Z334" s="28">
        <v>46247.383317071763</v>
      </c>
      <c r="AA334" s="27" t="s">
        <v>976</v>
      </c>
      <c r="AB334" s="27"/>
      <c r="AC334" s="27" t="s">
        <v>2491</v>
      </c>
      <c r="AD334" s="28"/>
      <c r="AE334" s="27"/>
      <c r="AF334" s="27"/>
      <c r="AG334" s="27" t="s">
        <v>126</v>
      </c>
      <c r="AH334" s="28"/>
      <c r="AI334" s="27"/>
      <c r="AJ334" s="27" t="s">
        <v>3067</v>
      </c>
      <c r="AK334" s="27">
        <v>2687</v>
      </c>
      <c r="AL334" s="27" t="s">
        <v>125</v>
      </c>
      <c r="AM334" s="27"/>
      <c r="AN334" s="27" t="s">
        <v>665</v>
      </c>
      <c r="AO334" s="27">
        <v>0</v>
      </c>
    </row>
    <row r="335" spans="1:41" hidden="1">
      <c r="A335" s="27" t="s">
        <v>3068</v>
      </c>
      <c r="B335" s="27" t="s">
        <v>190</v>
      </c>
      <c r="C335" s="27" t="s">
        <v>1509</v>
      </c>
      <c r="D335" s="27" t="s">
        <v>548</v>
      </c>
      <c r="E335" s="27" t="s">
        <v>67</v>
      </c>
      <c r="F335" s="28">
        <v>46233.109674571759</v>
      </c>
      <c r="G335" s="28">
        <v>46246.652488252315</v>
      </c>
      <c r="H335" s="28">
        <v>46233.109674571759</v>
      </c>
      <c r="I335" s="27" t="s">
        <v>131</v>
      </c>
      <c r="J335" s="27" t="s">
        <v>191</v>
      </c>
      <c r="K335" s="27" t="s">
        <v>566</v>
      </c>
      <c r="L335" s="27"/>
      <c r="M335" s="27" t="s">
        <v>778</v>
      </c>
      <c r="N335" s="27"/>
      <c r="O335" s="27"/>
      <c r="P335" s="27" t="s">
        <v>976</v>
      </c>
      <c r="Q335" s="27" t="s">
        <v>556</v>
      </c>
      <c r="R335" s="27" t="s">
        <v>659</v>
      </c>
      <c r="S335" s="27"/>
      <c r="T335" s="27" t="s">
        <v>559</v>
      </c>
      <c r="U335" s="27" t="s">
        <v>1509</v>
      </c>
      <c r="V335" s="28">
        <v>46233.110526481483</v>
      </c>
      <c r="W335" s="27" t="s">
        <v>976</v>
      </c>
      <c r="X335" s="27" t="s">
        <v>559</v>
      </c>
      <c r="Y335" s="27" t="s">
        <v>778</v>
      </c>
      <c r="Z335" s="28">
        <v>46241.444319849536</v>
      </c>
      <c r="AA335" s="27" t="s">
        <v>976</v>
      </c>
      <c r="AB335" s="27" t="s">
        <v>559</v>
      </c>
      <c r="AC335" s="27" t="s">
        <v>162</v>
      </c>
      <c r="AD335" s="28">
        <v>46246.65248827546</v>
      </c>
      <c r="AE335" s="27" t="s">
        <v>2597</v>
      </c>
      <c r="AF335" s="27"/>
      <c r="AG335" s="27" t="s">
        <v>168</v>
      </c>
      <c r="AH335" s="28"/>
      <c r="AI335" s="27"/>
      <c r="AJ335" s="27" t="s">
        <v>3067</v>
      </c>
      <c r="AK335" s="27">
        <v>3349</v>
      </c>
      <c r="AL335" s="27" t="s">
        <v>107</v>
      </c>
      <c r="AM335" s="27" t="s">
        <v>3069</v>
      </c>
      <c r="AN335" s="27" t="s">
        <v>665</v>
      </c>
      <c r="AO335" s="27">
        <v>0</v>
      </c>
    </row>
    <row r="336" spans="1:41" hidden="1">
      <c r="A336" s="27" t="s">
        <v>3070</v>
      </c>
      <c r="B336" s="27" t="s">
        <v>166</v>
      </c>
      <c r="C336" s="27" t="s">
        <v>1509</v>
      </c>
      <c r="D336" s="27" t="s">
        <v>548</v>
      </c>
      <c r="E336" s="27" t="s">
        <v>67</v>
      </c>
      <c r="F336" s="28">
        <v>46233.109707407406</v>
      </c>
      <c r="G336" s="28">
        <v>46246.652084618057</v>
      </c>
      <c r="H336" s="28">
        <v>46233.109707407406</v>
      </c>
      <c r="I336" s="27" t="s">
        <v>131</v>
      </c>
      <c r="J336" s="27" t="s">
        <v>167</v>
      </c>
      <c r="K336" s="27" t="s">
        <v>566</v>
      </c>
      <c r="L336" s="27"/>
      <c r="M336" s="27" t="s">
        <v>778</v>
      </c>
      <c r="N336" s="27"/>
      <c r="O336" s="27"/>
      <c r="P336" s="27" t="s">
        <v>976</v>
      </c>
      <c r="Q336" s="27" t="s">
        <v>556</v>
      </c>
      <c r="R336" s="27" t="s">
        <v>659</v>
      </c>
      <c r="S336" s="27"/>
      <c r="T336" s="27" t="s">
        <v>559</v>
      </c>
      <c r="U336" s="27" t="s">
        <v>1509</v>
      </c>
      <c r="V336" s="28">
        <v>46233.110433414353</v>
      </c>
      <c r="W336" s="27" t="s">
        <v>976</v>
      </c>
      <c r="X336" s="27" t="s">
        <v>559</v>
      </c>
      <c r="Y336" s="27" t="s">
        <v>778</v>
      </c>
      <c r="Z336" s="28">
        <v>46241.443124872683</v>
      </c>
      <c r="AA336" s="27" t="s">
        <v>976</v>
      </c>
      <c r="AB336" s="27" t="s">
        <v>559</v>
      </c>
      <c r="AC336" s="27" t="s">
        <v>162</v>
      </c>
      <c r="AD336" s="28">
        <v>46246.652084641202</v>
      </c>
      <c r="AE336" s="27" t="s">
        <v>631</v>
      </c>
      <c r="AF336" s="27"/>
      <c r="AG336" s="27" t="s">
        <v>168</v>
      </c>
      <c r="AH336" s="28"/>
      <c r="AI336" s="27"/>
      <c r="AJ336" s="27" t="s">
        <v>3067</v>
      </c>
      <c r="AK336" s="27">
        <v>4271</v>
      </c>
      <c r="AL336" s="27" t="s">
        <v>107</v>
      </c>
      <c r="AM336" s="27" t="s">
        <v>3071</v>
      </c>
      <c r="AN336" s="27" t="s">
        <v>665</v>
      </c>
      <c r="AO336" s="27">
        <v>0</v>
      </c>
    </row>
    <row r="337" spans="1:41" hidden="1">
      <c r="A337" s="27" t="s">
        <v>3072</v>
      </c>
      <c r="B337" s="27" t="s">
        <v>192</v>
      </c>
      <c r="C337" s="27" t="s">
        <v>1509</v>
      </c>
      <c r="D337" s="27" t="s">
        <v>548</v>
      </c>
      <c r="E337" s="27" t="s">
        <v>67</v>
      </c>
      <c r="F337" s="28">
        <v>46234.056141655092</v>
      </c>
      <c r="G337" s="28">
        <v>46246.650986736109</v>
      </c>
      <c r="H337" s="28">
        <v>46234.056141655092</v>
      </c>
      <c r="I337" s="27" t="s">
        <v>193</v>
      </c>
      <c r="J337" s="27" t="s">
        <v>194</v>
      </c>
      <c r="K337" s="27" t="s">
        <v>566</v>
      </c>
      <c r="L337" s="27"/>
      <c r="M337" s="27" t="s">
        <v>778</v>
      </c>
      <c r="N337" s="27"/>
      <c r="O337" s="27"/>
      <c r="P337" s="27" t="s">
        <v>976</v>
      </c>
      <c r="Q337" s="27" t="s">
        <v>556</v>
      </c>
      <c r="R337" s="27" t="s">
        <v>659</v>
      </c>
      <c r="S337" s="27"/>
      <c r="T337" s="27" t="s">
        <v>559</v>
      </c>
      <c r="U337" s="27" t="s">
        <v>1509</v>
      </c>
      <c r="V337" s="28">
        <v>46234.057295879633</v>
      </c>
      <c r="W337" s="27" t="s">
        <v>976</v>
      </c>
      <c r="X337" s="27" t="s">
        <v>559</v>
      </c>
      <c r="Y337" s="27" t="s">
        <v>778</v>
      </c>
      <c r="Z337" s="28">
        <v>46241.442809976848</v>
      </c>
      <c r="AA337" s="27" t="s">
        <v>976</v>
      </c>
      <c r="AB337" s="27" t="s">
        <v>559</v>
      </c>
      <c r="AC337" s="27" t="s">
        <v>162</v>
      </c>
      <c r="AD337" s="28">
        <v>46246.650986736109</v>
      </c>
      <c r="AE337" s="27" t="s">
        <v>631</v>
      </c>
      <c r="AF337" s="27"/>
      <c r="AG337" s="27" t="s">
        <v>168</v>
      </c>
      <c r="AH337" s="28"/>
      <c r="AI337" s="27"/>
      <c r="AJ337" s="27" t="s">
        <v>3073</v>
      </c>
      <c r="AK337" s="27" t="s">
        <v>3074</v>
      </c>
      <c r="AL337" s="27" t="s">
        <v>125</v>
      </c>
      <c r="AM337" s="27" t="s">
        <v>3075</v>
      </c>
      <c r="AN337" s="27" t="s">
        <v>665</v>
      </c>
      <c r="AO337" s="27">
        <v>0</v>
      </c>
    </row>
    <row r="338" spans="1:41" hidden="1">
      <c r="A338" s="27" t="s">
        <v>3076</v>
      </c>
      <c r="B338" s="27" t="s">
        <v>178</v>
      </c>
      <c r="C338" s="27" t="s">
        <v>3077</v>
      </c>
      <c r="D338" s="27" t="s">
        <v>548</v>
      </c>
      <c r="E338" s="27" t="s">
        <v>67</v>
      </c>
      <c r="F338" s="28">
        <v>46237.102823969908</v>
      </c>
      <c r="G338" s="28">
        <v>46246.650579814814</v>
      </c>
      <c r="H338" s="28">
        <v>46237.401023368053</v>
      </c>
      <c r="I338" s="27" t="s">
        <v>179</v>
      </c>
      <c r="J338" s="27" t="s">
        <v>180</v>
      </c>
      <c r="K338" s="27" t="s">
        <v>676</v>
      </c>
      <c r="L338" s="27" t="s">
        <v>3078</v>
      </c>
      <c r="M338" s="27" t="s">
        <v>1349</v>
      </c>
      <c r="N338" s="27"/>
      <c r="O338" s="27"/>
      <c r="P338" s="27" t="s">
        <v>3079</v>
      </c>
      <c r="Q338" s="27" t="s">
        <v>569</v>
      </c>
      <c r="R338" s="27" t="s">
        <v>583</v>
      </c>
      <c r="S338" s="27"/>
      <c r="T338" s="27" t="s">
        <v>559</v>
      </c>
      <c r="U338" s="27" t="s">
        <v>3077</v>
      </c>
      <c r="V338" s="28">
        <v>46237.404301099537</v>
      </c>
      <c r="W338" s="27" t="s">
        <v>1032</v>
      </c>
      <c r="X338" s="27" t="s">
        <v>559</v>
      </c>
      <c r="Y338" s="27" t="s">
        <v>1353</v>
      </c>
      <c r="Z338" s="28">
        <v>46239.303393877315</v>
      </c>
      <c r="AA338" s="27" t="s">
        <v>3080</v>
      </c>
      <c r="AB338" s="27" t="s">
        <v>559</v>
      </c>
      <c r="AC338" s="27" t="s">
        <v>162</v>
      </c>
      <c r="AD338" s="28">
        <v>46246.650579849535</v>
      </c>
      <c r="AE338" s="27" t="s">
        <v>2597</v>
      </c>
      <c r="AF338" s="27"/>
      <c r="AG338" s="27" t="s">
        <v>168</v>
      </c>
      <c r="AH338" s="28"/>
      <c r="AI338" s="27"/>
      <c r="AJ338" s="27" t="s">
        <v>3081</v>
      </c>
      <c r="AK338" s="27">
        <v>4702</v>
      </c>
      <c r="AL338" s="27" t="s">
        <v>107</v>
      </c>
      <c r="AM338" s="27" t="s">
        <v>3082</v>
      </c>
      <c r="AN338" s="27" t="s">
        <v>710</v>
      </c>
      <c r="AO338" s="27">
        <v>2520</v>
      </c>
    </row>
    <row r="339" spans="1:41" hidden="1">
      <c r="A339" s="27" t="s">
        <v>3083</v>
      </c>
      <c r="B339" s="27" t="s">
        <v>3084</v>
      </c>
      <c r="C339" s="27" t="s">
        <v>3085</v>
      </c>
      <c r="D339" s="27" t="s">
        <v>548</v>
      </c>
      <c r="E339" s="27" t="s">
        <v>578</v>
      </c>
      <c r="F339" s="28">
        <v>46237.17056608796</v>
      </c>
      <c r="G339" s="28">
        <v>46237.171485810184</v>
      </c>
      <c r="H339" s="28">
        <v>46237.17056608796</v>
      </c>
      <c r="I339" s="27" t="s">
        <v>3086</v>
      </c>
      <c r="J339" s="27" t="s">
        <v>3087</v>
      </c>
      <c r="K339" s="27" t="s">
        <v>676</v>
      </c>
      <c r="L339" s="27" t="s">
        <v>3088</v>
      </c>
      <c r="M339" s="27" t="s">
        <v>1118</v>
      </c>
      <c r="N339" s="27" t="s">
        <v>3089</v>
      </c>
      <c r="O339" s="27"/>
      <c r="P339" s="27" t="s">
        <v>3090</v>
      </c>
      <c r="Q339" s="27" t="s">
        <v>569</v>
      </c>
      <c r="R339" s="27" t="s">
        <v>583</v>
      </c>
      <c r="S339" s="27"/>
      <c r="T339" s="27" t="s">
        <v>549</v>
      </c>
      <c r="U339" s="27" t="s">
        <v>3085</v>
      </c>
      <c r="V339" s="28">
        <v>46237.171485810184</v>
      </c>
      <c r="W339" s="27"/>
      <c r="X339" s="27"/>
      <c r="Y339" s="27" t="s">
        <v>1121</v>
      </c>
      <c r="Z339" s="28"/>
      <c r="AA339" s="27"/>
      <c r="AB339" s="27"/>
      <c r="AC339" s="27" t="s">
        <v>2723</v>
      </c>
      <c r="AD339" s="28"/>
      <c r="AE339" s="27"/>
      <c r="AF339" s="27"/>
      <c r="AG339" s="27" t="s">
        <v>126</v>
      </c>
      <c r="AH339" s="28"/>
      <c r="AI339" s="27"/>
      <c r="AJ339" s="27" t="s">
        <v>3091</v>
      </c>
      <c r="AK339" s="27" t="s">
        <v>3092</v>
      </c>
      <c r="AL339" s="27"/>
      <c r="AM339" s="27"/>
      <c r="AN339" s="27" t="s">
        <v>710</v>
      </c>
      <c r="AO339" s="27">
        <v>365</v>
      </c>
    </row>
    <row r="340" spans="1:41" hidden="1">
      <c r="A340" s="27" t="s">
        <v>3093</v>
      </c>
      <c r="B340" s="27" t="s">
        <v>3094</v>
      </c>
      <c r="C340" s="27" t="s">
        <v>3085</v>
      </c>
      <c r="D340" s="27" t="s">
        <v>548</v>
      </c>
      <c r="E340" s="27" t="s">
        <v>668</v>
      </c>
      <c r="F340" s="28">
        <v>46237.172693819448</v>
      </c>
      <c r="G340" s="28">
        <v>46237.173705347224</v>
      </c>
      <c r="H340" s="28">
        <v>46237.172693819448</v>
      </c>
      <c r="I340" s="27" t="s">
        <v>3086</v>
      </c>
      <c r="J340" s="27" t="s">
        <v>3087</v>
      </c>
      <c r="K340" s="27" t="s">
        <v>676</v>
      </c>
      <c r="L340" s="27" t="s">
        <v>3088</v>
      </c>
      <c r="M340" s="27" t="s">
        <v>1118</v>
      </c>
      <c r="N340" s="27" t="s">
        <v>3089</v>
      </c>
      <c r="O340" s="27"/>
      <c r="P340" s="27" t="s">
        <v>3095</v>
      </c>
      <c r="Q340" s="27" t="s">
        <v>569</v>
      </c>
      <c r="R340" s="27" t="s">
        <v>583</v>
      </c>
      <c r="S340" s="27"/>
      <c r="T340" s="27" t="s">
        <v>559</v>
      </c>
      <c r="U340" s="27" t="s">
        <v>3085</v>
      </c>
      <c r="V340" s="28">
        <v>46237.173705347224</v>
      </c>
      <c r="W340" s="27" t="s">
        <v>3096</v>
      </c>
      <c r="X340" s="27"/>
      <c r="Y340" s="27" t="s">
        <v>1121</v>
      </c>
      <c r="Z340" s="28"/>
      <c r="AA340" s="27"/>
      <c r="AB340" s="27"/>
      <c r="AC340" s="27" t="s">
        <v>2723</v>
      </c>
      <c r="AD340" s="28"/>
      <c r="AE340" s="27"/>
      <c r="AF340" s="27"/>
      <c r="AG340" s="27" t="s">
        <v>126</v>
      </c>
      <c r="AH340" s="28"/>
      <c r="AI340" s="27"/>
      <c r="AJ340" s="27" t="s">
        <v>3091</v>
      </c>
      <c r="AK340" s="27" t="s">
        <v>3092</v>
      </c>
      <c r="AL340" s="27"/>
      <c r="AM340" s="27"/>
      <c r="AN340" s="27" t="s">
        <v>710</v>
      </c>
      <c r="AO340" s="27">
        <v>364</v>
      </c>
    </row>
    <row r="341" spans="1:41" hidden="1">
      <c r="A341" s="27" t="s">
        <v>3097</v>
      </c>
      <c r="B341" s="27" t="s">
        <v>283</v>
      </c>
      <c r="C341" s="27" t="s">
        <v>1430</v>
      </c>
      <c r="D341" s="27" t="s">
        <v>548</v>
      </c>
      <c r="E341" s="27" t="s">
        <v>67</v>
      </c>
      <c r="F341" s="28">
        <v>46237.561653055556</v>
      </c>
      <c r="G341" s="28">
        <v>46246.650259479167</v>
      </c>
      <c r="H341" s="28">
        <v>46237.561653055556</v>
      </c>
      <c r="I341" s="27" t="s">
        <v>235</v>
      </c>
      <c r="J341" s="27" t="s">
        <v>236</v>
      </c>
      <c r="K341" s="27" t="s">
        <v>566</v>
      </c>
      <c r="L341" s="27"/>
      <c r="M341" s="27" t="s">
        <v>963</v>
      </c>
      <c r="N341" s="27"/>
      <c r="O341" s="27"/>
      <c r="P341" s="27" t="s">
        <v>3098</v>
      </c>
      <c r="Q341" s="27" t="s">
        <v>556</v>
      </c>
      <c r="R341" s="27" t="s">
        <v>659</v>
      </c>
      <c r="S341" s="27"/>
      <c r="T341" s="27" t="s">
        <v>559</v>
      </c>
      <c r="U341" s="27" t="s">
        <v>1430</v>
      </c>
      <c r="V341" s="28">
        <v>46237.564457696761</v>
      </c>
      <c r="W341" s="27" t="s">
        <v>3099</v>
      </c>
      <c r="X341" s="27" t="s">
        <v>559</v>
      </c>
      <c r="Y341" s="27" t="s">
        <v>912</v>
      </c>
      <c r="Z341" s="28">
        <v>46241.080797685187</v>
      </c>
      <c r="AA341" s="27" t="s">
        <v>2490</v>
      </c>
      <c r="AB341" s="27" t="s">
        <v>559</v>
      </c>
      <c r="AC341" s="27" t="s">
        <v>162</v>
      </c>
      <c r="AD341" s="28">
        <v>46246.650259502312</v>
      </c>
      <c r="AE341" s="27" t="s">
        <v>631</v>
      </c>
      <c r="AF341" s="27"/>
      <c r="AG341" s="27" t="s">
        <v>259</v>
      </c>
      <c r="AH341" s="28"/>
      <c r="AI341" s="27"/>
      <c r="AJ341" s="27" t="s">
        <v>2724</v>
      </c>
      <c r="AK341" s="27" t="s">
        <v>2725</v>
      </c>
      <c r="AL341" s="27" t="s">
        <v>125</v>
      </c>
      <c r="AM341" s="27" t="s">
        <v>3100</v>
      </c>
      <c r="AN341" s="27" t="s">
        <v>665</v>
      </c>
      <c r="AO341" s="27">
        <v>0</v>
      </c>
    </row>
    <row r="342" spans="1:41" hidden="1">
      <c r="A342" s="27" t="s">
        <v>3101</v>
      </c>
      <c r="B342" s="27" t="s">
        <v>293</v>
      </c>
      <c r="C342" s="27" t="s">
        <v>1430</v>
      </c>
      <c r="D342" s="27" t="s">
        <v>548</v>
      </c>
      <c r="E342" s="27" t="s">
        <v>67</v>
      </c>
      <c r="F342" s="28">
        <v>46237.571238159719</v>
      </c>
      <c r="G342" s="28">
        <v>46246.649919479169</v>
      </c>
      <c r="H342" s="28">
        <v>46237.571238159719</v>
      </c>
      <c r="I342" s="27" t="s">
        <v>244</v>
      </c>
      <c r="J342" s="27" t="s">
        <v>245</v>
      </c>
      <c r="K342" s="27" t="s">
        <v>566</v>
      </c>
      <c r="L342" s="27"/>
      <c r="M342" s="27" t="s">
        <v>963</v>
      </c>
      <c r="N342" s="27"/>
      <c r="O342" s="27"/>
      <c r="P342" s="27" t="s">
        <v>3102</v>
      </c>
      <c r="Q342" s="27" t="s">
        <v>556</v>
      </c>
      <c r="R342" s="27" t="s">
        <v>659</v>
      </c>
      <c r="S342" s="27"/>
      <c r="T342" s="27" t="s">
        <v>559</v>
      </c>
      <c r="U342" s="27" t="s">
        <v>1430</v>
      </c>
      <c r="V342" s="28">
        <v>46237.57364328704</v>
      </c>
      <c r="W342" s="27" t="s">
        <v>3103</v>
      </c>
      <c r="X342" s="27" t="s">
        <v>559</v>
      </c>
      <c r="Y342" s="27" t="s">
        <v>912</v>
      </c>
      <c r="Z342" s="28">
        <v>46241.080134675925</v>
      </c>
      <c r="AA342" s="27" t="s">
        <v>2490</v>
      </c>
      <c r="AB342" s="27" t="s">
        <v>559</v>
      </c>
      <c r="AC342" s="27" t="s">
        <v>162</v>
      </c>
      <c r="AD342" s="28">
        <v>46246.649919502313</v>
      </c>
      <c r="AE342" s="27" t="s">
        <v>2597</v>
      </c>
      <c r="AF342" s="27"/>
      <c r="AG342" s="27" t="s">
        <v>259</v>
      </c>
      <c r="AH342" s="28"/>
      <c r="AI342" s="27"/>
      <c r="AJ342" s="27" t="s">
        <v>1435</v>
      </c>
      <c r="AK342" s="27" t="s">
        <v>1436</v>
      </c>
      <c r="AL342" s="27" t="s">
        <v>125</v>
      </c>
      <c r="AM342" s="27" t="s">
        <v>3104</v>
      </c>
      <c r="AN342" s="27" t="s">
        <v>665</v>
      </c>
      <c r="AO342" s="27">
        <v>0</v>
      </c>
    </row>
    <row r="343" spans="1:41" hidden="1">
      <c r="A343" s="27" t="s">
        <v>3105</v>
      </c>
      <c r="B343" s="27" t="s">
        <v>3106</v>
      </c>
      <c r="C343" s="27" t="s">
        <v>3107</v>
      </c>
      <c r="D343" s="27" t="s">
        <v>548</v>
      </c>
      <c r="E343" s="27" t="s">
        <v>668</v>
      </c>
      <c r="F343" s="28">
        <v>46238.112743310186</v>
      </c>
      <c r="G343" s="28">
        <v>46238.114431481481</v>
      </c>
      <c r="H343" s="28">
        <v>46238.112743310186</v>
      </c>
      <c r="I343" s="27" t="s">
        <v>3108</v>
      </c>
      <c r="J343" s="27" t="s">
        <v>3109</v>
      </c>
      <c r="K343" s="27" t="s">
        <v>566</v>
      </c>
      <c r="L343" s="27"/>
      <c r="M343" s="27" t="s">
        <v>3110</v>
      </c>
      <c r="N343" s="27"/>
      <c r="O343" s="27"/>
      <c r="P343" s="27" t="s">
        <v>3111</v>
      </c>
      <c r="Q343" s="27" t="s">
        <v>556</v>
      </c>
      <c r="R343" s="27" t="s">
        <v>583</v>
      </c>
      <c r="S343" s="27"/>
      <c r="T343" s="27" t="s">
        <v>559</v>
      </c>
      <c r="U343" s="27" t="s">
        <v>3107</v>
      </c>
      <c r="V343" s="28">
        <v>46238.114431481481</v>
      </c>
      <c r="W343" s="27" t="s">
        <v>3112</v>
      </c>
      <c r="X343" s="27"/>
      <c r="Y343" s="27" t="s">
        <v>2862</v>
      </c>
      <c r="Z343" s="28"/>
      <c r="AA343" s="27"/>
      <c r="AB343" s="27"/>
      <c r="AC343" s="27" t="s">
        <v>2723</v>
      </c>
      <c r="AD343" s="28"/>
      <c r="AE343" s="27"/>
      <c r="AF343" s="27"/>
      <c r="AG343" s="27" t="s">
        <v>126</v>
      </c>
      <c r="AH343" s="28"/>
      <c r="AI343" s="27"/>
      <c r="AJ343" s="27" t="s">
        <v>3113</v>
      </c>
      <c r="AK343" s="27" t="s">
        <v>3114</v>
      </c>
      <c r="AL343" s="27"/>
      <c r="AM343" s="27"/>
      <c r="AN343" s="27" t="s">
        <v>665</v>
      </c>
      <c r="AO343" s="27">
        <v>0</v>
      </c>
    </row>
    <row r="344" spans="1:41" hidden="1">
      <c r="A344" s="27" t="s">
        <v>3115</v>
      </c>
      <c r="B344" s="27" t="s">
        <v>3116</v>
      </c>
      <c r="C344" s="27" t="s">
        <v>1245</v>
      </c>
      <c r="D344" s="27" t="s">
        <v>548</v>
      </c>
      <c r="E344" s="27" t="s">
        <v>578</v>
      </c>
      <c r="F344" s="28">
        <v>46238.187128043981</v>
      </c>
      <c r="G344" s="28">
        <v>46238.187557534722</v>
      </c>
      <c r="H344" s="28">
        <v>46238.187128043981</v>
      </c>
      <c r="I344" s="27" t="s">
        <v>1918</v>
      </c>
      <c r="J344" s="27" t="s">
        <v>3117</v>
      </c>
      <c r="K344" s="27" t="s">
        <v>1248</v>
      </c>
      <c r="L344" s="27"/>
      <c r="M344" s="27" t="s">
        <v>1245</v>
      </c>
      <c r="N344" s="27"/>
      <c r="O344" s="27"/>
      <c r="P344" s="27" t="s">
        <v>3118</v>
      </c>
      <c r="Q344" s="27" t="s">
        <v>643</v>
      </c>
      <c r="R344" s="27" t="s">
        <v>809</v>
      </c>
      <c r="S344" s="27"/>
      <c r="T344" s="27" t="s">
        <v>549</v>
      </c>
      <c r="U344" s="27" t="s">
        <v>1245</v>
      </c>
      <c r="V344" s="28">
        <v>46238.187557546298</v>
      </c>
      <c r="W344" s="27"/>
      <c r="X344" s="27"/>
      <c r="Y344" s="27" t="s">
        <v>1245</v>
      </c>
      <c r="Z344" s="28"/>
      <c r="AA344" s="27"/>
      <c r="AB344" s="27"/>
      <c r="AC344" s="27" t="s">
        <v>2723</v>
      </c>
      <c r="AD344" s="28"/>
      <c r="AE344" s="27"/>
      <c r="AF344" s="27"/>
      <c r="AG344" s="27" t="s">
        <v>126</v>
      </c>
      <c r="AH344" s="28"/>
      <c r="AI344" s="27"/>
      <c r="AJ344" s="27" t="s">
        <v>1925</v>
      </c>
      <c r="AK344" s="27" t="s">
        <v>3119</v>
      </c>
      <c r="AL344" s="27"/>
      <c r="AM344" s="27"/>
      <c r="AN344" s="27" t="s">
        <v>687</v>
      </c>
      <c r="AO344" s="27">
        <v>0</v>
      </c>
    </row>
    <row r="345" spans="1:41" hidden="1">
      <c r="A345" s="27" t="s">
        <v>3120</v>
      </c>
      <c r="B345" s="27" t="s">
        <v>3121</v>
      </c>
      <c r="C345" s="27" t="s">
        <v>3107</v>
      </c>
      <c r="D345" s="27" t="s">
        <v>548</v>
      </c>
      <c r="E345" s="27" t="s">
        <v>668</v>
      </c>
      <c r="F345" s="28">
        <v>46238.235724155093</v>
      </c>
      <c r="G345" s="28">
        <v>46238.235724155093</v>
      </c>
      <c r="H345" s="28">
        <v>46238.235724155093</v>
      </c>
      <c r="I345" s="27" t="s">
        <v>3108</v>
      </c>
      <c r="J345" s="27" t="s">
        <v>3122</v>
      </c>
      <c r="K345" s="27" t="s">
        <v>566</v>
      </c>
      <c r="L345" s="27"/>
      <c r="M345" s="27" t="s">
        <v>3110</v>
      </c>
      <c r="N345" s="27"/>
      <c r="O345" s="27"/>
      <c r="P345" s="27" t="s">
        <v>3123</v>
      </c>
      <c r="Q345" s="27" t="s">
        <v>556</v>
      </c>
      <c r="R345" s="27" t="s">
        <v>583</v>
      </c>
      <c r="S345" s="27"/>
      <c r="T345" s="27" t="s">
        <v>668</v>
      </c>
      <c r="U345" s="27" t="s">
        <v>3107</v>
      </c>
      <c r="V345" s="28"/>
      <c r="W345" s="27"/>
      <c r="X345" s="27"/>
      <c r="Y345" s="27" t="s">
        <v>2862</v>
      </c>
      <c r="Z345" s="28"/>
      <c r="AA345" s="27"/>
      <c r="AB345" s="27"/>
      <c r="AC345" s="27" t="s">
        <v>2723</v>
      </c>
      <c r="AD345" s="28"/>
      <c r="AE345" s="27"/>
      <c r="AF345" s="27"/>
      <c r="AG345" s="27" t="s">
        <v>126</v>
      </c>
      <c r="AH345" s="28"/>
      <c r="AI345" s="27"/>
      <c r="AJ345" s="27" t="s">
        <v>3113</v>
      </c>
      <c r="AK345" s="27" t="s">
        <v>3124</v>
      </c>
      <c r="AL345" s="27"/>
      <c r="AM345" s="27"/>
      <c r="AN345" s="27" t="s">
        <v>665</v>
      </c>
      <c r="AO345" s="27">
        <v>0</v>
      </c>
    </row>
    <row r="346" spans="1:41" hidden="1">
      <c r="A346" s="27" t="s">
        <v>3125</v>
      </c>
      <c r="B346" s="27" t="s">
        <v>3126</v>
      </c>
      <c r="C346" s="27" t="s">
        <v>3127</v>
      </c>
      <c r="D346" s="27" t="s">
        <v>548</v>
      </c>
      <c r="E346" s="27" t="s">
        <v>578</v>
      </c>
      <c r="F346" s="28">
        <v>46238.242216041668</v>
      </c>
      <c r="G346" s="28">
        <v>46238.2441056713</v>
      </c>
      <c r="H346" s="28">
        <v>46238.242216041668</v>
      </c>
      <c r="I346" s="27" t="s">
        <v>3108</v>
      </c>
      <c r="J346" s="27" t="s">
        <v>3122</v>
      </c>
      <c r="K346" s="27" t="s">
        <v>566</v>
      </c>
      <c r="L346" s="27"/>
      <c r="M346" s="27" t="s">
        <v>2862</v>
      </c>
      <c r="N346" s="27"/>
      <c r="O346" s="27"/>
      <c r="P346" s="27" t="s">
        <v>3128</v>
      </c>
      <c r="Q346" s="27" t="s">
        <v>556</v>
      </c>
      <c r="R346" s="27" t="s">
        <v>583</v>
      </c>
      <c r="S346" s="27"/>
      <c r="T346" s="27" t="s">
        <v>549</v>
      </c>
      <c r="U346" s="27" t="s">
        <v>3127</v>
      </c>
      <c r="V346" s="28">
        <v>46238.2441056713</v>
      </c>
      <c r="W346" s="27"/>
      <c r="X346" s="27"/>
      <c r="Y346" s="27" t="s">
        <v>2862</v>
      </c>
      <c r="Z346" s="28"/>
      <c r="AA346" s="27"/>
      <c r="AB346" s="27"/>
      <c r="AC346" s="27" t="s">
        <v>2723</v>
      </c>
      <c r="AD346" s="28"/>
      <c r="AE346" s="27"/>
      <c r="AF346" s="27"/>
      <c r="AG346" s="27" t="s">
        <v>126</v>
      </c>
      <c r="AH346" s="28"/>
      <c r="AI346" s="27"/>
      <c r="AJ346" s="27" t="s">
        <v>3113</v>
      </c>
      <c r="AK346" s="27" t="s">
        <v>3124</v>
      </c>
      <c r="AL346" s="27"/>
      <c r="AM346" s="27"/>
      <c r="AN346" s="27" t="s">
        <v>665</v>
      </c>
      <c r="AO346" s="27">
        <v>0</v>
      </c>
    </row>
    <row r="347" spans="1:41" hidden="1">
      <c r="A347" s="27" t="s">
        <v>3129</v>
      </c>
      <c r="B347" s="27" t="s">
        <v>3130</v>
      </c>
      <c r="C347" s="27" t="s">
        <v>3107</v>
      </c>
      <c r="D347" s="27" t="s">
        <v>548</v>
      </c>
      <c r="E347" s="27" t="s">
        <v>668</v>
      </c>
      <c r="F347" s="28">
        <v>46238.247288622682</v>
      </c>
      <c r="G347" s="28">
        <v>46238.247288622682</v>
      </c>
      <c r="H347" s="28">
        <v>46238.247288622682</v>
      </c>
      <c r="I347" s="27" t="s">
        <v>2860</v>
      </c>
      <c r="J347" s="27" t="s">
        <v>3131</v>
      </c>
      <c r="K347" s="27" t="s">
        <v>566</v>
      </c>
      <c r="L347" s="27"/>
      <c r="M347" s="27" t="s">
        <v>3110</v>
      </c>
      <c r="N347" s="27"/>
      <c r="O347" s="27"/>
      <c r="P347" s="27" t="s">
        <v>3132</v>
      </c>
      <c r="Q347" s="27" t="s">
        <v>556</v>
      </c>
      <c r="R347" s="27" t="s">
        <v>583</v>
      </c>
      <c r="S347" s="27"/>
      <c r="T347" s="27" t="s">
        <v>668</v>
      </c>
      <c r="U347" s="27" t="s">
        <v>3107</v>
      </c>
      <c r="V347" s="28"/>
      <c r="W347" s="27"/>
      <c r="X347" s="27"/>
      <c r="Y347" s="27" t="s">
        <v>2862</v>
      </c>
      <c r="Z347" s="28"/>
      <c r="AA347" s="27"/>
      <c r="AB347" s="27"/>
      <c r="AC347" s="27" t="s">
        <v>2723</v>
      </c>
      <c r="AD347" s="28"/>
      <c r="AE347" s="27"/>
      <c r="AF347" s="27"/>
      <c r="AG347" s="27" t="s">
        <v>126</v>
      </c>
      <c r="AH347" s="28"/>
      <c r="AI347" s="27"/>
      <c r="AJ347" s="27" t="s">
        <v>2864</v>
      </c>
      <c r="AK347" s="27">
        <v>2450</v>
      </c>
      <c r="AL347" s="27"/>
      <c r="AM347" s="27"/>
      <c r="AN347" s="27" t="s">
        <v>665</v>
      </c>
      <c r="AO347" s="27">
        <v>0</v>
      </c>
    </row>
    <row r="348" spans="1:41" hidden="1">
      <c r="A348" s="27" t="s">
        <v>3133</v>
      </c>
      <c r="B348" s="27" t="s">
        <v>3134</v>
      </c>
      <c r="C348" s="27" t="s">
        <v>654</v>
      </c>
      <c r="D348" s="27" t="s">
        <v>548</v>
      </c>
      <c r="E348" s="27" t="s">
        <v>578</v>
      </c>
      <c r="F348" s="28">
        <v>46239.065168807872</v>
      </c>
      <c r="G348" s="28">
        <v>46239.264718101855</v>
      </c>
      <c r="H348" s="28">
        <v>46239.065168807872</v>
      </c>
      <c r="I348" s="27" t="s">
        <v>239</v>
      </c>
      <c r="J348" s="27" t="s">
        <v>242</v>
      </c>
      <c r="K348" s="27" t="s">
        <v>566</v>
      </c>
      <c r="L348" s="27"/>
      <c r="M348" s="27" t="s">
        <v>1286</v>
      </c>
      <c r="N348" s="27"/>
      <c r="O348" s="27"/>
      <c r="P348" s="27" t="s">
        <v>3135</v>
      </c>
      <c r="Q348" s="27" t="s">
        <v>623</v>
      </c>
      <c r="R348" s="27" t="s">
        <v>659</v>
      </c>
      <c r="S348" s="27"/>
      <c r="T348" s="27" t="s">
        <v>549</v>
      </c>
      <c r="U348" s="27" t="s">
        <v>654</v>
      </c>
      <c r="V348" s="28">
        <v>46239.264718113423</v>
      </c>
      <c r="W348" s="27"/>
      <c r="X348" s="27"/>
      <c r="Y348" s="27" t="s">
        <v>1289</v>
      </c>
      <c r="Z348" s="28"/>
      <c r="AA348" s="27"/>
      <c r="AB348" s="27"/>
      <c r="AC348" s="27" t="s">
        <v>2723</v>
      </c>
      <c r="AD348" s="28"/>
      <c r="AE348" s="27"/>
      <c r="AF348" s="27"/>
      <c r="AG348" s="27" t="s">
        <v>126</v>
      </c>
      <c r="AH348" s="28"/>
      <c r="AI348" s="27"/>
      <c r="AJ348" s="27" t="s">
        <v>1619</v>
      </c>
      <c r="AK348" s="27">
        <v>2315</v>
      </c>
      <c r="AL348" s="27"/>
      <c r="AM348" s="27"/>
      <c r="AN348" s="27" t="s">
        <v>687</v>
      </c>
      <c r="AO348" s="27">
        <v>0</v>
      </c>
    </row>
    <row r="349" spans="1:41" hidden="1">
      <c r="A349" s="27" t="s">
        <v>3136</v>
      </c>
      <c r="B349" s="27" t="s">
        <v>3137</v>
      </c>
      <c r="C349" s="27" t="s">
        <v>3138</v>
      </c>
      <c r="D349" s="27" t="s">
        <v>548</v>
      </c>
      <c r="E349" s="27" t="s">
        <v>578</v>
      </c>
      <c r="F349" s="28">
        <v>46239.078305833333</v>
      </c>
      <c r="G349" s="28">
        <v>46239.078833761574</v>
      </c>
      <c r="H349" s="28">
        <v>46239.078305833333</v>
      </c>
      <c r="I349" s="27" t="s">
        <v>239</v>
      </c>
      <c r="J349" s="27" t="s">
        <v>240</v>
      </c>
      <c r="K349" s="27" t="s">
        <v>566</v>
      </c>
      <c r="L349" s="27"/>
      <c r="M349" s="27" t="s">
        <v>654</v>
      </c>
      <c r="N349" s="27"/>
      <c r="O349" s="27"/>
      <c r="P349" s="27" t="s">
        <v>3139</v>
      </c>
      <c r="Q349" s="27" t="s">
        <v>623</v>
      </c>
      <c r="R349" s="27" t="s">
        <v>659</v>
      </c>
      <c r="S349" s="27"/>
      <c r="T349" s="27" t="s">
        <v>549</v>
      </c>
      <c r="U349" s="27" t="s">
        <v>3138</v>
      </c>
      <c r="V349" s="28">
        <v>46239.07883377315</v>
      </c>
      <c r="W349" s="27"/>
      <c r="X349" s="27"/>
      <c r="Y349" s="27" t="s">
        <v>654</v>
      </c>
      <c r="Z349" s="28"/>
      <c r="AA349" s="27"/>
      <c r="AB349" s="27"/>
      <c r="AC349" s="27" t="s">
        <v>2723</v>
      </c>
      <c r="AD349" s="28"/>
      <c r="AE349" s="27"/>
      <c r="AF349" s="27"/>
      <c r="AG349" s="27" t="s">
        <v>126</v>
      </c>
      <c r="AH349" s="28"/>
      <c r="AI349" s="27"/>
      <c r="AJ349" s="27" t="s">
        <v>1619</v>
      </c>
      <c r="AK349" s="27" t="s">
        <v>3140</v>
      </c>
      <c r="AL349" s="27"/>
      <c r="AM349" s="27"/>
      <c r="AN349" s="27" t="s">
        <v>665</v>
      </c>
      <c r="AO349" s="27">
        <v>0</v>
      </c>
    </row>
    <row r="350" spans="1:41" hidden="1">
      <c r="A350" s="27" t="s">
        <v>3141</v>
      </c>
      <c r="B350" s="27" t="s">
        <v>3142</v>
      </c>
      <c r="C350" s="27" t="s">
        <v>3138</v>
      </c>
      <c r="D350" s="27" t="s">
        <v>548</v>
      </c>
      <c r="E350" s="27" t="s">
        <v>668</v>
      </c>
      <c r="F350" s="28">
        <v>46239.080210381944</v>
      </c>
      <c r="G350" s="28">
        <v>46239.080210381944</v>
      </c>
      <c r="H350" s="28">
        <v>46239.080210381944</v>
      </c>
      <c r="I350" s="27" t="s">
        <v>239</v>
      </c>
      <c r="J350" s="27" t="s">
        <v>242</v>
      </c>
      <c r="K350" s="27" t="s">
        <v>566</v>
      </c>
      <c r="L350" s="27"/>
      <c r="M350" s="27" t="s">
        <v>3138</v>
      </c>
      <c r="N350" s="27"/>
      <c r="O350" s="27"/>
      <c r="P350" s="27" t="s">
        <v>3139</v>
      </c>
      <c r="Q350" s="27" t="s">
        <v>623</v>
      </c>
      <c r="R350" s="27" t="s">
        <v>659</v>
      </c>
      <c r="S350" s="27"/>
      <c r="T350" s="27" t="s">
        <v>668</v>
      </c>
      <c r="U350" s="27" t="s">
        <v>3138</v>
      </c>
      <c r="V350" s="28"/>
      <c r="W350" s="27"/>
      <c r="X350" s="27"/>
      <c r="Y350" s="27" t="s">
        <v>3138</v>
      </c>
      <c r="Z350" s="28"/>
      <c r="AA350" s="27"/>
      <c r="AB350" s="27"/>
      <c r="AC350" s="27" t="s">
        <v>2723</v>
      </c>
      <c r="AD350" s="28"/>
      <c r="AE350" s="27"/>
      <c r="AF350" s="27"/>
      <c r="AG350" s="27" t="s">
        <v>126</v>
      </c>
      <c r="AH350" s="28"/>
      <c r="AI350" s="27"/>
      <c r="AJ350" s="27" t="s">
        <v>1619</v>
      </c>
      <c r="AK350" s="27">
        <v>2315</v>
      </c>
      <c r="AL350" s="27"/>
      <c r="AM350" s="27"/>
      <c r="AN350" s="27" t="s">
        <v>665</v>
      </c>
      <c r="AO350" s="27">
        <v>0</v>
      </c>
    </row>
    <row r="351" spans="1:41" hidden="1">
      <c r="A351" s="27" t="s">
        <v>3143</v>
      </c>
      <c r="B351" s="27" t="s">
        <v>241</v>
      </c>
      <c r="C351" s="27" t="s">
        <v>654</v>
      </c>
      <c r="D351" s="27" t="s">
        <v>548</v>
      </c>
      <c r="E351" s="27" t="s">
        <v>67</v>
      </c>
      <c r="F351" s="28">
        <v>46239.192937905093</v>
      </c>
      <c r="G351" s="28">
        <v>46246.648452592592</v>
      </c>
      <c r="H351" s="28">
        <v>46239.192937905093</v>
      </c>
      <c r="I351" s="27" t="s">
        <v>239</v>
      </c>
      <c r="J351" s="27" t="s">
        <v>242</v>
      </c>
      <c r="K351" s="27" t="s">
        <v>566</v>
      </c>
      <c r="L351" s="27"/>
      <c r="M351" s="27" t="s">
        <v>1286</v>
      </c>
      <c r="N351" s="27"/>
      <c r="O351" s="27"/>
      <c r="P351" s="27" t="s">
        <v>3144</v>
      </c>
      <c r="Q351" s="27" t="s">
        <v>623</v>
      </c>
      <c r="R351" s="27" t="s">
        <v>659</v>
      </c>
      <c r="S351" s="27"/>
      <c r="T351" s="27" t="s">
        <v>559</v>
      </c>
      <c r="U351" s="27" t="s">
        <v>654</v>
      </c>
      <c r="V351" s="28">
        <v>46239.193858275466</v>
      </c>
      <c r="W351" s="27" t="s">
        <v>3145</v>
      </c>
      <c r="X351" s="27" t="s">
        <v>559</v>
      </c>
      <c r="Y351" s="27" t="s">
        <v>1289</v>
      </c>
      <c r="Z351" s="28">
        <v>46241.155370439817</v>
      </c>
      <c r="AA351" s="27" t="s">
        <v>1032</v>
      </c>
      <c r="AB351" s="27" t="s">
        <v>559</v>
      </c>
      <c r="AC351" s="27" t="s">
        <v>162</v>
      </c>
      <c r="AD351" s="28">
        <v>46246.648452604168</v>
      </c>
      <c r="AE351" s="27" t="s">
        <v>2597</v>
      </c>
      <c r="AF351" s="27"/>
      <c r="AG351" s="27" t="s">
        <v>237</v>
      </c>
      <c r="AH351" s="28"/>
      <c r="AI351" s="27"/>
      <c r="AJ351" s="27" t="s">
        <v>1619</v>
      </c>
      <c r="AK351" s="27">
        <v>2315</v>
      </c>
      <c r="AL351" s="27" t="s">
        <v>107</v>
      </c>
      <c r="AM351" s="27" t="s">
        <v>3146</v>
      </c>
      <c r="AN351" s="27" t="s">
        <v>665</v>
      </c>
      <c r="AO351" s="27">
        <v>0</v>
      </c>
    </row>
    <row r="352" spans="1:41" hidden="1">
      <c r="A352" s="27" t="s">
        <v>3147</v>
      </c>
      <c r="B352" s="27" t="s">
        <v>238</v>
      </c>
      <c r="C352" s="27" t="s">
        <v>654</v>
      </c>
      <c r="D352" s="27" t="s">
        <v>548</v>
      </c>
      <c r="E352" s="27" t="s">
        <v>67</v>
      </c>
      <c r="F352" s="28">
        <v>46239.262273391207</v>
      </c>
      <c r="G352" s="28">
        <v>46246.648167870371</v>
      </c>
      <c r="H352" s="28">
        <v>46239.262273391207</v>
      </c>
      <c r="I352" s="27" t="s">
        <v>239</v>
      </c>
      <c r="J352" s="27" t="s">
        <v>240</v>
      </c>
      <c r="K352" s="27" t="s">
        <v>566</v>
      </c>
      <c r="L352" s="27"/>
      <c r="M352" s="27" t="s">
        <v>1286</v>
      </c>
      <c r="N352" s="27"/>
      <c r="O352" s="27"/>
      <c r="P352" s="27" t="s">
        <v>3148</v>
      </c>
      <c r="Q352" s="27" t="s">
        <v>623</v>
      </c>
      <c r="R352" s="27" t="s">
        <v>659</v>
      </c>
      <c r="S352" s="27"/>
      <c r="T352" s="27" t="s">
        <v>559</v>
      </c>
      <c r="U352" s="27" t="s">
        <v>654</v>
      </c>
      <c r="V352" s="28">
        <v>46239.263637060183</v>
      </c>
      <c r="W352" s="27" t="s">
        <v>3149</v>
      </c>
      <c r="X352" s="27" t="s">
        <v>559</v>
      </c>
      <c r="Y352" s="27" t="s">
        <v>1289</v>
      </c>
      <c r="Z352" s="28">
        <v>46241.155705185185</v>
      </c>
      <c r="AA352" s="27" t="s">
        <v>1032</v>
      </c>
      <c r="AB352" s="27" t="s">
        <v>559</v>
      </c>
      <c r="AC352" s="27" t="s">
        <v>162</v>
      </c>
      <c r="AD352" s="28">
        <v>46246.648167881947</v>
      </c>
      <c r="AE352" s="27" t="s">
        <v>631</v>
      </c>
      <c r="AF352" s="27"/>
      <c r="AG352" s="27" t="s">
        <v>237</v>
      </c>
      <c r="AH352" s="28"/>
      <c r="AI352" s="27"/>
      <c r="AJ352" s="27" t="s">
        <v>1619</v>
      </c>
      <c r="AK352" s="27" t="s">
        <v>3140</v>
      </c>
      <c r="AL352" s="27" t="s">
        <v>107</v>
      </c>
      <c r="AM352" s="27" t="s">
        <v>3150</v>
      </c>
      <c r="AN352" s="27" t="s">
        <v>665</v>
      </c>
      <c r="AO352" s="27">
        <v>0</v>
      </c>
    </row>
    <row r="353" spans="1:41" hidden="1">
      <c r="A353" s="27" t="s">
        <v>3151</v>
      </c>
      <c r="B353" s="27" t="s">
        <v>284</v>
      </c>
      <c r="C353" s="27" t="s">
        <v>1509</v>
      </c>
      <c r="D353" s="27" t="s">
        <v>548</v>
      </c>
      <c r="E353" s="27" t="s">
        <v>67</v>
      </c>
      <c r="F353" s="28">
        <v>46240.084827303239</v>
      </c>
      <c r="G353" s="28">
        <v>46246.64777236111</v>
      </c>
      <c r="H353" s="28">
        <v>46240.084827303239</v>
      </c>
      <c r="I353" s="27" t="s">
        <v>285</v>
      </c>
      <c r="J353" s="27" t="s">
        <v>286</v>
      </c>
      <c r="K353" s="27" t="s">
        <v>566</v>
      </c>
      <c r="L353" s="27"/>
      <c r="M353" s="27" t="s">
        <v>778</v>
      </c>
      <c r="N353" s="27"/>
      <c r="O353" s="27"/>
      <c r="P353" s="27" t="s">
        <v>976</v>
      </c>
      <c r="Q353" s="27" t="s">
        <v>556</v>
      </c>
      <c r="R353" s="27" t="s">
        <v>659</v>
      </c>
      <c r="S353" s="27"/>
      <c r="T353" s="27" t="s">
        <v>559</v>
      </c>
      <c r="U353" s="27" t="s">
        <v>1509</v>
      </c>
      <c r="V353" s="28">
        <v>46240.085372210648</v>
      </c>
      <c r="W353" s="27" t="s">
        <v>3152</v>
      </c>
      <c r="X353" s="27" t="s">
        <v>559</v>
      </c>
      <c r="Y353" s="27" t="s">
        <v>778</v>
      </c>
      <c r="Z353" s="28">
        <v>46241.442110277778</v>
      </c>
      <c r="AA353" s="27" t="s">
        <v>976</v>
      </c>
      <c r="AB353" s="27" t="s">
        <v>559</v>
      </c>
      <c r="AC353" s="27" t="s">
        <v>162</v>
      </c>
      <c r="AD353" s="28">
        <v>46246.647772372686</v>
      </c>
      <c r="AE353" s="27" t="s">
        <v>2597</v>
      </c>
      <c r="AF353" s="27"/>
      <c r="AG353" s="27" t="s">
        <v>259</v>
      </c>
      <c r="AH353" s="28"/>
      <c r="AI353" s="27"/>
      <c r="AJ353" s="27" t="s">
        <v>3153</v>
      </c>
      <c r="AK353" s="27">
        <v>3837</v>
      </c>
      <c r="AL353" s="27" t="s">
        <v>125</v>
      </c>
      <c r="AM353" s="27" t="s">
        <v>3154</v>
      </c>
      <c r="AN353" s="27" t="s">
        <v>665</v>
      </c>
      <c r="AO353" s="27">
        <v>0</v>
      </c>
    </row>
    <row r="354" spans="1:41" hidden="1">
      <c r="A354" s="27" t="s">
        <v>3155</v>
      </c>
      <c r="B354" s="27" t="s">
        <v>3156</v>
      </c>
      <c r="C354" s="27" t="s">
        <v>2859</v>
      </c>
      <c r="D354" s="27" t="s">
        <v>548</v>
      </c>
      <c r="E354" s="27" t="s">
        <v>668</v>
      </c>
      <c r="F354" s="28">
        <v>46240.194402210647</v>
      </c>
      <c r="G354" s="28">
        <v>46240.195008564813</v>
      </c>
      <c r="H354" s="28">
        <v>46240.194402210647</v>
      </c>
      <c r="I354" s="27" t="s">
        <v>3157</v>
      </c>
      <c r="J354" s="27" t="s">
        <v>3158</v>
      </c>
      <c r="K354" s="27" t="s">
        <v>676</v>
      </c>
      <c r="L354" s="27" t="s">
        <v>552</v>
      </c>
      <c r="M354" s="27" t="s">
        <v>3159</v>
      </c>
      <c r="N354" s="27"/>
      <c r="O354" s="27"/>
      <c r="P354" s="27" t="s">
        <v>3160</v>
      </c>
      <c r="Q354" s="27" t="s">
        <v>556</v>
      </c>
      <c r="R354" s="27" t="s">
        <v>583</v>
      </c>
      <c r="S354" s="27"/>
      <c r="T354" s="27" t="s">
        <v>559</v>
      </c>
      <c r="U354" s="27" t="s">
        <v>2859</v>
      </c>
      <c r="V354" s="28">
        <v>46240.195008576389</v>
      </c>
      <c r="W354" s="27" t="s">
        <v>3161</v>
      </c>
      <c r="X354" s="27"/>
      <c r="Y354" s="27" t="s">
        <v>3159</v>
      </c>
      <c r="Z354" s="28"/>
      <c r="AA354" s="27"/>
      <c r="AB354" s="27"/>
      <c r="AC354" s="27" t="s">
        <v>2723</v>
      </c>
      <c r="AD354" s="28"/>
      <c r="AE354" s="27"/>
      <c r="AF354" s="27"/>
      <c r="AG354" s="27" t="s">
        <v>126</v>
      </c>
      <c r="AH354" s="28"/>
      <c r="AI354" s="27"/>
      <c r="AJ354" s="27" t="s">
        <v>3162</v>
      </c>
      <c r="AK354" s="27" t="s">
        <v>3163</v>
      </c>
      <c r="AL354" s="27"/>
      <c r="AM354" s="27"/>
      <c r="AN354" s="27" t="s">
        <v>665</v>
      </c>
      <c r="AO354" s="27">
        <v>0</v>
      </c>
    </row>
    <row r="355" spans="1:41" hidden="1">
      <c r="A355" s="27" t="s">
        <v>3164</v>
      </c>
      <c r="B355" s="27" t="s">
        <v>289</v>
      </c>
      <c r="C355" s="27" t="s">
        <v>1430</v>
      </c>
      <c r="D355" s="27" t="s">
        <v>548</v>
      </c>
      <c r="E355" s="27" t="s">
        <v>67</v>
      </c>
      <c r="F355" s="28">
        <v>46241.083838125</v>
      </c>
      <c r="G355" s="28">
        <v>46246.647137094908</v>
      </c>
      <c r="H355" s="28">
        <v>46241.083838125</v>
      </c>
      <c r="I355" s="27" t="s">
        <v>244</v>
      </c>
      <c r="J355" s="27" t="s">
        <v>245</v>
      </c>
      <c r="K355" s="27" t="s">
        <v>566</v>
      </c>
      <c r="L355" s="27"/>
      <c r="M355" s="27" t="s">
        <v>963</v>
      </c>
      <c r="N355" s="27"/>
      <c r="O355" s="27"/>
      <c r="P355" s="27" t="s">
        <v>659</v>
      </c>
      <c r="Q355" s="27" t="s">
        <v>556</v>
      </c>
      <c r="R355" s="27" t="s">
        <v>659</v>
      </c>
      <c r="S355" s="27"/>
      <c r="T355" s="27" t="s">
        <v>559</v>
      </c>
      <c r="U355" s="27" t="s">
        <v>1430</v>
      </c>
      <c r="V355" s="28">
        <v>46241.087645590276</v>
      </c>
      <c r="W355" s="27" t="s">
        <v>659</v>
      </c>
      <c r="X355" s="27" t="s">
        <v>559</v>
      </c>
      <c r="Y355" s="27" t="s">
        <v>912</v>
      </c>
      <c r="Z355" s="28">
        <v>46241.097662754626</v>
      </c>
      <c r="AA355" s="27" t="s">
        <v>3165</v>
      </c>
      <c r="AB355" s="27" t="s">
        <v>559</v>
      </c>
      <c r="AC355" s="27" t="s">
        <v>162</v>
      </c>
      <c r="AD355" s="28">
        <v>46246.647137129628</v>
      </c>
      <c r="AE355" s="27" t="s">
        <v>631</v>
      </c>
      <c r="AF355" s="27"/>
      <c r="AG355" s="27" t="s">
        <v>259</v>
      </c>
      <c r="AH355" s="28"/>
      <c r="AI355" s="27"/>
      <c r="AJ355" s="27" t="s">
        <v>1435</v>
      </c>
      <c r="AK355" s="27" t="s">
        <v>1436</v>
      </c>
      <c r="AL355" s="27" t="s">
        <v>125</v>
      </c>
      <c r="AM355" s="27" t="s">
        <v>3166</v>
      </c>
      <c r="AN355" s="27" t="s">
        <v>665</v>
      </c>
      <c r="AO355" s="27">
        <v>0</v>
      </c>
    </row>
    <row r="356" spans="1:41" hidden="1">
      <c r="A356" s="27" t="s">
        <v>3167</v>
      </c>
      <c r="B356" s="27" t="s">
        <v>3168</v>
      </c>
      <c r="C356" s="27" t="s">
        <v>1430</v>
      </c>
      <c r="D356" s="27" t="s">
        <v>548</v>
      </c>
      <c r="E356" s="27" t="s">
        <v>578</v>
      </c>
      <c r="F356" s="28">
        <v>46241.092463460649</v>
      </c>
      <c r="G356" s="28">
        <v>46241.093683032406</v>
      </c>
      <c r="H356" s="28">
        <v>46241.092463460649</v>
      </c>
      <c r="I356" s="27" t="s">
        <v>244</v>
      </c>
      <c r="J356" s="27" t="s">
        <v>245</v>
      </c>
      <c r="K356" s="27" t="s">
        <v>566</v>
      </c>
      <c r="L356" s="27"/>
      <c r="M356" s="27" t="s">
        <v>963</v>
      </c>
      <c r="N356" s="27"/>
      <c r="O356" s="27"/>
      <c r="P356" s="27" t="s">
        <v>659</v>
      </c>
      <c r="Q356" s="27" t="s">
        <v>556</v>
      </c>
      <c r="R356" s="27" t="s">
        <v>659</v>
      </c>
      <c r="S356" s="27"/>
      <c r="T356" s="27" t="s">
        <v>549</v>
      </c>
      <c r="U356" s="27" t="s">
        <v>1430</v>
      </c>
      <c r="V356" s="28">
        <v>46241.093683032406</v>
      </c>
      <c r="W356" s="27"/>
      <c r="X356" s="27"/>
      <c r="Y356" s="27" t="s">
        <v>912</v>
      </c>
      <c r="Z356" s="28"/>
      <c r="AA356" s="27"/>
      <c r="AB356" s="27"/>
      <c r="AC356" s="27" t="s">
        <v>2723</v>
      </c>
      <c r="AD356" s="28"/>
      <c r="AE356" s="27"/>
      <c r="AF356" s="27"/>
      <c r="AG356" s="27" t="s">
        <v>126</v>
      </c>
      <c r="AH356" s="28"/>
      <c r="AI356" s="27"/>
      <c r="AJ356" s="27" t="s">
        <v>1435</v>
      </c>
      <c r="AK356" s="27" t="s">
        <v>1436</v>
      </c>
      <c r="AL356" s="27"/>
      <c r="AM356" s="27"/>
      <c r="AN356" s="27" t="s">
        <v>665</v>
      </c>
      <c r="AO356" s="27">
        <v>0</v>
      </c>
    </row>
    <row r="357" spans="1:41" hidden="1">
      <c r="A357" s="27" t="s">
        <v>3169</v>
      </c>
      <c r="B357" s="27" t="s">
        <v>3170</v>
      </c>
      <c r="C357" s="27" t="s">
        <v>3171</v>
      </c>
      <c r="D357" s="27" t="s">
        <v>548</v>
      </c>
      <c r="E357" s="27" t="s">
        <v>578</v>
      </c>
      <c r="F357" s="28">
        <v>46245.176695682872</v>
      </c>
      <c r="G357" s="28">
        <v>46245.182913379627</v>
      </c>
      <c r="H357" s="28">
        <v>46245.176695682872</v>
      </c>
      <c r="I357" s="27" t="s">
        <v>3172</v>
      </c>
      <c r="J357" s="27" t="s">
        <v>3173</v>
      </c>
      <c r="K357" s="27" t="s">
        <v>676</v>
      </c>
      <c r="L357" s="27" t="s">
        <v>3174</v>
      </c>
      <c r="M357" s="27" t="s">
        <v>3171</v>
      </c>
      <c r="N357" s="27"/>
      <c r="O357" s="27"/>
      <c r="P357" s="27" t="s">
        <v>965</v>
      </c>
      <c r="Q357" s="27" t="s">
        <v>623</v>
      </c>
      <c r="R357" s="27" t="s">
        <v>583</v>
      </c>
      <c r="S357" s="27"/>
      <c r="T357" s="27" t="s">
        <v>549</v>
      </c>
      <c r="U357" s="27" t="s">
        <v>3171</v>
      </c>
      <c r="V357" s="28">
        <v>46245.182913391203</v>
      </c>
      <c r="W357" s="27"/>
      <c r="X357" s="27"/>
      <c r="Y357" s="27" t="s">
        <v>3171</v>
      </c>
      <c r="Z357" s="28"/>
      <c r="AA357" s="27"/>
      <c r="AB357" s="27"/>
      <c r="AC357" s="27" t="s">
        <v>2723</v>
      </c>
      <c r="AD357" s="28"/>
      <c r="AE357" s="27"/>
      <c r="AF357" s="27"/>
      <c r="AG357" s="27" t="s">
        <v>126</v>
      </c>
      <c r="AH357" s="28"/>
      <c r="AI357" s="27"/>
      <c r="AJ357" s="27" t="s">
        <v>3175</v>
      </c>
      <c r="AK357" s="27" t="s">
        <v>3176</v>
      </c>
      <c r="AL357" s="27"/>
      <c r="AM357" s="27"/>
      <c r="AN357" s="27" t="s">
        <v>710</v>
      </c>
      <c r="AO357" s="27">
        <v>1</v>
      </c>
    </row>
    <row r="358" spans="1:41" hidden="1">
      <c r="A358" s="27" t="s">
        <v>3177</v>
      </c>
      <c r="B358" s="27" t="s">
        <v>3178</v>
      </c>
      <c r="C358" s="27" t="s">
        <v>618</v>
      </c>
      <c r="D358" s="27" t="s">
        <v>548</v>
      </c>
      <c r="E358" s="27" t="s">
        <v>668</v>
      </c>
      <c r="F358" s="28">
        <v>46245.29785141204</v>
      </c>
      <c r="G358" s="28">
        <v>46245.29785141204</v>
      </c>
      <c r="H358" s="28">
        <v>46245.29785141204</v>
      </c>
      <c r="I358" s="27" t="s">
        <v>123</v>
      </c>
      <c r="J358" s="27" t="s">
        <v>3179</v>
      </c>
      <c r="K358" s="27" t="s">
        <v>676</v>
      </c>
      <c r="L358" s="27" t="s">
        <v>552</v>
      </c>
      <c r="M358" s="27" t="s">
        <v>3180</v>
      </c>
      <c r="N358" s="27"/>
      <c r="O358" s="27"/>
      <c r="P358" s="27" t="s">
        <v>3181</v>
      </c>
      <c r="Q358" s="27" t="s">
        <v>556</v>
      </c>
      <c r="R358" s="27" t="s">
        <v>583</v>
      </c>
      <c r="S358" s="27"/>
      <c r="T358" s="27" t="s">
        <v>668</v>
      </c>
      <c r="U358" s="27" t="s">
        <v>618</v>
      </c>
      <c r="V358" s="28"/>
      <c r="W358" s="27"/>
      <c r="X358" s="27"/>
      <c r="Y358" s="27" t="s">
        <v>3182</v>
      </c>
      <c r="Z358" s="28"/>
      <c r="AA358" s="27"/>
      <c r="AB358" s="27"/>
      <c r="AC358" s="27" t="s">
        <v>2723</v>
      </c>
      <c r="AD358" s="28"/>
      <c r="AE358" s="27"/>
      <c r="AF358" s="27"/>
      <c r="AG358" s="27" t="s">
        <v>126</v>
      </c>
      <c r="AH358" s="28"/>
      <c r="AI358" s="27"/>
      <c r="AJ358" s="27" t="s">
        <v>3183</v>
      </c>
      <c r="AK358" s="27" t="s">
        <v>3184</v>
      </c>
      <c r="AL358" s="27"/>
      <c r="AM358" s="27"/>
      <c r="AN358" s="27" t="s">
        <v>710</v>
      </c>
      <c r="AO358" s="27">
        <v>12</v>
      </c>
    </row>
    <row r="359" spans="1:41" hidden="1">
      <c r="A359" s="27" t="s">
        <v>3185</v>
      </c>
      <c r="B359" s="27" t="s">
        <v>122</v>
      </c>
      <c r="C359" s="27" t="s">
        <v>618</v>
      </c>
      <c r="D359" s="27" t="s">
        <v>548</v>
      </c>
      <c r="E359" s="27" t="s">
        <v>70</v>
      </c>
      <c r="F359" s="28">
        <v>46245.320085902778</v>
      </c>
      <c r="G359" s="28">
        <v>46251.168267638888</v>
      </c>
      <c r="H359" s="28">
        <v>46245.320085902778</v>
      </c>
      <c r="I359" s="27" t="s">
        <v>123</v>
      </c>
      <c r="J359" s="27" t="s">
        <v>124</v>
      </c>
      <c r="K359" s="27" t="s">
        <v>676</v>
      </c>
      <c r="L359" s="27" t="s">
        <v>552</v>
      </c>
      <c r="M359" s="27" t="s">
        <v>3180</v>
      </c>
      <c r="N359" s="27"/>
      <c r="O359" s="27"/>
      <c r="P359" s="27" t="s">
        <v>3186</v>
      </c>
      <c r="Q359" s="27" t="s">
        <v>556</v>
      </c>
      <c r="R359" s="27" t="s">
        <v>583</v>
      </c>
      <c r="S359" s="27"/>
      <c r="T359" s="27" t="s">
        <v>559</v>
      </c>
      <c r="U359" s="27" t="s">
        <v>618</v>
      </c>
      <c r="V359" s="28">
        <v>46245.395613842593</v>
      </c>
      <c r="W359" s="27" t="s">
        <v>3187</v>
      </c>
      <c r="X359" s="27" t="s">
        <v>559</v>
      </c>
      <c r="Y359" s="27" t="s">
        <v>3182</v>
      </c>
      <c r="Z359" s="28">
        <v>46246.135183981482</v>
      </c>
      <c r="AA359" s="27" t="s">
        <v>3188</v>
      </c>
      <c r="AB359" s="27"/>
      <c r="AC359" s="27" t="s">
        <v>2491</v>
      </c>
      <c r="AD359" s="28"/>
      <c r="AE359" s="27"/>
      <c r="AF359" s="27"/>
      <c r="AG359" s="27" t="s">
        <v>126</v>
      </c>
      <c r="AH359" s="28"/>
      <c r="AI359" s="27"/>
      <c r="AJ359" s="27" t="s">
        <v>3183</v>
      </c>
      <c r="AK359" s="27" t="s">
        <v>3189</v>
      </c>
      <c r="AL359" s="27" t="s">
        <v>125</v>
      </c>
      <c r="AM359" s="27"/>
      <c r="AN359" s="27" t="s">
        <v>665</v>
      </c>
      <c r="AO359" s="27">
        <v>0</v>
      </c>
    </row>
    <row r="360" spans="1:41" hidden="1">
      <c r="A360" s="27" t="s">
        <v>3190</v>
      </c>
      <c r="B360" s="27" t="s">
        <v>3191</v>
      </c>
      <c r="C360" s="27" t="s">
        <v>3192</v>
      </c>
      <c r="D360" s="27" t="s">
        <v>548</v>
      </c>
      <c r="E360" s="27" t="s">
        <v>668</v>
      </c>
      <c r="F360" s="28">
        <v>46245.321649490739</v>
      </c>
      <c r="G360" s="28">
        <v>46246.077217372687</v>
      </c>
      <c r="H360" s="28">
        <v>46246.075307013889</v>
      </c>
      <c r="I360" s="27" t="s">
        <v>3193</v>
      </c>
      <c r="J360" s="27" t="s">
        <v>3194</v>
      </c>
      <c r="K360" s="27" t="s">
        <v>676</v>
      </c>
      <c r="L360" s="27" t="s">
        <v>3195</v>
      </c>
      <c r="M360" s="27" t="s">
        <v>3196</v>
      </c>
      <c r="N360" s="27"/>
      <c r="O360" s="27"/>
      <c r="P360" s="27" t="s">
        <v>3197</v>
      </c>
      <c r="Q360" s="27" t="s">
        <v>556</v>
      </c>
      <c r="R360" s="27" t="s">
        <v>583</v>
      </c>
      <c r="S360" s="27"/>
      <c r="T360" s="27" t="s">
        <v>559</v>
      </c>
      <c r="U360" s="27" t="s">
        <v>3192</v>
      </c>
      <c r="V360" s="28">
        <v>46246.077217384256</v>
      </c>
      <c r="W360" s="27" t="s">
        <v>3197</v>
      </c>
      <c r="X360" s="27"/>
      <c r="Y360" s="27" t="s">
        <v>3196</v>
      </c>
      <c r="Z360" s="28"/>
      <c r="AA360" s="27"/>
      <c r="AB360" s="27"/>
      <c r="AC360" s="27" t="s">
        <v>2723</v>
      </c>
      <c r="AD360" s="28"/>
      <c r="AE360" s="27"/>
      <c r="AF360" s="27"/>
      <c r="AG360" s="27" t="s">
        <v>126</v>
      </c>
      <c r="AH360" s="28"/>
      <c r="AI360" s="27"/>
      <c r="AJ360" s="27" t="s">
        <v>3198</v>
      </c>
      <c r="AK360" s="27">
        <v>4126</v>
      </c>
      <c r="AL360" s="27"/>
      <c r="AM360" s="27"/>
      <c r="AN360" s="27" t="s">
        <v>665</v>
      </c>
      <c r="AO360" s="27">
        <v>0</v>
      </c>
    </row>
    <row r="361" spans="1:41" hidden="1">
      <c r="A361" s="27" t="s">
        <v>3199</v>
      </c>
      <c r="B361" s="27" t="s">
        <v>3200</v>
      </c>
      <c r="C361" s="27" t="s">
        <v>618</v>
      </c>
      <c r="D361" s="27" t="s">
        <v>548</v>
      </c>
      <c r="E361" s="27" t="s">
        <v>668</v>
      </c>
      <c r="F361" s="28">
        <v>46245.354069791669</v>
      </c>
      <c r="G361" s="28">
        <v>46245.354069791669</v>
      </c>
      <c r="H361" s="28">
        <v>46245.354069791669</v>
      </c>
      <c r="I361" s="27" t="s">
        <v>123</v>
      </c>
      <c r="J361" s="27" t="s">
        <v>3179</v>
      </c>
      <c r="K361" s="27" t="s">
        <v>676</v>
      </c>
      <c r="L361" s="27" t="s">
        <v>552</v>
      </c>
      <c r="M361" s="27" t="s">
        <v>3180</v>
      </c>
      <c r="N361" s="27"/>
      <c r="O361" s="27"/>
      <c r="P361" s="27" t="s">
        <v>3181</v>
      </c>
      <c r="Q361" s="27" t="s">
        <v>556</v>
      </c>
      <c r="R361" s="27" t="s">
        <v>583</v>
      </c>
      <c r="S361" s="27"/>
      <c r="T361" s="27" t="s">
        <v>668</v>
      </c>
      <c r="U361" s="27" t="s">
        <v>618</v>
      </c>
      <c r="V361" s="28"/>
      <c r="W361" s="27"/>
      <c r="X361" s="27"/>
      <c r="Y361" s="27" t="s">
        <v>3182</v>
      </c>
      <c r="Z361" s="28"/>
      <c r="AA361" s="27"/>
      <c r="AB361" s="27"/>
      <c r="AC361" s="27" t="s">
        <v>2723</v>
      </c>
      <c r="AD361" s="28"/>
      <c r="AE361" s="27"/>
      <c r="AF361" s="27"/>
      <c r="AG361" s="27" t="s">
        <v>126</v>
      </c>
      <c r="AH361" s="28"/>
      <c r="AI361" s="27"/>
      <c r="AJ361" s="27" t="s">
        <v>3183</v>
      </c>
      <c r="AK361" s="27" t="s">
        <v>3201</v>
      </c>
      <c r="AL361" s="27"/>
      <c r="AM361" s="27"/>
      <c r="AN361" s="27" t="s">
        <v>665</v>
      </c>
      <c r="AO361" s="27">
        <v>0</v>
      </c>
    </row>
    <row r="362" spans="1:41" hidden="1">
      <c r="A362" s="27" t="s">
        <v>3202</v>
      </c>
      <c r="B362" s="27" t="s">
        <v>3203</v>
      </c>
      <c r="C362" s="27" t="s">
        <v>3204</v>
      </c>
      <c r="D362" s="27" t="s">
        <v>548</v>
      </c>
      <c r="E362" s="27" t="s">
        <v>668</v>
      </c>
      <c r="F362" s="28">
        <v>46245.485259548608</v>
      </c>
      <c r="G362" s="28">
        <v>46245.485259548608</v>
      </c>
      <c r="H362" s="28">
        <v>46245.485259548608</v>
      </c>
      <c r="I362" s="27" t="s">
        <v>2321</v>
      </c>
      <c r="J362" s="27" t="s">
        <v>3205</v>
      </c>
      <c r="K362" s="27" t="s">
        <v>566</v>
      </c>
      <c r="L362" s="27"/>
      <c r="M362" s="27" t="s">
        <v>1211</v>
      </c>
      <c r="N362" s="27"/>
      <c r="O362" s="27"/>
      <c r="P362" s="27" t="s">
        <v>3206</v>
      </c>
      <c r="Q362" s="27" t="s">
        <v>623</v>
      </c>
      <c r="R362" s="27" t="s">
        <v>583</v>
      </c>
      <c r="S362" s="27"/>
      <c r="T362" s="27" t="s">
        <v>668</v>
      </c>
      <c r="U362" s="27" t="s">
        <v>3204</v>
      </c>
      <c r="V362" s="28"/>
      <c r="W362" s="27"/>
      <c r="X362" s="27"/>
      <c r="Y362" s="27" t="s">
        <v>1211</v>
      </c>
      <c r="Z362" s="28"/>
      <c r="AA362" s="27"/>
      <c r="AB362" s="27"/>
      <c r="AC362" s="27" t="s">
        <v>2723</v>
      </c>
      <c r="AD362" s="28"/>
      <c r="AE362" s="27"/>
      <c r="AF362" s="27"/>
      <c r="AG362" s="27" t="s">
        <v>126</v>
      </c>
      <c r="AH362" s="28"/>
      <c r="AI362" s="27"/>
      <c r="AJ362" s="27" t="s">
        <v>2324</v>
      </c>
      <c r="AK362" s="27" t="s">
        <v>3207</v>
      </c>
      <c r="AL362" s="27"/>
      <c r="AM362" s="27"/>
      <c r="AN362" s="27" t="s">
        <v>665</v>
      </c>
      <c r="AO362" s="27">
        <v>0</v>
      </c>
    </row>
    <row r="363" spans="1:41" hidden="1">
      <c r="A363" s="27" t="s">
        <v>3208</v>
      </c>
      <c r="B363" s="27" t="s">
        <v>3209</v>
      </c>
      <c r="C363" s="27" t="s">
        <v>3171</v>
      </c>
      <c r="D363" s="27" t="s">
        <v>548</v>
      </c>
      <c r="E363" s="27" t="s">
        <v>578</v>
      </c>
      <c r="F363" s="28">
        <v>46246.204025659725</v>
      </c>
      <c r="G363" s="28">
        <v>46246.204776574072</v>
      </c>
      <c r="H363" s="28">
        <v>46246.204025659725</v>
      </c>
      <c r="I363" s="27" t="s">
        <v>3172</v>
      </c>
      <c r="J363" s="27" t="s">
        <v>3173</v>
      </c>
      <c r="K363" s="27" t="s">
        <v>676</v>
      </c>
      <c r="L363" s="27" t="s">
        <v>552</v>
      </c>
      <c r="M363" s="27" t="s">
        <v>1362</v>
      </c>
      <c r="N363" s="27" t="s">
        <v>552</v>
      </c>
      <c r="O363" s="27" t="s">
        <v>552</v>
      </c>
      <c r="P363" s="27" t="s">
        <v>3210</v>
      </c>
      <c r="Q363" s="27" t="s">
        <v>569</v>
      </c>
      <c r="R363" s="27" t="s">
        <v>583</v>
      </c>
      <c r="S363" s="27"/>
      <c r="T363" s="27" t="s">
        <v>549</v>
      </c>
      <c r="U363" s="27" t="s">
        <v>3171</v>
      </c>
      <c r="V363" s="28">
        <v>46246.204776585648</v>
      </c>
      <c r="W363" s="27"/>
      <c r="X363" s="27"/>
      <c r="Y363" s="27" t="s">
        <v>1362</v>
      </c>
      <c r="Z363" s="28"/>
      <c r="AA363" s="27"/>
      <c r="AB363" s="27"/>
      <c r="AC363" s="27" t="s">
        <v>2723</v>
      </c>
      <c r="AD363" s="28"/>
      <c r="AE363" s="27"/>
      <c r="AF363" s="27"/>
      <c r="AG363" s="27" t="s">
        <v>126</v>
      </c>
      <c r="AH363" s="28"/>
      <c r="AI363" s="27"/>
      <c r="AJ363" s="27" t="s">
        <v>3175</v>
      </c>
      <c r="AK363" s="27" t="s">
        <v>3176</v>
      </c>
      <c r="AL363" s="27"/>
      <c r="AM363" s="27"/>
      <c r="AN363" s="27" t="s">
        <v>665</v>
      </c>
      <c r="AO363" s="27">
        <v>0</v>
      </c>
    </row>
    <row r="364" spans="1:41" hidden="1">
      <c r="A364" s="27" t="s">
        <v>3211</v>
      </c>
      <c r="B364" s="27" t="s">
        <v>142</v>
      </c>
      <c r="C364" s="27" t="s">
        <v>2897</v>
      </c>
      <c r="D364" s="27" t="s">
        <v>548</v>
      </c>
      <c r="E364" s="27" t="s">
        <v>70</v>
      </c>
      <c r="F364" s="28">
        <v>46248.169692974538</v>
      </c>
      <c r="G364" s="28">
        <v>46251.168715254629</v>
      </c>
      <c r="H364" s="28">
        <v>46248.169692974538</v>
      </c>
      <c r="I364" s="27" t="s">
        <v>143</v>
      </c>
      <c r="J364" s="27" t="s">
        <v>144</v>
      </c>
      <c r="K364" s="27" t="s">
        <v>566</v>
      </c>
      <c r="L364" s="27"/>
      <c r="M364" s="27" t="s">
        <v>1454</v>
      </c>
      <c r="N364" s="27"/>
      <c r="O364" s="27"/>
      <c r="P364" s="27" t="s">
        <v>976</v>
      </c>
      <c r="Q364" s="27" t="s">
        <v>556</v>
      </c>
      <c r="R364" s="27" t="s">
        <v>659</v>
      </c>
      <c r="S364" s="27"/>
      <c r="T364" s="27" t="s">
        <v>559</v>
      </c>
      <c r="U364" s="27" t="s">
        <v>2897</v>
      </c>
      <c r="V364" s="28">
        <v>46248.172269826391</v>
      </c>
      <c r="W364" s="27" t="s">
        <v>2898</v>
      </c>
      <c r="X364" s="27" t="s">
        <v>559</v>
      </c>
      <c r="Y364" s="27" t="s">
        <v>778</v>
      </c>
      <c r="Z364" s="28">
        <v>46251.083009780094</v>
      </c>
      <c r="AA364" s="27" t="s">
        <v>976</v>
      </c>
      <c r="AB364" s="27"/>
      <c r="AC364" s="27" t="s">
        <v>2491</v>
      </c>
      <c r="AD364" s="28"/>
      <c r="AE364" s="27"/>
      <c r="AF364" s="27"/>
      <c r="AG364" s="27" t="s">
        <v>126</v>
      </c>
      <c r="AH364" s="28"/>
      <c r="AI364" s="27"/>
      <c r="AJ364" s="27" t="s">
        <v>3212</v>
      </c>
      <c r="AK364" s="27">
        <v>2332</v>
      </c>
      <c r="AL364" s="27" t="s">
        <v>125</v>
      </c>
      <c r="AM364" s="27"/>
      <c r="AN364" s="27" t="s">
        <v>665</v>
      </c>
      <c r="AO364" s="27">
        <v>0</v>
      </c>
    </row>
    <row r="365" spans="1:41" hidden="1">
      <c r="A365" s="27" t="s">
        <v>3213</v>
      </c>
      <c r="B365" s="27" t="s">
        <v>3214</v>
      </c>
      <c r="C365" s="27" t="s">
        <v>3215</v>
      </c>
      <c r="D365" s="27" t="s">
        <v>548</v>
      </c>
      <c r="E365" s="27" t="s">
        <v>668</v>
      </c>
      <c r="F365" s="28">
        <v>46248.243215451388</v>
      </c>
      <c r="G365" s="28">
        <v>46248.247376412037</v>
      </c>
      <c r="H365" s="28">
        <v>46248.243215451388</v>
      </c>
      <c r="I365" s="27" t="s">
        <v>1209</v>
      </c>
      <c r="J365" s="27" t="s">
        <v>3216</v>
      </c>
      <c r="K365" s="27" t="s">
        <v>566</v>
      </c>
      <c r="L365" s="27"/>
      <c r="M365" s="27" t="s">
        <v>1211</v>
      </c>
      <c r="N365" s="27"/>
      <c r="O365" s="27"/>
      <c r="P365" s="27" t="s">
        <v>3217</v>
      </c>
      <c r="Q365" s="27" t="s">
        <v>623</v>
      </c>
      <c r="R365" s="27" t="s">
        <v>583</v>
      </c>
      <c r="S365" s="27"/>
      <c r="T365" s="27" t="s">
        <v>559</v>
      </c>
      <c r="U365" s="27" t="s">
        <v>3215</v>
      </c>
      <c r="V365" s="28">
        <v>46248.247376423613</v>
      </c>
      <c r="W365" s="27" t="s">
        <v>3218</v>
      </c>
      <c r="X365" s="27"/>
      <c r="Y365" s="27" t="s">
        <v>1211</v>
      </c>
      <c r="Z365" s="28"/>
      <c r="AA365" s="27"/>
      <c r="AB365" s="27"/>
      <c r="AC365" s="27" t="s">
        <v>2723</v>
      </c>
      <c r="AD365" s="28"/>
      <c r="AE365" s="27"/>
      <c r="AF365" s="27"/>
      <c r="AG365" s="27" t="s">
        <v>126</v>
      </c>
      <c r="AH365" s="28"/>
      <c r="AI365" s="27"/>
      <c r="AJ365" s="27" t="s">
        <v>1217</v>
      </c>
      <c r="AK365" s="27" t="s">
        <v>3219</v>
      </c>
      <c r="AL365" s="27"/>
      <c r="AM365" s="27"/>
      <c r="AN365" s="27" t="s">
        <v>665</v>
      </c>
      <c r="AO365" s="27">
        <v>0</v>
      </c>
    </row>
    <row r="366" spans="1:41" hidden="1">
      <c r="A366" s="27" t="s">
        <v>3220</v>
      </c>
      <c r="B366" s="27" t="s">
        <v>3221</v>
      </c>
      <c r="C366" s="27" t="s">
        <v>3215</v>
      </c>
      <c r="D366" s="27" t="s">
        <v>548</v>
      </c>
      <c r="E366" s="27" t="s">
        <v>668</v>
      </c>
      <c r="F366" s="28">
        <v>46248.250335150464</v>
      </c>
      <c r="G366" s="28">
        <v>46248.251632407409</v>
      </c>
      <c r="H366" s="28">
        <v>46248.250335150464</v>
      </c>
      <c r="I366" s="27" t="s">
        <v>2321</v>
      </c>
      <c r="J366" s="27" t="s">
        <v>3205</v>
      </c>
      <c r="K366" s="27" t="s">
        <v>566</v>
      </c>
      <c r="L366" s="27"/>
      <c r="M366" s="27" t="s">
        <v>1211</v>
      </c>
      <c r="N366" s="27"/>
      <c r="O366" s="27"/>
      <c r="P366" s="27" t="s">
        <v>3222</v>
      </c>
      <c r="Q366" s="27" t="s">
        <v>623</v>
      </c>
      <c r="R366" s="27" t="s">
        <v>583</v>
      </c>
      <c r="S366" s="27"/>
      <c r="T366" s="27" t="s">
        <v>559</v>
      </c>
      <c r="U366" s="27" t="s">
        <v>3215</v>
      </c>
      <c r="V366" s="28">
        <v>46248.251632418978</v>
      </c>
      <c r="W366" s="27" t="s">
        <v>3223</v>
      </c>
      <c r="X366" s="27"/>
      <c r="Y366" s="27" t="s">
        <v>1211</v>
      </c>
      <c r="Z366" s="28"/>
      <c r="AA366" s="27"/>
      <c r="AB366" s="27"/>
      <c r="AC366" s="27" t="s">
        <v>2723</v>
      </c>
      <c r="AD366" s="28"/>
      <c r="AE366" s="27"/>
      <c r="AF366" s="27"/>
      <c r="AG366" s="27" t="s">
        <v>126</v>
      </c>
      <c r="AH366" s="28"/>
      <c r="AI366" s="27"/>
      <c r="AJ366" s="27" t="s">
        <v>2324</v>
      </c>
      <c r="AK366" s="27" t="s">
        <v>3207</v>
      </c>
      <c r="AL366" s="27"/>
      <c r="AM366" s="27"/>
      <c r="AN366" s="27" t="s">
        <v>665</v>
      </c>
      <c r="AO366" s="27">
        <v>0</v>
      </c>
    </row>
    <row r="367" spans="1:41" hidden="1">
      <c r="A367" s="27" t="s">
        <v>3224</v>
      </c>
      <c r="B367" s="27" t="s">
        <v>139</v>
      </c>
      <c r="C367" s="27" t="s">
        <v>3225</v>
      </c>
      <c r="D367" s="27" t="s">
        <v>548</v>
      </c>
      <c r="E367" s="27" t="s">
        <v>70</v>
      </c>
      <c r="F367" s="28">
        <v>46251.283950300924</v>
      </c>
      <c r="G367" s="28">
        <v>46251.315905000003</v>
      </c>
      <c r="H367" s="28">
        <v>46251.283950300924</v>
      </c>
      <c r="I367" s="27" t="s">
        <v>140</v>
      </c>
      <c r="J367" s="27" t="s">
        <v>141</v>
      </c>
      <c r="K367" s="27" t="s">
        <v>676</v>
      </c>
      <c r="L367" s="27" t="s">
        <v>3226</v>
      </c>
      <c r="M367" s="27" t="s">
        <v>3227</v>
      </c>
      <c r="N367" s="27" t="s">
        <v>3228</v>
      </c>
      <c r="O367" s="27"/>
      <c r="P367" s="27" t="s">
        <v>3229</v>
      </c>
      <c r="Q367" s="27" t="s">
        <v>623</v>
      </c>
      <c r="R367" s="27" t="s">
        <v>583</v>
      </c>
      <c r="S367" s="27"/>
      <c r="T367" s="27" t="s">
        <v>559</v>
      </c>
      <c r="U367" s="27" t="s">
        <v>3230</v>
      </c>
      <c r="V367" s="28">
        <v>46251.284595462967</v>
      </c>
      <c r="W367" s="27" t="s">
        <v>867</v>
      </c>
      <c r="X367" s="27" t="s">
        <v>559</v>
      </c>
      <c r="Y367" s="27" t="s">
        <v>3231</v>
      </c>
      <c r="Z367" s="28">
        <v>46251.315905000003</v>
      </c>
      <c r="AA367" s="27" t="s">
        <v>3232</v>
      </c>
      <c r="AB367" s="27"/>
      <c r="AC367" s="27" t="s">
        <v>2723</v>
      </c>
      <c r="AD367" s="28"/>
      <c r="AE367" s="27"/>
      <c r="AF367" s="27"/>
      <c r="AG367" s="27" t="s">
        <v>126</v>
      </c>
      <c r="AH367" s="28"/>
      <c r="AI367" s="27"/>
      <c r="AJ367" s="27" t="s">
        <v>3233</v>
      </c>
      <c r="AK367" s="27" t="s">
        <v>3234</v>
      </c>
      <c r="AL367" s="27"/>
      <c r="AM367" s="27"/>
      <c r="AN367" s="27" t="s">
        <v>687</v>
      </c>
      <c r="AO367" s="27">
        <v>0</v>
      </c>
    </row>
    <row r="368" spans="1:41" hidden="1">
      <c r="A368" s="27" t="s">
        <v>3235</v>
      </c>
      <c r="B368" s="27" t="s">
        <v>3236</v>
      </c>
      <c r="C368" s="27" t="s">
        <v>2897</v>
      </c>
      <c r="D368" s="27" t="s">
        <v>548</v>
      </c>
      <c r="E368" s="27" t="s">
        <v>668</v>
      </c>
      <c r="F368" s="28">
        <v>46251.295693506945</v>
      </c>
      <c r="G368" s="28">
        <v>46251.296332048609</v>
      </c>
      <c r="H368" s="28">
        <v>46251.295693506945</v>
      </c>
      <c r="I368" s="27" t="s">
        <v>257</v>
      </c>
      <c r="J368" s="27" t="s">
        <v>3237</v>
      </c>
      <c r="K368" s="27" t="s">
        <v>566</v>
      </c>
      <c r="L368" s="27"/>
      <c r="M368" s="27" t="s">
        <v>1454</v>
      </c>
      <c r="N368" s="27"/>
      <c r="O368" s="27"/>
      <c r="P368" s="27" t="s">
        <v>976</v>
      </c>
      <c r="Q368" s="27" t="s">
        <v>556</v>
      </c>
      <c r="R368" s="27" t="s">
        <v>659</v>
      </c>
      <c r="S368" s="27"/>
      <c r="T368" s="27" t="s">
        <v>559</v>
      </c>
      <c r="U368" s="27" t="s">
        <v>2897</v>
      </c>
      <c r="V368" s="28">
        <v>46251.296332060185</v>
      </c>
      <c r="W368" s="27" t="s">
        <v>2898</v>
      </c>
      <c r="X368" s="27"/>
      <c r="Y368" s="27" t="s">
        <v>778</v>
      </c>
      <c r="Z368" s="28"/>
      <c r="AA368" s="27"/>
      <c r="AB368" s="27"/>
      <c r="AC368" s="27" t="s">
        <v>2723</v>
      </c>
      <c r="AD368" s="28"/>
      <c r="AE368" s="27"/>
      <c r="AF368" s="27"/>
      <c r="AG368" s="27" t="s">
        <v>126</v>
      </c>
      <c r="AH368" s="28"/>
      <c r="AI368" s="27"/>
      <c r="AJ368" s="27" t="s">
        <v>3030</v>
      </c>
      <c r="AK368" s="27">
        <v>2356</v>
      </c>
      <c r="AL368" s="27"/>
      <c r="AM368" s="27"/>
      <c r="AN368" s="27" t="s">
        <v>665</v>
      </c>
      <c r="AO368" s="27">
        <v>0</v>
      </c>
    </row>
    <row r="369" spans="1:41" hidden="1">
      <c r="A369" s="27" t="s">
        <v>3238</v>
      </c>
      <c r="B369" s="27" t="s">
        <v>3239</v>
      </c>
      <c r="C369" s="27" t="s">
        <v>2897</v>
      </c>
      <c r="D369" s="27" t="s">
        <v>548</v>
      </c>
      <c r="E369" s="27" t="s">
        <v>668</v>
      </c>
      <c r="F369" s="28">
        <v>46251.298396284721</v>
      </c>
      <c r="G369" s="28">
        <v>46251.298804895836</v>
      </c>
      <c r="H369" s="28">
        <v>46251.298396284721</v>
      </c>
      <c r="I369" s="27" t="s">
        <v>3240</v>
      </c>
      <c r="J369" s="27" t="s">
        <v>3241</v>
      </c>
      <c r="K369" s="27" t="s">
        <v>566</v>
      </c>
      <c r="L369" s="27"/>
      <c r="M369" s="27" t="s">
        <v>1454</v>
      </c>
      <c r="N369" s="27"/>
      <c r="O369" s="27"/>
      <c r="P369" s="27" t="s">
        <v>976</v>
      </c>
      <c r="Q369" s="27" t="s">
        <v>556</v>
      </c>
      <c r="R369" s="27" t="s">
        <v>659</v>
      </c>
      <c r="S369" s="27"/>
      <c r="T369" s="27" t="s">
        <v>559</v>
      </c>
      <c r="U369" s="27" t="s">
        <v>2897</v>
      </c>
      <c r="V369" s="28">
        <v>46251.298804907405</v>
      </c>
      <c r="W369" s="27" t="s">
        <v>2898</v>
      </c>
      <c r="X369" s="27"/>
      <c r="Y369" s="27" t="s">
        <v>778</v>
      </c>
      <c r="Z369" s="28"/>
      <c r="AA369" s="27"/>
      <c r="AB369" s="27"/>
      <c r="AC369" s="27" t="s">
        <v>2723</v>
      </c>
      <c r="AD369" s="28"/>
      <c r="AE369" s="27"/>
      <c r="AF369" s="27"/>
      <c r="AG369" s="27" t="s">
        <v>126</v>
      </c>
      <c r="AH369" s="28"/>
      <c r="AI369" s="27"/>
      <c r="AJ369" s="27" t="s">
        <v>3242</v>
      </c>
      <c r="AK369" s="27">
        <v>4469</v>
      </c>
      <c r="AL369" s="27"/>
      <c r="AM369" s="27"/>
      <c r="AN369" s="27" t="s">
        <v>665</v>
      </c>
      <c r="AO369" s="27">
        <v>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262"/>
  <sheetViews>
    <sheetView showGridLines="0" workbookViewId="0">
      <pane ySplit="1" topLeftCell="A215" activePane="bottomLeft" state="frozen"/>
      <selection pane="bottomLeft" activeCell="B227" sqref="B227"/>
    </sheetView>
  </sheetViews>
  <sheetFormatPr defaultColWidth="9" defaultRowHeight="14.4"/>
  <cols>
    <col min="1" max="1" width="34" style="1" customWidth="1"/>
    <col min="2" max="2" width="17" style="1" customWidth="1"/>
    <col min="3" max="3" width="34" style="1" customWidth="1"/>
    <col min="4" max="4" width="15" style="1" customWidth="1"/>
    <col min="5" max="5" width="17" style="1" customWidth="1"/>
    <col min="6" max="8" width="20" style="1" customWidth="1"/>
    <col min="9" max="9" width="34" style="1" customWidth="1"/>
    <col min="10" max="10" width="19" style="1" customWidth="1"/>
    <col min="11" max="11" width="15" style="1" customWidth="1"/>
    <col min="12" max="12" width="40" style="1" customWidth="1"/>
    <col min="13" max="13" width="34" style="1" customWidth="1"/>
    <col min="14" max="14" width="17" style="1" customWidth="1"/>
    <col min="15" max="15" width="19" style="1" customWidth="1"/>
    <col min="16" max="16" width="14" style="1" customWidth="1"/>
    <col min="17" max="17" width="40" style="1" customWidth="1"/>
    <col min="18" max="18" width="15" style="1" customWidth="1"/>
    <col min="19" max="20" width="13" style="1" customWidth="1"/>
    <col min="21" max="21" width="40" style="1" customWidth="1"/>
    <col min="22" max="22" width="20" style="1" customWidth="1"/>
    <col min="23" max="23" width="34" style="1" customWidth="1"/>
    <col min="24" max="24" width="16" style="1" customWidth="1"/>
    <col min="25" max="25" width="40" style="1" customWidth="1"/>
    <col min="26" max="26" width="20" style="1" customWidth="1"/>
    <col min="27" max="27" width="34" style="1" customWidth="1"/>
    <col min="28" max="28" width="16" style="1" customWidth="1"/>
    <col min="29" max="29" width="40" style="1" customWidth="1"/>
    <col min="30" max="30" width="20" style="1" customWidth="1"/>
    <col min="31" max="31" width="34" style="1" customWidth="1"/>
    <col min="32" max="32" width="16" style="1" customWidth="1"/>
    <col min="33" max="33" width="40" style="1" customWidth="1"/>
    <col min="34" max="34" width="20" style="1" customWidth="1"/>
    <col min="35" max="35" width="34" style="1" customWidth="1"/>
    <col min="36" max="36" width="16" style="1" customWidth="1"/>
    <col min="37" max="37" width="13" style="1" customWidth="1"/>
    <col min="38" max="38" width="34" style="1" customWidth="1"/>
    <col min="39" max="16384" width="9" style="1"/>
  </cols>
  <sheetData>
    <row r="1" spans="1:38" ht="32.1" customHeight="1">
      <c r="A1" s="2" t="s">
        <v>504</v>
      </c>
      <c r="B1" s="3" t="s">
        <v>505</v>
      </c>
      <c r="C1" s="3" t="s">
        <v>506</v>
      </c>
      <c r="D1" s="3" t="s">
        <v>507</v>
      </c>
      <c r="E1" s="3" t="s">
        <v>508</v>
      </c>
      <c r="F1" s="3" t="s">
        <v>509</v>
      </c>
      <c r="G1" s="3" t="s">
        <v>511</v>
      </c>
      <c r="H1" s="3" t="s">
        <v>510</v>
      </c>
      <c r="I1" s="3" t="s">
        <v>539</v>
      </c>
      <c r="J1" s="3" t="s">
        <v>512</v>
      </c>
      <c r="K1" s="3" t="s">
        <v>540</v>
      </c>
      <c r="L1" s="3" t="s">
        <v>513</v>
      </c>
      <c r="M1" s="3" t="s">
        <v>516</v>
      </c>
      <c r="N1" s="3" t="s">
        <v>3243</v>
      </c>
      <c r="O1" s="3" t="s">
        <v>3244</v>
      </c>
      <c r="P1" s="3" t="s">
        <v>3245</v>
      </c>
      <c r="Q1" s="3" t="s">
        <v>3246</v>
      </c>
      <c r="R1" s="3" t="s">
        <v>541</v>
      </c>
      <c r="S1" s="3" t="s">
        <v>3247</v>
      </c>
      <c r="T1" s="3" t="s">
        <v>522</v>
      </c>
      <c r="U1" s="3" t="s">
        <v>526</v>
      </c>
      <c r="V1" s="3" t="s">
        <v>525</v>
      </c>
      <c r="W1" s="3" t="s">
        <v>524</v>
      </c>
      <c r="X1" s="3" t="s">
        <v>523</v>
      </c>
      <c r="Y1" s="3" t="s">
        <v>530</v>
      </c>
      <c r="Z1" s="3" t="s">
        <v>529</v>
      </c>
      <c r="AA1" s="3" t="s">
        <v>528</v>
      </c>
      <c r="AB1" s="3" t="s">
        <v>527</v>
      </c>
      <c r="AC1" s="3" t="s">
        <v>534</v>
      </c>
      <c r="AD1" s="3" t="s">
        <v>533</v>
      </c>
      <c r="AE1" s="3" t="s">
        <v>532</v>
      </c>
      <c r="AF1" s="3" t="s">
        <v>531</v>
      </c>
      <c r="AG1" s="3" t="s">
        <v>538</v>
      </c>
      <c r="AH1" s="3" t="s">
        <v>537</v>
      </c>
      <c r="AI1" s="3" t="s">
        <v>536</v>
      </c>
      <c r="AJ1" s="3" t="s">
        <v>535</v>
      </c>
      <c r="AK1" s="3" t="s">
        <v>542</v>
      </c>
      <c r="AL1" s="4" t="s">
        <v>3248</v>
      </c>
    </row>
    <row r="2" spans="1:38">
      <c r="A2" s="27" t="s">
        <v>3249</v>
      </c>
      <c r="B2" s="27" t="s">
        <v>3250</v>
      </c>
      <c r="C2" s="27" t="s">
        <v>3251</v>
      </c>
      <c r="D2" s="27" t="s">
        <v>3252</v>
      </c>
      <c r="E2" s="27" t="s">
        <v>638</v>
      </c>
      <c r="F2" s="28" t="s">
        <v>3253</v>
      </c>
      <c r="G2" s="28" t="s">
        <v>3254</v>
      </c>
      <c r="H2" s="28">
        <v>46083.32523962963</v>
      </c>
      <c r="I2" s="27" t="s">
        <v>3091</v>
      </c>
      <c r="J2" s="27" t="s">
        <v>3086</v>
      </c>
      <c r="K2" s="27" t="s">
        <v>3092</v>
      </c>
      <c r="L2" s="27" t="s">
        <v>3087</v>
      </c>
      <c r="M2" s="27" t="s">
        <v>3251</v>
      </c>
      <c r="N2" s="27" t="s">
        <v>3255</v>
      </c>
      <c r="O2" s="27" t="s">
        <v>3256</v>
      </c>
      <c r="P2" s="27" t="s">
        <v>3257</v>
      </c>
      <c r="Q2" s="27" t="s">
        <v>3258</v>
      </c>
      <c r="R2" s="27" t="s">
        <v>479</v>
      </c>
      <c r="S2" s="27"/>
      <c r="T2" s="27" t="s">
        <v>558</v>
      </c>
      <c r="U2" s="27" t="s">
        <v>3250</v>
      </c>
      <c r="V2" s="28" t="s">
        <v>3254</v>
      </c>
      <c r="W2" s="27" t="s">
        <v>3251</v>
      </c>
      <c r="X2" s="27" t="s">
        <v>559</v>
      </c>
      <c r="Y2" s="27" t="s">
        <v>3259</v>
      </c>
      <c r="Z2" s="28" t="s">
        <v>3260</v>
      </c>
      <c r="AA2" s="27" t="s">
        <v>3261</v>
      </c>
      <c r="AB2" s="27" t="s">
        <v>559</v>
      </c>
      <c r="AC2" s="27" t="s">
        <v>3259</v>
      </c>
      <c r="AD2" s="28" t="s">
        <v>3260</v>
      </c>
      <c r="AE2" s="27" t="s">
        <v>3261</v>
      </c>
      <c r="AF2" s="27" t="s">
        <v>559</v>
      </c>
      <c r="AG2" s="27" t="s">
        <v>638</v>
      </c>
      <c r="AH2" s="28">
        <v>46083.325239641206</v>
      </c>
      <c r="AI2" s="27" t="s">
        <v>3262</v>
      </c>
      <c r="AJ2" s="27" t="s">
        <v>559</v>
      </c>
      <c r="AK2" s="27"/>
      <c r="AL2" s="27"/>
    </row>
    <row r="3" spans="1:38">
      <c r="A3" s="27" t="s">
        <v>3263</v>
      </c>
      <c r="B3" s="27" t="s">
        <v>3264</v>
      </c>
      <c r="C3" s="27" t="s">
        <v>3138</v>
      </c>
      <c r="D3" s="27" t="s">
        <v>3252</v>
      </c>
      <c r="E3" s="27" t="s">
        <v>638</v>
      </c>
      <c r="F3" s="28" t="s">
        <v>3265</v>
      </c>
      <c r="G3" s="28" t="s">
        <v>3266</v>
      </c>
      <c r="H3" s="28">
        <v>46083.327214675926</v>
      </c>
      <c r="I3" s="27" t="s">
        <v>3267</v>
      </c>
      <c r="J3" s="27" t="s">
        <v>3268</v>
      </c>
      <c r="K3" s="27">
        <v>2204</v>
      </c>
      <c r="L3" s="27" t="s">
        <v>3269</v>
      </c>
      <c r="M3" s="27" t="s">
        <v>3138</v>
      </c>
      <c r="N3" s="27" t="s">
        <v>3270</v>
      </c>
      <c r="O3" s="27" t="s">
        <v>1379</v>
      </c>
      <c r="P3" s="27" t="s">
        <v>3271</v>
      </c>
      <c r="Q3" s="27" t="s">
        <v>3272</v>
      </c>
      <c r="R3" s="27"/>
      <c r="S3" s="27"/>
      <c r="T3" s="27" t="s">
        <v>558</v>
      </c>
      <c r="U3" s="27" t="s">
        <v>3264</v>
      </c>
      <c r="V3" s="28" t="s">
        <v>3266</v>
      </c>
      <c r="W3" s="27" t="s">
        <v>3138</v>
      </c>
      <c r="X3" s="27" t="s">
        <v>559</v>
      </c>
      <c r="Y3" s="27" t="s">
        <v>3273</v>
      </c>
      <c r="Z3" s="28" t="s">
        <v>3266</v>
      </c>
      <c r="AA3" s="27" t="s">
        <v>3261</v>
      </c>
      <c r="AB3" s="27" t="s">
        <v>559</v>
      </c>
      <c r="AC3" s="27" t="s">
        <v>3273</v>
      </c>
      <c r="AD3" s="28" t="s">
        <v>3266</v>
      </c>
      <c r="AE3" s="27" t="s">
        <v>3261</v>
      </c>
      <c r="AF3" s="27" t="s">
        <v>559</v>
      </c>
      <c r="AG3" s="27" t="s">
        <v>638</v>
      </c>
      <c r="AH3" s="28">
        <v>46083.327214675926</v>
      </c>
      <c r="AI3" s="27" t="s">
        <v>3262</v>
      </c>
      <c r="AJ3" s="27" t="s">
        <v>559</v>
      </c>
      <c r="AK3" s="27"/>
      <c r="AL3" s="27"/>
    </row>
    <row r="4" spans="1:38">
      <c r="A4" s="27" t="s">
        <v>3274</v>
      </c>
      <c r="B4" s="27" t="s">
        <v>3275</v>
      </c>
      <c r="C4" s="27" t="s">
        <v>1400</v>
      </c>
      <c r="D4" s="27" t="s">
        <v>3252</v>
      </c>
      <c r="E4" s="27" t="s">
        <v>638</v>
      </c>
      <c r="F4" s="28">
        <v>45818.302789444446</v>
      </c>
      <c r="G4" s="28">
        <v>45818.302789444446</v>
      </c>
      <c r="H4" s="28">
        <v>46042.331727939818</v>
      </c>
      <c r="I4" s="27" t="s">
        <v>1405</v>
      </c>
      <c r="J4" s="27" t="s">
        <v>3276</v>
      </c>
      <c r="K4" s="27">
        <v>789</v>
      </c>
      <c r="L4" s="27" t="s">
        <v>1402</v>
      </c>
      <c r="M4" s="27" t="s">
        <v>3277</v>
      </c>
      <c r="N4" s="27" t="s">
        <v>3278</v>
      </c>
      <c r="O4" s="27" t="s">
        <v>3256</v>
      </c>
      <c r="P4" s="27" t="s">
        <v>3257</v>
      </c>
      <c r="Q4" s="27" t="s">
        <v>3279</v>
      </c>
      <c r="R4" s="27" t="s">
        <v>116</v>
      </c>
      <c r="S4" s="27"/>
      <c r="T4" s="27"/>
      <c r="U4" s="27" t="s">
        <v>3280</v>
      </c>
      <c r="V4" s="28">
        <v>45819.09947346065</v>
      </c>
      <c r="W4" s="27" t="s">
        <v>3281</v>
      </c>
      <c r="X4" s="27" t="s">
        <v>559</v>
      </c>
      <c r="Y4" s="27" t="s">
        <v>3282</v>
      </c>
      <c r="Z4" s="28">
        <v>45820.218626087961</v>
      </c>
      <c r="AA4" s="27" t="s">
        <v>2748</v>
      </c>
      <c r="AB4" s="27" t="s">
        <v>559</v>
      </c>
      <c r="AC4" s="27" t="s">
        <v>559</v>
      </c>
      <c r="AD4" s="28">
        <v>45824.062667418984</v>
      </c>
      <c r="AE4" s="27" t="s">
        <v>3261</v>
      </c>
      <c r="AF4" s="27" t="s">
        <v>559</v>
      </c>
      <c r="AG4" s="27" t="s">
        <v>3283</v>
      </c>
      <c r="AH4" s="28">
        <v>46042.331727951387</v>
      </c>
      <c r="AI4" s="27" t="s">
        <v>3284</v>
      </c>
      <c r="AJ4" s="27" t="s">
        <v>559</v>
      </c>
      <c r="AK4" s="27"/>
      <c r="AL4" s="27"/>
    </row>
    <row r="5" spans="1:38">
      <c r="A5" s="27" t="s">
        <v>3285</v>
      </c>
      <c r="B5" s="27" t="s">
        <v>3286</v>
      </c>
      <c r="C5" s="27" t="s">
        <v>654</v>
      </c>
      <c r="D5" s="27" t="s">
        <v>3252</v>
      </c>
      <c r="E5" s="27" t="s">
        <v>549</v>
      </c>
      <c r="F5" s="28">
        <v>45946.394583287038</v>
      </c>
      <c r="G5" s="28">
        <v>45954.163437418982</v>
      </c>
      <c r="H5" s="28">
        <v>46057.865488611111</v>
      </c>
      <c r="I5" s="27" t="s">
        <v>3287</v>
      </c>
      <c r="J5" s="27" t="s">
        <v>3288</v>
      </c>
      <c r="K5" s="27" t="s">
        <v>3289</v>
      </c>
      <c r="L5" s="27" t="s">
        <v>3290</v>
      </c>
      <c r="M5" s="27" t="s">
        <v>657</v>
      </c>
      <c r="N5" s="27" t="s">
        <v>3291</v>
      </c>
      <c r="O5" s="27" t="s">
        <v>3256</v>
      </c>
      <c r="P5" s="27" t="s">
        <v>3292</v>
      </c>
      <c r="Q5" s="27" t="s">
        <v>3293</v>
      </c>
      <c r="R5" s="27"/>
      <c r="S5" s="27"/>
      <c r="T5" s="27"/>
      <c r="U5" s="27" t="s">
        <v>1032</v>
      </c>
      <c r="V5" s="28">
        <v>46007.285213148149</v>
      </c>
      <c r="W5" s="27" t="s">
        <v>661</v>
      </c>
      <c r="X5" s="27" t="s">
        <v>559</v>
      </c>
      <c r="Y5" s="27" t="s">
        <v>2303</v>
      </c>
      <c r="Z5" s="28">
        <v>46009.125369236113</v>
      </c>
      <c r="AA5" s="27" t="s">
        <v>2748</v>
      </c>
      <c r="AB5" s="27" t="s">
        <v>559</v>
      </c>
      <c r="AC5" s="27" t="s">
        <v>3294</v>
      </c>
      <c r="AD5" s="28">
        <v>46057.865488622687</v>
      </c>
      <c r="AE5" s="27" t="s">
        <v>3261</v>
      </c>
      <c r="AF5" s="27" t="s">
        <v>549</v>
      </c>
      <c r="AG5" s="27"/>
      <c r="AH5" s="28"/>
      <c r="AI5" s="27" t="s">
        <v>3295</v>
      </c>
      <c r="AJ5" s="27"/>
      <c r="AK5" s="27"/>
      <c r="AL5" s="27"/>
    </row>
    <row r="6" spans="1:38">
      <c r="A6" s="27" t="s">
        <v>3296</v>
      </c>
      <c r="B6" s="27" t="s">
        <v>3297</v>
      </c>
      <c r="C6" s="27" t="s">
        <v>654</v>
      </c>
      <c r="D6" s="27" t="s">
        <v>3252</v>
      </c>
      <c r="E6" s="27" t="s">
        <v>638</v>
      </c>
      <c r="F6" s="28">
        <v>45947.608965891202</v>
      </c>
      <c r="G6" s="28">
        <v>45958.022732337966</v>
      </c>
      <c r="H6" s="28">
        <v>46028.232191226853</v>
      </c>
      <c r="I6" s="27" t="s">
        <v>1342</v>
      </c>
      <c r="J6" s="27" t="s">
        <v>1336</v>
      </c>
      <c r="K6" s="27" t="s">
        <v>3298</v>
      </c>
      <c r="L6" s="27" t="s">
        <v>3299</v>
      </c>
      <c r="M6" s="27" t="s">
        <v>657</v>
      </c>
      <c r="N6" s="27" t="s">
        <v>3300</v>
      </c>
      <c r="O6" s="27" t="s">
        <v>3256</v>
      </c>
      <c r="P6" s="27" t="s">
        <v>3257</v>
      </c>
      <c r="Q6" s="27" t="s">
        <v>3301</v>
      </c>
      <c r="R6" s="27" t="s">
        <v>116</v>
      </c>
      <c r="S6" s="27"/>
      <c r="T6" s="27"/>
      <c r="U6" s="27" t="s">
        <v>1032</v>
      </c>
      <c r="V6" s="28">
        <v>46007.284846192131</v>
      </c>
      <c r="W6" s="27" t="s">
        <v>661</v>
      </c>
      <c r="X6" s="27" t="s">
        <v>559</v>
      </c>
      <c r="Y6" s="27" t="s">
        <v>2303</v>
      </c>
      <c r="Z6" s="28">
        <v>46009.12768597222</v>
      </c>
      <c r="AA6" s="27" t="s">
        <v>2748</v>
      </c>
      <c r="AB6" s="27" t="s">
        <v>559</v>
      </c>
      <c r="AC6" s="27" t="s">
        <v>3302</v>
      </c>
      <c r="AD6" s="28">
        <v>46028.146935405093</v>
      </c>
      <c r="AE6" s="27" t="s">
        <v>3261</v>
      </c>
      <c r="AF6" s="27" t="s">
        <v>559</v>
      </c>
      <c r="AG6" s="27" t="s">
        <v>3303</v>
      </c>
      <c r="AH6" s="28">
        <v>46028.232191238429</v>
      </c>
      <c r="AI6" s="27" t="s">
        <v>3304</v>
      </c>
      <c r="AJ6" s="27" t="s">
        <v>559</v>
      </c>
      <c r="AK6" s="27" t="s">
        <v>3305</v>
      </c>
      <c r="AL6" s="27"/>
    </row>
    <row r="7" spans="1:38">
      <c r="A7" s="27" t="s">
        <v>3306</v>
      </c>
      <c r="B7" s="27" t="s">
        <v>3307</v>
      </c>
      <c r="C7" s="27" t="s">
        <v>654</v>
      </c>
      <c r="D7" s="27" t="s">
        <v>3252</v>
      </c>
      <c r="E7" s="27" t="s">
        <v>638</v>
      </c>
      <c r="F7" s="28">
        <v>45959.054357743058</v>
      </c>
      <c r="G7" s="28">
        <v>45959.058811087962</v>
      </c>
      <c r="H7" s="28">
        <v>46031.563046099538</v>
      </c>
      <c r="I7" s="27" t="s">
        <v>1342</v>
      </c>
      <c r="J7" s="27" t="s">
        <v>1336</v>
      </c>
      <c r="K7" s="27" t="s">
        <v>3298</v>
      </c>
      <c r="L7" s="27" t="s">
        <v>3299</v>
      </c>
      <c r="M7" s="27" t="s">
        <v>1286</v>
      </c>
      <c r="N7" s="27" t="s">
        <v>3300</v>
      </c>
      <c r="O7" s="27" t="s">
        <v>3256</v>
      </c>
      <c r="P7" s="27" t="s">
        <v>3257</v>
      </c>
      <c r="Q7" s="27" t="s">
        <v>3308</v>
      </c>
      <c r="R7" s="27" t="s">
        <v>116</v>
      </c>
      <c r="S7" s="27"/>
      <c r="T7" s="27"/>
      <c r="U7" s="27" t="s">
        <v>681</v>
      </c>
      <c r="V7" s="28">
        <v>45960.014649039353</v>
      </c>
      <c r="W7" s="27" t="s">
        <v>1289</v>
      </c>
      <c r="X7" s="27" t="s">
        <v>559</v>
      </c>
      <c r="Y7" s="27" t="s">
        <v>2303</v>
      </c>
      <c r="Z7" s="28">
        <v>45960.073918321759</v>
      </c>
      <c r="AA7" s="27" t="s">
        <v>2748</v>
      </c>
      <c r="AB7" s="27" t="s">
        <v>559</v>
      </c>
      <c r="AC7" s="27" t="s">
        <v>3309</v>
      </c>
      <c r="AD7" s="28">
        <v>45961.174814768521</v>
      </c>
      <c r="AE7" s="27" t="s">
        <v>3261</v>
      </c>
      <c r="AF7" s="27" t="s">
        <v>559</v>
      </c>
      <c r="AG7" s="27" t="s">
        <v>3310</v>
      </c>
      <c r="AH7" s="28">
        <v>46031.563046099538</v>
      </c>
      <c r="AI7" s="27" t="s">
        <v>3311</v>
      </c>
      <c r="AJ7" s="27" t="s">
        <v>559</v>
      </c>
      <c r="AK7" s="27" t="s">
        <v>3312</v>
      </c>
      <c r="AL7" s="27" t="s">
        <v>3313</v>
      </c>
    </row>
    <row r="8" spans="1:38">
      <c r="A8" s="27" t="s">
        <v>3314</v>
      </c>
      <c r="B8" s="27" t="s">
        <v>3315</v>
      </c>
      <c r="C8" s="27" t="s">
        <v>3316</v>
      </c>
      <c r="D8" s="27" t="s">
        <v>3252</v>
      </c>
      <c r="E8" s="27" t="s">
        <v>549</v>
      </c>
      <c r="F8" s="28">
        <v>45979.075304745369</v>
      </c>
      <c r="G8" s="28">
        <v>45979.075304745369</v>
      </c>
      <c r="H8" s="28">
        <v>46121.167867442127</v>
      </c>
      <c r="I8" s="27" t="s">
        <v>3317</v>
      </c>
      <c r="J8" s="27" t="s">
        <v>3318</v>
      </c>
      <c r="K8" s="27" t="s">
        <v>3319</v>
      </c>
      <c r="L8" s="27" t="s">
        <v>3320</v>
      </c>
      <c r="M8" s="27" t="s">
        <v>937</v>
      </c>
      <c r="N8" s="27" t="s">
        <v>3321</v>
      </c>
      <c r="O8" s="27" t="s">
        <v>3322</v>
      </c>
      <c r="P8" s="27" t="s">
        <v>3292</v>
      </c>
      <c r="Q8" s="27" t="s">
        <v>3323</v>
      </c>
      <c r="R8" s="27"/>
      <c r="S8" s="27"/>
      <c r="T8" s="27"/>
      <c r="U8" s="27" t="s">
        <v>3324</v>
      </c>
      <c r="V8" s="28">
        <v>46121.167867453703</v>
      </c>
      <c r="W8" s="27" t="s">
        <v>560</v>
      </c>
      <c r="X8" s="27" t="s">
        <v>549</v>
      </c>
      <c r="Y8" s="27"/>
      <c r="Z8" s="28"/>
      <c r="AA8" s="27" t="s">
        <v>3325</v>
      </c>
      <c r="AB8" s="27"/>
      <c r="AC8" s="27"/>
      <c r="AD8" s="28"/>
      <c r="AE8" s="27" t="s">
        <v>573</v>
      </c>
      <c r="AF8" s="27"/>
      <c r="AG8" s="27"/>
      <c r="AH8" s="28"/>
      <c r="AI8" s="27" t="s">
        <v>3295</v>
      </c>
      <c r="AJ8" s="27"/>
      <c r="AK8" s="27"/>
      <c r="AL8" s="27" t="s">
        <v>3326</v>
      </c>
    </row>
    <row r="9" spans="1:38">
      <c r="A9" s="27" t="s">
        <v>3327</v>
      </c>
      <c r="B9" s="27" t="s">
        <v>3328</v>
      </c>
      <c r="C9" s="27" t="s">
        <v>1760</v>
      </c>
      <c r="D9" s="27" t="s">
        <v>3252</v>
      </c>
      <c r="E9" s="27" t="s">
        <v>549</v>
      </c>
      <c r="F9" s="28">
        <v>45980.137209074077</v>
      </c>
      <c r="G9" s="28">
        <v>45980.137209074077</v>
      </c>
      <c r="H9" s="28">
        <v>46090.445261608795</v>
      </c>
      <c r="I9" s="27" t="s">
        <v>3329</v>
      </c>
      <c r="J9" s="27" t="s">
        <v>3330</v>
      </c>
      <c r="K9" s="27">
        <v>520</v>
      </c>
      <c r="L9" s="27" t="s">
        <v>3331</v>
      </c>
      <c r="M9" s="27" t="s">
        <v>937</v>
      </c>
      <c r="N9" s="27" t="s">
        <v>3332</v>
      </c>
      <c r="O9" s="27" t="s">
        <v>3256</v>
      </c>
      <c r="P9" s="27" t="s">
        <v>3257</v>
      </c>
      <c r="Q9" s="27" t="s">
        <v>3333</v>
      </c>
      <c r="R9" s="27"/>
      <c r="S9" s="27"/>
      <c r="T9" s="27"/>
      <c r="U9" s="27" t="s">
        <v>3334</v>
      </c>
      <c r="V9" s="28">
        <v>46090.445261620371</v>
      </c>
      <c r="W9" s="27" t="s">
        <v>560</v>
      </c>
      <c r="X9" s="27" t="s">
        <v>549</v>
      </c>
      <c r="Y9" s="27"/>
      <c r="Z9" s="28"/>
      <c r="AA9" s="27" t="s">
        <v>3325</v>
      </c>
      <c r="AB9" s="27"/>
      <c r="AC9" s="27"/>
      <c r="AD9" s="28"/>
      <c r="AE9" s="27" t="s">
        <v>573</v>
      </c>
      <c r="AF9" s="27"/>
      <c r="AG9" s="27"/>
      <c r="AH9" s="28"/>
      <c r="AI9" s="27" t="s">
        <v>3295</v>
      </c>
      <c r="AJ9" s="27"/>
      <c r="AK9" s="27"/>
      <c r="AL9" s="27" t="s">
        <v>3335</v>
      </c>
    </row>
    <row r="10" spans="1:38">
      <c r="A10" s="27" t="s">
        <v>3336</v>
      </c>
      <c r="B10" s="27" t="s">
        <v>3337</v>
      </c>
      <c r="C10" s="27" t="s">
        <v>3338</v>
      </c>
      <c r="D10" s="27" t="s">
        <v>3252</v>
      </c>
      <c r="E10" s="27" t="s">
        <v>638</v>
      </c>
      <c r="F10" s="28">
        <v>45985.133832175925</v>
      </c>
      <c r="G10" s="28">
        <v>46076.114281261573</v>
      </c>
      <c r="H10" s="28">
        <v>46091.097101724539</v>
      </c>
      <c r="I10" s="27" t="s">
        <v>3339</v>
      </c>
      <c r="J10" s="27" t="s">
        <v>3340</v>
      </c>
      <c r="K10" s="27">
        <v>3437</v>
      </c>
      <c r="L10" s="27" t="s">
        <v>3341</v>
      </c>
      <c r="M10" s="27" t="s">
        <v>3342</v>
      </c>
      <c r="N10" s="27" t="s">
        <v>3343</v>
      </c>
      <c r="O10" s="27" t="s">
        <v>3322</v>
      </c>
      <c r="P10" s="27" t="s">
        <v>3344</v>
      </c>
      <c r="Q10" s="27" t="s">
        <v>3345</v>
      </c>
      <c r="R10" s="27" t="s">
        <v>116</v>
      </c>
      <c r="S10" s="27"/>
      <c r="T10" s="27"/>
      <c r="U10" s="27" t="s">
        <v>1765</v>
      </c>
      <c r="V10" s="28">
        <v>46076.117447199074</v>
      </c>
      <c r="W10" s="27" t="s">
        <v>3346</v>
      </c>
      <c r="X10" s="27" t="s">
        <v>559</v>
      </c>
      <c r="Y10" s="27" t="s">
        <v>2303</v>
      </c>
      <c r="Z10" s="28">
        <v>46078.336317430556</v>
      </c>
      <c r="AA10" s="27" t="s">
        <v>2748</v>
      </c>
      <c r="AB10" s="27" t="s">
        <v>559</v>
      </c>
      <c r="AC10" s="27" t="s">
        <v>2623</v>
      </c>
      <c r="AD10" s="28">
        <v>46079.115045289349</v>
      </c>
      <c r="AE10" s="27" t="s">
        <v>3261</v>
      </c>
      <c r="AF10" s="27" t="s">
        <v>559</v>
      </c>
      <c r="AG10" s="27" t="s">
        <v>638</v>
      </c>
      <c r="AH10" s="28">
        <v>46091.097101736108</v>
      </c>
      <c r="AI10" s="27" t="s">
        <v>1245</v>
      </c>
      <c r="AJ10" s="27" t="s">
        <v>559</v>
      </c>
      <c r="AK10" s="27" t="s">
        <v>3347</v>
      </c>
      <c r="AL10" s="27" t="s">
        <v>3348</v>
      </c>
    </row>
    <row r="11" spans="1:38">
      <c r="A11" s="27" t="s">
        <v>3349</v>
      </c>
      <c r="B11" s="27" t="s">
        <v>3350</v>
      </c>
      <c r="C11" s="27" t="s">
        <v>3351</v>
      </c>
      <c r="D11" s="27" t="s">
        <v>3252</v>
      </c>
      <c r="E11" s="27" t="s">
        <v>638</v>
      </c>
      <c r="F11" s="28">
        <v>45986.106715497684</v>
      </c>
      <c r="G11" s="28">
        <v>45986.107889687497</v>
      </c>
      <c r="H11" s="28">
        <v>46031.756817372683</v>
      </c>
      <c r="I11" s="27" t="s">
        <v>3352</v>
      </c>
      <c r="J11" s="27" t="s">
        <v>3353</v>
      </c>
      <c r="K11" s="27">
        <v>4624</v>
      </c>
      <c r="L11" s="27" t="s">
        <v>3354</v>
      </c>
      <c r="M11" s="27" t="s">
        <v>3355</v>
      </c>
      <c r="N11" s="27" t="s">
        <v>3356</v>
      </c>
      <c r="O11" s="27" t="s">
        <v>3322</v>
      </c>
      <c r="P11" s="27" t="s">
        <v>3344</v>
      </c>
      <c r="Q11" s="27" t="s">
        <v>3357</v>
      </c>
      <c r="R11" s="27" t="s">
        <v>107</v>
      </c>
      <c r="S11" s="27"/>
      <c r="T11" s="27"/>
      <c r="U11" s="27" t="s">
        <v>1765</v>
      </c>
      <c r="V11" s="28">
        <v>45987.227182592593</v>
      </c>
      <c r="W11" s="27" t="s">
        <v>3358</v>
      </c>
      <c r="X11" s="27" t="s">
        <v>559</v>
      </c>
      <c r="Y11" s="27" t="s">
        <v>3359</v>
      </c>
      <c r="Z11" s="28">
        <v>45993.344528564812</v>
      </c>
      <c r="AA11" s="27" t="s">
        <v>2748</v>
      </c>
      <c r="AB11" s="27" t="s">
        <v>559</v>
      </c>
      <c r="AC11" s="27" t="s">
        <v>3360</v>
      </c>
      <c r="AD11" s="28">
        <v>45993.397225659719</v>
      </c>
      <c r="AE11" s="27" t="s">
        <v>3261</v>
      </c>
      <c r="AF11" s="27" t="s">
        <v>559</v>
      </c>
      <c r="AG11" s="27" t="s">
        <v>649</v>
      </c>
      <c r="AH11" s="28">
        <v>46031.756817384259</v>
      </c>
      <c r="AI11" s="27" t="s">
        <v>3361</v>
      </c>
      <c r="AJ11" s="27" t="s">
        <v>559</v>
      </c>
      <c r="AK11" s="27" t="s">
        <v>3362</v>
      </c>
      <c r="AL11" s="27" t="s">
        <v>3363</v>
      </c>
    </row>
    <row r="12" spans="1:38">
      <c r="A12" s="27" t="s">
        <v>3364</v>
      </c>
      <c r="B12" s="27" t="s">
        <v>3365</v>
      </c>
      <c r="C12" s="27" t="s">
        <v>3351</v>
      </c>
      <c r="D12" s="27" t="s">
        <v>3252</v>
      </c>
      <c r="E12" s="27" t="s">
        <v>638</v>
      </c>
      <c r="F12" s="28">
        <v>45986.109319085648</v>
      </c>
      <c r="G12" s="28">
        <v>45986.109319085648</v>
      </c>
      <c r="H12" s="28">
        <v>46031.757119189817</v>
      </c>
      <c r="I12" s="27" t="s">
        <v>3352</v>
      </c>
      <c r="J12" s="27" t="s">
        <v>3353</v>
      </c>
      <c r="K12" s="27">
        <v>4624</v>
      </c>
      <c r="L12" s="27" t="s">
        <v>3354</v>
      </c>
      <c r="M12" s="27" t="s">
        <v>3355</v>
      </c>
      <c r="N12" s="27" t="s">
        <v>3356</v>
      </c>
      <c r="O12" s="27" t="s">
        <v>3322</v>
      </c>
      <c r="P12" s="27" t="s">
        <v>3292</v>
      </c>
      <c r="Q12" s="27" t="s">
        <v>3357</v>
      </c>
      <c r="R12" s="27" t="s">
        <v>107</v>
      </c>
      <c r="S12" s="27"/>
      <c r="T12" s="27"/>
      <c r="U12" s="27" t="s">
        <v>1765</v>
      </c>
      <c r="V12" s="28">
        <v>45987.228089317126</v>
      </c>
      <c r="W12" s="27" t="s">
        <v>3358</v>
      </c>
      <c r="X12" s="27" t="s">
        <v>559</v>
      </c>
      <c r="Y12" s="27" t="s">
        <v>3366</v>
      </c>
      <c r="Z12" s="28">
        <v>45993.345086805559</v>
      </c>
      <c r="AA12" s="27" t="s">
        <v>2748</v>
      </c>
      <c r="AB12" s="27" t="s">
        <v>559</v>
      </c>
      <c r="AC12" s="27" t="s">
        <v>3360</v>
      </c>
      <c r="AD12" s="28">
        <v>45993.397128634257</v>
      </c>
      <c r="AE12" s="27" t="s">
        <v>3261</v>
      </c>
      <c r="AF12" s="27" t="s">
        <v>559</v>
      </c>
      <c r="AG12" s="27" t="s">
        <v>649</v>
      </c>
      <c r="AH12" s="28">
        <v>46031.757119201386</v>
      </c>
      <c r="AI12" s="27" t="s">
        <v>3361</v>
      </c>
      <c r="AJ12" s="27" t="s">
        <v>559</v>
      </c>
      <c r="AK12" s="27" t="s">
        <v>3367</v>
      </c>
      <c r="AL12" s="27" t="s">
        <v>3363</v>
      </c>
    </row>
    <row r="13" spans="1:38">
      <c r="A13" s="27" t="s">
        <v>3368</v>
      </c>
      <c r="B13" s="27" t="s">
        <v>3369</v>
      </c>
      <c r="C13" s="27" t="s">
        <v>3370</v>
      </c>
      <c r="D13" s="27" t="s">
        <v>3252</v>
      </c>
      <c r="E13" s="27" t="s">
        <v>638</v>
      </c>
      <c r="F13" s="28">
        <v>45994.338524444443</v>
      </c>
      <c r="G13" s="28">
        <v>45994.338524444443</v>
      </c>
      <c r="H13" s="28">
        <v>46028.053203912037</v>
      </c>
      <c r="I13" s="27" t="s">
        <v>3371</v>
      </c>
      <c r="J13" s="27" t="s">
        <v>3372</v>
      </c>
      <c r="K13" s="27">
        <v>3578</v>
      </c>
      <c r="L13" s="27" t="s">
        <v>3373</v>
      </c>
      <c r="M13" s="27" t="s">
        <v>3374</v>
      </c>
      <c r="N13" s="27" t="s">
        <v>3375</v>
      </c>
      <c r="O13" s="27" t="s">
        <v>3322</v>
      </c>
      <c r="P13" s="27" t="s">
        <v>3292</v>
      </c>
      <c r="Q13" s="27" t="s">
        <v>3376</v>
      </c>
      <c r="R13" s="27" t="s">
        <v>107</v>
      </c>
      <c r="S13" s="27"/>
      <c r="T13" s="27"/>
      <c r="U13" s="27" t="s">
        <v>3377</v>
      </c>
      <c r="V13" s="28">
        <v>45994.344667372687</v>
      </c>
      <c r="W13" s="27" t="s">
        <v>3378</v>
      </c>
      <c r="X13" s="27" t="s">
        <v>559</v>
      </c>
      <c r="Y13" s="27" t="s">
        <v>2303</v>
      </c>
      <c r="Z13" s="28">
        <v>45995.094082511576</v>
      </c>
      <c r="AA13" s="27" t="s">
        <v>2748</v>
      </c>
      <c r="AB13" s="27" t="s">
        <v>559</v>
      </c>
      <c r="AC13" s="27" t="s">
        <v>867</v>
      </c>
      <c r="AD13" s="28">
        <v>45995.128940092596</v>
      </c>
      <c r="AE13" s="27" t="s">
        <v>571</v>
      </c>
      <c r="AF13" s="27" t="s">
        <v>559</v>
      </c>
      <c r="AG13" s="27" t="s">
        <v>3379</v>
      </c>
      <c r="AH13" s="28">
        <v>46028.053203912037</v>
      </c>
      <c r="AI13" s="27" t="s">
        <v>3380</v>
      </c>
      <c r="AJ13" s="27" t="s">
        <v>559</v>
      </c>
      <c r="AK13" s="27" t="s">
        <v>3381</v>
      </c>
      <c r="AL13" s="27" t="s">
        <v>3382</v>
      </c>
    </row>
    <row r="14" spans="1:38">
      <c r="A14" s="27" t="s">
        <v>3383</v>
      </c>
      <c r="B14" s="27" t="s">
        <v>3384</v>
      </c>
      <c r="C14" s="27" t="s">
        <v>3385</v>
      </c>
      <c r="D14" s="27" t="s">
        <v>3252</v>
      </c>
      <c r="E14" s="27" t="s">
        <v>638</v>
      </c>
      <c r="F14" s="28">
        <v>46000.143776064811</v>
      </c>
      <c r="G14" s="28">
        <v>46000.148014351849</v>
      </c>
      <c r="H14" s="28">
        <v>46028.198254085648</v>
      </c>
      <c r="I14" s="27" t="s">
        <v>3386</v>
      </c>
      <c r="J14" s="27" t="s">
        <v>3387</v>
      </c>
      <c r="K14" s="27">
        <v>435</v>
      </c>
      <c r="L14" s="27" t="s">
        <v>3388</v>
      </c>
      <c r="M14" s="27" t="s">
        <v>3389</v>
      </c>
      <c r="N14" s="27" t="s">
        <v>3390</v>
      </c>
      <c r="O14" s="27" t="s">
        <v>3256</v>
      </c>
      <c r="P14" s="27" t="s">
        <v>3257</v>
      </c>
      <c r="Q14" s="27" t="s">
        <v>3391</v>
      </c>
      <c r="R14" s="27" t="s">
        <v>116</v>
      </c>
      <c r="S14" s="27"/>
      <c r="T14" s="27"/>
      <c r="U14" s="27" t="s">
        <v>1480</v>
      </c>
      <c r="V14" s="28">
        <v>46000.149168391203</v>
      </c>
      <c r="W14" s="27" t="s">
        <v>3389</v>
      </c>
      <c r="X14" s="27" t="s">
        <v>559</v>
      </c>
      <c r="Y14" s="27" t="s">
        <v>2303</v>
      </c>
      <c r="Z14" s="28">
        <v>46001.095599513887</v>
      </c>
      <c r="AA14" s="27" t="s">
        <v>2748</v>
      </c>
      <c r="AB14" s="27" t="s">
        <v>559</v>
      </c>
      <c r="AC14" s="27" t="s">
        <v>2623</v>
      </c>
      <c r="AD14" s="28">
        <v>46002.291507511574</v>
      </c>
      <c r="AE14" s="27" t="s">
        <v>3261</v>
      </c>
      <c r="AF14" s="27" t="s">
        <v>559</v>
      </c>
      <c r="AG14" s="27" t="s">
        <v>3303</v>
      </c>
      <c r="AH14" s="28">
        <v>46028.198254108793</v>
      </c>
      <c r="AI14" s="27" t="s">
        <v>3392</v>
      </c>
      <c r="AJ14" s="27" t="s">
        <v>559</v>
      </c>
      <c r="AK14" s="27" t="s">
        <v>3393</v>
      </c>
      <c r="AL14" s="27" t="s">
        <v>3394</v>
      </c>
    </row>
    <row r="15" spans="1:38">
      <c r="A15" s="27" t="s">
        <v>3395</v>
      </c>
      <c r="B15" s="27" t="s">
        <v>3396</v>
      </c>
      <c r="C15" s="27" t="s">
        <v>3338</v>
      </c>
      <c r="D15" s="27" t="s">
        <v>3252</v>
      </c>
      <c r="E15" s="27" t="s">
        <v>638</v>
      </c>
      <c r="F15" s="28">
        <v>46001.163603553243</v>
      </c>
      <c r="G15" s="28">
        <v>46028.273995150463</v>
      </c>
      <c r="H15" s="28">
        <v>46031.696577824077</v>
      </c>
      <c r="I15" s="27" t="s">
        <v>3339</v>
      </c>
      <c r="J15" s="27" t="s">
        <v>3340</v>
      </c>
      <c r="K15" s="27">
        <v>3437</v>
      </c>
      <c r="L15" s="27" t="s">
        <v>3341</v>
      </c>
      <c r="M15" s="27" t="s">
        <v>3342</v>
      </c>
      <c r="N15" s="27" t="s">
        <v>3397</v>
      </c>
      <c r="O15" s="27" t="s">
        <v>3322</v>
      </c>
      <c r="P15" s="27" t="s">
        <v>3344</v>
      </c>
      <c r="Q15" s="27" t="s">
        <v>3398</v>
      </c>
      <c r="R15" s="27" t="s">
        <v>116</v>
      </c>
      <c r="S15" s="27"/>
      <c r="T15" s="27"/>
      <c r="U15" s="27" t="s">
        <v>681</v>
      </c>
      <c r="V15" s="28">
        <v>46028.276417928239</v>
      </c>
      <c r="W15" s="27" t="s">
        <v>3346</v>
      </c>
      <c r="X15" s="27" t="s">
        <v>559</v>
      </c>
      <c r="Y15" s="27" t="s">
        <v>2303</v>
      </c>
      <c r="Z15" s="28">
        <v>46029.137359745371</v>
      </c>
      <c r="AA15" s="27" t="s">
        <v>2748</v>
      </c>
      <c r="AB15" s="27" t="s">
        <v>559</v>
      </c>
      <c r="AC15" s="27" t="s">
        <v>3399</v>
      </c>
      <c r="AD15" s="28">
        <v>46029.371209189812</v>
      </c>
      <c r="AE15" s="27" t="s">
        <v>3261</v>
      </c>
      <c r="AF15" s="27" t="s">
        <v>559</v>
      </c>
      <c r="AG15" s="27" t="s">
        <v>3400</v>
      </c>
      <c r="AH15" s="28">
        <v>46031.696577835646</v>
      </c>
      <c r="AI15" s="27" t="s">
        <v>3401</v>
      </c>
      <c r="AJ15" s="27" t="s">
        <v>559</v>
      </c>
      <c r="AK15" s="27" t="s">
        <v>3402</v>
      </c>
      <c r="AL15" s="27" t="s">
        <v>3348</v>
      </c>
    </row>
    <row r="16" spans="1:38">
      <c r="A16" s="27" t="s">
        <v>3403</v>
      </c>
      <c r="B16" s="27" t="s">
        <v>3404</v>
      </c>
      <c r="C16" s="27" t="s">
        <v>3405</v>
      </c>
      <c r="D16" s="27" t="s">
        <v>3252</v>
      </c>
      <c r="E16" s="27" t="s">
        <v>638</v>
      </c>
      <c r="F16" s="28">
        <v>46003.364529918981</v>
      </c>
      <c r="G16" s="28">
        <v>46003.364529918981</v>
      </c>
      <c r="H16" s="28">
        <v>46029.275502557874</v>
      </c>
      <c r="I16" s="27" t="s">
        <v>3406</v>
      </c>
      <c r="J16" s="27" t="s">
        <v>3407</v>
      </c>
      <c r="K16" s="27">
        <v>1687</v>
      </c>
      <c r="L16" s="27" t="s">
        <v>3408</v>
      </c>
      <c r="M16" s="27" t="s">
        <v>3409</v>
      </c>
      <c r="N16" s="27" t="s">
        <v>3410</v>
      </c>
      <c r="O16" s="27" t="s">
        <v>3322</v>
      </c>
      <c r="P16" s="27" t="s">
        <v>3292</v>
      </c>
      <c r="Q16" s="27" t="s">
        <v>3411</v>
      </c>
      <c r="R16" s="27" t="s">
        <v>125</v>
      </c>
      <c r="S16" s="27"/>
      <c r="T16" s="27"/>
      <c r="U16" s="27" t="s">
        <v>3412</v>
      </c>
      <c r="V16" s="28">
        <v>46003.370390995369</v>
      </c>
      <c r="W16" s="27" t="s">
        <v>3413</v>
      </c>
      <c r="X16" s="27" t="s">
        <v>559</v>
      </c>
      <c r="Y16" s="27" t="s">
        <v>2303</v>
      </c>
      <c r="Z16" s="28">
        <v>46006.332823101853</v>
      </c>
      <c r="AA16" s="27" t="s">
        <v>2748</v>
      </c>
      <c r="AB16" s="27" t="s">
        <v>559</v>
      </c>
      <c r="AC16" s="27" t="s">
        <v>3414</v>
      </c>
      <c r="AD16" s="28">
        <v>46007.362374722223</v>
      </c>
      <c r="AE16" s="27" t="s">
        <v>3261</v>
      </c>
      <c r="AF16" s="27" t="s">
        <v>559</v>
      </c>
      <c r="AG16" s="27" t="s">
        <v>638</v>
      </c>
      <c r="AH16" s="28">
        <v>46029.275502557874</v>
      </c>
      <c r="AI16" s="27" t="s">
        <v>3415</v>
      </c>
      <c r="AJ16" s="27" t="s">
        <v>559</v>
      </c>
      <c r="AK16" s="27" t="s">
        <v>3416</v>
      </c>
      <c r="AL16" s="27" t="s">
        <v>3417</v>
      </c>
    </row>
    <row r="17" spans="1:38">
      <c r="A17" s="27" t="s">
        <v>3418</v>
      </c>
      <c r="B17" s="27" t="s">
        <v>3419</v>
      </c>
      <c r="C17" s="27" t="s">
        <v>3420</v>
      </c>
      <c r="D17" s="27" t="s">
        <v>3252</v>
      </c>
      <c r="E17" s="27" t="s">
        <v>638</v>
      </c>
      <c r="F17" s="28">
        <v>46007.122948576391</v>
      </c>
      <c r="G17" s="28">
        <v>46021.083008321759</v>
      </c>
      <c r="H17" s="28">
        <v>46036.283825439816</v>
      </c>
      <c r="I17" s="27" t="s">
        <v>3421</v>
      </c>
      <c r="J17" s="27" t="s">
        <v>3422</v>
      </c>
      <c r="K17" s="27">
        <v>4435</v>
      </c>
      <c r="L17" s="27" t="s">
        <v>3423</v>
      </c>
      <c r="M17" s="27" t="s">
        <v>2067</v>
      </c>
      <c r="N17" s="27" t="s">
        <v>3424</v>
      </c>
      <c r="O17" s="27" t="s">
        <v>3322</v>
      </c>
      <c r="P17" s="27" t="s">
        <v>3344</v>
      </c>
      <c r="Q17" s="27" t="s">
        <v>3425</v>
      </c>
      <c r="R17" s="27" t="s">
        <v>107</v>
      </c>
      <c r="S17" s="27"/>
      <c r="T17" s="27"/>
      <c r="U17" s="27" t="s">
        <v>3426</v>
      </c>
      <c r="V17" s="28">
        <v>46022.05777994213</v>
      </c>
      <c r="W17" s="27" t="s">
        <v>2067</v>
      </c>
      <c r="X17" s="27" t="s">
        <v>559</v>
      </c>
      <c r="Y17" s="27" t="s">
        <v>2303</v>
      </c>
      <c r="Z17" s="28">
        <v>46029.131212222223</v>
      </c>
      <c r="AA17" s="27" t="s">
        <v>2748</v>
      </c>
      <c r="AB17" s="27" t="s">
        <v>559</v>
      </c>
      <c r="AC17" s="27" t="s">
        <v>3427</v>
      </c>
      <c r="AD17" s="28">
        <v>46031.318882719905</v>
      </c>
      <c r="AE17" s="27" t="s">
        <v>3261</v>
      </c>
      <c r="AF17" s="27" t="s">
        <v>559</v>
      </c>
      <c r="AG17" s="27" t="s">
        <v>3428</v>
      </c>
      <c r="AH17" s="28">
        <v>46036.283825451392</v>
      </c>
      <c r="AI17" s="27" t="s">
        <v>3429</v>
      </c>
      <c r="AJ17" s="27" t="s">
        <v>559</v>
      </c>
      <c r="AK17" s="27" t="s">
        <v>3430</v>
      </c>
      <c r="AL17" s="27" t="s">
        <v>3431</v>
      </c>
    </row>
    <row r="18" spans="1:38">
      <c r="A18" s="27" t="s">
        <v>3432</v>
      </c>
      <c r="B18" s="27" t="s">
        <v>3433</v>
      </c>
      <c r="C18" s="27" t="s">
        <v>3434</v>
      </c>
      <c r="D18" s="27" t="s">
        <v>3252</v>
      </c>
      <c r="E18" s="27" t="s">
        <v>638</v>
      </c>
      <c r="F18" s="28">
        <v>46009.14081459491</v>
      </c>
      <c r="G18" s="28">
        <v>46009.14081459491</v>
      </c>
      <c r="H18" s="28">
        <v>46036.059964918983</v>
      </c>
      <c r="I18" s="27" t="s">
        <v>1966</v>
      </c>
      <c r="J18" s="27" t="s">
        <v>1962</v>
      </c>
      <c r="K18" s="27" t="s">
        <v>1972</v>
      </c>
      <c r="L18" s="27" t="s">
        <v>1971</v>
      </c>
      <c r="M18" s="27" t="s">
        <v>1861</v>
      </c>
      <c r="N18" s="27" t="s">
        <v>3435</v>
      </c>
      <c r="O18" s="27" t="s">
        <v>3256</v>
      </c>
      <c r="P18" s="27" t="s">
        <v>3292</v>
      </c>
      <c r="Q18" s="27" t="s">
        <v>3436</v>
      </c>
      <c r="R18" s="27" t="s">
        <v>107</v>
      </c>
      <c r="S18" s="27"/>
      <c r="T18" s="27"/>
      <c r="U18" s="27" t="s">
        <v>3437</v>
      </c>
      <c r="V18" s="28">
        <v>46009.187363275465</v>
      </c>
      <c r="W18" s="27" t="s">
        <v>1865</v>
      </c>
      <c r="X18" s="27" t="s">
        <v>559</v>
      </c>
      <c r="Y18" s="27" t="s">
        <v>2303</v>
      </c>
      <c r="Z18" s="28">
        <v>46010.147018425923</v>
      </c>
      <c r="AA18" s="27" t="s">
        <v>2748</v>
      </c>
      <c r="AB18" s="27" t="s">
        <v>559</v>
      </c>
      <c r="AC18" s="27" t="s">
        <v>3438</v>
      </c>
      <c r="AD18" s="28">
        <v>46013.059503136574</v>
      </c>
      <c r="AE18" s="27" t="s">
        <v>571</v>
      </c>
      <c r="AF18" s="27" t="s">
        <v>559</v>
      </c>
      <c r="AG18" s="27" t="s">
        <v>649</v>
      </c>
      <c r="AH18" s="28">
        <v>46036.059964930559</v>
      </c>
      <c r="AI18" s="27" t="s">
        <v>3361</v>
      </c>
      <c r="AJ18" s="27" t="s">
        <v>559</v>
      </c>
      <c r="AK18" s="27" t="s">
        <v>3439</v>
      </c>
      <c r="AL18" s="27" t="s">
        <v>3440</v>
      </c>
    </row>
    <row r="19" spans="1:38">
      <c r="A19" s="27" t="s">
        <v>3441</v>
      </c>
      <c r="B19" s="27" t="s">
        <v>3442</v>
      </c>
      <c r="C19" s="27" t="s">
        <v>3443</v>
      </c>
      <c r="D19" s="27" t="s">
        <v>3252</v>
      </c>
      <c r="E19" s="27" t="s">
        <v>638</v>
      </c>
      <c r="F19" s="28">
        <v>46010.159208888886</v>
      </c>
      <c r="G19" s="28">
        <v>46010.159208888886</v>
      </c>
      <c r="H19" s="28">
        <v>46028.015467731479</v>
      </c>
      <c r="I19" s="27" t="s">
        <v>3444</v>
      </c>
      <c r="J19" s="27" t="s">
        <v>3445</v>
      </c>
      <c r="K19" s="27">
        <v>859</v>
      </c>
      <c r="L19" s="27" t="s">
        <v>3446</v>
      </c>
      <c r="M19" s="27" t="s">
        <v>3447</v>
      </c>
      <c r="N19" s="27" t="s">
        <v>3448</v>
      </c>
      <c r="O19" s="27" t="s">
        <v>3256</v>
      </c>
      <c r="P19" s="27" t="s">
        <v>3257</v>
      </c>
      <c r="Q19" s="27" t="s">
        <v>3449</v>
      </c>
      <c r="R19" s="27" t="s">
        <v>107</v>
      </c>
      <c r="S19" s="27"/>
      <c r="T19" s="27"/>
      <c r="U19" s="27" t="s">
        <v>3450</v>
      </c>
      <c r="V19" s="28">
        <v>46010.169773240741</v>
      </c>
      <c r="W19" s="27" t="s">
        <v>3447</v>
      </c>
      <c r="X19" s="27" t="s">
        <v>559</v>
      </c>
      <c r="Y19" s="27" t="s">
        <v>3451</v>
      </c>
      <c r="Z19" s="28">
        <v>46010.176239108798</v>
      </c>
      <c r="AA19" s="27" t="s">
        <v>2748</v>
      </c>
      <c r="AB19" s="27" t="s">
        <v>559</v>
      </c>
      <c r="AC19" s="27" t="s">
        <v>3452</v>
      </c>
      <c r="AD19" s="28">
        <v>46014.174875578705</v>
      </c>
      <c r="AE19" s="27" t="s">
        <v>3261</v>
      </c>
      <c r="AF19" s="27" t="s">
        <v>559</v>
      </c>
      <c r="AG19" s="27" t="s">
        <v>3453</v>
      </c>
      <c r="AH19" s="28">
        <v>46028.015467731479</v>
      </c>
      <c r="AI19" s="27" t="s">
        <v>3401</v>
      </c>
      <c r="AJ19" s="27" t="s">
        <v>559</v>
      </c>
      <c r="AK19" s="27" t="s">
        <v>3454</v>
      </c>
      <c r="AL19" s="27" t="s">
        <v>3455</v>
      </c>
    </row>
    <row r="20" spans="1:38">
      <c r="A20" s="27" t="s">
        <v>3456</v>
      </c>
      <c r="B20" s="27" t="s">
        <v>3457</v>
      </c>
      <c r="C20" s="27" t="s">
        <v>3458</v>
      </c>
      <c r="D20" s="27" t="s">
        <v>3252</v>
      </c>
      <c r="E20" s="27" t="s">
        <v>638</v>
      </c>
      <c r="F20" s="28">
        <v>46010.294650474534</v>
      </c>
      <c r="G20" s="28">
        <v>46014.100777106483</v>
      </c>
      <c r="H20" s="28">
        <v>46031.279839560186</v>
      </c>
      <c r="I20" s="27" t="s">
        <v>3459</v>
      </c>
      <c r="J20" s="27" t="s">
        <v>3460</v>
      </c>
      <c r="K20" s="27" t="s">
        <v>3461</v>
      </c>
      <c r="L20" s="27" t="s">
        <v>3462</v>
      </c>
      <c r="M20" s="27" t="s">
        <v>1561</v>
      </c>
      <c r="N20" s="27" t="s">
        <v>3463</v>
      </c>
      <c r="O20" s="27" t="s">
        <v>3256</v>
      </c>
      <c r="P20" s="27" t="s">
        <v>3464</v>
      </c>
      <c r="Q20" s="27" t="s">
        <v>3465</v>
      </c>
      <c r="R20" s="27" t="s">
        <v>107</v>
      </c>
      <c r="S20" s="27"/>
      <c r="T20" s="27"/>
      <c r="U20" s="27" t="s">
        <v>1032</v>
      </c>
      <c r="V20" s="28">
        <v>46014.108131898145</v>
      </c>
      <c r="W20" s="27" t="s">
        <v>1561</v>
      </c>
      <c r="X20" s="27" t="s">
        <v>559</v>
      </c>
      <c r="Y20" s="27" t="s">
        <v>2303</v>
      </c>
      <c r="Z20" s="28">
        <v>46029.125180740739</v>
      </c>
      <c r="AA20" s="27" t="s">
        <v>2748</v>
      </c>
      <c r="AB20" s="27" t="s">
        <v>559</v>
      </c>
      <c r="AC20" s="27" t="s">
        <v>3466</v>
      </c>
      <c r="AD20" s="28">
        <v>46029.301121331016</v>
      </c>
      <c r="AE20" s="27" t="s">
        <v>3261</v>
      </c>
      <c r="AF20" s="27" t="s">
        <v>559</v>
      </c>
      <c r="AG20" s="27" t="s">
        <v>649</v>
      </c>
      <c r="AH20" s="28">
        <v>46031.279839560186</v>
      </c>
      <c r="AI20" s="27" t="s">
        <v>1083</v>
      </c>
      <c r="AJ20" s="27" t="s">
        <v>559</v>
      </c>
      <c r="AK20" s="27" t="s">
        <v>3467</v>
      </c>
      <c r="AL20" s="27" t="s">
        <v>3468</v>
      </c>
    </row>
    <row r="21" spans="1:38">
      <c r="A21" s="27" t="s">
        <v>3469</v>
      </c>
      <c r="B21" s="27" t="s">
        <v>3470</v>
      </c>
      <c r="C21" s="27" t="s">
        <v>3471</v>
      </c>
      <c r="D21" s="27" t="s">
        <v>3252</v>
      </c>
      <c r="E21" s="27" t="s">
        <v>638</v>
      </c>
      <c r="F21" s="28">
        <v>46013.112887743053</v>
      </c>
      <c r="G21" s="28">
        <v>46013.112887743053</v>
      </c>
      <c r="H21" s="28">
        <v>46036.305529953701</v>
      </c>
      <c r="I21" s="27" t="s">
        <v>3472</v>
      </c>
      <c r="J21" s="27" t="s">
        <v>3473</v>
      </c>
      <c r="K21" s="27">
        <v>3948</v>
      </c>
      <c r="L21" s="27" t="s">
        <v>3474</v>
      </c>
      <c r="M21" s="27" t="s">
        <v>3475</v>
      </c>
      <c r="N21" s="27" t="s">
        <v>3473</v>
      </c>
      <c r="O21" s="27" t="s">
        <v>3256</v>
      </c>
      <c r="P21" s="27" t="s">
        <v>3344</v>
      </c>
      <c r="Q21" s="27" t="s">
        <v>3476</v>
      </c>
      <c r="R21" s="27" t="s">
        <v>107</v>
      </c>
      <c r="S21" s="27"/>
      <c r="T21" s="27"/>
      <c r="U21" s="27" t="s">
        <v>1547</v>
      </c>
      <c r="V21" s="28">
        <v>46013.367824884263</v>
      </c>
      <c r="W21" s="27" t="s">
        <v>3475</v>
      </c>
      <c r="X21" s="27" t="s">
        <v>559</v>
      </c>
      <c r="Y21" s="27" t="s">
        <v>3477</v>
      </c>
      <c r="Z21" s="28">
        <v>46029.118642013891</v>
      </c>
      <c r="AA21" s="27" t="s">
        <v>2748</v>
      </c>
      <c r="AB21" s="27" t="s">
        <v>559</v>
      </c>
      <c r="AC21" s="27" t="s">
        <v>3478</v>
      </c>
      <c r="AD21" s="28">
        <v>46029.147847222222</v>
      </c>
      <c r="AE21" s="27" t="s">
        <v>3261</v>
      </c>
      <c r="AF21" s="27" t="s">
        <v>559</v>
      </c>
      <c r="AG21" s="27" t="s">
        <v>638</v>
      </c>
      <c r="AH21" s="28">
        <v>46036.305529953701</v>
      </c>
      <c r="AI21" s="27" t="s">
        <v>3479</v>
      </c>
      <c r="AJ21" s="27" t="s">
        <v>559</v>
      </c>
      <c r="AK21" s="27" t="s">
        <v>3480</v>
      </c>
      <c r="AL21" s="27" t="s">
        <v>3481</v>
      </c>
    </row>
    <row r="22" spans="1:38">
      <c r="A22" s="27" t="s">
        <v>3482</v>
      </c>
      <c r="B22" s="27" t="s">
        <v>3483</v>
      </c>
      <c r="C22" s="27" t="s">
        <v>3484</v>
      </c>
      <c r="D22" s="27" t="s">
        <v>3252</v>
      </c>
      <c r="E22" s="27" t="s">
        <v>638</v>
      </c>
      <c r="F22" s="28">
        <v>46014.099643194444</v>
      </c>
      <c r="G22" s="28">
        <v>46014.099643194444</v>
      </c>
      <c r="H22" s="28">
        <v>46034.088129791664</v>
      </c>
      <c r="I22" s="27" t="s">
        <v>3485</v>
      </c>
      <c r="J22" s="27" t="s">
        <v>3486</v>
      </c>
      <c r="K22" s="27">
        <v>426</v>
      </c>
      <c r="L22" s="27" t="s">
        <v>3487</v>
      </c>
      <c r="M22" s="27" t="s">
        <v>3488</v>
      </c>
      <c r="N22" s="27" t="s">
        <v>3486</v>
      </c>
      <c r="O22" s="27" t="s">
        <v>3256</v>
      </c>
      <c r="P22" s="27" t="s">
        <v>3257</v>
      </c>
      <c r="Q22" s="27" t="s">
        <v>3489</v>
      </c>
      <c r="R22" s="27" t="s">
        <v>116</v>
      </c>
      <c r="S22" s="27"/>
      <c r="T22" s="27"/>
      <c r="U22" s="27" t="s">
        <v>3490</v>
      </c>
      <c r="V22" s="28">
        <v>46014.190956782404</v>
      </c>
      <c r="W22" s="27" t="s">
        <v>3491</v>
      </c>
      <c r="X22" s="27" t="s">
        <v>559</v>
      </c>
      <c r="Y22" s="27" t="s">
        <v>2303</v>
      </c>
      <c r="Z22" s="28">
        <v>46029.120835983798</v>
      </c>
      <c r="AA22" s="27" t="s">
        <v>2748</v>
      </c>
      <c r="AB22" s="27" t="s">
        <v>559</v>
      </c>
      <c r="AC22" s="27" t="s">
        <v>3492</v>
      </c>
      <c r="AD22" s="28">
        <v>46029.289683263887</v>
      </c>
      <c r="AE22" s="27" t="s">
        <v>3261</v>
      </c>
      <c r="AF22" s="27" t="s">
        <v>559</v>
      </c>
      <c r="AG22" s="27" t="s">
        <v>3303</v>
      </c>
      <c r="AH22" s="28">
        <v>46034.088129791664</v>
      </c>
      <c r="AI22" s="27" t="s">
        <v>1245</v>
      </c>
      <c r="AJ22" s="27" t="s">
        <v>559</v>
      </c>
      <c r="AK22" s="27" t="s">
        <v>3493</v>
      </c>
      <c r="AL22" s="27" t="s">
        <v>3494</v>
      </c>
    </row>
    <row r="23" spans="1:38">
      <c r="A23" s="27" t="s">
        <v>3495</v>
      </c>
      <c r="B23" s="27" t="s">
        <v>3496</v>
      </c>
      <c r="C23" s="27" t="s">
        <v>775</v>
      </c>
      <c r="D23" s="27" t="s">
        <v>3252</v>
      </c>
      <c r="E23" s="27" t="s">
        <v>638</v>
      </c>
      <c r="F23" s="28">
        <v>46015.343057465281</v>
      </c>
      <c r="G23" s="28">
        <v>46017.063949861113</v>
      </c>
      <c r="H23" s="28">
        <v>46036.127110520836</v>
      </c>
      <c r="I23" s="27" t="s">
        <v>3497</v>
      </c>
      <c r="J23" s="27" t="s">
        <v>3498</v>
      </c>
      <c r="K23" s="27" t="s">
        <v>3499</v>
      </c>
      <c r="L23" s="27" t="s">
        <v>3500</v>
      </c>
      <c r="M23" s="27" t="s">
        <v>716</v>
      </c>
      <c r="N23" s="27" t="s">
        <v>3501</v>
      </c>
      <c r="O23" s="27" t="s">
        <v>3256</v>
      </c>
      <c r="P23" s="27" t="s">
        <v>3257</v>
      </c>
      <c r="Q23" s="27" t="s">
        <v>3502</v>
      </c>
      <c r="R23" s="27" t="s">
        <v>116</v>
      </c>
      <c r="S23" s="27"/>
      <c r="T23" s="27"/>
      <c r="U23" s="27" t="s">
        <v>3503</v>
      </c>
      <c r="V23" s="28">
        <v>46017.093234837965</v>
      </c>
      <c r="W23" s="27" t="s">
        <v>716</v>
      </c>
      <c r="X23" s="27" t="s">
        <v>559</v>
      </c>
      <c r="Y23" s="27" t="s">
        <v>3504</v>
      </c>
      <c r="Z23" s="28">
        <v>46017.291103750002</v>
      </c>
      <c r="AA23" s="27" t="s">
        <v>775</v>
      </c>
      <c r="AB23" s="27" t="s">
        <v>559</v>
      </c>
      <c r="AC23" s="27" t="s">
        <v>2623</v>
      </c>
      <c r="AD23" s="28">
        <v>46027.129005972223</v>
      </c>
      <c r="AE23" s="27" t="s">
        <v>3261</v>
      </c>
      <c r="AF23" s="27" t="s">
        <v>559</v>
      </c>
      <c r="AG23" s="27" t="s">
        <v>3505</v>
      </c>
      <c r="AH23" s="28">
        <v>46036.127110532405</v>
      </c>
      <c r="AI23" s="27" t="s">
        <v>3506</v>
      </c>
      <c r="AJ23" s="27" t="s">
        <v>559</v>
      </c>
      <c r="AK23" s="27" t="s">
        <v>3507</v>
      </c>
      <c r="AL23" s="27" t="s">
        <v>3508</v>
      </c>
    </row>
    <row r="24" spans="1:38">
      <c r="A24" s="27" t="s">
        <v>3509</v>
      </c>
      <c r="B24" s="27" t="s">
        <v>3510</v>
      </c>
      <c r="C24" s="27" t="s">
        <v>3370</v>
      </c>
      <c r="D24" s="27" t="s">
        <v>3252</v>
      </c>
      <c r="E24" s="27" t="s">
        <v>638</v>
      </c>
      <c r="F24" s="28">
        <v>46019.588303356482</v>
      </c>
      <c r="G24" s="28">
        <v>46019.588921574075</v>
      </c>
      <c r="H24" s="28">
        <v>46043.045979444447</v>
      </c>
      <c r="I24" s="27" t="s">
        <v>3371</v>
      </c>
      <c r="J24" s="27" t="s">
        <v>3372</v>
      </c>
      <c r="K24" s="27">
        <v>3578</v>
      </c>
      <c r="L24" s="27" t="s">
        <v>3373</v>
      </c>
      <c r="M24" s="27" t="s">
        <v>3374</v>
      </c>
      <c r="N24" s="27" t="s">
        <v>3375</v>
      </c>
      <c r="O24" s="27" t="s">
        <v>3256</v>
      </c>
      <c r="P24" s="27" t="s">
        <v>3292</v>
      </c>
      <c r="Q24" s="27" t="s">
        <v>3511</v>
      </c>
      <c r="R24" s="27" t="s">
        <v>107</v>
      </c>
      <c r="S24" s="27"/>
      <c r="T24" s="27"/>
      <c r="U24" s="27" t="s">
        <v>1765</v>
      </c>
      <c r="V24" s="28">
        <v>46024.122436215279</v>
      </c>
      <c r="W24" s="27" t="s">
        <v>3378</v>
      </c>
      <c r="X24" s="27" t="s">
        <v>559</v>
      </c>
      <c r="Y24" s="27" t="s">
        <v>2303</v>
      </c>
      <c r="Z24" s="28">
        <v>46029.127243391202</v>
      </c>
      <c r="AA24" s="27" t="s">
        <v>2748</v>
      </c>
      <c r="AB24" s="27" t="s">
        <v>559</v>
      </c>
      <c r="AC24" s="27" t="s">
        <v>3512</v>
      </c>
      <c r="AD24" s="28">
        <v>46031.370311516206</v>
      </c>
      <c r="AE24" s="27" t="s">
        <v>3261</v>
      </c>
      <c r="AF24" s="27" t="s">
        <v>559</v>
      </c>
      <c r="AG24" s="27" t="s">
        <v>3513</v>
      </c>
      <c r="AH24" s="28">
        <v>46043.045979444447</v>
      </c>
      <c r="AI24" s="27" t="s">
        <v>3380</v>
      </c>
      <c r="AJ24" s="27" t="s">
        <v>559</v>
      </c>
      <c r="AK24" s="27" t="s">
        <v>3514</v>
      </c>
      <c r="AL24" s="27" t="s">
        <v>3382</v>
      </c>
    </row>
    <row r="25" spans="1:38">
      <c r="A25" s="27" t="s">
        <v>3515</v>
      </c>
      <c r="B25" s="27" t="s">
        <v>3516</v>
      </c>
      <c r="C25" s="27" t="s">
        <v>3370</v>
      </c>
      <c r="D25" s="27" t="s">
        <v>3252</v>
      </c>
      <c r="E25" s="27" t="s">
        <v>638</v>
      </c>
      <c r="F25" s="28">
        <v>46019.590001550925</v>
      </c>
      <c r="G25" s="28">
        <v>46019.590001550925</v>
      </c>
      <c r="H25" s="28">
        <v>46043.046719988422</v>
      </c>
      <c r="I25" s="27" t="s">
        <v>3371</v>
      </c>
      <c r="J25" s="27" t="s">
        <v>3372</v>
      </c>
      <c r="K25" s="27">
        <v>3578</v>
      </c>
      <c r="L25" s="27" t="s">
        <v>3373</v>
      </c>
      <c r="M25" s="27" t="s">
        <v>3374</v>
      </c>
      <c r="N25" s="27" t="s">
        <v>3375</v>
      </c>
      <c r="O25" s="27" t="s">
        <v>3256</v>
      </c>
      <c r="P25" s="27" t="s">
        <v>3257</v>
      </c>
      <c r="Q25" s="27" t="s">
        <v>3517</v>
      </c>
      <c r="R25" s="27" t="s">
        <v>116</v>
      </c>
      <c r="S25" s="27"/>
      <c r="T25" s="27"/>
      <c r="U25" s="27" t="s">
        <v>681</v>
      </c>
      <c r="V25" s="28">
        <v>46027.255640509262</v>
      </c>
      <c r="W25" s="27" t="s">
        <v>3378</v>
      </c>
      <c r="X25" s="27" t="s">
        <v>559</v>
      </c>
      <c r="Y25" s="27" t="s">
        <v>2303</v>
      </c>
      <c r="Z25" s="28">
        <v>46029.127769560182</v>
      </c>
      <c r="AA25" s="27" t="s">
        <v>2748</v>
      </c>
      <c r="AB25" s="27" t="s">
        <v>559</v>
      </c>
      <c r="AC25" s="27" t="s">
        <v>3518</v>
      </c>
      <c r="AD25" s="28">
        <v>46031.370162557869</v>
      </c>
      <c r="AE25" s="27" t="s">
        <v>3261</v>
      </c>
      <c r="AF25" s="27" t="s">
        <v>559</v>
      </c>
      <c r="AG25" s="27" t="s">
        <v>3519</v>
      </c>
      <c r="AH25" s="28">
        <v>46043.046719999998</v>
      </c>
      <c r="AI25" s="27" t="s">
        <v>3380</v>
      </c>
      <c r="AJ25" s="27" t="s">
        <v>559</v>
      </c>
      <c r="AK25" s="27" t="s">
        <v>3520</v>
      </c>
      <c r="AL25" s="27" t="s">
        <v>3382</v>
      </c>
    </row>
    <row r="26" spans="1:38">
      <c r="A26" s="27" t="s">
        <v>3521</v>
      </c>
      <c r="B26" s="27" t="s">
        <v>3522</v>
      </c>
      <c r="C26" s="27" t="s">
        <v>3458</v>
      </c>
      <c r="D26" s="27" t="s">
        <v>3252</v>
      </c>
      <c r="E26" s="27" t="s">
        <v>549</v>
      </c>
      <c r="F26" s="28">
        <v>46020.066615810189</v>
      </c>
      <c r="G26" s="28">
        <v>46020.066615810189</v>
      </c>
      <c r="H26" s="28">
        <v>46063.410666736112</v>
      </c>
      <c r="I26" s="27" t="s">
        <v>3371</v>
      </c>
      <c r="J26" s="27" t="s">
        <v>3372</v>
      </c>
      <c r="K26" s="27">
        <v>3578</v>
      </c>
      <c r="L26" s="27" t="s">
        <v>3373</v>
      </c>
      <c r="M26" s="27" t="s">
        <v>3523</v>
      </c>
      <c r="N26" s="27" t="s">
        <v>3375</v>
      </c>
      <c r="O26" s="27" t="s">
        <v>3256</v>
      </c>
      <c r="P26" s="27" t="s">
        <v>3344</v>
      </c>
      <c r="Q26" s="27" t="s">
        <v>3524</v>
      </c>
      <c r="R26" s="27" t="s">
        <v>116</v>
      </c>
      <c r="S26" s="27"/>
      <c r="T26" s="27"/>
      <c r="U26" s="27" t="s">
        <v>3525</v>
      </c>
      <c r="V26" s="28">
        <v>46020.09593891204</v>
      </c>
      <c r="W26" s="27" t="s">
        <v>3526</v>
      </c>
      <c r="X26" s="27" t="s">
        <v>559</v>
      </c>
      <c r="Y26" s="27" t="s">
        <v>2303</v>
      </c>
      <c r="Z26" s="28">
        <v>46029.129927141206</v>
      </c>
      <c r="AA26" s="27" t="s">
        <v>2748</v>
      </c>
      <c r="AB26" s="27" t="s">
        <v>559</v>
      </c>
      <c r="AC26" s="27" t="s">
        <v>3527</v>
      </c>
      <c r="AD26" s="28">
        <v>46031.368994872682</v>
      </c>
      <c r="AE26" s="27" t="s">
        <v>3261</v>
      </c>
      <c r="AF26" s="27" t="s">
        <v>559</v>
      </c>
      <c r="AG26" s="27"/>
      <c r="AH26" s="28">
        <v>46063.410666736112</v>
      </c>
      <c r="AI26" s="27" t="s">
        <v>3528</v>
      </c>
      <c r="AJ26" s="27" t="s">
        <v>549</v>
      </c>
      <c r="AK26" s="27" t="s">
        <v>3529</v>
      </c>
      <c r="AL26" s="27" t="s">
        <v>3382</v>
      </c>
    </row>
    <row r="27" spans="1:38">
      <c r="A27" s="27" t="s">
        <v>3530</v>
      </c>
      <c r="B27" s="27" t="s">
        <v>3531</v>
      </c>
      <c r="C27" s="27" t="s">
        <v>3458</v>
      </c>
      <c r="D27" s="27" t="s">
        <v>3252</v>
      </c>
      <c r="E27" s="27" t="s">
        <v>638</v>
      </c>
      <c r="F27" s="28">
        <v>46021.297245289352</v>
      </c>
      <c r="G27" s="28">
        <v>46021.297245289352</v>
      </c>
      <c r="H27" s="28">
        <v>46035.043927037033</v>
      </c>
      <c r="I27" s="27" t="s">
        <v>3371</v>
      </c>
      <c r="J27" s="27" t="s">
        <v>3372</v>
      </c>
      <c r="K27" s="27">
        <v>3578</v>
      </c>
      <c r="L27" s="27" t="s">
        <v>3373</v>
      </c>
      <c r="M27" s="27" t="s">
        <v>3523</v>
      </c>
      <c r="N27" s="27" t="s">
        <v>3375</v>
      </c>
      <c r="O27" s="27" t="s">
        <v>3256</v>
      </c>
      <c r="P27" s="27" t="s">
        <v>3344</v>
      </c>
      <c r="Q27" s="27" t="s">
        <v>3532</v>
      </c>
      <c r="R27" s="27" t="s">
        <v>116</v>
      </c>
      <c r="S27" s="27"/>
      <c r="T27" s="27"/>
      <c r="U27" s="27" t="s">
        <v>3533</v>
      </c>
      <c r="V27" s="28">
        <v>46021.317614976855</v>
      </c>
      <c r="W27" s="27" t="s">
        <v>3526</v>
      </c>
      <c r="X27" s="27" t="s">
        <v>559</v>
      </c>
      <c r="Y27" s="27" t="s">
        <v>2303</v>
      </c>
      <c r="Z27" s="28">
        <v>46029.132118194444</v>
      </c>
      <c r="AA27" s="27" t="s">
        <v>2748</v>
      </c>
      <c r="AB27" s="27" t="s">
        <v>559</v>
      </c>
      <c r="AC27" s="27" t="s">
        <v>3534</v>
      </c>
      <c r="AD27" s="28">
        <v>46031.367661284719</v>
      </c>
      <c r="AE27" s="27" t="s">
        <v>3261</v>
      </c>
      <c r="AF27" s="27" t="s">
        <v>559</v>
      </c>
      <c r="AG27" s="27" t="s">
        <v>3535</v>
      </c>
      <c r="AH27" s="28">
        <v>46035.043927048609</v>
      </c>
      <c r="AI27" s="27" t="s">
        <v>3401</v>
      </c>
      <c r="AJ27" s="27" t="s">
        <v>559</v>
      </c>
      <c r="AK27" s="27" t="s">
        <v>3536</v>
      </c>
      <c r="AL27" s="27" t="s">
        <v>3382</v>
      </c>
    </row>
    <row r="28" spans="1:38">
      <c r="A28" s="27" t="s">
        <v>3537</v>
      </c>
      <c r="B28" s="27" t="s">
        <v>3538</v>
      </c>
      <c r="C28" s="27" t="s">
        <v>3458</v>
      </c>
      <c r="D28" s="27" t="s">
        <v>3252</v>
      </c>
      <c r="E28" s="27" t="s">
        <v>668</v>
      </c>
      <c r="F28" s="28">
        <v>46027.109265254629</v>
      </c>
      <c r="G28" s="28">
        <v>46027.109265266205</v>
      </c>
      <c r="H28" s="28">
        <v>46027.109265254629</v>
      </c>
      <c r="I28" s="27" t="s">
        <v>3371</v>
      </c>
      <c r="J28" s="27" t="s">
        <v>3372</v>
      </c>
      <c r="K28" s="27">
        <v>3578</v>
      </c>
      <c r="L28" s="27" t="s">
        <v>3373</v>
      </c>
      <c r="M28" s="27" t="s">
        <v>3523</v>
      </c>
      <c r="N28" s="27" t="s">
        <v>3375</v>
      </c>
      <c r="O28" s="27" t="s">
        <v>3256</v>
      </c>
      <c r="P28" s="27" t="s">
        <v>3344</v>
      </c>
      <c r="Q28" s="27" t="s">
        <v>3539</v>
      </c>
      <c r="R28" s="27"/>
      <c r="S28" s="27"/>
      <c r="T28" s="27"/>
      <c r="U28" s="27"/>
      <c r="V28" s="28"/>
      <c r="W28" s="27" t="s">
        <v>3526</v>
      </c>
      <c r="X28" s="27"/>
      <c r="Y28" s="27"/>
      <c r="Z28" s="28"/>
      <c r="AA28" s="27" t="s">
        <v>3325</v>
      </c>
      <c r="AB28" s="27"/>
      <c r="AC28" s="27"/>
      <c r="AD28" s="28"/>
      <c r="AE28" s="27" t="s">
        <v>573</v>
      </c>
      <c r="AF28" s="27"/>
      <c r="AG28" s="27"/>
      <c r="AH28" s="28"/>
      <c r="AI28" s="27" t="s">
        <v>3295</v>
      </c>
      <c r="AJ28" s="27"/>
      <c r="AK28" s="27"/>
      <c r="AL28" s="27" t="s">
        <v>3382</v>
      </c>
    </row>
    <row r="29" spans="1:38">
      <c r="A29" s="27" t="s">
        <v>3540</v>
      </c>
      <c r="B29" s="27" t="s">
        <v>3541</v>
      </c>
      <c r="C29" s="27" t="s">
        <v>3138</v>
      </c>
      <c r="D29" s="27" t="s">
        <v>3252</v>
      </c>
      <c r="E29" s="27" t="s">
        <v>638</v>
      </c>
      <c r="F29" s="28">
        <v>46028.251716527775</v>
      </c>
      <c r="G29" s="28">
        <v>46030.584430277777</v>
      </c>
      <c r="H29" s="28">
        <v>46052.366578842593</v>
      </c>
      <c r="I29" s="27" t="s">
        <v>1619</v>
      </c>
      <c r="J29" s="27" t="s">
        <v>239</v>
      </c>
      <c r="K29" s="27" t="s">
        <v>3140</v>
      </c>
      <c r="L29" s="27" t="s">
        <v>240</v>
      </c>
      <c r="M29" s="27" t="s">
        <v>592</v>
      </c>
      <c r="N29" s="27" t="s">
        <v>3542</v>
      </c>
      <c r="O29" s="27" t="s">
        <v>3256</v>
      </c>
      <c r="P29" s="27" t="s">
        <v>3292</v>
      </c>
      <c r="Q29" s="27" t="s">
        <v>3543</v>
      </c>
      <c r="R29" s="27" t="s">
        <v>107</v>
      </c>
      <c r="S29" s="27"/>
      <c r="T29" s="27"/>
      <c r="U29" s="27" t="s">
        <v>3544</v>
      </c>
      <c r="V29" s="28">
        <v>46031.041326168983</v>
      </c>
      <c r="W29" s="27" t="s">
        <v>1735</v>
      </c>
      <c r="X29" s="27" t="s">
        <v>559</v>
      </c>
      <c r="Y29" s="27" t="s">
        <v>2303</v>
      </c>
      <c r="Z29" s="28">
        <v>46036.0871634375</v>
      </c>
      <c r="AA29" s="27" t="s">
        <v>2748</v>
      </c>
      <c r="AB29" s="27" t="s">
        <v>559</v>
      </c>
      <c r="AC29" s="27" t="s">
        <v>3545</v>
      </c>
      <c r="AD29" s="28">
        <v>46036.169004143521</v>
      </c>
      <c r="AE29" s="27" t="s">
        <v>3261</v>
      </c>
      <c r="AF29" s="27" t="s">
        <v>559</v>
      </c>
      <c r="AG29" s="27" t="s">
        <v>3546</v>
      </c>
      <c r="AH29" s="28">
        <v>46052.366578854169</v>
      </c>
      <c r="AI29" s="27" t="s">
        <v>3284</v>
      </c>
      <c r="AJ29" s="27" t="s">
        <v>559</v>
      </c>
      <c r="AK29" s="27" t="s">
        <v>3547</v>
      </c>
      <c r="AL29" s="27" t="s">
        <v>3548</v>
      </c>
    </row>
    <row r="30" spans="1:38">
      <c r="A30" s="27" t="s">
        <v>3549</v>
      </c>
      <c r="B30" s="27" t="s">
        <v>3550</v>
      </c>
      <c r="C30" s="27" t="s">
        <v>3370</v>
      </c>
      <c r="D30" s="27" t="s">
        <v>3252</v>
      </c>
      <c r="E30" s="27" t="s">
        <v>638</v>
      </c>
      <c r="F30" s="28">
        <v>46029.140984849539</v>
      </c>
      <c r="G30" s="28">
        <v>46029.140984849539</v>
      </c>
      <c r="H30" s="28">
        <v>46042.097286759257</v>
      </c>
      <c r="I30" s="27" t="s">
        <v>3551</v>
      </c>
      <c r="J30" s="27" t="s">
        <v>329</v>
      </c>
      <c r="K30" s="27">
        <v>4007</v>
      </c>
      <c r="L30" s="27" t="s">
        <v>330</v>
      </c>
      <c r="M30" s="27" t="s">
        <v>3374</v>
      </c>
      <c r="N30" s="27" t="s">
        <v>3552</v>
      </c>
      <c r="O30" s="27" t="s">
        <v>3256</v>
      </c>
      <c r="P30" s="27" t="s">
        <v>3344</v>
      </c>
      <c r="Q30" s="27" t="s">
        <v>3553</v>
      </c>
      <c r="R30" s="27" t="s">
        <v>116</v>
      </c>
      <c r="S30" s="27"/>
      <c r="T30" s="27"/>
      <c r="U30" s="27" t="s">
        <v>681</v>
      </c>
      <c r="V30" s="28">
        <v>46029.145506608795</v>
      </c>
      <c r="W30" s="27" t="s">
        <v>3378</v>
      </c>
      <c r="X30" s="27" t="s">
        <v>559</v>
      </c>
      <c r="Y30" s="27" t="s">
        <v>2303</v>
      </c>
      <c r="Z30" s="28">
        <v>46030.300084039351</v>
      </c>
      <c r="AA30" s="27" t="s">
        <v>2748</v>
      </c>
      <c r="AB30" s="27" t="s">
        <v>559</v>
      </c>
      <c r="AC30" s="27" t="s">
        <v>2623</v>
      </c>
      <c r="AD30" s="28">
        <v>46037.364669965275</v>
      </c>
      <c r="AE30" s="27" t="s">
        <v>3261</v>
      </c>
      <c r="AF30" s="27" t="s">
        <v>559</v>
      </c>
      <c r="AG30" s="27" t="s">
        <v>3303</v>
      </c>
      <c r="AH30" s="28">
        <v>46042.097286770833</v>
      </c>
      <c r="AI30" s="27" t="s">
        <v>1245</v>
      </c>
      <c r="AJ30" s="27" t="s">
        <v>559</v>
      </c>
      <c r="AK30" s="27" t="s">
        <v>3554</v>
      </c>
      <c r="AL30" s="27" t="s">
        <v>3555</v>
      </c>
    </row>
    <row r="31" spans="1:38">
      <c r="A31" s="27" t="s">
        <v>3556</v>
      </c>
      <c r="B31" s="27" t="s">
        <v>3557</v>
      </c>
      <c r="C31" s="27" t="s">
        <v>3370</v>
      </c>
      <c r="D31" s="27" t="s">
        <v>3252</v>
      </c>
      <c r="E31" s="27" t="s">
        <v>638</v>
      </c>
      <c r="F31" s="28">
        <v>46029.143836875002</v>
      </c>
      <c r="G31" s="28">
        <v>46029.143836875002</v>
      </c>
      <c r="H31" s="28">
        <v>46052.063834664354</v>
      </c>
      <c r="I31" s="27" t="s">
        <v>3551</v>
      </c>
      <c r="J31" s="27" t="s">
        <v>329</v>
      </c>
      <c r="K31" s="27">
        <v>4007</v>
      </c>
      <c r="L31" s="27" t="s">
        <v>330</v>
      </c>
      <c r="M31" s="27" t="s">
        <v>3374</v>
      </c>
      <c r="N31" s="27" t="s">
        <v>3552</v>
      </c>
      <c r="O31" s="27" t="s">
        <v>3256</v>
      </c>
      <c r="P31" s="27" t="s">
        <v>3257</v>
      </c>
      <c r="Q31" s="27" t="s">
        <v>3558</v>
      </c>
      <c r="R31" s="27" t="s">
        <v>107</v>
      </c>
      <c r="S31" s="27"/>
      <c r="T31" s="27"/>
      <c r="U31" s="27" t="s">
        <v>2597</v>
      </c>
      <c r="V31" s="28">
        <v>46029.1452078125</v>
      </c>
      <c r="W31" s="27" t="s">
        <v>3378</v>
      </c>
      <c r="X31" s="27" t="s">
        <v>559</v>
      </c>
      <c r="Y31" s="27" t="s">
        <v>2303</v>
      </c>
      <c r="Z31" s="28">
        <v>46030.300406539354</v>
      </c>
      <c r="AA31" s="27" t="s">
        <v>2748</v>
      </c>
      <c r="AB31" s="27" t="s">
        <v>559</v>
      </c>
      <c r="AC31" s="27" t="s">
        <v>2623</v>
      </c>
      <c r="AD31" s="28">
        <v>46038.310286863423</v>
      </c>
      <c r="AE31" s="27" t="s">
        <v>3261</v>
      </c>
      <c r="AF31" s="27" t="s">
        <v>559</v>
      </c>
      <c r="AG31" s="27" t="s">
        <v>3559</v>
      </c>
      <c r="AH31" s="28">
        <v>46052.063834675922</v>
      </c>
      <c r="AI31" s="27" t="s">
        <v>3401</v>
      </c>
      <c r="AJ31" s="27" t="s">
        <v>559</v>
      </c>
      <c r="AK31" s="27" t="s">
        <v>3560</v>
      </c>
      <c r="AL31" s="27" t="s">
        <v>3555</v>
      </c>
    </row>
    <row r="32" spans="1:38">
      <c r="A32" s="27" t="s">
        <v>3561</v>
      </c>
      <c r="B32" s="27" t="s">
        <v>3562</v>
      </c>
      <c r="C32" s="27" t="s">
        <v>3563</v>
      </c>
      <c r="D32" s="27" t="s">
        <v>3252</v>
      </c>
      <c r="E32" s="27" t="s">
        <v>638</v>
      </c>
      <c r="F32" s="28">
        <v>46029.167608518517</v>
      </c>
      <c r="G32" s="28">
        <v>46031.18630739583</v>
      </c>
      <c r="H32" s="28">
        <v>46042.148840937502</v>
      </c>
      <c r="I32" s="27" t="s">
        <v>3564</v>
      </c>
      <c r="J32" s="27" t="s">
        <v>3565</v>
      </c>
      <c r="K32" s="27" t="s">
        <v>3566</v>
      </c>
      <c r="L32" s="27" t="s">
        <v>3567</v>
      </c>
      <c r="M32" s="27" t="s">
        <v>3568</v>
      </c>
      <c r="N32" s="27" t="s">
        <v>659</v>
      </c>
      <c r="O32" s="27" t="s">
        <v>3256</v>
      </c>
      <c r="P32" s="27" t="s">
        <v>3257</v>
      </c>
      <c r="Q32" s="27" t="s">
        <v>3569</v>
      </c>
      <c r="R32" s="27" t="s">
        <v>116</v>
      </c>
      <c r="S32" s="27"/>
      <c r="T32" s="27"/>
      <c r="U32" s="27" t="s">
        <v>3570</v>
      </c>
      <c r="V32" s="28">
        <v>46031.188925162038</v>
      </c>
      <c r="W32" s="27" t="s">
        <v>3571</v>
      </c>
      <c r="X32" s="27" t="s">
        <v>559</v>
      </c>
      <c r="Y32" s="27" t="s">
        <v>2303</v>
      </c>
      <c r="Z32" s="28">
        <v>46036.088424618058</v>
      </c>
      <c r="AA32" s="27" t="s">
        <v>2748</v>
      </c>
      <c r="AB32" s="27" t="s">
        <v>559</v>
      </c>
      <c r="AC32" s="27" t="s">
        <v>3572</v>
      </c>
      <c r="AD32" s="28">
        <v>46037.360458668983</v>
      </c>
      <c r="AE32" s="27" t="s">
        <v>3261</v>
      </c>
      <c r="AF32" s="27" t="s">
        <v>559</v>
      </c>
      <c r="AG32" s="27" t="s">
        <v>3573</v>
      </c>
      <c r="AH32" s="28">
        <v>46042.148840937502</v>
      </c>
      <c r="AI32" s="27" t="s">
        <v>3304</v>
      </c>
      <c r="AJ32" s="27" t="s">
        <v>559</v>
      </c>
      <c r="AK32" s="27" t="s">
        <v>3574</v>
      </c>
      <c r="AL32" s="27" t="s">
        <v>3575</v>
      </c>
    </row>
    <row r="33" spans="1:38">
      <c r="A33" s="27" t="s">
        <v>3576</v>
      </c>
      <c r="B33" s="27" t="s">
        <v>3577</v>
      </c>
      <c r="C33" s="27" t="s">
        <v>1801</v>
      </c>
      <c r="D33" s="27" t="s">
        <v>3252</v>
      </c>
      <c r="E33" s="27" t="s">
        <v>638</v>
      </c>
      <c r="F33" s="28">
        <v>46030.094750671298</v>
      </c>
      <c r="G33" s="28">
        <v>46036.156789305554</v>
      </c>
      <c r="H33" s="28">
        <v>46052.347681412037</v>
      </c>
      <c r="I33" s="27" t="s">
        <v>1810</v>
      </c>
      <c r="J33" s="27" t="s">
        <v>1802</v>
      </c>
      <c r="K33" s="27">
        <v>1709</v>
      </c>
      <c r="L33" s="27" t="s">
        <v>1803</v>
      </c>
      <c r="M33" s="27" t="s">
        <v>1118</v>
      </c>
      <c r="N33" s="27" t="s">
        <v>1802</v>
      </c>
      <c r="O33" s="27" t="s">
        <v>3256</v>
      </c>
      <c r="P33" s="27" t="s">
        <v>3257</v>
      </c>
      <c r="Q33" s="27" t="s">
        <v>3578</v>
      </c>
      <c r="R33" s="27" t="s">
        <v>107</v>
      </c>
      <c r="S33" s="27"/>
      <c r="T33" s="27"/>
      <c r="U33" s="27" t="s">
        <v>559</v>
      </c>
      <c r="V33" s="28">
        <v>46036.158328310186</v>
      </c>
      <c r="W33" s="27" t="s">
        <v>1121</v>
      </c>
      <c r="X33" s="27" t="s">
        <v>559</v>
      </c>
      <c r="Y33" s="27" t="s">
        <v>2303</v>
      </c>
      <c r="Z33" s="28">
        <v>46038.157601828701</v>
      </c>
      <c r="AA33" s="27" t="s">
        <v>2748</v>
      </c>
      <c r="AB33" s="27" t="s">
        <v>559</v>
      </c>
      <c r="AC33" s="27" t="s">
        <v>3579</v>
      </c>
      <c r="AD33" s="28">
        <v>46042.148906481481</v>
      </c>
      <c r="AE33" s="27" t="s">
        <v>3261</v>
      </c>
      <c r="AF33" s="27" t="s">
        <v>559</v>
      </c>
      <c r="AG33" s="27" t="s">
        <v>3580</v>
      </c>
      <c r="AH33" s="28">
        <v>46052.347681423613</v>
      </c>
      <c r="AI33" s="27" t="s">
        <v>3506</v>
      </c>
      <c r="AJ33" s="27" t="s">
        <v>559</v>
      </c>
      <c r="AK33" s="27" t="s">
        <v>3581</v>
      </c>
      <c r="AL33" s="27" t="s">
        <v>3582</v>
      </c>
    </row>
    <row r="34" spans="1:38">
      <c r="A34" s="27" t="s">
        <v>3583</v>
      </c>
      <c r="B34" s="27" t="s">
        <v>3584</v>
      </c>
      <c r="C34" s="27" t="s">
        <v>3585</v>
      </c>
      <c r="D34" s="27" t="s">
        <v>3252</v>
      </c>
      <c r="E34" s="27" t="s">
        <v>638</v>
      </c>
      <c r="F34" s="28">
        <v>46030.348573506948</v>
      </c>
      <c r="G34" s="28">
        <v>46030.40290202546</v>
      </c>
      <c r="H34" s="28">
        <v>46059.111418321758</v>
      </c>
      <c r="I34" s="27" t="s">
        <v>3586</v>
      </c>
      <c r="J34" s="27" t="s">
        <v>360</v>
      </c>
      <c r="K34" s="27" t="s">
        <v>3587</v>
      </c>
      <c r="L34" s="27" t="s">
        <v>361</v>
      </c>
      <c r="M34" s="27" t="s">
        <v>2038</v>
      </c>
      <c r="N34" s="27" t="s">
        <v>659</v>
      </c>
      <c r="O34" s="27" t="s">
        <v>3256</v>
      </c>
      <c r="P34" s="27" t="s">
        <v>3257</v>
      </c>
      <c r="Q34" s="27" t="s">
        <v>3588</v>
      </c>
      <c r="R34" s="27" t="s">
        <v>125</v>
      </c>
      <c r="S34" s="27"/>
      <c r="T34" s="27"/>
      <c r="U34" s="27" t="s">
        <v>3589</v>
      </c>
      <c r="V34" s="28">
        <v>46030.409880694446</v>
      </c>
      <c r="W34" s="27" t="s">
        <v>2038</v>
      </c>
      <c r="X34" s="27" t="s">
        <v>559</v>
      </c>
      <c r="Y34" s="27" t="s">
        <v>2303</v>
      </c>
      <c r="Z34" s="28">
        <v>46031.083612164352</v>
      </c>
      <c r="AA34" s="27" t="s">
        <v>2748</v>
      </c>
      <c r="AB34" s="27" t="s">
        <v>559</v>
      </c>
      <c r="AC34" s="27" t="s">
        <v>3590</v>
      </c>
      <c r="AD34" s="28">
        <v>46042.158284884259</v>
      </c>
      <c r="AE34" s="27" t="s">
        <v>3261</v>
      </c>
      <c r="AF34" s="27" t="s">
        <v>559</v>
      </c>
      <c r="AG34" s="27" t="s">
        <v>649</v>
      </c>
      <c r="AH34" s="28">
        <v>46059.111418321758</v>
      </c>
      <c r="AI34" s="27" t="s">
        <v>1083</v>
      </c>
      <c r="AJ34" s="27" t="s">
        <v>559</v>
      </c>
      <c r="AK34" s="27" t="s">
        <v>3591</v>
      </c>
      <c r="AL34" s="27" t="s">
        <v>3592</v>
      </c>
    </row>
    <row r="35" spans="1:38">
      <c r="A35" s="27" t="s">
        <v>3593</v>
      </c>
      <c r="B35" s="27" t="s">
        <v>3594</v>
      </c>
      <c r="C35" s="27" t="s">
        <v>3585</v>
      </c>
      <c r="D35" s="27" t="s">
        <v>3252</v>
      </c>
      <c r="E35" s="27" t="s">
        <v>638</v>
      </c>
      <c r="F35" s="28">
        <v>46030.349644837966</v>
      </c>
      <c r="G35" s="28">
        <v>46030.401049178239</v>
      </c>
      <c r="H35" s="28">
        <v>46059.110937268517</v>
      </c>
      <c r="I35" s="27" t="s">
        <v>3595</v>
      </c>
      <c r="J35" s="27" t="s">
        <v>3596</v>
      </c>
      <c r="K35" s="27" t="s">
        <v>3597</v>
      </c>
      <c r="L35" s="27" t="s">
        <v>361</v>
      </c>
      <c r="M35" s="27" t="s">
        <v>2038</v>
      </c>
      <c r="N35" s="27" t="s">
        <v>659</v>
      </c>
      <c r="O35" s="27" t="s">
        <v>3256</v>
      </c>
      <c r="P35" s="27" t="s">
        <v>3257</v>
      </c>
      <c r="Q35" s="27" t="s">
        <v>3598</v>
      </c>
      <c r="R35" s="27" t="s">
        <v>125</v>
      </c>
      <c r="S35" s="27"/>
      <c r="T35" s="27"/>
      <c r="U35" s="27" t="s">
        <v>3589</v>
      </c>
      <c r="V35" s="28">
        <v>46030.402824247685</v>
      </c>
      <c r="W35" s="27" t="s">
        <v>2038</v>
      </c>
      <c r="X35" s="27" t="s">
        <v>559</v>
      </c>
      <c r="Y35" s="27" t="s">
        <v>681</v>
      </c>
      <c r="Z35" s="28">
        <v>46035.117824814814</v>
      </c>
      <c r="AA35" s="27" t="s">
        <v>3599</v>
      </c>
      <c r="AB35" s="27" t="s">
        <v>559</v>
      </c>
      <c r="AC35" s="27" t="s">
        <v>3600</v>
      </c>
      <c r="AD35" s="28">
        <v>46036.351393842589</v>
      </c>
      <c r="AE35" s="27" t="s">
        <v>3261</v>
      </c>
      <c r="AF35" s="27" t="s">
        <v>559</v>
      </c>
      <c r="AG35" s="27" t="s">
        <v>649</v>
      </c>
      <c r="AH35" s="28">
        <v>46059.110937268517</v>
      </c>
      <c r="AI35" s="27" t="s">
        <v>1083</v>
      </c>
      <c r="AJ35" s="27" t="s">
        <v>559</v>
      </c>
      <c r="AK35" s="27" t="s">
        <v>3601</v>
      </c>
      <c r="AL35" s="27" t="s">
        <v>3602</v>
      </c>
    </row>
    <row r="36" spans="1:38">
      <c r="A36" s="27" t="s">
        <v>3603</v>
      </c>
      <c r="B36" s="27" t="s">
        <v>3604</v>
      </c>
      <c r="C36" s="27" t="s">
        <v>3605</v>
      </c>
      <c r="D36" s="27" t="s">
        <v>3252</v>
      </c>
      <c r="E36" s="27" t="s">
        <v>638</v>
      </c>
      <c r="F36" s="28">
        <v>46030.382989618054</v>
      </c>
      <c r="G36" s="28">
        <v>46030.392926469911</v>
      </c>
      <c r="H36" s="28">
        <v>46064.143211388888</v>
      </c>
      <c r="I36" s="27" t="s">
        <v>3606</v>
      </c>
      <c r="J36" s="27" t="s">
        <v>3607</v>
      </c>
      <c r="K36" s="27" t="s">
        <v>3608</v>
      </c>
      <c r="L36" s="27" t="s">
        <v>3607</v>
      </c>
      <c r="M36" s="27" t="s">
        <v>3609</v>
      </c>
      <c r="N36" s="27" t="s">
        <v>3610</v>
      </c>
      <c r="O36" s="27" t="s">
        <v>3256</v>
      </c>
      <c r="P36" s="27" t="s">
        <v>3344</v>
      </c>
      <c r="Q36" s="27" t="s">
        <v>3611</v>
      </c>
      <c r="R36" s="27" t="s">
        <v>125</v>
      </c>
      <c r="S36" s="27"/>
      <c r="T36" s="27"/>
      <c r="U36" s="27" t="s">
        <v>3612</v>
      </c>
      <c r="V36" s="28">
        <v>46030.395041145835</v>
      </c>
      <c r="W36" s="27" t="s">
        <v>3605</v>
      </c>
      <c r="X36" s="27" t="s">
        <v>559</v>
      </c>
      <c r="Y36" s="27" t="s">
        <v>681</v>
      </c>
      <c r="Z36" s="28">
        <v>46035.115555659722</v>
      </c>
      <c r="AA36" s="27" t="s">
        <v>3599</v>
      </c>
      <c r="AB36" s="27" t="s">
        <v>559</v>
      </c>
      <c r="AC36" s="27" t="s">
        <v>3613</v>
      </c>
      <c r="AD36" s="28">
        <v>46037.358829675926</v>
      </c>
      <c r="AE36" s="27" t="s">
        <v>3261</v>
      </c>
      <c r="AF36" s="27" t="s">
        <v>559</v>
      </c>
      <c r="AG36" s="27" t="s">
        <v>3614</v>
      </c>
      <c r="AH36" s="28">
        <v>46064.143211400464</v>
      </c>
      <c r="AI36" s="27" t="s">
        <v>3506</v>
      </c>
      <c r="AJ36" s="27" t="s">
        <v>559</v>
      </c>
      <c r="AK36" s="27" t="s">
        <v>3615</v>
      </c>
      <c r="AL36" s="27" t="s">
        <v>3616</v>
      </c>
    </row>
    <row r="37" spans="1:38">
      <c r="A37" s="27" t="s">
        <v>3617</v>
      </c>
      <c r="B37" s="27" t="s">
        <v>3618</v>
      </c>
      <c r="C37" s="27" t="s">
        <v>1908</v>
      </c>
      <c r="D37" s="27" t="s">
        <v>3252</v>
      </c>
      <c r="E37" s="27" t="s">
        <v>638</v>
      </c>
      <c r="F37" s="28">
        <v>46030.402267175923</v>
      </c>
      <c r="G37" s="28">
        <v>46030.402267175923</v>
      </c>
      <c r="H37" s="28">
        <v>46058.263396527778</v>
      </c>
      <c r="I37" s="27" t="s">
        <v>3619</v>
      </c>
      <c r="J37" s="27" t="s">
        <v>3620</v>
      </c>
      <c r="K37" s="27" t="s">
        <v>3621</v>
      </c>
      <c r="L37" s="27" t="s">
        <v>3622</v>
      </c>
      <c r="M37" s="27" t="s">
        <v>716</v>
      </c>
      <c r="N37" s="27" t="s">
        <v>3623</v>
      </c>
      <c r="O37" s="27" t="s">
        <v>3256</v>
      </c>
      <c r="P37" s="27" t="s">
        <v>3257</v>
      </c>
      <c r="Q37" s="27" t="s">
        <v>3624</v>
      </c>
      <c r="R37" s="27" t="s">
        <v>107</v>
      </c>
      <c r="S37" s="27"/>
      <c r="T37" s="27"/>
      <c r="U37" s="27" t="s">
        <v>3625</v>
      </c>
      <c r="V37" s="28">
        <v>46031.06285894676</v>
      </c>
      <c r="W37" s="27" t="s">
        <v>716</v>
      </c>
      <c r="X37" s="27" t="s">
        <v>559</v>
      </c>
      <c r="Y37" s="27" t="s">
        <v>2303</v>
      </c>
      <c r="Z37" s="28">
        <v>46031.081230509262</v>
      </c>
      <c r="AA37" s="27" t="s">
        <v>2748</v>
      </c>
      <c r="AB37" s="27" t="s">
        <v>559</v>
      </c>
      <c r="AC37" s="27" t="s">
        <v>3626</v>
      </c>
      <c r="AD37" s="28">
        <v>46031.08342653935</v>
      </c>
      <c r="AE37" s="27" t="s">
        <v>3261</v>
      </c>
      <c r="AF37" s="27" t="s">
        <v>559</v>
      </c>
      <c r="AG37" s="27" t="s">
        <v>3627</v>
      </c>
      <c r="AH37" s="28">
        <v>46058.263396550923</v>
      </c>
      <c r="AI37" s="27" t="s">
        <v>716</v>
      </c>
      <c r="AJ37" s="27" t="s">
        <v>559</v>
      </c>
      <c r="AK37" s="27" t="s">
        <v>3628</v>
      </c>
      <c r="AL37" s="27" t="s">
        <v>3629</v>
      </c>
    </row>
    <row r="38" spans="1:38">
      <c r="A38" s="27" t="s">
        <v>3630</v>
      </c>
      <c r="B38" s="27" t="s">
        <v>3631</v>
      </c>
      <c r="C38" s="27" t="s">
        <v>1908</v>
      </c>
      <c r="D38" s="27" t="s">
        <v>3252</v>
      </c>
      <c r="E38" s="27" t="s">
        <v>638</v>
      </c>
      <c r="F38" s="28">
        <v>46030.403181620371</v>
      </c>
      <c r="G38" s="28">
        <v>46030.403181620371</v>
      </c>
      <c r="H38" s="28">
        <v>46058.264019050926</v>
      </c>
      <c r="I38" s="27" t="s">
        <v>3619</v>
      </c>
      <c r="J38" s="27" t="s">
        <v>3620</v>
      </c>
      <c r="K38" s="27" t="s">
        <v>3621</v>
      </c>
      <c r="L38" s="27" t="s">
        <v>3622</v>
      </c>
      <c r="M38" s="27" t="s">
        <v>716</v>
      </c>
      <c r="N38" s="27" t="s">
        <v>3623</v>
      </c>
      <c r="O38" s="27" t="s">
        <v>3256</v>
      </c>
      <c r="P38" s="27" t="s">
        <v>3292</v>
      </c>
      <c r="Q38" s="27" t="s">
        <v>3624</v>
      </c>
      <c r="R38" s="27" t="s">
        <v>107</v>
      </c>
      <c r="S38" s="27"/>
      <c r="T38" s="27"/>
      <c r="U38" s="27" t="s">
        <v>3625</v>
      </c>
      <c r="V38" s="28">
        <v>46031.063656631944</v>
      </c>
      <c r="W38" s="27" t="s">
        <v>716</v>
      </c>
      <c r="X38" s="27" t="s">
        <v>559</v>
      </c>
      <c r="Y38" s="27" t="s">
        <v>2303</v>
      </c>
      <c r="Z38" s="28">
        <v>46031.083302905092</v>
      </c>
      <c r="AA38" s="27" t="s">
        <v>2748</v>
      </c>
      <c r="AB38" s="27" t="s">
        <v>559</v>
      </c>
      <c r="AC38" s="27" t="s">
        <v>3626</v>
      </c>
      <c r="AD38" s="28">
        <v>46031.083865416666</v>
      </c>
      <c r="AE38" s="27" t="s">
        <v>3261</v>
      </c>
      <c r="AF38" s="27" t="s">
        <v>559</v>
      </c>
      <c r="AG38" s="27" t="s">
        <v>3627</v>
      </c>
      <c r="AH38" s="28">
        <v>46058.264019062502</v>
      </c>
      <c r="AI38" s="27" t="s">
        <v>716</v>
      </c>
      <c r="AJ38" s="27" t="s">
        <v>559</v>
      </c>
      <c r="AK38" s="27" t="s">
        <v>3632</v>
      </c>
      <c r="AL38" s="27" t="s">
        <v>3629</v>
      </c>
    </row>
    <row r="39" spans="1:38">
      <c r="A39" s="27" t="s">
        <v>3633</v>
      </c>
      <c r="B39" s="27" t="s">
        <v>3634</v>
      </c>
      <c r="C39" s="27" t="s">
        <v>3635</v>
      </c>
      <c r="D39" s="27" t="s">
        <v>3252</v>
      </c>
      <c r="E39" s="27" t="s">
        <v>549</v>
      </c>
      <c r="F39" s="28">
        <v>46031.371606666668</v>
      </c>
      <c r="G39" s="28">
        <v>46036.140256620369</v>
      </c>
      <c r="H39" s="28">
        <v>46044.070796597225</v>
      </c>
      <c r="I39" s="27" t="s">
        <v>3636</v>
      </c>
      <c r="J39" s="27" t="s">
        <v>3637</v>
      </c>
      <c r="K39" s="27" t="s">
        <v>3638</v>
      </c>
      <c r="L39" s="27" t="s">
        <v>3639</v>
      </c>
      <c r="M39" s="27" t="s">
        <v>3640</v>
      </c>
      <c r="N39" s="27" t="s">
        <v>3641</v>
      </c>
      <c r="O39" s="27" t="s">
        <v>3322</v>
      </c>
      <c r="P39" s="27" t="s">
        <v>3292</v>
      </c>
      <c r="Q39" s="27" t="s">
        <v>3642</v>
      </c>
      <c r="R39" s="27"/>
      <c r="S39" s="27"/>
      <c r="T39" s="27"/>
      <c r="U39" s="27" t="s">
        <v>3643</v>
      </c>
      <c r="V39" s="28">
        <v>46036.260428784721</v>
      </c>
      <c r="W39" s="27" t="s">
        <v>1366</v>
      </c>
      <c r="X39" s="27" t="s">
        <v>559</v>
      </c>
      <c r="Y39" s="27" t="s">
        <v>3644</v>
      </c>
      <c r="Z39" s="28">
        <v>46044.070796597225</v>
      </c>
      <c r="AA39" s="27" t="s">
        <v>2748</v>
      </c>
      <c r="AB39" s="27" t="s">
        <v>549</v>
      </c>
      <c r="AC39" s="27"/>
      <c r="AD39" s="28"/>
      <c r="AE39" s="27" t="s">
        <v>573</v>
      </c>
      <c r="AF39" s="27"/>
      <c r="AG39" s="27"/>
      <c r="AH39" s="28"/>
      <c r="AI39" s="27" t="s">
        <v>3295</v>
      </c>
      <c r="AJ39" s="27"/>
      <c r="AK39" s="27"/>
      <c r="AL39" s="27" t="s">
        <v>3645</v>
      </c>
    </row>
    <row r="40" spans="1:38">
      <c r="A40" s="27" t="s">
        <v>3646</v>
      </c>
      <c r="B40" s="27" t="s">
        <v>3647</v>
      </c>
      <c r="C40" s="27" t="s">
        <v>609</v>
      </c>
      <c r="D40" s="27" t="s">
        <v>3252</v>
      </c>
      <c r="E40" s="27" t="s">
        <v>638</v>
      </c>
      <c r="F40" s="28">
        <v>46034.075134583334</v>
      </c>
      <c r="G40" s="28">
        <v>46034.075134583334</v>
      </c>
      <c r="H40" s="28">
        <v>46036.183830590278</v>
      </c>
      <c r="I40" s="27" t="s">
        <v>2741</v>
      </c>
      <c r="J40" s="27" t="s">
        <v>164</v>
      </c>
      <c r="K40" s="27" t="s">
        <v>3648</v>
      </c>
      <c r="L40" s="27" t="s">
        <v>3649</v>
      </c>
      <c r="M40" s="27" t="s">
        <v>716</v>
      </c>
      <c r="N40" s="27" t="s">
        <v>3649</v>
      </c>
      <c r="O40" s="27" t="s">
        <v>3256</v>
      </c>
      <c r="P40" s="27" t="s">
        <v>3257</v>
      </c>
      <c r="Q40" s="27" t="s">
        <v>3650</v>
      </c>
      <c r="R40" s="27" t="s">
        <v>116</v>
      </c>
      <c r="S40" s="27"/>
      <c r="T40" s="27"/>
      <c r="U40" s="27" t="s">
        <v>3651</v>
      </c>
      <c r="V40" s="28">
        <v>46034.076343206019</v>
      </c>
      <c r="W40" s="27" t="s">
        <v>716</v>
      </c>
      <c r="X40" s="27" t="s">
        <v>559</v>
      </c>
      <c r="Y40" s="27" t="s">
        <v>559</v>
      </c>
      <c r="Z40" s="28">
        <v>46034.093785370373</v>
      </c>
      <c r="AA40" s="27" t="s">
        <v>3599</v>
      </c>
      <c r="AB40" s="27" t="s">
        <v>559</v>
      </c>
      <c r="AC40" s="27" t="s">
        <v>3652</v>
      </c>
      <c r="AD40" s="28">
        <v>46034.097761157405</v>
      </c>
      <c r="AE40" s="27" t="s">
        <v>609</v>
      </c>
      <c r="AF40" s="27" t="s">
        <v>559</v>
      </c>
      <c r="AG40" s="27" t="s">
        <v>649</v>
      </c>
      <c r="AH40" s="28">
        <v>46036.183830601854</v>
      </c>
      <c r="AI40" s="27" t="s">
        <v>3653</v>
      </c>
      <c r="AJ40" s="27" t="s">
        <v>559</v>
      </c>
      <c r="AK40" s="27" t="s">
        <v>3654</v>
      </c>
      <c r="AL40" s="27" t="s">
        <v>3655</v>
      </c>
    </row>
    <row r="41" spans="1:38">
      <c r="A41" s="27" t="s">
        <v>3656</v>
      </c>
      <c r="B41" s="27" t="s">
        <v>3657</v>
      </c>
      <c r="C41" s="27" t="s">
        <v>1558</v>
      </c>
      <c r="D41" s="27" t="s">
        <v>3252</v>
      </c>
      <c r="E41" s="27" t="s">
        <v>638</v>
      </c>
      <c r="F41" s="28">
        <v>46034.180042164349</v>
      </c>
      <c r="G41" s="28">
        <v>46034.180042164349</v>
      </c>
      <c r="H41" s="28">
        <v>46064.171301736111</v>
      </c>
      <c r="I41" s="27" t="s">
        <v>1567</v>
      </c>
      <c r="J41" s="27" t="s">
        <v>1559</v>
      </c>
      <c r="K41" s="27">
        <v>1116</v>
      </c>
      <c r="L41" s="27" t="s">
        <v>1560</v>
      </c>
      <c r="M41" s="27" t="s">
        <v>1947</v>
      </c>
      <c r="N41" s="27" t="s">
        <v>3658</v>
      </c>
      <c r="O41" s="27" t="s">
        <v>3256</v>
      </c>
      <c r="P41" s="27" t="s">
        <v>3257</v>
      </c>
      <c r="Q41" s="27" t="s">
        <v>3659</v>
      </c>
      <c r="R41" s="27" t="s">
        <v>116</v>
      </c>
      <c r="S41" s="27"/>
      <c r="T41" s="27"/>
      <c r="U41" s="27" t="s">
        <v>3660</v>
      </c>
      <c r="V41" s="28">
        <v>46035.096823715277</v>
      </c>
      <c r="W41" s="27" t="s">
        <v>1078</v>
      </c>
      <c r="X41" s="27" t="s">
        <v>559</v>
      </c>
      <c r="Y41" s="27" t="s">
        <v>2303</v>
      </c>
      <c r="Z41" s="28">
        <v>46036.094710972226</v>
      </c>
      <c r="AA41" s="27" t="s">
        <v>2748</v>
      </c>
      <c r="AB41" s="27" t="s">
        <v>559</v>
      </c>
      <c r="AC41" s="27" t="s">
        <v>3661</v>
      </c>
      <c r="AD41" s="28">
        <v>46036.129204594909</v>
      </c>
      <c r="AE41" s="27" t="s">
        <v>3261</v>
      </c>
      <c r="AF41" s="27" t="s">
        <v>559</v>
      </c>
      <c r="AG41" s="27" t="s">
        <v>638</v>
      </c>
      <c r="AH41" s="28">
        <v>46064.171301747687</v>
      </c>
      <c r="AI41" s="27" t="s">
        <v>3662</v>
      </c>
      <c r="AJ41" s="27" t="s">
        <v>559</v>
      </c>
      <c r="AK41" s="27" t="s">
        <v>3663</v>
      </c>
      <c r="AL41" s="27" t="s">
        <v>3664</v>
      </c>
    </row>
    <row r="42" spans="1:38">
      <c r="A42" s="27" t="s">
        <v>3665</v>
      </c>
      <c r="B42" s="27" t="s">
        <v>3666</v>
      </c>
      <c r="C42" s="27" t="s">
        <v>2061</v>
      </c>
      <c r="D42" s="27" t="s">
        <v>3252</v>
      </c>
      <c r="E42" s="27" t="s">
        <v>638</v>
      </c>
      <c r="F42" s="28">
        <v>46035.317188009256</v>
      </c>
      <c r="G42" s="28">
        <v>46038.207924814815</v>
      </c>
      <c r="H42" s="28">
        <v>46064.286271944446</v>
      </c>
      <c r="I42" s="27" t="s">
        <v>2070</v>
      </c>
      <c r="J42" s="27" t="s">
        <v>2062</v>
      </c>
      <c r="K42" s="27">
        <v>2902</v>
      </c>
      <c r="L42" s="27" t="s">
        <v>2063</v>
      </c>
      <c r="M42" s="27" t="s">
        <v>2064</v>
      </c>
      <c r="N42" s="27" t="s">
        <v>3667</v>
      </c>
      <c r="O42" s="27" t="s">
        <v>3256</v>
      </c>
      <c r="P42" s="27" t="s">
        <v>3257</v>
      </c>
      <c r="Q42" s="27" t="s">
        <v>3668</v>
      </c>
      <c r="R42" s="27" t="s">
        <v>107</v>
      </c>
      <c r="S42" s="27"/>
      <c r="T42" s="27"/>
      <c r="U42" s="27" t="s">
        <v>3669</v>
      </c>
      <c r="V42" s="28">
        <v>46043.17292675926</v>
      </c>
      <c r="W42" s="27" t="s">
        <v>2067</v>
      </c>
      <c r="X42" s="27" t="s">
        <v>559</v>
      </c>
      <c r="Y42" s="27" t="s">
        <v>2303</v>
      </c>
      <c r="Z42" s="28">
        <v>46044.074134953706</v>
      </c>
      <c r="AA42" s="27" t="s">
        <v>2748</v>
      </c>
      <c r="AB42" s="27" t="s">
        <v>559</v>
      </c>
      <c r="AC42" s="27" t="s">
        <v>2623</v>
      </c>
      <c r="AD42" s="28">
        <v>46057.865252916665</v>
      </c>
      <c r="AE42" s="27" t="s">
        <v>3261</v>
      </c>
      <c r="AF42" s="27" t="s">
        <v>559</v>
      </c>
      <c r="AG42" s="27" t="s">
        <v>3670</v>
      </c>
      <c r="AH42" s="28">
        <v>46064.286271956022</v>
      </c>
      <c r="AI42" s="27" t="s">
        <v>775</v>
      </c>
      <c r="AJ42" s="27" t="s">
        <v>559</v>
      </c>
      <c r="AK42" s="27" t="s">
        <v>3671</v>
      </c>
      <c r="AL42" s="27" t="s">
        <v>3672</v>
      </c>
    </row>
    <row r="43" spans="1:38">
      <c r="A43" s="27" t="s">
        <v>3673</v>
      </c>
      <c r="B43" s="27" t="s">
        <v>3674</v>
      </c>
      <c r="C43" s="27" t="s">
        <v>2061</v>
      </c>
      <c r="D43" s="27" t="s">
        <v>3252</v>
      </c>
      <c r="E43" s="27" t="s">
        <v>638</v>
      </c>
      <c r="F43" s="28">
        <v>46035.325043784724</v>
      </c>
      <c r="G43" s="28">
        <v>46038.227984537036</v>
      </c>
      <c r="H43" s="28">
        <v>46062.270887916668</v>
      </c>
      <c r="I43" s="27" t="s">
        <v>2070</v>
      </c>
      <c r="J43" s="27" t="s">
        <v>2062</v>
      </c>
      <c r="K43" s="27">
        <v>2902</v>
      </c>
      <c r="L43" s="27" t="s">
        <v>2063</v>
      </c>
      <c r="M43" s="27" t="s">
        <v>2064</v>
      </c>
      <c r="N43" s="27" t="s">
        <v>3667</v>
      </c>
      <c r="O43" s="27" t="s">
        <v>3322</v>
      </c>
      <c r="P43" s="27" t="s">
        <v>3344</v>
      </c>
      <c r="Q43" s="27" t="s">
        <v>3675</v>
      </c>
      <c r="R43" s="27" t="s">
        <v>125</v>
      </c>
      <c r="S43" s="27"/>
      <c r="T43" s="27"/>
      <c r="U43" s="27" t="s">
        <v>3676</v>
      </c>
      <c r="V43" s="28">
        <v>46038.355093391205</v>
      </c>
      <c r="W43" s="27" t="s">
        <v>2067</v>
      </c>
      <c r="X43" s="27" t="s">
        <v>559</v>
      </c>
      <c r="Y43" s="27" t="s">
        <v>2303</v>
      </c>
      <c r="Z43" s="28">
        <v>46044.074913622688</v>
      </c>
      <c r="AA43" s="27" t="s">
        <v>2748</v>
      </c>
      <c r="AB43" s="27" t="s">
        <v>559</v>
      </c>
      <c r="AC43" s="27" t="s">
        <v>3427</v>
      </c>
      <c r="AD43" s="28">
        <v>46051.255481157408</v>
      </c>
      <c r="AE43" s="27" t="s">
        <v>3261</v>
      </c>
      <c r="AF43" s="27" t="s">
        <v>559</v>
      </c>
      <c r="AG43" s="27" t="s">
        <v>3677</v>
      </c>
      <c r="AH43" s="28">
        <v>46062.270887928244</v>
      </c>
      <c r="AI43" s="27" t="s">
        <v>3429</v>
      </c>
      <c r="AJ43" s="27" t="s">
        <v>559</v>
      </c>
      <c r="AK43" s="27" t="s">
        <v>3678</v>
      </c>
      <c r="AL43" s="27" t="s">
        <v>3672</v>
      </c>
    </row>
    <row r="44" spans="1:38">
      <c r="A44" s="27" t="s">
        <v>3679</v>
      </c>
      <c r="B44" s="27" t="s">
        <v>3680</v>
      </c>
      <c r="C44" s="27" t="s">
        <v>3405</v>
      </c>
      <c r="D44" s="27" t="s">
        <v>3252</v>
      </c>
      <c r="E44" s="27" t="s">
        <v>638</v>
      </c>
      <c r="F44" s="28">
        <v>46035.40910582176</v>
      </c>
      <c r="G44" s="28">
        <v>46050.335676249997</v>
      </c>
      <c r="H44" s="28">
        <v>46064.287192326388</v>
      </c>
      <c r="I44" s="27" t="s">
        <v>3406</v>
      </c>
      <c r="J44" s="27" t="s">
        <v>3407</v>
      </c>
      <c r="K44" s="27">
        <v>1687</v>
      </c>
      <c r="L44" s="27" t="s">
        <v>3408</v>
      </c>
      <c r="M44" s="27" t="s">
        <v>3409</v>
      </c>
      <c r="N44" s="27" t="s">
        <v>3410</v>
      </c>
      <c r="O44" s="27" t="s">
        <v>3322</v>
      </c>
      <c r="P44" s="27" t="s">
        <v>3257</v>
      </c>
      <c r="Q44" s="27" t="s">
        <v>3681</v>
      </c>
      <c r="R44" s="27" t="s">
        <v>107</v>
      </c>
      <c r="S44" s="27" t="s">
        <v>3682</v>
      </c>
      <c r="T44" s="27"/>
      <c r="U44" s="27" t="s">
        <v>3683</v>
      </c>
      <c r="V44" s="28">
        <v>46050.996731956016</v>
      </c>
      <c r="W44" s="27" t="s">
        <v>3413</v>
      </c>
      <c r="X44" s="27" t="s">
        <v>559</v>
      </c>
      <c r="Y44" s="27" t="s">
        <v>2303</v>
      </c>
      <c r="Z44" s="28">
        <v>46051.138832986115</v>
      </c>
      <c r="AA44" s="27" t="s">
        <v>2748</v>
      </c>
      <c r="AB44" s="27" t="s">
        <v>559</v>
      </c>
      <c r="AC44" s="27" t="s">
        <v>3684</v>
      </c>
      <c r="AD44" s="28">
        <v>46057.863137430555</v>
      </c>
      <c r="AE44" s="27" t="s">
        <v>3261</v>
      </c>
      <c r="AF44" s="27" t="s">
        <v>559</v>
      </c>
      <c r="AG44" s="27" t="s">
        <v>3685</v>
      </c>
      <c r="AH44" s="28">
        <v>46064.287192337964</v>
      </c>
      <c r="AI44" s="27" t="s">
        <v>775</v>
      </c>
      <c r="AJ44" s="27" t="s">
        <v>559</v>
      </c>
      <c r="AK44" s="27" t="s">
        <v>3686</v>
      </c>
      <c r="AL44" s="27" t="s">
        <v>3417</v>
      </c>
    </row>
    <row r="45" spans="1:38">
      <c r="A45" s="27" t="s">
        <v>3687</v>
      </c>
      <c r="B45" s="27" t="s">
        <v>3688</v>
      </c>
      <c r="C45" s="27" t="s">
        <v>3689</v>
      </c>
      <c r="D45" s="27" t="s">
        <v>3252</v>
      </c>
      <c r="E45" s="27" t="s">
        <v>549</v>
      </c>
      <c r="F45" s="28">
        <v>46043.341703472222</v>
      </c>
      <c r="G45" s="28">
        <v>46043.341703472222</v>
      </c>
      <c r="H45" s="28">
        <v>46050.127260590278</v>
      </c>
      <c r="I45" s="27" t="s">
        <v>3690</v>
      </c>
      <c r="J45" s="27" t="s">
        <v>3691</v>
      </c>
      <c r="K45" s="27" t="s">
        <v>3692</v>
      </c>
      <c r="L45" s="27" t="s">
        <v>3693</v>
      </c>
      <c r="M45" s="27" t="s">
        <v>3694</v>
      </c>
      <c r="N45" s="27" t="s">
        <v>3695</v>
      </c>
      <c r="O45" s="27" t="s">
        <v>3256</v>
      </c>
      <c r="P45" s="27" t="s">
        <v>3292</v>
      </c>
      <c r="Q45" s="27" t="s">
        <v>3696</v>
      </c>
      <c r="R45" s="27"/>
      <c r="S45" s="27"/>
      <c r="T45" s="27"/>
      <c r="U45" s="27" t="s">
        <v>3697</v>
      </c>
      <c r="V45" s="28">
        <v>46043.344392523148</v>
      </c>
      <c r="W45" s="27" t="s">
        <v>3698</v>
      </c>
      <c r="X45" s="27" t="s">
        <v>559</v>
      </c>
      <c r="Y45" s="27" t="s">
        <v>3699</v>
      </c>
      <c r="Z45" s="28">
        <v>46050.127260590278</v>
      </c>
      <c r="AA45" s="27" t="s">
        <v>3599</v>
      </c>
      <c r="AB45" s="27" t="s">
        <v>549</v>
      </c>
      <c r="AC45" s="27"/>
      <c r="AD45" s="28"/>
      <c r="AE45" s="27" t="s">
        <v>573</v>
      </c>
      <c r="AF45" s="27"/>
      <c r="AG45" s="27"/>
      <c r="AH45" s="28"/>
      <c r="AI45" s="27" t="s">
        <v>3295</v>
      </c>
      <c r="AJ45" s="27"/>
      <c r="AK45" s="27"/>
      <c r="AL45" s="27" t="s">
        <v>3700</v>
      </c>
    </row>
    <row r="46" spans="1:38">
      <c r="A46" s="27" t="s">
        <v>3701</v>
      </c>
      <c r="B46" s="27" t="s">
        <v>3702</v>
      </c>
      <c r="C46" s="27" t="s">
        <v>3703</v>
      </c>
      <c r="D46" s="27" t="s">
        <v>3252</v>
      </c>
      <c r="E46" s="27" t="s">
        <v>638</v>
      </c>
      <c r="F46" s="28">
        <v>46043.35117908565</v>
      </c>
      <c r="G46" s="28">
        <v>46043.35117908565</v>
      </c>
      <c r="H46" s="28">
        <v>46050.17899443287</v>
      </c>
      <c r="I46" s="27" t="s">
        <v>1966</v>
      </c>
      <c r="J46" s="27" t="s">
        <v>1962</v>
      </c>
      <c r="K46" s="27" t="s">
        <v>1972</v>
      </c>
      <c r="L46" s="27" t="s">
        <v>1971</v>
      </c>
      <c r="M46" s="27" t="s">
        <v>1865</v>
      </c>
      <c r="N46" s="27" t="s">
        <v>3704</v>
      </c>
      <c r="O46" s="27" t="s">
        <v>3322</v>
      </c>
      <c r="P46" s="27" t="s">
        <v>3292</v>
      </c>
      <c r="Q46" s="27" t="s">
        <v>3705</v>
      </c>
      <c r="R46" s="27" t="s">
        <v>116</v>
      </c>
      <c r="S46" s="27"/>
      <c r="T46" s="27"/>
      <c r="U46" s="27" t="s">
        <v>1765</v>
      </c>
      <c r="V46" s="28">
        <v>46044.114594108796</v>
      </c>
      <c r="W46" s="27" t="s">
        <v>1865</v>
      </c>
      <c r="X46" s="27" t="s">
        <v>559</v>
      </c>
      <c r="Y46" s="27" t="s">
        <v>2303</v>
      </c>
      <c r="Z46" s="28">
        <v>46044.148965671295</v>
      </c>
      <c r="AA46" s="27" t="s">
        <v>2748</v>
      </c>
      <c r="AB46" s="27" t="s">
        <v>559</v>
      </c>
      <c r="AC46" s="27" t="s">
        <v>3706</v>
      </c>
      <c r="AD46" s="28">
        <v>46050.166012546295</v>
      </c>
      <c r="AE46" s="27" t="s">
        <v>3261</v>
      </c>
      <c r="AF46" s="27" t="s">
        <v>559</v>
      </c>
      <c r="AG46" s="27" t="s">
        <v>638</v>
      </c>
      <c r="AH46" s="28">
        <v>46050.178994444446</v>
      </c>
      <c r="AI46" s="27" t="s">
        <v>3479</v>
      </c>
      <c r="AJ46" s="27" t="s">
        <v>559</v>
      </c>
      <c r="AK46" s="27" t="s">
        <v>3707</v>
      </c>
      <c r="AL46" s="27" t="s">
        <v>3440</v>
      </c>
    </row>
    <row r="47" spans="1:38">
      <c r="A47" s="27" t="s">
        <v>3708</v>
      </c>
      <c r="B47" s="27" t="s">
        <v>3709</v>
      </c>
      <c r="C47" s="27" t="s">
        <v>3434</v>
      </c>
      <c r="D47" s="27" t="s">
        <v>3252</v>
      </c>
      <c r="E47" s="27" t="s">
        <v>549</v>
      </c>
      <c r="F47" s="28">
        <v>46050.264532395835</v>
      </c>
      <c r="G47" s="28">
        <v>46050.264532395835</v>
      </c>
      <c r="H47" s="28">
        <v>46050.30232278935</v>
      </c>
      <c r="I47" s="27" t="s">
        <v>3710</v>
      </c>
      <c r="J47" s="27" t="s">
        <v>3711</v>
      </c>
      <c r="K47" s="27" t="s">
        <v>3712</v>
      </c>
      <c r="L47" s="27" t="s">
        <v>3713</v>
      </c>
      <c r="M47" s="27" t="s">
        <v>1861</v>
      </c>
      <c r="N47" s="27" t="s">
        <v>3714</v>
      </c>
      <c r="O47" s="27" t="s">
        <v>3256</v>
      </c>
      <c r="P47" s="27" t="s">
        <v>3257</v>
      </c>
      <c r="Q47" s="27" t="s">
        <v>3715</v>
      </c>
      <c r="R47" s="27"/>
      <c r="S47" s="27"/>
      <c r="T47" s="27"/>
      <c r="U47" s="27" t="s">
        <v>3716</v>
      </c>
      <c r="V47" s="28">
        <v>46050.302322800926</v>
      </c>
      <c r="W47" s="27" t="s">
        <v>1865</v>
      </c>
      <c r="X47" s="27" t="s">
        <v>549</v>
      </c>
      <c r="Y47" s="27"/>
      <c r="Z47" s="28"/>
      <c r="AA47" s="27" t="s">
        <v>3325</v>
      </c>
      <c r="AB47" s="27"/>
      <c r="AC47" s="27"/>
      <c r="AD47" s="28"/>
      <c r="AE47" s="27" t="s">
        <v>573</v>
      </c>
      <c r="AF47" s="27"/>
      <c r="AG47" s="27"/>
      <c r="AH47" s="28"/>
      <c r="AI47" s="27" t="s">
        <v>3295</v>
      </c>
      <c r="AJ47" s="27"/>
      <c r="AK47" s="27"/>
      <c r="AL47" s="27" t="s">
        <v>3717</v>
      </c>
    </row>
    <row r="48" spans="1:38">
      <c r="A48" s="27" t="s">
        <v>3718</v>
      </c>
      <c r="B48" s="27" t="s">
        <v>3719</v>
      </c>
      <c r="C48" s="27" t="s">
        <v>3434</v>
      </c>
      <c r="D48" s="27" t="s">
        <v>3252</v>
      </c>
      <c r="E48" s="27" t="s">
        <v>638</v>
      </c>
      <c r="F48" s="28">
        <v>46050.326720138888</v>
      </c>
      <c r="G48" s="28">
        <v>46051.044484548613</v>
      </c>
      <c r="H48" s="28">
        <v>46059.208122326389</v>
      </c>
      <c r="I48" s="27" t="s">
        <v>3710</v>
      </c>
      <c r="J48" s="27" t="s">
        <v>3711</v>
      </c>
      <c r="K48" s="27" t="s">
        <v>3712</v>
      </c>
      <c r="L48" s="27" t="s">
        <v>3713</v>
      </c>
      <c r="M48" s="27" t="s">
        <v>1861</v>
      </c>
      <c r="N48" s="27" t="s">
        <v>3713</v>
      </c>
      <c r="O48" s="27" t="s">
        <v>3256</v>
      </c>
      <c r="P48" s="27" t="s">
        <v>3257</v>
      </c>
      <c r="Q48" s="27" t="s">
        <v>3720</v>
      </c>
      <c r="R48" s="27" t="s">
        <v>116</v>
      </c>
      <c r="S48" s="27"/>
      <c r="T48" s="27"/>
      <c r="U48" s="27" t="s">
        <v>3721</v>
      </c>
      <c r="V48" s="28">
        <v>46051.126992986108</v>
      </c>
      <c r="W48" s="27" t="s">
        <v>1865</v>
      </c>
      <c r="X48" s="27" t="s">
        <v>559</v>
      </c>
      <c r="Y48" s="27" t="s">
        <v>2303</v>
      </c>
      <c r="Z48" s="28">
        <v>46051.137274155095</v>
      </c>
      <c r="AA48" s="27" t="s">
        <v>2748</v>
      </c>
      <c r="AB48" s="27" t="s">
        <v>559</v>
      </c>
      <c r="AC48" s="27" t="s">
        <v>3722</v>
      </c>
      <c r="AD48" s="28">
        <v>46051.250695752315</v>
      </c>
      <c r="AE48" s="27" t="s">
        <v>3261</v>
      </c>
      <c r="AF48" s="27" t="s">
        <v>559</v>
      </c>
      <c r="AG48" s="27" t="s">
        <v>649</v>
      </c>
      <c r="AH48" s="28">
        <v>46059.208122326389</v>
      </c>
      <c r="AI48" s="27" t="s">
        <v>3304</v>
      </c>
      <c r="AJ48" s="27" t="s">
        <v>559</v>
      </c>
      <c r="AK48" s="27" t="s">
        <v>3723</v>
      </c>
      <c r="AL48" s="27" t="s">
        <v>3717</v>
      </c>
    </row>
    <row r="49" spans="1:38">
      <c r="A49" s="27" t="s">
        <v>3724</v>
      </c>
      <c r="B49" s="27" t="s">
        <v>3725</v>
      </c>
      <c r="C49" s="27" t="s">
        <v>2193</v>
      </c>
      <c r="D49" s="27" t="s">
        <v>3252</v>
      </c>
      <c r="E49" s="27" t="s">
        <v>549</v>
      </c>
      <c r="F49" s="28">
        <v>46058.179556030096</v>
      </c>
      <c r="G49" s="28">
        <v>46058.179556030096</v>
      </c>
      <c r="H49" s="28">
        <v>46111.17450508102</v>
      </c>
      <c r="I49" s="27" t="s">
        <v>3726</v>
      </c>
      <c r="J49" s="27" t="s">
        <v>3727</v>
      </c>
      <c r="K49" s="27" t="s">
        <v>3728</v>
      </c>
      <c r="L49" s="27" t="s">
        <v>3729</v>
      </c>
      <c r="M49" s="27" t="s">
        <v>912</v>
      </c>
      <c r="N49" s="27" t="s">
        <v>3730</v>
      </c>
      <c r="O49" s="27" t="s">
        <v>3256</v>
      </c>
      <c r="P49" s="27" t="s">
        <v>3257</v>
      </c>
      <c r="Q49" s="27" t="s">
        <v>3731</v>
      </c>
      <c r="R49" s="27" t="s">
        <v>107</v>
      </c>
      <c r="S49" s="27"/>
      <c r="T49" s="27"/>
      <c r="U49" s="27" t="s">
        <v>3732</v>
      </c>
      <c r="V49" s="28">
        <v>46064.285141168984</v>
      </c>
      <c r="W49" s="27" t="s">
        <v>912</v>
      </c>
      <c r="X49" s="27" t="s">
        <v>559</v>
      </c>
      <c r="Y49" s="27" t="s">
        <v>2303</v>
      </c>
      <c r="Z49" s="28">
        <v>46066.354767986108</v>
      </c>
      <c r="AA49" s="27" t="s">
        <v>2748</v>
      </c>
      <c r="AB49" s="27" t="s">
        <v>559</v>
      </c>
      <c r="AC49" s="27" t="s">
        <v>3733</v>
      </c>
      <c r="AD49" s="28">
        <v>46072.237006921299</v>
      </c>
      <c r="AE49" s="27" t="s">
        <v>3261</v>
      </c>
      <c r="AF49" s="27" t="s">
        <v>559</v>
      </c>
      <c r="AG49" s="27" t="s">
        <v>3734</v>
      </c>
      <c r="AH49" s="28">
        <v>46111.174505092589</v>
      </c>
      <c r="AI49" s="27" t="s">
        <v>3528</v>
      </c>
      <c r="AJ49" s="27" t="s">
        <v>549</v>
      </c>
      <c r="AK49" s="27" t="s">
        <v>3735</v>
      </c>
      <c r="AL49" s="27" t="s">
        <v>3736</v>
      </c>
    </row>
    <row r="50" spans="1:38">
      <c r="A50" s="27" t="s">
        <v>3737</v>
      </c>
      <c r="B50" s="27" t="s">
        <v>3738</v>
      </c>
      <c r="C50" s="27" t="s">
        <v>2162</v>
      </c>
      <c r="D50" s="27" t="s">
        <v>3252</v>
      </c>
      <c r="E50" s="27" t="s">
        <v>638</v>
      </c>
      <c r="F50" s="28">
        <v>46062.133217453702</v>
      </c>
      <c r="G50" s="28">
        <v>46062.133954965277</v>
      </c>
      <c r="H50" s="28">
        <v>46091.301164166667</v>
      </c>
      <c r="I50" s="27" t="s">
        <v>3739</v>
      </c>
      <c r="J50" s="27" t="s">
        <v>3740</v>
      </c>
      <c r="K50" s="27" t="s">
        <v>3741</v>
      </c>
      <c r="L50" s="27" t="s">
        <v>3742</v>
      </c>
      <c r="M50" s="27" t="s">
        <v>1545</v>
      </c>
      <c r="N50" s="27" t="s">
        <v>3743</v>
      </c>
      <c r="O50" s="27" t="s">
        <v>3256</v>
      </c>
      <c r="P50" s="27" t="s">
        <v>3257</v>
      </c>
      <c r="Q50" s="27" t="s">
        <v>3744</v>
      </c>
      <c r="R50" s="27" t="s">
        <v>107</v>
      </c>
      <c r="S50" s="27"/>
      <c r="T50" s="27"/>
      <c r="U50" s="27" t="s">
        <v>1547</v>
      </c>
      <c r="V50" s="28">
        <v>46062.13613082176</v>
      </c>
      <c r="W50" s="27" t="s">
        <v>1541</v>
      </c>
      <c r="X50" s="27" t="s">
        <v>559</v>
      </c>
      <c r="Y50" s="27" t="s">
        <v>2303</v>
      </c>
      <c r="Z50" s="28">
        <v>46066.356849201387</v>
      </c>
      <c r="AA50" s="27" t="s">
        <v>2748</v>
      </c>
      <c r="AB50" s="27" t="s">
        <v>559</v>
      </c>
      <c r="AC50" s="27" t="s">
        <v>3745</v>
      </c>
      <c r="AD50" s="28">
        <v>46072.247005798614</v>
      </c>
      <c r="AE50" s="27" t="s">
        <v>3261</v>
      </c>
      <c r="AF50" s="27" t="s">
        <v>559</v>
      </c>
      <c r="AG50" s="27" t="s">
        <v>649</v>
      </c>
      <c r="AH50" s="28">
        <v>46091.301164166667</v>
      </c>
      <c r="AI50" s="27" t="s">
        <v>3361</v>
      </c>
      <c r="AJ50" s="27" t="s">
        <v>559</v>
      </c>
      <c r="AK50" s="27" t="s">
        <v>3746</v>
      </c>
      <c r="AL50" s="27" t="s">
        <v>3747</v>
      </c>
    </row>
    <row r="51" spans="1:38">
      <c r="A51" s="27" t="s">
        <v>3748</v>
      </c>
      <c r="B51" s="27" t="s">
        <v>3749</v>
      </c>
      <c r="C51" s="27" t="s">
        <v>3338</v>
      </c>
      <c r="D51" s="27" t="s">
        <v>3252</v>
      </c>
      <c r="E51" s="27" t="s">
        <v>638</v>
      </c>
      <c r="F51" s="28">
        <v>46062.371390844906</v>
      </c>
      <c r="G51" s="28">
        <v>46062.371390844906</v>
      </c>
      <c r="H51" s="28">
        <v>46072.196785555556</v>
      </c>
      <c r="I51" s="27" t="s">
        <v>3339</v>
      </c>
      <c r="J51" s="27" t="s">
        <v>3340</v>
      </c>
      <c r="K51" s="27">
        <v>3437</v>
      </c>
      <c r="L51" s="27" t="s">
        <v>3341</v>
      </c>
      <c r="M51" s="27" t="s">
        <v>3342</v>
      </c>
      <c r="N51" s="27" t="s">
        <v>3343</v>
      </c>
      <c r="O51" s="27" t="s">
        <v>3322</v>
      </c>
      <c r="P51" s="27" t="s">
        <v>3344</v>
      </c>
      <c r="Q51" s="27" t="s">
        <v>3750</v>
      </c>
      <c r="R51" s="27" t="s">
        <v>116</v>
      </c>
      <c r="S51" s="27"/>
      <c r="T51" s="27"/>
      <c r="U51" s="27" t="s">
        <v>3751</v>
      </c>
      <c r="V51" s="28">
        <v>46062.374896562498</v>
      </c>
      <c r="W51" s="27" t="s">
        <v>3346</v>
      </c>
      <c r="X51" s="27" t="s">
        <v>559</v>
      </c>
      <c r="Y51" s="27" t="s">
        <v>2303</v>
      </c>
      <c r="Z51" s="28">
        <v>46069.338544826387</v>
      </c>
      <c r="AA51" s="27" t="s">
        <v>2748</v>
      </c>
      <c r="AB51" s="27" t="s">
        <v>559</v>
      </c>
      <c r="AC51" s="27" t="s">
        <v>3752</v>
      </c>
      <c r="AD51" s="28">
        <v>46069.346455092593</v>
      </c>
      <c r="AE51" s="27" t="s">
        <v>3261</v>
      </c>
      <c r="AF51" s="27" t="s">
        <v>559</v>
      </c>
      <c r="AG51" s="27" t="s">
        <v>3753</v>
      </c>
      <c r="AH51" s="28">
        <v>46072.196785567132</v>
      </c>
      <c r="AI51" s="27" t="s">
        <v>3261</v>
      </c>
      <c r="AJ51" s="27" t="s">
        <v>559</v>
      </c>
      <c r="AK51" s="27" t="s">
        <v>3754</v>
      </c>
      <c r="AL51" s="27" t="s">
        <v>3348</v>
      </c>
    </row>
    <row r="52" spans="1:38">
      <c r="A52" s="27" t="s">
        <v>3755</v>
      </c>
      <c r="B52" s="27" t="s">
        <v>3756</v>
      </c>
      <c r="C52" s="27" t="s">
        <v>3757</v>
      </c>
      <c r="D52" s="27" t="s">
        <v>3252</v>
      </c>
      <c r="E52" s="27" t="s">
        <v>638</v>
      </c>
      <c r="F52" s="28">
        <v>46062.41020395833</v>
      </c>
      <c r="G52" s="28">
        <v>46063.37428984954</v>
      </c>
      <c r="H52" s="28">
        <v>46198.145036666669</v>
      </c>
      <c r="I52" s="27" t="s">
        <v>3758</v>
      </c>
      <c r="J52" s="27" t="s">
        <v>3759</v>
      </c>
      <c r="K52" s="27">
        <v>4583</v>
      </c>
      <c r="L52" s="27" t="s">
        <v>3760</v>
      </c>
      <c r="M52" s="27" t="s">
        <v>3761</v>
      </c>
      <c r="N52" s="27" t="s">
        <v>3762</v>
      </c>
      <c r="O52" s="27" t="s">
        <v>3322</v>
      </c>
      <c r="P52" s="27" t="s">
        <v>3257</v>
      </c>
      <c r="Q52" s="27" t="s">
        <v>3763</v>
      </c>
      <c r="R52" s="27" t="s">
        <v>116</v>
      </c>
      <c r="S52" s="27" t="s">
        <v>3764</v>
      </c>
      <c r="T52" s="27"/>
      <c r="U52" s="27" t="s">
        <v>3765</v>
      </c>
      <c r="V52" s="28">
        <v>46063.37852111111</v>
      </c>
      <c r="W52" s="27" t="s">
        <v>1362</v>
      </c>
      <c r="X52" s="27" t="s">
        <v>559</v>
      </c>
      <c r="Y52" s="27" t="s">
        <v>3766</v>
      </c>
      <c r="Z52" s="28">
        <v>46063.380178032407</v>
      </c>
      <c r="AA52" s="27" t="s">
        <v>3599</v>
      </c>
      <c r="AB52" s="27" t="s">
        <v>559</v>
      </c>
      <c r="AC52" s="27" t="s">
        <v>3767</v>
      </c>
      <c r="AD52" s="28">
        <v>46063.468680138889</v>
      </c>
      <c r="AE52" s="27" t="s">
        <v>571</v>
      </c>
      <c r="AF52" s="27" t="s">
        <v>559</v>
      </c>
      <c r="AG52" s="27" t="s">
        <v>3768</v>
      </c>
      <c r="AH52" s="28">
        <v>46198.145036666669</v>
      </c>
      <c r="AI52" s="27" t="s">
        <v>3528</v>
      </c>
      <c r="AJ52" s="27" t="s">
        <v>559</v>
      </c>
      <c r="AK52" s="27" t="s">
        <v>3769</v>
      </c>
      <c r="AL52" s="27" t="s">
        <v>3770</v>
      </c>
    </row>
    <row r="53" spans="1:38">
      <c r="A53" s="27" t="s">
        <v>3771</v>
      </c>
      <c r="B53" s="27" t="s">
        <v>3772</v>
      </c>
      <c r="C53" s="27" t="s">
        <v>3773</v>
      </c>
      <c r="D53" s="27" t="s">
        <v>3252</v>
      </c>
      <c r="E53" s="27" t="s">
        <v>638</v>
      </c>
      <c r="F53" s="28">
        <v>46063.148371076386</v>
      </c>
      <c r="G53" s="28">
        <v>46063.148371076386</v>
      </c>
      <c r="H53" s="28">
        <v>46072.252352418982</v>
      </c>
      <c r="I53" s="27" t="s">
        <v>3339</v>
      </c>
      <c r="J53" s="27" t="s">
        <v>3340</v>
      </c>
      <c r="K53" s="27">
        <v>3437</v>
      </c>
      <c r="L53" s="27" t="s">
        <v>3341</v>
      </c>
      <c r="M53" s="27" t="s">
        <v>3774</v>
      </c>
      <c r="N53" s="27" t="s">
        <v>3397</v>
      </c>
      <c r="O53" s="27" t="s">
        <v>3322</v>
      </c>
      <c r="P53" s="27" t="s">
        <v>3344</v>
      </c>
      <c r="Q53" s="27" t="s">
        <v>3775</v>
      </c>
      <c r="R53" s="27" t="s">
        <v>116</v>
      </c>
      <c r="S53" s="27"/>
      <c r="T53" s="27"/>
      <c r="U53" s="27" t="s">
        <v>3776</v>
      </c>
      <c r="V53" s="28">
        <v>46065.145531736111</v>
      </c>
      <c r="W53" s="27" t="s">
        <v>3777</v>
      </c>
      <c r="X53" s="27" t="s">
        <v>559</v>
      </c>
      <c r="Y53" s="27" t="s">
        <v>2303</v>
      </c>
      <c r="Z53" s="28">
        <v>46069.351858310183</v>
      </c>
      <c r="AA53" s="27" t="s">
        <v>2748</v>
      </c>
      <c r="AB53" s="27" t="s">
        <v>559</v>
      </c>
      <c r="AC53" s="27" t="s">
        <v>3778</v>
      </c>
      <c r="AD53" s="28">
        <v>46072.2521825</v>
      </c>
      <c r="AE53" s="27" t="s">
        <v>3261</v>
      </c>
      <c r="AF53" s="27" t="s">
        <v>559</v>
      </c>
      <c r="AG53" s="27" t="s">
        <v>3779</v>
      </c>
      <c r="AH53" s="28">
        <v>46072.252352418982</v>
      </c>
      <c r="AI53" s="27" t="s">
        <v>3261</v>
      </c>
      <c r="AJ53" s="27" t="s">
        <v>559</v>
      </c>
      <c r="AK53" s="27" t="s">
        <v>3780</v>
      </c>
      <c r="AL53" s="27" t="s">
        <v>3348</v>
      </c>
    </row>
    <row r="54" spans="1:38">
      <c r="A54" s="27" t="s">
        <v>3781</v>
      </c>
      <c r="B54" s="27" t="s">
        <v>3782</v>
      </c>
      <c r="C54" s="27" t="s">
        <v>959</v>
      </c>
      <c r="D54" s="27" t="s">
        <v>3252</v>
      </c>
      <c r="E54" s="27" t="s">
        <v>549</v>
      </c>
      <c r="F54" s="28">
        <v>46063.310180405089</v>
      </c>
      <c r="G54" s="28">
        <v>46063.310180405089</v>
      </c>
      <c r="H54" s="28">
        <v>46069.339945671294</v>
      </c>
      <c r="I54" s="27" t="s">
        <v>3783</v>
      </c>
      <c r="J54" s="27" t="s">
        <v>3784</v>
      </c>
      <c r="K54" s="27" t="s">
        <v>3785</v>
      </c>
      <c r="L54" s="27" t="s">
        <v>3786</v>
      </c>
      <c r="M54" s="27" t="s">
        <v>963</v>
      </c>
      <c r="N54" s="27" t="s">
        <v>3787</v>
      </c>
      <c r="O54" s="27" t="s">
        <v>3322</v>
      </c>
      <c r="P54" s="27" t="s">
        <v>3257</v>
      </c>
      <c r="Q54" s="27" t="s">
        <v>3788</v>
      </c>
      <c r="R54" s="27"/>
      <c r="S54" s="27" t="s">
        <v>3789</v>
      </c>
      <c r="T54" s="27"/>
      <c r="U54" s="27" t="s">
        <v>1547</v>
      </c>
      <c r="V54" s="28">
        <v>46064.284703750003</v>
      </c>
      <c r="W54" s="27" t="s">
        <v>912</v>
      </c>
      <c r="X54" s="27" t="s">
        <v>559</v>
      </c>
      <c r="Y54" s="27" t="s">
        <v>3644</v>
      </c>
      <c r="Z54" s="28">
        <v>46069.339945706015</v>
      </c>
      <c r="AA54" s="27" t="s">
        <v>2748</v>
      </c>
      <c r="AB54" s="27" t="s">
        <v>549</v>
      </c>
      <c r="AC54" s="27"/>
      <c r="AD54" s="28"/>
      <c r="AE54" s="27" t="s">
        <v>573</v>
      </c>
      <c r="AF54" s="27"/>
      <c r="AG54" s="27"/>
      <c r="AH54" s="28"/>
      <c r="AI54" s="27" t="s">
        <v>3295</v>
      </c>
      <c r="AJ54" s="27"/>
      <c r="AK54" s="27"/>
      <c r="AL54" s="27" t="s">
        <v>3790</v>
      </c>
    </row>
    <row r="55" spans="1:38">
      <c r="A55" s="27" t="s">
        <v>3791</v>
      </c>
      <c r="B55" s="27" t="s">
        <v>3792</v>
      </c>
      <c r="C55" s="27" t="s">
        <v>3635</v>
      </c>
      <c r="D55" s="27" t="s">
        <v>3252</v>
      </c>
      <c r="E55" s="27" t="s">
        <v>638</v>
      </c>
      <c r="F55" s="28">
        <v>46064.144128483793</v>
      </c>
      <c r="G55" s="28">
        <v>46064.144128483793</v>
      </c>
      <c r="H55" s="28">
        <v>46082.297218159722</v>
      </c>
      <c r="I55" s="27" t="s">
        <v>3636</v>
      </c>
      <c r="J55" s="27" t="s">
        <v>3637</v>
      </c>
      <c r="K55" s="27" t="s">
        <v>3638</v>
      </c>
      <c r="L55" s="27" t="s">
        <v>3639</v>
      </c>
      <c r="M55" s="27" t="s">
        <v>3640</v>
      </c>
      <c r="N55" s="27" t="s">
        <v>3641</v>
      </c>
      <c r="O55" s="27" t="s">
        <v>3322</v>
      </c>
      <c r="P55" s="27" t="s">
        <v>3292</v>
      </c>
      <c r="Q55" s="27" t="s">
        <v>3793</v>
      </c>
      <c r="R55" s="27" t="s">
        <v>107</v>
      </c>
      <c r="S55" s="27"/>
      <c r="T55" s="27"/>
      <c r="U55" s="27" t="s">
        <v>3794</v>
      </c>
      <c r="V55" s="28">
        <v>46064.33683403935</v>
      </c>
      <c r="W55" s="27" t="s">
        <v>1366</v>
      </c>
      <c r="X55" s="27" t="s">
        <v>559</v>
      </c>
      <c r="Y55" s="27" t="s">
        <v>2303</v>
      </c>
      <c r="Z55" s="28">
        <v>46066.35325388889</v>
      </c>
      <c r="AA55" s="27" t="s">
        <v>2748</v>
      </c>
      <c r="AB55" s="27" t="s">
        <v>559</v>
      </c>
      <c r="AC55" s="27" t="s">
        <v>3795</v>
      </c>
      <c r="AD55" s="28">
        <v>46072.256759027776</v>
      </c>
      <c r="AE55" s="27" t="s">
        <v>3261</v>
      </c>
      <c r="AF55" s="27" t="s">
        <v>559</v>
      </c>
      <c r="AG55" s="27" t="s">
        <v>3796</v>
      </c>
      <c r="AH55" s="28">
        <v>46082.297218171298</v>
      </c>
      <c r="AI55" s="27" t="s">
        <v>3401</v>
      </c>
      <c r="AJ55" s="27" t="s">
        <v>559</v>
      </c>
      <c r="AK55" s="27" t="s">
        <v>3797</v>
      </c>
      <c r="AL55" s="27" t="s">
        <v>3645</v>
      </c>
    </row>
    <row r="56" spans="1:38">
      <c r="A56" s="27" t="s">
        <v>3798</v>
      </c>
      <c r="B56" s="27" t="s">
        <v>3799</v>
      </c>
      <c r="C56" s="27" t="s">
        <v>1584</v>
      </c>
      <c r="D56" s="27" t="s">
        <v>3252</v>
      </c>
      <c r="E56" s="27" t="s">
        <v>638</v>
      </c>
      <c r="F56" s="28">
        <v>46064.195385891202</v>
      </c>
      <c r="G56" s="28">
        <v>46072.083423715281</v>
      </c>
      <c r="H56" s="28">
        <v>46073.09537077546</v>
      </c>
      <c r="I56" s="27" t="s">
        <v>1877</v>
      </c>
      <c r="J56" s="27" t="s">
        <v>1872</v>
      </c>
      <c r="K56" s="27">
        <v>4569</v>
      </c>
      <c r="L56" s="27" t="s">
        <v>323</v>
      </c>
      <c r="M56" s="27" t="s">
        <v>1587</v>
      </c>
      <c r="N56" s="27" t="s">
        <v>3800</v>
      </c>
      <c r="O56" s="27" t="s">
        <v>3322</v>
      </c>
      <c r="P56" s="27" t="s">
        <v>3344</v>
      </c>
      <c r="Q56" s="27" t="s">
        <v>3801</v>
      </c>
      <c r="R56" s="27" t="s">
        <v>107</v>
      </c>
      <c r="S56" s="27"/>
      <c r="T56" s="27"/>
      <c r="U56" s="27" t="s">
        <v>3802</v>
      </c>
      <c r="V56" s="28">
        <v>46072.172375451388</v>
      </c>
      <c r="W56" s="27" t="s">
        <v>1590</v>
      </c>
      <c r="X56" s="27" t="s">
        <v>559</v>
      </c>
      <c r="Y56" s="27" t="s">
        <v>3803</v>
      </c>
      <c r="Z56" s="28">
        <v>46073.064000995371</v>
      </c>
      <c r="AA56" s="27" t="s">
        <v>3429</v>
      </c>
      <c r="AB56" s="27" t="s">
        <v>559</v>
      </c>
      <c r="AC56" s="27" t="s">
        <v>2623</v>
      </c>
      <c r="AD56" s="28">
        <v>46073.082526446757</v>
      </c>
      <c r="AE56" s="27" t="s">
        <v>3261</v>
      </c>
      <c r="AF56" s="27" t="s">
        <v>559</v>
      </c>
      <c r="AG56" s="27" t="s">
        <v>3804</v>
      </c>
      <c r="AH56" s="28">
        <v>46073.095370787036</v>
      </c>
      <c r="AI56" s="27" t="s">
        <v>3429</v>
      </c>
      <c r="AJ56" s="27" t="s">
        <v>559</v>
      </c>
      <c r="AK56" s="27" t="s">
        <v>3805</v>
      </c>
      <c r="AL56" s="27" t="s">
        <v>3806</v>
      </c>
    </row>
    <row r="57" spans="1:38">
      <c r="A57" s="27" t="s">
        <v>3807</v>
      </c>
      <c r="B57" s="27" t="s">
        <v>3808</v>
      </c>
      <c r="C57" s="27" t="s">
        <v>3370</v>
      </c>
      <c r="D57" s="27" t="s">
        <v>3252</v>
      </c>
      <c r="E57" s="27" t="s">
        <v>638</v>
      </c>
      <c r="F57" s="28">
        <v>46064.305340416664</v>
      </c>
      <c r="G57" s="28">
        <v>46069.171128449074</v>
      </c>
      <c r="H57" s="28">
        <v>46112.118893321756</v>
      </c>
      <c r="I57" s="27" t="s">
        <v>3371</v>
      </c>
      <c r="J57" s="27" t="s">
        <v>3372</v>
      </c>
      <c r="K57" s="27">
        <v>3578</v>
      </c>
      <c r="L57" s="27" t="s">
        <v>3373</v>
      </c>
      <c r="M57" s="27" t="s">
        <v>3374</v>
      </c>
      <c r="N57" s="27" t="s">
        <v>3375</v>
      </c>
      <c r="O57" s="27" t="s">
        <v>3322</v>
      </c>
      <c r="P57" s="27" t="s">
        <v>3292</v>
      </c>
      <c r="Q57" s="27" t="s">
        <v>3809</v>
      </c>
      <c r="R57" s="27" t="s">
        <v>125</v>
      </c>
      <c r="S57" s="27"/>
      <c r="T57" s="27"/>
      <c r="U57" s="27" t="s">
        <v>681</v>
      </c>
      <c r="V57" s="28">
        <v>46078.091358043981</v>
      </c>
      <c r="W57" s="27" t="s">
        <v>3378</v>
      </c>
      <c r="X57" s="27" t="s">
        <v>559</v>
      </c>
      <c r="Y57" s="27" t="s">
        <v>2303</v>
      </c>
      <c r="Z57" s="28">
        <v>46080.090917685186</v>
      </c>
      <c r="AA57" s="27" t="s">
        <v>2748</v>
      </c>
      <c r="AB57" s="27" t="s">
        <v>559</v>
      </c>
      <c r="AC57" s="27" t="s">
        <v>3810</v>
      </c>
      <c r="AD57" s="28">
        <v>46085.166137037035</v>
      </c>
      <c r="AE57" s="27" t="s">
        <v>3261</v>
      </c>
      <c r="AF57" s="27" t="s">
        <v>559</v>
      </c>
      <c r="AG57" s="27" t="s">
        <v>649</v>
      </c>
      <c r="AH57" s="28">
        <v>46112.118893333332</v>
      </c>
      <c r="AI57" s="27" t="s">
        <v>3429</v>
      </c>
      <c r="AJ57" s="27" t="s">
        <v>559</v>
      </c>
      <c r="AK57" s="27" t="s">
        <v>3811</v>
      </c>
      <c r="AL57" s="27" t="s">
        <v>3382</v>
      </c>
    </row>
    <row r="58" spans="1:38">
      <c r="A58" s="27" t="s">
        <v>3812</v>
      </c>
      <c r="B58" s="27" t="s">
        <v>3813</v>
      </c>
      <c r="C58" s="27" t="s">
        <v>3370</v>
      </c>
      <c r="D58" s="27" t="s">
        <v>3252</v>
      </c>
      <c r="E58" s="27" t="s">
        <v>638</v>
      </c>
      <c r="F58" s="28">
        <v>46065.422258668979</v>
      </c>
      <c r="G58" s="28">
        <v>46065.422258668979</v>
      </c>
      <c r="H58" s="28">
        <v>46090.078410243055</v>
      </c>
      <c r="I58" s="27" t="s">
        <v>3551</v>
      </c>
      <c r="J58" s="27" t="s">
        <v>329</v>
      </c>
      <c r="K58" s="27">
        <v>4007</v>
      </c>
      <c r="L58" s="27" t="s">
        <v>330</v>
      </c>
      <c r="M58" s="27" t="s">
        <v>3374</v>
      </c>
      <c r="N58" s="27" t="s">
        <v>3552</v>
      </c>
      <c r="O58" s="27" t="s">
        <v>3256</v>
      </c>
      <c r="P58" s="27" t="s">
        <v>3257</v>
      </c>
      <c r="Q58" s="27" t="s">
        <v>3814</v>
      </c>
      <c r="R58" s="27" t="s">
        <v>107</v>
      </c>
      <c r="S58" s="27"/>
      <c r="T58" s="27"/>
      <c r="U58" s="27" t="s">
        <v>3815</v>
      </c>
      <c r="V58" s="28">
        <v>46066.140562291665</v>
      </c>
      <c r="W58" s="27" t="s">
        <v>3378</v>
      </c>
      <c r="X58" s="27" t="s">
        <v>559</v>
      </c>
      <c r="Y58" s="27" t="s">
        <v>2303</v>
      </c>
      <c r="Z58" s="28">
        <v>46066.340336250003</v>
      </c>
      <c r="AA58" s="27" t="s">
        <v>2748</v>
      </c>
      <c r="AB58" s="27" t="s">
        <v>559</v>
      </c>
      <c r="AC58" s="27" t="s">
        <v>3816</v>
      </c>
      <c r="AD58" s="28">
        <v>46072.263087916668</v>
      </c>
      <c r="AE58" s="27" t="s">
        <v>3261</v>
      </c>
      <c r="AF58" s="27" t="s">
        <v>559</v>
      </c>
      <c r="AG58" s="27" t="s">
        <v>3817</v>
      </c>
      <c r="AH58" s="28">
        <v>46090.078410243055</v>
      </c>
      <c r="AI58" s="27" t="s">
        <v>3284</v>
      </c>
      <c r="AJ58" s="27" t="s">
        <v>559</v>
      </c>
      <c r="AK58" s="27" t="s">
        <v>3818</v>
      </c>
      <c r="AL58" s="27" t="s">
        <v>3555</v>
      </c>
    </row>
    <row r="59" spans="1:38">
      <c r="A59" s="27" t="s">
        <v>3819</v>
      </c>
      <c r="B59" s="27" t="s">
        <v>3820</v>
      </c>
      <c r="C59" s="27" t="s">
        <v>1991</v>
      </c>
      <c r="D59" s="27" t="s">
        <v>3252</v>
      </c>
      <c r="E59" s="27" t="s">
        <v>638</v>
      </c>
      <c r="F59" s="28">
        <v>46066.310932106484</v>
      </c>
      <c r="G59" s="28">
        <v>46066.341464606485</v>
      </c>
      <c r="H59" s="28">
        <v>46067.746366157407</v>
      </c>
      <c r="I59" s="27" t="s">
        <v>3821</v>
      </c>
      <c r="J59" s="27" t="s">
        <v>3822</v>
      </c>
      <c r="K59" s="27">
        <v>568</v>
      </c>
      <c r="L59" s="27" t="s">
        <v>3823</v>
      </c>
      <c r="M59" s="27" t="s">
        <v>3824</v>
      </c>
      <c r="N59" s="27" t="s">
        <v>3825</v>
      </c>
      <c r="O59" s="27" t="s">
        <v>3322</v>
      </c>
      <c r="P59" s="27" t="s">
        <v>3257</v>
      </c>
      <c r="Q59" s="27" t="s">
        <v>3826</v>
      </c>
      <c r="R59" s="27" t="s">
        <v>116</v>
      </c>
      <c r="S59" s="27" t="s">
        <v>3827</v>
      </c>
      <c r="T59" s="27"/>
      <c r="U59" s="27" t="s">
        <v>3828</v>
      </c>
      <c r="V59" s="28">
        <v>46066.342353553242</v>
      </c>
      <c r="W59" s="27" t="s">
        <v>3196</v>
      </c>
      <c r="X59" s="27" t="s">
        <v>559</v>
      </c>
      <c r="Y59" s="27" t="s">
        <v>2303</v>
      </c>
      <c r="Z59" s="28">
        <v>46066.345314537037</v>
      </c>
      <c r="AA59" s="27" t="s">
        <v>2748</v>
      </c>
      <c r="AB59" s="27" t="s">
        <v>559</v>
      </c>
      <c r="AC59" s="27" t="s">
        <v>3829</v>
      </c>
      <c r="AD59" s="28">
        <v>46066.369776550928</v>
      </c>
      <c r="AE59" s="27" t="s">
        <v>3261</v>
      </c>
      <c r="AF59" s="27" t="s">
        <v>559</v>
      </c>
      <c r="AG59" s="27" t="s">
        <v>638</v>
      </c>
      <c r="AH59" s="28">
        <v>46067.746366180552</v>
      </c>
      <c r="AI59" s="27" t="s">
        <v>3528</v>
      </c>
      <c r="AJ59" s="27" t="s">
        <v>559</v>
      </c>
      <c r="AK59" s="27" t="s">
        <v>3830</v>
      </c>
      <c r="AL59" s="27" t="s">
        <v>3831</v>
      </c>
    </row>
    <row r="60" spans="1:38">
      <c r="A60" s="27" t="s">
        <v>3832</v>
      </c>
      <c r="B60" s="27" t="s">
        <v>3833</v>
      </c>
      <c r="C60" s="27" t="s">
        <v>3370</v>
      </c>
      <c r="D60" s="27" t="s">
        <v>3252</v>
      </c>
      <c r="E60" s="27" t="s">
        <v>638</v>
      </c>
      <c r="F60" s="28">
        <v>46069.197641597224</v>
      </c>
      <c r="G60" s="28">
        <v>46069.197641597224</v>
      </c>
      <c r="H60" s="28">
        <v>46090.07774414352</v>
      </c>
      <c r="I60" s="27" t="s">
        <v>3551</v>
      </c>
      <c r="J60" s="27" t="s">
        <v>329</v>
      </c>
      <c r="K60" s="27">
        <v>4007</v>
      </c>
      <c r="L60" s="27" t="s">
        <v>330</v>
      </c>
      <c r="M60" s="27" t="s">
        <v>3374</v>
      </c>
      <c r="N60" s="27" t="s">
        <v>3552</v>
      </c>
      <c r="O60" s="27" t="s">
        <v>3256</v>
      </c>
      <c r="P60" s="27" t="s">
        <v>3344</v>
      </c>
      <c r="Q60" s="27" t="s">
        <v>3834</v>
      </c>
      <c r="R60" s="27" t="s">
        <v>107</v>
      </c>
      <c r="S60" s="27"/>
      <c r="T60" s="27"/>
      <c r="U60" s="27" t="s">
        <v>3835</v>
      </c>
      <c r="V60" s="28">
        <v>46069.312812442127</v>
      </c>
      <c r="W60" s="27" t="s">
        <v>3378</v>
      </c>
      <c r="X60" s="27" t="s">
        <v>559</v>
      </c>
      <c r="Y60" s="27" t="s">
        <v>2303</v>
      </c>
      <c r="Z60" s="28">
        <v>46069.354966099534</v>
      </c>
      <c r="AA60" s="27" t="s">
        <v>2748</v>
      </c>
      <c r="AB60" s="27" t="s">
        <v>559</v>
      </c>
      <c r="AC60" s="27" t="s">
        <v>3836</v>
      </c>
      <c r="AD60" s="28">
        <v>46072.263352094909</v>
      </c>
      <c r="AE60" s="27" t="s">
        <v>3261</v>
      </c>
      <c r="AF60" s="27" t="s">
        <v>559</v>
      </c>
      <c r="AG60" s="27" t="s">
        <v>3837</v>
      </c>
      <c r="AH60" s="28">
        <v>46090.077744155089</v>
      </c>
      <c r="AI60" s="27" t="s">
        <v>3284</v>
      </c>
      <c r="AJ60" s="27" t="s">
        <v>559</v>
      </c>
      <c r="AK60" s="27" t="s">
        <v>3838</v>
      </c>
      <c r="AL60" s="27" t="s">
        <v>3555</v>
      </c>
    </row>
    <row r="61" spans="1:38">
      <c r="A61" s="27" t="s">
        <v>3839</v>
      </c>
      <c r="B61" s="27" t="s">
        <v>3840</v>
      </c>
      <c r="C61" s="27" t="s">
        <v>3370</v>
      </c>
      <c r="D61" s="27" t="s">
        <v>3252</v>
      </c>
      <c r="E61" s="27" t="s">
        <v>638</v>
      </c>
      <c r="F61" s="28">
        <v>46069.30460880787</v>
      </c>
      <c r="G61" s="28">
        <v>46069.30460880787</v>
      </c>
      <c r="H61" s="28">
        <v>46114.188263263888</v>
      </c>
      <c r="I61" s="27" t="s">
        <v>3371</v>
      </c>
      <c r="J61" s="27" t="s">
        <v>3372</v>
      </c>
      <c r="K61" s="27">
        <v>3578</v>
      </c>
      <c r="L61" s="27" t="s">
        <v>3373</v>
      </c>
      <c r="M61" s="27" t="s">
        <v>3374</v>
      </c>
      <c r="N61" s="27" t="s">
        <v>3375</v>
      </c>
      <c r="O61" s="27" t="s">
        <v>3322</v>
      </c>
      <c r="P61" s="27" t="s">
        <v>3257</v>
      </c>
      <c r="Q61" s="27" t="s">
        <v>3841</v>
      </c>
      <c r="R61" s="27" t="s">
        <v>125</v>
      </c>
      <c r="S61" s="27" t="s">
        <v>3842</v>
      </c>
      <c r="T61" s="27"/>
      <c r="U61" s="27" t="s">
        <v>3843</v>
      </c>
      <c r="V61" s="28">
        <v>46069.310848587964</v>
      </c>
      <c r="W61" s="27" t="s">
        <v>3378</v>
      </c>
      <c r="X61" s="27" t="s">
        <v>559</v>
      </c>
      <c r="Y61" s="27" t="s">
        <v>2303</v>
      </c>
      <c r="Z61" s="28">
        <v>46069.353077789354</v>
      </c>
      <c r="AA61" s="27" t="s">
        <v>2748</v>
      </c>
      <c r="AB61" s="27" t="s">
        <v>559</v>
      </c>
      <c r="AC61" s="27" t="s">
        <v>3844</v>
      </c>
      <c r="AD61" s="28">
        <v>46072.270732384262</v>
      </c>
      <c r="AE61" s="27" t="s">
        <v>3261</v>
      </c>
      <c r="AF61" s="27" t="s">
        <v>559</v>
      </c>
      <c r="AG61" s="27" t="s">
        <v>3845</v>
      </c>
      <c r="AH61" s="28">
        <v>46114.188263275464</v>
      </c>
      <c r="AI61" s="27" t="s">
        <v>1245</v>
      </c>
      <c r="AJ61" s="27" t="s">
        <v>559</v>
      </c>
      <c r="AK61" s="27" t="s">
        <v>3846</v>
      </c>
      <c r="AL61" s="27" t="s">
        <v>3382</v>
      </c>
    </row>
    <row r="62" spans="1:38">
      <c r="A62" s="27" t="s">
        <v>3847</v>
      </c>
      <c r="B62" s="27" t="s">
        <v>3848</v>
      </c>
      <c r="C62" s="27" t="s">
        <v>959</v>
      </c>
      <c r="D62" s="27" t="s">
        <v>3252</v>
      </c>
      <c r="E62" s="27" t="s">
        <v>638</v>
      </c>
      <c r="F62" s="28">
        <v>46073.324634432873</v>
      </c>
      <c r="G62" s="28">
        <v>46073.324634432873</v>
      </c>
      <c r="H62" s="28">
        <v>46092.175488275461</v>
      </c>
      <c r="I62" s="27" t="s">
        <v>3783</v>
      </c>
      <c r="J62" s="27" t="s">
        <v>3784</v>
      </c>
      <c r="K62" s="27" t="s">
        <v>3785</v>
      </c>
      <c r="L62" s="27" t="s">
        <v>3786</v>
      </c>
      <c r="M62" s="27" t="s">
        <v>963</v>
      </c>
      <c r="N62" s="27" t="s">
        <v>3787</v>
      </c>
      <c r="O62" s="27" t="s">
        <v>3322</v>
      </c>
      <c r="P62" s="27" t="s">
        <v>3257</v>
      </c>
      <c r="Q62" s="27" t="s">
        <v>3788</v>
      </c>
      <c r="R62" s="27" t="s">
        <v>107</v>
      </c>
      <c r="S62" s="27" t="s">
        <v>3849</v>
      </c>
      <c r="T62" s="27"/>
      <c r="U62" s="27" t="s">
        <v>681</v>
      </c>
      <c r="V62" s="28">
        <v>46076.03206297454</v>
      </c>
      <c r="W62" s="27" t="s">
        <v>912</v>
      </c>
      <c r="X62" s="27" t="s">
        <v>559</v>
      </c>
      <c r="Y62" s="27" t="s">
        <v>2303</v>
      </c>
      <c r="Z62" s="28">
        <v>46077.32007829861</v>
      </c>
      <c r="AA62" s="27" t="s">
        <v>2748</v>
      </c>
      <c r="AB62" s="27" t="s">
        <v>559</v>
      </c>
      <c r="AC62" s="27" t="s">
        <v>3850</v>
      </c>
      <c r="AD62" s="28">
        <v>46077.327416805558</v>
      </c>
      <c r="AE62" s="27" t="s">
        <v>3261</v>
      </c>
      <c r="AF62" s="27" t="s">
        <v>559</v>
      </c>
      <c r="AG62" s="27" t="s">
        <v>3851</v>
      </c>
      <c r="AH62" s="28">
        <v>46092.175488287037</v>
      </c>
      <c r="AI62" s="27" t="s">
        <v>3415</v>
      </c>
      <c r="AJ62" s="27" t="s">
        <v>559</v>
      </c>
      <c r="AK62" s="27" t="s">
        <v>3852</v>
      </c>
      <c r="AL62" s="27" t="s">
        <v>3790</v>
      </c>
    </row>
    <row r="63" spans="1:38">
      <c r="A63" s="27" t="s">
        <v>3853</v>
      </c>
      <c r="B63" s="27" t="s">
        <v>3854</v>
      </c>
      <c r="C63" s="27" t="s">
        <v>3855</v>
      </c>
      <c r="D63" s="27" t="s">
        <v>3252</v>
      </c>
      <c r="E63" s="27" t="s">
        <v>638</v>
      </c>
      <c r="F63" s="28">
        <v>46076.172252094904</v>
      </c>
      <c r="G63" s="28">
        <v>46076.172252094904</v>
      </c>
      <c r="H63" s="28">
        <v>46097.367066145831</v>
      </c>
      <c r="I63" s="27" t="s">
        <v>3856</v>
      </c>
      <c r="J63" s="27" t="s">
        <v>3857</v>
      </c>
      <c r="K63" s="27" t="s">
        <v>3858</v>
      </c>
      <c r="L63" s="27" t="s">
        <v>3859</v>
      </c>
      <c r="M63" s="27" t="s">
        <v>1923</v>
      </c>
      <c r="N63" s="27" t="s">
        <v>3860</v>
      </c>
      <c r="O63" s="27" t="s">
        <v>3256</v>
      </c>
      <c r="P63" s="27" t="s">
        <v>3257</v>
      </c>
      <c r="Q63" s="27" t="s">
        <v>3861</v>
      </c>
      <c r="R63" s="27" t="s">
        <v>107</v>
      </c>
      <c r="S63" s="27"/>
      <c r="T63" s="27"/>
      <c r="U63" s="27" t="s">
        <v>867</v>
      </c>
      <c r="V63" s="28">
        <v>46076.177799722223</v>
      </c>
      <c r="W63" s="27" t="s">
        <v>1923</v>
      </c>
      <c r="X63" s="27" t="s">
        <v>559</v>
      </c>
      <c r="Y63" s="27" t="s">
        <v>2303</v>
      </c>
      <c r="Z63" s="28">
        <v>46080.327154074075</v>
      </c>
      <c r="AA63" s="27" t="s">
        <v>2748</v>
      </c>
      <c r="AB63" s="27" t="s">
        <v>559</v>
      </c>
      <c r="AC63" s="27" t="s">
        <v>3862</v>
      </c>
      <c r="AD63" s="28">
        <v>46085.203419884259</v>
      </c>
      <c r="AE63" s="27" t="s">
        <v>3261</v>
      </c>
      <c r="AF63" s="27" t="s">
        <v>559</v>
      </c>
      <c r="AG63" s="27" t="s">
        <v>638</v>
      </c>
      <c r="AH63" s="28">
        <v>46097.367066145831</v>
      </c>
      <c r="AI63" s="27" t="s">
        <v>3479</v>
      </c>
      <c r="AJ63" s="27" t="s">
        <v>559</v>
      </c>
      <c r="AK63" s="27" t="s">
        <v>3863</v>
      </c>
      <c r="AL63" s="27" t="s">
        <v>3864</v>
      </c>
    </row>
    <row r="64" spans="1:38">
      <c r="A64" s="27" t="s">
        <v>3865</v>
      </c>
      <c r="B64" s="27" t="s">
        <v>3866</v>
      </c>
      <c r="C64" s="27" t="s">
        <v>3773</v>
      </c>
      <c r="D64" s="27" t="s">
        <v>3252</v>
      </c>
      <c r="E64" s="27" t="s">
        <v>549</v>
      </c>
      <c r="F64" s="28">
        <v>46076.250437881943</v>
      </c>
      <c r="G64" s="28">
        <v>46076.250437881943</v>
      </c>
      <c r="H64" s="28">
        <v>46098.080907326388</v>
      </c>
      <c r="I64" s="27" t="s">
        <v>3606</v>
      </c>
      <c r="J64" s="27" t="s">
        <v>3607</v>
      </c>
      <c r="K64" s="27" t="s">
        <v>3608</v>
      </c>
      <c r="L64" s="27" t="s">
        <v>3607</v>
      </c>
      <c r="M64" s="27" t="s">
        <v>3774</v>
      </c>
      <c r="N64" s="27" t="s">
        <v>3397</v>
      </c>
      <c r="O64" s="27" t="s">
        <v>3256</v>
      </c>
      <c r="P64" s="27" t="s">
        <v>3344</v>
      </c>
      <c r="Q64" s="27" t="s">
        <v>3867</v>
      </c>
      <c r="R64" s="27"/>
      <c r="S64" s="27"/>
      <c r="T64" s="27"/>
      <c r="U64" s="27" t="s">
        <v>3802</v>
      </c>
      <c r="V64" s="28">
        <v>46097.442693622688</v>
      </c>
      <c r="W64" s="27" t="s">
        <v>3777</v>
      </c>
      <c r="X64" s="27" t="s">
        <v>559</v>
      </c>
      <c r="Y64" s="27" t="s">
        <v>3868</v>
      </c>
      <c r="Z64" s="28">
        <v>46098.080907337964</v>
      </c>
      <c r="AA64" s="27" t="s">
        <v>2748</v>
      </c>
      <c r="AB64" s="27" t="s">
        <v>549</v>
      </c>
      <c r="AC64" s="27"/>
      <c r="AD64" s="28"/>
      <c r="AE64" s="27" t="s">
        <v>573</v>
      </c>
      <c r="AF64" s="27"/>
      <c r="AG64" s="27"/>
      <c r="AH64" s="28"/>
      <c r="AI64" s="27" t="s">
        <v>3295</v>
      </c>
      <c r="AJ64" s="27"/>
      <c r="AK64" s="27"/>
      <c r="AL64" s="27" t="s">
        <v>3616</v>
      </c>
    </row>
    <row r="65" spans="1:38">
      <c r="A65" s="27" t="s">
        <v>3869</v>
      </c>
      <c r="B65" s="27" t="s">
        <v>3870</v>
      </c>
      <c r="C65" s="27" t="s">
        <v>994</v>
      </c>
      <c r="D65" s="27" t="s">
        <v>3252</v>
      </c>
      <c r="E65" s="27" t="s">
        <v>638</v>
      </c>
      <c r="F65" s="28">
        <v>46077.304119444445</v>
      </c>
      <c r="G65" s="28">
        <v>46077.304119444445</v>
      </c>
      <c r="H65" s="28">
        <v>46094.279514791669</v>
      </c>
      <c r="I65" s="27" t="s">
        <v>999</v>
      </c>
      <c r="J65" s="27" t="s">
        <v>346</v>
      </c>
      <c r="K65" s="27">
        <v>100</v>
      </c>
      <c r="L65" s="27" t="s">
        <v>347</v>
      </c>
      <c r="M65" s="27" t="s">
        <v>996</v>
      </c>
      <c r="N65" s="27" t="s">
        <v>3871</v>
      </c>
      <c r="O65" s="27" t="s">
        <v>3322</v>
      </c>
      <c r="P65" s="27" t="s">
        <v>3344</v>
      </c>
      <c r="Q65" s="27" t="s">
        <v>3872</v>
      </c>
      <c r="R65" s="27" t="s">
        <v>107</v>
      </c>
      <c r="S65" s="27"/>
      <c r="T65" s="27"/>
      <c r="U65" s="27" t="s">
        <v>3873</v>
      </c>
      <c r="V65" s="28">
        <v>46078.076661585648</v>
      </c>
      <c r="W65" s="27" t="s">
        <v>998</v>
      </c>
      <c r="X65" s="27" t="s">
        <v>559</v>
      </c>
      <c r="Y65" s="27" t="s">
        <v>2303</v>
      </c>
      <c r="Z65" s="28">
        <v>46080.328649282405</v>
      </c>
      <c r="AA65" s="27" t="s">
        <v>2748</v>
      </c>
      <c r="AB65" s="27" t="s">
        <v>559</v>
      </c>
      <c r="AC65" s="27" t="s">
        <v>3874</v>
      </c>
      <c r="AD65" s="28">
        <v>46091.316564212961</v>
      </c>
      <c r="AE65" s="27" t="s">
        <v>3261</v>
      </c>
      <c r="AF65" s="27" t="s">
        <v>559</v>
      </c>
      <c r="AG65" s="27" t="s">
        <v>649</v>
      </c>
      <c r="AH65" s="28">
        <v>46094.279514791669</v>
      </c>
      <c r="AI65" s="27" t="s">
        <v>1083</v>
      </c>
      <c r="AJ65" s="27" t="s">
        <v>559</v>
      </c>
      <c r="AK65" s="27" t="s">
        <v>3875</v>
      </c>
      <c r="AL65" s="27" t="s">
        <v>3876</v>
      </c>
    </row>
    <row r="66" spans="1:38">
      <c r="A66" s="27" t="s">
        <v>3877</v>
      </c>
      <c r="B66" s="27" t="s">
        <v>3878</v>
      </c>
      <c r="C66" s="27" t="s">
        <v>1400</v>
      </c>
      <c r="D66" s="27" t="s">
        <v>3252</v>
      </c>
      <c r="E66" s="27" t="s">
        <v>638</v>
      </c>
      <c r="F66" s="28">
        <v>46078.012049317127</v>
      </c>
      <c r="G66" s="28">
        <v>46078.012049317127</v>
      </c>
      <c r="H66" s="28">
        <v>46219.069472824071</v>
      </c>
      <c r="I66" s="27" t="s">
        <v>1405</v>
      </c>
      <c r="J66" s="27" t="s">
        <v>1401</v>
      </c>
      <c r="K66" s="27">
        <v>789</v>
      </c>
      <c r="L66" s="27" t="s">
        <v>1402</v>
      </c>
      <c r="M66" s="27" t="s">
        <v>1118</v>
      </c>
      <c r="N66" s="27" t="s">
        <v>3278</v>
      </c>
      <c r="O66" s="27" t="s">
        <v>3256</v>
      </c>
      <c r="P66" s="27" t="s">
        <v>3257</v>
      </c>
      <c r="Q66" s="27" t="s">
        <v>3879</v>
      </c>
      <c r="R66" s="27" t="s">
        <v>116</v>
      </c>
      <c r="S66" s="27"/>
      <c r="T66" s="27"/>
      <c r="U66" s="27" t="s">
        <v>559</v>
      </c>
      <c r="V66" s="28">
        <v>46078.032420960648</v>
      </c>
      <c r="W66" s="27" t="s">
        <v>1121</v>
      </c>
      <c r="X66" s="27" t="s">
        <v>559</v>
      </c>
      <c r="Y66" s="27" t="s">
        <v>2303</v>
      </c>
      <c r="Z66" s="28">
        <v>46080.090211168979</v>
      </c>
      <c r="AA66" s="27" t="s">
        <v>2748</v>
      </c>
      <c r="AB66" s="27" t="s">
        <v>559</v>
      </c>
      <c r="AC66" s="27" t="s">
        <v>3880</v>
      </c>
      <c r="AD66" s="28">
        <v>46085.194525729166</v>
      </c>
      <c r="AE66" s="27" t="s">
        <v>3261</v>
      </c>
      <c r="AF66" s="27" t="s">
        <v>559</v>
      </c>
      <c r="AG66" s="27" t="s">
        <v>3881</v>
      </c>
      <c r="AH66" s="28">
        <v>46219.069472824071</v>
      </c>
      <c r="AI66" s="27" t="s">
        <v>3284</v>
      </c>
      <c r="AJ66" s="27" t="s">
        <v>559</v>
      </c>
      <c r="AK66" s="27" t="s">
        <v>3882</v>
      </c>
      <c r="AL66" s="27" t="s">
        <v>3883</v>
      </c>
    </row>
    <row r="67" spans="1:38">
      <c r="A67" s="27" t="s">
        <v>3884</v>
      </c>
      <c r="B67" s="27" t="s">
        <v>3885</v>
      </c>
      <c r="C67" s="27" t="s">
        <v>3443</v>
      </c>
      <c r="D67" s="27" t="s">
        <v>3252</v>
      </c>
      <c r="E67" s="27" t="s">
        <v>638</v>
      </c>
      <c r="F67" s="28">
        <v>46078.141089988429</v>
      </c>
      <c r="G67" s="28">
        <v>46078.15010053241</v>
      </c>
      <c r="H67" s="28">
        <v>46091.358556932872</v>
      </c>
      <c r="I67" s="27" t="s">
        <v>3444</v>
      </c>
      <c r="J67" s="27" t="s">
        <v>3445</v>
      </c>
      <c r="K67" s="27">
        <v>859</v>
      </c>
      <c r="L67" s="27" t="s">
        <v>3446</v>
      </c>
      <c r="M67" s="27" t="s">
        <v>1136</v>
      </c>
      <c r="N67" s="27" t="s">
        <v>3448</v>
      </c>
      <c r="O67" s="27" t="s">
        <v>3322</v>
      </c>
      <c r="P67" s="27" t="s">
        <v>3257</v>
      </c>
      <c r="Q67" s="27" t="s">
        <v>3886</v>
      </c>
      <c r="R67" s="27" t="s">
        <v>107</v>
      </c>
      <c r="S67" s="27" t="s">
        <v>3887</v>
      </c>
      <c r="T67" s="27"/>
      <c r="U67" s="27" t="s">
        <v>559</v>
      </c>
      <c r="V67" s="28">
        <v>46079.261650405089</v>
      </c>
      <c r="W67" s="27" t="s">
        <v>753</v>
      </c>
      <c r="X67" s="27" t="s">
        <v>559</v>
      </c>
      <c r="Y67" s="27" t="s">
        <v>2303</v>
      </c>
      <c r="Z67" s="28">
        <v>46079.278661990742</v>
      </c>
      <c r="AA67" s="27" t="s">
        <v>2748</v>
      </c>
      <c r="AB67" s="27" t="s">
        <v>559</v>
      </c>
      <c r="AC67" s="27" t="s">
        <v>3888</v>
      </c>
      <c r="AD67" s="28">
        <v>46079.323854571761</v>
      </c>
      <c r="AE67" s="27" t="s">
        <v>3261</v>
      </c>
      <c r="AF67" s="27" t="s">
        <v>559</v>
      </c>
      <c r="AG67" s="27" t="s">
        <v>3889</v>
      </c>
      <c r="AH67" s="28">
        <v>46091.358556944448</v>
      </c>
      <c r="AI67" s="27" t="s">
        <v>3261</v>
      </c>
      <c r="AJ67" s="27" t="s">
        <v>559</v>
      </c>
      <c r="AK67" s="27" t="s">
        <v>3890</v>
      </c>
      <c r="AL67" s="27" t="s">
        <v>3455</v>
      </c>
    </row>
    <row r="68" spans="1:38">
      <c r="A68" s="27" t="s">
        <v>3891</v>
      </c>
      <c r="B68" s="27" t="s">
        <v>3892</v>
      </c>
      <c r="C68" s="27" t="s">
        <v>3893</v>
      </c>
      <c r="D68" s="27" t="s">
        <v>3252</v>
      </c>
      <c r="E68" s="27" t="s">
        <v>638</v>
      </c>
      <c r="F68" s="28">
        <v>46078.257248530092</v>
      </c>
      <c r="G68" s="28">
        <v>46078.257248530092</v>
      </c>
      <c r="H68" s="28">
        <v>46079.240320474535</v>
      </c>
      <c r="I68" s="27" t="s">
        <v>3894</v>
      </c>
      <c r="J68" s="27" t="s">
        <v>3895</v>
      </c>
      <c r="K68" s="27" t="s">
        <v>3896</v>
      </c>
      <c r="L68" s="27" t="s">
        <v>3897</v>
      </c>
      <c r="M68" s="27" t="s">
        <v>1454</v>
      </c>
      <c r="N68" s="27" t="s">
        <v>3898</v>
      </c>
      <c r="O68" s="27" t="s">
        <v>3256</v>
      </c>
      <c r="P68" s="27" t="s">
        <v>3292</v>
      </c>
      <c r="Q68" s="27" t="s">
        <v>3899</v>
      </c>
      <c r="R68" s="27" t="s">
        <v>116</v>
      </c>
      <c r="S68" s="27"/>
      <c r="T68" s="27"/>
      <c r="U68" s="27" t="s">
        <v>3900</v>
      </c>
      <c r="V68" s="28">
        <v>46078.267276550927</v>
      </c>
      <c r="W68" s="27" t="s">
        <v>778</v>
      </c>
      <c r="X68" s="27" t="s">
        <v>559</v>
      </c>
      <c r="Y68" s="27" t="s">
        <v>3901</v>
      </c>
      <c r="Z68" s="28">
        <v>46078.277961643522</v>
      </c>
      <c r="AA68" s="27" t="s">
        <v>1908</v>
      </c>
      <c r="AB68" s="27" t="s">
        <v>559</v>
      </c>
      <c r="AC68" s="27" t="s">
        <v>3902</v>
      </c>
      <c r="AD68" s="28">
        <v>46078.288705277781</v>
      </c>
      <c r="AE68" s="27" t="s">
        <v>3261</v>
      </c>
      <c r="AF68" s="27" t="s">
        <v>559</v>
      </c>
      <c r="AG68" s="27" t="s">
        <v>3903</v>
      </c>
      <c r="AH68" s="28">
        <v>46079.240320486111</v>
      </c>
      <c r="AI68" s="27" t="s">
        <v>716</v>
      </c>
      <c r="AJ68" s="27" t="s">
        <v>559</v>
      </c>
      <c r="AK68" s="27" t="s">
        <v>3904</v>
      </c>
      <c r="AL68" s="27" t="s">
        <v>3905</v>
      </c>
    </row>
    <row r="69" spans="1:38">
      <c r="A69" s="27" t="s">
        <v>3906</v>
      </c>
      <c r="B69" s="27" t="s">
        <v>3907</v>
      </c>
      <c r="C69" s="27" t="s">
        <v>3893</v>
      </c>
      <c r="D69" s="27" t="s">
        <v>3252</v>
      </c>
      <c r="E69" s="27" t="s">
        <v>638</v>
      </c>
      <c r="F69" s="28">
        <v>46078.259619907411</v>
      </c>
      <c r="G69" s="28">
        <v>46078.259619907411</v>
      </c>
      <c r="H69" s="28">
        <v>46142.147448124997</v>
      </c>
      <c r="I69" s="27" t="s">
        <v>3894</v>
      </c>
      <c r="J69" s="27" t="s">
        <v>3895</v>
      </c>
      <c r="K69" s="27" t="s">
        <v>3896</v>
      </c>
      <c r="L69" s="27" t="s">
        <v>3897</v>
      </c>
      <c r="M69" s="27" t="s">
        <v>1454</v>
      </c>
      <c r="N69" s="27" t="s">
        <v>3898</v>
      </c>
      <c r="O69" s="27" t="s">
        <v>3256</v>
      </c>
      <c r="P69" s="27" t="s">
        <v>3257</v>
      </c>
      <c r="Q69" s="27" t="s">
        <v>3908</v>
      </c>
      <c r="R69" s="27" t="s">
        <v>116</v>
      </c>
      <c r="S69" s="27"/>
      <c r="T69" s="27"/>
      <c r="U69" s="27" t="s">
        <v>3900</v>
      </c>
      <c r="V69" s="28">
        <v>46078.267039618055</v>
      </c>
      <c r="W69" s="27" t="s">
        <v>778</v>
      </c>
      <c r="X69" s="27" t="s">
        <v>559</v>
      </c>
      <c r="Y69" s="27" t="s">
        <v>3901</v>
      </c>
      <c r="Z69" s="28">
        <v>46078.277938946761</v>
      </c>
      <c r="AA69" s="27" t="s">
        <v>1908</v>
      </c>
      <c r="AB69" s="27" t="s">
        <v>559</v>
      </c>
      <c r="AC69" s="27" t="s">
        <v>3902</v>
      </c>
      <c r="AD69" s="28">
        <v>46078.288740474534</v>
      </c>
      <c r="AE69" s="27" t="s">
        <v>3261</v>
      </c>
      <c r="AF69" s="27" t="s">
        <v>559</v>
      </c>
      <c r="AG69" s="27" t="s">
        <v>3909</v>
      </c>
      <c r="AH69" s="28">
        <v>46142.147448148149</v>
      </c>
      <c r="AI69" s="27" t="s">
        <v>3261</v>
      </c>
      <c r="AJ69" s="27" t="s">
        <v>559</v>
      </c>
      <c r="AK69" s="27" t="s">
        <v>3910</v>
      </c>
      <c r="AL69" s="27" t="s">
        <v>3905</v>
      </c>
    </row>
    <row r="70" spans="1:38">
      <c r="A70" s="27" t="s">
        <v>3911</v>
      </c>
      <c r="B70" s="27" t="s">
        <v>3912</v>
      </c>
      <c r="C70" s="27" t="s">
        <v>3599</v>
      </c>
      <c r="D70" s="27" t="s">
        <v>3252</v>
      </c>
      <c r="E70" s="27" t="s">
        <v>638</v>
      </c>
      <c r="F70" s="28">
        <v>46079.317320196758</v>
      </c>
      <c r="G70" s="28">
        <v>46079.317320196758</v>
      </c>
      <c r="H70" s="28">
        <v>46092.031580462964</v>
      </c>
      <c r="I70" s="27" t="s">
        <v>3913</v>
      </c>
      <c r="J70" s="27" t="s">
        <v>3914</v>
      </c>
      <c r="K70" s="27" t="s">
        <v>3915</v>
      </c>
      <c r="L70" s="27" t="s">
        <v>3916</v>
      </c>
      <c r="M70" s="27" t="s">
        <v>716</v>
      </c>
      <c r="N70" s="27" t="s">
        <v>3917</v>
      </c>
      <c r="O70" s="27" t="s">
        <v>3256</v>
      </c>
      <c r="P70" s="27" t="s">
        <v>3344</v>
      </c>
      <c r="Q70" s="27" t="s">
        <v>3918</v>
      </c>
      <c r="R70" s="27" t="s">
        <v>107</v>
      </c>
      <c r="S70" s="27"/>
      <c r="T70" s="27"/>
      <c r="U70" s="27" t="s">
        <v>559</v>
      </c>
      <c r="V70" s="28">
        <v>46079.34509091435</v>
      </c>
      <c r="W70" s="27" t="s">
        <v>716</v>
      </c>
      <c r="X70" s="27" t="s">
        <v>559</v>
      </c>
      <c r="Y70" s="27" t="s">
        <v>2303</v>
      </c>
      <c r="Z70" s="28">
        <v>46080.089068125002</v>
      </c>
      <c r="AA70" s="27" t="s">
        <v>2748</v>
      </c>
      <c r="AB70" s="27" t="s">
        <v>559</v>
      </c>
      <c r="AC70" s="27" t="s">
        <v>3919</v>
      </c>
      <c r="AD70" s="28">
        <v>46080.120909965277</v>
      </c>
      <c r="AE70" s="27" t="s">
        <v>3261</v>
      </c>
      <c r="AF70" s="27" t="s">
        <v>559</v>
      </c>
      <c r="AG70" s="27" t="s">
        <v>649</v>
      </c>
      <c r="AH70" s="28">
        <v>46092.031580474541</v>
      </c>
      <c r="AI70" s="27" t="s">
        <v>3920</v>
      </c>
      <c r="AJ70" s="27" t="s">
        <v>559</v>
      </c>
      <c r="AK70" s="27" t="s">
        <v>3921</v>
      </c>
      <c r="AL70" s="27" t="s">
        <v>3922</v>
      </c>
    </row>
    <row r="71" spans="1:38">
      <c r="A71" s="27" t="s">
        <v>3923</v>
      </c>
      <c r="B71" s="27" t="s">
        <v>3924</v>
      </c>
      <c r="C71" s="27" t="s">
        <v>3599</v>
      </c>
      <c r="D71" s="27" t="s">
        <v>3252</v>
      </c>
      <c r="E71" s="27" t="s">
        <v>638</v>
      </c>
      <c r="F71" s="28">
        <v>46079.319074907406</v>
      </c>
      <c r="G71" s="28">
        <v>46079.319074907406</v>
      </c>
      <c r="H71" s="28">
        <v>46092.287532800925</v>
      </c>
      <c r="I71" s="27" t="s">
        <v>3913</v>
      </c>
      <c r="J71" s="27" t="s">
        <v>3914</v>
      </c>
      <c r="K71" s="27" t="s">
        <v>3915</v>
      </c>
      <c r="L71" s="27" t="s">
        <v>3916</v>
      </c>
      <c r="M71" s="27" t="s">
        <v>716</v>
      </c>
      <c r="N71" s="27" t="s">
        <v>3917</v>
      </c>
      <c r="O71" s="27" t="s">
        <v>3256</v>
      </c>
      <c r="P71" s="27" t="s">
        <v>3257</v>
      </c>
      <c r="Q71" s="27" t="s">
        <v>3925</v>
      </c>
      <c r="R71" s="27" t="s">
        <v>107</v>
      </c>
      <c r="S71" s="27"/>
      <c r="T71" s="27"/>
      <c r="U71" s="27" t="s">
        <v>3926</v>
      </c>
      <c r="V71" s="28">
        <v>46079.344619872689</v>
      </c>
      <c r="W71" s="27" t="s">
        <v>716</v>
      </c>
      <c r="X71" s="27" t="s">
        <v>559</v>
      </c>
      <c r="Y71" s="27" t="s">
        <v>2303</v>
      </c>
      <c r="Z71" s="28">
        <v>46080.089454780093</v>
      </c>
      <c r="AA71" s="27" t="s">
        <v>2748</v>
      </c>
      <c r="AB71" s="27" t="s">
        <v>559</v>
      </c>
      <c r="AC71" s="27" t="s">
        <v>3927</v>
      </c>
      <c r="AD71" s="28">
        <v>46080.121178009256</v>
      </c>
      <c r="AE71" s="27" t="s">
        <v>3261</v>
      </c>
      <c r="AF71" s="27" t="s">
        <v>559</v>
      </c>
      <c r="AG71" s="27" t="s">
        <v>649</v>
      </c>
      <c r="AH71" s="28">
        <v>46092.287532824077</v>
      </c>
      <c r="AI71" s="27" t="s">
        <v>3920</v>
      </c>
      <c r="AJ71" s="27" t="s">
        <v>559</v>
      </c>
      <c r="AK71" s="27" t="s">
        <v>3928</v>
      </c>
      <c r="AL71" s="27" t="s">
        <v>3922</v>
      </c>
    </row>
    <row r="72" spans="1:38">
      <c r="A72" s="27" t="s">
        <v>3929</v>
      </c>
      <c r="B72" s="27" t="s">
        <v>3930</v>
      </c>
      <c r="C72" s="27" t="s">
        <v>3931</v>
      </c>
      <c r="D72" s="27" t="s">
        <v>3252</v>
      </c>
      <c r="E72" s="27" t="s">
        <v>638</v>
      </c>
      <c r="F72" s="28">
        <v>46080.183925196761</v>
      </c>
      <c r="G72" s="28">
        <v>46080.183925196761</v>
      </c>
      <c r="H72" s="28">
        <v>46094.591606504633</v>
      </c>
      <c r="I72" s="27" t="s">
        <v>3932</v>
      </c>
      <c r="J72" s="27" t="s">
        <v>3933</v>
      </c>
      <c r="K72" s="27" t="s">
        <v>3934</v>
      </c>
      <c r="L72" s="27" t="s">
        <v>3935</v>
      </c>
      <c r="M72" s="27" t="s">
        <v>3936</v>
      </c>
      <c r="N72" s="27" t="s">
        <v>3933</v>
      </c>
      <c r="O72" s="27" t="s">
        <v>3256</v>
      </c>
      <c r="P72" s="27" t="s">
        <v>3292</v>
      </c>
      <c r="Q72" s="27" t="s">
        <v>3937</v>
      </c>
      <c r="R72" s="27" t="s">
        <v>125</v>
      </c>
      <c r="S72" s="27"/>
      <c r="T72" s="27"/>
      <c r="U72" s="27" t="s">
        <v>1109</v>
      </c>
      <c r="V72" s="28">
        <v>46080.191637638891</v>
      </c>
      <c r="W72" s="27" t="s">
        <v>3938</v>
      </c>
      <c r="X72" s="27" t="s">
        <v>559</v>
      </c>
      <c r="Y72" s="27" t="s">
        <v>3939</v>
      </c>
      <c r="Z72" s="28">
        <v>46080.329951238426</v>
      </c>
      <c r="AA72" s="27" t="s">
        <v>2748</v>
      </c>
      <c r="AB72" s="27" t="s">
        <v>559</v>
      </c>
      <c r="AC72" s="27" t="s">
        <v>3940</v>
      </c>
      <c r="AD72" s="28">
        <v>46084.084973703706</v>
      </c>
      <c r="AE72" s="27" t="s">
        <v>3261</v>
      </c>
      <c r="AF72" s="27" t="s">
        <v>559</v>
      </c>
      <c r="AG72" s="27" t="s">
        <v>649</v>
      </c>
      <c r="AH72" s="28">
        <v>46094.591606516202</v>
      </c>
      <c r="AI72" s="27" t="s">
        <v>1083</v>
      </c>
      <c r="AJ72" s="27" t="s">
        <v>559</v>
      </c>
      <c r="AK72" s="27" t="s">
        <v>3941</v>
      </c>
      <c r="AL72" s="27" t="s">
        <v>3942</v>
      </c>
    </row>
    <row r="73" spans="1:38">
      <c r="A73" s="27" t="s">
        <v>3943</v>
      </c>
      <c r="B73" s="27" t="s">
        <v>3944</v>
      </c>
      <c r="C73" s="27" t="s">
        <v>3931</v>
      </c>
      <c r="D73" s="27" t="s">
        <v>3252</v>
      </c>
      <c r="E73" s="27" t="s">
        <v>638</v>
      </c>
      <c r="F73" s="28">
        <v>46083.17626547454</v>
      </c>
      <c r="G73" s="28">
        <v>46083.17626547454</v>
      </c>
      <c r="H73" s="28">
        <v>46163.057901701388</v>
      </c>
      <c r="I73" s="27" t="s">
        <v>3932</v>
      </c>
      <c r="J73" s="27" t="s">
        <v>3933</v>
      </c>
      <c r="K73" s="27" t="s">
        <v>3934</v>
      </c>
      <c r="L73" s="27" t="s">
        <v>3935</v>
      </c>
      <c r="M73" s="27" t="s">
        <v>3936</v>
      </c>
      <c r="N73" s="27" t="s">
        <v>3933</v>
      </c>
      <c r="O73" s="27" t="s">
        <v>3256</v>
      </c>
      <c r="P73" s="27" t="s">
        <v>3257</v>
      </c>
      <c r="Q73" s="27" t="s">
        <v>3945</v>
      </c>
      <c r="R73" s="27" t="s">
        <v>125</v>
      </c>
      <c r="S73" s="27"/>
      <c r="T73" s="27"/>
      <c r="U73" s="27" t="s">
        <v>1109</v>
      </c>
      <c r="V73" s="28">
        <v>46083.180361516206</v>
      </c>
      <c r="W73" s="27" t="s">
        <v>3938</v>
      </c>
      <c r="X73" s="27" t="s">
        <v>559</v>
      </c>
      <c r="Y73" s="27" t="s">
        <v>2303</v>
      </c>
      <c r="Z73" s="28">
        <v>46084.040450486114</v>
      </c>
      <c r="AA73" s="27" t="s">
        <v>2748</v>
      </c>
      <c r="AB73" s="27" t="s">
        <v>559</v>
      </c>
      <c r="AC73" s="27" t="s">
        <v>3810</v>
      </c>
      <c r="AD73" s="28">
        <v>46084.187990972219</v>
      </c>
      <c r="AE73" s="27" t="s">
        <v>3261</v>
      </c>
      <c r="AF73" s="27" t="s">
        <v>559</v>
      </c>
      <c r="AG73" s="27" t="s">
        <v>3946</v>
      </c>
      <c r="AH73" s="28">
        <v>46163.057901701388</v>
      </c>
      <c r="AI73" s="27" t="s">
        <v>3380</v>
      </c>
      <c r="AJ73" s="27" t="s">
        <v>559</v>
      </c>
      <c r="AK73" s="27" t="s">
        <v>3947</v>
      </c>
      <c r="AL73" s="27" t="s">
        <v>3942</v>
      </c>
    </row>
    <row r="74" spans="1:38">
      <c r="A74" s="27" t="s">
        <v>3948</v>
      </c>
      <c r="B74" s="27" t="s">
        <v>3949</v>
      </c>
      <c r="C74" s="27" t="s">
        <v>3950</v>
      </c>
      <c r="D74" s="27" t="s">
        <v>3252</v>
      </c>
      <c r="E74" s="27" t="s">
        <v>638</v>
      </c>
      <c r="F74" s="28">
        <v>46083.204416006942</v>
      </c>
      <c r="G74" s="28">
        <v>46083.204416006942</v>
      </c>
      <c r="H74" s="28">
        <v>46112.119710879633</v>
      </c>
      <c r="I74" s="27" t="s">
        <v>3894</v>
      </c>
      <c r="J74" s="27" t="s">
        <v>3895</v>
      </c>
      <c r="K74" s="27" t="s">
        <v>3896</v>
      </c>
      <c r="L74" s="27" t="s">
        <v>3897</v>
      </c>
      <c r="M74" s="27" t="s">
        <v>1454</v>
      </c>
      <c r="N74" s="27" t="s">
        <v>3898</v>
      </c>
      <c r="O74" s="27" t="s">
        <v>3256</v>
      </c>
      <c r="P74" s="27" t="s">
        <v>3257</v>
      </c>
      <c r="Q74" s="27" t="s">
        <v>3951</v>
      </c>
      <c r="R74" s="27" t="s">
        <v>107</v>
      </c>
      <c r="S74" s="27"/>
      <c r="T74" s="27"/>
      <c r="U74" s="27" t="s">
        <v>3952</v>
      </c>
      <c r="V74" s="28">
        <v>46085.057235821761</v>
      </c>
      <c r="W74" s="27" t="s">
        <v>778</v>
      </c>
      <c r="X74" s="27" t="s">
        <v>559</v>
      </c>
      <c r="Y74" s="27" t="s">
        <v>2303</v>
      </c>
      <c r="Z74" s="28">
        <v>46090.114045648152</v>
      </c>
      <c r="AA74" s="27" t="s">
        <v>2748</v>
      </c>
      <c r="AB74" s="27" t="s">
        <v>559</v>
      </c>
      <c r="AC74" s="27" t="s">
        <v>3953</v>
      </c>
      <c r="AD74" s="28">
        <v>46092.326412164351</v>
      </c>
      <c r="AE74" s="27" t="s">
        <v>3261</v>
      </c>
      <c r="AF74" s="27" t="s">
        <v>559</v>
      </c>
      <c r="AG74" s="27" t="s">
        <v>649</v>
      </c>
      <c r="AH74" s="28">
        <v>46112.119710891202</v>
      </c>
      <c r="AI74" s="27" t="s">
        <v>3429</v>
      </c>
      <c r="AJ74" s="27" t="s">
        <v>559</v>
      </c>
      <c r="AK74" s="27" t="s">
        <v>3954</v>
      </c>
      <c r="AL74" s="27" t="s">
        <v>3905</v>
      </c>
    </row>
    <row r="75" spans="1:38">
      <c r="A75" s="27" t="s">
        <v>3955</v>
      </c>
      <c r="B75" s="27" t="s">
        <v>3956</v>
      </c>
      <c r="C75" s="27" t="s">
        <v>3957</v>
      </c>
      <c r="D75" s="27" t="s">
        <v>3252</v>
      </c>
      <c r="E75" s="27" t="s">
        <v>638</v>
      </c>
      <c r="F75" s="28">
        <v>46083.204575173608</v>
      </c>
      <c r="G75" s="28">
        <v>46083.204575173608</v>
      </c>
      <c r="H75" s="28">
        <v>46112.119832291668</v>
      </c>
      <c r="I75" s="27" t="s">
        <v>3894</v>
      </c>
      <c r="J75" s="27" t="s">
        <v>3895</v>
      </c>
      <c r="K75" s="27" t="s">
        <v>3896</v>
      </c>
      <c r="L75" s="27" t="s">
        <v>3897</v>
      </c>
      <c r="M75" s="27" t="s">
        <v>1454</v>
      </c>
      <c r="N75" s="27" t="s">
        <v>3898</v>
      </c>
      <c r="O75" s="27" t="s">
        <v>3256</v>
      </c>
      <c r="P75" s="27" t="s">
        <v>3292</v>
      </c>
      <c r="Q75" s="27" t="s">
        <v>3958</v>
      </c>
      <c r="R75" s="27" t="s">
        <v>107</v>
      </c>
      <c r="S75" s="27"/>
      <c r="T75" s="27"/>
      <c r="U75" s="27" t="s">
        <v>3952</v>
      </c>
      <c r="V75" s="28">
        <v>46085.056509664355</v>
      </c>
      <c r="W75" s="27" t="s">
        <v>778</v>
      </c>
      <c r="X75" s="27" t="s">
        <v>559</v>
      </c>
      <c r="Y75" s="27" t="s">
        <v>2303</v>
      </c>
      <c r="Z75" s="28">
        <v>46091.28116539352</v>
      </c>
      <c r="AA75" s="27" t="s">
        <v>2748</v>
      </c>
      <c r="AB75" s="27" t="s">
        <v>559</v>
      </c>
      <c r="AC75" s="27" t="s">
        <v>3959</v>
      </c>
      <c r="AD75" s="28">
        <v>46092.327011747686</v>
      </c>
      <c r="AE75" s="27" t="s">
        <v>3261</v>
      </c>
      <c r="AF75" s="27" t="s">
        <v>559</v>
      </c>
      <c r="AG75" s="27" t="s">
        <v>649</v>
      </c>
      <c r="AH75" s="28">
        <v>46112.119832291668</v>
      </c>
      <c r="AI75" s="27" t="s">
        <v>3429</v>
      </c>
      <c r="AJ75" s="27" t="s">
        <v>559</v>
      </c>
      <c r="AK75" s="27" t="s">
        <v>3960</v>
      </c>
      <c r="AL75" s="27" t="s">
        <v>3905</v>
      </c>
    </row>
    <row r="76" spans="1:38">
      <c r="A76" s="27" t="s">
        <v>3961</v>
      </c>
      <c r="B76" s="27" t="s">
        <v>3962</v>
      </c>
      <c r="C76" s="27" t="s">
        <v>982</v>
      </c>
      <c r="D76" s="27" t="s">
        <v>3252</v>
      </c>
      <c r="E76" s="27" t="s">
        <v>638</v>
      </c>
      <c r="F76" s="28">
        <v>46083.205160763886</v>
      </c>
      <c r="G76" s="28">
        <v>46083.205160763886</v>
      </c>
      <c r="H76" s="28">
        <v>46093.176621701386</v>
      </c>
      <c r="I76" s="27" t="s">
        <v>3963</v>
      </c>
      <c r="J76" s="27" t="s">
        <v>3964</v>
      </c>
      <c r="K76" s="27">
        <v>4739</v>
      </c>
      <c r="L76" s="27" t="s">
        <v>3965</v>
      </c>
      <c r="M76" s="27" t="s">
        <v>3966</v>
      </c>
      <c r="N76" s="27" t="s">
        <v>3967</v>
      </c>
      <c r="O76" s="27" t="s">
        <v>3256</v>
      </c>
      <c r="P76" s="27" t="s">
        <v>3257</v>
      </c>
      <c r="Q76" s="27" t="s">
        <v>3968</v>
      </c>
      <c r="R76" s="27" t="s">
        <v>116</v>
      </c>
      <c r="S76" s="27"/>
      <c r="T76" s="27"/>
      <c r="U76" s="27" t="s">
        <v>3969</v>
      </c>
      <c r="V76" s="28">
        <v>46083.312263136577</v>
      </c>
      <c r="W76" s="27" t="s">
        <v>985</v>
      </c>
      <c r="X76" s="27" t="s">
        <v>559</v>
      </c>
      <c r="Y76" s="27" t="s">
        <v>2303</v>
      </c>
      <c r="Z76" s="28">
        <v>46084.04147596065</v>
      </c>
      <c r="AA76" s="27" t="s">
        <v>2748</v>
      </c>
      <c r="AB76" s="27" t="s">
        <v>559</v>
      </c>
      <c r="AC76" s="27" t="s">
        <v>3970</v>
      </c>
      <c r="AD76" s="28">
        <v>46085.198255972224</v>
      </c>
      <c r="AE76" s="27" t="s">
        <v>3261</v>
      </c>
      <c r="AF76" s="27" t="s">
        <v>559</v>
      </c>
      <c r="AG76" s="27" t="s">
        <v>3971</v>
      </c>
      <c r="AH76" s="28">
        <v>46093.176621712963</v>
      </c>
      <c r="AI76" s="27" t="s">
        <v>775</v>
      </c>
      <c r="AJ76" s="27" t="s">
        <v>559</v>
      </c>
      <c r="AK76" s="27" t="s">
        <v>3972</v>
      </c>
      <c r="AL76" s="27" t="s">
        <v>3973</v>
      </c>
    </row>
    <row r="77" spans="1:38">
      <c r="A77" s="27" t="s">
        <v>3974</v>
      </c>
      <c r="B77" s="27" t="s">
        <v>3975</v>
      </c>
      <c r="C77" s="27" t="s">
        <v>3976</v>
      </c>
      <c r="D77" s="27" t="s">
        <v>3252</v>
      </c>
      <c r="E77" s="27" t="s">
        <v>638</v>
      </c>
      <c r="F77" s="28">
        <v>46083.205393171294</v>
      </c>
      <c r="G77" s="28">
        <v>46085.315212430556</v>
      </c>
      <c r="H77" s="28">
        <v>46092.370027395831</v>
      </c>
      <c r="I77" s="27" t="s">
        <v>3690</v>
      </c>
      <c r="J77" s="27" t="s">
        <v>3691</v>
      </c>
      <c r="K77" s="27" t="s">
        <v>3692</v>
      </c>
      <c r="L77" s="27" t="s">
        <v>3693</v>
      </c>
      <c r="M77" s="27" t="s">
        <v>3977</v>
      </c>
      <c r="N77" s="27" t="s">
        <v>3695</v>
      </c>
      <c r="O77" s="27" t="s">
        <v>3256</v>
      </c>
      <c r="P77" s="27" t="s">
        <v>3292</v>
      </c>
      <c r="Q77" s="27" t="s">
        <v>3978</v>
      </c>
      <c r="R77" s="27" t="s">
        <v>125</v>
      </c>
      <c r="S77" s="27"/>
      <c r="T77" s="27"/>
      <c r="U77" s="27" t="s">
        <v>3979</v>
      </c>
      <c r="V77" s="28">
        <v>46085.315914039355</v>
      </c>
      <c r="W77" s="27" t="s">
        <v>3689</v>
      </c>
      <c r="X77" s="27" t="s">
        <v>559</v>
      </c>
      <c r="Y77" s="27" t="s">
        <v>3980</v>
      </c>
      <c r="Z77" s="28">
        <v>46086.0998940625</v>
      </c>
      <c r="AA77" s="27" t="s">
        <v>3599</v>
      </c>
      <c r="AB77" s="27" t="s">
        <v>559</v>
      </c>
      <c r="AC77" s="27" t="s">
        <v>3981</v>
      </c>
      <c r="AD77" s="28">
        <v>46090.324439745367</v>
      </c>
      <c r="AE77" s="27" t="s">
        <v>3261</v>
      </c>
      <c r="AF77" s="27" t="s">
        <v>559</v>
      </c>
      <c r="AG77" s="27" t="s">
        <v>3903</v>
      </c>
      <c r="AH77" s="28">
        <v>46092.370027407407</v>
      </c>
      <c r="AI77" s="27" t="s">
        <v>3506</v>
      </c>
      <c r="AJ77" s="27" t="s">
        <v>559</v>
      </c>
      <c r="AK77" s="27" t="s">
        <v>3982</v>
      </c>
      <c r="AL77" s="27" t="s">
        <v>3700</v>
      </c>
    </row>
    <row r="78" spans="1:38">
      <c r="A78" s="27" t="s">
        <v>3983</v>
      </c>
      <c r="B78" s="27" t="s">
        <v>3984</v>
      </c>
      <c r="C78" s="27" t="s">
        <v>3950</v>
      </c>
      <c r="D78" s="27" t="s">
        <v>3252</v>
      </c>
      <c r="E78" s="27" t="s">
        <v>638</v>
      </c>
      <c r="F78" s="28">
        <v>46083.205858067129</v>
      </c>
      <c r="G78" s="28">
        <v>46083.205858078705</v>
      </c>
      <c r="H78" s="28">
        <v>46112.120001886571</v>
      </c>
      <c r="I78" s="27" t="s">
        <v>3894</v>
      </c>
      <c r="J78" s="27" t="s">
        <v>3895</v>
      </c>
      <c r="K78" s="27" t="s">
        <v>3896</v>
      </c>
      <c r="L78" s="27" t="s">
        <v>3897</v>
      </c>
      <c r="M78" s="27" t="s">
        <v>1454</v>
      </c>
      <c r="N78" s="27" t="s">
        <v>3898</v>
      </c>
      <c r="O78" s="27" t="s">
        <v>3256</v>
      </c>
      <c r="P78" s="27" t="s">
        <v>3292</v>
      </c>
      <c r="Q78" s="27" t="s">
        <v>3951</v>
      </c>
      <c r="R78" s="27" t="s">
        <v>107</v>
      </c>
      <c r="S78" s="27"/>
      <c r="T78" s="27"/>
      <c r="U78" s="27" t="s">
        <v>3952</v>
      </c>
      <c r="V78" s="28">
        <v>46085.055152199071</v>
      </c>
      <c r="W78" s="27" t="s">
        <v>778</v>
      </c>
      <c r="X78" s="27" t="s">
        <v>559</v>
      </c>
      <c r="Y78" s="27" t="s">
        <v>2303</v>
      </c>
      <c r="Z78" s="28">
        <v>46091.281476990742</v>
      </c>
      <c r="AA78" s="27" t="s">
        <v>2748</v>
      </c>
      <c r="AB78" s="27" t="s">
        <v>559</v>
      </c>
      <c r="AC78" s="27" t="s">
        <v>3953</v>
      </c>
      <c r="AD78" s="28">
        <v>46092.326269895835</v>
      </c>
      <c r="AE78" s="27" t="s">
        <v>3261</v>
      </c>
      <c r="AF78" s="27" t="s">
        <v>559</v>
      </c>
      <c r="AG78" s="27" t="s">
        <v>649</v>
      </c>
      <c r="AH78" s="28">
        <v>46112.120001886571</v>
      </c>
      <c r="AI78" s="27" t="s">
        <v>3429</v>
      </c>
      <c r="AJ78" s="27" t="s">
        <v>559</v>
      </c>
      <c r="AK78" s="27" t="s">
        <v>3985</v>
      </c>
      <c r="AL78" s="27" t="s">
        <v>3905</v>
      </c>
    </row>
    <row r="79" spans="1:38">
      <c r="A79" s="27" t="s">
        <v>3986</v>
      </c>
      <c r="B79" s="27" t="s">
        <v>3987</v>
      </c>
      <c r="C79" s="27" t="s">
        <v>3957</v>
      </c>
      <c r="D79" s="27" t="s">
        <v>3252</v>
      </c>
      <c r="E79" s="27" t="s">
        <v>638</v>
      </c>
      <c r="F79" s="28">
        <v>46083.20594104167</v>
      </c>
      <c r="G79" s="28">
        <v>46083.20594104167</v>
      </c>
      <c r="H79" s="28">
        <v>46112.120619328707</v>
      </c>
      <c r="I79" s="27" t="s">
        <v>3894</v>
      </c>
      <c r="J79" s="27" t="s">
        <v>3895</v>
      </c>
      <c r="K79" s="27" t="s">
        <v>3896</v>
      </c>
      <c r="L79" s="27" t="s">
        <v>3897</v>
      </c>
      <c r="M79" s="27" t="s">
        <v>1454</v>
      </c>
      <c r="N79" s="27" t="s">
        <v>3898</v>
      </c>
      <c r="O79" s="27" t="s">
        <v>3256</v>
      </c>
      <c r="P79" s="27" t="s">
        <v>3257</v>
      </c>
      <c r="Q79" s="27" t="s">
        <v>3988</v>
      </c>
      <c r="R79" s="27" t="s">
        <v>107</v>
      </c>
      <c r="S79" s="27"/>
      <c r="T79" s="27"/>
      <c r="U79" s="27" t="s">
        <v>3952</v>
      </c>
      <c r="V79" s="28">
        <v>46085.054448935189</v>
      </c>
      <c r="W79" s="27" t="s">
        <v>778</v>
      </c>
      <c r="X79" s="27" t="s">
        <v>559</v>
      </c>
      <c r="Y79" s="27" t="s">
        <v>2303</v>
      </c>
      <c r="Z79" s="28">
        <v>46091.281753541669</v>
      </c>
      <c r="AA79" s="27" t="s">
        <v>2748</v>
      </c>
      <c r="AB79" s="27" t="s">
        <v>559</v>
      </c>
      <c r="AC79" s="27" t="s">
        <v>3959</v>
      </c>
      <c r="AD79" s="28">
        <v>46092.32721797454</v>
      </c>
      <c r="AE79" s="27" t="s">
        <v>3261</v>
      </c>
      <c r="AF79" s="27" t="s">
        <v>559</v>
      </c>
      <c r="AG79" s="27" t="s">
        <v>649</v>
      </c>
      <c r="AH79" s="28">
        <v>46112.120619328707</v>
      </c>
      <c r="AI79" s="27" t="s">
        <v>3429</v>
      </c>
      <c r="AJ79" s="27" t="s">
        <v>559</v>
      </c>
      <c r="AK79" s="27" t="s">
        <v>3989</v>
      </c>
      <c r="AL79" s="27" t="s">
        <v>3905</v>
      </c>
    </row>
    <row r="80" spans="1:38">
      <c r="A80" s="27" t="s">
        <v>3990</v>
      </c>
      <c r="B80" s="27" t="s">
        <v>3991</v>
      </c>
      <c r="C80" s="27" t="s">
        <v>3471</v>
      </c>
      <c r="D80" s="27" t="s">
        <v>3252</v>
      </c>
      <c r="E80" s="27" t="s">
        <v>638</v>
      </c>
      <c r="F80" s="28">
        <v>46083.271344976849</v>
      </c>
      <c r="G80" s="28">
        <v>46083.271344976849</v>
      </c>
      <c r="H80" s="28">
        <v>46092.126240081016</v>
      </c>
      <c r="I80" s="27" t="s">
        <v>3472</v>
      </c>
      <c r="J80" s="27" t="s">
        <v>3473</v>
      </c>
      <c r="K80" s="27">
        <v>3948</v>
      </c>
      <c r="L80" s="27" t="s">
        <v>3474</v>
      </c>
      <c r="M80" s="27" t="s">
        <v>769</v>
      </c>
      <c r="N80" s="27" t="s">
        <v>3473</v>
      </c>
      <c r="O80" s="27" t="s">
        <v>3256</v>
      </c>
      <c r="P80" s="27" t="s">
        <v>3344</v>
      </c>
      <c r="Q80" s="27" t="s">
        <v>3992</v>
      </c>
      <c r="R80" s="27" t="s">
        <v>116</v>
      </c>
      <c r="S80" s="27"/>
      <c r="T80" s="27"/>
      <c r="U80" s="27" t="s">
        <v>681</v>
      </c>
      <c r="V80" s="28">
        <v>46085.048265138888</v>
      </c>
      <c r="W80" s="27" t="s">
        <v>769</v>
      </c>
      <c r="X80" s="27" t="s">
        <v>559</v>
      </c>
      <c r="Y80" s="27" t="s">
        <v>3993</v>
      </c>
      <c r="Z80" s="28">
        <v>46086.327214386576</v>
      </c>
      <c r="AA80" s="27" t="s">
        <v>3599</v>
      </c>
      <c r="AB80" s="27" t="s">
        <v>559</v>
      </c>
      <c r="AC80" s="27" t="s">
        <v>3994</v>
      </c>
      <c r="AD80" s="28">
        <v>46086.340543356484</v>
      </c>
      <c r="AE80" s="27" t="s">
        <v>3261</v>
      </c>
      <c r="AF80" s="27" t="s">
        <v>559</v>
      </c>
      <c r="AG80" s="27" t="s">
        <v>649</v>
      </c>
      <c r="AH80" s="28">
        <v>46092.126240092592</v>
      </c>
      <c r="AI80" s="27" t="s">
        <v>3361</v>
      </c>
      <c r="AJ80" s="27" t="s">
        <v>559</v>
      </c>
      <c r="AK80" s="27" t="s">
        <v>3995</v>
      </c>
      <c r="AL80" s="27" t="s">
        <v>3481</v>
      </c>
    </row>
    <row r="81" spans="1:38">
      <c r="A81" s="27" t="s">
        <v>3996</v>
      </c>
      <c r="B81" s="27" t="s">
        <v>3997</v>
      </c>
      <c r="C81" s="27" t="s">
        <v>982</v>
      </c>
      <c r="D81" s="27" t="s">
        <v>3252</v>
      </c>
      <c r="E81" s="27" t="s">
        <v>638</v>
      </c>
      <c r="F81" s="28">
        <v>46086.098320636571</v>
      </c>
      <c r="G81" s="28">
        <v>46086.098320636571</v>
      </c>
      <c r="H81" s="28">
        <v>46098.008077199076</v>
      </c>
      <c r="I81" s="27" t="s">
        <v>3963</v>
      </c>
      <c r="J81" s="27" t="s">
        <v>3964</v>
      </c>
      <c r="K81" s="27">
        <v>4739</v>
      </c>
      <c r="L81" s="27" t="s">
        <v>3965</v>
      </c>
      <c r="M81" s="27" t="s">
        <v>3966</v>
      </c>
      <c r="N81" s="27" t="s">
        <v>3967</v>
      </c>
      <c r="O81" s="27" t="s">
        <v>3256</v>
      </c>
      <c r="P81" s="27" t="s">
        <v>3257</v>
      </c>
      <c r="Q81" s="27" t="s">
        <v>3998</v>
      </c>
      <c r="R81" s="27" t="s">
        <v>116</v>
      </c>
      <c r="S81" s="27"/>
      <c r="T81" s="27"/>
      <c r="U81" s="27" t="s">
        <v>3999</v>
      </c>
      <c r="V81" s="28">
        <v>46086.112445231483</v>
      </c>
      <c r="W81" s="27" t="s">
        <v>985</v>
      </c>
      <c r="X81" s="27" t="s">
        <v>559</v>
      </c>
      <c r="Y81" s="27" t="s">
        <v>2303</v>
      </c>
      <c r="Z81" s="28">
        <v>46091.282881412037</v>
      </c>
      <c r="AA81" s="27" t="s">
        <v>2748</v>
      </c>
      <c r="AB81" s="27" t="s">
        <v>559</v>
      </c>
      <c r="AC81" s="27" t="s">
        <v>4000</v>
      </c>
      <c r="AD81" s="28">
        <v>46092.401859594909</v>
      </c>
      <c r="AE81" s="27" t="s">
        <v>3261</v>
      </c>
      <c r="AF81" s="27" t="s">
        <v>559</v>
      </c>
      <c r="AG81" s="27" t="s">
        <v>4001</v>
      </c>
      <c r="AH81" s="28">
        <v>46098.008077210645</v>
      </c>
      <c r="AI81" s="27" t="s">
        <v>3401</v>
      </c>
      <c r="AJ81" s="27" t="s">
        <v>559</v>
      </c>
      <c r="AK81" s="27" t="s">
        <v>4002</v>
      </c>
      <c r="AL81" s="27" t="s">
        <v>3973</v>
      </c>
    </row>
    <row r="82" spans="1:38">
      <c r="A82" s="27" t="s">
        <v>4003</v>
      </c>
      <c r="B82" s="27" t="s">
        <v>4004</v>
      </c>
      <c r="C82" s="27" t="s">
        <v>2193</v>
      </c>
      <c r="D82" s="27" t="s">
        <v>3252</v>
      </c>
      <c r="E82" s="27" t="s">
        <v>638</v>
      </c>
      <c r="F82" s="28">
        <v>46086.263465706019</v>
      </c>
      <c r="G82" s="28">
        <v>46086.363029988424</v>
      </c>
      <c r="H82" s="28">
        <v>46097.12368866898</v>
      </c>
      <c r="I82" s="27" t="s">
        <v>3726</v>
      </c>
      <c r="J82" s="27" t="s">
        <v>3727</v>
      </c>
      <c r="K82" s="27" t="s">
        <v>3728</v>
      </c>
      <c r="L82" s="27" t="s">
        <v>3729</v>
      </c>
      <c r="M82" s="27" t="s">
        <v>963</v>
      </c>
      <c r="N82" s="27" t="s">
        <v>3730</v>
      </c>
      <c r="O82" s="27" t="s">
        <v>3322</v>
      </c>
      <c r="P82" s="27" t="s">
        <v>3257</v>
      </c>
      <c r="Q82" s="27" t="s">
        <v>4005</v>
      </c>
      <c r="R82" s="27" t="s">
        <v>107</v>
      </c>
      <c r="S82" s="27" t="s">
        <v>4006</v>
      </c>
      <c r="T82" s="27"/>
      <c r="U82" s="27" t="s">
        <v>4007</v>
      </c>
      <c r="V82" s="28">
        <v>46090.049893530093</v>
      </c>
      <c r="W82" s="27" t="s">
        <v>912</v>
      </c>
      <c r="X82" s="27" t="s">
        <v>559</v>
      </c>
      <c r="Y82" s="27" t="s">
        <v>2303</v>
      </c>
      <c r="Z82" s="28">
        <v>46091.28526193287</v>
      </c>
      <c r="AA82" s="27" t="s">
        <v>2748</v>
      </c>
      <c r="AB82" s="27" t="s">
        <v>559</v>
      </c>
      <c r="AC82" s="27" t="s">
        <v>4008</v>
      </c>
      <c r="AD82" s="28">
        <v>46091.368695844911</v>
      </c>
      <c r="AE82" s="27" t="s">
        <v>3261</v>
      </c>
      <c r="AF82" s="27" t="s">
        <v>559</v>
      </c>
      <c r="AG82" s="27" t="s">
        <v>4009</v>
      </c>
      <c r="AH82" s="28">
        <v>46097.123688680556</v>
      </c>
      <c r="AI82" s="27" t="s">
        <v>3261</v>
      </c>
      <c r="AJ82" s="27" t="s">
        <v>559</v>
      </c>
      <c r="AK82" s="27" t="s">
        <v>4010</v>
      </c>
      <c r="AL82" s="27" t="s">
        <v>3736</v>
      </c>
    </row>
    <row r="83" spans="1:38">
      <c r="A83" s="27" t="s">
        <v>4011</v>
      </c>
      <c r="B83" s="27" t="s">
        <v>4012</v>
      </c>
      <c r="C83" s="27" t="s">
        <v>1376</v>
      </c>
      <c r="D83" s="27" t="s">
        <v>3252</v>
      </c>
      <c r="E83" s="27" t="s">
        <v>638</v>
      </c>
      <c r="F83" s="28">
        <v>46086.305306087961</v>
      </c>
      <c r="G83" s="28">
        <v>46086.305306087961</v>
      </c>
      <c r="H83" s="28">
        <v>46100.39461304398</v>
      </c>
      <c r="I83" s="27" t="s">
        <v>4013</v>
      </c>
      <c r="J83" s="27" t="s">
        <v>4014</v>
      </c>
      <c r="K83" s="27" t="s">
        <v>4015</v>
      </c>
      <c r="L83" s="27" t="s">
        <v>4016</v>
      </c>
      <c r="M83" s="27" t="s">
        <v>1118</v>
      </c>
      <c r="N83" s="27" t="s">
        <v>4017</v>
      </c>
      <c r="O83" s="27" t="s">
        <v>3256</v>
      </c>
      <c r="P83" s="27" t="s">
        <v>3344</v>
      </c>
      <c r="Q83" s="27" t="s">
        <v>4018</v>
      </c>
      <c r="R83" s="27" t="s">
        <v>107</v>
      </c>
      <c r="S83" s="27"/>
      <c r="T83" s="27"/>
      <c r="U83" s="27" t="s">
        <v>559</v>
      </c>
      <c r="V83" s="28">
        <v>46086.31136861111</v>
      </c>
      <c r="W83" s="27" t="s">
        <v>1121</v>
      </c>
      <c r="X83" s="27" t="s">
        <v>559</v>
      </c>
      <c r="Y83" s="27" t="s">
        <v>2303</v>
      </c>
      <c r="Z83" s="28">
        <v>46091.284103136575</v>
      </c>
      <c r="AA83" s="27" t="s">
        <v>2748</v>
      </c>
      <c r="AB83" s="27" t="s">
        <v>559</v>
      </c>
      <c r="AC83" s="27" t="s">
        <v>4019</v>
      </c>
      <c r="AD83" s="28">
        <v>46092.167422557868</v>
      </c>
      <c r="AE83" s="27" t="s">
        <v>3261</v>
      </c>
      <c r="AF83" s="27" t="s">
        <v>559</v>
      </c>
      <c r="AG83" s="27" t="s">
        <v>4020</v>
      </c>
      <c r="AH83" s="28">
        <v>46100.394613055556</v>
      </c>
      <c r="AI83" s="27" t="s">
        <v>2706</v>
      </c>
      <c r="AJ83" s="27" t="s">
        <v>559</v>
      </c>
      <c r="AK83" s="27" t="s">
        <v>4021</v>
      </c>
      <c r="AL83" s="27" t="s">
        <v>4022</v>
      </c>
    </row>
    <row r="84" spans="1:38">
      <c r="A84" s="27" t="s">
        <v>4023</v>
      </c>
      <c r="B84" s="27" t="s">
        <v>4024</v>
      </c>
      <c r="C84" s="27" t="s">
        <v>1409</v>
      </c>
      <c r="D84" s="27" t="s">
        <v>3252</v>
      </c>
      <c r="E84" s="27" t="s">
        <v>638</v>
      </c>
      <c r="F84" s="28">
        <v>46087.002873182872</v>
      </c>
      <c r="G84" s="28">
        <v>46087.002873182872</v>
      </c>
      <c r="H84" s="28">
        <v>46088.708198900466</v>
      </c>
      <c r="I84" s="27" t="s">
        <v>2324</v>
      </c>
      <c r="J84" s="27" t="s">
        <v>2321</v>
      </c>
      <c r="K84" s="27" t="s">
        <v>2325</v>
      </c>
      <c r="L84" s="27" t="s">
        <v>2311</v>
      </c>
      <c r="M84" s="27" t="s">
        <v>2315</v>
      </c>
      <c r="N84" s="27" t="s">
        <v>4025</v>
      </c>
      <c r="O84" s="27" t="s">
        <v>3322</v>
      </c>
      <c r="P84" s="27" t="s">
        <v>3257</v>
      </c>
      <c r="Q84" s="27" t="s">
        <v>4026</v>
      </c>
      <c r="R84" s="27" t="s">
        <v>116</v>
      </c>
      <c r="S84" s="27" t="s">
        <v>4027</v>
      </c>
      <c r="T84" s="27"/>
      <c r="U84" s="27" t="s">
        <v>4028</v>
      </c>
      <c r="V84" s="28">
        <v>46087.010035937499</v>
      </c>
      <c r="W84" s="27" t="s">
        <v>2315</v>
      </c>
      <c r="X84" s="27" t="s">
        <v>559</v>
      </c>
      <c r="Y84" s="27" t="s">
        <v>4029</v>
      </c>
      <c r="Z84" s="28">
        <v>46087.129106435183</v>
      </c>
      <c r="AA84" s="27" t="s">
        <v>3429</v>
      </c>
      <c r="AB84" s="27" t="s">
        <v>559</v>
      </c>
      <c r="AC84" s="27" t="s">
        <v>4030</v>
      </c>
      <c r="AD84" s="28">
        <v>46087.174869710645</v>
      </c>
      <c r="AE84" s="27" t="s">
        <v>3261</v>
      </c>
      <c r="AF84" s="27" t="s">
        <v>559</v>
      </c>
      <c r="AG84" s="27" t="s">
        <v>4031</v>
      </c>
      <c r="AH84" s="28">
        <v>46088.708198912034</v>
      </c>
      <c r="AI84" s="27" t="s">
        <v>2706</v>
      </c>
      <c r="AJ84" s="27" t="s">
        <v>559</v>
      </c>
      <c r="AK84" s="27" t="s">
        <v>4032</v>
      </c>
      <c r="AL84" s="27" t="s">
        <v>4033</v>
      </c>
    </row>
    <row r="85" spans="1:38">
      <c r="A85" s="27" t="s">
        <v>4034</v>
      </c>
      <c r="B85" s="27" t="s">
        <v>4035</v>
      </c>
      <c r="C85" s="27" t="s">
        <v>3605</v>
      </c>
      <c r="D85" s="27" t="s">
        <v>3252</v>
      </c>
      <c r="E85" s="27" t="s">
        <v>638</v>
      </c>
      <c r="F85" s="28">
        <v>46090.168200092594</v>
      </c>
      <c r="G85" s="28">
        <v>46090.168200092594</v>
      </c>
      <c r="H85" s="28">
        <v>46129.086684988426</v>
      </c>
      <c r="I85" s="27" t="s">
        <v>3606</v>
      </c>
      <c r="J85" s="27" t="s">
        <v>3607</v>
      </c>
      <c r="K85" s="27" t="s">
        <v>3608</v>
      </c>
      <c r="L85" s="27" t="s">
        <v>3607</v>
      </c>
      <c r="M85" s="27" t="s">
        <v>3605</v>
      </c>
      <c r="N85" s="27" t="s">
        <v>3610</v>
      </c>
      <c r="O85" s="27" t="s">
        <v>3256</v>
      </c>
      <c r="P85" s="27" t="s">
        <v>3292</v>
      </c>
      <c r="Q85" s="27" t="s">
        <v>4036</v>
      </c>
      <c r="R85" s="27" t="s">
        <v>125</v>
      </c>
      <c r="S85" s="27"/>
      <c r="T85" s="27"/>
      <c r="U85" s="27" t="s">
        <v>4037</v>
      </c>
      <c r="V85" s="28">
        <v>46090.173156747682</v>
      </c>
      <c r="W85" s="27" t="s">
        <v>3605</v>
      </c>
      <c r="X85" s="27" t="s">
        <v>559</v>
      </c>
      <c r="Y85" s="27" t="s">
        <v>2303</v>
      </c>
      <c r="Z85" s="28">
        <v>46091.28703550926</v>
      </c>
      <c r="AA85" s="27" t="s">
        <v>2748</v>
      </c>
      <c r="AB85" s="27" t="s">
        <v>559</v>
      </c>
      <c r="AC85" s="27" t="s">
        <v>4038</v>
      </c>
      <c r="AD85" s="28">
        <v>46092.16290703704</v>
      </c>
      <c r="AE85" s="27" t="s">
        <v>3261</v>
      </c>
      <c r="AF85" s="27" t="s">
        <v>559</v>
      </c>
      <c r="AG85" s="27" t="s">
        <v>638</v>
      </c>
      <c r="AH85" s="28">
        <v>46129.086685000002</v>
      </c>
      <c r="AI85" s="27" t="s">
        <v>3361</v>
      </c>
      <c r="AJ85" s="27" t="s">
        <v>559</v>
      </c>
      <c r="AK85" s="27" t="s">
        <v>4039</v>
      </c>
      <c r="AL85" s="27" t="s">
        <v>3616</v>
      </c>
    </row>
    <row r="86" spans="1:38">
      <c r="A86" s="27" t="s">
        <v>4040</v>
      </c>
      <c r="B86" s="27" t="s">
        <v>4041</v>
      </c>
      <c r="C86" s="27" t="s">
        <v>3605</v>
      </c>
      <c r="D86" s="27" t="s">
        <v>3252</v>
      </c>
      <c r="E86" s="27" t="s">
        <v>638</v>
      </c>
      <c r="F86" s="28">
        <v>46090.16904212963</v>
      </c>
      <c r="G86" s="28">
        <v>46090.16904212963</v>
      </c>
      <c r="H86" s="28">
        <v>46129.087061631944</v>
      </c>
      <c r="I86" s="27" t="s">
        <v>3606</v>
      </c>
      <c r="J86" s="27" t="s">
        <v>3607</v>
      </c>
      <c r="K86" s="27" t="s">
        <v>3608</v>
      </c>
      <c r="L86" s="27" t="s">
        <v>3607</v>
      </c>
      <c r="M86" s="27" t="s">
        <v>3605</v>
      </c>
      <c r="N86" s="27" t="s">
        <v>3610</v>
      </c>
      <c r="O86" s="27" t="s">
        <v>3256</v>
      </c>
      <c r="P86" s="27" t="s">
        <v>3257</v>
      </c>
      <c r="Q86" s="27" t="s">
        <v>4042</v>
      </c>
      <c r="R86" s="27" t="s">
        <v>125</v>
      </c>
      <c r="S86" s="27"/>
      <c r="T86" s="27"/>
      <c r="U86" s="27" t="s">
        <v>4037</v>
      </c>
      <c r="V86" s="28">
        <v>46090.172824490743</v>
      </c>
      <c r="W86" s="27" t="s">
        <v>3605</v>
      </c>
      <c r="X86" s="27" t="s">
        <v>559</v>
      </c>
      <c r="Y86" s="27" t="s">
        <v>2303</v>
      </c>
      <c r="Z86" s="28">
        <v>46091.28732181713</v>
      </c>
      <c r="AA86" s="27" t="s">
        <v>2748</v>
      </c>
      <c r="AB86" s="27" t="s">
        <v>559</v>
      </c>
      <c r="AC86" s="27" t="s">
        <v>4038</v>
      </c>
      <c r="AD86" s="28">
        <v>46092.16267140046</v>
      </c>
      <c r="AE86" s="27" t="s">
        <v>3261</v>
      </c>
      <c r="AF86" s="27" t="s">
        <v>559</v>
      </c>
      <c r="AG86" s="27" t="s">
        <v>638</v>
      </c>
      <c r="AH86" s="28">
        <v>46129.087061631944</v>
      </c>
      <c r="AI86" s="27" t="s">
        <v>3361</v>
      </c>
      <c r="AJ86" s="27" t="s">
        <v>559</v>
      </c>
      <c r="AK86" s="27" t="s">
        <v>4043</v>
      </c>
      <c r="AL86" s="27" t="s">
        <v>3616</v>
      </c>
    </row>
    <row r="87" spans="1:38">
      <c r="A87" s="27" t="s">
        <v>4044</v>
      </c>
      <c r="B87" s="27" t="s">
        <v>4045</v>
      </c>
      <c r="C87" s="27" t="s">
        <v>3443</v>
      </c>
      <c r="D87" s="27" t="s">
        <v>3252</v>
      </c>
      <c r="E87" s="27" t="s">
        <v>549</v>
      </c>
      <c r="F87" s="28">
        <v>46090.28968721065</v>
      </c>
      <c r="G87" s="28">
        <v>46091.084219745368</v>
      </c>
      <c r="H87" s="28">
        <v>46125.279041932874</v>
      </c>
      <c r="I87" s="27" t="s">
        <v>3444</v>
      </c>
      <c r="J87" s="27" t="s">
        <v>3445</v>
      </c>
      <c r="K87" s="27">
        <v>859</v>
      </c>
      <c r="L87" s="27" t="s">
        <v>3446</v>
      </c>
      <c r="M87" s="27" t="s">
        <v>1136</v>
      </c>
      <c r="N87" s="27" t="s">
        <v>3448</v>
      </c>
      <c r="O87" s="27" t="s">
        <v>3322</v>
      </c>
      <c r="P87" s="27" t="s">
        <v>3257</v>
      </c>
      <c r="Q87" s="27" t="s">
        <v>4046</v>
      </c>
      <c r="R87" s="27"/>
      <c r="S87" s="27" t="s">
        <v>4047</v>
      </c>
      <c r="T87" s="27"/>
      <c r="U87" s="27" t="s">
        <v>549</v>
      </c>
      <c r="V87" s="28">
        <v>46125.279041944443</v>
      </c>
      <c r="W87" s="27" t="s">
        <v>753</v>
      </c>
      <c r="X87" s="27" t="s">
        <v>549</v>
      </c>
      <c r="Y87" s="27"/>
      <c r="Z87" s="28"/>
      <c r="AA87" s="27" t="s">
        <v>3325</v>
      </c>
      <c r="AB87" s="27"/>
      <c r="AC87" s="27"/>
      <c r="AD87" s="28"/>
      <c r="AE87" s="27" t="s">
        <v>573</v>
      </c>
      <c r="AF87" s="27"/>
      <c r="AG87" s="27"/>
      <c r="AH87" s="28"/>
      <c r="AI87" s="27" t="s">
        <v>3295</v>
      </c>
      <c r="AJ87" s="27"/>
      <c r="AK87" s="27"/>
      <c r="AL87" s="27" t="s">
        <v>3455</v>
      </c>
    </row>
    <row r="88" spans="1:38">
      <c r="A88" s="27" t="s">
        <v>4048</v>
      </c>
      <c r="B88" s="27" t="s">
        <v>4049</v>
      </c>
      <c r="C88" s="27" t="s">
        <v>4050</v>
      </c>
      <c r="D88" s="27" t="s">
        <v>3252</v>
      </c>
      <c r="E88" s="27" t="s">
        <v>549</v>
      </c>
      <c r="F88" s="28">
        <v>46090.312586215281</v>
      </c>
      <c r="G88" s="28">
        <v>46090.312586215281</v>
      </c>
      <c r="H88" s="28">
        <v>46091.289560381942</v>
      </c>
      <c r="I88" s="27" t="s">
        <v>4051</v>
      </c>
      <c r="J88" s="27" t="s">
        <v>351</v>
      </c>
      <c r="K88" s="27">
        <v>209</v>
      </c>
      <c r="L88" s="27" t="s">
        <v>4052</v>
      </c>
      <c r="M88" s="27" t="s">
        <v>4053</v>
      </c>
      <c r="N88" s="27" t="s">
        <v>4054</v>
      </c>
      <c r="O88" s="27" t="s">
        <v>3256</v>
      </c>
      <c r="P88" s="27" t="s">
        <v>3344</v>
      </c>
      <c r="Q88" s="27" t="s">
        <v>4055</v>
      </c>
      <c r="R88" s="27"/>
      <c r="S88" s="27"/>
      <c r="T88" s="27"/>
      <c r="U88" s="27" t="s">
        <v>4056</v>
      </c>
      <c r="V88" s="28">
        <v>46090.337183981479</v>
      </c>
      <c r="W88" s="27" t="s">
        <v>4057</v>
      </c>
      <c r="X88" s="27" t="s">
        <v>559</v>
      </c>
      <c r="Y88" s="27" t="s">
        <v>4058</v>
      </c>
      <c r="Z88" s="28">
        <v>46091.289560405094</v>
      </c>
      <c r="AA88" s="27" t="s">
        <v>2748</v>
      </c>
      <c r="AB88" s="27" t="s">
        <v>549</v>
      </c>
      <c r="AC88" s="27"/>
      <c r="AD88" s="28"/>
      <c r="AE88" s="27" t="s">
        <v>573</v>
      </c>
      <c r="AF88" s="27"/>
      <c r="AG88" s="27"/>
      <c r="AH88" s="28"/>
      <c r="AI88" s="27" t="s">
        <v>3295</v>
      </c>
      <c r="AJ88" s="27"/>
      <c r="AK88" s="27"/>
      <c r="AL88" s="27" t="s">
        <v>4059</v>
      </c>
    </row>
    <row r="89" spans="1:38">
      <c r="A89" s="27" t="s">
        <v>4060</v>
      </c>
      <c r="B89" s="27" t="s">
        <v>4061</v>
      </c>
      <c r="C89" s="27" t="s">
        <v>3085</v>
      </c>
      <c r="D89" s="27" t="s">
        <v>3252</v>
      </c>
      <c r="E89" s="27" t="s">
        <v>638</v>
      </c>
      <c r="F89" s="28">
        <v>46090.330007094904</v>
      </c>
      <c r="G89" s="28">
        <v>46090.330007094904</v>
      </c>
      <c r="H89" s="28">
        <v>46135.337167916667</v>
      </c>
      <c r="I89" s="27" t="s">
        <v>883</v>
      </c>
      <c r="J89" s="27" t="s">
        <v>874</v>
      </c>
      <c r="K89" s="27">
        <v>4343</v>
      </c>
      <c r="L89" s="27" t="s">
        <v>875</v>
      </c>
      <c r="M89" s="27" t="s">
        <v>1118</v>
      </c>
      <c r="N89" s="27" t="s">
        <v>4062</v>
      </c>
      <c r="O89" s="27" t="s">
        <v>3256</v>
      </c>
      <c r="P89" s="27" t="s">
        <v>3344</v>
      </c>
      <c r="Q89" s="27" t="s">
        <v>4063</v>
      </c>
      <c r="R89" s="27" t="s">
        <v>125</v>
      </c>
      <c r="S89" s="27"/>
      <c r="T89" s="27"/>
      <c r="U89" s="27" t="s">
        <v>559</v>
      </c>
      <c r="V89" s="28">
        <v>46090.344981793984</v>
      </c>
      <c r="W89" s="27" t="s">
        <v>1121</v>
      </c>
      <c r="X89" s="27" t="s">
        <v>559</v>
      </c>
      <c r="Y89" s="27" t="s">
        <v>2303</v>
      </c>
      <c r="Z89" s="28">
        <v>46091.291307708336</v>
      </c>
      <c r="AA89" s="27" t="s">
        <v>2748</v>
      </c>
      <c r="AB89" s="27" t="s">
        <v>559</v>
      </c>
      <c r="AC89" s="27" t="s">
        <v>2623</v>
      </c>
      <c r="AD89" s="28">
        <v>46094.331166898148</v>
      </c>
      <c r="AE89" s="27" t="s">
        <v>3261</v>
      </c>
      <c r="AF89" s="27" t="s">
        <v>559</v>
      </c>
      <c r="AG89" s="27" t="s">
        <v>4064</v>
      </c>
      <c r="AH89" s="28">
        <v>46135.337167928243</v>
      </c>
      <c r="AI89" s="27" t="s">
        <v>3479</v>
      </c>
      <c r="AJ89" s="27" t="s">
        <v>559</v>
      </c>
      <c r="AK89" s="27" t="s">
        <v>4065</v>
      </c>
      <c r="AL89" s="27" t="s">
        <v>4066</v>
      </c>
    </row>
    <row r="90" spans="1:38">
      <c r="A90" s="27" t="s">
        <v>4067</v>
      </c>
      <c r="B90" s="27" t="s">
        <v>4068</v>
      </c>
      <c r="C90" s="27" t="s">
        <v>4050</v>
      </c>
      <c r="D90" s="27" t="s">
        <v>3252</v>
      </c>
      <c r="E90" s="27" t="s">
        <v>638</v>
      </c>
      <c r="F90" s="28">
        <v>46091.117524895832</v>
      </c>
      <c r="G90" s="28">
        <v>46093.210536053244</v>
      </c>
      <c r="H90" s="28">
        <v>46121.26929103009</v>
      </c>
      <c r="I90" s="27" t="s">
        <v>4051</v>
      </c>
      <c r="J90" s="27" t="s">
        <v>351</v>
      </c>
      <c r="K90" s="27">
        <v>209</v>
      </c>
      <c r="L90" s="27" t="s">
        <v>4052</v>
      </c>
      <c r="M90" s="27" t="s">
        <v>4053</v>
      </c>
      <c r="N90" s="27" t="s">
        <v>4054</v>
      </c>
      <c r="O90" s="27" t="s">
        <v>3256</v>
      </c>
      <c r="P90" s="27" t="s">
        <v>3292</v>
      </c>
      <c r="Q90" s="27" t="s">
        <v>4069</v>
      </c>
      <c r="R90" s="27" t="s">
        <v>107</v>
      </c>
      <c r="S90" s="27"/>
      <c r="T90" s="27"/>
      <c r="U90" s="27" t="s">
        <v>4070</v>
      </c>
      <c r="V90" s="28">
        <v>46093.218172719906</v>
      </c>
      <c r="W90" s="27" t="s">
        <v>4057</v>
      </c>
      <c r="X90" s="27" t="s">
        <v>559</v>
      </c>
      <c r="Y90" s="27" t="s">
        <v>2303</v>
      </c>
      <c r="Z90" s="28">
        <v>46112.076636261576</v>
      </c>
      <c r="AA90" s="27" t="s">
        <v>2748</v>
      </c>
      <c r="AB90" s="27" t="s">
        <v>559</v>
      </c>
      <c r="AC90" s="27" t="s">
        <v>4071</v>
      </c>
      <c r="AD90" s="28">
        <v>46113.110919212966</v>
      </c>
      <c r="AE90" s="27" t="s">
        <v>3261</v>
      </c>
      <c r="AF90" s="27" t="s">
        <v>559</v>
      </c>
      <c r="AG90" s="27" t="s">
        <v>3903</v>
      </c>
      <c r="AH90" s="28">
        <v>46121.269291053242</v>
      </c>
      <c r="AI90" s="27" t="s">
        <v>3506</v>
      </c>
      <c r="AJ90" s="27" t="s">
        <v>559</v>
      </c>
      <c r="AK90" s="27" t="s">
        <v>4072</v>
      </c>
      <c r="AL90" s="27" t="s">
        <v>4059</v>
      </c>
    </row>
    <row r="91" spans="1:38">
      <c r="A91" s="27" t="s">
        <v>4073</v>
      </c>
      <c r="B91" s="27" t="s">
        <v>4074</v>
      </c>
      <c r="C91" s="27" t="s">
        <v>3443</v>
      </c>
      <c r="D91" s="27" t="s">
        <v>3252</v>
      </c>
      <c r="E91" s="27" t="s">
        <v>638</v>
      </c>
      <c r="F91" s="28">
        <v>46091.181582453704</v>
      </c>
      <c r="G91" s="28">
        <v>46091.181582453704</v>
      </c>
      <c r="H91" s="28">
        <v>46094.591880335647</v>
      </c>
      <c r="I91" s="27" t="s">
        <v>3444</v>
      </c>
      <c r="J91" s="27" t="s">
        <v>3445</v>
      </c>
      <c r="K91" s="27">
        <v>859</v>
      </c>
      <c r="L91" s="27" t="s">
        <v>3446</v>
      </c>
      <c r="M91" s="27" t="s">
        <v>3936</v>
      </c>
      <c r="N91" s="27" t="s">
        <v>3448</v>
      </c>
      <c r="O91" s="27" t="s">
        <v>3322</v>
      </c>
      <c r="P91" s="27" t="s">
        <v>3257</v>
      </c>
      <c r="Q91" s="27" t="s">
        <v>4075</v>
      </c>
      <c r="R91" s="27" t="s">
        <v>107</v>
      </c>
      <c r="S91" s="27" t="s">
        <v>4047</v>
      </c>
      <c r="T91" s="27"/>
      <c r="U91" s="27" t="s">
        <v>4076</v>
      </c>
      <c r="V91" s="28">
        <v>46091.256324560185</v>
      </c>
      <c r="W91" s="27" t="s">
        <v>3938</v>
      </c>
      <c r="X91" s="27" t="s">
        <v>559</v>
      </c>
      <c r="Y91" s="27" t="s">
        <v>2303</v>
      </c>
      <c r="Z91" s="28">
        <v>46091.293950879626</v>
      </c>
      <c r="AA91" s="27" t="s">
        <v>2748</v>
      </c>
      <c r="AB91" s="27" t="s">
        <v>559</v>
      </c>
      <c r="AC91" s="27" t="s">
        <v>4077</v>
      </c>
      <c r="AD91" s="28">
        <v>46091.34012508102</v>
      </c>
      <c r="AE91" s="27" t="s">
        <v>3261</v>
      </c>
      <c r="AF91" s="27" t="s">
        <v>559</v>
      </c>
      <c r="AG91" s="27" t="s">
        <v>649</v>
      </c>
      <c r="AH91" s="28">
        <v>46094.591880347223</v>
      </c>
      <c r="AI91" s="27" t="s">
        <v>1083</v>
      </c>
      <c r="AJ91" s="27" t="s">
        <v>559</v>
      </c>
      <c r="AK91" s="27" t="s">
        <v>4078</v>
      </c>
      <c r="AL91" s="27" t="s">
        <v>3455</v>
      </c>
    </row>
    <row r="92" spans="1:38">
      <c r="A92" s="27" t="s">
        <v>4079</v>
      </c>
      <c r="B92" s="27" t="s">
        <v>4080</v>
      </c>
      <c r="C92" s="27" t="s">
        <v>4081</v>
      </c>
      <c r="D92" s="27" t="s">
        <v>3252</v>
      </c>
      <c r="E92" s="27" t="s">
        <v>638</v>
      </c>
      <c r="F92" s="28">
        <v>46091.358968865738</v>
      </c>
      <c r="G92" s="28">
        <v>46091.379324675923</v>
      </c>
      <c r="H92" s="28">
        <v>46132.158502812497</v>
      </c>
      <c r="I92" s="27" t="s">
        <v>3444</v>
      </c>
      <c r="J92" s="27" t="s">
        <v>3445</v>
      </c>
      <c r="K92" s="27" t="s">
        <v>4082</v>
      </c>
      <c r="L92" s="27" t="s">
        <v>4083</v>
      </c>
      <c r="M92" s="27" t="s">
        <v>3936</v>
      </c>
      <c r="N92" s="27" t="s">
        <v>3448</v>
      </c>
      <c r="O92" s="27" t="s">
        <v>3322</v>
      </c>
      <c r="P92" s="27" t="s">
        <v>3257</v>
      </c>
      <c r="Q92" s="27" t="s">
        <v>4084</v>
      </c>
      <c r="R92" s="27" t="s">
        <v>107</v>
      </c>
      <c r="S92" s="27" t="s">
        <v>4047</v>
      </c>
      <c r="T92" s="27"/>
      <c r="U92" s="27" t="s">
        <v>4085</v>
      </c>
      <c r="V92" s="28">
        <v>46119.164511041665</v>
      </c>
      <c r="W92" s="27" t="s">
        <v>3938</v>
      </c>
      <c r="X92" s="27" t="s">
        <v>559</v>
      </c>
      <c r="Y92" s="27" t="s">
        <v>2303</v>
      </c>
      <c r="Z92" s="28">
        <v>46122.288105162035</v>
      </c>
      <c r="AA92" s="27" t="s">
        <v>2748</v>
      </c>
      <c r="AB92" s="27" t="s">
        <v>559</v>
      </c>
      <c r="AC92" s="27" t="s">
        <v>4086</v>
      </c>
      <c r="AD92" s="28">
        <v>46125.075407951386</v>
      </c>
      <c r="AE92" s="27" t="s">
        <v>3261</v>
      </c>
      <c r="AF92" s="27" t="s">
        <v>559</v>
      </c>
      <c r="AG92" s="27" t="s">
        <v>4087</v>
      </c>
      <c r="AH92" s="28">
        <v>46132.158502812497</v>
      </c>
      <c r="AI92" s="27" t="s">
        <v>1083</v>
      </c>
      <c r="AJ92" s="27" t="s">
        <v>559</v>
      </c>
      <c r="AK92" s="27" t="s">
        <v>4088</v>
      </c>
      <c r="AL92" s="27" t="s">
        <v>4089</v>
      </c>
    </row>
    <row r="93" spans="1:38">
      <c r="A93" s="27" t="s">
        <v>4090</v>
      </c>
      <c r="B93" s="27" t="s">
        <v>4091</v>
      </c>
      <c r="C93" s="27" t="s">
        <v>4092</v>
      </c>
      <c r="D93" s="27" t="s">
        <v>3252</v>
      </c>
      <c r="E93" s="27" t="s">
        <v>638</v>
      </c>
      <c r="F93" s="28">
        <v>46092.10369614583</v>
      </c>
      <c r="G93" s="28">
        <v>46092.10369614583</v>
      </c>
      <c r="H93" s="28">
        <v>46105.024373622684</v>
      </c>
      <c r="I93" s="27" t="s">
        <v>4093</v>
      </c>
      <c r="J93" s="27" t="s">
        <v>4094</v>
      </c>
      <c r="K93" s="27">
        <v>4682</v>
      </c>
      <c r="L93" s="27" t="s">
        <v>4095</v>
      </c>
      <c r="M93" s="27" t="s">
        <v>592</v>
      </c>
      <c r="N93" s="27" t="s">
        <v>4096</v>
      </c>
      <c r="O93" s="27" t="s">
        <v>3256</v>
      </c>
      <c r="P93" s="27" t="s">
        <v>3257</v>
      </c>
      <c r="Q93" s="27" t="s">
        <v>4097</v>
      </c>
      <c r="R93" s="27" t="s">
        <v>116</v>
      </c>
      <c r="S93" s="27"/>
      <c r="T93" s="27"/>
      <c r="U93" s="27" t="s">
        <v>3802</v>
      </c>
      <c r="V93" s="28">
        <v>46092.112915752317</v>
      </c>
      <c r="W93" s="27" t="s">
        <v>1735</v>
      </c>
      <c r="X93" s="27" t="s">
        <v>559</v>
      </c>
      <c r="Y93" s="27" t="s">
        <v>2303</v>
      </c>
      <c r="Z93" s="28">
        <v>46098.082760729165</v>
      </c>
      <c r="AA93" s="27" t="s">
        <v>2748</v>
      </c>
      <c r="AB93" s="27" t="s">
        <v>559</v>
      </c>
      <c r="AC93" s="27" t="s">
        <v>4098</v>
      </c>
      <c r="AD93" s="28">
        <v>46099.165236875</v>
      </c>
      <c r="AE93" s="27" t="s">
        <v>3261</v>
      </c>
      <c r="AF93" s="27" t="s">
        <v>559</v>
      </c>
      <c r="AG93" s="27" t="s">
        <v>3303</v>
      </c>
      <c r="AH93" s="28">
        <v>46105.02437363426</v>
      </c>
      <c r="AI93" s="27" t="s">
        <v>3653</v>
      </c>
      <c r="AJ93" s="27" t="s">
        <v>559</v>
      </c>
      <c r="AK93" s="27" t="s">
        <v>4099</v>
      </c>
      <c r="AL93" s="27" t="s">
        <v>4100</v>
      </c>
    </row>
    <row r="94" spans="1:38">
      <c r="A94" s="27" t="s">
        <v>4101</v>
      </c>
      <c r="B94" s="27" t="s">
        <v>4102</v>
      </c>
      <c r="C94" s="27" t="s">
        <v>1145</v>
      </c>
      <c r="D94" s="27" t="s">
        <v>3252</v>
      </c>
      <c r="E94" s="27" t="s">
        <v>638</v>
      </c>
      <c r="F94" s="28">
        <v>46092.154680868058</v>
      </c>
      <c r="G94" s="28">
        <v>46099.073301585646</v>
      </c>
      <c r="H94" s="28">
        <v>46119.168626921295</v>
      </c>
      <c r="I94" s="27" t="s">
        <v>4103</v>
      </c>
      <c r="J94" s="27" t="s">
        <v>4104</v>
      </c>
      <c r="K94" s="27">
        <v>4464</v>
      </c>
      <c r="L94" s="27" t="s">
        <v>4105</v>
      </c>
      <c r="M94" s="27" t="s">
        <v>1289</v>
      </c>
      <c r="N94" s="27" t="s">
        <v>4104</v>
      </c>
      <c r="O94" s="27" t="s">
        <v>3322</v>
      </c>
      <c r="P94" s="27" t="s">
        <v>3257</v>
      </c>
      <c r="Q94" s="27" t="s">
        <v>4106</v>
      </c>
      <c r="R94" s="27" t="s">
        <v>107</v>
      </c>
      <c r="S94" s="27" t="s">
        <v>4107</v>
      </c>
      <c r="T94" s="27"/>
      <c r="U94" s="27" t="s">
        <v>1480</v>
      </c>
      <c r="V94" s="28">
        <v>46099.085392407411</v>
      </c>
      <c r="W94" s="27" t="s">
        <v>1289</v>
      </c>
      <c r="X94" s="27" t="s">
        <v>559</v>
      </c>
      <c r="Y94" s="27" t="s">
        <v>2303</v>
      </c>
      <c r="Z94" s="28">
        <v>46112.366613587961</v>
      </c>
      <c r="AA94" s="27" t="s">
        <v>2748</v>
      </c>
      <c r="AB94" s="27" t="s">
        <v>559</v>
      </c>
      <c r="AC94" s="27" t="s">
        <v>4108</v>
      </c>
      <c r="AD94" s="28">
        <v>46114.317673206016</v>
      </c>
      <c r="AE94" s="27" t="s">
        <v>3261</v>
      </c>
      <c r="AF94" s="27" t="s">
        <v>559</v>
      </c>
      <c r="AG94" s="27" t="s">
        <v>638</v>
      </c>
      <c r="AH94" s="28">
        <v>46119.168626921295</v>
      </c>
      <c r="AI94" s="27" t="s">
        <v>3479</v>
      </c>
      <c r="AJ94" s="27" t="s">
        <v>559</v>
      </c>
      <c r="AK94" s="27" t="s">
        <v>4109</v>
      </c>
      <c r="AL94" s="27" t="s">
        <v>4110</v>
      </c>
    </row>
    <row r="95" spans="1:38">
      <c r="A95" s="27" t="s">
        <v>4111</v>
      </c>
      <c r="B95" s="27" t="s">
        <v>4112</v>
      </c>
      <c r="C95" s="27" t="s">
        <v>3757</v>
      </c>
      <c r="D95" s="27" t="s">
        <v>3252</v>
      </c>
      <c r="E95" s="27" t="s">
        <v>638</v>
      </c>
      <c r="F95" s="28">
        <v>46092.415853877312</v>
      </c>
      <c r="G95" s="28">
        <v>46092.415853877312</v>
      </c>
      <c r="H95" s="28">
        <v>46098.194080231478</v>
      </c>
      <c r="I95" s="27" t="s">
        <v>3758</v>
      </c>
      <c r="J95" s="27" t="s">
        <v>3759</v>
      </c>
      <c r="K95" s="27">
        <v>4583</v>
      </c>
      <c r="L95" s="27" t="s">
        <v>3760</v>
      </c>
      <c r="M95" s="27" t="s">
        <v>3761</v>
      </c>
      <c r="N95" s="27" t="s">
        <v>3762</v>
      </c>
      <c r="O95" s="27" t="s">
        <v>3256</v>
      </c>
      <c r="P95" s="27" t="s">
        <v>3257</v>
      </c>
      <c r="Q95" s="27" t="s">
        <v>4113</v>
      </c>
      <c r="R95" s="27" t="s">
        <v>116</v>
      </c>
      <c r="S95" s="27"/>
      <c r="T95" s="27"/>
      <c r="U95" s="27" t="s">
        <v>4114</v>
      </c>
      <c r="V95" s="28">
        <v>46092.434311192126</v>
      </c>
      <c r="W95" s="27" t="s">
        <v>1362</v>
      </c>
      <c r="X95" s="27" t="s">
        <v>559</v>
      </c>
      <c r="Y95" s="27" t="s">
        <v>4115</v>
      </c>
      <c r="Z95" s="28">
        <v>46094.116392638891</v>
      </c>
      <c r="AA95" s="27" t="s">
        <v>3599</v>
      </c>
      <c r="AB95" s="27" t="s">
        <v>559</v>
      </c>
      <c r="AC95" s="27" t="s">
        <v>4116</v>
      </c>
      <c r="AD95" s="28">
        <v>46094.191168993057</v>
      </c>
      <c r="AE95" s="27" t="s">
        <v>571</v>
      </c>
      <c r="AF95" s="27" t="s">
        <v>559</v>
      </c>
      <c r="AG95" s="27" t="s">
        <v>4117</v>
      </c>
      <c r="AH95" s="28">
        <v>46098.194080254631</v>
      </c>
      <c r="AI95" s="27" t="s">
        <v>3284</v>
      </c>
      <c r="AJ95" s="27" t="s">
        <v>559</v>
      </c>
      <c r="AK95" s="27" t="s">
        <v>4118</v>
      </c>
      <c r="AL95" s="27" t="s">
        <v>3770</v>
      </c>
    </row>
    <row r="96" spans="1:38">
      <c r="A96" s="27" t="s">
        <v>4119</v>
      </c>
      <c r="B96" s="27" t="s">
        <v>4120</v>
      </c>
      <c r="C96" s="27" t="s">
        <v>4121</v>
      </c>
      <c r="D96" s="27" t="s">
        <v>3252</v>
      </c>
      <c r="E96" s="27" t="s">
        <v>638</v>
      </c>
      <c r="F96" s="28">
        <v>46093.239640486114</v>
      </c>
      <c r="G96" s="28">
        <v>46097.100900115744</v>
      </c>
      <c r="H96" s="28">
        <v>46132.017837881947</v>
      </c>
      <c r="I96" s="27" t="s">
        <v>4122</v>
      </c>
      <c r="J96" s="27" t="s">
        <v>4123</v>
      </c>
      <c r="K96" s="27" t="s">
        <v>4124</v>
      </c>
      <c r="L96" s="27" t="s">
        <v>4125</v>
      </c>
      <c r="M96" s="27" t="s">
        <v>985</v>
      </c>
      <c r="N96" s="27" t="s">
        <v>3967</v>
      </c>
      <c r="O96" s="27" t="s">
        <v>3256</v>
      </c>
      <c r="P96" s="27" t="s">
        <v>3257</v>
      </c>
      <c r="Q96" s="27" t="s">
        <v>4126</v>
      </c>
      <c r="R96" s="27" t="s">
        <v>107</v>
      </c>
      <c r="S96" s="27"/>
      <c r="T96" s="27"/>
      <c r="U96" s="27" t="s">
        <v>4127</v>
      </c>
      <c r="V96" s="28">
        <v>46097.147276145835</v>
      </c>
      <c r="W96" s="27" t="s">
        <v>985</v>
      </c>
      <c r="X96" s="27" t="s">
        <v>559</v>
      </c>
      <c r="Y96" s="27" t="s">
        <v>2303</v>
      </c>
      <c r="Z96" s="28">
        <v>46111.078115243057</v>
      </c>
      <c r="AA96" s="27" t="s">
        <v>2748</v>
      </c>
      <c r="AB96" s="27" t="s">
        <v>559</v>
      </c>
      <c r="AC96" s="27" t="s">
        <v>3427</v>
      </c>
      <c r="AD96" s="28">
        <v>46113.105562083336</v>
      </c>
      <c r="AE96" s="27" t="s">
        <v>3261</v>
      </c>
      <c r="AF96" s="27" t="s">
        <v>559</v>
      </c>
      <c r="AG96" s="27" t="s">
        <v>4128</v>
      </c>
      <c r="AH96" s="28">
        <v>46132.017837881947</v>
      </c>
      <c r="AI96" s="27" t="s">
        <v>3401</v>
      </c>
      <c r="AJ96" s="27" t="s">
        <v>559</v>
      </c>
      <c r="AK96" s="27" t="s">
        <v>4129</v>
      </c>
      <c r="AL96" s="27" t="s">
        <v>4130</v>
      </c>
    </row>
    <row r="97" spans="1:38">
      <c r="A97" s="27" t="s">
        <v>4131</v>
      </c>
      <c r="B97" s="27" t="s">
        <v>4132</v>
      </c>
      <c r="C97" s="27" t="s">
        <v>4050</v>
      </c>
      <c r="D97" s="27" t="s">
        <v>3252</v>
      </c>
      <c r="E97" s="27" t="s">
        <v>638</v>
      </c>
      <c r="F97" s="28">
        <v>46094.093478622686</v>
      </c>
      <c r="G97" s="28">
        <v>46094.093478622686</v>
      </c>
      <c r="H97" s="28">
        <v>46121.268734606485</v>
      </c>
      <c r="I97" s="27" t="s">
        <v>4051</v>
      </c>
      <c r="J97" s="27" t="s">
        <v>351</v>
      </c>
      <c r="K97" s="27">
        <v>209</v>
      </c>
      <c r="L97" s="27" t="s">
        <v>4052</v>
      </c>
      <c r="M97" s="27" t="s">
        <v>4053</v>
      </c>
      <c r="N97" s="27" t="s">
        <v>4054</v>
      </c>
      <c r="O97" s="27" t="s">
        <v>3256</v>
      </c>
      <c r="P97" s="27" t="s">
        <v>3344</v>
      </c>
      <c r="Q97" s="27" t="s">
        <v>4133</v>
      </c>
      <c r="R97" s="27" t="s">
        <v>107</v>
      </c>
      <c r="S97" s="27"/>
      <c r="T97" s="27"/>
      <c r="U97" s="27" t="s">
        <v>4134</v>
      </c>
      <c r="V97" s="28">
        <v>46094.107965254632</v>
      </c>
      <c r="W97" s="27" t="s">
        <v>4057</v>
      </c>
      <c r="X97" s="27" t="s">
        <v>559</v>
      </c>
      <c r="Y97" s="27" t="s">
        <v>2303</v>
      </c>
      <c r="Z97" s="28">
        <v>46112.370966180555</v>
      </c>
      <c r="AA97" s="27" t="s">
        <v>2748</v>
      </c>
      <c r="AB97" s="27" t="s">
        <v>559</v>
      </c>
      <c r="AC97" s="27" t="s">
        <v>4135</v>
      </c>
      <c r="AD97" s="28">
        <v>46113.178402731479</v>
      </c>
      <c r="AE97" s="27" t="s">
        <v>3261</v>
      </c>
      <c r="AF97" s="27" t="s">
        <v>559</v>
      </c>
      <c r="AG97" s="27" t="s">
        <v>3903</v>
      </c>
      <c r="AH97" s="28">
        <v>46121.268734618054</v>
      </c>
      <c r="AI97" s="27" t="s">
        <v>3506</v>
      </c>
      <c r="AJ97" s="27" t="s">
        <v>559</v>
      </c>
      <c r="AK97" s="27" t="s">
        <v>4136</v>
      </c>
      <c r="AL97" s="27" t="s">
        <v>4059</v>
      </c>
    </row>
    <row r="98" spans="1:38">
      <c r="A98" s="27" t="s">
        <v>4137</v>
      </c>
      <c r="B98" s="27" t="s">
        <v>4138</v>
      </c>
      <c r="C98" s="27" t="s">
        <v>4139</v>
      </c>
      <c r="D98" s="27" t="s">
        <v>3252</v>
      </c>
      <c r="E98" s="27" t="s">
        <v>668</v>
      </c>
      <c r="F98" s="28">
        <v>46094.442554710651</v>
      </c>
      <c r="G98" s="28">
        <v>46094.442554710651</v>
      </c>
      <c r="H98" s="28">
        <v>46219.268603252312</v>
      </c>
      <c r="I98" s="27" t="s">
        <v>4140</v>
      </c>
      <c r="J98" s="27" t="s">
        <v>4141</v>
      </c>
      <c r="K98" s="27">
        <v>3297</v>
      </c>
      <c r="L98" s="27" t="s">
        <v>4142</v>
      </c>
      <c r="M98" s="27" t="s">
        <v>4143</v>
      </c>
      <c r="N98" s="27" t="s">
        <v>4144</v>
      </c>
      <c r="O98" s="27" t="s">
        <v>4145</v>
      </c>
      <c r="P98" s="27" t="s">
        <v>3292</v>
      </c>
      <c r="Q98" s="27" t="s">
        <v>4146</v>
      </c>
      <c r="R98" s="27" t="s">
        <v>107</v>
      </c>
      <c r="S98" s="27"/>
      <c r="T98" s="27"/>
      <c r="U98" s="27" t="s">
        <v>4147</v>
      </c>
      <c r="V98" s="28">
        <v>46094.442554710651</v>
      </c>
      <c r="W98" s="27" t="s">
        <v>4148</v>
      </c>
      <c r="X98" s="27" t="s">
        <v>559</v>
      </c>
      <c r="Y98" s="27" t="s">
        <v>4147</v>
      </c>
      <c r="Z98" s="28">
        <v>46094.442554710651</v>
      </c>
      <c r="AA98" s="27" t="s">
        <v>3325</v>
      </c>
      <c r="AB98" s="27" t="s">
        <v>559</v>
      </c>
      <c r="AC98" s="27"/>
      <c r="AD98" s="28"/>
      <c r="AE98" s="27" t="s">
        <v>2491</v>
      </c>
      <c r="AF98" s="27"/>
      <c r="AG98" s="27"/>
      <c r="AH98" s="28"/>
      <c r="AI98" s="27" t="s">
        <v>3295</v>
      </c>
      <c r="AJ98" s="27"/>
      <c r="AK98" s="27"/>
      <c r="AL98" s="27" t="s">
        <v>4149</v>
      </c>
    </row>
    <row r="99" spans="1:38">
      <c r="A99" s="27" t="s">
        <v>4150</v>
      </c>
      <c r="B99" s="27" t="s">
        <v>4151</v>
      </c>
      <c r="C99" s="27" t="s">
        <v>4152</v>
      </c>
      <c r="D99" s="27" t="s">
        <v>3252</v>
      </c>
      <c r="E99" s="27" t="s">
        <v>638</v>
      </c>
      <c r="F99" s="28">
        <v>46098.366590486112</v>
      </c>
      <c r="G99" s="28">
        <v>46114.144916504629</v>
      </c>
      <c r="H99" s="28">
        <v>46127.066424039353</v>
      </c>
      <c r="I99" s="27" t="s">
        <v>4153</v>
      </c>
      <c r="J99" s="27" t="s">
        <v>4154</v>
      </c>
      <c r="K99" s="27" t="s">
        <v>4155</v>
      </c>
      <c r="L99" s="27" t="s">
        <v>4156</v>
      </c>
      <c r="M99" s="27" t="s">
        <v>4157</v>
      </c>
      <c r="N99" s="27" t="s">
        <v>4158</v>
      </c>
      <c r="O99" s="27" t="s">
        <v>3256</v>
      </c>
      <c r="P99" s="27" t="s">
        <v>3344</v>
      </c>
      <c r="Q99" s="27" t="s">
        <v>4159</v>
      </c>
      <c r="R99" s="27" t="s">
        <v>107</v>
      </c>
      <c r="S99" s="27"/>
      <c r="T99" s="27"/>
      <c r="U99" s="27" t="s">
        <v>4160</v>
      </c>
      <c r="V99" s="28">
        <v>46114.163853703707</v>
      </c>
      <c r="W99" s="27" t="s">
        <v>4161</v>
      </c>
      <c r="X99" s="27" t="s">
        <v>559</v>
      </c>
      <c r="Y99" s="27" t="s">
        <v>2303</v>
      </c>
      <c r="Z99" s="28">
        <v>46114.185679340277</v>
      </c>
      <c r="AA99" s="27" t="s">
        <v>2748</v>
      </c>
      <c r="AB99" s="27" t="s">
        <v>559</v>
      </c>
      <c r="AC99" s="27" t="s">
        <v>4162</v>
      </c>
      <c r="AD99" s="28">
        <v>46115.11874888889</v>
      </c>
      <c r="AE99" s="27" t="s">
        <v>3261</v>
      </c>
      <c r="AF99" s="27" t="s">
        <v>559</v>
      </c>
      <c r="AG99" s="27" t="s">
        <v>649</v>
      </c>
      <c r="AH99" s="28">
        <v>46127.066424050929</v>
      </c>
      <c r="AI99" s="27" t="s">
        <v>3392</v>
      </c>
      <c r="AJ99" s="27" t="s">
        <v>559</v>
      </c>
      <c r="AK99" s="27" t="s">
        <v>4163</v>
      </c>
      <c r="AL99" s="27" t="s">
        <v>4164</v>
      </c>
    </row>
    <row r="100" spans="1:38">
      <c r="A100" s="27" t="s">
        <v>4165</v>
      </c>
      <c r="B100" s="27" t="s">
        <v>4166</v>
      </c>
      <c r="C100" s="27" t="s">
        <v>4167</v>
      </c>
      <c r="D100" s="27" t="s">
        <v>3252</v>
      </c>
      <c r="E100" s="27" t="s">
        <v>549</v>
      </c>
      <c r="F100" s="28">
        <v>46106.046997939811</v>
      </c>
      <c r="G100" s="28">
        <v>46106.158590868057</v>
      </c>
      <c r="H100" s="28">
        <v>46126.328820798612</v>
      </c>
      <c r="I100" s="27" t="s">
        <v>3606</v>
      </c>
      <c r="J100" s="27" t="s">
        <v>3607</v>
      </c>
      <c r="K100" s="27" t="s">
        <v>3608</v>
      </c>
      <c r="L100" s="27" t="s">
        <v>3607</v>
      </c>
      <c r="M100" s="27" t="s">
        <v>4168</v>
      </c>
      <c r="N100" s="27" t="s">
        <v>3610</v>
      </c>
      <c r="O100" s="27" t="s">
        <v>3256</v>
      </c>
      <c r="P100" s="27" t="s">
        <v>3344</v>
      </c>
      <c r="Q100" s="27" t="s">
        <v>4169</v>
      </c>
      <c r="R100" s="27" t="s">
        <v>107</v>
      </c>
      <c r="S100" s="27"/>
      <c r="T100" s="27"/>
      <c r="U100" s="27" t="s">
        <v>681</v>
      </c>
      <c r="V100" s="28">
        <v>46106.165745625003</v>
      </c>
      <c r="W100" s="27" t="s">
        <v>4170</v>
      </c>
      <c r="X100" s="27" t="s">
        <v>559</v>
      </c>
      <c r="Y100" s="27" t="s">
        <v>2303</v>
      </c>
      <c r="Z100" s="28">
        <v>46112.368037708336</v>
      </c>
      <c r="AA100" s="27" t="s">
        <v>2748</v>
      </c>
      <c r="AB100" s="27" t="s">
        <v>559</v>
      </c>
      <c r="AC100" s="27" t="s">
        <v>4171</v>
      </c>
      <c r="AD100" s="28">
        <v>46113.315484074075</v>
      </c>
      <c r="AE100" s="27" t="s">
        <v>3261</v>
      </c>
      <c r="AF100" s="27" t="s">
        <v>559</v>
      </c>
      <c r="AG100" s="27" t="s">
        <v>4172</v>
      </c>
      <c r="AH100" s="28">
        <v>46126.328820810188</v>
      </c>
      <c r="AI100" s="27" t="s">
        <v>3653</v>
      </c>
      <c r="AJ100" s="27" t="s">
        <v>549</v>
      </c>
      <c r="AK100" s="27" t="s">
        <v>4173</v>
      </c>
      <c r="AL100" s="27" t="s">
        <v>3616</v>
      </c>
    </row>
    <row r="101" spans="1:38">
      <c r="A101" s="27" t="s">
        <v>4174</v>
      </c>
      <c r="B101" s="27" t="s">
        <v>4175</v>
      </c>
      <c r="C101" s="27" t="s">
        <v>3338</v>
      </c>
      <c r="D101" s="27" t="s">
        <v>3252</v>
      </c>
      <c r="E101" s="27" t="s">
        <v>638</v>
      </c>
      <c r="F101" s="28">
        <v>46111.121352349539</v>
      </c>
      <c r="G101" s="28">
        <v>46111.121352349539</v>
      </c>
      <c r="H101" s="28">
        <v>46114.187422511575</v>
      </c>
      <c r="I101" s="27" t="s">
        <v>3339</v>
      </c>
      <c r="J101" s="27" t="s">
        <v>3340</v>
      </c>
      <c r="K101" s="27">
        <v>3437</v>
      </c>
      <c r="L101" s="27" t="s">
        <v>3341</v>
      </c>
      <c r="M101" s="27" t="s">
        <v>3342</v>
      </c>
      <c r="N101" s="27" t="s">
        <v>3343</v>
      </c>
      <c r="O101" s="27" t="s">
        <v>3322</v>
      </c>
      <c r="P101" s="27" t="s">
        <v>3344</v>
      </c>
      <c r="Q101" s="27" t="s">
        <v>4176</v>
      </c>
      <c r="R101" s="27" t="s">
        <v>116</v>
      </c>
      <c r="S101" s="27"/>
      <c r="T101" s="27"/>
      <c r="U101" s="27" t="s">
        <v>1765</v>
      </c>
      <c r="V101" s="28">
        <v>46111.127932303243</v>
      </c>
      <c r="W101" s="27" t="s">
        <v>3346</v>
      </c>
      <c r="X101" s="27" t="s">
        <v>559</v>
      </c>
      <c r="Y101" s="27" t="s">
        <v>2303</v>
      </c>
      <c r="Z101" s="28">
        <v>46112.370113321762</v>
      </c>
      <c r="AA101" s="27" t="s">
        <v>2748</v>
      </c>
      <c r="AB101" s="27" t="s">
        <v>559</v>
      </c>
      <c r="AC101" s="27" t="s">
        <v>4000</v>
      </c>
      <c r="AD101" s="28">
        <v>46113.138615104166</v>
      </c>
      <c r="AE101" s="27" t="s">
        <v>3261</v>
      </c>
      <c r="AF101" s="27" t="s">
        <v>559</v>
      </c>
      <c r="AG101" s="27" t="s">
        <v>3796</v>
      </c>
      <c r="AH101" s="28">
        <v>46114.187422511575</v>
      </c>
      <c r="AI101" s="27" t="s">
        <v>1245</v>
      </c>
      <c r="AJ101" s="27" t="s">
        <v>559</v>
      </c>
      <c r="AK101" s="27" t="s">
        <v>4177</v>
      </c>
      <c r="AL101" s="27" t="s">
        <v>3348</v>
      </c>
    </row>
    <row r="102" spans="1:38">
      <c r="A102" s="27" t="s">
        <v>4178</v>
      </c>
      <c r="B102" s="27" t="s">
        <v>4179</v>
      </c>
      <c r="C102" s="27" t="s">
        <v>4180</v>
      </c>
      <c r="D102" s="27" t="s">
        <v>3252</v>
      </c>
      <c r="E102" s="27" t="s">
        <v>638</v>
      </c>
      <c r="F102" s="28">
        <v>46111.157009363429</v>
      </c>
      <c r="G102" s="28">
        <v>46115.161941817132</v>
      </c>
      <c r="H102" s="28">
        <v>46141.635612245373</v>
      </c>
      <c r="I102" s="27" t="s">
        <v>4181</v>
      </c>
      <c r="J102" s="27" t="s">
        <v>4182</v>
      </c>
      <c r="K102" s="27">
        <v>315</v>
      </c>
      <c r="L102" s="27" t="s">
        <v>4183</v>
      </c>
      <c r="M102" s="27" t="s">
        <v>1852</v>
      </c>
      <c r="N102" s="27" t="s">
        <v>4184</v>
      </c>
      <c r="O102" s="27" t="s">
        <v>3256</v>
      </c>
      <c r="P102" s="27" t="s">
        <v>3257</v>
      </c>
      <c r="Q102" s="27" t="s">
        <v>4185</v>
      </c>
      <c r="R102" s="27" t="s">
        <v>107</v>
      </c>
      <c r="S102" s="27"/>
      <c r="T102" s="27"/>
      <c r="U102" s="27" t="s">
        <v>681</v>
      </c>
      <c r="V102" s="28">
        <v>46119.089208761572</v>
      </c>
      <c r="W102" s="27" t="s">
        <v>1852</v>
      </c>
      <c r="X102" s="27" t="s">
        <v>559</v>
      </c>
      <c r="Y102" s="27" t="s">
        <v>681</v>
      </c>
      <c r="Z102" s="28">
        <v>46129.085861643522</v>
      </c>
      <c r="AA102" s="27" t="s">
        <v>3599</v>
      </c>
      <c r="AB102" s="27" t="s">
        <v>559</v>
      </c>
      <c r="AC102" s="27" t="s">
        <v>2623</v>
      </c>
      <c r="AD102" s="28">
        <v>46134.116554120374</v>
      </c>
      <c r="AE102" s="27" t="s">
        <v>3261</v>
      </c>
      <c r="AF102" s="27" t="s">
        <v>559</v>
      </c>
      <c r="AG102" s="27" t="s">
        <v>638</v>
      </c>
      <c r="AH102" s="28">
        <v>46141.635612256941</v>
      </c>
      <c r="AI102" s="27" t="s">
        <v>3479</v>
      </c>
      <c r="AJ102" s="27" t="s">
        <v>559</v>
      </c>
      <c r="AK102" s="27" t="s">
        <v>4186</v>
      </c>
      <c r="AL102" s="27" t="s">
        <v>4187</v>
      </c>
    </row>
    <row r="103" spans="1:38">
      <c r="A103" s="27" t="s">
        <v>4188</v>
      </c>
      <c r="B103" s="27" t="s">
        <v>4189</v>
      </c>
      <c r="C103" s="27" t="s">
        <v>4180</v>
      </c>
      <c r="D103" s="27" t="s">
        <v>3252</v>
      </c>
      <c r="E103" s="27" t="s">
        <v>638</v>
      </c>
      <c r="F103" s="28">
        <v>46111.158345578704</v>
      </c>
      <c r="G103" s="28">
        <v>46115.162452951387</v>
      </c>
      <c r="H103" s="28">
        <v>46135.337551087963</v>
      </c>
      <c r="I103" s="27" t="s">
        <v>4181</v>
      </c>
      <c r="J103" s="27" t="s">
        <v>4182</v>
      </c>
      <c r="K103" s="27">
        <v>315</v>
      </c>
      <c r="L103" s="27" t="s">
        <v>4183</v>
      </c>
      <c r="M103" s="27" t="s">
        <v>1852</v>
      </c>
      <c r="N103" s="27" t="s">
        <v>4184</v>
      </c>
      <c r="O103" s="27" t="s">
        <v>3256</v>
      </c>
      <c r="P103" s="27" t="s">
        <v>3292</v>
      </c>
      <c r="Q103" s="27" t="s">
        <v>4190</v>
      </c>
      <c r="R103" s="27" t="s">
        <v>125</v>
      </c>
      <c r="S103" s="27"/>
      <c r="T103" s="27"/>
      <c r="U103" s="27" t="s">
        <v>2597</v>
      </c>
      <c r="V103" s="28">
        <v>46119.088802708335</v>
      </c>
      <c r="W103" s="27" t="s">
        <v>1852</v>
      </c>
      <c r="X103" s="27" t="s">
        <v>559</v>
      </c>
      <c r="Y103" s="27" t="s">
        <v>681</v>
      </c>
      <c r="Z103" s="28">
        <v>46128.290990208334</v>
      </c>
      <c r="AA103" s="27" t="s">
        <v>3599</v>
      </c>
      <c r="AB103" s="27" t="s">
        <v>559</v>
      </c>
      <c r="AC103" s="27" t="s">
        <v>4191</v>
      </c>
      <c r="AD103" s="28">
        <v>46128.384577511577</v>
      </c>
      <c r="AE103" s="27" t="s">
        <v>3261</v>
      </c>
      <c r="AF103" s="27" t="s">
        <v>559</v>
      </c>
      <c r="AG103" s="27" t="s">
        <v>638</v>
      </c>
      <c r="AH103" s="28">
        <v>46135.337551099539</v>
      </c>
      <c r="AI103" s="27" t="s">
        <v>3479</v>
      </c>
      <c r="AJ103" s="27" t="s">
        <v>559</v>
      </c>
      <c r="AK103" s="27" t="s">
        <v>4192</v>
      </c>
      <c r="AL103" s="27" t="s">
        <v>4187</v>
      </c>
    </row>
    <row r="104" spans="1:38">
      <c r="A104" s="27" t="s">
        <v>4193</v>
      </c>
      <c r="B104" s="27" t="s">
        <v>4194</v>
      </c>
      <c r="C104" s="27" t="s">
        <v>2193</v>
      </c>
      <c r="D104" s="27" t="s">
        <v>3252</v>
      </c>
      <c r="E104" s="27" t="s">
        <v>638</v>
      </c>
      <c r="F104" s="28">
        <v>46112.095105243054</v>
      </c>
      <c r="G104" s="28">
        <v>46112.176697164352</v>
      </c>
      <c r="H104" s="28">
        <v>46219.070597615741</v>
      </c>
      <c r="I104" s="27" t="s">
        <v>3726</v>
      </c>
      <c r="J104" s="27" t="s">
        <v>3727</v>
      </c>
      <c r="K104" s="27" t="s">
        <v>3728</v>
      </c>
      <c r="L104" s="27" t="s">
        <v>3729</v>
      </c>
      <c r="M104" s="27" t="s">
        <v>912</v>
      </c>
      <c r="N104" s="27" t="s">
        <v>3730</v>
      </c>
      <c r="O104" s="27" t="s">
        <v>3256</v>
      </c>
      <c r="P104" s="27" t="s">
        <v>3257</v>
      </c>
      <c r="Q104" s="27" t="s">
        <v>4195</v>
      </c>
      <c r="R104" s="27" t="s">
        <v>116</v>
      </c>
      <c r="S104" s="27"/>
      <c r="T104" s="27"/>
      <c r="U104" s="27" t="s">
        <v>4196</v>
      </c>
      <c r="V104" s="28">
        <v>46112.211288136576</v>
      </c>
      <c r="W104" s="27" t="s">
        <v>912</v>
      </c>
      <c r="X104" s="27" t="s">
        <v>559</v>
      </c>
      <c r="Y104" s="27" t="s">
        <v>2303</v>
      </c>
      <c r="Z104" s="28">
        <v>46112.275676956022</v>
      </c>
      <c r="AA104" s="27" t="s">
        <v>2748</v>
      </c>
      <c r="AB104" s="27" t="s">
        <v>559</v>
      </c>
      <c r="AC104" s="27" t="s">
        <v>4197</v>
      </c>
      <c r="AD104" s="28">
        <v>46112.297516354163</v>
      </c>
      <c r="AE104" s="27" t="s">
        <v>3261</v>
      </c>
      <c r="AF104" s="27" t="s">
        <v>559</v>
      </c>
      <c r="AG104" s="27" t="s">
        <v>4198</v>
      </c>
      <c r="AH104" s="28">
        <v>46219.070597627317</v>
      </c>
      <c r="AI104" s="27" t="s">
        <v>3284</v>
      </c>
      <c r="AJ104" s="27" t="s">
        <v>559</v>
      </c>
      <c r="AK104" s="27" t="s">
        <v>4199</v>
      </c>
      <c r="AL104" s="27" t="s">
        <v>3736</v>
      </c>
    </row>
    <row r="105" spans="1:38">
      <c r="A105" s="27" t="s">
        <v>4200</v>
      </c>
      <c r="B105" s="27" t="s">
        <v>4201</v>
      </c>
      <c r="C105" s="27" t="s">
        <v>4050</v>
      </c>
      <c r="D105" s="27" t="s">
        <v>3252</v>
      </c>
      <c r="E105" s="27" t="s">
        <v>638</v>
      </c>
      <c r="F105" s="28">
        <v>46113.140046562497</v>
      </c>
      <c r="G105" s="28">
        <v>46113.140046562497</v>
      </c>
      <c r="H105" s="28">
        <v>46126.080628009258</v>
      </c>
      <c r="I105" s="27" t="s">
        <v>4051</v>
      </c>
      <c r="J105" s="27" t="s">
        <v>351</v>
      </c>
      <c r="K105" s="27">
        <v>209</v>
      </c>
      <c r="L105" s="27" t="s">
        <v>4052</v>
      </c>
      <c r="M105" s="27" t="s">
        <v>4053</v>
      </c>
      <c r="N105" s="27" t="s">
        <v>4054</v>
      </c>
      <c r="O105" s="27" t="s">
        <v>3256</v>
      </c>
      <c r="P105" s="27" t="s">
        <v>3257</v>
      </c>
      <c r="Q105" s="27" t="s">
        <v>4202</v>
      </c>
      <c r="R105" s="27" t="s">
        <v>107</v>
      </c>
      <c r="S105" s="27"/>
      <c r="T105" s="27"/>
      <c r="U105" s="27" t="s">
        <v>4203</v>
      </c>
      <c r="V105" s="28">
        <v>46113.152284363423</v>
      </c>
      <c r="W105" s="27" t="s">
        <v>4057</v>
      </c>
      <c r="X105" s="27" t="s">
        <v>559</v>
      </c>
      <c r="Y105" s="27" t="s">
        <v>2303</v>
      </c>
      <c r="Z105" s="28">
        <v>46118.098674490742</v>
      </c>
      <c r="AA105" s="27" t="s">
        <v>2748</v>
      </c>
      <c r="AB105" s="27" t="s">
        <v>559</v>
      </c>
      <c r="AC105" s="27" t="s">
        <v>4204</v>
      </c>
      <c r="AD105" s="28">
        <v>46119.081428182872</v>
      </c>
      <c r="AE105" s="27" t="s">
        <v>3261</v>
      </c>
      <c r="AF105" s="27" t="s">
        <v>559</v>
      </c>
      <c r="AG105" s="27" t="s">
        <v>4205</v>
      </c>
      <c r="AH105" s="28">
        <v>46126.080628020834</v>
      </c>
      <c r="AI105" s="27" t="s">
        <v>3506</v>
      </c>
      <c r="AJ105" s="27" t="s">
        <v>559</v>
      </c>
      <c r="AK105" s="27" t="s">
        <v>4206</v>
      </c>
      <c r="AL105" s="27" t="s">
        <v>4059</v>
      </c>
    </row>
    <row r="106" spans="1:38">
      <c r="A106" s="27" t="s">
        <v>4207</v>
      </c>
      <c r="B106" s="27" t="s">
        <v>4208</v>
      </c>
      <c r="C106" s="27" t="s">
        <v>1597</v>
      </c>
      <c r="D106" s="27" t="s">
        <v>3252</v>
      </c>
      <c r="E106" s="27" t="s">
        <v>638</v>
      </c>
      <c r="F106" s="28">
        <v>46113.251506597226</v>
      </c>
      <c r="G106" s="28">
        <v>46113.251506597226</v>
      </c>
      <c r="H106" s="28">
        <v>46149.263410497682</v>
      </c>
      <c r="I106" s="27" t="s">
        <v>4209</v>
      </c>
      <c r="J106" s="27" t="s">
        <v>4210</v>
      </c>
      <c r="K106" s="27" t="s">
        <v>4211</v>
      </c>
      <c r="L106" s="27" t="s">
        <v>4212</v>
      </c>
      <c r="M106" s="27" t="s">
        <v>2588</v>
      </c>
      <c r="N106" s="27" t="s">
        <v>4213</v>
      </c>
      <c r="O106" s="27" t="s">
        <v>3256</v>
      </c>
      <c r="P106" s="27" t="s">
        <v>3344</v>
      </c>
      <c r="Q106" s="27" t="s">
        <v>4214</v>
      </c>
      <c r="R106" s="27" t="s">
        <v>107</v>
      </c>
      <c r="S106" s="27"/>
      <c r="T106" s="27"/>
      <c r="U106" s="27" t="s">
        <v>681</v>
      </c>
      <c r="V106" s="28">
        <v>46113.272532187497</v>
      </c>
      <c r="W106" s="27" t="s">
        <v>1852</v>
      </c>
      <c r="X106" s="27" t="s">
        <v>559</v>
      </c>
      <c r="Y106" s="27" t="s">
        <v>2303</v>
      </c>
      <c r="Z106" s="28">
        <v>46118.099564074073</v>
      </c>
      <c r="AA106" s="27" t="s">
        <v>2748</v>
      </c>
      <c r="AB106" s="27" t="s">
        <v>559</v>
      </c>
      <c r="AC106" s="27" t="s">
        <v>4215</v>
      </c>
      <c r="AD106" s="28">
        <v>46119.083436469904</v>
      </c>
      <c r="AE106" s="27" t="s">
        <v>3261</v>
      </c>
      <c r="AF106" s="27" t="s">
        <v>559</v>
      </c>
      <c r="AG106" s="27" t="s">
        <v>3796</v>
      </c>
      <c r="AH106" s="28">
        <v>46149.263410497682</v>
      </c>
      <c r="AI106" s="27" t="s">
        <v>1245</v>
      </c>
      <c r="AJ106" s="27" t="s">
        <v>559</v>
      </c>
      <c r="AK106" s="27" t="s">
        <v>4216</v>
      </c>
      <c r="AL106" s="27" t="s">
        <v>4217</v>
      </c>
    </row>
    <row r="107" spans="1:38">
      <c r="A107" s="27" t="s">
        <v>4218</v>
      </c>
      <c r="B107" s="27" t="s">
        <v>4219</v>
      </c>
      <c r="C107" s="27" t="s">
        <v>4220</v>
      </c>
      <c r="D107" s="27" t="s">
        <v>3252</v>
      </c>
      <c r="E107" s="27" t="s">
        <v>668</v>
      </c>
      <c r="F107" s="28">
        <v>46114.157459189817</v>
      </c>
      <c r="G107" s="28">
        <v>46114.157459189817</v>
      </c>
      <c r="H107" s="28">
        <v>46114.157459189817</v>
      </c>
      <c r="I107" s="27" t="s">
        <v>4221</v>
      </c>
      <c r="J107" s="27" t="s">
        <v>4222</v>
      </c>
      <c r="K107" s="27">
        <v>192</v>
      </c>
      <c r="L107" s="27" t="s">
        <v>4223</v>
      </c>
      <c r="M107" s="27" t="s">
        <v>4224</v>
      </c>
      <c r="N107" s="27" t="s">
        <v>4225</v>
      </c>
      <c r="O107" s="27" t="s">
        <v>3322</v>
      </c>
      <c r="P107" s="27" t="s">
        <v>3257</v>
      </c>
      <c r="Q107" s="27" t="s">
        <v>4226</v>
      </c>
      <c r="R107" s="27"/>
      <c r="S107" s="27" t="s">
        <v>794</v>
      </c>
      <c r="T107" s="27"/>
      <c r="U107" s="27"/>
      <c r="V107" s="28"/>
      <c r="W107" s="27" t="s">
        <v>4224</v>
      </c>
      <c r="X107" s="27"/>
      <c r="Y107" s="27"/>
      <c r="Z107" s="28"/>
      <c r="AA107" s="27" t="s">
        <v>3325</v>
      </c>
      <c r="AB107" s="27"/>
      <c r="AC107" s="27"/>
      <c r="AD107" s="28"/>
      <c r="AE107" s="27" t="s">
        <v>573</v>
      </c>
      <c r="AF107" s="27"/>
      <c r="AG107" s="27"/>
      <c r="AH107" s="28"/>
      <c r="AI107" s="27" t="s">
        <v>3295</v>
      </c>
      <c r="AJ107" s="27"/>
      <c r="AK107" s="27"/>
      <c r="AL107" s="27" t="s">
        <v>4227</v>
      </c>
    </row>
    <row r="108" spans="1:38">
      <c r="A108" s="27" t="s">
        <v>4228</v>
      </c>
      <c r="B108" s="27" t="s">
        <v>4229</v>
      </c>
      <c r="C108" s="27" t="s">
        <v>1208</v>
      </c>
      <c r="D108" s="27" t="s">
        <v>3252</v>
      </c>
      <c r="E108" s="27" t="s">
        <v>638</v>
      </c>
      <c r="F108" s="28">
        <v>46114.19464947917</v>
      </c>
      <c r="G108" s="28">
        <v>46114.19464947917</v>
      </c>
      <c r="H108" s="28">
        <v>46219.137729918984</v>
      </c>
      <c r="I108" s="27" t="s">
        <v>1217</v>
      </c>
      <c r="J108" s="27" t="s">
        <v>1209</v>
      </c>
      <c r="K108" s="27" t="s">
        <v>2317</v>
      </c>
      <c r="L108" s="27" t="s">
        <v>2311</v>
      </c>
      <c r="M108" s="27" t="s">
        <v>2315</v>
      </c>
      <c r="N108" s="27" t="s">
        <v>4025</v>
      </c>
      <c r="O108" s="27" t="s">
        <v>3322</v>
      </c>
      <c r="P108" s="27" t="s">
        <v>3257</v>
      </c>
      <c r="Q108" s="27" t="s">
        <v>4230</v>
      </c>
      <c r="R108" s="27" t="s">
        <v>107</v>
      </c>
      <c r="S108" s="27" t="s">
        <v>4231</v>
      </c>
      <c r="T108" s="27"/>
      <c r="U108" s="27" t="s">
        <v>4232</v>
      </c>
      <c r="V108" s="28">
        <v>46114.269312662036</v>
      </c>
      <c r="W108" s="27" t="s">
        <v>2315</v>
      </c>
      <c r="X108" s="27" t="s">
        <v>559</v>
      </c>
      <c r="Y108" s="27" t="s">
        <v>2303</v>
      </c>
      <c r="Z108" s="28">
        <v>46114.374335208333</v>
      </c>
      <c r="AA108" s="27" t="s">
        <v>2748</v>
      </c>
      <c r="AB108" s="27" t="s">
        <v>559</v>
      </c>
      <c r="AC108" s="27" t="s">
        <v>4233</v>
      </c>
      <c r="AD108" s="28">
        <v>46114.408654918981</v>
      </c>
      <c r="AE108" s="27" t="s">
        <v>3261</v>
      </c>
      <c r="AF108" s="27" t="s">
        <v>559</v>
      </c>
      <c r="AG108" s="27" t="s">
        <v>638</v>
      </c>
      <c r="AH108" s="28">
        <v>46219.137729918984</v>
      </c>
      <c r="AI108" s="27" t="s">
        <v>3528</v>
      </c>
      <c r="AJ108" s="27" t="s">
        <v>559</v>
      </c>
      <c r="AK108" s="27" t="s">
        <v>4234</v>
      </c>
      <c r="AL108" s="27" t="s">
        <v>4235</v>
      </c>
    </row>
    <row r="109" spans="1:38">
      <c r="A109" s="27" t="s">
        <v>4236</v>
      </c>
      <c r="B109" s="27" t="s">
        <v>4237</v>
      </c>
      <c r="C109" s="27" t="s">
        <v>3931</v>
      </c>
      <c r="D109" s="27" t="s">
        <v>3252</v>
      </c>
      <c r="E109" s="27" t="s">
        <v>638</v>
      </c>
      <c r="F109" s="28">
        <v>46114.268339745373</v>
      </c>
      <c r="G109" s="28">
        <v>46119.173100219909</v>
      </c>
      <c r="H109" s="28">
        <v>46129.087337673613</v>
      </c>
      <c r="I109" s="27" t="s">
        <v>3932</v>
      </c>
      <c r="J109" s="27" t="s">
        <v>3933</v>
      </c>
      <c r="K109" s="27" t="s">
        <v>3934</v>
      </c>
      <c r="L109" s="27" t="s">
        <v>3935</v>
      </c>
      <c r="M109" s="27" t="s">
        <v>3936</v>
      </c>
      <c r="N109" s="27" t="s">
        <v>3933</v>
      </c>
      <c r="O109" s="27" t="s">
        <v>3322</v>
      </c>
      <c r="P109" s="27" t="s">
        <v>3292</v>
      </c>
      <c r="Q109" s="27" t="s">
        <v>4238</v>
      </c>
      <c r="R109" s="27" t="s">
        <v>116</v>
      </c>
      <c r="S109" s="27"/>
      <c r="T109" s="27"/>
      <c r="U109" s="27" t="s">
        <v>4239</v>
      </c>
      <c r="V109" s="28">
        <v>46119.179449733798</v>
      </c>
      <c r="W109" s="27" t="s">
        <v>3938</v>
      </c>
      <c r="X109" s="27" t="s">
        <v>559</v>
      </c>
      <c r="Y109" s="27" t="s">
        <v>2303</v>
      </c>
      <c r="Z109" s="28">
        <v>46119.288903807872</v>
      </c>
      <c r="AA109" s="27" t="s">
        <v>2748</v>
      </c>
      <c r="AB109" s="27" t="s">
        <v>559</v>
      </c>
      <c r="AC109" s="27" t="s">
        <v>2623</v>
      </c>
      <c r="AD109" s="28">
        <v>46121.382872604168</v>
      </c>
      <c r="AE109" s="27" t="s">
        <v>3261</v>
      </c>
      <c r="AF109" s="27" t="s">
        <v>559</v>
      </c>
      <c r="AG109" s="27" t="s">
        <v>638</v>
      </c>
      <c r="AH109" s="28">
        <v>46129.087337673613</v>
      </c>
      <c r="AI109" s="27" t="s">
        <v>3361</v>
      </c>
      <c r="AJ109" s="27" t="s">
        <v>559</v>
      </c>
      <c r="AK109" s="27" t="s">
        <v>4240</v>
      </c>
      <c r="AL109" s="27" t="s">
        <v>3942</v>
      </c>
    </row>
    <row r="110" spans="1:38">
      <c r="A110" s="27" t="s">
        <v>4241</v>
      </c>
      <c r="B110" s="27" t="s">
        <v>4242</v>
      </c>
      <c r="C110" s="27" t="s">
        <v>4243</v>
      </c>
      <c r="D110" s="27" t="s">
        <v>3252</v>
      </c>
      <c r="E110" s="27" t="s">
        <v>638</v>
      </c>
      <c r="F110" s="28">
        <v>46114.360750081018</v>
      </c>
      <c r="G110" s="28">
        <v>46114.360750081018</v>
      </c>
      <c r="H110" s="28">
        <v>46122.131456944444</v>
      </c>
      <c r="I110" s="27" t="s">
        <v>4244</v>
      </c>
      <c r="J110" s="27" t="s">
        <v>4245</v>
      </c>
      <c r="K110" s="27" t="s">
        <v>4246</v>
      </c>
      <c r="L110" s="27" t="s">
        <v>4247</v>
      </c>
      <c r="M110" s="27" t="s">
        <v>4248</v>
      </c>
      <c r="N110" s="27" t="s">
        <v>4249</v>
      </c>
      <c r="O110" s="27" t="s">
        <v>3256</v>
      </c>
      <c r="P110" s="27" t="s">
        <v>3344</v>
      </c>
      <c r="Q110" s="27" t="s">
        <v>4250</v>
      </c>
      <c r="R110" s="27" t="s">
        <v>116</v>
      </c>
      <c r="S110" s="27"/>
      <c r="T110" s="27"/>
      <c r="U110" s="27" t="s">
        <v>4251</v>
      </c>
      <c r="V110" s="28">
        <v>46114.414900798613</v>
      </c>
      <c r="W110" s="27" t="s">
        <v>4252</v>
      </c>
      <c r="X110" s="27" t="s">
        <v>559</v>
      </c>
      <c r="Y110" s="27" t="s">
        <v>2303</v>
      </c>
      <c r="Z110" s="28">
        <v>46118.095633182871</v>
      </c>
      <c r="AA110" s="27" t="s">
        <v>2748</v>
      </c>
      <c r="AB110" s="27" t="s">
        <v>559</v>
      </c>
      <c r="AC110" s="27" t="s">
        <v>4253</v>
      </c>
      <c r="AD110" s="28">
        <v>46119.085824108799</v>
      </c>
      <c r="AE110" s="27" t="s">
        <v>3261</v>
      </c>
      <c r="AF110" s="27" t="s">
        <v>559</v>
      </c>
      <c r="AG110" s="27" t="s">
        <v>4254</v>
      </c>
      <c r="AH110" s="28">
        <v>46122.13145695602</v>
      </c>
      <c r="AI110" s="27" t="s">
        <v>3284</v>
      </c>
      <c r="AJ110" s="27" t="s">
        <v>559</v>
      </c>
      <c r="AK110" s="27" t="s">
        <v>4255</v>
      </c>
      <c r="AL110" s="27" t="s">
        <v>4256</v>
      </c>
    </row>
    <row r="111" spans="1:38">
      <c r="A111" s="27" t="s">
        <v>4257</v>
      </c>
      <c r="B111" s="27" t="s">
        <v>4258</v>
      </c>
      <c r="C111" s="27" t="s">
        <v>4050</v>
      </c>
      <c r="D111" s="27" t="s">
        <v>3252</v>
      </c>
      <c r="E111" s="27" t="s">
        <v>638</v>
      </c>
      <c r="F111" s="28">
        <v>46115.106471527775</v>
      </c>
      <c r="G111" s="28">
        <v>46115.106471527775</v>
      </c>
      <c r="H111" s="28">
        <v>46126.076336458333</v>
      </c>
      <c r="I111" s="27" t="s">
        <v>4051</v>
      </c>
      <c r="J111" s="27" t="s">
        <v>351</v>
      </c>
      <c r="K111" s="27">
        <v>209</v>
      </c>
      <c r="L111" s="27" t="s">
        <v>4052</v>
      </c>
      <c r="M111" s="27" t="s">
        <v>4053</v>
      </c>
      <c r="N111" s="27" t="s">
        <v>4054</v>
      </c>
      <c r="O111" s="27" t="s">
        <v>3256</v>
      </c>
      <c r="P111" s="27" t="s">
        <v>3292</v>
      </c>
      <c r="Q111" s="27" t="s">
        <v>4259</v>
      </c>
      <c r="R111" s="27" t="s">
        <v>107</v>
      </c>
      <c r="S111" s="27"/>
      <c r="T111" s="27"/>
      <c r="U111" s="27" t="s">
        <v>4260</v>
      </c>
      <c r="V111" s="28">
        <v>46115.15099962963</v>
      </c>
      <c r="W111" s="27" t="s">
        <v>4057</v>
      </c>
      <c r="X111" s="27" t="s">
        <v>559</v>
      </c>
      <c r="Y111" s="27" t="s">
        <v>2303</v>
      </c>
      <c r="Z111" s="28">
        <v>46118.097331562501</v>
      </c>
      <c r="AA111" s="27" t="s">
        <v>2748</v>
      </c>
      <c r="AB111" s="27" t="s">
        <v>559</v>
      </c>
      <c r="AC111" s="27" t="s">
        <v>4261</v>
      </c>
      <c r="AD111" s="28">
        <v>46119.079867233799</v>
      </c>
      <c r="AE111" s="27" t="s">
        <v>3261</v>
      </c>
      <c r="AF111" s="27" t="s">
        <v>559</v>
      </c>
      <c r="AG111" s="27" t="s">
        <v>4262</v>
      </c>
      <c r="AH111" s="28">
        <v>46126.076336469909</v>
      </c>
      <c r="AI111" s="27" t="s">
        <v>3506</v>
      </c>
      <c r="AJ111" s="27" t="s">
        <v>559</v>
      </c>
      <c r="AK111" s="27" t="s">
        <v>4263</v>
      </c>
      <c r="AL111" s="27" t="s">
        <v>4059</v>
      </c>
    </row>
    <row r="112" spans="1:38">
      <c r="A112" s="27" t="s">
        <v>4264</v>
      </c>
      <c r="B112" s="27" t="s">
        <v>4265</v>
      </c>
      <c r="C112" s="27" t="s">
        <v>3773</v>
      </c>
      <c r="D112" s="27" t="s">
        <v>3252</v>
      </c>
      <c r="E112" s="27" t="s">
        <v>638</v>
      </c>
      <c r="F112" s="28">
        <v>46119.088592939814</v>
      </c>
      <c r="G112" s="28">
        <v>46119.088592939814</v>
      </c>
      <c r="H112" s="28">
        <v>46132.018281979166</v>
      </c>
      <c r="I112" s="27" t="s">
        <v>3339</v>
      </c>
      <c r="J112" s="27" t="s">
        <v>3340</v>
      </c>
      <c r="K112" s="27">
        <v>3437</v>
      </c>
      <c r="L112" s="27" t="s">
        <v>3341</v>
      </c>
      <c r="M112" s="27" t="s">
        <v>3774</v>
      </c>
      <c r="N112" s="27" t="s">
        <v>3397</v>
      </c>
      <c r="O112" s="27" t="s">
        <v>3322</v>
      </c>
      <c r="P112" s="27" t="s">
        <v>3344</v>
      </c>
      <c r="Q112" s="27" t="s">
        <v>4266</v>
      </c>
      <c r="R112" s="27" t="s">
        <v>116</v>
      </c>
      <c r="S112" s="27"/>
      <c r="T112" s="27"/>
      <c r="U112" s="27" t="s">
        <v>662</v>
      </c>
      <c r="V112" s="28">
        <v>46119.128892222223</v>
      </c>
      <c r="W112" s="27" t="s">
        <v>3777</v>
      </c>
      <c r="X112" s="27" t="s">
        <v>559</v>
      </c>
      <c r="Y112" s="27" t="s">
        <v>2303</v>
      </c>
      <c r="Z112" s="28">
        <v>46120.37012378472</v>
      </c>
      <c r="AA112" s="27" t="s">
        <v>2748</v>
      </c>
      <c r="AB112" s="27" t="s">
        <v>559</v>
      </c>
      <c r="AC112" s="27" t="s">
        <v>4000</v>
      </c>
      <c r="AD112" s="28">
        <v>46121.384109502316</v>
      </c>
      <c r="AE112" s="27" t="s">
        <v>3261</v>
      </c>
      <c r="AF112" s="27" t="s">
        <v>559</v>
      </c>
      <c r="AG112" s="27" t="s">
        <v>3400</v>
      </c>
      <c r="AH112" s="28">
        <v>46132.018281990742</v>
      </c>
      <c r="AI112" s="27" t="s">
        <v>3401</v>
      </c>
      <c r="AJ112" s="27" t="s">
        <v>559</v>
      </c>
      <c r="AK112" s="27" t="s">
        <v>4267</v>
      </c>
      <c r="AL112" s="27" t="s">
        <v>3348</v>
      </c>
    </row>
    <row r="113" spans="1:38">
      <c r="A113" s="27" t="s">
        <v>4268</v>
      </c>
      <c r="B113" s="27" t="s">
        <v>4269</v>
      </c>
      <c r="C113" s="27" t="s">
        <v>3757</v>
      </c>
      <c r="D113" s="27" t="s">
        <v>3252</v>
      </c>
      <c r="E113" s="27" t="s">
        <v>638</v>
      </c>
      <c r="F113" s="28">
        <v>46119.153086701386</v>
      </c>
      <c r="G113" s="28">
        <v>46119.153086701386</v>
      </c>
      <c r="H113" s="28">
        <v>46126.108006782408</v>
      </c>
      <c r="I113" s="27" t="s">
        <v>3758</v>
      </c>
      <c r="J113" s="27" t="s">
        <v>3759</v>
      </c>
      <c r="K113" s="27">
        <v>4583</v>
      </c>
      <c r="L113" s="27" t="s">
        <v>3760</v>
      </c>
      <c r="M113" s="27" t="s">
        <v>3761</v>
      </c>
      <c r="N113" s="27" t="s">
        <v>3762</v>
      </c>
      <c r="O113" s="27" t="s">
        <v>3322</v>
      </c>
      <c r="P113" s="27" t="s">
        <v>3292</v>
      </c>
      <c r="Q113" s="27" t="s">
        <v>4270</v>
      </c>
      <c r="R113" s="27" t="s">
        <v>107</v>
      </c>
      <c r="S113" s="27"/>
      <c r="T113" s="27"/>
      <c r="U113" s="27" t="s">
        <v>4271</v>
      </c>
      <c r="V113" s="28">
        <v>46119.319717511571</v>
      </c>
      <c r="W113" s="27" t="s">
        <v>1362</v>
      </c>
      <c r="X113" s="27" t="s">
        <v>559</v>
      </c>
      <c r="Y113" s="27" t="s">
        <v>4272</v>
      </c>
      <c r="Z113" s="28">
        <v>46120.097572094906</v>
      </c>
      <c r="AA113" s="27" t="s">
        <v>3599</v>
      </c>
      <c r="AB113" s="27" t="s">
        <v>559</v>
      </c>
      <c r="AC113" s="27" t="s">
        <v>4273</v>
      </c>
      <c r="AD113" s="28">
        <v>46121.113929282408</v>
      </c>
      <c r="AE113" s="27" t="s">
        <v>3261</v>
      </c>
      <c r="AF113" s="27" t="s">
        <v>559</v>
      </c>
      <c r="AG113" s="27" t="s">
        <v>3796</v>
      </c>
      <c r="AH113" s="28">
        <v>46126.108006782408</v>
      </c>
      <c r="AI113" s="27" t="s">
        <v>1245</v>
      </c>
      <c r="AJ113" s="27" t="s">
        <v>559</v>
      </c>
      <c r="AK113" s="27" t="s">
        <v>4274</v>
      </c>
      <c r="AL113" s="27" t="s">
        <v>3770</v>
      </c>
    </row>
    <row r="114" spans="1:38">
      <c r="A114" s="27" t="s">
        <v>4275</v>
      </c>
      <c r="B114" s="27" t="s">
        <v>4276</v>
      </c>
      <c r="C114" s="27" t="s">
        <v>4277</v>
      </c>
      <c r="D114" s="27" t="s">
        <v>3252</v>
      </c>
      <c r="E114" s="27" t="s">
        <v>638</v>
      </c>
      <c r="F114" s="28">
        <v>46119.329906701387</v>
      </c>
      <c r="G114" s="28">
        <v>46120.311258865739</v>
      </c>
      <c r="H114" s="28">
        <v>46128.382055648151</v>
      </c>
      <c r="I114" s="27" t="s">
        <v>4278</v>
      </c>
      <c r="J114" s="27" t="s">
        <v>4279</v>
      </c>
      <c r="K114" s="27">
        <v>4495</v>
      </c>
      <c r="L114" s="27" t="s">
        <v>4279</v>
      </c>
      <c r="M114" s="27" t="s">
        <v>4280</v>
      </c>
      <c r="N114" s="27" t="s">
        <v>4281</v>
      </c>
      <c r="O114" s="27" t="s">
        <v>3322</v>
      </c>
      <c r="P114" s="27" t="s">
        <v>3257</v>
      </c>
      <c r="Q114" s="27" t="s">
        <v>4282</v>
      </c>
      <c r="R114" s="27" t="s">
        <v>116</v>
      </c>
      <c r="S114" s="27" t="s">
        <v>794</v>
      </c>
      <c r="T114" s="27"/>
      <c r="U114" s="27" t="s">
        <v>4283</v>
      </c>
      <c r="V114" s="28">
        <v>46120.313588958335</v>
      </c>
      <c r="W114" s="27" t="s">
        <v>4280</v>
      </c>
      <c r="X114" s="27" t="s">
        <v>559</v>
      </c>
      <c r="Y114" s="27" t="s">
        <v>2303</v>
      </c>
      <c r="Z114" s="28">
        <v>46120.317961712964</v>
      </c>
      <c r="AA114" s="27" t="s">
        <v>2748</v>
      </c>
      <c r="AB114" s="27" t="s">
        <v>559</v>
      </c>
      <c r="AC114" s="27" t="s">
        <v>4284</v>
      </c>
      <c r="AD114" s="28">
        <v>46121.380516134261</v>
      </c>
      <c r="AE114" s="27" t="s">
        <v>3261</v>
      </c>
      <c r="AF114" s="27" t="s">
        <v>559</v>
      </c>
      <c r="AG114" s="27" t="s">
        <v>638</v>
      </c>
      <c r="AH114" s="28">
        <v>46128.38205565972</v>
      </c>
      <c r="AI114" s="27" t="s">
        <v>3479</v>
      </c>
      <c r="AJ114" s="27" t="s">
        <v>559</v>
      </c>
      <c r="AK114" s="27" t="s">
        <v>4285</v>
      </c>
      <c r="AL114" s="27" t="s">
        <v>4286</v>
      </c>
    </row>
    <row r="115" spans="1:38">
      <c r="A115" s="27" t="s">
        <v>4287</v>
      </c>
      <c r="B115" s="27" t="s">
        <v>4288</v>
      </c>
      <c r="C115" s="27" t="s">
        <v>4152</v>
      </c>
      <c r="D115" s="27" t="s">
        <v>3252</v>
      </c>
      <c r="E115" s="27" t="s">
        <v>638</v>
      </c>
      <c r="F115" s="28">
        <v>46122.211081284724</v>
      </c>
      <c r="G115" s="28">
        <v>46122.212950046298</v>
      </c>
      <c r="H115" s="28">
        <v>46133.116105740737</v>
      </c>
      <c r="I115" s="27" t="s">
        <v>4153</v>
      </c>
      <c r="J115" s="27" t="s">
        <v>4154</v>
      </c>
      <c r="K115" s="27" t="s">
        <v>4155</v>
      </c>
      <c r="L115" s="27" t="s">
        <v>4156</v>
      </c>
      <c r="M115" s="27" t="s">
        <v>4157</v>
      </c>
      <c r="N115" s="27" t="s">
        <v>4158</v>
      </c>
      <c r="O115" s="27" t="s">
        <v>3256</v>
      </c>
      <c r="P115" s="27" t="s">
        <v>3257</v>
      </c>
      <c r="Q115" s="27" t="s">
        <v>4289</v>
      </c>
      <c r="R115" s="27" t="s">
        <v>116</v>
      </c>
      <c r="S115" s="27"/>
      <c r="T115" s="27"/>
      <c r="U115" s="27" t="s">
        <v>4290</v>
      </c>
      <c r="V115" s="28">
        <v>46122.213959421293</v>
      </c>
      <c r="W115" s="27" t="s">
        <v>4161</v>
      </c>
      <c r="X115" s="27" t="s">
        <v>559</v>
      </c>
      <c r="Y115" s="27" t="s">
        <v>2303</v>
      </c>
      <c r="Z115" s="28">
        <v>46122.276927129627</v>
      </c>
      <c r="AA115" s="27" t="s">
        <v>2748</v>
      </c>
      <c r="AB115" s="27" t="s">
        <v>559</v>
      </c>
      <c r="AC115" s="27" t="s">
        <v>4291</v>
      </c>
      <c r="AD115" s="28">
        <v>46124.998150868058</v>
      </c>
      <c r="AE115" s="27" t="s">
        <v>3261</v>
      </c>
      <c r="AF115" s="27" t="s">
        <v>559</v>
      </c>
      <c r="AG115" s="27" t="s">
        <v>638</v>
      </c>
      <c r="AH115" s="28">
        <v>46133.116105740737</v>
      </c>
      <c r="AI115" s="27" t="s">
        <v>3392</v>
      </c>
      <c r="AJ115" s="27" t="s">
        <v>559</v>
      </c>
      <c r="AK115" s="27" t="s">
        <v>4292</v>
      </c>
      <c r="AL115" s="27" t="s">
        <v>4164</v>
      </c>
    </row>
    <row r="116" spans="1:38">
      <c r="A116" s="27" t="s">
        <v>4293</v>
      </c>
      <c r="B116" s="27" t="s">
        <v>4294</v>
      </c>
      <c r="C116" s="27" t="s">
        <v>4295</v>
      </c>
      <c r="D116" s="27" t="s">
        <v>3252</v>
      </c>
      <c r="E116" s="27" t="s">
        <v>638</v>
      </c>
      <c r="F116" s="28">
        <v>46122.417063564812</v>
      </c>
      <c r="G116" s="28">
        <v>46132.274378564813</v>
      </c>
      <c r="H116" s="28">
        <v>46140.430655081022</v>
      </c>
      <c r="I116" s="27" t="s">
        <v>1877</v>
      </c>
      <c r="J116" s="27" t="s">
        <v>322</v>
      </c>
      <c r="K116" s="27">
        <v>4569</v>
      </c>
      <c r="L116" s="27" t="s">
        <v>323</v>
      </c>
      <c r="M116" s="27" t="s">
        <v>4296</v>
      </c>
      <c r="N116" s="27" t="s">
        <v>3800</v>
      </c>
      <c r="O116" s="27" t="s">
        <v>3256</v>
      </c>
      <c r="P116" s="27" t="s">
        <v>3344</v>
      </c>
      <c r="Q116" s="27" t="s">
        <v>4297</v>
      </c>
      <c r="R116" s="27" t="s">
        <v>125</v>
      </c>
      <c r="S116" s="27"/>
      <c r="T116" s="27"/>
      <c r="U116" s="27" t="s">
        <v>2597</v>
      </c>
      <c r="V116" s="28">
        <v>46132.63048954861</v>
      </c>
      <c r="W116" s="27" t="s">
        <v>4298</v>
      </c>
      <c r="X116" s="27" t="s">
        <v>559</v>
      </c>
      <c r="Y116" s="27" t="s">
        <v>4299</v>
      </c>
      <c r="Z116" s="28">
        <v>46139.109714085651</v>
      </c>
      <c r="AA116" s="27" t="s">
        <v>3429</v>
      </c>
      <c r="AB116" s="27" t="s">
        <v>559</v>
      </c>
      <c r="AC116" s="27" t="s">
        <v>867</v>
      </c>
      <c r="AD116" s="28">
        <v>46139.149759872686</v>
      </c>
      <c r="AE116" s="27" t="s">
        <v>571</v>
      </c>
      <c r="AF116" s="27" t="s">
        <v>559</v>
      </c>
      <c r="AG116" s="27" t="s">
        <v>649</v>
      </c>
      <c r="AH116" s="28">
        <v>46140.430655081022</v>
      </c>
      <c r="AI116" s="27" t="s">
        <v>1083</v>
      </c>
      <c r="AJ116" s="27" t="s">
        <v>559</v>
      </c>
      <c r="AK116" s="27" t="s">
        <v>4300</v>
      </c>
      <c r="AL116" s="27" t="s">
        <v>3806</v>
      </c>
    </row>
    <row r="117" spans="1:38">
      <c r="A117" s="27" t="s">
        <v>4301</v>
      </c>
      <c r="B117" s="27" t="s">
        <v>4302</v>
      </c>
      <c r="C117" s="27" t="s">
        <v>994</v>
      </c>
      <c r="D117" s="27" t="s">
        <v>3252</v>
      </c>
      <c r="E117" s="27" t="s">
        <v>638</v>
      </c>
      <c r="F117" s="28">
        <v>46125.19915158565</v>
      </c>
      <c r="G117" s="28">
        <v>46125.19915158565</v>
      </c>
      <c r="H117" s="28">
        <v>46197.109712777776</v>
      </c>
      <c r="I117" s="27" t="s">
        <v>999</v>
      </c>
      <c r="J117" s="27" t="s">
        <v>346</v>
      </c>
      <c r="K117" s="27">
        <v>100</v>
      </c>
      <c r="L117" s="27" t="s">
        <v>347</v>
      </c>
      <c r="M117" s="27" t="s">
        <v>996</v>
      </c>
      <c r="N117" s="27" t="s">
        <v>3871</v>
      </c>
      <c r="O117" s="27" t="s">
        <v>3256</v>
      </c>
      <c r="P117" s="27" t="s">
        <v>3292</v>
      </c>
      <c r="Q117" s="27" t="s">
        <v>4303</v>
      </c>
      <c r="R117" s="27" t="s">
        <v>107</v>
      </c>
      <c r="S117" s="27"/>
      <c r="T117" s="27"/>
      <c r="U117" s="27" t="s">
        <v>4304</v>
      </c>
      <c r="V117" s="28">
        <v>46125.27377576389</v>
      </c>
      <c r="W117" s="27" t="s">
        <v>998</v>
      </c>
      <c r="X117" s="27" t="s">
        <v>559</v>
      </c>
      <c r="Y117" s="27" t="s">
        <v>2303</v>
      </c>
      <c r="Z117" s="28">
        <v>46133.11279994213</v>
      </c>
      <c r="AA117" s="27" t="s">
        <v>2748</v>
      </c>
      <c r="AB117" s="27" t="s">
        <v>559</v>
      </c>
      <c r="AC117" s="27" t="s">
        <v>4305</v>
      </c>
      <c r="AD117" s="28">
        <v>46133.165566504627</v>
      </c>
      <c r="AE117" s="27" t="s">
        <v>3261</v>
      </c>
      <c r="AF117" s="27" t="s">
        <v>559</v>
      </c>
      <c r="AG117" s="27" t="s">
        <v>4306</v>
      </c>
      <c r="AH117" s="28">
        <v>46197.109712789352</v>
      </c>
      <c r="AI117" s="27" t="s">
        <v>3361</v>
      </c>
      <c r="AJ117" s="27" t="s">
        <v>559</v>
      </c>
      <c r="AK117" s="27" t="s">
        <v>4307</v>
      </c>
      <c r="AL117" s="27" t="s">
        <v>3876</v>
      </c>
    </row>
    <row r="118" spans="1:38">
      <c r="A118" s="27" t="s">
        <v>4308</v>
      </c>
      <c r="B118" s="27" t="s">
        <v>4041</v>
      </c>
      <c r="C118" s="27" t="s">
        <v>994</v>
      </c>
      <c r="D118" s="27" t="s">
        <v>3252</v>
      </c>
      <c r="E118" s="27" t="s">
        <v>638</v>
      </c>
      <c r="F118" s="28">
        <v>46125.201578032407</v>
      </c>
      <c r="G118" s="28">
        <v>46125.201578032407</v>
      </c>
      <c r="H118" s="28">
        <v>46197.109078877314</v>
      </c>
      <c r="I118" s="27" t="s">
        <v>999</v>
      </c>
      <c r="J118" s="27" t="s">
        <v>346</v>
      </c>
      <c r="K118" s="27">
        <v>100</v>
      </c>
      <c r="L118" s="27" t="s">
        <v>347</v>
      </c>
      <c r="M118" s="27" t="s">
        <v>996</v>
      </c>
      <c r="N118" s="27" t="s">
        <v>3871</v>
      </c>
      <c r="O118" s="27" t="s">
        <v>3256</v>
      </c>
      <c r="P118" s="27" t="s">
        <v>3257</v>
      </c>
      <c r="Q118" s="27" t="s">
        <v>4309</v>
      </c>
      <c r="R118" s="27" t="s">
        <v>107</v>
      </c>
      <c r="S118" s="27"/>
      <c r="T118" s="27"/>
      <c r="U118" s="27" t="s">
        <v>4304</v>
      </c>
      <c r="V118" s="28">
        <v>46125.273348912036</v>
      </c>
      <c r="W118" s="27" t="s">
        <v>998</v>
      </c>
      <c r="X118" s="27" t="s">
        <v>559</v>
      </c>
      <c r="Y118" s="27" t="s">
        <v>2303</v>
      </c>
      <c r="Z118" s="28">
        <v>46133.113456458334</v>
      </c>
      <c r="AA118" s="27" t="s">
        <v>2748</v>
      </c>
      <c r="AB118" s="27" t="s">
        <v>559</v>
      </c>
      <c r="AC118" s="27" t="s">
        <v>4310</v>
      </c>
      <c r="AD118" s="28">
        <v>46133.165292268517</v>
      </c>
      <c r="AE118" s="27" t="s">
        <v>3261</v>
      </c>
      <c r="AF118" s="27" t="s">
        <v>559</v>
      </c>
      <c r="AG118" s="27" t="s">
        <v>4306</v>
      </c>
      <c r="AH118" s="28">
        <v>46197.109078877314</v>
      </c>
      <c r="AI118" s="27" t="s">
        <v>3361</v>
      </c>
      <c r="AJ118" s="27" t="s">
        <v>559</v>
      </c>
      <c r="AK118" s="27" t="s">
        <v>4311</v>
      </c>
      <c r="AL118" s="27" t="s">
        <v>3876</v>
      </c>
    </row>
    <row r="119" spans="1:38">
      <c r="A119" s="27" t="s">
        <v>4312</v>
      </c>
      <c r="B119" s="27" t="s">
        <v>4313</v>
      </c>
      <c r="C119" s="27" t="s">
        <v>4314</v>
      </c>
      <c r="D119" s="27" t="s">
        <v>3252</v>
      </c>
      <c r="E119" s="27" t="s">
        <v>638</v>
      </c>
      <c r="F119" s="28">
        <v>46125.32927065972</v>
      </c>
      <c r="G119" s="28">
        <v>46126.372832870373</v>
      </c>
      <c r="H119" s="28">
        <v>46128.079683611111</v>
      </c>
      <c r="I119" s="27" t="s">
        <v>845</v>
      </c>
      <c r="J119" s="27" t="s">
        <v>836</v>
      </c>
      <c r="K119" s="27" t="s">
        <v>846</v>
      </c>
      <c r="L119" s="27" t="s">
        <v>837</v>
      </c>
      <c r="M119" s="27" t="s">
        <v>4315</v>
      </c>
      <c r="N119" s="27" t="s">
        <v>4316</v>
      </c>
      <c r="O119" s="27" t="s">
        <v>3322</v>
      </c>
      <c r="P119" s="27" t="s">
        <v>3257</v>
      </c>
      <c r="Q119" s="27" t="s">
        <v>4317</v>
      </c>
      <c r="R119" s="27" t="s">
        <v>107</v>
      </c>
      <c r="S119" s="27" t="s">
        <v>4318</v>
      </c>
      <c r="T119" s="27"/>
      <c r="U119" s="27" t="s">
        <v>4319</v>
      </c>
      <c r="V119" s="28">
        <v>46127.263030324073</v>
      </c>
      <c r="W119" s="27" t="s">
        <v>4320</v>
      </c>
      <c r="X119" s="27" t="s">
        <v>559</v>
      </c>
      <c r="Y119" s="27" t="s">
        <v>4321</v>
      </c>
      <c r="Z119" s="28">
        <v>46127.275444421299</v>
      </c>
      <c r="AA119" s="27" t="s">
        <v>3599</v>
      </c>
      <c r="AB119" s="27" t="s">
        <v>559</v>
      </c>
      <c r="AC119" s="27" t="s">
        <v>4322</v>
      </c>
      <c r="AD119" s="28">
        <v>46127.32105846065</v>
      </c>
      <c r="AE119" s="27" t="s">
        <v>3261</v>
      </c>
      <c r="AF119" s="27" t="s">
        <v>559</v>
      </c>
      <c r="AG119" s="27" t="s">
        <v>649</v>
      </c>
      <c r="AH119" s="28">
        <v>46128.079683622687</v>
      </c>
      <c r="AI119" s="27" t="s">
        <v>1083</v>
      </c>
      <c r="AJ119" s="27" t="s">
        <v>559</v>
      </c>
      <c r="AK119" s="27" t="s">
        <v>4323</v>
      </c>
      <c r="AL119" s="27" t="s">
        <v>4324</v>
      </c>
    </row>
    <row r="120" spans="1:38">
      <c r="A120" s="27" t="s">
        <v>4325</v>
      </c>
      <c r="B120" s="27" t="s">
        <v>4326</v>
      </c>
      <c r="C120" s="27" t="s">
        <v>1801</v>
      </c>
      <c r="D120" s="27" t="s">
        <v>3252</v>
      </c>
      <c r="E120" s="27" t="s">
        <v>638</v>
      </c>
      <c r="F120" s="28">
        <v>46126.307994178242</v>
      </c>
      <c r="G120" s="28">
        <v>46126.307994178242</v>
      </c>
      <c r="H120" s="28">
        <v>46133.481803888892</v>
      </c>
      <c r="I120" s="27" t="s">
        <v>1810</v>
      </c>
      <c r="J120" s="27" t="s">
        <v>1802</v>
      </c>
      <c r="K120" s="27">
        <v>1709</v>
      </c>
      <c r="L120" s="27" t="s">
        <v>1803</v>
      </c>
      <c r="M120" s="27" t="s">
        <v>1118</v>
      </c>
      <c r="N120" s="27" t="s">
        <v>1802</v>
      </c>
      <c r="O120" s="27" t="s">
        <v>3322</v>
      </c>
      <c r="P120" s="27" t="s">
        <v>3257</v>
      </c>
      <c r="Q120" s="27" t="s">
        <v>4327</v>
      </c>
      <c r="R120" s="27" t="s">
        <v>107</v>
      </c>
      <c r="S120" s="27" t="s">
        <v>839</v>
      </c>
      <c r="T120" s="27"/>
      <c r="U120" s="27" t="s">
        <v>4328</v>
      </c>
      <c r="V120" s="28">
        <v>46126.383045925926</v>
      </c>
      <c r="W120" s="27" t="s">
        <v>1121</v>
      </c>
      <c r="X120" s="27" t="s">
        <v>559</v>
      </c>
      <c r="Y120" s="27" t="s">
        <v>2303</v>
      </c>
      <c r="Z120" s="28">
        <v>46133.11428292824</v>
      </c>
      <c r="AA120" s="27" t="s">
        <v>2748</v>
      </c>
      <c r="AB120" s="27" t="s">
        <v>559</v>
      </c>
      <c r="AC120" s="27" t="s">
        <v>4329</v>
      </c>
      <c r="AD120" s="28">
        <v>46133.302732280092</v>
      </c>
      <c r="AE120" s="27" t="s">
        <v>3261</v>
      </c>
      <c r="AF120" s="27" t="s">
        <v>559</v>
      </c>
      <c r="AG120" s="27" t="s">
        <v>4330</v>
      </c>
      <c r="AH120" s="28">
        <v>46133.48180390046</v>
      </c>
      <c r="AI120" s="27" t="s">
        <v>3653</v>
      </c>
      <c r="AJ120" s="27" t="s">
        <v>559</v>
      </c>
      <c r="AK120" s="27" t="s">
        <v>4331</v>
      </c>
      <c r="AL120" s="27" t="s">
        <v>3582</v>
      </c>
    </row>
    <row r="121" spans="1:38">
      <c r="A121" s="27" t="s">
        <v>4332</v>
      </c>
      <c r="B121" s="27" t="s">
        <v>4333</v>
      </c>
      <c r="C121" s="27" t="s">
        <v>4220</v>
      </c>
      <c r="D121" s="27" t="s">
        <v>3252</v>
      </c>
      <c r="E121" s="27" t="s">
        <v>549</v>
      </c>
      <c r="F121" s="28">
        <v>46127.109772222226</v>
      </c>
      <c r="G121" s="28">
        <v>46127.109772222226</v>
      </c>
      <c r="H121" s="28">
        <v>46133.160988321761</v>
      </c>
      <c r="I121" s="27" t="s">
        <v>4221</v>
      </c>
      <c r="J121" s="27" t="s">
        <v>4222</v>
      </c>
      <c r="K121" s="27">
        <v>192</v>
      </c>
      <c r="L121" s="27" t="s">
        <v>4223</v>
      </c>
      <c r="M121" s="27" t="s">
        <v>2064</v>
      </c>
      <c r="N121" s="27" t="s">
        <v>4225</v>
      </c>
      <c r="O121" s="27" t="s">
        <v>3322</v>
      </c>
      <c r="P121" s="27" t="s">
        <v>3257</v>
      </c>
      <c r="Q121" s="27" t="s">
        <v>4334</v>
      </c>
      <c r="R121" s="27"/>
      <c r="S121" s="27" t="s">
        <v>794</v>
      </c>
      <c r="T121" s="27"/>
      <c r="U121" s="27" t="s">
        <v>4335</v>
      </c>
      <c r="V121" s="28">
        <v>46127.12662412037</v>
      </c>
      <c r="W121" s="27" t="s">
        <v>2067</v>
      </c>
      <c r="X121" s="27" t="s">
        <v>559</v>
      </c>
      <c r="Y121" s="27" t="s">
        <v>4336</v>
      </c>
      <c r="Z121" s="28">
        <v>46133.160988333337</v>
      </c>
      <c r="AA121" s="27" t="s">
        <v>2748</v>
      </c>
      <c r="AB121" s="27" t="s">
        <v>549</v>
      </c>
      <c r="AC121" s="27"/>
      <c r="AD121" s="28"/>
      <c r="AE121" s="27" t="s">
        <v>573</v>
      </c>
      <c r="AF121" s="27"/>
      <c r="AG121" s="27"/>
      <c r="AH121" s="28"/>
      <c r="AI121" s="27" t="s">
        <v>3295</v>
      </c>
      <c r="AJ121" s="27"/>
      <c r="AK121" s="27"/>
      <c r="AL121" s="27" t="s">
        <v>4227</v>
      </c>
    </row>
    <row r="122" spans="1:38">
      <c r="A122" s="27" t="s">
        <v>4337</v>
      </c>
      <c r="B122" s="27" t="s">
        <v>4338</v>
      </c>
      <c r="C122" s="27" t="s">
        <v>3653</v>
      </c>
      <c r="D122" s="27" t="s">
        <v>3252</v>
      </c>
      <c r="E122" s="27" t="s">
        <v>549</v>
      </c>
      <c r="F122" s="28">
        <v>46127.323107129632</v>
      </c>
      <c r="G122" s="28">
        <v>46127.323107129632</v>
      </c>
      <c r="H122" s="28">
        <v>46176.049786747688</v>
      </c>
      <c r="I122" s="27" t="s">
        <v>2741</v>
      </c>
      <c r="J122" s="27" t="s">
        <v>164</v>
      </c>
      <c r="K122" s="27" t="s">
        <v>3648</v>
      </c>
      <c r="L122" s="27" t="s">
        <v>3649</v>
      </c>
      <c r="M122" s="27" t="s">
        <v>4339</v>
      </c>
      <c r="N122" s="27" t="s">
        <v>3649</v>
      </c>
      <c r="O122" s="27" t="s">
        <v>3256</v>
      </c>
      <c r="P122" s="27" t="s">
        <v>3344</v>
      </c>
      <c r="Q122" s="27" t="s">
        <v>2410</v>
      </c>
      <c r="R122" s="27"/>
      <c r="S122" s="27"/>
      <c r="T122" s="27"/>
      <c r="U122" s="27"/>
      <c r="V122" s="28">
        <v>46176.049786759257</v>
      </c>
      <c r="W122" s="27" t="s">
        <v>609</v>
      </c>
      <c r="X122" s="27" t="s">
        <v>549</v>
      </c>
      <c r="Y122" s="27"/>
      <c r="Z122" s="28"/>
      <c r="AA122" s="27" t="s">
        <v>3325</v>
      </c>
      <c r="AB122" s="27"/>
      <c r="AC122" s="27"/>
      <c r="AD122" s="28"/>
      <c r="AE122" s="27" t="s">
        <v>573</v>
      </c>
      <c r="AF122" s="27"/>
      <c r="AG122" s="27"/>
      <c r="AH122" s="28"/>
      <c r="AI122" s="27" t="s">
        <v>3295</v>
      </c>
      <c r="AJ122" s="27"/>
      <c r="AK122" s="27"/>
      <c r="AL122" s="27" t="s">
        <v>3655</v>
      </c>
    </row>
    <row r="123" spans="1:38">
      <c r="A123" s="27" t="s">
        <v>4340</v>
      </c>
      <c r="B123" s="27" t="s">
        <v>4341</v>
      </c>
      <c r="C123" s="27" t="s">
        <v>4342</v>
      </c>
      <c r="D123" s="27" t="s">
        <v>3252</v>
      </c>
      <c r="E123" s="27" t="s">
        <v>638</v>
      </c>
      <c r="F123" s="28">
        <v>46127.577842916668</v>
      </c>
      <c r="G123" s="28">
        <v>46127.577842916668</v>
      </c>
      <c r="H123" s="28">
        <v>46141.110181851851</v>
      </c>
      <c r="I123" s="27" t="s">
        <v>4051</v>
      </c>
      <c r="J123" s="27" t="s">
        <v>351</v>
      </c>
      <c r="K123" s="27" t="s">
        <v>4343</v>
      </c>
      <c r="L123" s="27" t="s">
        <v>352</v>
      </c>
      <c r="M123" s="27" t="s">
        <v>4344</v>
      </c>
      <c r="N123" s="27" t="s">
        <v>4345</v>
      </c>
      <c r="O123" s="27" t="s">
        <v>3256</v>
      </c>
      <c r="P123" s="27" t="s">
        <v>3292</v>
      </c>
      <c r="Q123" s="27" t="s">
        <v>4346</v>
      </c>
      <c r="R123" s="27" t="s">
        <v>107</v>
      </c>
      <c r="S123" s="27"/>
      <c r="T123" s="27"/>
      <c r="U123" s="27" t="s">
        <v>681</v>
      </c>
      <c r="V123" s="28">
        <v>46127.953664849534</v>
      </c>
      <c r="W123" s="27" t="s">
        <v>4344</v>
      </c>
      <c r="X123" s="27" t="s">
        <v>559</v>
      </c>
      <c r="Y123" s="27" t="s">
        <v>4347</v>
      </c>
      <c r="Z123" s="28">
        <v>46129.099986886577</v>
      </c>
      <c r="AA123" s="27" t="s">
        <v>3599</v>
      </c>
      <c r="AB123" s="27" t="s">
        <v>559</v>
      </c>
      <c r="AC123" s="27" t="s">
        <v>4348</v>
      </c>
      <c r="AD123" s="28">
        <v>46129.109916215275</v>
      </c>
      <c r="AE123" s="27" t="s">
        <v>3261</v>
      </c>
      <c r="AF123" s="27" t="s">
        <v>559</v>
      </c>
      <c r="AG123" s="27" t="s">
        <v>4349</v>
      </c>
      <c r="AH123" s="28">
        <v>46141.110181851851</v>
      </c>
      <c r="AI123" s="27" t="s">
        <v>3380</v>
      </c>
      <c r="AJ123" s="27" t="s">
        <v>559</v>
      </c>
      <c r="AK123" s="27" t="s">
        <v>4350</v>
      </c>
      <c r="AL123" s="27" t="s">
        <v>4351</v>
      </c>
    </row>
    <row r="124" spans="1:38">
      <c r="A124" s="27" t="s">
        <v>4352</v>
      </c>
      <c r="B124" s="27" t="s">
        <v>4353</v>
      </c>
      <c r="C124" s="27" t="s">
        <v>4342</v>
      </c>
      <c r="D124" s="27" t="s">
        <v>3252</v>
      </c>
      <c r="E124" s="27" t="s">
        <v>638</v>
      </c>
      <c r="F124" s="28">
        <v>46127.580483530095</v>
      </c>
      <c r="G124" s="28">
        <v>46127.580483530095</v>
      </c>
      <c r="H124" s="28">
        <v>46141.11061059028</v>
      </c>
      <c r="I124" s="27" t="s">
        <v>4051</v>
      </c>
      <c r="J124" s="27" t="s">
        <v>351</v>
      </c>
      <c r="K124" s="27" t="s">
        <v>4343</v>
      </c>
      <c r="L124" s="27" t="s">
        <v>352</v>
      </c>
      <c r="M124" s="27" t="s">
        <v>4344</v>
      </c>
      <c r="N124" s="27" t="s">
        <v>4345</v>
      </c>
      <c r="O124" s="27" t="s">
        <v>3256</v>
      </c>
      <c r="P124" s="27" t="s">
        <v>3257</v>
      </c>
      <c r="Q124" s="27" t="s">
        <v>4346</v>
      </c>
      <c r="R124" s="27" t="s">
        <v>107</v>
      </c>
      <c r="S124" s="27"/>
      <c r="T124" s="27"/>
      <c r="U124" s="27" t="s">
        <v>681</v>
      </c>
      <c r="V124" s="28">
        <v>46127.954014479168</v>
      </c>
      <c r="W124" s="27" t="s">
        <v>4344</v>
      </c>
      <c r="X124" s="27" t="s">
        <v>559</v>
      </c>
      <c r="Y124" s="27" t="s">
        <v>681</v>
      </c>
      <c r="Z124" s="28">
        <v>46129.100153287036</v>
      </c>
      <c r="AA124" s="27" t="s">
        <v>3599</v>
      </c>
      <c r="AB124" s="27" t="s">
        <v>559</v>
      </c>
      <c r="AC124" s="27" t="s">
        <v>4348</v>
      </c>
      <c r="AD124" s="28">
        <v>46129.109801863429</v>
      </c>
      <c r="AE124" s="27" t="s">
        <v>3261</v>
      </c>
      <c r="AF124" s="27" t="s">
        <v>559</v>
      </c>
      <c r="AG124" s="27" t="s">
        <v>4354</v>
      </c>
      <c r="AH124" s="28">
        <v>46141.110610601849</v>
      </c>
      <c r="AI124" s="27" t="s">
        <v>3380</v>
      </c>
      <c r="AJ124" s="27" t="s">
        <v>559</v>
      </c>
      <c r="AK124" s="27" t="s">
        <v>4355</v>
      </c>
      <c r="AL124" s="27" t="s">
        <v>4351</v>
      </c>
    </row>
    <row r="125" spans="1:38">
      <c r="A125" s="27" t="s">
        <v>4356</v>
      </c>
      <c r="B125" s="27" t="s">
        <v>4357</v>
      </c>
      <c r="C125" s="27" t="s">
        <v>4358</v>
      </c>
      <c r="D125" s="27" t="s">
        <v>3252</v>
      </c>
      <c r="E125" s="27" t="s">
        <v>638</v>
      </c>
      <c r="F125" s="28">
        <v>46129.332351655095</v>
      </c>
      <c r="G125" s="28">
        <v>46129.332351655095</v>
      </c>
      <c r="H125" s="28">
        <v>46133.402207476851</v>
      </c>
      <c r="I125" s="27" t="s">
        <v>4278</v>
      </c>
      <c r="J125" s="27" t="s">
        <v>4279</v>
      </c>
      <c r="K125" s="27">
        <v>4495</v>
      </c>
      <c r="L125" s="27" t="s">
        <v>4279</v>
      </c>
      <c r="M125" s="27" t="s">
        <v>4359</v>
      </c>
      <c r="N125" s="27" t="s">
        <v>4281</v>
      </c>
      <c r="O125" s="27" t="s">
        <v>3256</v>
      </c>
      <c r="P125" s="27" t="s">
        <v>3292</v>
      </c>
      <c r="Q125" s="27" t="s">
        <v>4360</v>
      </c>
      <c r="R125" s="27" t="s">
        <v>107</v>
      </c>
      <c r="S125" s="27"/>
      <c r="T125" s="27"/>
      <c r="U125" s="27" t="s">
        <v>3721</v>
      </c>
      <c r="V125" s="28">
        <v>46129.339821157409</v>
      </c>
      <c r="W125" s="27" t="s">
        <v>4361</v>
      </c>
      <c r="X125" s="27" t="s">
        <v>559</v>
      </c>
      <c r="Y125" s="27" t="s">
        <v>2303</v>
      </c>
      <c r="Z125" s="28">
        <v>46133.162748263887</v>
      </c>
      <c r="AA125" s="27" t="s">
        <v>2748</v>
      </c>
      <c r="AB125" s="27" t="s">
        <v>559</v>
      </c>
      <c r="AC125" s="27" t="s">
        <v>2623</v>
      </c>
      <c r="AD125" s="28">
        <v>46133.167040590277</v>
      </c>
      <c r="AE125" s="27" t="s">
        <v>3261</v>
      </c>
      <c r="AF125" s="27" t="s">
        <v>559</v>
      </c>
      <c r="AG125" s="27" t="s">
        <v>649</v>
      </c>
      <c r="AH125" s="28">
        <v>46133.402207476851</v>
      </c>
      <c r="AI125" s="27" t="s">
        <v>1083</v>
      </c>
      <c r="AJ125" s="27" t="s">
        <v>559</v>
      </c>
      <c r="AK125" s="27" t="s">
        <v>4362</v>
      </c>
      <c r="AL125" s="27" t="s">
        <v>4286</v>
      </c>
    </row>
    <row r="126" spans="1:38">
      <c r="A126" s="27" t="s">
        <v>4363</v>
      </c>
      <c r="B126" s="27" t="s">
        <v>4364</v>
      </c>
      <c r="C126" s="27" t="s">
        <v>4365</v>
      </c>
      <c r="D126" s="27" t="s">
        <v>3252</v>
      </c>
      <c r="E126" s="27" t="s">
        <v>638</v>
      </c>
      <c r="F126" s="28">
        <v>46129.339125914354</v>
      </c>
      <c r="G126" s="28">
        <v>46129.339125914354</v>
      </c>
      <c r="H126" s="28">
        <v>46198.124934976855</v>
      </c>
      <c r="I126" s="27" t="s">
        <v>4366</v>
      </c>
      <c r="J126" s="27" t="s">
        <v>4367</v>
      </c>
      <c r="K126" s="27" t="s">
        <v>4368</v>
      </c>
      <c r="L126" s="27" t="s">
        <v>4369</v>
      </c>
      <c r="M126" s="27" t="s">
        <v>2817</v>
      </c>
      <c r="N126" s="27" t="s">
        <v>4370</v>
      </c>
      <c r="O126" s="27" t="s">
        <v>3322</v>
      </c>
      <c r="P126" s="27" t="s">
        <v>3257</v>
      </c>
      <c r="Q126" s="27" t="s">
        <v>4371</v>
      </c>
      <c r="R126" s="27" t="s">
        <v>107</v>
      </c>
      <c r="S126" s="27" t="s">
        <v>4372</v>
      </c>
      <c r="T126" s="27"/>
      <c r="U126" s="27" t="s">
        <v>1547</v>
      </c>
      <c r="V126" s="28">
        <v>46133.076562141207</v>
      </c>
      <c r="W126" s="27" t="s">
        <v>2821</v>
      </c>
      <c r="X126" s="27" t="s">
        <v>559</v>
      </c>
      <c r="Y126" s="27" t="s">
        <v>2303</v>
      </c>
      <c r="Z126" s="28">
        <v>46133.083509814816</v>
      </c>
      <c r="AA126" s="27" t="s">
        <v>2748</v>
      </c>
      <c r="AB126" s="27" t="s">
        <v>559</v>
      </c>
      <c r="AC126" s="27" t="s">
        <v>4373</v>
      </c>
      <c r="AD126" s="28">
        <v>46133.292452071757</v>
      </c>
      <c r="AE126" s="27" t="s">
        <v>3261</v>
      </c>
      <c r="AF126" s="27" t="s">
        <v>559</v>
      </c>
      <c r="AG126" s="27" t="s">
        <v>3768</v>
      </c>
      <c r="AH126" s="28">
        <v>46198.124934976855</v>
      </c>
      <c r="AI126" s="27" t="s">
        <v>3528</v>
      </c>
      <c r="AJ126" s="27" t="s">
        <v>559</v>
      </c>
      <c r="AK126" s="27" t="s">
        <v>4374</v>
      </c>
      <c r="AL126" s="27" t="s">
        <v>4375</v>
      </c>
    </row>
    <row r="127" spans="1:38">
      <c r="A127" s="27" t="s">
        <v>4376</v>
      </c>
      <c r="B127" s="27" t="s">
        <v>4377</v>
      </c>
      <c r="C127" s="27" t="s">
        <v>3635</v>
      </c>
      <c r="D127" s="27" t="s">
        <v>3252</v>
      </c>
      <c r="E127" s="27" t="s">
        <v>638</v>
      </c>
      <c r="F127" s="28">
        <v>46129.35443363426</v>
      </c>
      <c r="G127" s="28">
        <v>46129.35443363426</v>
      </c>
      <c r="H127" s="28">
        <v>46140.254022731482</v>
      </c>
      <c r="I127" s="27" t="s">
        <v>3636</v>
      </c>
      <c r="J127" s="27" t="s">
        <v>3637</v>
      </c>
      <c r="K127" s="27" t="s">
        <v>3638</v>
      </c>
      <c r="L127" s="27" t="s">
        <v>3639</v>
      </c>
      <c r="M127" s="27" t="s">
        <v>3640</v>
      </c>
      <c r="N127" s="27" t="s">
        <v>3641</v>
      </c>
      <c r="O127" s="27" t="s">
        <v>3256</v>
      </c>
      <c r="P127" s="27" t="s">
        <v>3344</v>
      </c>
      <c r="Q127" s="27" t="s">
        <v>4378</v>
      </c>
      <c r="R127" s="27" t="s">
        <v>116</v>
      </c>
      <c r="S127" s="27"/>
      <c r="T127" s="27"/>
      <c r="U127" s="27" t="s">
        <v>4379</v>
      </c>
      <c r="V127" s="28">
        <v>46129.438843877317</v>
      </c>
      <c r="W127" s="27" t="s">
        <v>1366</v>
      </c>
      <c r="X127" s="27" t="s">
        <v>559</v>
      </c>
      <c r="Y127" s="27" t="s">
        <v>2303</v>
      </c>
      <c r="Z127" s="28">
        <v>46133.165400694445</v>
      </c>
      <c r="AA127" s="27" t="s">
        <v>2748</v>
      </c>
      <c r="AB127" s="27" t="s">
        <v>559</v>
      </c>
      <c r="AC127" s="27" t="s">
        <v>3994</v>
      </c>
      <c r="AD127" s="28">
        <v>46134.11807222222</v>
      </c>
      <c r="AE127" s="27" t="s">
        <v>3261</v>
      </c>
      <c r="AF127" s="27" t="s">
        <v>559</v>
      </c>
      <c r="AG127" s="27" t="s">
        <v>4380</v>
      </c>
      <c r="AH127" s="28">
        <v>46140.254022743058</v>
      </c>
      <c r="AI127" s="27" t="s">
        <v>3284</v>
      </c>
      <c r="AJ127" s="27" t="s">
        <v>559</v>
      </c>
      <c r="AK127" s="27" t="s">
        <v>4381</v>
      </c>
      <c r="AL127" s="27" t="s">
        <v>3645</v>
      </c>
    </row>
    <row r="128" spans="1:38">
      <c r="A128" s="27" t="s">
        <v>4382</v>
      </c>
      <c r="B128" s="27" t="s">
        <v>4383</v>
      </c>
      <c r="C128" s="27" t="s">
        <v>4384</v>
      </c>
      <c r="D128" s="27" t="s">
        <v>3252</v>
      </c>
      <c r="E128" s="27" t="s">
        <v>638</v>
      </c>
      <c r="F128" s="28">
        <v>46132.209358460648</v>
      </c>
      <c r="G128" s="28">
        <v>46132.209358460648</v>
      </c>
      <c r="H128" s="28">
        <v>46149.037220057871</v>
      </c>
      <c r="I128" s="27" t="s">
        <v>1713</v>
      </c>
      <c r="J128" s="27" t="s">
        <v>1708</v>
      </c>
      <c r="K128" s="27" t="s">
        <v>4385</v>
      </c>
      <c r="L128" s="27" t="s">
        <v>4386</v>
      </c>
      <c r="M128" s="27" t="s">
        <v>2543</v>
      </c>
      <c r="N128" s="27" t="s">
        <v>1329</v>
      </c>
      <c r="O128" s="27" t="s">
        <v>3256</v>
      </c>
      <c r="P128" s="27" t="s">
        <v>3257</v>
      </c>
      <c r="Q128" s="27" t="s">
        <v>4387</v>
      </c>
      <c r="R128" s="27" t="s">
        <v>116</v>
      </c>
      <c r="S128" s="27"/>
      <c r="T128" s="27"/>
      <c r="U128" s="27" t="s">
        <v>681</v>
      </c>
      <c r="V128" s="28">
        <v>46133.126148460651</v>
      </c>
      <c r="W128" s="27" t="s">
        <v>2543</v>
      </c>
      <c r="X128" s="27" t="s">
        <v>559</v>
      </c>
      <c r="Y128" s="27" t="s">
        <v>4388</v>
      </c>
      <c r="Z128" s="28">
        <v>46135.167247951387</v>
      </c>
      <c r="AA128" s="27" t="s">
        <v>2748</v>
      </c>
      <c r="AB128" s="27" t="s">
        <v>559</v>
      </c>
      <c r="AC128" s="27" t="s">
        <v>4389</v>
      </c>
      <c r="AD128" s="28">
        <v>46135.196904490738</v>
      </c>
      <c r="AE128" s="27" t="s">
        <v>3261</v>
      </c>
      <c r="AF128" s="27" t="s">
        <v>559</v>
      </c>
      <c r="AG128" s="27" t="s">
        <v>4128</v>
      </c>
      <c r="AH128" s="28">
        <v>46149.037220069447</v>
      </c>
      <c r="AI128" s="27" t="s">
        <v>3401</v>
      </c>
      <c r="AJ128" s="27" t="s">
        <v>559</v>
      </c>
      <c r="AK128" s="27" t="s">
        <v>4390</v>
      </c>
      <c r="AL128" s="27" t="s">
        <v>4391</v>
      </c>
    </row>
    <row r="129" spans="1:38">
      <c r="A129" s="27" t="s">
        <v>4392</v>
      </c>
      <c r="B129" s="27" t="s">
        <v>4393</v>
      </c>
      <c r="C129" s="27" t="s">
        <v>909</v>
      </c>
      <c r="D129" s="27" t="s">
        <v>3252</v>
      </c>
      <c r="E129" s="27" t="s">
        <v>638</v>
      </c>
      <c r="F129" s="28">
        <v>46133.093222627314</v>
      </c>
      <c r="G129" s="28">
        <v>46133.093222627314</v>
      </c>
      <c r="H129" s="28">
        <v>46167.356639641206</v>
      </c>
      <c r="I129" s="27" t="s">
        <v>4394</v>
      </c>
      <c r="J129" s="27" t="s">
        <v>4395</v>
      </c>
      <c r="K129" s="27" t="s">
        <v>4396</v>
      </c>
      <c r="L129" s="27" t="s">
        <v>4397</v>
      </c>
      <c r="M129" s="27" t="s">
        <v>912</v>
      </c>
      <c r="N129" s="27" t="s">
        <v>4397</v>
      </c>
      <c r="O129" s="27" t="s">
        <v>3256</v>
      </c>
      <c r="P129" s="27" t="s">
        <v>3257</v>
      </c>
      <c r="Q129" s="27" t="s">
        <v>4398</v>
      </c>
      <c r="R129" s="27" t="s">
        <v>116</v>
      </c>
      <c r="S129" s="27"/>
      <c r="T129" s="27"/>
      <c r="U129" s="27" t="s">
        <v>4399</v>
      </c>
      <c r="V129" s="28">
        <v>46133.101111793978</v>
      </c>
      <c r="W129" s="27" t="s">
        <v>912</v>
      </c>
      <c r="X129" s="27" t="s">
        <v>559</v>
      </c>
      <c r="Y129" s="27" t="s">
        <v>2303</v>
      </c>
      <c r="Z129" s="28">
        <v>46136.417900127315</v>
      </c>
      <c r="AA129" s="27" t="s">
        <v>2748</v>
      </c>
      <c r="AB129" s="27" t="s">
        <v>559</v>
      </c>
      <c r="AC129" s="27" t="s">
        <v>2623</v>
      </c>
      <c r="AD129" s="28">
        <v>46146.303503148149</v>
      </c>
      <c r="AE129" s="27" t="s">
        <v>3261</v>
      </c>
      <c r="AF129" s="27" t="s">
        <v>559</v>
      </c>
      <c r="AG129" s="27" t="s">
        <v>4400</v>
      </c>
      <c r="AH129" s="28">
        <v>46167.356639652775</v>
      </c>
      <c r="AI129" s="27" t="s">
        <v>3284</v>
      </c>
      <c r="AJ129" s="27" t="s">
        <v>559</v>
      </c>
      <c r="AK129" s="27" t="s">
        <v>4401</v>
      </c>
      <c r="AL129" s="27" t="s">
        <v>4402</v>
      </c>
    </row>
    <row r="130" spans="1:38">
      <c r="A130" s="27" t="s">
        <v>4403</v>
      </c>
      <c r="B130" s="27" t="s">
        <v>4404</v>
      </c>
      <c r="C130" s="27" t="s">
        <v>3931</v>
      </c>
      <c r="D130" s="27" t="s">
        <v>3252</v>
      </c>
      <c r="E130" s="27" t="s">
        <v>638</v>
      </c>
      <c r="F130" s="28">
        <v>46133.106502708331</v>
      </c>
      <c r="G130" s="28">
        <v>46133.106502708331</v>
      </c>
      <c r="H130" s="28">
        <v>46135.319113981481</v>
      </c>
      <c r="I130" s="27" t="s">
        <v>3932</v>
      </c>
      <c r="J130" s="27" t="s">
        <v>3933</v>
      </c>
      <c r="K130" s="27" t="s">
        <v>3934</v>
      </c>
      <c r="L130" s="27" t="s">
        <v>3935</v>
      </c>
      <c r="M130" s="27" t="s">
        <v>3936</v>
      </c>
      <c r="N130" s="27" t="s">
        <v>3933</v>
      </c>
      <c r="O130" s="27" t="s">
        <v>3322</v>
      </c>
      <c r="P130" s="27" t="s">
        <v>3257</v>
      </c>
      <c r="Q130" s="27" t="s">
        <v>4238</v>
      </c>
      <c r="R130" s="27" t="s">
        <v>116</v>
      </c>
      <c r="S130" s="27" t="s">
        <v>839</v>
      </c>
      <c r="T130" s="27"/>
      <c r="U130" s="27" t="s">
        <v>4405</v>
      </c>
      <c r="V130" s="28">
        <v>46133.11176965278</v>
      </c>
      <c r="W130" s="27" t="s">
        <v>3938</v>
      </c>
      <c r="X130" s="27" t="s">
        <v>559</v>
      </c>
      <c r="Y130" s="27" t="s">
        <v>2303</v>
      </c>
      <c r="Z130" s="28">
        <v>46135.092228773145</v>
      </c>
      <c r="AA130" s="27" t="s">
        <v>2748</v>
      </c>
      <c r="AB130" s="27" t="s">
        <v>559</v>
      </c>
      <c r="AC130" s="27" t="s">
        <v>2623</v>
      </c>
      <c r="AD130" s="28">
        <v>46135.103666643517</v>
      </c>
      <c r="AE130" s="27" t="s">
        <v>3261</v>
      </c>
      <c r="AF130" s="27" t="s">
        <v>559</v>
      </c>
      <c r="AG130" s="27" t="s">
        <v>4406</v>
      </c>
      <c r="AH130" s="28">
        <v>46135.319114004633</v>
      </c>
      <c r="AI130" s="27" t="s">
        <v>3262</v>
      </c>
      <c r="AJ130" s="27" t="s">
        <v>559</v>
      </c>
      <c r="AK130" s="27" t="s">
        <v>4407</v>
      </c>
      <c r="AL130" s="27" t="s">
        <v>3942</v>
      </c>
    </row>
    <row r="131" spans="1:38">
      <c r="A131" s="27" t="s">
        <v>4408</v>
      </c>
      <c r="B131" s="27" t="s">
        <v>4409</v>
      </c>
      <c r="C131" s="27" t="s">
        <v>1474</v>
      </c>
      <c r="D131" s="27" t="s">
        <v>3252</v>
      </c>
      <c r="E131" s="27" t="s">
        <v>638</v>
      </c>
      <c r="F131" s="28">
        <v>46133.152506990744</v>
      </c>
      <c r="G131" s="28">
        <v>46133.181214826385</v>
      </c>
      <c r="H131" s="28">
        <v>46141.121513425926</v>
      </c>
      <c r="I131" s="27" t="s">
        <v>4410</v>
      </c>
      <c r="J131" s="27" t="s">
        <v>316</v>
      </c>
      <c r="K131" s="27">
        <v>4712</v>
      </c>
      <c r="L131" s="27" t="s">
        <v>317</v>
      </c>
      <c r="M131" s="27" t="s">
        <v>3761</v>
      </c>
      <c r="N131" s="27" t="s">
        <v>4411</v>
      </c>
      <c r="O131" s="27" t="s">
        <v>3256</v>
      </c>
      <c r="P131" s="27" t="s">
        <v>3344</v>
      </c>
      <c r="Q131" s="27" t="s">
        <v>4412</v>
      </c>
      <c r="R131" s="27" t="s">
        <v>116</v>
      </c>
      <c r="S131" s="27"/>
      <c r="T131" s="27"/>
      <c r="U131" s="27" t="s">
        <v>4413</v>
      </c>
      <c r="V131" s="28">
        <v>46133.182958530095</v>
      </c>
      <c r="W131" s="27" t="s">
        <v>1362</v>
      </c>
      <c r="X131" s="27" t="s">
        <v>559</v>
      </c>
      <c r="Y131" s="27" t="s">
        <v>4414</v>
      </c>
      <c r="Z131" s="28">
        <v>46134.30960886574</v>
      </c>
      <c r="AA131" s="27" t="s">
        <v>3599</v>
      </c>
      <c r="AB131" s="27" t="s">
        <v>559</v>
      </c>
      <c r="AC131" s="27" t="s">
        <v>4415</v>
      </c>
      <c r="AD131" s="28">
        <v>46134.358591284719</v>
      </c>
      <c r="AE131" s="27" t="s">
        <v>3261</v>
      </c>
      <c r="AF131" s="27" t="s">
        <v>559</v>
      </c>
      <c r="AG131" s="27" t="s">
        <v>4416</v>
      </c>
      <c r="AH131" s="28">
        <v>46141.121513425926</v>
      </c>
      <c r="AI131" s="27" t="s">
        <v>3506</v>
      </c>
      <c r="AJ131" s="27" t="s">
        <v>559</v>
      </c>
      <c r="AK131" s="27" t="s">
        <v>4417</v>
      </c>
      <c r="AL131" s="27" t="s">
        <v>4418</v>
      </c>
    </row>
    <row r="132" spans="1:38">
      <c r="A132" s="27" t="s">
        <v>4419</v>
      </c>
      <c r="B132" s="27" t="s">
        <v>4420</v>
      </c>
      <c r="C132" s="27" t="s">
        <v>3085</v>
      </c>
      <c r="D132" s="27" t="s">
        <v>3252</v>
      </c>
      <c r="E132" s="27" t="s">
        <v>638</v>
      </c>
      <c r="F132" s="28">
        <v>46134.114225844911</v>
      </c>
      <c r="G132" s="28">
        <v>46134.114225844911</v>
      </c>
      <c r="H132" s="28">
        <v>46155.177876759262</v>
      </c>
      <c r="I132" s="27" t="s">
        <v>883</v>
      </c>
      <c r="J132" s="27" t="s">
        <v>874</v>
      </c>
      <c r="K132" s="27">
        <v>4343</v>
      </c>
      <c r="L132" s="27" t="s">
        <v>875</v>
      </c>
      <c r="M132" s="27" t="s">
        <v>1118</v>
      </c>
      <c r="N132" s="27" t="s">
        <v>4421</v>
      </c>
      <c r="O132" s="27" t="s">
        <v>3256</v>
      </c>
      <c r="P132" s="27" t="s">
        <v>3344</v>
      </c>
      <c r="Q132" s="27" t="s">
        <v>4422</v>
      </c>
      <c r="R132" s="27" t="s">
        <v>125</v>
      </c>
      <c r="S132" s="27"/>
      <c r="T132" s="27"/>
      <c r="U132" s="27" t="s">
        <v>4423</v>
      </c>
      <c r="V132" s="28">
        <v>46134.263648009262</v>
      </c>
      <c r="W132" s="27" t="s">
        <v>1121</v>
      </c>
      <c r="X132" s="27" t="s">
        <v>559</v>
      </c>
      <c r="Y132" s="27" t="s">
        <v>2303</v>
      </c>
      <c r="Z132" s="28">
        <v>46136.419652256947</v>
      </c>
      <c r="AA132" s="27" t="s">
        <v>2748</v>
      </c>
      <c r="AB132" s="27" t="s">
        <v>559</v>
      </c>
      <c r="AC132" s="27" t="s">
        <v>4424</v>
      </c>
      <c r="AD132" s="28">
        <v>46141.333839618055</v>
      </c>
      <c r="AE132" s="27" t="s">
        <v>3261</v>
      </c>
      <c r="AF132" s="27" t="s">
        <v>559</v>
      </c>
      <c r="AG132" s="27" t="s">
        <v>638</v>
      </c>
      <c r="AH132" s="28">
        <v>46155.177876759262</v>
      </c>
      <c r="AI132" s="27" t="s">
        <v>3479</v>
      </c>
      <c r="AJ132" s="27" t="s">
        <v>559</v>
      </c>
      <c r="AK132" s="27" t="s">
        <v>4425</v>
      </c>
      <c r="AL132" s="27" t="s">
        <v>4426</v>
      </c>
    </row>
    <row r="133" spans="1:38">
      <c r="A133" s="27" t="s">
        <v>4427</v>
      </c>
      <c r="B133" s="27" t="s">
        <v>4428</v>
      </c>
      <c r="C133" s="27" t="s">
        <v>1421</v>
      </c>
      <c r="D133" s="27" t="s">
        <v>3252</v>
      </c>
      <c r="E133" s="27" t="s">
        <v>638</v>
      </c>
      <c r="F133" s="28">
        <v>46135.112589942131</v>
      </c>
      <c r="G133" s="28">
        <v>46135.112589942131</v>
      </c>
      <c r="H133" s="28">
        <v>46204.259071307868</v>
      </c>
      <c r="I133" s="27" t="s">
        <v>4429</v>
      </c>
      <c r="J133" s="27" t="s">
        <v>4430</v>
      </c>
      <c r="K133" s="27" t="s">
        <v>4431</v>
      </c>
      <c r="L133" s="27" t="s">
        <v>4432</v>
      </c>
      <c r="M133" s="27" t="s">
        <v>1121</v>
      </c>
      <c r="N133" s="27" t="s">
        <v>4433</v>
      </c>
      <c r="O133" s="27" t="s">
        <v>3256</v>
      </c>
      <c r="P133" s="27" t="s">
        <v>3257</v>
      </c>
      <c r="Q133" s="27" t="s">
        <v>4434</v>
      </c>
      <c r="R133" s="27" t="s">
        <v>116</v>
      </c>
      <c r="S133" s="27"/>
      <c r="T133" s="27"/>
      <c r="U133" s="27" t="s">
        <v>4435</v>
      </c>
      <c r="V133" s="28">
        <v>46135.119771921294</v>
      </c>
      <c r="W133" s="27" t="s">
        <v>1121</v>
      </c>
      <c r="X133" s="27" t="s">
        <v>559</v>
      </c>
      <c r="Y133" s="27" t="s">
        <v>2303</v>
      </c>
      <c r="Z133" s="28">
        <v>46136.420292974537</v>
      </c>
      <c r="AA133" s="27" t="s">
        <v>2748</v>
      </c>
      <c r="AB133" s="27" t="s">
        <v>559</v>
      </c>
      <c r="AC133" s="27" t="s">
        <v>4436</v>
      </c>
      <c r="AD133" s="28">
        <v>46142.315312025465</v>
      </c>
      <c r="AE133" s="27" t="s">
        <v>3261</v>
      </c>
      <c r="AF133" s="27" t="s">
        <v>559</v>
      </c>
      <c r="AG133" s="27" t="s">
        <v>4437</v>
      </c>
      <c r="AH133" s="28">
        <v>46204.259071319444</v>
      </c>
      <c r="AI133" s="27" t="s">
        <v>1245</v>
      </c>
      <c r="AJ133" s="27" t="s">
        <v>559</v>
      </c>
      <c r="AK133" s="27" t="s">
        <v>4438</v>
      </c>
      <c r="AL133" s="27" t="s">
        <v>4439</v>
      </c>
    </row>
    <row r="134" spans="1:38">
      <c r="A134" s="27" t="s">
        <v>4440</v>
      </c>
      <c r="B134" s="27" t="s">
        <v>4441</v>
      </c>
      <c r="C134" s="27" t="s">
        <v>982</v>
      </c>
      <c r="D134" s="27" t="s">
        <v>3252</v>
      </c>
      <c r="E134" s="27" t="s">
        <v>638</v>
      </c>
      <c r="F134" s="28">
        <v>46135.350320335645</v>
      </c>
      <c r="G134" s="28">
        <v>46135.350320335645</v>
      </c>
      <c r="H134" s="28">
        <v>46153.109534120369</v>
      </c>
      <c r="I134" s="27" t="s">
        <v>3963</v>
      </c>
      <c r="J134" s="27" t="s">
        <v>3964</v>
      </c>
      <c r="K134" s="27">
        <v>4739</v>
      </c>
      <c r="L134" s="27" t="s">
        <v>3965</v>
      </c>
      <c r="M134" s="27" t="s">
        <v>3966</v>
      </c>
      <c r="N134" s="27" t="s">
        <v>3967</v>
      </c>
      <c r="O134" s="27" t="s">
        <v>3256</v>
      </c>
      <c r="P134" s="27" t="s">
        <v>3257</v>
      </c>
      <c r="Q134" s="27" t="s">
        <v>4442</v>
      </c>
      <c r="R134" s="27" t="s">
        <v>116</v>
      </c>
      <c r="S134" s="27"/>
      <c r="T134" s="27"/>
      <c r="U134" s="27" t="s">
        <v>4443</v>
      </c>
      <c r="V134" s="28">
        <v>46135.358594398145</v>
      </c>
      <c r="W134" s="27" t="s">
        <v>985</v>
      </c>
      <c r="X134" s="27" t="s">
        <v>559</v>
      </c>
      <c r="Y134" s="27" t="s">
        <v>2303</v>
      </c>
      <c r="Z134" s="28">
        <v>46136.42092960648</v>
      </c>
      <c r="AA134" s="27" t="s">
        <v>2748</v>
      </c>
      <c r="AB134" s="27" t="s">
        <v>559</v>
      </c>
      <c r="AC134" s="27" t="s">
        <v>4444</v>
      </c>
      <c r="AD134" s="28">
        <v>46141.328421006947</v>
      </c>
      <c r="AE134" s="27" t="s">
        <v>3261</v>
      </c>
      <c r="AF134" s="27" t="s">
        <v>559</v>
      </c>
      <c r="AG134" s="27" t="s">
        <v>4445</v>
      </c>
      <c r="AH134" s="28">
        <v>46153.109534143521</v>
      </c>
      <c r="AI134" s="27" t="s">
        <v>3401</v>
      </c>
      <c r="AJ134" s="27" t="s">
        <v>559</v>
      </c>
      <c r="AK134" s="27" t="s">
        <v>4446</v>
      </c>
      <c r="AL134" s="27" t="s">
        <v>3973</v>
      </c>
    </row>
    <row r="135" spans="1:38">
      <c r="A135" s="27" t="s">
        <v>4447</v>
      </c>
      <c r="B135" s="27" t="s">
        <v>4448</v>
      </c>
      <c r="C135" s="27" t="s">
        <v>2633</v>
      </c>
      <c r="D135" s="27" t="s">
        <v>3252</v>
      </c>
      <c r="E135" s="27" t="s">
        <v>549</v>
      </c>
      <c r="F135" s="28">
        <v>46138.652534108798</v>
      </c>
      <c r="G135" s="28">
        <v>46138.652534108798</v>
      </c>
      <c r="H135" s="28">
        <v>46147.164226018518</v>
      </c>
      <c r="I135" s="27" t="s">
        <v>2636</v>
      </c>
      <c r="J135" s="27" t="s">
        <v>224</v>
      </c>
      <c r="K135" s="27" t="s">
        <v>2637</v>
      </c>
      <c r="L135" s="27" t="s">
        <v>224</v>
      </c>
      <c r="M135" s="27" t="s">
        <v>2634</v>
      </c>
      <c r="N135" s="27" t="s">
        <v>4449</v>
      </c>
      <c r="O135" s="27" t="s">
        <v>4145</v>
      </c>
      <c r="P135" s="27" t="s">
        <v>3292</v>
      </c>
      <c r="Q135" s="27" t="s">
        <v>4450</v>
      </c>
      <c r="R135" s="27"/>
      <c r="S135" s="27"/>
      <c r="T135" s="27"/>
      <c r="U135" s="27" t="s">
        <v>4147</v>
      </c>
      <c r="V135" s="28">
        <v>46138.652534108798</v>
      </c>
      <c r="W135" s="27" t="s">
        <v>2634</v>
      </c>
      <c r="X135" s="27" t="s">
        <v>559</v>
      </c>
      <c r="Y135" s="27" t="s">
        <v>4147</v>
      </c>
      <c r="Z135" s="28">
        <v>46138.652534108798</v>
      </c>
      <c r="AA135" s="27" t="s">
        <v>3325</v>
      </c>
      <c r="AB135" s="27" t="s">
        <v>559</v>
      </c>
      <c r="AC135" s="27" t="s">
        <v>4451</v>
      </c>
      <c r="AD135" s="28">
        <v>46147.164226030094</v>
      </c>
      <c r="AE135" s="27" t="s">
        <v>3261</v>
      </c>
      <c r="AF135" s="27" t="s">
        <v>549</v>
      </c>
      <c r="AG135" s="27"/>
      <c r="AH135" s="28"/>
      <c r="AI135" s="27" t="s">
        <v>3295</v>
      </c>
      <c r="AJ135" s="27"/>
      <c r="AK135" s="27"/>
      <c r="AL135" s="27" t="s">
        <v>4452</v>
      </c>
    </row>
    <row r="136" spans="1:38">
      <c r="A136" s="27" t="s">
        <v>4453</v>
      </c>
      <c r="B136" s="27" t="s">
        <v>4454</v>
      </c>
      <c r="C136" s="27" t="s">
        <v>3757</v>
      </c>
      <c r="D136" s="27" t="s">
        <v>3252</v>
      </c>
      <c r="E136" s="27" t="s">
        <v>638</v>
      </c>
      <c r="F136" s="28">
        <v>46139.954115381945</v>
      </c>
      <c r="G136" s="28">
        <v>46140.070033252312</v>
      </c>
      <c r="H136" s="28">
        <v>46167.072827557873</v>
      </c>
      <c r="I136" s="27" t="s">
        <v>3758</v>
      </c>
      <c r="J136" s="27" t="s">
        <v>3759</v>
      </c>
      <c r="K136" s="27">
        <v>4583</v>
      </c>
      <c r="L136" s="27" t="s">
        <v>3760</v>
      </c>
      <c r="M136" s="27" t="s">
        <v>3761</v>
      </c>
      <c r="N136" s="27" t="s">
        <v>3762</v>
      </c>
      <c r="O136" s="27" t="s">
        <v>3322</v>
      </c>
      <c r="P136" s="27" t="s">
        <v>3292</v>
      </c>
      <c r="Q136" s="27" t="s">
        <v>4455</v>
      </c>
      <c r="R136" s="27" t="s">
        <v>107</v>
      </c>
      <c r="S136" s="27"/>
      <c r="T136" s="27"/>
      <c r="U136" s="27" t="s">
        <v>4456</v>
      </c>
      <c r="V136" s="28">
        <v>46140.070940578706</v>
      </c>
      <c r="W136" s="27" t="s">
        <v>1362</v>
      </c>
      <c r="X136" s="27" t="s">
        <v>559</v>
      </c>
      <c r="Y136" s="27" t="s">
        <v>4457</v>
      </c>
      <c r="Z136" s="28">
        <v>46140.109233645831</v>
      </c>
      <c r="AA136" s="27" t="s">
        <v>3599</v>
      </c>
      <c r="AB136" s="27" t="s">
        <v>559</v>
      </c>
      <c r="AC136" s="27" t="s">
        <v>4458</v>
      </c>
      <c r="AD136" s="28">
        <v>46141.335422986114</v>
      </c>
      <c r="AE136" s="27" t="s">
        <v>3261</v>
      </c>
      <c r="AF136" s="27" t="s">
        <v>559</v>
      </c>
      <c r="AG136" s="27" t="s">
        <v>649</v>
      </c>
      <c r="AH136" s="28">
        <v>46167.072827557873</v>
      </c>
      <c r="AI136" s="27" t="s">
        <v>1083</v>
      </c>
      <c r="AJ136" s="27" t="s">
        <v>559</v>
      </c>
      <c r="AK136" s="27" t="s">
        <v>4459</v>
      </c>
      <c r="AL136" s="27" t="s">
        <v>3770</v>
      </c>
    </row>
    <row r="137" spans="1:38">
      <c r="A137" s="27" t="s">
        <v>4460</v>
      </c>
      <c r="B137" s="27" t="s">
        <v>4461</v>
      </c>
      <c r="C137" s="27" t="s">
        <v>1421</v>
      </c>
      <c r="D137" s="27" t="s">
        <v>3252</v>
      </c>
      <c r="E137" s="27" t="s">
        <v>638</v>
      </c>
      <c r="F137" s="28">
        <v>46140.078376817131</v>
      </c>
      <c r="G137" s="28">
        <v>46140.078376817131</v>
      </c>
      <c r="H137" s="28">
        <v>46167.027652372686</v>
      </c>
      <c r="I137" s="27" t="s">
        <v>2940</v>
      </c>
      <c r="J137" s="27" t="s">
        <v>297</v>
      </c>
      <c r="K137" s="27">
        <v>617</v>
      </c>
      <c r="L137" s="27" t="s">
        <v>298</v>
      </c>
      <c r="M137" s="27" t="s">
        <v>1121</v>
      </c>
      <c r="N137" s="27" t="s">
        <v>4462</v>
      </c>
      <c r="O137" s="27" t="s">
        <v>3256</v>
      </c>
      <c r="P137" s="27" t="s">
        <v>3257</v>
      </c>
      <c r="Q137" s="27" t="s">
        <v>4463</v>
      </c>
      <c r="R137" s="27" t="s">
        <v>125</v>
      </c>
      <c r="S137" s="27"/>
      <c r="T137" s="27"/>
      <c r="U137" s="27" t="s">
        <v>559</v>
      </c>
      <c r="V137" s="28">
        <v>46140.246019826387</v>
      </c>
      <c r="W137" s="27" t="s">
        <v>1121</v>
      </c>
      <c r="X137" s="27" t="s">
        <v>559</v>
      </c>
      <c r="Y137" s="27" t="s">
        <v>2303</v>
      </c>
      <c r="Z137" s="28">
        <v>46146.091803101852</v>
      </c>
      <c r="AA137" s="27" t="s">
        <v>2748</v>
      </c>
      <c r="AB137" s="27" t="s">
        <v>559</v>
      </c>
      <c r="AC137" s="27" t="s">
        <v>4464</v>
      </c>
      <c r="AD137" s="28">
        <v>46146.301369525463</v>
      </c>
      <c r="AE137" s="27" t="s">
        <v>3261</v>
      </c>
      <c r="AF137" s="27" t="s">
        <v>559</v>
      </c>
      <c r="AG137" s="27" t="s">
        <v>4465</v>
      </c>
      <c r="AH137" s="28">
        <v>46167.027652384262</v>
      </c>
      <c r="AI137" s="27" t="s">
        <v>3380</v>
      </c>
      <c r="AJ137" s="27" t="s">
        <v>559</v>
      </c>
      <c r="AK137" s="27" t="s">
        <v>4466</v>
      </c>
      <c r="AL137" s="27" t="s">
        <v>4467</v>
      </c>
    </row>
    <row r="138" spans="1:38">
      <c r="A138" s="27" t="s">
        <v>4468</v>
      </c>
      <c r="B138" s="27" t="s">
        <v>4469</v>
      </c>
      <c r="C138" s="27" t="s">
        <v>4470</v>
      </c>
      <c r="D138" s="27" t="s">
        <v>3252</v>
      </c>
      <c r="E138" s="27" t="s">
        <v>638</v>
      </c>
      <c r="F138" s="28">
        <v>46140.277853171297</v>
      </c>
      <c r="G138" s="28">
        <v>46141.288705925923</v>
      </c>
      <c r="H138" s="28">
        <v>46219.106400520832</v>
      </c>
      <c r="I138" s="27" t="s">
        <v>4471</v>
      </c>
      <c r="J138" s="27" t="s">
        <v>4472</v>
      </c>
      <c r="K138" s="27" t="s">
        <v>4473</v>
      </c>
      <c r="L138" s="27" t="s">
        <v>4474</v>
      </c>
      <c r="M138" s="27" t="s">
        <v>4475</v>
      </c>
      <c r="N138" s="27" t="s">
        <v>4474</v>
      </c>
      <c r="O138" s="27" t="s">
        <v>3256</v>
      </c>
      <c r="P138" s="27" t="s">
        <v>3344</v>
      </c>
      <c r="Q138" s="27" t="s">
        <v>4476</v>
      </c>
      <c r="R138" s="27" t="s">
        <v>125</v>
      </c>
      <c r="S138" s="27"/>
      <c r="T138" s="27"/>
      <c r="U138" s="27" t="s">
        <v>681</v>
      </c>
      <c r="V138" s="28">
        <v>46141.316707835649</v>
      </c>
      <c r="W138" s="27" t="s">
        <v>4475</v>
      </c>
      <c r="X138" s="27" t="s">
        <v>559</v>
      </c>
      <c r="Y138" s="27" t="s">
        <v>4477</v>
      </c>
      <c r="Z138" s="28">
        <v>46141.351565474535</v>
      </c>
      <c r="AA138" s="27" t="s">
        <v>2748</v>
      </c>
      <c r="AB138" s="27" t="s">
        <v>559</v>
      </c>
      <c r="AC138" s="27" t="s">
        <v>4478</v>
      </c>
      <c r="AD138" s="28">
        <v>46142.321688958335</v>
      </c>
      <c r="AE138" s="27" t="s">
        <v>3261</v>
      </c>
      <c r="AF138" s="27" t="s">
        <v>559</v>
      </c>
      <c r="AG138" s="27" t="s">
        <v>4479</v>
      </c>
      <c r="AH138" s="28">
        <v>46219.106400532408</v>
      </c>
      <c r="AI138" s="27" t="s">
        <v>3506</v>
      </c>
      <c r="AJ138" s="27" t="s">
        <v>559</v>
      </c>
      <c r="AK138" s="27" t="s">
        <v>4480</v>
      </c>
      <c r="AL138" s="27" t="s">
        <v>4481</v>
      </c>
    </row>
    <row r="139" spans="1:38">
      <c r="A139" s="27" t="s">
        <v>4482</v>
      </c>
      <c r="B139" s="27" t="s">
        <v>4483</v>
      </c>
      <c r="C139" s="27" t="s">
        <v>4484</v>
      </c>
      <c r="D139" s="27" t="s">
        <v>3252</v>
      </c>
      <c r="E139" s="27" t="s">
        <v>638</v>
      </c>
      <c r="F139" s="28">
        <v>46142.284721238429</v>
      </c>
      <c r="G139" s="28">
        <v>46142.287063599535</v>
      </c>
      <c r="H139" s="28">
        <v>46150.091963819446</v>
      </c>
      <c r="I139" s="27" t="s">
        <v>4485</v>
      </c>
      <c r="J139" s="27" t="s">
        <v>4486</v>
      </c>
      <c r="K139" s="27" t="s">
        <v>4487</v>
      </c>
      <c r="L139" s="27" t="s">
        <v>4488</v>
      </c>
      <c r="M139" s="27" t="s">
        <v>3936</v>
      </c>
      <c r="N139" s="27" t="s">
        <v>4489</v>
      </c>
      <c r="O139" s="27" t="s">
        <v>3322</v>
      </c>
      <c r="P139" s="27" t="s">
        <v>3344</v>
      </c>
      <c r="Q139" s="27" t="s">
        <v>4490</v>
      </c>
      <c r="R139" s="27" t="s">
        <v>107</v>
      </c>
      <c r="S139" s="27"/>
      <c r="T139" s="27"/>
      <c r="U139" s="27" t="s">
        <v>4491</v>
      </c>
      <c r="V139" s="28">
        <v>46142.334470682872</v>
      </c>
      <c r="W139" s="27" t="s">
        <v>3938</v>
      </c>
      <c r="X139" s="27" t="s">
        <v>559</v>
      </c>
      <c r="Y139" s="27" t="s">
        <v>4492</v>
      </c>
      <c r="Z139" s="28">
        <v>46148.069993217592</v>
      </c>
      <c r="AA139" s="27" t="s">
        <v>3599</v>
      </c>
      <c r="AB139" s="27" t="s">
        <v>559</v>
      </c>
      <c r="AC139" s="27" t="s">
        <v>4493</v>
      </c>
      <c r="AD139" s="28">
        <v>46148.083256724538</v>
      </c>
      <c r="AE139" s="27" t="s">
        <v>3261</v>
      </c>
      <c r="AF139" s="27" t="s">
        <v>559</v>
      </c>
      <c r="AG139" s="27" t="s">
        <v>649</v>
      </c>
      <c r="AH139" s="28">
        <v>46150.091963819446</v>
      </c>
      <c r="AI139" s="27" t="s">
        <v>1083</v>
      </c>
      <c r="AJ139" s="27" t="s">
        <v>559</v>
      </c>
      <c r="AK139" s="27" t="s">
        <v>4494</v>
      </c>
      <c r="AL139" s="27"/>
    </row>
    <row r="140" spans="1:38">
      <c r="A140" s="27" t="s">
        <v>4495</v>
      </c>
      <c r="B140" s="27" t="s">
        <v>4496</v>
      </c>
      <c r="C140" s="27" t="s">
        <v>4497</v>
      </c>
      <c r="D140" s="27" t="s">
        <v>3252</v>
      </c>
      <c r="E140" s="27" t="s">
        <v>549</v>
      </c>
      <c r="F140" s="28">
        <v>46147.080693877317</v>
      </c>
      <c r="G140" s="28">
        <v>46147.080693877317</v>
      </c>
      <c r="H140" s="28">
        <v>46155.39030363426</v>
      </c>
      <c r="I140" s="27" t="s">
        <v>3758</v>
      </c>
      <c r="J140" s="27" t="s">
        <v>3759</v>
      </c>
      <c r="K140" s="27">
        <v>4583</v>
      </c>
      <c r="L140" s="27" t="s">
        <v>3760</v>
      </c>
      <c r="M140" s="27" t="s">
        <v>3761</v>
      </c>
      <c r="N140" s="27" t="s">
        <v>3762</v>
      </c>
      <c r="O140" s="27" t="s">
        <v>3322</v>
      </c>
      <c r="P140" s="27" t="s">
        <v>3292</v>
      </c>
      <c r="Q140" s="27" t="s">
        <v>4498</v>
      </c>
      <c r="R140" s="27"/>
      <c r="S140" s="27"/>
      <c r="T140" s="27"/>
      <c r="U140" s="27" t="s">
        <v>4499</v>
      </c>
      <c r="V140" s="28">
        <v>46147.081335891206</v>
      </c>
      <c r="W140" s="27" t="s">
        <v>1362</v>
      </c>
      <c r="X140" s="27" t="s">
        <v>559</v>
      </c>
      <c r="Y140" s="27" t="s">
        <v>4500</v>
      </c>
      <c r="Z140" s="28">
        <v>46155.39030363426</v>
      </c>
      <c r="AA140" s="27" t="s">
        <v>3599</v>
      </c>
      <c r="AB140" s="27" t="s">
        <v>549</v>
      </c>
      <c r="AC140" s="27"/>
      <c r="AD140" s="28"/>
      <c r="AE140" s="27" t="s">
        <v>573</v>
      </c>
      <c r="AF140" s="27"/>
      <c r="AG140" s="27"/>
      <c r="AH140" s="28"/>
      <c r="AI140" s="27" t="s">
        <v>3295</v>
      </c>
      <c r="AJ140" s="27"/>
      <c r="AK140" s="27"/>
      <c r="AL140" s="27" t="s">
        <v>3770</v>
      </c>
    </row>
    <row r="141" spans="1:38">
      <c r="A141" s="27" t="s">
        <v>4501</v>
      </c>
      <c r="B141" s="27" t="s">
        <v>4502</v>
      </c>
      <c r="C141" s="27" t="s">
        <v>994</v>
      </c>
      <c r="D141" s="27" t="s">
        <v>3252</v>
      </c>
      <c r="E141" s="27" t="s">
        <v>668</v>
      </c>
      <c r="F141" s="28">
        <v>46147.120774618059</v>
      </c>
      <c r="G141" s="28">
        <v>46147.120774618059</v>
      </c>
      <c r="H141" s="28">
        <v>46147.120774618059</v>
      </c>
      <c r="I141" s="27" t="s">
        <v>4503</v>
      </c>
      <c r="J141" s="27" t="s">
        <v>4504</v>
      </c>
      <c r="K141" s="27">
        <v>1808</v>
      </c>
      <c r="L141" s="27" t="s">
        <v>4505</v>
      </c>
      <c r="M141" s="27" t="s">
        <v>1844</v>
      </c>
      <c r="N141" s="27" t="s">
        <v>4506</v>
      </c>
      <c r="O141" s="27" t="s">
        <v>3256</v>
      </c>
      <c r="P141" s="27" t="s">
        <v>3292</v>
      </c>
      <c r="Q141" s="27" t="s">
        <v>4507</v>
      </c>
      <c r="R141" s="27"/>
      <c r="S141" s="27"/>
      <c r="T141" s="27"/>
      <c r="U141" s="27"/>
      <c r="V141" s="28"/>
      <c r="W141" s="27" t="s">
        <v>1847</v>
      </c>
      <c r="X141" s="27"/>
      <c r="Y141" s="27"/>
      <c r="Z141" s="28"/>
      <c r="AA141" s="27" t="s">
        <v>3325</v>
      </c>
      <c r="AB141" s="27"/>
      <c r="AC141" s="27"/>
      <c r="AD141" s="28"/>
      <c r="AE141" s="27" t="s">
        <v>573</v>
      </c>
      <c r="AF141" s="27"/>
      <c r="AG141" s="27"/>
      <c r="AH141" s="28"/>
      <c r="AI141" s="27" t="s">
        <v>3295</v>
      </c>
      <c r="AJ141" s="27"/>
      <c r="AK141" s="27"/>
      <c r="AL141" s="27" t="s">
        <v>4508</v>
      </c>
    </row>
    <row r="142" spans="1:38">
      <c r="A142" s="27" t="s">
        <v>4509</v>
      </c>
      <c r="B142" s="27" t="s">
        <v>4510</v>
      </c>
      <c r="C142" s="27" t="s">
        <v>3085</v>
      </c>
      <c r="D142" s="27" t="s">
        <v>3252</v>
      </c>
      <c r="E142" s="27" t="s">
        <v>549</v>
      </c>
      <c r="F142" s="28">
        <v>46147.192312928244</v>
      </c>
      <c r="G142" s="28">
        <v>46147.192312928244</v>
      </c>
      <c r="H142" s="28">
        <v>46162.066324791667</v>
      </c>
      <c r="I142" s="27" t="s">
        <v>883</v>
      </c>
      <c r="J142" s="27" t="s">
        <v>874</v>
      </c>
      <c r="K142" s="27">
        <v>4343</v>
      </c>
      <c r="L142" s="27" t="s">
        <v>875</v>
      </c>
      <c r="M142" s="27" t="s">
        <v>1118</v>
      </c>
      <c r="N142" s="27" t="s">
        <v>4421</v>
      </c>
      <c r="O142" s="27" t="s">
        <v>3256</v>
      </c>
      <c r="P142" s="27" t="s">
        <v>3344</v>
      </c>
      <c r="Q142" s="27" t="s">
        <v>4511</v>
      </c>
      <c r="R142" s="27"/>
      <c r="S142" s="27"/>
      <c r="T142" s="27"/>
      <c r="U142" s="27" t="s">
        <v>559</v>
      </c>
      <c r="V142" s="28">
        <v>46147.22252372685</v>
      </c>
      <c r="W142" s="27" t="s">
        <v>1121</v>
      </c>
      <c r="X142" s="27" t="s">
        <v>559</v>
      </c>
      <c r="Y142" s="27" t="s">
        <v>4512</v>
      </c>
      <c r="Z142" s="28">
        <v>46162.066324803243</v>
      </c>
      <c r="AA142" s="27" t="s">
        <v>2748</v>
      </c>
      <c r="AB142" s="27" t="s">
        <v>549</v>
      </c>
      <c r="AC142" s="27"/>
      <c r="AD142" s="28"/>
      <c r="AE142" s="27" t="s">
        <v>573</v>
      </c>
      <c r="AF142" s="27"/>
      <c r="AG142" s="27"/>
      <c r="AH142" s="28"/>
      <c r="AI142" s="27" t="s">
        <v>3295</v>
      </c>
      <c r="AJ142" s="27"/>
      <c r="AK142" s="27"/>
      <c r="AL142" s="27" t="s">
        <v>4426</v>
      </c>
    </row>
    <row r="143" spans="1:38">
      <c r="A143" s="27" t="s">
        <v>4513</v>
      </c>
      <c r="B143" s="27" t="s">
        <v>4514</v>
      </c>
      <c r="C143" s="27" t="s">
        <v>3085</v>
      </c>
      <c r="D143" s="27" t="s">
        <v>3252</v>
      </c>
      <c r="E143" s="27" t="s">
        <v>638</v>
      </c>
      <c r="F143" s="28">
        <v>46147.195287187496</v>
      </c>
      <c r="G143" s="28">
        <v>46168.199285578703</v>
      </c>
      <c r="H143" s="28">
        <v>46230.125940787038</v>
      </c>
      <c r="I143" s="27" t="s">
        <v>883</v>
      </c>
      <c r="J143" s="27" t="s">
        <v>874</v>
      </c>
      <c r="K143" s="27">
        <v>4343</v>
      </c>
      <c r="L143" s="27" t="s">
        <v>875</v>
      </c>
      <c r="M143" s="27" t="s">
        <v>1118</v>
      </c>
      <c r="N143" s="27" t="s">
        <v>4062</v>
      </c>
      <c r="O143" s="27" t="s">
        <v>3256</v>
      </c>
      <c r="P143" s="27" t="s">
        <v>3257</v>
      </c>
      <c r="Q143" s="27" t="s">
        <v>4515</v>
      </c>
      <c r="R143" s="27" t="s">
        <v>125</v>
      </c>
      <c r="S143" s="27"/>
      <c r="T143" s="27"/>
      <c r="U143" s="27" t="s">
        <v>1404</v>
      </c>
      <c r="V143" s="28">
        <v>46168.205742418984</v>
      </c>
      <c r="W143" s="27" t="s">
        <v>1121</v>
      </c>
      <c r="X143" s="27" t="s">
        <v>559</v>
      </c>
      <c r="Y143" s="27" t="s">
        <v>2303</v>
      </c>
      <c r="Z143" s="28">
        <v>46178.379774525463</v>
      </c>
      <c r="AA143" s="27" t="s">
        <v>2748</v>
      </c>
      <c r="AB143" s="27" t="s">
        <v>559</v>
      </c>
      <c r="AC143" s="27" t="s">
        <v>4516</v>
      </c>
      <c r="AD143" s="28">
        <v>46189.342141574074</v>
      </c>
      <c r="AE143" s="27" t="s">
        <v>3261</v>
      </c>
      <c r="AF143" s="27" t="s">
        <v>559</v>
      </c>
      <c r="AG143" s="27" t="s">
        <v>4517</v>
      </c>
      <c r="AH143" s="28">
        <v>46230.125940787038</v>
      </c>
      <c r="AI143" s="27" t="s">
        <v>3506</v>
      </c>
      <c r="AJ143" s="27" t="s">
        <v>559</v>
      </c>
      <c r="AK143" s="27" t="s">
        <v>4518</v>
      </c>
      <c r="AL143" s="27" t="s">
        <v>4426</v>
      </c>
    </row>
    <row r="144" spans="1:38">
      <c r="A144" s="27" t="s">
        <v>4519</v>
      </c>
      <c r="B144" s="27" t="s">
        <v>4520</v>
      </c>
      <c r="C144" s="27" t="s">
        <v>3085</v>
      </c>
      <c r="D144" s="27" t="s">
        <v>3252</v>
      </c>
      <c r="E144" s="27" t="s">
        <v>638</v>
      </c>
      <c r="F144" s="28">
        <v>46147.196081018519</v>
      </c>
      <c r="G144" s="28">
        <v>46168.199700300924</v>
      </c>
      <c r="H144" s="28">
        <v>46230.12553769676</v>
      </c>
      <c r="I144" s="27" t="s">
        <v>883</v>
      </c>
      <c r="J144" s="27" t="s">
        <v>874</v>
      </c>
      <c r="K144" s="27">
        <v>4343</v>
      </c>
      <c r="L144" s="27" t="s">
        <v>875</v>
      </c>
      <c r="M144" s="27" t="s">
        <v>1118</v>
      </c>
      <c r="N144" s="27" t="s">
        <v>4062</v>
      </c>
      <c r="O144" s="27" t="s">
        <v>3256</v>
      </c>
      <c r="P144" s="27" t="s">
        <v>3292</v>
      </c>
      <c r="Q144" s="27" t="s">
        <v>4521</v>
      </c>
      <c r="R144" s="27" t="s">
        <v>125</v>
      </c>
      <c r="S144" s="27"/>
      <c r="T144" s="27"/>
      <c r="U144" s="27" t="s">
        <v>559</v>
      </c>
      <c r="V144" s="28">
        <v>46168.207050011573</v>
      </c>
      <c r="W144" s="27" t="s">
        <v>1121</v>
      </c>
      <c r="X144" s="27" t="s">
        <v>559</v>
      </c>
      <c r="Y144" s="27" t="s">
        <v>2303</v>
      </c>
      <c r="Z144" s="28">
        <v>46178.380208773146</v>
      </c>
      <c r="AA144" s="27" t="s">
        <v>2748</v>
      </c>
      <c r="AB144" s="27" t="s">
        <v>559</v>
      </c>
      <c r="AC144" s="27" t="s">
        <v>4522</v>
      </c>
      <c r="AD144" s="28">
        <v>46189.342088854166</v>
      </c>
      <c r="AE144" s="27" t="s">
        <v>3261</v>
      </c>
      <c r="AF144" s="27" t="s">
        <v>559</v>
      </c>
      <c r="AG144" s="27" t="s">
        <v>4517</v>
      </c>
      <c r="AH144" s="28">
        <v>46230.12553769676</v>
      </c>
      <c r="AI144" s="27" t="s">
        <v>3506</v>
      </c>
      <c r="AJ144" s="27" t="s">
        <v>559</v>
      </c>
      <c r="AK144" s="27" t="s">
        <v>4523</v>
      </c>
      <c r="AL144" s="27" t="s">
        <v>4426</v>
      </c>
    </row>
    <row r="145" spans="1:38">
      <c r="A145" s="27" t="s">
        <v>4524</v>
      </c>
      <c r="B145" s="27" t="s">
        <v>4525</v>
      </c>
      <c r="C145" s="27" t="s">
        <v>3085</v>
      </c>
      <c r="D145" s="27" t="s">
        <v>3252</v>
      </c>
      <c r="E145" s="27" t="s">
        <v>638</v>
      </c>
      <c r="F145" s="28">
        <v>46147.196865115744</v>
      </c>
      <c r="G145" s="28">
        <v>46168.199997581018</v>
      </c>
      <c r="H145" s="28">
        <v>46224.104881458334</v>
      </c>
      <c r="I145" s="27" t="s">
        <v>883</v>
      </c>
      <c r="J145" s="27" t="s">
        <v>874</v>
      </c>
      <c r="K145" s="27">
        <v>4343</v>
      </c>
      <c r="L145" s="27" t="s">
        <v>875</v>
      </c>
      <c r="M145" s="27" t="s">
        <v>1118</v>
      </c>
      <c r="N145" s="27" t="s">
        <v>4062</v>
      </c>
      <c r="O145" s="27" t="s">
        <v>3256</v>
      </c>
      <c r="P145" s="27" t="s">
        <v>3344</v>
      </c>
      <c r="Q145" s="27" t="s">
        <v>4526</v>
      </c>
      <c r="R145" s="27" t="s">
        <v>125</v>
      </c>
      <c r="S145" s="27"/>
      <c r="T145" s="27"/>
      <c r="U145" s="27" t="s">
        <v>1404</v>
      </c>
      <c r="V145" s="28">
        <v>46168.207265266203</v>
      </c>
      <c r="W145" s="27" t="s">
        <v>1121</v>
      </c>
      <c r="X145" s="27" t="s">
        <v>559</v>
      </c>
      <c r="Y145" s="27" t="s">
        <v>559</v>
      </c>
      <c r="Z145" s="28">
        <v>46168.20769195602</v>
      </c>
      <c r="AA145" s="27" t="s">
        <v>1121</v>
      </c>
      <c r="AB145" s="27" t="s">
        <v>559</v>
      </c>
      <c r="AC145" s="27" t="s">
        <v>4527</v>
      </c>
      <c r="AD145" s="28">
        <v>46189.342011018518</v>
      </c>
      <c r="AE145" s="27" t="s">
        <v>3261</v>
      </c>
      <c r="AF145" s="27" t="s">
        <v>559</v>
      </c>
      <c r="AG145" s="27" t="s">
        <v>3903</v>
      </c>
      <c r="AH145" s="28">
        <v>46224.104881481479</v>
      </c>
      <c r="AI145" s="27" t="s">
        <v>3506</v>
      </c>
      <c r="AJ145" s="27" t="s">
        <v>559</v>
      </c>
      <c r="AK145" s="27" t="s">
        <v>4528</v>
      </c>
      <c r="AL145" s="27" t="s">
        <v>4426</v>
      </c>
    </row>
    <row r="146" spans="1:38">
      <c r="A146" s="27" t="s">
        <v>4529</v>
      </c>
      <c r="B146" s="27" t="s">
        <v>4530</v>
      </c>
      <c r="C146" s="27" t="s">
        <v>4531</v>
      </c>
      <c r="D146" s="27" t="s">
        <v>3252</v>
      </c>
      <c r="E146" s="27" t="s">
        <v>638</v>
      </c>
      <c r="F146" s="28">
        <v>46148.071698900465</v>
      </c>
      <c r="G146" s="28">
        <v>46148.071698900465</v>
      </c>
      <c r="H146" s="28">
        <v>46197.105333564818</v>
      </c>
      <c r="I146" s="27" t="s">
        <v>4532</v>
      </c>
      <c r="J146" s="27" t="s">
        <v>4533</v>
      </c>
      <c r="K146" s="27" t="s">
        <v>4534</v>
      </c>
      <c r="L146" s="27" t="s">
        <v>4535</v>
      </c>
      <c r="M146" s="27" t="s">
        <v>4280</v>
      </c>
      <c r="N146" s="27" t="s">
        <v>4536</v>
      </c>
      <c r="O146" s="27" t="s">
        <v>3256</v>
      </c>
      <c r="P146" s="27" t="s">
        <v>3344</v>
      </c>
      <c r="Q146" s="27" t="s">
        <v>4537</v>
      </c>
      <c r="R146" s="27" t="s">
        <v>107</v>
      </c>
      <c r="S146" s="27"/>
      <c r="T146" s="27"/>
      <c r="U146" s="27" t="s">
        <v>4538</v>
      </c>
      <c r="V146" s="28">
        <v>46148.382807662034</v>
      </c>
      <c r="W146" s="27" t="s">
        <v>4280</v>
      </c>
      <c r="X146" s="27" t="s">
        <v>559</v>
      </c>
      <c r="Y146" s="27" t="s">
        <v>4539</v>
      </c>
      <c r="Z146" s="28">
        <v>46148.38892449074</v>
      </c>
      <c r="AA146" s="27" t="s">
        <v>3599</v>
      </c>
      <c r="AB146" s="27" t="s">
        <v>559</v>
      </c>
      <c r="AC146" s="27" t="s">
        <v>4540</v>
      </c>
      <c r="AD146" s="28">
        <v>46149.456932384259</v>
      </c>
      <c r="AE146" s="27" t="s">
        <v>3261</v>
      </c>
      <c r="AF146" s="27" t="s">
        <v>559</v>
      </c>
      <c r="AG146" s="27" t="s">
        <v>3796</v>
      </c>
      <c r="AH146" s="28">
        <v>46197.105333576386</v>
      </c>
      <c r="AI146" s="27" t="s">
        <v>1245</v>
      </c>
      <c r="AJ146" s="27" t="s">
        <v>559</v>
      </c>
      <c r="AK146" s="27" t="s">
        <v>4541</v>
      </c>
      <c r="AL146" s="27" t="s">
        <v>4542</v>
      </c>
    </row>
    <row r="147" spans="1:38">
      <c r="A147" s="27" t="s">
        <v>4543</v>
      </c>
      <c r="B147" s="27" t="s">
        <v>4544</v>
      </c>
      <c r="C147" s="27" t="s">
        <v>4531</v>
      </c>
      <c r="D147" s="27" t="s">
        <v>3252</v>
      </c>
      <c r="E147" s="27" t="s">
        <v>638</v>
      </c>
      <c r="F147" s="28">
        <v>46148.073564166669</v>
      </c>
      <c r="G147" s="28">
        <v>46148.073564166669</v>
      </c>
      <c r="H147" s="28">
        <v>46212.242960231481</v>
      </c>
      <c r="I147" s="27" t="s">
        <v>4532</v>
      </c>
      <c r="J147" s="27" t="s">
        <v>4533</v>
      </c>
      <c r="K147" s="27" t="s">
        <v>4534</v>
      </c>
      <c r="L147" s="27" t="s">
        <v>4535</v>
      </c>
      <c r="M147" s="27" t="s">
        <v>4280</v>
      </c>
      <c r="N147" s="27" t="s">
        <v>4536</v>
      </c>
      <c r="O147" s="27" t="s">
        <v>3256</v>
      </c>
      <c r="P147" s="27" t="s">
        <v>3257</v>
      </c>
      <c r="Q147" s="27" t="s">
        <v>4545</v>
      </c>
      <c r="R147" s="27" t="s">
        <v>107</v>
      </c>
      <c r="S147" s="27"/>
      <c r="T147" s="27"/>
      <c r="U147" s="27" t="s">
        <v>4538</v>
      </c>
      <c r="V147" s="28">
        <v>46148.382416087959</v>
      </c>
      <c r="W147" s="27" t="s">
        <v>4280</v>
      </c>
      <c r="X147" s="27" t="s">
        <v>559</v>
      </c>
      <c r="Y147" s="27" t="s">
        <v>4539</v>
      </c>
      <c r="Z147" s="28">
        <v>46148.388300578707</v>
      </c>
      <c r="AA147" s="27" t="s">
        <v>3599</v>
      </c>
      <c r="AB147" s="27" t="s">
        <v>559</v>
      </c>
      <c r="AC147" s="27" t="s">
        <v>4540</v>
      </c>
      <c r="AD147" s="28">
        <v>46149.456799583335</v>
      </c>
      <c r="AE147" s="27" t="s">
        <v>3261</v>
      </c>
      <c r="AF147" s="27" t="s">
        <v>559</v>
      </c>
      <c r="AG147" s="27" t="s">
        <v>3796</v>
      </c>
      <c r="AH147" s="28">
        <v>46212.242960243057</v>
      </c>
      <c r="AI147" s="27" t="s">
        <v>1245</v>
      </c>
      <c r="AJ147" s="27" t="s">
        <v>559</v>
      </c>
      <c r="AK147" s="27" t="s">
        <v>4546</v>
      </c>
      <c r="AL147" s="27" t="s">
        <v>4542</v>
      </c>
    </row>
    <row r="148" spans="1:38">
      <c r="A148" s="27" t="s">
        <v>4547</v>
      </c>
      <c r="B148" s="27" t="s">
        <v>4548</v>
      </c>
      <c r="C148" s="27" t="s">
        <v>4092</v>
      </c>
      <c r="D148" s="27" t="s">
        <v>3252</v>
      </c>
      <c r="E148" s="27" t="s">
        <v>638</v>
      </c>
      <c r="F148" s="28">
        <v>46148.089793900464</v>
      </c>
      <c r="G148" s="28">
        <v>46148.089793900464</v>
      </c>
      <c r="H148" s="28">
        <v>46167.348609976849</v>
      </c>
      <c r="I148" s="27" t="s">
        <v>1241</v>
      </c>
      <c r="J148" s="27" t="s">
        <v>1234</v>
      </c>
      <c r="K148" s="27">
        <v>1478</v>
      </c>
      <c r="L148" s="27" t="s">
        <v>1235</v>
      </c>
      <c r="M148" s="27" t="s">
        <v>1735</v>
      </c>
      <c r="N148" s="27" t="s">
        <v>4549</v>
      </c>
      <c r="O148" s="27" t="s">
        <v>3322</v>
      </c>
      <c r="P148" s="27" t="s">
        <v>3257</v>
      </c>
      <c r="Q148" s="27" t="s">
        <v>4550</v>
      </c>
      <c r="R148" s="27" t="s">
        <v>116</v>
      </c>
      <c r="S148" s="27" t="s">
        <v>4551</v>
      </c>
      <c r="T148" s="27"/>
      <c r="U148" s="27" t="s">
        <v>4552</v>
      </c>
      <c r="V148" s="28">
        <v>46148.096563587962</v>
      </c>
      <c r="W148" s="27" t="s">
        <v>1735</v>
      </c>
      <c r="X148" s="27" t="s">
        <v>559</v>
      </c>
      <c r="Y148" s="27" t="s">
        <v>2303</v>
      </c>
      <c r="Z148" s="28">
        <v>46162.069154050929</v>
      </c>
      <c r="AA148" s="27" t="s">
        <v>2748</v>
      </c>
      <c r="AB148" s="27" t="s">
        <v>559</v>
      </c>
      <c r="AC148" s="27" t="s">
        <v>4553</v>
      </c>
      <c r="AD148" s="28">
        <v>46162.29322284722</v>
      </c>
      <c r="AE148" s="27" t="s">
        <v>3261</v>
      </c>
      <c r="AF148" s="27" t="s">
        <v>559</v>
      </c>
      <c r="AG148" s="27" t="s">
        <v>4554</v>
      </c>
      <c r="AH148" s="28">
        <v>46167.348609988425</v>
      </c>
      <c r="AI148" s="27" t="s">
        <v>3284</v>
      </c>
      <c r="AJ148" s="27" t="s">
        <v>559</v>
      </c>
      <c r="AK148" s="27" t="s">
        <v>4555</v>
      </c>
      <c r="AL148" s="27" t="s">
        <v>4556</v>
      </c>
    </row>
    <row r="149" spans="1:38">
      <c r="A149" s="27" t="s">
        <v>4557</v>
      </c>
      <c r="B149" s="27" t="s">
        <v>4558</v>
      </c>
      <c r="C149" s="27" t="s">
        <v>3370</v>
      </c>
      <c r="D149" s="27" t="s">
        <v>3252</v>
      </c>
      <c r="E149" s="27" t="s">
        <v>638</v>
      </c>
      <c r="F149" s="28">
        <v>46148.298025960648</v>
      </c>
      <c r="G149" s="28">
        <v>46148.304082048613</v>
      </c>
      <c r="H149" s="28">
        <v>46188.332113229168</v>
      </c>
      <c r="I149" s="27" t="s">
        <v>3551</v>
      </c>
      <c r="J149" s="27" t="s">
        <v>329</v>
      </c>
      <c r="K149" s="27">
        <v>4007</v>
      </c>
      <c r="L149" s="27" t="s">
        <v>330</v>
      </c>
      <c r="M149" s="27" t="s">
        <v>1735</v>
      </c>
      <c r="N149" s="27" t="s">
        <v>3552</v>
      </c>
      <c r="O149" s="27" t="s">
        <v>3256</v>
      </c>
      <c r="P149" s="27" t="s">
        <v>3257</v>
      </c>
      <c r="Q149" s="27" t="s">
        <v>4559</v>
      </c>
      <c r="R149" s="27" t="s">
        <v>116</v>
      </c>
      <c r="S149" s="27"/>
      <c r="T149" s="27"/>
      <c r="U149" s="27" t="s">
        <v>559</v>
      </c>
      <c r="V149" s="28">
        <v>46148.35187752315</v>
      </c>
      <c r="W149" s="27" t="s">
        <v>1735</v>
      </c>
      <c r="X149" s="27" t="s">
        <v>559</v>
      </c>
      <c r="Y149" s="27" t="s">
        <v>2303</v>
      </c>
      <c r="Z149" s="28">
        <v>46162.070313425924</v>
      </c>
      <c r="AA149" s="27" t="s">
        <v>2748</v>
      </c>
      <c r="AB149" s="27" t="s">
        <v>559</v>
      </c>
      <c r="AC149" s="27" t="s">
        <v>4560</v>
      </c>
      <c r="AD149" s="28">
        <v>46162.368698935185</v>
      </c>
      <c r="AE149" s="27" t="s">
        <v>3261</v>
      </c>
      <c r="AF149" s="27" t="s">
        <v>559</v>
      </c>
      <c r="AG149" s="27" t="s">
        <v>638</v>
      </c>
      <c r="AH149" s="28">
        <v>46188.332113240744</v>
      </c>
      <c r="AI149" s="27" t="s">
        <v>3479</v>
      </c>
      <c r="AJ149" s="27" t="s">
        <v>559</v>
      </c>
      <c r="AK149" s="27" t="s">
        <v>4561</v>
      </c>
      <c r="AL149" s="27" t="s">
        <v>3555</v>
      </c>
    </row>
    <row r="150" spans="1:38">
      <c r="A150" s="27" t="s">
        <v>4562</v>
      </c>
      <c r="B150" s="27" t="s">
        <v>4563</v>
      </c>
      <c r="C150" s="27" t="s">
        <v>4497</v>
      </c>
      <c r="D150" s="27" t="s">
        <v>3252</v>
      </c>
      <c r="E150" s="27" t="s">
        <v>549</v>
      </c>
      <c r="F150" s="28">
        <v>46149.074333807868</v>
      </c>
      <c r="G150" s="28">
        <v>46149.074333807868</v>
      </c>
      <c r="H150" s="28">
        <v>46155.392810393518</v>
      </c>
      <c r="I150" s="27" t="s">
        <v>4564</v>
      </c>
      <c r="J150" s="27" t="s">
        <v>4565</v>
      </c>
      <c r="K150" s="27">
        <v>3559</v>
      </c>
      <c r="L150" s="27" t="s">
        <v>4565</v>
      </c>
      <c r="M150" s="27" t="s">
        <v>3761</v>
      </c>
      <c r="N150" s="27" t="s">
        <v>4565</v>
      </c>
      <c r="O150" s="27" t="s">
        <v>3322</v>
      </c>
      <c r="P150" s="27" t="s">
        <v>3257</v>
      </c>
      <c r="Q150" s="27" t="s">
        <v>4566</v>
      </c>
      <c r="R150" s="27"/>
      <c r="S150" s="27" t="s">
        <v>4567</v>
      </c>
      <c r="T150" s="27"/>
      <c r="U150" s="27" t="s">
        <v>4568</v>
      </c>
      <c r="V150" s="28">
        <v>46149.097481550925</v>
      </c>
      <c r="W150" s="27" t="s">
        <v>1362</v>
      </c>
      <c r="X150" s="27" t="s">
        <v>559</v>
      </c>
      <c r="Y150" s="27" t="s">
        <v>4569</v>
      </c>
      <c r="Z150" s="28">
        <v>46155.392810405094</v>
      </c>
      <c r="AA150" s="27" t="s">
        <v>3599</v>
      </c>
      <c r="AB150" s="27" t="s">
        <v>549</v>
      </c>
      <c r="AC150" s="27"/>
      <c r="AD150" s="28"/>
      <c r="AE150" s="27" t="s">
        <v>573</v>
      </c>
      <c r="AF150" s="27"/>
      <c r="AG150" s="27"/>
      <c r="AH150" s="28"/>
      <c r="AI150" s="27" t="s">
        <v>3295</v>
      </c>
      <c r="AJ150" s="27"/>
      <c r="AK150" s="27"/>
      <c r="AL150" s="27" t="s">
        <v>4570</v>
      </c>
    </row>
    <row r="151" spans="1:38">
      <c r="A151" s="27" t="s">
        <v>4571</v>
      </c>
      <c r="B151" s="27" t="s">
        <v>4572</v>
      </c>
      <c r="C151" s="27" t="s">
        <v>4573</v>
      </c>
      <c r="D151" s="27" t="s">
        <v>3252</v>
      </c>
      <c r="E151" s="27" t="s">
        <v>549</v>
      </c>
      <c r="F151" s="28">
        <v>46149.138175520835</v>
      </c>
      <c r="G151" s="28">
        <v>46149.138175520835</v>
      </c>
      <c r="H151" s="28">
        <v>46162.353634687497</v>
      </c>
      <c r="I151" s="27" t="s">
        <v>3472</v>
      </c>
      <c r="J151" s="27" t="s">
        <v>3473</v>
      </c>
      <c r="K151" s="27">
        <v>3948</v>
      </c>
      <c r="L151" s="27" t="s">
        <v>3474</v>
      </c>
      <c r="M151" s="27" t="s">
        <v>769</v>
      </c>
      <c r="N151" s="27" t="s">
        <v>3473</v>
      </c>
      <c r="O151" s="27" t="s">
        <v>3256</v>
      </c>
      <c r="P151" s="27" t="s">
        <v>3257</v>
      </c>
      <c r="Q151" s="27" t="s">
        <v>4574</v>
      </c>
      <c r="R151" s="27"/>
      <c r="S151" s="27"/>
      <c r="T151" s="27"/>
      <c r="U151" s="27" t="s">
        <v>681</v>
      </c>
      <c r="V151" s="28">
        <v>46149.553193402775</v>
      </c>
      <c r="W151" s="27" t="s">
        <v>769</v>
      </c>
      <c r="X151" s="27" t="s">
        <v>559</v>
      </c>
      <c r="Y151" s="27" t="s">
        <v>2303</v>
      </c>
      <c r="Z151" s="28">
        <v>46162.070983229169</v>
      </c>
      <c r="AA151" s="27" t="s">
        <v>2748</v>
      </c>
      <c r="AB151" s="27" t="s">
        <v>559</v>
      </c>
      <c r="AC151" s="27" t="s">
        <v>4575</v>
      </c>
      <c r="AD151" s="28">
        <v>46162.353634699073</v>
      </c>
      <c r="AE151" s="27" t="s">
        <v>3261</v>
      </c>
      <c r="AF151" s="27" t="s">
        <v>549</v>
      </c>
      <c r="AG151" s="27"/>
      <c r="AH151" s="28"/>
      <c r="AI151" s="27" t="s">
        <v>3295</v>
      </c>
      <c r="AJ151" s="27"/>
      <c r="AK151" s="27"/>
      <c r="AL151" s="27" t="s">
        <v>3481</v>
      </c>
    </row>
    <row r="152" spans="1:38">
      <c r="A152" s="27" t="s">
        <v>4576</v>
      </c>
      <c r="B152" s="27" t="s">
        <v>4577</v>
      </c>
      <c r="C152" s="27" t="s">
        <v>4573</v>
      </c>
      <c r="D152" s="27" t="s">
        <v>3252</v>
      </c>
      <c r="E152" s="27" t="s">
        <v>549</v>
      </c>
      <c r="F152" s="28">
        <v>46149.275710393522</v>
      </c>
      <c r="G152" s="28">
        <v>46149.275710393522</v>
      </c>
      <c r="H152" s="28">
        <v>46149.301994930553</v>
      </c>
      <c r="I152" s="27" t="s">
        <v>3472</v>
      </c>
      <c r="J152" s="27" t="s">
        <v>3473</v>
      </c>
      <c r="K152" s="27">
        <v>3948</v>
      </c>
      <c r="L152" s="27" t="s">
        <v>3474</v>
      </c>
      <c r="M152" s="27" t="s">
        <v>4578</v>
      </c>
      <c r="N152" s="27" t="s">
        <v>3473</v>
      </c>
      <c r="O152" s="27" t="s">
        <v>3256</v>
      </c>
      <c r="P152" s="27" t="s">
        <v>3257</v>
      </c>
      <c r="Q152" s="27" t="s">
        <v>4574</v>
      </c>
      <c r="R152" s="27"/>
      <c r="S152" s="27"/>
      <c r="T152" s="27"/>
      <c r="U152" s="27" t="s">
        <v>4579</v>
      </c>
      <c r="V152" s="28">
        <v>46149.301994942129</v>
      </c>
      <c r="W152" s="27" t="s">
        <v>3475</v>
      </c>
      <c r="X152" s="27" t="s">
        <v>549</v>
      </c>
      <c r="Y152" s="27"/>
      <c r="Z152" s="28"/>
      <c r="AA152" s="27" t="s">
        <v>3325</v>
      </c>
      <c r="AB152" s="27"/>
      <c r="AC152" s="27"/>
      <c r="AD152" s="28"/>
      <c r="AE152" s="27" t="s">
        <v>573</v>
      </c>
      <c r="AF152" s="27"/>
      <c r="AG152" s="27"/>
      <c r="AH152" s="28"/>
      <c r="AI152" s="27" t="s">
        <v>3295</v>
      </c>
      <c r="AJ152" s="27"/>
      <c r="AK152" s="27"/>
      <c r="AL152" s="27" t="s">
        <v>3481</v>
      </c>
    </row>
    <row r="153" spans="1:38">
      <c r="A153" s="27" t="s">
        <v>4580</v>
      </c>
      <c r="B153" s="27" t="s">
        <v>4581</v>
      </c>
      <c r="C153" s="27" t="s">
        <v>4573</v>
      </c>
      <c r="D153" s="27" t="s">
        <v>3252</v>
      </c>
      <c r="E153" s="27" t="s">
        <v>638</v>
      </c>
      <c r="F153" s="28">
        <v>46149.32829445602</v>
      </c>
      <c r="G153" s="28">
        <v>46149.32829445602</v>
      </c>
      <c r="H153" s="28">
        <v>46176.031933043982</v>
      </c>
      <c r="I153" s="27" t="s">
        <v>3472</v>
      </c>
      <c r="J153" s="27" t="s">
        <v>3473</v>
      </c>
      <c r="K153" s="27">
        <v>3948</v>
      </c>
      <c r="L153" s="27" t="s">
        <v>3474</v>
      </c>
      <c r="M153" s="27" t="s">
        <v>4578</v>
      </c>
      <c r="N153" s="27" t="s">
        <v>3473</v>
      </c>
      <c r="O153" s="27" t="s">
        <v>3256</v>
      </c>
      <c r="P153" s="27" t="s">
        <v>3257</v>
      </c>
      <c r="Q153" s="27" t="s">
        <v>4582</v>
      </c>
      <c r="R153" s="27" t="s">
        <v>107</v>
      </c>
      <c r="S153" s="27"/>
      <c r="T153" s="27"/>
      <c r="U153" s="27" t="s">
        <v>1564</v>
      </c>
      <c r="V153" s="28">
        <v>46149.33131533565</v>
      </c>
      <c r="W153" s="27" t="s">
        <v>3475</v>
      </c>
      <c r="X153" s="27" t="s">
        <v>559</v>
      </c>
      <c r="Y153" s="27" t="s">
        <v>4583</v>
      </c>
      <c r="Z153" s="28">
        <v>46154.13634513889</v>
      </c>
      <c r="AA153" s="27" t="s">
        <v>3599</v>
      </c>
      <c r="AB153" s="27" t="s">
        <v>559</v>
      </c>
      <c r="AC153" s="27" t="s">
        <v>4584</v>
      </c>
      <c r="AD153" s="28">
        <v>46154.289414247687</v>
      </c>
      <c r="AE153" s="27" t="s">
        <v>3261</v>
      </c>
      <c r="AF153" s="27" t="s">
        <v>559</v>
      </c>
      <c r="AG153" s="27" t="s">
        <v>3796</v>
      </c>
      <c r="AH153" s="28">
        <v>46176.031933067126</v>
      </c>
      <c r="AI153" s="27" t="s">
        <v>3401</v>
      </c>
      <c r="AJ153" s="27" t="s">
        <v>559</v>
      </c>
      <c r="AK153" s="27" t="s">
        <v>4585</v>
      </c>
      <c r="AL153" s="27" t="s">
        <v>3481</v>
      </c>
    </row>
    <row r="154" spans="1:38">
      <c r="A154" s="27" t="s">
        <v>4586</v>
      </c>
      <c r="B154" s="27" t="s">
        <v>4587</v>
      </c>
      <c r="C154" s="27" t="s">
        <v>2633</v>
      </c>
      <c r="D154" s="27" t="s">
        <v>3252</v>
      </c>
      <c r="E154" s="27" t="s">
        <v>638</v>
      </c>
      <c r="F154" s="28">
        <v>46150.065642199072</v>
      </c>
      <c r="G154" s="28">
        <v>46150.065642199072</v>
      </c>
      <c r="H154" s="28">
        <v>46191.319709618052</v>
      </c>
      <c r="I154" s="27" t="s">
        <v>2636</v>
      </c>
      <c r="J154" s="27" t="s">
        <v>224</v>
      </c>
      <c r="K154" s="27" t="s">
        <v>2637</v>
      </c>
      <c r="L154" s="27" t="s">
        <v>224</v>
      </c>
      <c r="M154" s="27" t="s">
        <v>2634</v>
      </c>
      <c r="N154" s="27" t="s">
        <v>4449</v>
      </c>
      <c r="O154" s="27" t="s">
        <v>3256</v>
      </c>
      <c r="P154" s="27" t="s">
        <v>3292</v>
      </c>
      <c r="Q154" s="27" t="s">
        <v>4588</v>
      </c>
      <c r="R154" s="27" t="s">
        <v>125</v>
      </c>
      <c r="S154" s="27"/>
      <c r="T154" s="27"/>
      <c r="U154" s="27" t="s">
        <v>4589</v>
      </c>
      <c r="V154" s="28">
        <v>46150.097349050928</v>
      </c>
      <c r="W154" s="27" t="s">
        <v>2634</v>
      </c>
      <c r="X154" s="27" t="s">
        <v>559</v>
      </c>
      <c r="Y154" s="27" t="s">
        <v>2303</v>
      </c>
      <c r="Z154" s="28">
        <v>46162.074771724539</v>
      </c>
      <c r="AA154" s="27" t="s">
        <v>2748</v>
      </c>
      <c r="AB154" s="27" t="s">
        <v>559</v>
      </c>
      <c r="AC154" s="27" t="s">
        <v>4590</v>
      </c>
      <c r="AD154" s="28">
        <v>46162.284680520832</v>
      </c>
      <c r="AE154" s="27" t="s">
        <v>3261</v>
      </c>
      <c r="AF154" s="27" t="s">
        <v>559</v>
      </c>
      <c r="AG154" s="27" t="s">
        <v>4591</v>
      </c>
      <c r="AH154" s="28">
        <v>46191.319709618052</v>
      </c>
      <c r="AI154" s="27" t="s">
        <v>1083</v>
      </c>
      <c r="AJ154" s="27" t="s">
        <v>559</v>
      </c>
      <c r="AK154" s="27" t="s">
        <v>4592</v>
      </c>
      <c r="AL154" s="27" t="s">
        <v>4452</v>
      </c>
    </row>
    <row r="155" spans="1:38">
      <c r="A155" s="27" t="s">
        <v>4593</v>
      </c>
      <c r="B155" s="27" t="s">
        <v>4594</v>
      </c>
      <c r="C155" s="27" t="s">
        <v>1801</v>
      </c>
      <c r="D155" s="27" t="s">
        <v>3252</v>
      </c>
      <c r="E155" s="27" t="s">
        <v>638</v>
      </c>
      <c r="F155" s="28">
        <v>46153.282059131947</v>
      </c>
      <c r="G155" s="28">
        <v>46168.193916805554</v>
      </c>
      <c r="H155" s="28">
        <v>46182.321829560184</v>
      </c>
      <c r="I155" s="27" t="s">
        <v>1810</v>
      </c>
      <c r="J155" s="27" t="s">
        <v>1802</v>
      </c>
      <c r="K155" s="27">
        <v>1709</v>
      </c>
      <c r="L155" s="27" t="s">
        <v>1803</v>
      </c>
      <c r="M155" s="27" t="s">
        <v>1118</v>
      </c>
      <c r="N155" s="27" t="s">
        <v>1802</v>
      </c>
      <c r="O155" s="27" t="s">
        <v>3256</v>
      </c>
      <c r="P155" s="27" t="s">
        <v>3257</v>
      </c>
      <c r="Q155" s="27" t="s">
        <v>4595</v>
      </c>
      <c r="R155" s="27" t="s">
        <v>116</v>
      </c>
      <c r="S155" s="27"/>
      <c r="T155" s="27"/>
      <c r="U155" s="27" t="s">
        <v>559</v>
      </c>
      <c r="V155" s="28">
        <v>46168.204585648149</v>
      </c>
      <c r="W155" s="27" t="s">
        <v>1121</v>
      </c>
      <c r="X155" s="27" t="s">
        <v>559</v>
      </c>
      <c r="Y155" s="27" t="s">
        <v>1404</v>
      </c>
      <c r="Z155" s="28">
        <v>46168.205013842591</v>
      </c>
      <c r="AA155" s="27" t="s">
        <v>1121</v>
      </c>
      <c r="AB155" s="27" t="s">
        <v>559</v>
      </c>
      <c r="AC155" s="27" t="s">
        <v>4596</v>
      </c>
      <c r="AD155" s="28">
        <v>46171.313329687502</v>
      </c>
      <c r="AE155" s="27" t="s">
        <v>3261</v>
      </c>
      <c r="AF155" s="27" t="s">
        <v>559</v>
      </c>
      <c r="AG155" s="27" t="s">
        <v>638</v>
      </c>
      <c r="AH155" s="28">
        <v>46182.32182957176</v>
      </c>
      <c r="AI155" s="27" t="s">
        <v>3479</v>
      </c>
      <c r="AJ155" s="27" t="s">
        <v>559</v>
      </c>
      <c r="AK155" s="27" t="s">
        <v>4597</v>
      </c>
      <c r="AL155" s="27" t="s">
        <v>3582</v>
      </c>
    </row>
    <row r="156" spans="1:38">
      <c r="A156" s="27" t="s">
        <v>4598</v>
      </c>
      <c r="B156" s="27" t="s">
        <v>4599</v>
      </c>
      <c r="C156" s="27" t="s">
        <v>3085</v>
      </c>
      <c r="D156" s="27" t="s">
        <v>3252</v>
      </c>
      <c r="E156" s="27" t="s">
        <v>638</v>
      </c>
      <c r="F156" s="28">
        <v>46154.131849537036</v>
      </c>
      <c r="G156" s="28">
        <v>46154.131849537036</v>
      </c>
      <c r="H156" s="28">
        <v>46204.255536550925</v>
      </c>
      <c r="I156" s="27" t="s">
        <v>883</v>
      </c>
      <c r="J156" s="27" t="s">
        <v>874</v>
      </c>
      <c r="K156" s="27">
        <v>4343</v>
      </c>
      <c r="L156" s="27" t="s">
        <v>875</v>
      </c>
      <c r="M156" s="27" t="s">
        <v>1118</v>
      </c>
      <c r="N156" s="27" t="s">
        <v>4421</v>
      </c>
      <c r="O156" s="27" t="s">
        <v>3322</v>
      </c>
      <c r="P156" s="27" t="s">
        <v>3344</v>
      </c>
      <c r="Q156" s="27" t="s">
        <v>4600</v>
      </c>
      <c r="R156" s="27" t="s">
        <v>116</v>
      </c>
      <c r="S156" s="27"/>
      <c r="T156" s="27"/>
      <c r="U156" s="27" t="s">
        <v>559</v>
      </c>
      <c r="V156" s="28">
        <v>46154.156020069444</v>
      </c>
      <c r="W156" s="27" t="s">
        <v>1121</v>
      </c>
      <c r="X156" s="27" t="s">
        <v>559</v>
      </c>
      <c r="Y156" s="27" t="s">
        <v>2303</v>
      </c>
      <c r="Z156" s="28">
        <v>46162.076177569441</v>
      </c>
      <c r="AA156" s="27" t="s">
        <v>2748</v>
      </c>
      <c r="AB156" s="27" t="s">
        <v>559</v>
      </c>
      <c r="AC156" s="27" t="s">
        <v>4601</v>
      </c>
      <c r="AD156" s="28">
        <v>46162.354426863429</v>
      </c>
      <c r="AE156" s="27" t="s">
        <v>3261</v>
      </c>
      <c r="AF156" s="27" t="s">
        <v>559</v>
      </c>
      <c r="AG156" s="27" t="s">
        <v>3400</v>
      </c>
      <c r="AH156" s="28">
        <v>46204.255536562501</v>
      </c>
      <c r="AI156" s="27" t="s">
        <v>1245</v>
      </c>
      <c r="AJ156" s="27" t="s">
        <v>559</v>
      </c>
      <c r="AK156" s="27" t="s">
        <v>4602</v>
      </c>
      <c r="AL156" s="27" t="s">
        <v>4426</v>
      </c>
    </row>
    <row r="157" spans="1:38">
      <c r="A157" s="27" t="s">
        <v>4603</v>
      </c>
      <c r="B157" s="27" t="s">
        <v>4604</v>
      </c>
      <c r="C157" s="27" t="s">
        <v>3085</v>
      </c>
      <c r="D157" s="27" t="s">
        <v>3252</v>
      </c>
      <c r="E157" s="27" t="s">
        <v>638</v>
      </c>
      <c r="F157" s="28">
        <v>46154.134597187498</v>
      </c>
      <c r="G157" s="28">
        <v>46168.197797789355</v>
      </c>
      <c r="H157" s="28">
        <v>46219.072681157406</v>
      </c>
      <c r="I157" s="27" t="s">
        <v>883</v>
      </c>
      <c r="J157" s="27" t="s">
        <v>874</v>
      </c>
      <c r="K157" s="27">
        <v>4343</v>
      </c>
      <c r="L157" s="27" t="s">
        <v>875</v>
      </c>
      <c r="M157" s="27" t="s">
        <v>1118</v>
      </c>
      <c r="N157" s="27" t="s">
        <v>4421</v>
      </c>
      <c r="O157" s="27" t="s">
        <v>3256</v>
      </c>
      <c r="P157" s="27" t="s">
        <v>3344</v>
      </c>
      <c r="Q157" s="27" t="s">
        <v>4605</v>
      </c>
      <c r="R157" s="27" t="s">
        <v>107</v>
      </c>
      <c r="S157" s="27"/>
      <c r="T157" s="27"/>
      <c r="U157" s="27" t="s">
        <v>559</v>
      </c>
      <c r="V157" s="28">
        <v>46168.205436701392</v>
      </c>
      <c r="W157" s="27" t="s">
        <v>1121</v>
      </c>
      <c r="X157" s="27" t="s">
        <v>559</v>
      </c>
      <c r="Y157" s="27" t="s">
        <v>2303</v>
      </c>
      <c r="Z157" s="28">
        <v>46178.379216006942</v>
      </c>
      <c r="AA157" s="27" t="s">
        <v>2748</v>
      </c>
      <c r="AB157" s="27" t="s">
        <v>559</v>
      </c>
      <c r="AC157" s="27" t="s">
        <v>4606</v>
      </c>
      <c r="AD157" s="28">
        <v>46189.296416886573</v>
      </c>
      <c r="AE157" s="27" t="s">
        <v>3261</v>
      </c>
      <c r="AF157" s="27" t="s">
        <v>559</v>
      </c>
      <c r="AG157" s="27" t="s">
        <v>4607</v>
      </c>
      <c r="AH157" s="28">
        <v>46219.072681157406</v>
      </c>
      <c r="AI157" s="27" t="s">
        <v>3284</v>
      </c>
      <c r="AJ157" s="27" t="s">
        <v>559</v>
      </c>
      <c r="AK157" s="27" t="s">
        <v>4608</v>
      </c>
      <c r="AL157" s="27" t="s">
        <v>4426</v>
      </c>
    </row>
    <row r="158" spans="1:38">
      <c r="A158" s="27" t="s">
        <v>4609</v>
      </c>
      <c r="B158" s="27" t="s">
        <v>4610</v>
      </c>
      <c r="C158" s="27" t="s">
        <v>2633</v>
      </c>
      <c r="D158" s="27" t="s">
        <v>3252</v>
      </c>
      <c r="E158" s="27" t="s">
        <v>638</v>
      </c>
      <c r="F158" s="28">
        <v>46154.273037615741</v>
      </c>
      <c r="G158" s="28">
        <v>46154.273037615741</v>
      </c>
      <c r="H158" s="28">
        <v>46181.061876446758</v>
      </c>
      <c r="I158" s="27" t="s">
        <v>2636</v>
      </c>
      <c r="J158" s="27" t="s">
        <v>224</v>
      </c>
      <c r="K158" s="27" t="s">
        <v>2637</v>
      </c>
      <c r="L158" s="27" t="s">
        <v>224</v>
      </c>
      <c r="M158" s="27" t="s">
        <v>2634</v>
      </c>
      <c r="N158" s="27" t="s">
        <v>4449</v>
      </c>
      <c r="O158" s="27" t="s">
        <v>3256</v>
      </c>
      <c r="P158" s="27" t="s">
        <v>3257</v>
      </c>
      <c r="Q158" s="27" t="s">
        <v>4611</v>
      </c>
      <c r="R158" s="27" t="s">
        <v>125</v>
      </c>
      <c r="S158" s="27"/>
      <c r="T158" s="27"/>
      <c r="U158" s="27" t="s">
        <v>4612</v>
      </c>
      <c r="V158" s="28">
        <v>46155.189932199071</v>
      </c>
      <c r="W158" s="27" t="s">
        <v>2634</v>
      </c>
      <c r="X158" s="27" t="s">
        <v>559</v>
      </c>
      <c r="Y158" s="27" t="s">
        <v>631</v>
      </c>
      <c r="Z158" s="28">
        <v>46155.194676574072</v>
      </c>
      <c r="AA158" s="27" t="s">
        <v>2634</v>
      </c>
      <c r="AB158" s="27" t="s">
        <v>559</v>
      </c>
      <c r="AC158" s="27" t="s">
        <v>4590</v>
      </c>
      <c r="AD158" s="28">
        <v>46162.284826087962</v>
      </c>
      <c r="AE158" s="27" t="s">
        <v>3261</v>
      </c>
      <c r="AF158" s="27" t="s">
        <v>559</v>
      </c>
      <c r="AG158" s="27" t="s">
        <v>649</v>
      </c>
      <c r="AH158" s="28">
        <v>46181.061876458334</v>
      </c>
      <c r="AI158" s="27" t="s">
        <v>1083</v>
      </c>
      <c r="AJ158" s="27" t="s">
        <v>559</v>
      </c>
      <c r="AK158" s="27" t="s">
        <v>4613</v>
      </c>
      <c r="AL158" s="27" t="s">
        <v>4452</v>
      </c>
    </row>
    <row r="159" spans="1:38">
      <c r="A159" s="27" t="s">
        <v>4614</v>
      </c>
      <c r="B159" s="27" t="s">
        <v>4615</v>
      </c>
      <c r="C159" s="27" t="s">
        <v>654</v>
      </c>
      <c r="D159" s="27" t="s">
        <v>3252</v>
      </c>
      <c r="E159" s="27" t="s">
        <v>549</v>
      </c>
      <c r="F159" s="28">
        <v>46154.56921577546</v>
      </c>
      <c r="G159" s="28">
        <v>46154.56921577546</v>
      </c>
      <c r="H159" s="28">
        <v>46162.367760289351</v>
      </c>
      <c r="I159" s="27" t="s">
        <v>4616</v>
      </c>
      <c r="J159" s="27" t="s">
        <v>4617</v>
      </c>
      <c r="K159" s="27">
        <v>3421</v>
      </c>
      <c r="L159" s="27" t="s">
        <v>4618</v>
      </c>
      <c r="M159" s="27" t="s">
        <v>1286</v>
      </c>
      <c r="N159" s="27" t="s">
        <v>4619</v>
      </c>
      <c r="O159" s="27" t="s">
        <v>3256</v>
      </c>
      <c r="P159" s="27" t="s">
        <v>3257</v>
      </c>
      <c r="Q159" s="27" t="s">
        <v>4620</v>
      </c>
      <c r="R159" s="27" t="s">
        <v>107</v>
      </c>
      <c r="S159" s="27"/>
      <c r="T159" s="27"/>
      <c r="U159" s="27" t="s">
        <v>4621</v>
      </c>
      <c r="V159" s="28">
        <v>46154.893127986114</v>
      </c>
      <c r="W159" s="27" t="s">
        <v>1289</v>
      </c>
      <c r="X159" s="27" t="s">
        <v>559</v>
      </c>
      <c r="Y159" s="27" t="s">
        <v>2303</v>
      </c>
      <c r="Z159" s="28">
        <v>46162.078433761577</v>
      </c>
      <c r="AA159" s="27" t="s">
        <v>2748</v>
      </c>
      <c r="AB159" s="27" t="s">
        <v>559</v>
      </c>
      <c r="AC159" s="27" t="s">
        <v>2623</v>
      </c>
      <c r="AD159" s="28">
        <v>46162.367532523145</v>
      </c>
      <c r="AE159" s="27" t="s">
        <v>3261</v>
      </c>
      <c r="AF159" s="27" t="s">
        <v>559</v>
      </c>
      <c r="AG159" s="27" t="s">
        <v>4622</v>
      </c>
      <c r="AH159" s="28">
        <v>46162.367760300927</v>
      </c>
      <c r="AI159" s="27" t="s">
        <v>3261</v>
      </c>
      <c r="AJ159" s="27" t="s">
        <v>549</v>
      </c>
      <c r="AK159" s="27" t="s">
        <v>4623</v>
      </c>
      <c r="AL159" s="27" t="s">
        <v>4624</v>
      </c>
    </row>
    <row r="160" spans="1:38">
      <c r="A160" s="27" t="s">
        <v>4625</v>
      </c>
      <c r="B160" s="27" t="s">
        <v>4626</v>
      </c>
      <c r="C160" s="27" t="s">
        <v>994</v>
      </c>
      <c r="D160" s="27" t="s">
        <v>3252</v>
      </c>
      <c r="E160" s="27" t="s">
        <v>638</v>
      </c>
      <c r="F160" s="28">
        <v>46157.185893912036</v>
      </c>
      <c r="G160" s="28">
        <v>46157.185893912036</v>
      </c>
      <c r="H160" s="28">
        <v>46178.428557951389</v>
      </c>
      <c r="I160" s="27" t="s">
        <v>999</v>
      </c>
      <c r="J160" s="27" t="s">
        <v>346</v>
      </c>
      <c r="K160" s="27">
        <v>100</v>
      </c>
      <c r="L160" s="27" t="s">
        <v>347</v>
      </c>
      <c r="M160" s="27" t="s">
        <v>996</v>
      </c>
      <c r="N160" s="27" t="s">
        <v>3871</v>
      </c>
      <c r="O160" s="27" t="s">
        <v>3256</v>
      </c>
      <c r="P160" s="27" t="s">
        <v>3344</v>
      </c>
      <c r="Q160" s="27" t="s">
        <v>4627</v>
      </c>
      <c r="R160" s="27" t="s">
        <v>107</v>
      </c>
      <c r="S160" s="27"/>
      <c r="T160" s="27"/>
      <c r="U160" s="27" t="s">
        <v>4628</v>
      </c>
      <c r="V160" s="28">
        <v>46157.302297627313</v>
      </c>
      <c r="W160" s="27" t="s">
        <v>998</v>
      </c>
      <c r="X160" s="27" t="s">
        <v>559</v>
      </c>
      <c r="Y160" s="27" t="s">
        <v>2303</v>
      </c>
      <c r="Z160" s="28">
        <v>46164.404482465281</v>
      </c>
      <c r="AA160" s="27" t="s">
        <v>2748</v>
      </c>
      <c r="AB160" s="27" t="s">
        <v>559</v>
      </c>
      <c r="AC160" s="27" t="s">
        <v>867</v>
      </c>
      <c r="AD160" s="28">
        <v>46167.098319814817</v>
      </c>
      <c r="AE160" s="27" t="s">
        <v>571</v>
      </c>
      <c r="AF160" s="27" t="s">
        <v>559</v>
      </c>
      <c r="AG160" s="27" t="s">
        <v>638</v>
      </c>
      <c r="AH160" s="28">
        <v>46178.428557951389</v>
      </c>
      <c r="AI160" s="27" t="s">
        <v>3479</v>
      </c>
      <c r="AJ160" s="27" t="s">
        <v>559</v>
      </c>
      <c r="AK160" s="27" t="s">
        <v>4629</v>
      </c>
      <c r="AL160" s="27" t="s">
        <v>3876</v>
      </c>
    </row>
    <row r="161" spans="1:38">
      <c r="A161" s="27" t="s">
        <v>4630</v>
      </c>
      <c r="B161" s="27" t="s">
        <v>4631</v>
      </c>
      <c r="C161" s="27" t="s">
        <v>4632</v>
      </c>
      <c r="D161" s="27" t="s">
        <v>3252</v>
      </c>
      <c r="E161" s="27" t="s">
        <v>638</v>
      </c>
      <c r="F161" s="28">
        <v>46157.340464444445</v>
      </c>
      <c r="G161" s="28">
        <v>46157.347268622689</v>
      </c>
      <c r="H161" s="28">
        <v>46188.060327569445</v>
      </c>
      <c r="I161" s="27" t="s">
        <v>1877</v>
      </c>
      <c r="J161" s="27" t="s">
        <v>322</v>
      </c>
      <c r="K161" s="27">
        <v>4569</v>
      </c>
      <c r="L161" s="27" t="s">
        <v>323</v>
      </c>
      <c r="M161" s="27" t="s">
        <v>4296</v>
      </c>
      <c r="N161" s="27" t="s">
        <v>3800</v>
      </c>
      <c r="O161" s="27" t="s">
        <v>3256</v>
      </c>
      <c r="P161" s="27"/>
      <c r="Q161" s="27" t="s">
        <v>4633</v>
      </c>
      <c r="R161" s="27" t="s">
        <v>125</v>
      </c>
      <c r="S161" s="27"/>
      <c r="T161" s="27"/>
      <c r="U161" s="27" t="s">
        <v>2597</v>
      </c>
      <c r="V161" s="28">
        <v>46157.352548761577</v>
      </c>
      <c r="W161" s="27" t="s">
        <v>4298</v>
      </c>
      <c r="X161" s="27" t="s">
        <v>559</v>
      </c>
      <c r="Y161" s="27" t="s">
        <v>2303</v>
      </c>
      <c r="Z161" s="28">
        <v>46162.080210046297</v>
      </c>
      <c r="AA161" s="27" t="s">
        <v>2748</v>
      </c>
      <c r="AB161" s="27" t="s">
        <v>559</v>
      </c>
      <c r="AC161" s="27" t="s">
        <v>4634</v>
      </c>
      <c r="AD161" s="28">
        <v>46162.538642847219</v>
      </c>
      <c r="AE161" s="27" t="s">
        <v>3261</v>
      </c>
      <c r="AF161" s="27" t="s">
        <v>559</v>
      </c>
      <c r="AG161" s="27" t="s">
        <v>4635</v>
      </c>
      <c r="AH161" s="28">
        <v>46188.060327581021</v>
      </c>
      <c r="AI161" s="27" t="s">
        <v>3380</v>
      </c>
      <c r="AJ161" s="27" t="s">
        <v>559</v>
      </c>
      <c r="AK161" s="27" t="s">
        <v>4636</v>
      </c>
      <c r="AL161" s="27" t="s">
        <v>4637</v>
      </c>
    </row>
    <row r="162" spans="1:38">
      <c r="A162" s="27" t="s">
        <v>4638</v>
      </c>
      <c r="B162" s="27" t="s">
        <v>4639</v>
      </c>
      <c r="C162" s="27" t="s">
        <v>4470</v>
      </c>
      <c r="D162" s="27" t="s">
        <v>3252</v>
      </c>
      <c r="E162" s="27" t="s">
        <v>638</v>
      </c>
      <c r="F162" s="28">
        <v>46160.313517650466</v>
      </c>
      <c r="G162" s="28">
        <v>46160.313517650466</v>
      </c>
      <c r="H162" s="28">
        <v>46219.106740659721</v>
      </c>
      <c r="I162" s="27" t="s">
        <v>4471</v>
      </c>
      <c r="J162" s="27" t="s">
        <v>4472</v>
      </c>
      <c r="K162" s="27" t="s">
        <v>4473</v>
      </c>
      <c r="L162" s="27" t="s">
        <v>4474</v>
      </c>
      <c r="M162" s="27" t="s">
        <v>4475</v>
      </c>
      <c r="N162" s="27" t="s">
        <v>4474</v>
      </c>
      <c r="O162" s="27" t="s">
        <v>3256</v>
      </c>
      <c r="P162" s="27" t="s">
        <v>3292</v>
      </c>
      <c r="Q162" s="27" t="s">
        <v>4640</v>
      </c>
      <c r="R162" s="27" t="s">
        <v>125</v>
      </c>
      <c r="S162" s="27"/>
      <c r="T162" s="27"/>
      <c r="U162" s="27" t="s">
        <v>1109</v>
      </c>
      <c r="V162" s="28">
        <v>46160.321127222225</v>
      </c>
      <c r="W162" s="27" t="s">
        <v>4475</v>
      </c>
      <c r="X162" s="27" t="s">
        <v>559</v>
      </c>
      <c r="Y162" s="27" t="s">
        <v>2303</v>
      </c>
      <c r="Z162" s="28">
        <v>46162.079321631943</v>
      </c>
      <c r="AA162" s="27" t="s">
        <v>2748</v>
      </c>
      <c r="AB162" s="27" t="s">
        <v>559</v>
      </c>
      <c r="AC162" s="27" t="s">
        <v>4641</v>
      </c>
      <c r="AD162" s="28">
        <v>46162.360100891201</v>
      </c>
      <c r="AE162" s="27" t="s">
        <v>3261</v>
      </c>
      <c r="AF162" s="27" t="s">
        <v>559</v>
      </c>
      <c r="AG162" s="27" t="s">
        <v>4642</v>
      </c>
      <c r="AH162" s="28">
        <v>46219.106740671297</v>
      </c>
      <c r="AI162" s="27" t="s">
        <v>3506</v>
      </c>
      <c r="AJ162" s="27" t="s">
        <v>559</v>
      </c>
      <c r="AK162" s="27" t="s">
        <v>4643</v>
      </c>
      <c r="AL162" s="27" t="s">
        <v>4481</v>
      </c>
    </row>
    <row r="163" spans="1:38">
      <c r="A163" s="27" t="s">
        <v>4644</v>
      </c>
      <c r="B163" s="27" t="s">
        <v>4645</v>
      </c>
      <c r="C163" s="27" t="s">
        <v>4470</v>
      </c>
      <c r="D163" s="27" t="s">
        <v>3252</v>
      </c>
      <c r="E163" s="27" t="s">
        <v>549</v>
      </c>
      <c r="F163" s="28">
        <v>46160.396259236113</v>
      </c>
      <c r="G163" s="28">
        <v>46160.396259236113</v>
      </c>
      <c r="H163" s="28">
        <v>46191.324295509257</v>
      </c>
      <c r="I163" s="27" t="s">
        <v>4471</v>
      </c>
      <c r="J163" s="27" t="s">
        <v>4472</v>
      </c>
      <c r="K163" s="27" t="s">
        <v>4473</v>
      </c>
      <c r="L163" s="27" t="s">
        <v>4474</v>
      </c>
      <c r="M163" s="27" t="s">
        <v>4475</v>
      </c>
      <c r="N163" s="27" t="s">
        <v>4474</v>
      </c>
      <c r="O163" s="27" t="s">
        <v>3256</v>
      </c>
      <c r="P163" s="27" t="s">
        <v>3257</v>
      </c>
      <c r="Q163" s="27" t="s">
        <v>4646</v>
      </c>
      <c r="R163" s="27"/>
      <c r="S163" s="27"/>
      <c r="T163" s="27"/>
      <c r="U163" s="27" t="s">
        <v>4647</v>
      </c>
      <c r="V163" s="28">
        <v>46191.324295509257</v>
      </c>
      <c r="W163" s="27" t="s">
        <v>4475</v>
      </c>
      <c r="X163" s="27" t="s">
        <v>549</v>
      </c>
      <c r="Y163" s="27"/>
      <c r="Z163" s="28"/>
      <c r="AA163" s="27" t="s">
        <v>3325</v>
      </c>
      <c r="AB163" s="27"/>
      <c r="AC163" s="27"/>
      <c r="AD163" s="28"/>
      <c r="AE163" s="27" t="s">
        <v>573</v>
      </c>
      <c r="AF163" s="27"/>
      <c r="AG163" s="27"/>
      <c r="AH163" s="28"/>
      <c r="AI163" s="27" t="s">
        <v>3295</v>
      </c>
      <c r="AJ163" s="27"/>
      <c r="AK163" s="27"/>
      <c r="AL163" s="27" t="s">
        <v>4481</v>
      </c>
    </row>
    <row r="164" spans="1:38">
      <c r="A164" s="27" t="s">
        <v>4648</v>
      </c>
      <c r="B164" s="27" t="s">
        <v>4649</v>
      </c>
      <c r="C164" s="27" t="s">
        <v>1801</v>
      </c>
      <c r="D164" s="27" t="s">
        <v>3252</v>
      </c>
      <c r="E164" s="27" t="s">
        <v>638</v>
      </c>
      <c r="F164" s="28">
        <v>46162.40427259259</v>
      </c>
      <c r="G164" s="28">
        <v>46164.352070185188</v>
      </c>
      <c r="H164" s="28">
        <v>46188.061888969911</v>
      </c>
      <c r="I164" s="27" t="s">
        <v>1810</v>
      </c>
      <c r="J164" s="27" t="s">
        <v>1802</v>
      </c>
      <c r="K164" s="27">
        <v>1709</v>
      </c>
      <c r="L164" s="27" t="s">
        <v>1803</v>
      </c>
      <c r="M164" s="27" t="s">
        <v>1118</v>
      </c>
      <c r="N164" s="27" t="s">
        <v>1802</v>
      </c>
      <c r="O164" s="27" t="s">
        <v>3256</v>
      </c>
      <c r="P164" s="27" t="s">
        <v>3292</v>
      </c>
      <c r="Q164" s="27" t="s">
        <v>4650</v>
      </c>
      <c r="R164" s="27" t="s">
        <v>107</v>
      </c>
      <c r="S164" s="27"/>
      <c r="T164" s="27"/>
      <c r="U164" s="27" t="s">
        <v>559</v>
      </c>
      <c r="V164" s="28">
        <v>46164.366104490742</v>
      </c>
      <c r="W164" s="27" t="s">
        <v>1121</v>
      </c>
      <c r="X164" s="27" t="s">
        <v>559</v>
      </c>
      <c r="Y164" s="27" t="s">
        <v>2303</v>
      </c>
      <c r="Z164" s="28">
        <v>46164.403147500001</v>
      </c>
      <c r="AA164" s="27" t="s">
        <v>2748</v>
      </c>
      <c r="AB164" s="27" t="s">
        <v>559</v>
      </c>
      <c r="AC164" s="27" t="s">
        <v>4651</v>
      </c>
      <c r="AD164" s="28">
        <v>46167.093022650464</v>
      </c>
      <c r="AE164" s="27" t="s">
        <v>571</v>
      </c>
      <c r="AF164" s="27" t="s">
        <v>559</v>
      </c>
      <c r="AG164" s="27" t="s">
        <v>4652</v>
      </c>
      <c r="AH164" s="28">
        <v>46188.06188898148</v>
      </c>
      <c r="AI164" s="27" t="s">
        <v>3380</v>
      </c>
      <c r="AJ164" s="27" t="s">
        <v>559</v>
      </c>
      <c r="AK164" s="27" t="s">
        <v>4653</v>
      </c>
      <c r="AL164" s="27" t="s">
        <v>3582</v>
      </c>
    </row>
    <row r="165" spans="1:38">
      <c r="A165" s="27" t="s">
        <v>4654</v>
      </c>
      <c r="B165" s="27" t="s">
        <v>4655</v>
      </c>
      <c r="C165" s="27" t="s">
        <v>4632</v>
      </c>
      <c r="D165" s="27" t="s">
        <v>3252</v>
      </c>
      <c r="E165" s="27" t="s">
        <v>638</v>
      </c>
      <c r="F165" s="28">
        <v>46167.124090844911</v>
      </c>
      <c r="G165" s="28">
        <v>46167.124090844911</v>
      </c>
      <c r="H165" s="28">
        <v>46196.152440439815</v>
      </c>
      <c r="I165" s="27" t="s">
        <v>1877</v>
      </c>
      <c r="J165" s="27" t="s">
        <v>322</v>
      </c>
      <c r="K165" s="27">
        <v>4569</v>
      </c>
      <c r="L165" s="27" t="s">
        <v>323</v>
      </c>
      <c r="M165" s="27" t="s">
        <v>4296</v>
      </c>
      <c r="N165" s="27" t="s">
        <v>3800</v>
      </c>
      <c r="O165" s="27" t="s">
        <v>3256</v>
      </c>
      <c r="P165" s="27" t="s">
        <v>3257</v>
      </c>
      <c r="Q165" s="27" t="s">
        <v>4656</v>
      </c>
      <c r="R165" s="27" t="s">
        <v>125</v>
      </c>
      <c r="S165" s="27"/>
      <c r="T165" s="27"/>
      <c r="U165" s="27" t="s">
        <v>2597</v>
      </c>
      <c r="V165" s="28">
        <v>46167.341987939813</v>
      </c>
      <c r="W165" s="27" t="s">
        <v>4298</v>
      </c>
      <c r="X165" s="27" t="s">
        <v>559</v>
      </c>
      <c r="Y165" s="27" t="s">
        <v>2303</v>
      </c>
      <c r="Z165" s="28">
        <v>46168.109302916666</v>
      </c>
      <c r="AA165" s="27" t="s">
        <v>2748</v>
      </c>
      <c r="AB165" s="27" t="s">
        <v>559</v>
      </c>
      <c r="AC165" s="27" t="s">
        <v>4657</v>
      </c>
      <c r="AD165" s="28">
        <v>46170.289815023149</v>
      </c>
      <c r="AE165" s="27" t="s">
        <v>3261</v>
      </c>
      <c r="AF165" s="27" t="s">
        <v>559</v>
      </c>
      <c r="AG165" s="27" t="s">
        <v>4658</v>
      </c>
      <c r="AH165" s="28">
        <v>46196.152440439815</v>
      </c>
      <c r="AI165" s="27" t="s">
        <v>3380</v>
      </c>
      <c r="AJ165" s="27" t="s">
        <v>559</v>
      </c>
      <c r="AK165" s="27" t="s">
        <v>4659</v>
      </c>
      <c r="AL165" s="27" t="s">
        <v>3806</v>
      </c>
    </row>
    <row r="166" spans="1:38">
      <c r="A166" s="27" t="s">
        <v>4660</v>
      </c>
      <c r="B166" s="27" t="s">
        <v>4661</v>
      </c>
      <c r="C166" s="27" t="s">
        <v>1801</v>
      </c>
      <c r="D166" s="27" t="s">
        <v>3252</v>
      </c>
      <c r="E166" s="27" t="s">
        <v>638</v>
      </c>
      <c r="F166" s="28">
        <v>46168.143637442132</v>
      </c>
      <c r="G166" s="28">
        <v>46168.143637442132</v>
      </c>
      <c r="H166" s="28">
        <v>46191.319373206017</v>
      </c>
      <c r="I166" s="27" t="s">
        <v>4662</v>
      </c>
      <c r="J166" s="27" t="s">
        <v>4663</v>
      </c>
      <c r="K166" s="27">
        <v>3323</v>
      </c>
      <c r="L166" s="27" t="s">
        <v>4664</v>
      </c>
      <c r="M166" s="27" t="s">
        <v>1121</v>
      </c>
      <c r="N166" s="27" t="s">
        <v>4665</v>
      </c>
      <c r="O166" s="27" t="s">
        <v>3256</v>
      </c>
      <c r="P166" s="27" t="s">
        <v>3257</v>
      </c>
      <c r="Q166" s="27" t="s">
        <v>4666</v>
      </c>
      <c r="R166" s="27" t="s">
        <v>116</v>
      </c>
      <c r="S166" s="27"/>
      <c r="T166" s="27"/>
      <c r="U166" s="27" t="s">
        <v>4667</v>
      </c>
      <c r="V166" s="28">
        <v>46168.1455397338</v>
      </c>
      <c r="W166" s="27" t="s">
        <v>1121</v>
      </c>
      <c r="X166" s="27" t="s">
        <v>559</v>
      </c>
      <c r="Y166" s="27" t="s">
        <v>2303</v>
      </c>
      <c r="Z166" s="28">
        <v>46178.377685648149</v>
      </c>
      <c r="AA166" s="27" t="s">
        <v>2748</v>
      </c>
      <c r="AB166" s="27" t="s">
        <v>559</v>
      </c>
      <c r="AC166" s="27" t="s">
        <v>4668</v>
      </c>
      <c r="AD166" s="28">
        <v>46189.341289456017</v>
      </c>
      <c r="AE166" s="27" t="s">
        <v>3261</v>
      </c>
      <c r="AF166" s="27" t="s">
        <v>559</v>
      </c>
      <c r="AG166" s="27" t="s">
        <v>649</v>
      </c>
      <c r="AH166" s="28">
        <v>46191.319373206017</v>
      </c>
      <c r="AI166" s="27" t="s">
        <v>1083</v>
      </c>
      <c r="AJ166" s="27" t="s">
        <v>559</v>
      </c>
      <c r="AK166" s="27" t="s">
        <v>4669</v>
      </c>
      <c r="AL166" s="27" t="s">
        <v>4670</v>
      </c>
    </row>
    <row r="167" spans="1:38">
      <c r="A167" s="27" t="s">
        <v>4671</v>
      </c>
      <c r="B167" s="27" t="s">
        <v>4672</v>
      </c>
      <c r="C167" s="27" t="s">
        <v>749</v>
      </c>
      <c r="D167" s="27" t="s">
        <v>3252</v>
      </c>
      <c r="E167" s="27" t="s">
        <v>638</v>
      </c>
      <c r="F167" s="28">
        <v>46171.028300439815</v>
      </c>
      <c r="G167" s="28">
        <v>46171.028300439815</v>
      </c>
      <c r="H167" s="28">
        <v>46196.167391909723</v>
      </c>
      <c r="I167" s="27" t="s">
        <v>4673</v>
      </c>
      <c r="J167" s="27" t="s">
        <v>4674</v>
      </c>
      <c r="K167" s="27" t="s">
        <v>4675</v>
      </c>
      <c r="L167" s="27" t="s">
        <v>4676</v>
      </c>
      <c r="M167" s="27" t="s">
        <v>703</v>
      </c>
      <c r="N167" s="27" t="s">
        <v>4677</v>
      </c>
      <c r="O167" s="27" t="s">
        <v>3256</v>
      </c>
      <c r="P167" s="27" t="s">
        <v>3257</v>
      </c>
      <c r="Q167" s="27" t="s">
        <v>4678</v>
      </c>
      <c r="R167" s="27" t="s">
        <v>107</v>
      </c>
      <c r="S167" s="27"/>
      <c r="T167" s="27"/>
      <c r="U167" s="27" t="s">
        <v>4679</v>
      </c>
      <c r="V167" s="28">
        <v>46171.03457275463</v>
      </c>
      <c r="W167" s="27" t="s">
        <v>703</v>
      </c>
      <c r="X167" s="27" t="s">
        <v>559</v>
      </c>
      <c r="Y167" s="27" t="s">
        <v>2303</v>
      </c>
      <c r="Z167" s="28">
        <v>46178.382003194441</v>
      </c>
      <c r="AA167" s="27" t="s">
        <v>2748</v>
      </c>
      <c r="AB167" s="27" t="s">
        <v>559</v>
      </c>
      <c r="AC167" s="27" t="s">
        <v>4680</v>
      </c>
      <c r="AD167" s="28">
        <v>46195.349988738424</v>
      </c>
      <c r="AE167" s="27" t="s">
        <v>3261</v>
      </c>
      <c r="AF167" s="27" t="s">
        <v>559</v>
      </c>
      <c r="AG167" s="27" t="s">
        <v>4681</v>
      </c>
      <c r="AH167" s="28">
        <v>46196.167391932868</v>
      </c>
      <c r="AI167" s="27" t="s">
        <v>3653</v>
      </c>
      <c r="AJ167" s="27" t="s">
        <v>559</v>
      </c>
      <c r="AK167" s="27" t="s">
        <v>4682</v>
      </c>
      <c r="AL167" s="27" t="s">
        <v>4683</v>
      </c>
    </row>
    <row r="168" spans="1:38">
      <c r="A168" s="27" t="s">
        <v>4684</v>
      </c>
      <c r="B168" s="27" t="s">
        <v>4685</v>
      </c>
      <c r="C168" s="27" t="s">
        <v>4686</v>
      </c>
      <c r="D168" s="27" t="s">
        <v>3252</v>
      </c>
      <c r="E168" s="27" t="s">
        <v>549</v>
      </c>
      <c r="F168" s="28">
        <v>46171.364378032406</v>
      </c>
      <c r="G168" s="28">
        <v>46171.364378032406</v>
      </c>
      <c r="H168" s="28">
        <v>46183.312471354169</v>
      </c>
      <c r="I168" s="27" t="s">
        <v>4687</v>
      </c>
      <c r="J168" s="27" t="s">
        <v>4688</v>
      </c>
      <c r="K168" s="27">
        <v>2427</v>
      </c>
      <c r="L168" s="27" t="s">
        <v>4689</v>
      </c>
      <c r="M168" s="27" t="s">
        <v>1735</v>
      </c>
      <c r="N168" s="27" t="s">
        <v>4690</v>
      </c>
      <c r="O168" s="27" t="s">
        <v>3256</v>
      </c>
      <c r="P168" s="27" t="s">
        <v>3292</v>
      </c>
      <c r="Q168" s="27" t="s">
        <v>4691</v>
      </c>
      <c r="R168" s="27"/>
      <c r="S168" s="27"/>
      <c r="T168" s="27"/>
      <c r="U168" s="27" t="s">
        <v>4692</v>
      </c>
      <c r="V168" s="28">
        <v>46177.153340358796</v>
      </c>
      <c r="W168" s="27" t="s">
        <v>1735</v>
      </c>
      <c r="X168" s="27" t="s">
        <v>559</v>
      </c>
      <c r="Y168" s="27" t="s">
        <v>4693</v>
      </c>
      <c r="Z168" s="28">
        <v>46183.312471365738</v>
      </c>
      <c r="AA168" s="27" t="s">
        <v>2748</v>
      </c>
      <c r="AB168" s="27" t="s">
        <v>549</v>
      </c>
      <c r="AC168" s="27"/>
      <c r="AD168" s="28"/>
      <c r="AE168" s="27" t="s">
        <v>573</v>
      </c>
      <c r="AF168" s="27"/>
      <c r="AG168" s="27"/>
      <c r="AH168" s="28"/>
      <c r="AI168" s="27" t="s">
        <v>3295</v>
      </c>
      <c r="AJ168" s="27"/>
      <c r="AK168" s="27"/>
      <c r="AL168" s="27" t="s">
        <v>4694</v>
      </c>
    </row>
    <row r="169" spans="1:38">
      <c r="A169" s="27" t="s">
        <v>4695</v>
      </c>
      <c r="B169" s="27" t="s">
        <v>4696</v>
      </c>
      <c r="C169" s="27" t="s">
        <v>4686</v>
      </c>
      <c r="D169" s="27" t="s">
        <v>3252</v>
      </c>
      <c r="E169" s="27" t="s">
        <v>638</v>
      </c>
      <c r="F169" s="28">
        <v>46171.367260231484</v>
      </c>
      <c r="G169" s="28">
        <v>46171.367260231484</v>
      </c>
      <c r="H169" s="28">
        <v>46204.245732465279</v>
      </c>
      <c r="I169" s="27" t="s">
        <v>4687</v>
      </c>
      <c r="J169" s="27" t="s">
        <v>4688</v>
      </c>
      <c r="K169" s="27">
        <v>2427</v>
      </c>
      <c r="L169" s="27" t="s">
        <v>4689</v>
      </c>
      <c r="M169" s="27" t="s">
        <v>1735</v>
      </c>
      <c r="N169" s="27" t="s">
        <v>4690</v>
      </c>
      <c r="O169" s="27" t="s">
        <v>3256</v>
      </c>
      <c r="P169" s="27" t="s">
        <v>3292</v>
      </c>
      <c r="Q169" s="27" t="s">
        <v>4697</v>
      </c>
      <c r="R169" s="27" t="s">
        <v>116</v>
      </c>
      <c r="S169" s="27"/>
      <c r="T169" s="27"/>
      <c r="U169" s="27" t="s">
        <v>4692</v>
      </c>
      <c r="V169" s="28">
        <v>46177.152343402777</v>
      </c>
      <c r="W169" s="27" t="s">
        <v>1735</v>
      </c>
      <c r="X169" s="27" t="s">
        <v>559</v>
      </c>
      <c r="Y169" s="27" t="s">
        <v>4692</v>
      </c>
      <c r="Z169" s="28">
        <v>46177.152571469909</v>
      </c>
      <c r="AA169" s="27" t="s">
        <v>1735</v>
      </c>
      <c r="AB169" s="27" t="s">
        <v>559</v>
      </c>
      <c r="AC169" s="27" t="s">
        <v>4698</v>
      </c>
      <c r="AD169" s="28">
        <v>46195.379177222225</v>
      </c>
      <c r="AE169" s="27" t="s">
        <v>3261</v>
      </c>
      <c r="AF169" s="27" t="s">
        <v>559</v>
      </c>
      <c r="AG169" s="27" t="s">
        <v>3796</v>
      </c>
      <c r="AH169" s="28">
        <v>46204.245732465279</v>
      </c>
      <c r="AI169" s="27" t="s">
        <v>1245</v>
      </c>
      <c r="AJ169" s="27" t="s">
        <v>559</v>
      </c>
      <c r="AK169" s="27" t="s">
        <v>4699</v>
      </c>
      <c r="AL169" s="27" t="s">
        <v>4694</v>
      </c>
    </row>
    <row r="170" spans="1:38">
      <c r="A170" s="27" t="s">
        <v>4700</v>
      </c>
      <c r="B170" s="27" t="s">
        <v>4701</v>
      </c>
      <c r="C170" s="27" t="s">
        <v>4702</v>
      </c>
      <c r="D170" s="27" t="s">
        <v>3252</v>
      </c>
      <c r="E170" s="27" t="s">
        <v>549</v>
      </c>
      <c r="F170" s="28">
        <v>46177.067893206018</v>
      </c>
      <c r="G170" s="28">
        <v>46177.067893206018</v>
      </c>
      <c r="H170" s="28">
        <v>46183.292460567129</v>
      </c>
      <c r="I170" s="27" t="s">
        <v>4703</v>
      </c>
      <c r="J170" s="27" t="s">
        <v>367</v>
      </c>
      <c r="K170" s="27">
        <v>1799</v>
      </c>
      <c r="L170" s="27" t="s">
        <v>368</v>
      </c>
      <c r="M170" s="27" t="s">
        <v>4704</v>
      </c>
      <c r="N170" s="27" t="s">
        <v>367</v>
      </c>
      <c r="O170" s="27" t="s">
        <v>3256</v>
      </c>
      <c r="P170" s="27" t="s">
        <v>3257</v>
      </c>
      <c r="Q170" s="27" t="s">
        <v>4705</v>
      </c>
      <c r="R170" s="27"/>
      <c r="S170" s="27"/>
      <c r="T170" s="27"/>
      <c r="U170" s="27" t="s">
        <v>4706</v>
      </c>
      <c r="V170" s="28">
        <v>46177.071253032409</v>
      </c>
      <c r="W170" s="27" t="s">
        <v>4707</v>
      </c>
      <c r="X170" s="27" t="s">
        <v>559</v>
      </c>
      <c r="Y170" s="27" t="s">
        <v>4512</v>
      </c>
      <c r="Z170" s="28">
        <v>46183.292460578705</v>
      </c>
      <c r="AA170" s="27" t="s">
        <v>2748</v>
      </c>
      <c r="AB170" s="27" t="s">
        <v>549</v>
      </c>
      <c r="AC170" s="27"/>
      <c r="AD170" s="28"/>
      <c r="AE170" s="27" t="s">
        <v>573</v>
      </c>
      <c r="AF170" s="27"/>
      <c r="AG170" s="27"/>
      <c r="AH170" s="28"/>
      <c r="AI170" s="27" t="s">
        <v>3295</v>
      </c>
      <c r="AJ170" s="27"/>
      <c r="AK170" s="27"/>
      <c r="AL170" s="27" t="s">
        <v>4708</v>
      </c>
    </row>
    <row r="171" spans="1:38">
      <c r="A171" s="27" t="s">
        <v>4709</v>
      </c>
      <c r="B171" s="27" t="s">
        <v>4710</v>
      </c>
      <c r="C171" s="27" t="s">
        <v>982</v>
      </c>
      <c r="D171" s="27" t="s">
        <v>3252</v>
      </c>
      <c r="E171" s="27" t="s">
        <v>549</v>
      </c>
      <c r="F171" s="28">
        <v>46177.285762372689</v>
      </c>
      <c r="G171" s="28">
        <v>46177.285762372689</v>
      </c>
      <c r="H171" s="28">
        <v>46183.297444270836</v>
      </c>
      <c r="I171" s="27" t="s">
        <v>3963</v>
      </c>
      <c r="J171" s="27" t="s">
        <v>3964</v>
      </c>
      <c r="K171" s="27">
        <v>4739</v>
      </c>
      <c r="L171" s="27" t="s">
        <v>3965</v>
      </c>
      <c r="M171" s="27" t="s">
        <v>3966</v>
      </c>
      <c r="N171" s="27" t="s">
        <v>3967</v>
      </c>
      <c r="O171" s="27" t="s">
        <v>3256</v>
      </c>
      <c r="P171" s="27" t="s">
        <v>3257</v>
      </c>
      <c r="Q171" s="27" t="s">
        <v>4711</v>
      </c>
      <c r="R171" s="27"/>
      <c r="S171" s="27"/>
      <c r="T171" s="27"/>
      <c r="U171" s="27" t="s">
        <v>4712</v>
      </c>
      <c r="V171" s="28">
        <v>46177.345745636572</v>
      </c>
      <c r="W171" s="27" t="s">
        <v>985</v>
      </c>
      <c r="X171" s="27" t="s">
        <v>559</v>
      </c>
      <c r="Y171" s="27" t="s">
        <v>4713</v>
      </c>
      <c r="Z171" s="28">
        <v>46183.297444282405</v>
      </c>
      <c r="AA171" s="27" t="s">
        <v>2748</v>
      </c>
      <c r="AB171" s="27" t="s">
        <v>549</v>
      </c>
      <c r="AC171" s="27"/>
      <c r="AD171" s="28"/>
      <c r="AE171" s="27" t="s">
        <v>573</v>
      </c>
      <c r="AF171" s="27"/>
      <c r="AG171" s="27"/>
      <c r="AH171" s="28"/>
      <c r="AI171" s="27" t="s">
        <v>3295</v>
      </c>
      <c r="AJ171" s="27"/>
      <c r="AK171" s="27"/>
      <c r="AL171" s="27" t="s">
        <v>3973</v>
      </c>
    </row>
    <row r="172" spans="1:38">
      <c r="A172" s="27" t="s">
        <v>4714</v>
      </c>
      <c r="B172" s="27" t="s">
        <v>4715</v>
      </c>
      <c r="C172" s="27" t="s">
        <v>3434</v>
      </c>
      <c r="D172" s="27" t="s">
        <v>3252</v>
      </c>
      <c r="E172" s="27" t="s">
        <v>638</v>
      </c>
      <c r="F172" s="28">
        <v>46177.306300034725</v>
      </c>
      <c r="G172" s="28">
        <v>46177.379876041668</v>
      </c>
      <c r="H172" s="28">
        <v>46196.341239907408</v>
      </c>
      <c r="I172" s="27" t="s">
        <v>4716</v>
      </c>
      <c r="J172" s="27" t="s">
        <v>4717</v>
      </c>
      <c r="K172" s="27" t="s">
        <v>4718</v>
      </c>
      <c r="L172" s="27" t="s">
        <v>4719</v>
      </c>
      <c r="M172" s="27" t="s">
        <v>4720</v>
      </c>
      <c r="N172" s="27" t="s">
        <v>4677</v>
      </c>
      <c r="O172" s="27" t="s">
        <v>3256</v>
      </c>
      <c r="P172" s="27" t="s">
        <v>3257</v>
      </c>
      <c r="Q172" s="27" t="s">
        <v>4721</v>
      </c>
      <c r="R172" s="27" t="s">
        <v>116</v>
      </c>
      <c r="S172" s="27"/>
      <c r="T172" s="27"/>
      <c r="U172" s="27" t="s">
        <v>4722</v>
      </c>
      <c r="V172" s="28">
        <v>46177.385070428238</v>
      </c>
      <c r="W172" s="27" t="s">
        <v>703</v>
      </c>
      <c r="X172" s="27" t="s">
        <v>559</v>
      </c>
      <c r="Y172" s="27" t="s">
        <v>2303</v>
      </c>
      <c r="Z172" s="28">
        <v>46183.301091678244</v>
      </c>
      <c r="AA172" s="27" t="s">
        <v>2748</v>
      </c>
      <c r="AB172" s="27" t="s">
        <v>559</v>
      </c>
      <c r="AC172" s="27" t="s">
        <v>4723</v>
      </c>
      <c r="AD172" s="28">
        <v>46195.342208483795</v>
      </c>
      <c r="AE172" s="27" t="s">
        <v>3261</v>
      </c>
      <c r="AF172" s="27" t="s">
        <v>559</v>
      </c>
      <c r="AG172" s="27" t="s">
        <v>649</v>
      </c>
      <c r="AH172" s="28">
        <v>46196.341239918984</v>
      </c>
      <c r="AI172" s="27" t="s">
        <v>3920</v>
      </c>
      <c r="AJ172" s="27" t="s">
        <v>559</v>
      </c>
      <c r="AK172" s="27" t="s">
        <v>4724</v>
      </c>
      <c r="AL172" s="27" t="s">
        <v>4725</v>
      </c>
    </row>
    <row r="173" spans="1:38">
      <c r="A173" s="27" t="s">
        <v>4726</v>
      </c>
      <c r="B173" s="27" t="s">
        <v>4727</v>
      </c>
      <c r="C173" s="27" t="s">
        <v>4728</v>
      </c>
      <c r="D173" s="27" t="s">
        <v>3252</v>
      </c>
      <c r="E173" s="27" t="s">
        <v>638</v>
      </c>
      <c r="F173" s="28">
        <v>46177.360932384261</v>
      </c>
      <c r="G173" s="28">
        <v>46177.390082395832</v>
      </c>
      <c r="H173" s="28">
        <v>46196.167311874997</v>
      </c>
      <c r="I173" s="27" t="s">
        <v>4729</v>
      </c>
      <c r="J173" s="27" t="s">
        <v>4730</v>
      </c>
      <c r="K173" s="27" t="s">
        <v>4731</v>
      </c>
      <c r="L173" s="27" t="s">
        <v>4732</v>
      </c>
      <c r="M173" s="27" t="s">
        <v>4720</v>
      </c>
      <c r="N173" s="27" t="s">
        <v>4677</v>
      </c>
      <c r="O173" s="27" t="s">
        <v>3256</v>
      </c>
      <c r="P173" s="27" t="s">
        <v>3257</v>
      </c>
      <c r="Q173" s="27" t="s">
        <v>4733</v>
      </c>
      <c r="R173" s="27" t="s">
        <v>116</v>
      </c>
      <c r="S173" s="27"/>
      <c r="T173" s="27"/>
      <c r="U173" s="27" t="s">
        <v>4722</v>
      </c>
      <c r="V173" s="28">
        <v>46177.391295069443</v>
      </c>
      <c r="W173" s="27" t="s">
        <v>703</v>
      </c>
      <c r="X173" s="27" t="s">
        <v>559</v>
      </c>
      <c r="Y173" s="27" t="s">
        <v>2303</v>
      </c>
      <c r="Z173" s="28">
        <v>46183.301768668978</v>
      </c>
      <c r="AA173" s="27" t="s">
        <v>2748</v>
      </c>
      <c r="AB173" s="27" t="s">
        <v>559</v>
      </c>
      <c r="AC173" s="27" t="s">
        <v>4734</v>
      </c>
      <c r="AD173" s="28">
        <v>46195.343742557867</v>
      </c>
      <c r="AE173" s="27" t="s">
        <v>3261</v>
      </c>
      <c r="AF173" s="27" t="s">
        <v>559</v>
      </c>
      <c r="AG173" s="27" t="s">
        <v>4681</v>
      </c>
      <c r="AH173" s="28">
        <v>46196.167311898149</v>
      </c>
      <c r="AI173" s="27" t="s">
        <v>3653</v>
      </c>
      <c r="AJ173" s="27" t="s">
        <v>559</v>
      </c>
      <c r="AK173" s="27" t="s">
        <v>4735</v>
      </c>
      <c r="AL173" s="27" t="s">
        <v>4736</v>
      </c>
    </row>
    <row r="174" spans="1:38">
      <c r="A174" s="27" t="s">
        <v>4737</v>
      </c>
      <c r="B174" s="27" t="s">
        <v>4738</v>
      </c>
      <c r="C174" s="27" t="s">
        <v>4739</v>
      </c>
      <c r="D174" s="27" t="s">
        <v>3252</v>
      </c>
      <c r="E174" s="27" t="s">
        <v>638</v>
      </c>
      <c r="F174" s="28">
        <v>46177.361566226849</v>
      </c>
      <c r="G174" s="28">
        <v>46177.378201979169</v>
      </c>
      <c r="H174" s="28">
        <v>46196.340316828704</v>
      </c>
      <c r="I174" s="27" t="s">
        <v>4740</v>
      </c>
      <c r="J174" s="27" t="s">
        <v>4741</v>
      </c>
      <c r="K174" s="27" t="s">
        <v>4742</v>
      </c>
      <c r="L174" s="27" t="s">
        <v>4743</v>
      </c>
      <c r="M174" s="27" t="s">
        <v>4720</v>
      </c>
      <c r="N174" s="27" t="s">
        <v>4677</v>
      </c>
      <c r="O174" s="27" t="s">
        <v>3256</v>
      </c>
      <c r="P174" s="27" t="s">
        <v>3257</v>
      </c>
      <c r="Q174" s="27" t="s">
        <v>4744</v>
      </c>
      <c r="R174" s="27" t="s">
        <v>107</v>
      </c>
      <c r="S174" s="27"/>
      <c r="T174" s="27"/>
      <c r="U174" s="27" t="s">
        <v>4722</v>
      </c>
      <c r="V174" s="28">
        <v>46177.384856273151</v>
      </c>
      <c r="W174" s="27" t="s">
        <v>703</v>
      </c>
      <c r="X174" s="27" t="s">
        <v>559</v>
      </c>
      <c r="Y174" s="27" t="s">
        <v>2303</v>
      </c>
      <c r="Z174" s="28">
        <v>46183.298837187504</v>
      </c>
      <c r="AA174" s="27" t="s">
        <v>2748</v>
      </c>
      <c r="AB174" s="27" t="s">
        <v>559</v>
      </c>
      <c r="AC174" s="27" t="s">
        <v>4745</v>
      </c>
      <c r="AD174" s="28">
        <v>46195.343061539352</v>
      </c>
      <c r="AE174" s="27" t="s">
        <v>3261</v>
      </c>
      <c r="AF174" s="27" t="s">
        <v>559</v>
      </c>
      <c r="AG174" s="27" t="s">
        <v>649</v>
      </c>
      <c r="AH174" s="28">
        <v>46196.34031684028</v>
      </c>
      <c r="AI174" s="27" t="s">
        <v>3920</v>
      </c>
      <c r="AJ174" s="27" t="s">
        <v>559</v>
      </c>
      <c r="AK174" s="27" t="s">
        <v>4746</v>
      </c>
      <c r="AL174" s="27" t="s">
        <v>4747</v>
      </c>
    </row>
    <row r="175" spans="1:38">
      <c r="A175" s="27" t="s">
        <v>4748</v>
      </c>
      <c r="B175" s="27" t="s">
        <v>4749</v>
      </c>
      <c r="C175" s="27" t="s">
        <v>3757</v>
      </c>
      <c r="D175" s="27" t="s">
        <v>3252</v>
      </c>
      <c r="E175" s="27" t="s">
        <v>638</v>
      </c>
      <c r="F175" s="28">
        <v>46177.406961203706</v>
      </c>
      <c r="G175" s="28">
        <v>46177.406961203706</v>
      </c>
      <c r="H175" s="28">
        <v>46196.341319328705</v>
      </c>
      <c r="I175" s="27" t="s">
        <v>4750</v>
      </c>
      <c r="J175" s="27" t="s">
        <v>4751</v>
      </c>
      <c r="K175" s="27" t="s">
        <v>4752</v>
      </c>
      <c r="L175" s="27" t="s">
        <v>4753</v>
      </c>
      <c r="M175" s="27" t="s">
        <v>1353</v>
      </c>
      <c r="N175" s="27" t="s">
        <v>4754</v>
      </c>
      <c r="O175" s="27" t="s">
        <v>3256</v>
      </c>
      <c r="P175" s="27" t="s">
        <v>3257</v>
      </c>
      <c r="Q175" s="27" t="s">
        <v>4755</v>
      </c>
      <c r="R175" s="27" t="s">
        <v>107</v>
      </c>
      <c r="S175" s="27"/>
      <c r="T175" s="27"/>
      <c r="U175" s="27" t="s">
        <v>1354</v>
      </c>
      <c r="V175" s="28">
        <v>46177.410579074072</v>
      </c>
      <c r="W175" s="27" t="s">
        <v>1353</v>
      </c>
      <c r="X175" s="27" t="s">
        <v>559</v>
      </c>
      <c r="Y175" s="27" t="s">
        <v>2303</v>
      </c>
      <c r="Z175" s="28">
        <v>46183.302277893519</v>
      </c>
      <c r="AA175" s="27" t="s">
        <v>2748</v>
      </c>
      <c r="AB175" s="27" t="s">
        <v>559</v>
      </c>
      <c r="AC175" s="27" t="s">
        <v>4756</v>
      </c>
      <c r="AD175" s="28">
        <v>46195.344827488429</v>
      </c>
      <c r="AE175" s="27" t="s">
        <v>3261</v>
      </c>
      <c r="AF175" s="27" t="s">
        <v>559</v>
      </c>
      <c r="AG175" s="27" t="s">
        <v>649</v>
      </c>
      <c r="AH175" s="28">
        <v>46196.34131935185</v>
      </c>
      <c r="AI175" s="27" t="s">
        <v>3920</v>
      </c>
      <c r="AJ175" s="27" t="s">
        <v>559</v>
      </c>
      <c r="AK175" s="27" t="s">
        <v>4757</v>
      </c>
      <c r="AL175" s="27" t="s">
        <v>4758</v>
      </c>
    </row>
    <row r="176" spans="1:38">
      <c r="A176" s="27" t="s">
        <v>4759</v>
      </c>
      <c r="B176" s="27" t="s">
        <v>4760</v>
      </c>
      <c r="C176" s="27" t="s">
        <v>4761</v>
      </c>
      <c r="D176" s="27" t="s">
        <v>3252</v>
      </c>
      <c r="E176" s="27" t="s">
        <v>638</v>
      </c>
      <c r="F176" s="28">
        <v>46178.055282627312</v>
      </c>
      <c r="G176" s="28">
        <v>46178.055282627312</v>
      </c>
      <c r="H176" s="28">
        <v>46189.103730127317</v>
      </c>
      <c r="I176" s="27" t="s">
        <v>4762</v>
      </c>
      <c r="J176" s="27" t="s">
        <v>363</v>
      </c>
      <c r="K176" s="27" t="s">
        <v>4763</v>
      </c>
      <c r="L176" s="27" t="s">
        <v>364</v>
      </c>
      <c r="M176" s="27" t="s">
        <v>4764</v>
      </c>
      <c r="N176" s="27" t="s">
        <v>363</v>
      </c>
      <c r="O176" s="27" t="s">
        <v>3322</v>
      </c>
      <c r="P176" s="27" t="s">
        <v>3257</v>
      </c>
      <c r="Q176" s="27" t="s">
        <v>4765</v>
      </c>
      <c r="R176" s="27" t="s">
        <v>107</v>
      </c>
      <c r="S176" s="27" t="s">
        <v>4765</v>
      </c>
      <c r="T176" s="27"/>
      <c r="U176" s="27" t="s">
        <v>4766</v>
      </c>
      <c r="V176" s="28">
        <v>46178.081571550923</v>
      </c>
      <c r="W176" s="27" t="s">
        <v>4767</v>
      </c>
      <c r="X176" s="27" t="s">
        <v>559</v>
      </c>
      <c r="Y176" s="27" t="s">
        <v>2303</v>
      </c>
      <c r="Z176" s="28">
        <v>46178.368402789354</v>
      </c>
      <c r="AA176" s="27" t="s">
        <v>2748</v>
      </c>
      <c r="AB176" s="27" t="s">
        <v>559</v>
      </c>
      <c r="AC176" s="27" t="s">
        <v>4768</v>
      </c>
      <c r="AD176" s="28">
        <v>46182.279199282406</v>
      </c>
      <c r="AE176" s="27" t="s">
        <v>571</v>
      </c>
      <c r="AF176" s="27" t="s">
        <v>559</v>
      </c>
      <c r="AG176" s="27" t="s">
        <v>4128</v>
      </c>
      <c r="AH176" s="28">
        <v>46189.103730162038</v>
      </c>
      <c r="AI176" s="27" t="s">
        <v>3401</v>
      </c>
      <c r="AJ176" s="27" t="s">
        <v>559</v>
      </c>
      <c r="AK176" s="27" t="s">
        <v>4769</v>
      </c>
      <c r="AL176" s="27" t="s">
        <v>4770</v>
      </c>
    </row>
    <row r="177" spans="1:38">
      <c r="A177" s="27" t="s">
        <v>4771</v>
      </c>
      <c r="B177" s="27" t="s">
        <v>4772</v>
      </c>
      <c r="C177" s="27" t="s">
        <v>909</v>
      </c>
      <c r="D177" s="27" t="s">
        <v>3252</v>
      </c>
      <c r="E177" s="27" t="s">
        <v>638</v>
      </c>
      <c r="F177" s="28">
        <v>46178.175059097222</v>
      </c>
      <c r="G177" s="28">
        <v>46178.175059097222</v>
      </c>
      <c r="H177" s="28">
        <v>46204.219643032404</v>
      </c>
      <c r="I177" s="27" t="s">
        <v>4773</v>
      </c>
      <c r="J177" s="27" t="s">
        <v>4774</v>
      </c>
      <c r="K177" s="27" t="s">
        <v>4775</v>
      </c>
      <c r="L177" s="27" t="s">
        <v>4776</v>
      </c>
      <c r="M177" s="27" t="s">
        <v>4720</v>
      </c>
      <c r="N177" s="27" t="s">
        <v>4677</v>
      </c>
      <c r="O177" s="27" t="s">
        <v>3256</v>
      </c>
      <c r="P177" s="27" t="s">
        <v>3257</v>
      </c>
      <c r="Q177" s="27" t="s">
        <v>4777</v>
      </c>
      <c r="R177" s="27" t="s">
        <v>107</v>
      </c>
      <c r="S177" s="27"/>
      <c r="T177" s="27"/>
      <c r="U177" s="27" t="s">
        <v>4722</v>
      </c>
      <c r="V177" s="28">
        <v>46178.176435486108</v>
      </c>
      <c r="W177" s="27" t="s">
        <v>703</v>
      </c>
      <c r="X177" s="27" t="s">
        <v>559</v>
      </c>
      <c r="Y177" s="27" t="s">
        <v>4722</v>
      </c>
      <c r="Z177" s="28">
        <v>46178.177552060188</v>
      </c>
      <c r="AA177" s="27" t="s">
        <v>703</v>
      </c>
      <c r="AB177" s="27" t="s">
        <v>559</v>
      </c>
      <c r="AC177" s="27" t="s">
        <v>4778</v>
      </c>
      <c r="AD177" s="28">
        <v>46195.346009328707</v>
      </c>
      <c r="AE177" s="27" t="s">
        <v>3261</v>
      </c>
      <c r="AF177" s="27" t="s">
        <v>559</v>
      </c>
      <c r="AG177" s="27" t="s">
        <v>4779</v>
      </c>
      <c r="AH177" s="28">
        <v>46204.21964304398</v>
      </c>
      <c r="AI177" s="27" t="s">
        <v>609</v>
      </c>
      <c r="AJ177" s="27" t="s">
        <v>559</v>
      </c>
      <c r="AK177" s="27" t="s">
        <v>4780</v>
      </c>
      <c r="AL177" s="27" t="s">
        <v>4781</v>
      </c>
    </row>
    <row r="178" spans="1:38">
      <c r="A178" s="27" t="s">
        <v>4782</v>
      </c>
      <c r="B178" s="27" t="s">
        <v>4783</v>
      </c>
      <c r="C178" s="27" t="s">
        <v>4484</v>
      </c>
      <c r="D178" s="27" t="s">
        <v>3252</v>
      </c>
      <c r="E178" s="27" t="s">
        <v>638</v>
      </c>
      <c r="F178" s="28">
        <v>46178.302326261575</v>
      </c>
      <c r="G178" s="28">
        <v>46178.302326261575</v>
      </c>
      <c r="H178" s="28">
        <v>46196.167232199077</v>
      </c>
      <c r="I178" s="27" t="s">
        <v>4784</v>
      </c>
      <c r="J178" s="27" t="s">
        <v>4785</v>
      </c>
      <c r="K178" s="27" t="s">
        <v>4786</v>
      </c>
      <c r="L178" s="27" t="s">
        <v>4787</v>
      </c>
      <c r="M178" s="27" t="s">
        <v>3936</v>
      </c>
      <c r="N178" s="27" t="s">
        <v>4677</v>
      </c>
      <c r="O178" s="27" t="s">
        <v>3256</v>
      </c>
      <c r="P178" s="27" t="s">
        <v>3257</v>
      </c>
      <c r="Q178" s="27" t="s">
        <v>4788</v>
      </c>
      <c r="R178" s="27" t="s">
        <v>116</v>
      </c>
      <c r="S178" s="27"/>
      <c r="T178" s="27"/>
      <c r="U178" s="27" t="s">
        <v>4789</v>
      </c>
      <c r="V178" s="28">
        <v>46178.307855069441</v>
      </c>
      <c r="W178" s="27" t="s">
        <v>3938</v>
      </c>
      <c r="X178" s="27" t="s">
        <v>559</v>
      </c>
      <c r="Y178" s="27" t="s">
        <v>4790</v>
      </c>
      <c r="Z178" s="28">
        <v>46183.305741689815</v>
      </c>
      <c r="AA178" s="27" t="s">
        <v>2748</v>
      </c>
      <c r="AB178" s="27" t="s">
        <v>559</v>
      </c>
      <c r="AC178" s="27" t="s">
        <v>3994</v>
      </c>
      <c r="AD178" s="28">
        <v>46195.34891552083</v>
      </c>
      <c r="AE178" s="27" t="s">
        <v>3261</v>
      </c>
      <c r="AF178" s="27" t="s">
        <v>559</v>
      </c>
      <c r="AG178" s="27" t="s">
        <v>4681</v>
      </c>
      <c r="AH178" s="28">
        <v>46196.167232210646</v>
      </c>
      <c r="AI178" s="27" t="s">
        <v>3653</v>
      </c>
      <c r="AJ178" s="27" t="s">
        <v>559</v>
      </c>
      <c r="AK178" s="27" t="s">
        <v>4791</v>
      </c>
      <c r="AL178" s="27" t="s">
        <v>4792</v>
      </c>
    </row>
    <row r="179" spans="1:38">
      <c r="A179" s="27" t="s">
        <v>4793</v>
      </c>
      <c r="B179" s="27" t="s">
        <v>4794</v>
      </c>
      <c r="C179" s="27" t="s">
        <v>3378</v>
      </c>
      <c r="D179" s="27" t="s">
        <v>3252</v>
      </c>
      <c r="E179" s="27" t="s">
        <v>638</v>
      </c>
      <c r="F179" s="28">
        <v>46182.327769074072</v>
      </c>
      <c r="G179" s="28">
        <v>46184.290564282404</v>
      </c>
      <c r="H179" s="28">
        <v>46199.23307775463</v>
      </c>
      <c r="I179" s="27" t="s">
        <v>4795</v>
      </c>
      <c r="J179" s="27" t="s">
        <v>4796</v>
      </c>
      <c r="K179" s="27" t="s">
        <v>4797</v>
      </c>
      <c r="L179" s="27" t="s">
        <v>4798</v>
      </c>
      <c r="M179" s="27" t="s">
        <v>4799</v>
      </c>
      <c r="N179" s="27" t="s">
        <v>4796</v>
      </c>
      <c r="O179" s="27" t="s">
        <v>3256</v>
      </c>
      <c r="P179" s="27" t="s">
        <v>3344</v>
      </c>
      <c r="Q179" s="27" t="s">
        <v>4800</v>
      </c>
      <c r="R179" s="27" t="s">
        <v>125</v>
      </c>
      <c r="S179" s="27"/>
      <c r="T179" s="27"/>
      <c r="U179" s="27" t="s">
        <v>4801</v>
      </c>
      <c r="V179" s="28">
        <v>46184.303156539354</v>
      </c>
      <c r="W179" s="27" t="s">
        <v>4802</v>
      </c>
      <c r="X179" s="27" t="s">
        <v>559</v>
      </c>
      <c r="Y179" s="27" t="s">
        <v>2303</v>
      </c>
      <c r="Z179" s="28">
        <v>46188.134317951386</v>
      </c>
      <c r="AA179" s="27" t="s">
        <v>2748</v>
      </c>
      <c r="AB179" s="27" t="s">
        <v>559</v>
      </c>
      <c r="AC179" s="27" t="s">
        <v>4803</v>
      </c>
      <c r="AD179" s="28">
        <v>46189.1154852662</v>
      </c>
      <c r="AE179" s="27" t="s">
        <v>3261</v>
      </c>
      <c r="AF179" s="27" t="s">
        <v>559</v>
      </c>
      <c r="AG179" s="27" t="s">
        <v>638</v>
      </c>
      <c r="AH179" s="28">
        <v>46199.233077766206</v>
      </c>
      <c r="AI179" s="27" t="s">
        <v>3479</v>
      </c>
      <c r="AJ179" s="27" t="s">
        <v>559</v>
      </c>
      <c r="AK179" s="27" t="s">
        <v>4804</v>
      </c>
      <c r="AL179" s="27" t="s">
        <v>4805</v>
      </c>
    </row>
    <row r="180" spans="1:38">
      <c r="A180" s="27" t="s">
        <v>4806</v>
      </c>
      <c r="B180" s="27" t="s">
        <v>4807</v>
      </c>
      <c r="C180" s="27" t="s">
        <v>3378</v>
      </c>
      <c r="D180" s="27" t="s">
        <v>3252</v>
      </c>
      <c r="E180" s="27" t="s">
        <v>638</v>
      </c>
      <c r="F180" s="28">
        <v>46182.330031689817</v>
      </c>
      <c r="G180" s="28">
        <v>46184.289465092595</v>
      </c>
      <c r="H180" s="28">
        <v>46199.23329621528</v>
      </c>
      <c r="I180" s="27" t="s">
        <v>4795</v>
      </c>
      <c r="J180" s="27" t="s">
        <v>4796</v>
      </c>
      <c r="K180" s="27" t="s">
        <v>4797</v>
      </c>
      <c r="L180" s="27" t="s">
        <v>4798</v>
      </c>
      <c r="M180" s="27" t="s">
        <v>4799</v>
      </c>
      <c r="N180" s="27" t="s">
        <v>4796</v>
      </c>
      <c r="O180" s="27" t="s">
        <v>3256</v>
      </c>
      <c r="P180" s="27" t="s">
        <v>3292</v>
      </c>
      <c r="Q180" s="27" t="s">
        <v>4808</v>
      </c>
      <c r="R180" s="27" t="s">
        <v>125</v>
      </c>
      <c r="S180" s="27"/>
      <c r="T180" s="27"/>
      <c r="U180" s="27" t="s">
        <v>4809</v>
      </c>
      <c r="V180" s="28">
        <v>46184.292779224539</v>
      </c>
      <c r="W180" s="27" t="s">
        <v>4802</v>
      </c>
      <c r="X180" s="27" t="s">
        <v>559</v>
      </c>
      <c r="Y180" s="27" t="s">
        <v>2303</v>
      </c>
      <c r="Z180" s="28">
        <v>46188.13380236111</v>
      </c>
      <c r="AA180" s="27" t="s">
        <v>2748</v>
      </c>
      <c r="AB180" s="27" t="s">
        <v>559</v>
      </c>
      <c r="AC180" s="27" t="s">
        <v>4803</v>
      </c>
      <c r="AD180" s="28">
        <v>46189.115579456018</v>
      </c>
      <c r="AE180" s="27" t="s">
        <v>3261</v>
      </c>
      <c r="AF180" s="27" t="s">
        <v>559</v>
      </c>
      <c r="AG180" s="27" t="s">
        <v>638</v>
      </c>
      <c r="AH180" s="28">
        <v>46199.233296226848</v>
      </c>
      <c r="AI180" s="27" t="s">
        <v>3479</v>
      </c>
      <c r="AJ180" s="27" t="s">
        <v>559</v>
      </c>
      <c r="AK180" s="27" t="s">
        <v>4810</v>
      </c>
      <c r="AL180" s="27" t="s">
        <v>4805</v>
      </c>
    </row>
    <row r="181" spans="1:38">
      <c r="A181" s="27" t="s">
        <v>4811</v>
      </c>
      <c r="B181" s="27" t="s">
        <v>4812</v>
      </c>
      <c r="C181" s="27" t="s">
        <v>3378</v>
      </c>
      <c r="D181" s="27" t="s">
        <v>3252</v>
      </c>
      <c r="E181" s="27" t="s">
        <v>638</v>
      </c>
      <c r="F181" s="28">
        <v>46182.330869583333</v>
      </c>
      <c r="G181" s="28">
        <v>46184.288308622687</v>
      </c>
      <c r="H181" s="28">
        <v>46199.233622361113</v>
      </c>
      <c r="I181" s="27" t="s">
        <v>4795</v>
      </c>
      <c r="J181" s="27" t="s">
        <v>4796</v>
      </c>
      <c r="K181" s="27" t="s">
        <v>4797</v>
      </c>
      <c r="L181" s="27" t="s">
        <v>4798</v>
      </c>
      <c r="M181" s="27" t="s">
        <v>4799</v>
      </c>
      <c r="N181" s="27" t="s">
        <v>4796</v>
      </c>
      <c r="O181" s="27" t="s">
        <v>3256</v>
      </c>
      <c r="P181" s="27" t="s">
        <v>3257</v>
      </c>
      <c r="Q181" s="27" t="s">
        <v>4813</v>
      </c>
      <c r="R181" s="27" t="s">
        <v>125</v>
      </c>
      <c r="S181" s="27"/>
      <c r="T181" s="27"/>
      <c r="U181" s="27" t="s">
        <v>4809</v>
      </c>
      <c r="V181" s="28">
        <v>46184.292292164355</v>
      </c>
      <c r="W181" s="27" t="s">
        <v>4802</v>
      </c>
      <c r="X181" s="27" t="s">
        <v>559</v>
      </c>
      <c r="Y181" s="27" t="s">
        <v>4809</v>
      </c>
      <c r="Z181" s="28">
        <v>46184.293584108796</v>
      </c>
      <c r="AA181" s="27" t="s">
        <v>4802</v>
      </c>
      <c r="AB181" s="27" t="s">
        <v>559</v>
      </c>
      <c r="AC181" s="27" t="s">
        <v>4803</v>
      </c>
      <c r="AD181" s="28">
        <v>46189.115711874998</v>
      </c>
      <c r="AE181" s="27" t="s">
        <v>3261</v>
      </c>
      <c r="AF181" s="27" t="s">
        <v>559</v>
      </c>
      <c r="AG181" s="27" t="s">
        <v>638</v>
      </c>
      <c r="AH181" s="28">
        <v>46199.233622372682</v>
      </c>
      <c r="AI181" s="27" t="s">
        <v>3479</v>
      </c>
      <c r="AJ181" s="27" t="s">
        <v>559</v>
      </c>
      <c r="AK181" s="27" t="s">
        <v>4814</v>
      </c>
      <c r="AL181" s="27" t="s">
        <v>4805</v>
      </c>
    </row>
    <row r="182" spans="1:38">
      <c r="A182" s="27" t="s">
        <v>4815</v>
      </c>
      <c r="B182" s="27" t="s">
        <v>4816</v>
      </c>
      <c r="C182" s="27" t="s">
        <v>4817</v>
      </c>
      <c r="D182" s="27" t="s">
        <v>3252</v>
      </c>
      <c r="E182" s="27" t="s">
        <v>638</v>
      </c>
      <c r="F182" s="28">
        <v>46183.385447499997</v>
      </c>
      <c r="G182" s="28">
        <v>46184.289764583336</v>
      </c>
      <c r="H182" s="28">
        <v>46196.340884351848</v>
      </c>
      <c r="I182" s="27" t="s">
        <v>4818</v>
      </c>
      <c r="J182" s="27" t="s">
        <v>4819</v>
      </c>
      <c r="K182" s="27" t="s">
        <v>4820</v>
      </c>
      <c r="L182" s="27" t="s">
        <v>4821</v>
      </c>
      <c r="M182" s="27" t="s">
        <v>703</v>
      </c>
      <c r="N182" s="27" t="s">
        <v>4677</v>
      </c>
      <c r="O182" s="27" t="s">
        <v>3256</v>
      </c>
      <c r="P182" s="27" t="s">
        <v>3257</v>
      </c>
      <c r="Q182" s="27" t="s">
        <v>4822</v>
      </c>
      <c r="R182" s="27" t="s">
        <v>107</v>
      </c>
      <c r="S182" s="27"/>
      <c r="T182" s="27"/>
      <c r="U182" s="27" t="s">
        <v>4823</v>
      </c>
      <c r="V182" s="28">
        <v>46184.302174722223</v>
      </c>
      <c r="W182" s="27" t="s">
        <v>703</v>
      </c>
      <c r="X182" s="27" t="s">
        <v>559</v>
      </c>
      <c r="Y182" s="27" t="s">
        <v>2303</v>
      </c>
      <c r="Z182" s="28">
        <v>46188.137115972226</v>
      </c>
      <c r="AA182" s="27" t="s">
        <v>2748</v>
      </c>
      <c r="AB182" s="27" t="s">
        <v>559</v>
      </c>
      <c r="AC182" s="27" t="s">
        <v>4824</v>
      </c>
      <c r="AD182" s="28">
        <v>46195.347511759261</v>
      </c>
      <c r="AE182" s="27" t="s">
        <v>3261</v>
      </c>
      <c r="AF182" s="27" t="s">
        <v>559</v>
      </c>
      <c r="AG182" s="27" t="s">
        <v>649</v>
      </c>
      <c r="AH182" s="28">
        <v>46196.340884363424</v>
      </c>
      <c r="AI182" s="27" t="s">
        <v>3920</v>
      </c>
      <c r="AJ182" s="27" t="s">
        <v>559</v>
      </c>
      <c r="AK182" s="27" t="s">
        <v>4825</v>
      </c>
      <c r="AL182" s="27" t="s">
        <v>4826</v>
      </c>
    </row>
    <row r="183" spans="1:38">
      <c r="A183" s="27" t="s">
        <v>4827</v>
      </c>
      <c r="B183" s="27" t="s">
        <v>4828</v>
      </c>
      <c r="C183" s="27" t="s">
        <v>4829</v>
      </c>
      <c r="D183" s="27" t="s">
        <v>3252</v>
      </c>
      <c r="E183" s="27" t="s">
        <v>638</v>
      </c>
      <c r="F183" s="28">
        <v>46184.093361770836</v>
      </c>
      <c r="G183" s="28">
        <v>46184.172722256946</v>
      </c>
      <c r="H183" s="28">
        <v>46196.167159143515</v>
      </c>
      <c r="I183" s="27" t="s">
        <v>4830</v>
      </c>
      <c r="J183" s="27" t="s">
        <v>4831</v>
      </c>
      <c r="K183" s="27" t="s">
        <v>4832</v>
      </c>
      <c r="L183" s="27" t="s">
        <v>4833</v>
      </c>
      <c r="M183" s="27" t="s">
        <v>703</v>
      </c>
      <c r="N183" s="27" t="s">
        <v>4677</v>
      </c>
      <c r="O183" s="27" t="s">
        <v>3256</v>
      </c>
      <c r="P183" s="27" t="s">
        <v>3257</v>
      </c>
      <c r="Q183" s="27" t="s">
        <v>4834</v>
      </c>
      <c r="R183" s="27" t="s">
        <v>107</v>
      </c>
      <c r="S183" s="27"/>
      <c r="T183" s="27"/>
      <c r="U183" s="27" t="s">
        <v>4835</v>
      </c>
      <c r="V183" s="28">
        <v>46184.178470925923</v>
      </c>
      <c r="W183" s="27" t="s">
        <v>703</v>
      </c>
      <c r="X183" s="27" t="s">
        <v>559</v>
      </c>
      <c r="Y183" s="27" t="s">
        <v>4836</v>
      </c>
      <c r="Z183" s="28">
        <v>46191.288401759259</v>
      </c>
      <c r="AA183" s="27" t="s">
        <v>2748</v>
      </c>
      <c r="AB183" s="27" t="s">
        <v>559</v>
      </c>
      <c r="AC183" s="27" t="s">
        <v>4837</v>
      </c>
      <c r="AD183" s="28">
        <v>46195.348289953705</v>
      </c>
      <c r="AE183" s="27" t="s">
        <v>3261</v>
      </c>
      <c r="AF183" s="27" t="s">
        <v>559</v>
      </c>
      <c r="AG183" s="27" t="s">
        <v>4681</v>
      </c>
      <c r="AH183" s="28">
        <v>46196.166693043982</v>
      </c>
      <c r="AI183" s="27" t="s">
        <v>3653</v>
      </c>
      <c r="AJ183" s="27" t="s">
        <v>559</v>
      </c>
      <c r="AK183" s="27" t="s">
        <v>4838</v>
      </c>
      <c r="AL183" s="27" t="s">
        <v>4839</v>
      </c>
    </row>
    <row r="184" spans="1:38">
      <c r="A184" s="27" t="s">
        <v>4840</v>
      </c>
      <c r="B184" s="27" t="s">
        <v>4841</v>
      </c>
      <c r="C184" s="27" t="s">
        <v>4470</v>
      </c>
      <c r="D184" s="27" t="s">
        <v>3252</v>
      </c>
      <c r="E184" s="27" t="s">
        <v>638</v>
      </c>
      <c r="F184" s="28">
        <v>46191.316530879631</v>
      </c>
      <c r="G184" s="28">
        <v>46191.316530879631</v>
      </c>
      <c r="H184" s="28">
        <v>46204.112240856484</v>
      </c>
      <c r="I184" s="27" t="s">
        <v>4471</v>
      </c>
      <c r="J184" s="27" t="s">
        <v>4472</v>
      </c>
      <c r="K184" s="27" t="s">
        <v>4473</v>
      </c>
      <c r="L184" s="27" t="s">
        <v>4474</v>
      </c>
      <c r="M184" s="27" t="s">
        <v>4475</v>
      </c>
      <c r="N184" s="27" t="s">
        <v>4474</v>
      </c>
      <c r="O184" s="27" t="s">
        <v>3322</v>
      </c>
      <c r="P184" s="27" t="s">
        <v>3344</v>
      </c>
      <c r="Q184" s="27" t="s">
        <v>4842</v>
      </c>
      <c r="R184" s="27" t="s">
        <v>107</v>
      </c>
      <c r="S184" s="27"/>
      <c r="T184" s="27"/>
      <c r="U184" s="27" t="s">
        <v>681</v>
      </c>
      <c r="V184" s="28">
        <v>46191.322815370368</v>
      </c>
      <c r="W184" s="27" t="s">
        <v>4475</v>
      </c>
      <c r="X184" s="27" t="s">
        <v>559</v>
      </c>
      <c r="Y184" s="27" t="s">
        <v>2303</v>
      </c>
      <c r="Z184" s="28">
        <v>46192.141752777781</v>
      </c>
      <c r="AA184" s="27" t="s">
        <v>2748</v>
      </c>
      <c r="AB184" s="27" t="s">
        <v>559</v>
      </c>
      <c r="AC184" s="27" t="s">
        <v>4843</v>
      </c>
      <c r="AD184" s="28">
        <v>46195.362879351851</v>
      </c>
      <c r="AE184" s="27" t="s">
        <v>3261</v>
      </c>
      <c r="AF184" s="27" t="s">
        <v>559</v>
      </c>
      <c r="AG184" s="27" t="s">
        <v>3400</v>
      </c>
      <c r="AH184" s="28">
        <v>46204.112240868053</v>
      </c>
      <c r="AI184" s="27" t="s">
        <v>3401</v>
      </c>
      <c r="AJ184" s="27" t="s">
        <v>559</v>
      </c>
      <c r="AK184" s="27" t="s">
        <v>4844</v>
      </c>
      <c r="AL184" s="27" t="s">
        <v>4481</v>
      </c>
    </row>
    <row r="185" spans="1:38">
      <c r="A185" s="27" t="s">
        <v>4845</v>
      </c>
      <c r="B185" s="27" t="s">
        <v>4846</v>
      </c>
      <c r="C185" s="27" t="s">
        <v>4470</v>
      </c>
      <c r="D185" s="27" t="s">
        <v>3252</v>
      </c>
      <c r="E185" s="27" t="s">
        <v>638</v>
      </c>
      <c r="F185" s="28">
        <v>46191.320757881942</v>
      </c>
      <c r="G185" s="28">
        <v>46191.320757881942</v>
      </c>
      <c r="H185" s="28">
        <v>46204.112013784725</v>
      </c>
      <c r="I185" s="27" t="s">
        <v>4471</v>
      </c>
      <c r="J185" s="27" t="s">
        <v>4472</v>
      </c>
      <c r="K185" s="27" t="s">
        <v>4473</v>
      </c>
      <c r="L185" s="27" t="s">
        <v>4474</v>
      </c>
      <c r="M185" s="27" t="s">
        <v>4475</v>
      </c>
      <c r="N185" s="27" t="s">
        <v>4474</v>
      </c>
      <c r="O185" s="27" t="s">
        <v>3322</v>
      </c>
      <c r="P185" s="27" t="s">
        <v>3292</v>
      </c>
      <c r="Q185" s="27" t="s">
        <v>4847</v>
      </c>
      <c r="R185" s="27" t="s">
        <v>107</v>
      </c>
      <c r="S185" s="27"/>
      <c r="T185" s="27"/>
      <c r="U185" s="27" t="s">
        <v>681</v>
      </c>
      <c r="V185" s="28">
        <v>46191.323336377318</v>
      </c>
      <c r="W185" s="27" t="s">
        <v>4475</v>
      </c>
      <c r="X185" s="27" t="s">
        <v>559</v>
      </c>
      <c r="Y185" s="27" t="s">
        <v>2303</v>
      </c>
      <c r="Z185" s="28">
        <v>46192.142148125</v>
      </c>
      <c r="AA185" s="27" t="s">
        <v>2748</v>
      </c>
      <c r="AB185" s="27" t="s">
        <v>559</v>
      </c>
      <c r="AC185" s="27" t="s">
        <v>4848</v>
      </c>
      <c r="AD185" s="28">
        <v>46195.362503784723</v>
      </c>
      <c r="AE185" s="27" t="s">
        <v>3261</v>
      </c>
      <c r="AF185" s="27" t="s">
        <v>559</v>
      </c>
      <c r="AG185" s="27" t="s">
        <v>3779</v>
      </c>
      <c r="AH185" s="28">
        <v>46204.112013796293</v>
      </c>
      <c r="AI185" s="27" t="s">
        <v>3401</v>
      </c>
      <c r="AJ185" s="27" t="s">
        <v>559</v>
      </c>
      <c r="AK185" s="27" t="s">
        <v>4849</v>
      </c>
      <c r="AL185" s="27" t="s">
        <v>4481</v>
      </c>
    </row>
    <row r="186" spans="1:38">
      <c r="A186" s="27" t="s">
        <v>4850</v>
      </c>
      <c r="B186" s="27" t="s">
        <v>4851</v>
      </c>
      <c r="C186" s="27" t="s">
        <v>4632</v>
      </c>
      <c r="D186" s="27" t="s">
        <v>3252</v>
      </c>
      <c r="E186" s="27" t="s">
        <v>638</v>
      </c>
      <c r="F186" s="28">
        <v>46191.414665104166</v>
      </c>
      <c r="G186" s="28">
        <v>46191.414665104166</v>
      </c>
      <c r="H186" s="28">
        <v>46218.134194421298</v>
      </c>
      <c r="I186" s="27" t="s">
        <v>1877</v>
      </c>
      <c r="J186" s="27" t="s">
        <v>322</v>
      </c>
      <c r="K186" s="27">
        <v>4569</v>
      </c>
      <c r="L186" s="27" t="s">
        <v>323</v>
      </c>
      <c r="M186" s="27" t="s">
        <v>4296</v>
      </c>
      <c r="N186" s="27" t="s">
        <v>3800</v>
      </c>
      <c r="O186" s="27" t="s">
        <v>3256</v>
      </c>
      <c r="P186" s="27" t="s">
        <v>3257</v>
      </c>
      <c r="Q186" s="27" t="s">
        <v>4852</v>
      </c>
      <c r="R186" s="27" t="s">
        <v>125</v>
      </c>
      <c r="S186" s="27"/>
      <c r="T186" s="27"/>
      <c r="U186" s="27" t="s">
        <v>2597</v>
      </c>
      <c r="V186" s="28">
        <v>46192.302200914353</v>
      </c>
      <c r="W186" s="27" t="s">
        <v>4298</v>
      </c>
      <c r="X186" s="27" t="s">
        <v>559</v>
      </c>
      <c r="Y186" s="27" t="s">
        <v>2303</v>
      </c>
      <c r="Z186" s="28">
        <v>46202.117793645833</v>
      </c>
      <c r="AA186" s="27" t="s">
        <v>2748</v>
      </c>
      <c r="AB186" s="27" t="s">
        <v>559</v>
      </c>
      <c r="AC186" s="27" t="s">
        <v>4853</v>
      </c>
      <c r="AD186" s="28">
        <v>46203.286255555555</v>
      </c>
      <c r="AE186" s="27" t="s">
        <v>3261</v>
      </c>
      <c r="AF186" s="27" t="s">
        <v>559</v>
      </c>
      <c r="AG186" s="27" t="s">
        <v>4854</v>
      </c>
      <c r="AH186" s="28">
        <v>46218.134194432867</v>
      </c>
      <c r="AI186" s="27" t="s">
        <v>3415</v>
      </c>
      <c r="AJ186" s="27" t="s">
        <v>559</v>
      </c>
      <c r="AK186" s="27" t="s">
        <v>4855</v>
      </c>
      <c r="AL186" s="27" t="s">
        <v>3806</v>
      </c>
    </row>
    <row r="187" spans="1:38">
      <c r="A187" s="27" t="s">
        <v>4856</v>
      </c>
      <c r="B187" s="27" t="s">
        <v>4857</v>
      </c>
      <c r="C187" s="27" t="s">
        <v>4858</v>
      </c>
      <c r="D187" s="27" t="s">
        <v>3252</v>
      </c>
      <c r="E187" s="27" t="s">
        <v>549</v>
      </c>
      <c r="F187" s="28">
        <v>46196.243857685186</v>
      </c>
      <c r="G187" s="28">
        <v>46197.186334953702</v>
      </c>
      <c r="H187" s="28">
        <v>46197.221415474538</v>
      </c>
      <c r="I187" s="27" t="s">
        <v>4859</v>
      </c>
      <c r="J187" s="27" t="s">
        <v>319</v>
      </c>
      <c r="K187" s="27">
        <v>3055</v>
      </c>
      <c r="L187" s="27" t="s">
        <v>320</v>
      </c>
      <c r="M187" s="27" t="s">
        <v>4860</v>
      </c>
      <c r="N187" s="27" t="s">
        <v>4861</v>
      </c>
      <c r="O187" s="27" t="s">
        <v>3256</v>
      </c>
      <c r="P187" s="27" t="s">
        <v>3257</v>
      </c>
      <c r="Q187" s="27" t="s">
        <v>4862</v>
      </c>
      <c r="R187" s="27"/>
      <c r="S187" s="27"/>
      <c r="T187" s="27"/>
      <c r="U187" s="27" t="s">
        <v>4863</v>
      </c>
      <c r="V187" s="28">
        <v>46197.221415497683</v>
      </c>
      <c r="W187" s="27" t="s">
        <v>4864</v>
      </c>
      <c r="X187" s="27" t="s">
        <v>549</v>
      </c>
      <c r="Y187" s="27"/>
      <c r="Z187" s="28"/>
      <c r="AA187" s="27" t="s">
        <v>3325</v>
      </c>
      <c r="AB187" s="27"/>
      <c r="AC187" s="27"/>
      <c r="AD187" s="28"/>
      <c r="AE187" s="27" t="s">
        <v>573</v>
      </c>
      <c r="AF187" s="27"/>
      <c r="AG187" s="27"/>
      <c r="AH187" s="28"/>
      <c r="AI187" s="27" t="s">
        <v>3295</v>
      </c>
      <c r="AJ187" s="27"/>
      <c r="AK187" s="27"/>
      <c r="AL187" s="27" t="s">
        <v>4865</v>
      </c>
    </row>
    <row r="188" spans="1:38">
      <c r="A188" s="27" t="s">
        <v>4866</v>
      </c>
      <c r="B188" s="27" t="s">
        <v>4867</v>
      </c>
      <c r="C188" s="27" t="s">
        <v>4868</v>
      </c>
      <c r="D188" s="27" t="s">
        <v>3252</v>
      </c>
      <c r="E188" s="27" t="s">
        <v>549</v>
      </c>
      <c r="F188" s="28">
        <v>46197.117995706016</v>
      </c>
      <c r="G188" s="28">
        <v>46197.117995706016</v>
      </c>
      <c r="H188" s="28">
        <v>46202.13216947917</v>
      </c>
      <c r="I188" s="27" t="s">
        <v>4869</v>
      </c>
      <c r="J188" s="27" t="s">
        <v>147</v>
      </c>
      <c r="K188" s="27" t="s">
        <v>4870</v>
      </c>
      <c r="L188" s="27" t="s">
        <v>148</v>
      </c>
      <c r="M188" s="27" t="s">
        <v>584</v>
      </c>
      <c r="N188" s="27" t="s">
        <v>4871</v>
      </c>
      <c r="O188" s="27" t="s">
        <v>3256</v>
      </c>
      <c r="P188" s="27" t="s">
        <v>3257</v>
      </c>
      <c r="Q188" s="27" t="s">
        <v>4872</v>
      </c>
      <c r="R188" s="27"/>
      <c r="S188" s="27"/>
      <c r="T188" s="27"/>
      <c r="U188" s="27" t="s">
        <v>867</v>
      </c>
      <c r="V188" s="28">
        <v>46197.11861528935</v>
      </c>
      <c r="W188" s="27" t="s">
        <v>584</v>
      </c>
      <c r="X188" s="27" t="s">
        <v>559</v>
      </c>
      <c r="Y188" s="27" t="s">
        <v>4873</v>
      </c>
      <c r="Z188" s="28">
        <v>46202.132169490738</v>
      </c>
      <c r="AA188" s="27" t="s">
        <v>2748</v>
      </c>
      <c r="AB188" s="27" t="s">
        <v>549</v>
      </c>
      <c r="AC188" s="27"/>
      <c r="AD188" s="28"/>
      <c r="AE188" s="27" t="s">
        <v>573</v>
      </c>
      <c r="AF188" s="27"/>
      <c r="AG188" s="27"/>
      <c r="AH188" s="28"/>
      <c r="AI188" s="27" t="s">
        <v>3295</v>
      </c>
      <c r="AJ188" s="27"/>
      <c r="AK188" s="27"/>
      <c r="AL188" s="27" t="s">
        <v>4874</v>
      </c>
    </row>
    <row r="189" spans="1:38">
      <c r="A189" s="27" t="s">
        <v>4875</v>
      </c>
      <c r="B189" s="27" t="s">
        <v>4876</v>
      </c>
      <c r="C189" s="27" t="s">
        <v>4877</v>
      </c>
      <c r="D189" s="27" t="s">
        <v>3252</v>
      </c>
      <c r="E189" s="27" t="s">
        <v>638</v>
      </c>
      <c r="F189" s="28">
        <v>46198.136387604165</v>
      </c>
      <c r="G189" s="28">
        <v>46223.089392442133</v>
      </c>
      <c r="H189" s="28">
        <v>46250.900932233795</v>
      </c>
      <c r="I189" s="27" t="s">
        <v>4878</v>
      </c>
      <c r="J189" s="27" t="s">
        <v>4879</v>
      </c>
      <c r="K189" s="27" t="s">
        <v>4880</v>
      </c>
      <c r="L189" s="27" t="s">
        <v>4881</v>
      </c>
      <c r="M189" s="27" t="s">
        <v>4882</v>
      </c>
      <c r="N189" s="27" t="s">
        <v>4883</v>
      </c>
      <c r="O189" s="27" t="s">
        <v>3256</v>
      </c>
      <c r="P189" s="27" t="s">
        <v>3257</v>
      </c>
      <c r="Q189" s="27" t="s">
        <v>4884</v>
      </c>
      <c r="R189" s="27" t="s">
        <v>107</v>
      </c>
      <c r="S189" s="27"/>
      <c r="T189" s="27"/>
      <c r="U189" s="27" t="s">
        <v>4885</v>
      </c>
      <c r="V189" s="28">
        <v>46223.128241909719</v>
      </c>
      <c r="W189" s="27" t="s">
        <v>4886</v>
      </c>
      <c r="X189" s="27" t="s">
        <v>559</v>
      </c>
      <c r="Y189" s="27" t="s">
        <v>2303</v>
      </c>
      <c r="Z189" s="28">
        <v>46231.35507060185</v>
      </c>
      <c r="AA189" s="27" t="s">
        <v>2748</v>
      </c>
      <c r="AB189" s="27" t="s">
        <v>559</v>
      </c>
      <c r="AC189" s="27" t="s">
        <v>681</v>
      </c>
      <c r="AD189" s="28">
        <v>46233.83137886574</v>
      </c>
      <c r="AE189" s="27" t="s">
        <v>162</v>
      </c>
      <c r="AF189" s="27" t="s">
        <v>559</v>
      </c>
      <c r="AG189" s="27" t="s">
        <v>638</v>
      </c>
      <c r="AH189" s="28">
        <v>46250.900932245371</v>
      </c>
      <c r="AI189" s="27" t="s">
        <v>237</v>
      </c>
      <c r="AJ189" s="27" t="s">
        <v>559</v>
      </c>
      <c r="AK189" s="27" t="s">
        <v>4887</v>
      </c>
      <c r="AL189" s="27" t="s">
        <v>4888</v>
      </c>
    </row>
    <row r="190" spans="1:38">
      <c r="A190" s="27" t="s">
        <v>4889</v>
      </c>
      <c r="B190" s="27" t="s">
        <v>315</v>
      </c>
      <c r="C190" s="27" t="s">
        <v>1474</v>
      </c>
      <c r="D190" s="27" t="s">
        <v>3252</v>
      </c>
      <c r="E190" s="27" t="s">
        <v>67</v>
      </c>
      <c r="F190" s="28">
        <v>46198.15172267361</v>
      </c>
      <c r="G190" s="28">
        <v>46198.15172267361</v>
      </c>
      <c r="H190" s="28">
        <v>46203.285801307873</v>
      </c>
      <c r="I190" s="27" t="s">
        <v>4410</v>
      </c>
      <c r="J190" s="27" t="s">
        <v>316</v>
      </c>
      <c r="K190" s="27">
        <v>4712</v>
      </c>
      <c r="L190" s="27" t="s">
        <v>317</v>
      </c>
      <c r="M190" s="27" t="s">
        <v>3761</v>
      </c>
      <c r="N190" s="27" t="s">
        <v>4411</v>
      </c>
      <c r="O190" s="27" t="s">
        <v>3322</v>
      </c>
      <c r="P190" s="27" t="s">
        <v>3292</v>
      </c>
      <c r="Q190" s="27" t="s">
        <v>4890</v>
      </c>
      <c r="R190" s="27" t="s">
        <v>107</v>
      </c>
      <c r="S190" s="27"/>
      <c r="T190" s="27"/>
      <c r="U190" s="27" t="s">
        <v>4891</v>
      </c>
      <c r="V190" s="28">
        <v>46198.159855381942</v>
      </c>
      <c r="W190" s="27" t="s">
        <v>1362</v>
      </c>
      <c r="X190" s="27" t="s">
        <v>559</v>
      </c>
      <c r="Y190" s="27" t="s">
        <v>2303</v>
      </c>
      <c r="Z190" s="28">
        <v>46203.134413020831</v>
      </c>
      <c r="AA190" s="27" t="s">
        <v>2748</v>
      </c>
      <c r="AB190" s="27" t="s">
        <v>559</v>
      </c>
      <c r="AC190" s="27" t="s">
        <v>4892</v>
      </c>
      <c r="AD190" s="28">
        <v>46203.285801319442</v>
      </c>
      <c r="AE190" s="27" t="s">
        <v>3261</v>
      </c>
      <c r="AF190" s="27" t="s">
        <v>559</v>
      </c>
      <c r="AG190" s="27"/>
      <c r="AH190" s="28"/>
      <c r="AI190" s="27" t="s">
        <v>158</v>
      </c>
      <c r="AJ190" s="27"/>
      <c r="AK190" s="27" t="s">
        <v>4893</v>
      </c>
      <c r="AL190" s="27" t="s">
        <v>4418</v>
      </c>
    </row>
    <row r="191" spans="1:38">
      <c r="A191" s="27" t="s">
        <v>4894</v>
      </c>
      <c r="B191" s="27" t="s">
        <v>4895</v>
      </c>
      <c r="C191" s="27" t="s">
        <v>982</v>
      </c>
      <c r="D191" s="27" t="s">
        <v>3252</v>
      </c>
      <c r="E191" s="27" t="s">
        <v>638</v>
      </c>
      <c r="F191" s="28">
        <v>46199.039128634256</v>
      </c>
      <c r="G191" s="28">
        <v>46199.039128634256</v>
      </c>
      <c r="H191" s="28">
        <v>46210.41980679398</v>
      </c>
      <c r="I191" s="27" t="s">
        <v>3963</v>
      </c>
      <c r="J191" s="27" t="s">
        <v>3964</v>
      </c>
      <c r="K191" s="27">
        <v>4739</v>
      </c>
      <c r="L191" s="27" t="s">
        <v>3965</v>
      </c>
      <c r="M191" s="27" t="s">
        <v>3966</v>
      </c>
      <c r="N191" s="27" t="s">
        <v>3967</v>
      </c>
      <c r="O191" s="27" t="s">
        <v>3256</v>
      </c>
      <c r="P191" s="27" t="s">
        <v>3257</v>
      </c>
      <c r="Q191" s="27" t="s">
        <v>4896</v>
      </c>
      <c r="R191" s="27" t="s">
        <v>116</v>
      </c>
      <c r="S191" s="27"/>
      <c r="T191" s="27"/>
      <c r="U191" s="27" t="s">
        <v>4897</v>
      </c>
      <c r="V191" s="28">
        <v>46199.052101967594</v>
      </c>
      <c r="W191" s="27" t="s">
        <v>985</v>
      </c>
      <c r="X191" s="27" t="s">
        <v>559</v>
      </c>
      <c r="Y191" s="27" t="s">
        <v>2303</v>
      </c>
      <c r="Z191" s="28">
        <v>46203.132790752315</v>
      </c>
      <c r="AA191" s="27" t="s">
        <v>2748</v>
      </c>
      <c r="AB191" s="27" t="s">
        <v>559</v>
      </c>
      <c r="AC191" s="27" t="s">
        <v>3802</v>
      </c>
      <c r="AD191" s="28">
        <v>46210.406599097223</v>
      </c>
      <c r="AE191" s="27" t="s">
        <v>162</v>
      </c>
      <c r="AF191" s="27" t="s">
        <v>559</v>
      </c>
      <c r="AG191" s="27" t="s">
        <v>4898</v>
      </c>
      <c r="AH191" s="28">
        <v>46210.419806805556</v>
      </c>
      <c r="AI191" s="27" t="s">
        <v>295</v>
      </c>
      <c r="AJ191" s="27" t="s">
        <v>559</v>
      </c>
      <c r="AK191" s="27" t="s">
        <v>4899</v>
      </c>
      <c r="AL191" s="27" t="s">
        <v>3973</v>
      </c>
    </row>
    <row r="192" spans="1:38">
      <c r="A192" s="27" t="s">
        <v>4900</v>
      </c>
      <c r="B192" s="27" t="s">
        <v>4901</v>
      </c>
      <c r="C192" s="27" t="s">
        <v>4902</v>
      </c>
      <c r="D192" s="27" t="s">
        <v>3252</v>
      </c>
      <c r="E192" s="27" t="s">
        <v>638</v>
      </c>
      <c r="F192" s="28">
        <v>46199.098916053241</v>
      </c>
      <c r="G192" s="28">
        <v>46204.154440046295</v>
      </c>
      <c r="H192" s="28">
        <v>46222.857360185182</v>
      </c>
      <c r="I192" s="27" t="s">
        <v>4903</v>
      </c>
      <c r="J192" s="27" t="s">
        <v>343</v>
      </c>
      <c r="K192" s="27" t="s">
        <v>4904</v>
      </c>
      <c r="L192" s="27" t="s">
        <v>344</v>
      </c>
      <c r="M192" s="27" t="s">
        <v>4905</v>
      </c>
      <c r="N192" s="27" t="s">
        <v>4906</v>
      </c>
      <c r="O192" s="27" t="s">
        <v>3256</v>
      </c>
      <c r="P192" s="27" t="s">
        <v>3344</v>
      </c>
      <c r="Q192" s="27" t="s">
        <v>4907</v>
      </c>
      <c r="R192" s="27" t="s">
        <v>116</v>
      </c>
      <c r="S192" s="27"/>
      <c r="T192" s="27"/>
      <c r="U192" s="27" t="s">
        <v>4908</v>
      </c>
      <c r="V192" s="28">
        <v>46204.340734560188</v>
      </c>
      <c r="W192" s="27" t="s">
        <v>4909</v>
      </c>
      <c r="X192" s="27" t="s">
        <v>559</v>
      </c>
      <c r="Y192" s="27" t="s">
        <v>4910</v>
      </c>
      <c r="Z192" s="28">
        <v>46205.071194259261</v>
      </c>
      <c r="AA192" s="27" t="s">
        <v>2748</v>
      </c>
      <c r="AB192" s="27" t="s">
        <v>559</v>
      </c>
      <c r="AC192" s="27" t="s">
        <v>631</v>
      </c>
      <c r="AD192" s="28">
        <v>46222.855895104163</v>
      </c>
      <c r="AE192" s="27" t="s">
        <v>162</v>
      </c>
      <c r="AF192" s="27" t="s">
        <v>559</v>
      </c>
      <c r="AG192" s="27" t="s">
        <v>2824</v>
      </c>
      <c r="AH192" s="28">
        <v>46222.857360185182</v>
      </c>
      <c r="AI192" s="27" t="s">
        <v>162</v>
      </c>
      <c r="AJ192" s="27" t="s">
        <v>559</v>
      </c>
      <c r="AK192" s="27" t="s">
        <v>4911</v>
      </c>
      <c r="AL192" s="27" t="s">
        <v>4912</v>
      </c>
    </row>
    <row r="193" spans="1:38">
      <c r="A193" s="27" t="s">
        <v>4913</v>
      </c>
      <c r="B193" s="27" t="s">
        <v>4914</v>
      </c>
      <c r="C193" s="27" t="s">
        <v>4915</v>
      </c>
      <c r="D193" s="27" t="s">
        <v>3252</v>
      </c>
      <c r="E193" s="27" t="s">
        <v>638</v>
      </c>
      <c r="F193" s="28">
        <v>46202.241150497684</v>
      </c>
      <c r="G193" s="28">
        <v>46202.273092361109</v>
      </c>
      <c r="H193" s="28">
        <v>46251.064811076387</v>
      </c>
      <c r="I193" s="27" t="s">
        <v>4916</v>
      </c>
      <c r="J193" s="27" t="s">
        <v>4917</v>
      </c>
      <c r="K193" s="27">
        <v>2258</v>
      </c>
      <c r="L193" s="27" t="s">
        <v>4918</v>
      </c>
      <c r="M193" s="27" t="s">
        <v>4919</v>
      </c>
      <c r="N193" s="27" t="s">
        <v>4918</v>
      </c>
      <c r="O193" s="27" t="s">
        <v>3256</v>
      </c>
      <c r="P193" s="27" t="s">
        <v>3257</v>
      </c>
      <c r="Q193" s="27" t="s">
        <v>4920</v>
      </c>
      <c r="R193" s="27" t="s">
        <v>116</v>
      </c>
      <c r="S193" s="27"/>
      <c r="T193" s="27"/>
      <c r="U193" s="27" t="s">
        <v>4921</v>
      </c>
      <c r="V193" s="28">
        <v>46216.107962372684</v>
      </c>
      <c r="W193" s="27" t="s">
        <v>4922</v>
      </c>
      <c r="X193" s="27" t="s">
        <v>559</v>
      </c>
      <c r="Y193" s="27" t="s">
        <v>4923</v>
      </c>
      <c r="Z193" s="28">
        <v>46216.295579155092</v>
      </c>
      <c r="AA193" s="27" t="s">
        <v>2748</v>
      </c>
      <c r="AB193" s="27" t="s">
        <v>559</v>
      </c>
      <c r="AC193" s="27" t="s">
        <v>2597</v>
      </c>
      <c r="AD193" s="28">
        <v>46230.060397314817</v>
      </c>
      <c r="AE193" s="27" t="s">
        <v>162</v>
      </c>
      <c r="AF193" s="27" t="s">
        <v>559</v>
      </c>
      <c r="AG193" s="27" t="s">
        <v>4924</v>
      </c>
      <c r="AH193" s="28">
        <v>46251.064811087963</v>
      </c>
      <c r="AI193" s="27" t="s">
        <v>295</v>
      </c>
      <c r="AJ193" s="27" t="s">
        <v>559</v>
      </c>
      <c r="AK193" s="27" t="s">
        <v>4925</v>
      </c>
      <c r="AL193" s="27" t="s">
        <v>4926</v>
      </c>
    </row>
    <row r="194" spans="1:38">
      <c r="A194" s="27" t="s">
        <v>4927</v>
      </c>
      <c r="B194" s="27" t="s">
        <v>4928</v>
      </c>
      <c r="C194" s="27" t="s">
        <v>4929</v>
      </c>
      <c r="D194" s="27" t="s">
        <v>3252</v>
      </c>
      <c r="E194" s="27" t="s">
        <v>638</v>
      </c>
      <c r="F194" s="28">
        <v>46202.267201736111</v>
      </c>
      <c r="G194" s="28">
        <v>46202.267201736111</v>
      </c>
      <c r="H194" s="28">
        <v>46234.146164247686</v>
      </c>
      <c r="I194" s="27" t="s">
        <v>4930</v>
      </c>
      <c r="J194" s="27" t="s">
        <v>154</v>
      </c>
      <c r="K194" s="27" t="s">
        <v>4931</v>
      </c>
      <c r="L194" s="27" t="s">
        <v>155</v>
      </c>
      <c r="M194" s="27" t="s">
        <v>4932</v>
      </c>
      <c r="N194" s="27" t="s">
        <v>4933</v>
      </c>
      <c r="O194" s="27" t="s">
        <v>3256</v>
      </c>
      <c r="P194" s="27" t="s">
        <v>3257</v>
      </c>
      <c r="Q194" s="27" t="s">
        <v>4934</v>
      </c>
      <c r="R194" s="27" t="s">
        <v>107</v>
      </c>
      <c r="S194" s="27"/>
      <c r="T194" s="27"/>
      <c r="U194" s="27" t="s">
        <v>4196</v>
      </c>
      <c r="V194" s="28">
        <v>46202.378000694443</v>
      </c>
      <c r="W194" s="27" t="s">
        <v>4280</v>
      </c>
      <c r="X194" s="27" t="s">
        <v>559</v>
      </c>
      <c r="Y194" s="27" t="s">
        <v>2303</v>
      </c>
      <c r="Z194" s="28">
        <v>46203.071390914352</v>
      </c>
      <c r="AA194" s="27" t="s">
        <v>2748</v>
      </c>
      <c r="AB194" s="27" t="s">
        <v>559</v>
      </c>
      <c r="AC194" s="27" t="s">
        <v>2597</v>
      </c>
      <c r="AD194" s="28">
        <v>46231.201937800928</v>
      </c>
      <c r="AE194" s="27" t="s">
        <v>162</v>
      </c>
      <c r="AF194" s="27" t="s">
        <v>559</v>
      </c>
      <c r="AG194" s="27" t="s">
        <v>4935</v>
      </c>
      <c r="AH194" s="28">
        <v>46234.146164259262</v>
      </c>
      <c r="AI194" s="27" t="s">
        <v>158</v>
      </c>
      <c r="AJ194" s="27" t="s">
        <v>559</v>
      </c>
      <c r="AK194" s="27" t="s">
        <v>4936</v>
      </c>
      <c r="AL194" s="27" t="s">
        <v>4937</v>
      </c>
    </row>
    <row r="195" spans="1:38">
      <c r="A195" s="27" t="s">
        <v>4938</v>
      </c>
      <c r="B195" s="27" t="s">
        <v>4939</v>
      </c>
      <c r="C195" s="27" t="s">
        <v>4868</v>
      </c>
      <c r="D195" s="27" t="s">
        <v>3252</v>
      </c>
      <c r="E195" s="27" t="s">
        <v>638</v>
      </c>
      <c r="F195" s="28">
        <v>46203.075793946758</v>
      </c>
      <c r="G195" s="28">
        <v>46203.075793946758</v>
      </c>
      <c r="H195" s="28">
        <v>46233.585873101852</v>
      </c>
      <c r="I195" s="27" t="s">
        <v>4869</v>
      </c>
      <c r="J195" s="27" t="s">
        <v>147</v>
      </c>
      <c r="K195" s="27" t="s">
        <v>4870</v>
      </c>
      <c r="L195" s="27" t="s">
        <v>148</v>
      </c>
      <c r="M195" s="27" t="s">
        <v>584</v>
      </c>
      <c r="N195" s="27" t="s">
        <v>4871</v>
      </c>
      <c r="O195" s="27" t="s">
        <v>3256</v>
      </c>
      <c r="P195" s="27" t="s">
        <v>3257</v>
      </c>
      <c r="Q195" s="27" t="s">
        <v>4940</v>
      </c>
      <c r="R195" s="27" t="s">
        <v>116</v>
      </c>
      <c r="S195" s="27"/>
      <c r="T195" s="27"/>
      <c r="U195" s="27" t="s">
        <v>867</v>
      </c>
      <c r="V195" s="28">
        <v>46203.081546886577</v>
      </c>
      <c r="W195" s="27" t="s">
        <v>584</v>
      </c>
      <c r="X195" s="27" t="s">
        <v>559</v>
      </c>
      <c r="Y195" s="27" t="s">
        <v>2303</v>
      </c>
      <c r="Z195" s="28">
        <v>46203.154216550924</v>
      </c>
      <c r="AA195" s="27" t="s">
        <v>2748</v>
      </c>
      <c r="AB195" s="27" t="s">
        <v>559</v>
      </c>
      <c r="AC195" s="27" t="s">
        <v>2597</v>
      </c>
      <c r="AD195" s="28">
        <v>46231.20131556713</v>
      </c>
      <c r="AE195" s="27" t="s">
        <v>162</v>
      </c>
      <c r="AF195" s="27" t="s">
        <v>559</v>
      </c>
      <c r="AG195" s="27" t="s">
        <v>4941</v>
      </c>
      <c r="AH195" s="28">
        <v>46233.585873113429</v>
      </c>
      <c r="AI195" s="27" t="s">
        <v>295</v>
      </c>
      <c r="AJ195" s="27" t="s">
        <v>559</v>
      </c>
      <c r="AK195" s="27" t="s">
        <v>4942</v>
      </c>
      <c r="AL195" s="27" t="s">
        <v>4874</v>
      </c>
    </row>
    <row r="196" spans="1:38">
      <c r="A196" s="27" t="s">
        <v>4943</v>
      </c>
      <c r="B196" s="27" t="s">
        <v>348</v>
      </c>
      <c r="C196" s="27" t="s">
        <v>4902</v>
      </c>
      <c r="D196" s="27" t="s">
        <v>3252</v>
      </c>
      <c r="E196" s="27" t="s">
        <v>67</v>
      </c>
      <c r="F196" s="28">
        <v>46204.162991134261</v>
      </c>
      <c r="G196" s="28">
        <v>46204.162991134261</v>
      </c>
      <c r="H196" s="28">
        <v>46222.855439988423</v>
      </c>
      <c r="I196" s="27" t="s">
        <v>4903</v>
      </c>
      <c r="J196" s="27" t="s">
        <v>343</v>
      </c>
      <c r="K196" s="27" t="s">
        <v>4904</v>
      </c>
      <c r="L196" s="27" t="s">
        <v>344</v>
      </c>
      <c r="M196" s="27" t="s">
        <v>4905</v>
      </c>
      <c r="N196" s="27" t="s">
        <v>4906</v>
      </c>
      <c r="O196" s="27" t="s">
        <v>3256</v>
      </c>
      <c r="P196" s="27" t="s">
        <v>3257</v>
      </c>
      <c r="Q196" s="27" t="s">
        <v>4944</v>
      </c>
      <c r="R196" s="27" t="s">
        <v>116</v>
      </c>
      <c r="S196" s="27"/>
      <c r="T196" s="27"/>
      <c r="U196" s="27" t="s">
        <v>4908</v>
      </c>
      <c r="V196" s="28">
        <v>46204.341000393521</v>
      </c>
      <c r="W196" s="27" t="s">
        <v>4909</v>
      </c>
      <c r="X196" s="27" t="s">
        <v>559</v>
      </c>
      <c r="Y196" s="27" t="s">
        <v>4910</v>
      </c>
      <c r="Z196" s="28">
        <v>46205.066938888885</v>
      </c>
      <c r="AA196" s="27" t="s">
        <v>2748</v>
      </c>
      <c r="AB196" s="27" t="s">
        <v>559</v>
      </c>
      <c r="AC196" s="27" t="s">
        <v>2597</v>
      </c>
      <c r="AD196" s="28">
        <v>46222.855440011575</v>
      </c>
      <c r="AE196" s="27" t="s">
        <v>162</v>
      </c>
      <c r="AF196" s="27" t="s">
        <v>559</v>
      </c>
      <c r="AG196" s="27"/>
      <c r="AH196" s="28"/>
      <c r="AI196" s="27" t="s">
        <v>230</v>
      </c>
      <c r="AJ196" s="27"/>
      <c r="AK196" s="27" t="s">
        <v>4945</v>
      </c>
      <c r="AL196" s="27" t="s">
        <v>4912</v>
      </c>
    </row>
    <row r="197" spans="1:38">
      <c r="A197" s="27" t="s">
        <v>4946</v>
      </c>
      <c r="B197" s="27" t="s">
        <v>342</v>
      </c>
      <c r="C197" s="27" t="s">
        <v>4902</v>
      </c>
      <c r="D197" s="27" t="s">
        <v>3252</v>
      </c>
      <c r="E197" s="27" t="s">
        <v>67</v>
      </c>
      <c r="F197" s="28">
        <v>46204.163972627313</v>
      </c>
      <c r="G197" s="28">
        <v>46204.163972627313</v>
      </c>
      <c r="H197" s="28">
        <v>46222.854783726849</v>
      </c>
      <c r="I197" s="27" t="s">
        <v>4903</v>
      </c>
      <c r="J197" s="27" t="s">
        <v>343</v>
      </c>
      <c r="K197" s="27" t="s">
        <v>4904</v>
      </c>
      <c r="L197" s="27" t="s">
        <v>344</v>
      </c>
      <c r="M197" s="27" t="s">
        <v>4905</v>
      </c>
      <c r="N197" s="27" t="s">
        <v>4906</v>
      </c>
      <c r="O197" s="27" t="s">
        <v>3256</v>
      </c>
      <c r="P197" s="27" t="s">
        <v>3292</v>
      </c>
      <c r="Q197" s="27" t="s">
        <v>4944</v>
      </c>
      <c r="R197" s="27" t="s">
        <v>116</v>
      </c>
      <c r="S197" s="27"/>
      <c r="T197" s="27"/>
      <c r="U197" s="27" t="s">
        <v>4908</v>
      </c>
      <c r="V197" s="28">
        <v>46204.341193483793</v>
      </c>
      <c r="W197" s="27" t="s">
        <v>4909</v>
      </c>
      <c r="X197" s="27" t="s">
        <v>559</v>
      </c>
      <c r="Y197" s="27" t="s">
        <v>4910</v>
      </c>
      <c r="Z197" s="28">
        <v>46205.071510150461</v>
      </c>
      <c r="AA197" s="27" t="s">
        <v>2748</v>
      </c>
      <c r="AB197" s="27" t="s">
        <v>559</v>
      </c>
      <c r="AC197" s="27" t="s">
        <v>2824</v>
      </c>
      <c r="AD197" s="28">
        <v>46222.854783738425</v>
      </c>
      <c r="AE197" s="27" t="s">
        <v>162</v>
      </c>
      <c r="AF197" s="27" t="s">
        <v>559</v>
      </c>
      <c r="AG197" s="27"/>
      <c r="AH197" s="28"/>
      <c r="AI197" s="27" t="s">
        <v>230</v>
      </c>
      <c r="AJ197" s="27"/>
      <c r="AK197" s="27" t="s">
        <v>4947</v>
      </c>
      <c r="AL197" s="27" t="s">
        <v>4912</v>
      </c>
    </row>
    <row r="198" spans="1:38">
      <c r="A198" s="27" t="s">
        <v>4948</v>
      </c>
      <c r="B198" s="27" t="s">
        <v>4949</v>
      </c>
      <c r="C198" s="27" t="s">
        <v>3458</v>
      </c>
      <c r="D198" s="27" t="s">
        <v>3252</v>
      </c>
      <c r="E198" s="27" t="s">
        <v>638</v>
      </c>
      <c r="F198" s="28">
        <v>46204.292654259261</v>
      </c>
      <c r="G198" s="28">
        <v>46204.292654259261</v>
      </c>
      <c r="H198" s="28">
        <v>46246.089970000001</v>
      </c>
      <c r="I198" s="27" t="s">
        <v>4950</v>
      </c>
      <c r="J198" s="27" t="s">
        <v>4951</v>
      </c>
      <c r="K198" s="27" t="s">
        <v>4952</v>
      </c>
      <c r="L198" s="27" t="s">
        <v>4953</v>
      </c>
      <c r="M198" s="27" t="s">
        <v>4954</v>
      </c>
      <c r="N198" s="27" t="s">
        <v>4953</v>
      </c>
      <c r="O198" s="27" t="s">
        <v>3256</v>
      </c>
      <c r="P198" s="27" t="s">
        <v>3344</v>
      </c>
      <c r="Q198" s="27" t="s">
        <v>4955</v>
      </c>
      <c r="R198" s="27" t="s">
        <v>125</v>
      </c>
      <c r="S198" s="27"/>
      <c r="T198" s="27"/>
      <c r="U198" s="27" t="s">
        <v>4956</v>
      </c>
      <c r="V198" s="28">
        <v>46204.312703101852</v>
      </c>
      <c r="W198" s="27" t="s">
        <v>4957</v>
      </c>
      <c r="X198" s="27" t="s">
        <v>559</v>
      </c>
      <c r="Y198" s="27" t="s">
        <v>2303</v>
      </c>
      <c r="Z198" s="28">
        <v>46205.119210671299</v>
      </c>
      <c r="AA198" s="27" t="s">
        <v>2748</v>
      </c>
      <c r="AB198" s="27" t="s">
        <v>559</v>
      </c>
      <c r="AC198" s="27" t="s">
        <v>4958</v>
      </c>
      <c r="AD198" s="28">
        <v>46206.332112349533</v>
      </c>
      <c r="AE198" s="27" t="s">
        <v>3261</v>
      </c>
      <c r="AF198" s="27" t="s">
        <v>559</v>
      </c>
      <c r="AG198" s="27" t="s">
        <v>4959</v>
      </c>
      <c r="AH198" s="28">
        <v>46246.089970011577</v>
      </c>
      <c r="AI198" s="27" t="s">
        <v>295</v>
      </c>
      <c r="AJ198" s="27" t="s">
        <v>559</v>
      </c>
      <c r="AK198" s="27" t="s">
        <v>4960</v>
      </c>
      <c r="AL198" s="27" t="s">
        <v>4961</v>
      </c>
    </row>
    <row r="199" spans="1:38">
      <c r="A199" s="27" t="s">
        <v>4962</v>
      </c>
      <c r="B199" s="27" t="s">
        <v>4963</v>
      </c>
      <c r="C199" s="27" t="s">
        <v>1801</v>
      </c>
      <c r="D199" s="27" t="s">
        <v>3252</v>
      </c>
      <c r="E199" s="27" t="s">
        <v>638</v>
      </c>
      <c r="F199" s="28">
        <v>46205.130692592589</v>
      </c>
      <c r="G199" s="28">
        <v>46205.130692592589</v>
      </c>
      <c r="H199" s="28">
        <v>46243.642616840276</v>
      </c>
      <c r="I199" s="27" t="s">
        <v>1810</v>
      </c>
      <c r="J199" s="27" t="s">
        <v>1802</v>
      </c>
      <c r="K199" s="27">
        <v>1709</v>
      </c>
      <c r="L199" s="27" t="s">
        <v>1803</v>
      </c>
      <c r="M199" s="27" t="s">
        <v>1118</v>
      </c>
      <c r="N199" s="27" t="s">
        <v>1802</v>
      </c>
      <c r="O199" s="27" t="s">
        <v>3322</v>
      </c>
      <c r="P199" s="27" t="s">
        <v>3292</v>
      </c>
      <c r="Q199" s="27" t="s">
        <v>4964</v>
      </c>
      <c r="R199" s="27" t="s">
        <v>116</v>
      </c>
      <c r="S199" s="27"/>
      <c r="T199" s="27"/>
      <c r="U199" s="27" t="s">
        <v>4965</v>
      </c>
      <c r="V199" s="28">
        <v>46205.140497222223</v>
      </c>
      <c r="W199" s="27" t="s">
        <v>1121</v>
      </c>
      <c r="X199" s="27" t="s">
        <v>559</v>
      </c>
      <c r="Y199" s="27" t="s">
        <v>4966</v>
      </c>
      <c r="Z199" s="28">
        <v>46210.128969386577</v>
      </c>
      <c r="AA199" s="27" t="s">
        <v>2748</v>
      </c>
      <c r="AB199" s="27" t="s">
        <v>559</v>
      </c>
      <c r="AC199" s="27" t="s">
        <v>4967</v>
      </c>
      <c r="AD199" s="28">
        <v>46219.152023043978</v>
      </c>
      <c r="AE199" s="27" t="s">
        <v>249</v>
      </c>
      <c r="AF199" s="27" t="s">
        <v>559</v>
      </c>
      <c r="AG199" s="27" t="s">
        <v>4968</v>
      </c>
      <c r="AH199" s="28">
        <v>46243.642616840276</v>
      </c>
      <c r="AI199" s="27" t="s">
        <v>168</v>
      </c>
      <c r="AJ199" s="27" t="s">
        <v>559</v>
      </c>
      <c r="AK199" s="27" t="s">
        <v>4969</v>
      </c>
      <c r="AL199" s="27" t="s">
        <v>3582</v>
      </c>
    </row>
    <row r="200" spans="1:38">
      <c r="A200" s="27" t="s">
        <v>4970</v>
      </c>
      <c r="B200" s="27" t="s">
        <v>4971</v>
      </c>
      <c r="C200" s="27" t="s">
        <v>3085</v>
      </c>
      <c r="D200" s="27" t="s">
        <v>3252</v>
      </c>
      <c r="E200" s="27" t="s">
        <v>549</v>
      </c>
      <c r="F200" s="28">
        <v>46205.247493518516</v>
      </c>
      <c r="G200" s="28">
        <v>46205.247493518516</v>
      </c>
      <c r="H200" s="28">
        <v>46210.275485092592</v>
      </c>
      <c r="I200" s="27" t="s">
        <v>883</v>
      </c>
      <c r="J200" s="27" t="s">
        <v>874</v>
      </c>
      <c r="K200" s="27">
        <v>4343</v>
      </c>
      <c r="L200" s="27" t="s">
        <v>875</v>
      </c>
      <c r="M200" s="27" t="s">
        <v>4972</v>
      </c>
      <c r="N200" s="27" t="s">
        <v>4421</v>
      </c>
      <c r="O200" s="27" t="s">
        <v>3256</v>
      </c>
      <c r="P200" s="27" t="s">
        <v>3257</v>
      </c>
      <c r="Q200" s="27" t="s">
        <v>4973</v>
      </c>
      <c r="R200" s="27" t="s">
        <v>107</v>
      </c>
      <c r="S200" s="27"/>
      <c r="T200" s="27"/>
      <c r="U200" s="27" t="s">
        <v>4974</v>
      </c>
      <c r="V200" s="28">
        <v>46205.253328599538</v>
      </c>
      <c r="W200" s="27" t="s">
        <v>4975</v>
      </c>
      <c r="X200" s="27" t="s">
        <v>559</v>
      </c>
      <c r="Y200" s="27" t="s">
        <v>4976</v>
      </c>
      <c r="Z200" s="28">
        <v>46210.275485115744</v>
      </c>
      <c r="AA200" s="27" t="s">
        <v>2748</v>
      </c>
      <c r="AB200" s="27" t="s">
        <v>549</v>
      </c>
      <c r="AC200" s="27"/>
      <c r="AD200" s="28"/>
      <c r="AE200" s="27" t="s">
        <v>2491</v>
      </c>
      <c r="AF200" s="27"/>
      <c r="AG200" s="27"/>
      <c r="AH200" s="28"/>
      <c r="AI200" s="27" t="s">
        <v>126</v>
      </c>
      <c r="AJ200" s="27"/>
      <c r="AK200" s="27"/>
      <c r="AL200" s="27" t="s">
        <v>4426</v>
      </c>
    </row>
    <row r="201" spans="1:38">
      <c r="A201" s="27" t="s">
        <v>4977</v>
      </c>
      <c r="B201" s="27" t="s">
        <v>4978</v>
      </c>
      <c r="C201" s="27" t="s">
        <v>1474</v>
      </c>
      <c r="D201" s="27" t="s">
        <v>3252</v>
      </c>
      <c r="E201" s="27" t="s">
        <v>549</v>
      </c>
      <c r="F201" s="28">
        <v>46205.273837337962</v>
      </c>
      <c r="G201" s="28">
        <v>46205.273837337962</v>
      </c>
      <c r="H201" s="28">
        <v>46210.31215957176</v>
      </c>
      <c r="I201" s="27" t="s">
        <v>4410</v>
      </c>
      <c r="J201" s="27" t="s">
        <v>316</v>
      </c>
      <c r="K201" s="27">
        <v>4712</v>
      </c>
      <c r="L201" s="27" t="s">
        <v>317</v>
      </c>
      <c r="M201" s="27" t="s">
        <v>3761</v>
      </c>
      <c r="N201" s="27" t="s">
        <v>4411</v>
      </c>
      <c r="O201" s="27" t="s">
        <v>3256</v>
      </c>
      <c r="P201" s="27" t="s">
        <v>3257</v>
      </c>
      <c r="Q201" s="27" t="s">
        <v>4890</v>
      </c>
      <c r="R201" s="27" t="s">
        <v>116</v>
      </c>
      <c r="S201" s="27"/>
      <c r="T201" s="27"/>
      <c r="U201" s="27" t="s">
        <v>4979</v>
      </c>
      <c r="V201" s="28">
        <v>46206.035079745372</v>
      </c>
      <c r="W201" s="27" t="s">
        <v>1362</v>
      </c>
      <c r="X201" s="27" t="s">
        <v>559</v>
      </c>
      <c r="Y201" s="27" t="s">
        <v>4980</v>
      </c>
      <c r="Z201" s="28">
        <v>46210.312159583336</v>
      </c>
      <c r="AA201" s="27" t="s">
        <v>2748</v>
      </c>
      <c r="AB201" s="27" t="s">
        <v>549</v>
      </c>
      <c r="AC201" s="27"/>
      <c r="AD201" s="28"/>
      <c r="AE201" s="27" t="s">
        <v>2491</v>
      </c>
      <c r="AF201" s="27"/>
      <c r="AG201" s="27"/>
      <c r="AH201" s="28"/>
      <c r="AI201" s="27" t="s">
        <v>126</v>
      </c>
      <c r="AJ201" s="27"/>
      <c r="AK201" s="27"/>
      <c r="AL201" s="27" t="s">
        <v>4418</v>
      </c>
    </row>
    <row r="202" spans="1:38">
      <c r="A202" s="27" t="s">
        <v>4981</v>
      </c>
      <c r="B202" s="27" t="s">
        <v>4982</v>
      </c>
      <c r="C202" s="27" t="s">
        <v>609</v>
      </c>
      <c r="D202" s="27" t="s">
        <v>3252</v>
      </c>
      <c r="E202" s="27" t="s">
        <v>549</v>
      </c>
      <c r="F202" s="28">
        <v>46208.780881886574</v>
      </c>
      <c r="G202" s="28">
        <v>46208.780881886574</v>
      </c>
      <c r="H202" s="28">
        <v>46209.076778958333</v>
      </c>
      <c r="I202" s="27" t="s">
        <v>2741</v>
      </c>
      <c r="J202" s="27" t="s">
        <v>164</v>
      </c>
      <c r="K202" s="27">
        <v>1824</v>
      </c>
      <c r="L202" s="27" t="s">
        <v>165</v>
      </c>
      <c r="M202" s="27" t="s">
        <v>807</v>
      </c>
      <c r="N202" s="27" t="s">
        <v>3649</v>
      </c>
      <c r="O202" s="27" t="s">
        <v>3256</v>
      </c>
      <c r="P202" s="27" t="s">
        <v>3344</v>
      </c>
      <c r="Q202" s="27" t="s">
        <v>4983</v>
      </c>
      <c r="R202" s="27"/>
      <c r="S202" s="27"/>
      <c r="T202" s="27"/>
      <c r="U202" s="27" t="s">
        <v>4984</v>
      </c>
      <c r="V202" s="28">
        <v>46209.076778958333</v>
      </c>
      <c r="W202" s="27" t="s">
        <v>609</v>
      </c>
      <c r="X202" s="27" t="s">
        <v>549</v>
      </c>
      <c r="Y202" s="27"/>
      <c r="Z202" s="28"/>
      <c r="AA202" s="27" t="s">
        <v>2723</v>
      </c>
      <c r="AB202" s="27"/>
      <c r="AC202" s="27"/>
      <c r="AD202" s="28"/>
      <c r="AE202" s="27" t="s">
        <v>2491</v>
      </c>
      <c r="AF202" s="27"/>
      <c r="AG202" s="27"/>
      <c r="AH202" s="28"/>
      <c r="AI202" s="27" t="s">
        <v>126</v>
      </c>
      <c r="AJ202" s="27"/>
      <c r="AK202" s="27"/>
      <c r="AL202" s="27" t="s">
        <v>4985</v>
      </c>
    </row>
    <row r="203" spans="1:38">
      <c r="A203" s="27" t="s">
        <v>4986</v>
      </c>
      <c r="B203" s="27" t="s">
        <v>4987</v>
      </c>
      <c r="C203" s="27" t="s">
        <v>609</v>
      </c>
      <c r="D203" s="27" t="s">
        <v>3252</v>
      </c>
      <c r="E203" s="27" t="s">
        <v>638</v>
      </c>
      <c r="F203" s="28">
        <v>46209.139780983794</v>
      </c>
      <c r="G203" s="28">
        <v>46209.139780983794</v>
      </c>
      <c r="H203" s="28">
        <v>46231.281352951388</v>
      </c>
      <c r="I203" s="27" t="s">
        <v>2741</v>
      </c>
      <c r="J203" s="27" t="s">
        <v>164</v>
      </c>
      <c r="K203" s="27">
        <v>1824</v>
      </c>
      <c r="L203" s="27" t="s">
        <v>165</v>
      </c>
      <c r="M203" s="27" t="s">
        <v>807</v>
      </c>
      <c r="N203" s="27" t="s">
        <v>3649</v>
      </c>
      <c r="O203" s="27" t="s">
        <v>3256</v>
      </c>
      <c r="P203" s="27" t="s">
        <v>3344</v>
      </c>
      <c r="Q203" s="27" t="s">
        <v>4988</v>
      </c>
      <c r="R203" s="27" t="s">
        <v>116</v>
      </c>
      <c r="S203" s="27"/>
      <c r="T203" s="27"/>
      <c r="U203" s="27" t="s">
        <v>559</v>
      </c>
      <c r="V203" s="28">
        <v>46209.140441539355</v>
      </c>
      <c r="W203" s="27" t="s">
        <v>609</v>
      </c>
      <c r="X203" s="27" t="s">
        <v>559</v>
      </c>
      <c r="Y203" s="27" t="s">
        <v>2303</v>
      </c>
      <c r="Z203" s="28">
        <v>46209.143855219911</v>
      </c>
      <c r="AA203" s="27" t="s">
        <v>2748</v>
      </c>
      <c r="AB203" s="27" t="s">
        <v>559</v>
      </c>
      <c r="AC203" s="27" t="s">
        <v>4989</v>
      </c>
      <c r="AD203" s="28">
        <v>46209.14689827546</v>
      </c>
      <c r="AE203" s="27" t="s">
        <v>249</v>
      </c>
      <c r="AF203" s="27" t="s">
        <v>559</v>
      </c>
      <c r="AG203" s="27" t="s">
        <v>4990</v>
      </c>
      <c r="AH203" s="28">
        <v>46231.281352951388</v>
      </c>
      <c r="AI203" s="27" t="s">
        <v>609</v>
      </c>
      <c r="AJ203" s="27" t="s">
        <v>559</v>
      </c>
      <c r="AK203" s="27" t="s">
        <v>4991</v>
      </c>
      <c r="AL203" s="27" t="s">
        <v>4985</v>
      </c>
    </row>
    <row r="204" spans="1:38">
      <c r="A204" s="27" t="s">
        <v>4992</v>
      </c>
      <c r="B204" s="27" t="s">
        <v>4993</v>
      </c>
      <c r="C204" s="27" t="s">
        <v>1275</v>
      </c>
      <c r="D204" s="27" t="s">
        <v>3252</v>
      </c>
      <c r="E204" s="27" t="s">
        <v>638</v>
      </c>
      <c r="F204" s="28">
        <v>46211.118666770832</v>
      </c>
      <c r="G204" s="28">
        <v>46211.118666770832</v>
      </c>
      <c r="H204" s="28">
        <v>46243.349771643516</v>
      </c>
      <c r="I204" s="27" t="s">
        <v>1281</v>
      </c>
      <c r="J204" s="27" t="s">
        <v>1276</v>
      </c>
      <c r="K204" s="27" t="s">
        <v>4994</v>
      </c>
      <c r="L204" s="27" t="s">
        <v>4995</v>
      </c>
      <c r="M204" s="27" t="s">
        <v>1278</v>
      </c>
      <c r="N204" s="27" t="s">
        <v>4996</v>
      </c>
      <c r="O204" s="27" t="s">
        <v>4145</v>
      </c>
      <c r="P204" s="27" t="s">
        <v>3257</v>
      </c>
      <c r="Q204" s="27" t="s">
        <v>4997</v>
      </c>
      <c r="R204" s="27" t="s">
        <v>107</v>
      </c>
      <c r="S204" s="27"/>
      <c r="T204" s="27"/>
      <c r="U204" s="27" t="s">
        <v>4147</v>
      </c>
      <c r="V204" s="28">
        <v>46211.118666770832</v>
      </c>
      <c r="W204" s="27" t="s">
        <v>1278</v>
      </c>
      <c r="X204" s="27" t="s">
        <v>559</v>
      </c>
      <c r="Y204" s="27" t="s">
        <v>4147</v>
      </c>
      <c r="Z204" s="28">
        <v>46211.118666770832</v>
      </c>
      <c r="AA204" s="27" t="s">
        <v>3325</v>
      </c>
      <c r="AB204" s="27" t="s">
        <v>559</v>
      </c>
      <c r="AC204" s="27" t="s">
        <v>2597</v>
      </c>
      <c r="AD204" s="28">
        <v>46222.851107430557</v>
      </c>
      <c r="AE204" s="27" t="s">
        <v>162</v>
      </c>
      <c r="AF204" s="27" t="s">
        <v>559</v>
      </c>
      <c r="AG204" s="27" t="s">
        <v>4998</v>
      </c>
      <c r="AH204" s="28">
        <v>46243.349771678244</v>
      </c>
      <c r="AI204" s="27" t="s">
        <v>158</v>
      </c>
      <c r="AJ204" s="27" t="s">
        <v>559</v>
      </c>
      <c r="AK204" s="27" t="s">
        <v>4999</v>
      </c>
      <c r="AL204" s="27" t="s">
        <v>5000</v>
      </c>
    </row>
    <row r="205" spans="1:38">
      <c r="A205" s="27" t="s">
        <v>5001</v>
      </c>
      <c r="B205" s="27" t="s">
        <v>5002</v>
      </c>
      <c r="C205" s="27" t="s">
        <v>3458</v>
      </c>
      <c r="D205" s="27" t="s">
        <v>3252</v>
      </c>
      <c r="E205" s="27" t="s">
        <v>638</v>
      </c>
      <c r="F205" s="28">
        <v>46211.369382627316</v>
      </c>
      <c r="G205" s="28">
        <v>46211.369382627316</v>
      </c>
      <c r="H205" s="28">
        <v>46237.205435162039</v>
      </c>
      <c r="I205" s="27" t="s">
        <v>4950</v>
      </c>
      <c r="J205" s="27" t="s">
        <v>4951</v>
      </c>
      <c r="K205" s="27" t="s">
        <v>4952</v>
      </c>
      <c r="L205" s="27" t="s">
        <v>4953</v>
      </c>
      <c r="M205" s="27" t="s">
        <v>5003</v>
      </c>
      <c r="N205" s="27" t="s">
        <v>5004</v>
      </c>
      <c r="O205" s="27" t="s">
        <v>3256</v>
      </c>
      <c r="P205" s="27" t="s">
        <v>3344</v>
      </c>
      <c r="Q205" s="27" t="s">
        <v>5005</v>
      </c>
      <c r="R205" s="27" t="s">
        <v>125</v>
      </c>
      <c r="S205" s="27"/>
      <c r="T205" s="27"/>
      <c r="U205" s="27" t="s">
        <v>5006</v>
      </c>
      <c r="V205" s="28">
        <v>46211.388677453702</v>
      </c>
      <c r="W205" s="27" t="s">
        <v>5007</v>
      </c>
      <c r="X205" s="27" t="s">
        <v>559</v>
      </c>
      <c r="Y205" s="27" t="s">
        <v>5008</v>
      </c>
      <c r="Z205" s="28">
        <v>46218.277658935185</v>
      </c>
      <c r="AA205" s="27" t="s">
        <v>2748</v>
      </c>
      <c r="AB205" s="27" t="s">
        <v>559</v>
      </c>
      <c r="AC205" s="27" t="s">
        <v>3802</v>
      </c>
      <c r="AD205" s="28">
        <v>46218.409872708333</v>
      </c>
      <c r="AE205" s="27" t="s">
        <v>162</v>
      </c>
      <c r="AF205" s="27" t="s">
        <v>559</v>
      </c>
      <c r="AG205" s="27" t="s">
        <v>4941</v>
      </c>
      <c r="AH205" s="28">
        <v>46237.205435173608</v>
      </c>
      <c r="AI205" s="27" t="s">
        <v>295</v>
      </c>
      <c r="AJ205" s="27" t="s">
        <v>559</v>
      </c>
      <c r="AK205" s="27" t="s">
        <v>5009</v>
      </c>
      <c r="AL205" s="27" t="s">
        <v>4961</v>
      </c>
    </row>
    <row r="206" spans="1:38">
      <c r="A206" s="27" t="s">
        <v>5010</v>
      </c>
      <c r="B206" s="27" t="s">
        <v>5011</v>
      </c>
      <c r="C206" s="27" t="s">
        <v>1801</v>
      </c>
      <c r="D206" s="27" t="s">
        <v>3252</v>
      </c>
      <c r="E206" s="27" t="s">
        <v>638</v>
      </c>
      <c r="F206" s="28">
        <v>46212.067548391205</v>
      </c>
      <c r="G206" s="28">
        <v>46212.067548391205</v>
      </c>
      <c r="H206" s="28">
        <v>46228.27258326389</v>
      </c>
      <c r="I206" s="27" t="s">
        <v>1810</v>
      </c>
      <c r="J206" s="27" t="s">
        <v>1802</v>
      </c>
      <c r="K206" s="27">
        <v>1709</v>
      </c>
      <c r="L206" s="27" t="s">
        <v>1803</v>
      </c>
      <c r="M206" s="27" t="s">
        <v>1121</v>
      </c>
      <c r="N206" s="27" t="s">
        <v>1802</v>
      </c>
      <c r="O206" s="27" t="s">
        <v>3322</v>
      </c>
      <c r="P206" s="27" t="s">
        <v>3292</v>
      </c>
      <c r="Q206" s="27" t="s">
        <v>5012</v>
      </c>
      <c r="R206" s="27" t="s">
        <v>107</v>
      </c>
      <c r="S206" s="27"/>
      <c r="T206" s="27"/>
      <c r="U206" s="27" t="s">
        <v>559</v>
      </c>
      <c r="V206" s="28">
        <v>46212.069993645833</v>
      </c>
      <c r="W206" s="27" t="s">
        <v>1121</v>
      </c>
      <c r="X206" s="27" t="s">
        <v>559</v>
      </c>
      <c r="Y206" s="27" t="s">
        <v>5013</v>
      </c>
      <c r="Z206" s="28">
        <v>46218.290934340279</v>
      </c>
      <c r="AA206" s="27" t="s">
        <v>2748</v>
      </c>
      <c r="AB206" s="27" t="s">
        <v>559</v>
      </c>
      <c r="AC206" s="27" t="s">
        <v>2665</v>
      </c>
      <c r="AD206" s="28">
        <v>46219.039441828703</v>
      </c>
      <c r="AE206" s="27" t="s">
        <v>162</v>
      </c>
      <c r="AF206" s="27" t="s">
        <v>559</v>
      </c>
      <c r="AG206" s="27" t="s">
        <v>5014</v>
      </c>
      <c r="AH206" s="28">
        <v>46228.272583275466</v>
      </c>
      <c r="AI206" s="27" t="s">
        <v>295</v>
      </c>
      <c r="AJ206" s="27" t="s">
        <v>559</v>
      </c>
      <c r="AK206" s="27" t="s">
        <v>5015</v>
      </c>
      <c r="AL206" s="27" t="s">
        <v>3582</v>
      </c>
    </row>
    <row r="207" spans="1:38">
      <c r="A207" s="27" t="s">
        <v>5016</v>
      </c>
      <c r="B207" s="27" t="s">
        <v>311</v>
      </c>
      <c r="C207" s="27" t="s">
        <v>5017</v>
      </c>
      <c r="D207" s="27" t="s">
        <v>3252</v>
      </c>
      <c r="E207" s="27" t="s">
        <v>67</v>
      </c>
      <c r="F207" s="28">
        <v>46212.141928333331</v>
      </c>
      <c r="G207" s="28">
        <v>46212.141928333331</v>
      </c>
      <c r="H207" s="28">
        <v>46219.037344803241</v>
      </c>
      <c r="I207" s="27" t="s">
        <v>2636</v>
      </c>
      <c r="J207" s="27" t="s">
        <v>224</v>
      </c>
      <c r="K207" s="27" t="s">
        <v>2637</v>
      </c>
      <c r="L207" s="27" t="s">
        <v>224</v>
      </c>
      <c r="M207" s="27" t="s">
        <v>2634</v>
      </c>
      <c r="N207" s="27" t="s">
        <v>4449</v>
      </c>
      <c r="O207" s="27" t="s">
        <v>3256</v>
      </c>
      <c r="P207" s="27" t="s">
        <v>3257</v>
      </c>
      <c r="Q207" s="27" t="s">
        <v>5018</v>
      </c>
      <c r="R207" s="27" t="s">
        <v>125</v>
      </c>
      <c r="S207" s="27"/>
      <c r="T207" s="27"/>
      <c r="U207" s="27" t="s">
        <v>1109</v>
      </c>
      <c r="V207" s="28">
        <v>46212.145349629631</v>
      </c>
      <c r="W207" s="27" t="s">
        <v>2634</v>
      </c>
      <c r="X207" s="27" t="s">
        <v>559</v>
      </c>
      <c r="Y207" s="27" t="s">
        <v>5019</v>
      </c>
      <c r="Z207" s="28">
        <v>46212.147386666664</v>
      </c>
      <c r="AA207" s="27" t="s">
        <v>2634</v>
      </c>
      <c r="AB207" s="27" t="s">
        <v>559</v>
      </c>
      <c r="AC207" s="27" t="s">
        <v>3802</v>
      </c>
      <c r="AD207" s="28">
        <v>46219.037344814817</v>
      </c>
      <c r="AE207" s="27" t="s">
        <v>162</v>
      </c>
      <c r="AF207" s="27" t="s">
        <v>559</v>
      </c>
      <c r="AG207" s="27"/>
      <c r="AH207" s="28"/>
      <c r="AI207" s="27" t="s">
        <v>158</v>
      </c>
      <c r="AJ207" s="27"/>
      <c r="AK207" s="27" t="s">
        <v>5020</v>
      </c>
      <c r="AL207" s="27" t="s">
        <v>4452</v>
      </c>
    </row>
    <row r="208" spans="1:38">
      <c r="A208" s="27" t="s">
        <v>5021</v>
      </c>
      <c r="B208" s="27" t="s">
        <v>5022</v>
      </c>
      <c r="C208" s="27" t="s">
        <v>4470</v>
      </c>
      <c r="D208" s="27" t="s">
        <v>3252</v>
      </c>
      <c r="E208" s="27" t="s">
        <v>549</v>
      </c>
      <c r="F208" s="28">
        <v>46216.133661770837</v>
      </c>
      <c r="G208" s="28">
        <v>46216.133661770837</v>
      </c>
      <c r="H208" s="28">
        <v>46216.331451273145</v>
      </c>
      <c r="I208" s="27" t="s">
        <v>4471</v>
      </c>
      <c r="J208" s="27" t="s">
        <v>4472</v>
      </c>
      <c r="K208" s="27" t="s">
        <v>4473</v>
      </c>
      <c r="L208" s="27" t="s">
        <v>4474</v>
      </c>
      <c r="M208" s="27" t="s">
        <v>4475</v>
      </c>
      <c r="N208" s="27" t="s">
        <v>4474</v>
      </c>
      <c r="O208" s="27" t="s">
        <v>3256</v>
      </c>
      <c r="P208" s="27" t="s">
        <v>3257</v>
      </c>
      <c r="Q208" s="27" t="s">
        <v>5023</v>
      </c>
      <c r="R208" s="27"/>
      <c r="S208" s="27"/>
      <c r="T208" s="27"/>
      <c r="U208" s="27"/>
      <c r="V208" s="28">
        <v>46216.331451284721</v>
      </c>
      <c r="W208" s="27" t="s">
        <v>4475</v>
      </c>
      <c r="X208" s="27" t="s">
        <v>549</v>
      </c>
      <c r="Y208" s="27"/>
      <c r="Z208" s="28"/>
      <c r="AA208" s="27" t="s">
        <v>2723</v>
      </c>
      <c r="AB208" s="27"/>
      <c r="AC208" s="27"/>
      <c r="AD208" s="28"/>
      <c r="AE208" s="27" t="s">
        <v>2491</v>
      </c>
      <c r="AF208" s="27"/>
      <c r="AG208" s="27"/>
      <c r="AH208" s="28"/>
      <c r="AI208" s="27" t="s">
        <v>126</v>
      </c>
      <c r="AJ208" s="27"/>
      <c r="AK208" s="27"/>
      <c r="AL208" s="27" t="s">
        <v>4481</v>
      </c>
    </row>
    <row r="209" spans="1:38">
      <c r="A209" s="27" t="s">
        <v>5024</v>
      </c>
      <c r="B209" s="27" t="s">
        <v>5025</v>
      </c>
      <c r="C209" s="27" t="s">
        <v>4470</v>
      </c>
      <c r="D209" s="27" t="s">
        <v>3252</v>
      </c>
      <c r="E209" s="27" t="s">
        <v>549</v>
      </c>
      <c r="F209" s="28">
        <v>46216.326334861114</v>
      </c>
      <c r="G209" s="28">
        <v>46216.326334861114</v>
      </c>
      <c r="H209" s="28">
        <v>46222.844187002316</v>
      </c>
      <c r="I209" s="27" t="s">
        <v>4471</v>
      </c>
      <c r="J209" s="27" t="s">
        <v>4472</v>
      </c>
      <c r="K209" s="27" t="s">
        <v>4473</v>
      </c>
      <c r="L209" s="27" t="s">
        <v>4474</v>
      </c>
      <c r="M209" s="27" t="s">
        <v>4475</v>
      </c>
      <c r="N209" s="27" t="s">
        <v>4474</v>
      </c>
      <c r="O209" s="27" t="s">
        <v>3256</v>
      </c>
      <c r="P209" s="27" t="s">
        <v>3257</v>
      </c>
      <c r="Q209" s="27" t="s">
        <v>5026</v>
      </c>
      <c r="R209" s="27" t="s">
        <v>107</v>
      </c>
      <c r="S209" s="27"/>
      <c r="T209" s="27"/>
      <c r="U209" s="27" t="s">
        <v>1109</v>
      </c>
      <c r="V209" s="28">
        <v>46216.331883622683</v>
      </c>
      <c r="W209" s="27" t="s">
        <v>4475</v>
      </c>
      <c r="X209" s="27" t="s">
        <v>559</v>
      </c>
      <c r="Y209" s="27" t="s">
        <v>2749</v>
      </c>
      <c r="Z209" s="28">
        <v>46220.630814606484</v>
      </c>
      <c r="AA209" s="27" t="s">
        <v>2748</v>
      </c>
      <c r="AB209" s="27" t="s">
        <v>559</v>
      </c>
      <c r="AC209" s="27" t="s">
        <v>5027</v>
      </c>
      <c r="AD209" s="28">
        <v>46222.844187013892</v>
      </c>
      <c r="AE209" s="27" t="s">
        <v>162</v>
      </c>
      <c r="AF209" s="27" t="s">
        <v>549</v>
      </c>
      <c r="AG209" s="27"/>
      <c r="AH209" s="28"/>
      <c r="AI209" s="27" t="s">
        <v>295</v>
      </c>
      <c r="AJ209" s="27"/>
      <c r="AK209" s="27" t="s">
        <v>5028</v>
      </c>
      <c r="AL209" s="27" t="s">
        <v>4481</v>
      </c>
    </row>
    <row r="210" spans="1:38">
      <c r="A210" s="27" t="s">
        <v>5029</v>
      </c>
      <c r="B210" s="27" t="s">
        <v>5030</v>
      </c>
      <c r="C210" s="27" t="s">
        <v>3085</v>
      </c>
      <c r="D210" s="27" t="s">
        <v>3252</v>
      </c>
      <c r="E210" s="27" t="s">
        <v>549</v>
      </c>
      <c r="F210" s="28">
        <v>46217.062814861114</v>
      </c>
      <c r="G210" s="28">
        <v>46217.062814861114</v>
      </c>
      <c r="H210" s="28">
        <v>46226.165743032405</v>
      </c>
      <c r="I210" s="27" t="s">
        <v>883</v>
      </c>
      <c r="J210" s="27" t="s">
        <v>874</v>
      </c>
      <c r="K210" s="27">
        <v>4343</v>
      </c>
      <c r="L210" s="27" t="s">
        <v>875</v>
      </c>
      <c r="M210" s="27" t="s">
        <v>4972</v>
      </c>
      <c r="N210" s="27" t="s">
        <v>4421</v>
      </c>
      <c r="O210" s="27" t="s">
        <v>3256</v>
      </c>
      <c r="P210" s="27" t="s">
        <v>3292</v>
      </c>
      <c r="Q210" s="27" t="s">
        <v>5031</v>
      </c>
      <c r="R210" s="27" t="s">
        <v>116</v>
      </c>
      <c r="S210" s="27"/>
      <c r="T210" s="27"/>
      <c r="U210" s="27" t="s">
        <v>5032</v>
      </c>
      <c r="V210" s="28">
        <v>46224.261606319444</v>
      </c>
      <c r="W210" s="27" t="s">
        <v>4975</v>
      </c>
      <c r="X210" s="27" t="s">
        <v>559</v>
      </c>
      <c r="Y210" s="27" t="s">
        <v>5033</v>
      </c>
      <c r="Z210" s="28">
        <v>46226.165743043981</v>
      </c>
      <c r="AA210" s="27" t="s">
        <v>2748</v>
      </c>
      <c r="AB210" s="27" t="s">
        <v>549</v>
      </c>
      <c r="AC210" s="27"/>
      <c r="AD210" s="28"/>
      <c r="AE210" s="27" t="s">
        <v>2491</v>
      </c>
      <c r="AF210" s="27"/>
      <c r="AG210" s="27"/>
      <c r="AH210" s="28"/>
      <c r="AI210" s="27" t="s">
        <v>126</v>
      </c>
      <c r="AJ210" s="27"/>
      <c r="AK210" s="27"/>
      <c r="AL210" s="27" t="s">
        <v>4426</v>
      </c>
    </row>
    <row r="211" spans="1:38">
      <c r="A211" s="27" t="s">
        <v>5034</v>
      </c>
      <c r="B211" s="27" t="s">
        <v>5035</v>
      </c>
      <c r="C211" s="27" t="s">
        <v>5036</v>
      </c>
      <c r="D211" s="27" t="s">
        <v>3252</v>
      </c>
      <c r="E211" s="27" t="s">
        <v>549</v>
      </c>
      <c r="F211" s="28">
        <v>46217.262512777779</v>
      </c>
      <c r="G211" s="28">
        <v>46217.278950370368</v>
      </c>
      <c r="H211" s="28">
        <v>46226.178674490744</v>
      </c>
      <c r="I211" s="27" t="s">
        <v>5037</v>
      </c>
      <c r="J211" s="27" t="s">
        <v>5038</v>
      </c>
      <c r="K211" s="27" t="s">
        <v>5039</v>
      </c>
      <c r="L211" s="27" t="s">
        <v>5040</v>
      </c>
      <c r="M211" s="27" t="s">
        <v>5041</v>
      </c>
      <c r="N211" s="27" t="s">
        <v>5042</v>
      </c>
      <c r="O211" s="27" t="s">
        <v>3256</v>
      </c>
      <c r="P211" s="27" t="s">
        <v>3257</v>
      </c>
      <c r="Q211" s="27" t="s">
        <v>5043</v>
      </c>
      <c r="R211" s="27" t="s">
        <v>125</v>
      </c>
      <c r="S211" s="27"/>
      <c r="T211" s="27"/>
      <c r="U211" s="27" t="s">
        <v>2597</v>
      </c>
      <c r="V211" s="28">
        <v>46218.009582233797</v>
      </c>
      <c r="W211" s="27" t="s">
        <v>1249</v>
      </c>
      <c r="X211" s="27" t="s">
        <v>559</v>
      </c>
      <c r="Y211" s="27" t="s">
        <v>5044</v>
      </c>
      <c r="Z211" s="28">
        <v>46226.178674502313</v>
      </c>
      <c r="AA211" s="27" t="s">
        <v>2748</v>
      </c>
      <c r="AB211" s="27" t="s">
        <v>549</v>
      </c>
      <c r="AC211" s="27"/>
      <c r="AD211" s="28"/>
      <c r="AE211" s="27" t="s">
        <v>2491</v>
      </c>
      <c r="AF211" s="27"/>
      <c r="AG211" s="27"/>
      <c r="AH211" s="28"/>
      <c r="AI211" s="27" t="s">
        <v>126</v>
      </c>
      <c r="AJ211" s="27"/>
      <c r="AK211" s="27"/>
      <c r="AL211" s="27" t="s">
        <v>5045</v>
      </c>
    </row>
    <row r="212" spans="1:38">
      <c r="A212" s="27" t="s">
        <v>5046</v>
      </c>
      <c r="B212" s="27" t="s">
        <v>362</v>
      </c>
      <c r="C212" s="27" t="s">
        <v>4761</v>
      </c>
      <c r="D212" s="27" t="s">
        <v>3252</v>
      </c>
      <c r="E212" s="27" t="s">
        <v>67</v>
      </c>
      <c r="F212" s="28">
        <v>46217.442103761576</v>
      </c>
      <c r="G212" s="28">
        <v>46227.09271931713</v>
      </c>
      <c r="H212" s="28">
        <v>46233.103235925926</v>
      </c>
      <c r="I212" s="27" t="s">
        <v>4762</v>
      </c>
      <c r="J212" s="27" t="s">
        <v>363</v>
      </c>
      <c r="K212" s="27" t="s">
        <v>4763</v>
      </c>
      <c r="L212" s="27" t="s">
        <v>364</v>
      </c>
      <c r="M212" s="27" t="s">
        <v>4767</v>
      </c>
      <c r="N212" s="27" t="s">
        <v>363</v>
      </c>
      <c r="O212" s="27" t="s">
        <v>3256</v>
      </c>
      <c r="P212" s="27" t="s">
        <v>3257</v>
      </c>
      <c r="Q212" s="27" t="s">
        <v>5047</v>
      </c>
      <c r="R212" s="27" t="s">
        <v>125</v>
      </c>
      <c r="S212" s="27"/>
      <c r="T212" s="27"/>
      <c r="U212" s="27" t="s">
        <v>1109</v>
      </c>
      <c r="V212" s="28">
        <v>46227.162715347222</v>
      </c>
      <c r="W212" s="27" t="s">
        <v>4767</v>
      </c>
      <c r="X212" s="27" t="s">
        <v>559</v>
      </c>
      <c r="Y212" s="27" t="s">
        <v>2303</v>
      </c>
      <c r="Z212" s="28">
        <v>46231.350956458336</v>
      </c>
      <c r="AA212" s="27" t="s">
        <v>2748</v>
      </c>
      <c r="AB212" s="27" t="s">
        <v>559</v>
      </c>
      <c r="AC212" s="27" t="s">
        <v>631</v>
      </c>
      <c r="AD212" s="28">
        <v>46233.103235937502</v>
      </c>
      <c r="AE212" s="27" t="s">
        <v>162</v>
      </c>
      <c r="AF212" s="27" t="s">
        <v>559</v>
      </c>
      <c r="AG212" s="27"/>
      <c r="AH212" s="28"/>
      <c r="AI212" s="27" t="s">
        <v>295</v>
      </c>
      <c r="AJ212" s="27"/>
      <c r="AK212" s="27" t="s">
        <v>5048</v>
      </c>
      <c r="AL212" s="27" t="s">
        <v>4770</v>
      </c>
    </row>
    <row r="213" spans="1:38">
      <c r="A213" s="27" t="s">
        <v>5049</v>
      </c>
      <c r="B213" s="27" t="s">
        <v>313</v>
      </c>
      <c r="C213" s="27" t="s">
        <v>1923</v>
      </c>
      <c r="D213" s="27" t="s">
        <v>3252</v>
      </c>
      <c r="E213" s="27" t="s">
        <v>67</v>
      </c>
      <c r="F213" s="28">
        <v>46218.141300960648</v>
      </c>
      <c r="G213" s="28">
        <v>46220.555625081019</v>
      </c>
      <c r="H213" s="28">
        <v>46225.368280706018</v>
      </c>
      <c r="I213" s="27" t="s">
        <v>5050</v>
      </c>
      <c r="J213" s="27" t="s">
        <v>314</v>
      </c>
      <c r="K213" s="27" t="s">
        <v>5051</v>
      </c>
      <c r="L213" s="27" t="s">
        <v>314</v>
      </c>
      <c r="M213" s="27" t="s">
        <v>5052</v>
      </c>
      <c r="N213" s="27" t="s">
        <v>3860</v>
      </c>
      <c r="O213" s="27" t="s">
        <v>3256</v>
      </c>
      <c r="P213" s="27" t="s">
        <v>3292</v>
      </c>
      <c r="Q213" s="27" t="s">
        <v>5053</v>
      </c>
      <c r="R213" s="27" t="s">
        <v>125</v>
      </c>
      <c r="S213" s="27"/>
      <c r="T213" s="27"/>
      <c r="U213" s="27" t="s">
        <v>1032</v>
      </c>
      <c r="V213" s="28">
        <v>46220.61309309028</v>
      </c>
      <c r="W213" s="27" t="s">
        <v>5054</v>
      </c>
      <c r="X213" s="27" t="s">
        <v>559</v>
      </c>
      <c r="Y213" s="27" t="s">
        <v>2303</v>
      </c>
      <c r="Z213" s="28">
        <v>46220.623469895836</v>
      </c>
      <c r="AA213" s="27" t="s">
        <v>2748</v>
      </c>
      <c r="AB213" s="27" t="s">
        <v>559</v>
      </c>
      <c r="AC213" s="27" t="s">
        <v>631</v>
      </c>
      <c r="AD213" s="28">
        <v>46225.368280706018</v>
      </c>
      <c r="AE213" s="27" t="s">
        <v>162</v>
      </c>
      <c r="AF213" s="27" t="s">
        <v>559</v>
      </c>
      <c r="AG213" s="27"/>
      <c r="AH213" s="28"/>
      <c r="AI213" s="27" t="s">
        <v>158</v>
      </c>
      <c r="AJ213" s="27"/>
      <c r="AK213" s="27" t="s">
        <v>5055</v>
      </c>
      <c r="AL213" s="27" t="s">
        <v>5056</v>
      </c>
    </row>
    <row r="214" spans="1:38">
      <c r="A214" s="27" t="s">
        <v>5057</v>
      </c>
      <c r="B214" s="27" t="s">
        <v>5058</v>
      </c>
      <c r="C214" s="27" t="s">
        <v>5059</v>
      </c>
      <c r="D214" s="27" t="s">
        <v>3252</v>
      </c>
      <c r="E214" s="27" t="s">
        <v>549</v>
      </c>
      <c r="F214" s="28">
        <v>46219.060472442128</v>
      </c>
      <c r="G214" s="28">
        <v>46219.060472442128</v>
      </c>
      <c r="H214" s="28">
        <v>46222.802982372683</v>
      </c>
      <c r="I214" s="27" t="s">
        <v>5060</v>
      </c>
      <c r="J214" s="27" t="s">
        <v>5061</v>
      </c>
      <c r="K214" s="27" t="s">
        <v>5062</v>
      </c>
      <c r="L214" s="27" t="s">
        <v>5063</v>
      </c>
      <c r="M214" s="27" t="s">
        <v>5064</v>
      </c>
      <c r="N214" s="27" t="s">
        <v>5061</v>
      </c>
      <c r="O214" s="27" t="s">
        <v>3256</v>
      </c>
      <c r="P214" s="27" t="s">
        <v>3292</v>
      </c>
      <c r="Q214" s="27" t="s">
        <v>5065</v>
      </c>
      <c r="R214" s="27" t="s">
        <v>116</v>
      </c>
      <c r="S214" s="27"/>
      <c r="T214" s="27"/>
      <c r="U214" s="27" t="s">
        <v>5066</v>
      </c>
      <c r="V214" s="28">
        <v>46219.156686736111</v>
      </c>
      <c r="W214" s="27" t="s">
        <v>5064</v>
      </c>
      <c r="X214" s="27" t="s">
        <v>559</v>
      </c>
      <c r="Y214" s="27" t="s">
        <v>5067</v>
      </c>
      <c r="Z214" s="28">
        <v>46219.290057002312</v>
      </c>
      <c r="AA214" s="27" t="s">
        <v>1245</v>
      </c>
      <c r="AB214" s="27" t="s">
        <v>559</v>
      </c>
      <c r="AC214" s="27" t="s">
        <v>5068</v>
      </c>
      <c r="AD214" s="28">
        <v>46222.802982384259</v>
      </c>
      <c r="AE214" s="27" t="s">
        <v>162</v>
      </c>
      <c r="AF214" s="27" t="s">
        <v>549</v>
      </c>
      <c r="AG214" s="27"/>
      <c r="AH214" s="28"/>
      <c r="AI214" s="27" t="s">
        <v>126</v>
      </c>
      <c r="AJ214" s="27"/>
      <c r="AK214" s="27"/>
      <c r="AL214" s="27" t="s">
        <v>5069</v>
      </c>
    </row>
    <row r="215" spans="1:38">
      <c r="A215" s="27" t="s">
        <v>5070</v>
      </c>
      <c r="B215" s="27" t="s">
        <v>5071</v>
      </c>
      <c r="C215" s="27" t="s">
        <v>1421</v>
      </c>
      <c r="D215" s="27" t="s">
        <v>3252</v>
      </c>
      <c r="E215" s="27" t="s">
        <v>638</v>
      </c>
      <c r="F215" s="28">
        <v>46220.073677905093</v>
      </c>
      <c r="G215" s="28">
        <v>46220.089643009262</v>
      </c>
      <c r="H215" s="28">
        <v>46244.060159224537</v>
      </c>
      <c r="I215" s="27" t="s">
        <v>5072</v>
      </c>
      <c r="J215" s="27" t="s">
        <v>5073</v>
      </c>
      <c r="K215" s="27">
        <v>1814</v>
      </c>
      <c r="L215" s="27" t="s">
        <v>5074</v>
      </c>
      <c r="M215" s="27" t="s">
        <v>1121</v>
      </c>
      <c r="N215" s="27" t="s">
        <v>5075</v>
      </c>
      <c r="O215" s="27" t="s">
        <v>3256</v>
      </c>
      <c r="P215" s="27" t="s">
        <v>3257</v>
      </c>
      <c r="Q215" s="27" t="s">
        <v>5076</v>
      </c>
      <c r="R215" s="27" t="s">
        <v>116</v>
      </c>
      <c r="S215" s="27"/>
      <c r="T215" s="27"/>
      <c r="U215" s="27" t="s">
        <v>5077</v>
      </c>
      <c r="V215" s="28">
        <v>46220.118740196762</v>
      </c>
      <c r="W215" s="27" t="s">
        <v>1121</v>
      </c>
      <c r="X215" s="27" t="s">
        <v>559</v>
      </c>
      <c r="Y215" s="27" t="s">
        <v>5078</v>
      </c>
      <c r="Z215" s="28">
        <v>46220.313442812498</v>
      </c>
      <c r="AA215" s="27" t="s">
        <v>2748</v>
      </c>
      <c r="AB215" s="27" t="s">
        <v>559</v>
      </c>
      <c r="AC215" s="27" t="s">
        <v>631</v>
      </c>
      <c r="AD215" s="28">
        <v>46225.372706805552</v>
      </c>
      <c r="AE215" s="27" t="s">
        <v>162</v>
      </c>
      <c r="AF215" s="27" t="s">
        <v>559</v>
      </c>
      <c r="AG215" s="27" t="s">
        <v>5079</v>
      </c>
      <c r="AH215" s="28">
        <v>46244.060159236113</v>
      </c>
      <c r="AI215" s="27" t="s">
        <v>295</v>
      </c>
      <c r="AJ215" s="27" t="s">
        <v>559</v>
      </c>
      <c r="AK215" s="27" t="s">
        <v>5080</v>
      </c>
      <c r="AL215" s="27" t="s">
        <v>5081</v>
      </c>
    </row>
    <row r="216" spans="1:38">
      <c r="A216" s="27" t="s">
        <v>5082</v>
      </c>
      <c r="B216" s="27" t="s">
        <v>5083</v>
      </c>
      <c r="C216" s="27" t="s">
        <v>5084</v>
      </c>
      <c r="D216" s="27" t="s">
        <v>3252</v>
      </c>
      <c r="E216" s="27" t="s">
        <v>638</v>
      </c>
      <c r="F216" s="28">
        <v>46223.307811041668</v>
      </c>
      <c r="G216" s="28">
        <v>46230.150496145834</v>
      </c>
      <c r="H216" s="28">
        <v>46245.621780335649</v>
      </c>
      <c r="I216" s="27" t="s">
        <v>5085</v>
      </c>
      <c r="J216" s="27" t="s">
        <v>309</v>
      </c>
      <c r="K216" s="27">
        <v>3784</v>
      </c>
      <c r="L216" s="27" t="s">
        <v>310</v>
      </c>
      <c r="M216" s="27" t="s">
        <v>1286</v>
      </c>
      <c r="N216" s="27" t="s">
        <v>5086</v>
      </c>
      <c r="O216" s="27" t="s">
        <v>3256</v>
      </c>
      <c r="P216" s="27" t="s">
        <v>3344</v>
      </c>
      <c r="Q216" s="27" t="s">
        <v>5087</v>
      </c>
      <c r="R216" s="27" t="s">
        <v>125</v>
      </c>
      <c r="S216" s="27"/>
      <c r="T216" s="27"/>
      <c r="U216" s="27" t="s">
        <v>681</v>
      </c>
      <c r="V216" s="28">
        <v>46224.270849097222</v>
      </c>
      <c r="W216" s="27" t="s">
        <v>1289</v>
      </c>
      <c r="X216" s="27" t="s">
        <v>559</v>
      </c>
      <c r="Y216" s="27" t="s">
        <v>2303</v>
      </c>
      <c r="Z216" s="28">
        <v>46226.406443912034</v>
      </c>
      <c r="AA216" s="27" t="s">
        <v>2748</v>
      </c>
      <c r="AB216" s="27" t="s">
        <v>559</v>
      </c>
      <c r="AC216" s="27" t="s">
        <v>2597</v>
      </c>
      <c r="AD216" s="28">
        <v>46231.199956990742</v>
      </c>
      <c r="AE216" s="27" t="s">
        <v>162</v>
      </c>
      <c r="AF216" s="27" t="s">
        <v>559</v>
      </c>
      <c r="AG216" s="27" t="s">
        <v>5088</v>
      </c>
      <c r="AH216" s="28">
        <v>46245.621780347225</v>
      </c>
      <c r="AI216" s="27" t="s">
        <v>158</v>
      </c>
      <c r="AJ216" s="27" t="s">
        <v>559</v>
      </c>
      <c r="AK216" s="27" t="s">
        <v>5089</v>
      </c>
      <c r="AL216" s="27" t="s">
        <v>5090</v>
      </c>
    </row>
    <row r="217" spans="1:38">
      <c r="A217" s="27" t="s">
        <v>5091</v>
      </c>
      <c r="B217" s="27" t="s">
        <v>312</v>
      </c>
      <c r="C217" s="27" t="s">
        <v>5084</v>
      </c>
      <c r="D217" s="27" t="s">
        <v>3252</v>
      </c>
      <c r="E217" s="27" t="s">
        <v>67</v>
      </c>
      <c r="F217" s="28">
        <v>46223.310973958331</v>
      </c>
      <c r="G217" s="28">
        <v>46230.149668240738</v>
      </c>
      <c r="H217" s="28">
        <v>46231.200194050929</v>
      </c>
      <c r="I217" s="27" t="s">
        <v>5085</v>
      </c>
      <c r="J217" s="27" t="s">
        <v>309</v>
      </c>
      <c r="K217" s="27">
        <v>3784</v>
      </c>
      <c r="L217" s="27" t="s">
        <v>310</v>
      </c>
      <c r="M217" s="27" t="s">
        <v>1286</v>
      </c>
      <c r="N217" s="27" t="s">
        <v>5092</v>
      </c>
      <c r="O217" s="27" t="s">
        <v>3256</v>
      </c>
      <c r="P217" s="27" t="s">
        <v>3292</v>
      </c>
      <c r="Q217" s="27" t="s">
        <v>5093</v>
      </c>
      <c r="R217" s="27" t="s">
        <v>125</v>
      </c>
      <c r="S217" s="27"/>
      <c r="T217" s="27"/>
      <c r="U217" s="27" t="s">
        <v>681</v>
      </c>
      <c r="V217" s="28">
        <v>46224.275264618052</v>
      </c>
      <c r="W217" s="27" t="s">
        <v>1289</v>
      </c>
      <c r="X217" s="27" t="s">
        <v>559</v>
      </c>
      <c r="Y217" s="27" t="s">
        <v>2303</v>
      </c>
      <c r="Z217" s="28">
        <v>46226.406106898146</v>
      </c>
      <c r="AA217" s="27" t="s">
        <v>2748</v>
      </c>
      <c r="AB217" s="27" t="s">
        <v>559</v>
      </c>
      <c r="AC217" s="27" t="s">
        <v>2597</v>
      </c>
      <c r="AD217" s="28">
        <v>46231.200194062498</v>
      </c>
      <c r="AE217" s="27" t="s">
        <v>162</v>
      </c>
      <c r="AF217" s="27" t="s">
        <v>559</v>
      </c>
      <c r="AG217" s="27"/>
      <c r="AH217" s="28"/>
      <c r="AI217" s="27" t="s">
        <v>158</v>
      </c>
      <c r="AJ217" s="27"/>
      <c r="AK217" s="27" t="s">
        <v>5094</v>
      </c>
      <c r="AL217" s="27" t="s">
        <v>5090</v>
      </c>
    </row>
    <row r="218" spans="1:38">
      <c r="A218" s="27" t="s">
        <v>5095</v>
      </c>
      <c r="B218" s="27" t="s">
        <v>308</v>
      </c>
      <c r="C218" s="27" t="s">
        <v>5084</v>
      </c>
      <c r="D218" s="27" t="s">
        <v>3252</v>
      </c>
      <c r="E218" s="27" t="s">
        <v>67</v>
      </c>
      <c r="F218" s="28">
        <v>46223.31209334491</v>
      </c>
      <c r="G218" s="28">
        <v>46230.148398240737</v>
      </c>
      <c r="H218" s="28">
        <v>46231.200593657406</v>
      </c>
      <c r="I218" s="27" t="s">
        <v>5085</v>
      </c>
      <c r="J218" s="27" t="s">
        <v>309</v>
      </c>
      <c r="K218" s="27">
        <v>3784</v>
      </c>
      <c r="L218" s="27" t="s">
        <v>310</v>
      </c>
      <c r="M218" s="27" t="s">
        <v>1286</v>
      </c>
      <c r="N218" s="27" t="s">
        <v>5092</v>
      </c>
      <c r="O218" s="27" t="s">
        <v>3256</v>
      </c>
      <c r="P218" s="27" t="s">
        <v>3257</v>
      </c>
      <c r="Q218" s="27" t="s">
        <v>5096</v>
      </c>
      <c r="R218" s="27" t="s">
        <v>125</v>
      </c>
      <c r="S218" s="27"/>
      <c r="T218" s="27"/>
      <c r="U218" s="27" t="s">
        <v>681</v>
      </c>
      <c r="V218" s="28">
        <v>46224.275264618052</v>
      </c>
      <c r="W218" s="27" t="s">
        <v>1289</v>
      </c>
      <c r="X218" s="27" t="s">
        <v>559</v>
      </c>
      <c r="Y218" s="27" t="s">
        <v>2303</v>
      </c>
      <c r="Z218" s="28">
        <v>46226.406106898146</v>
      </c>
      <c r="AA218" s="27" t="s">
        <v>2748</v>
      </c>
      <c r="AB218" s="27" t="s">
        <v>559</v>
      </c>
      <c r="AC218" s="27" t="s">
        <v>2597</v>
      </c>
      <c r="AD218" s="28">
        <v>46231.200593657406</v>
      </c>
      <c r="AE218" s="27" t="s">
        <v>162</v>
      </c>
      <c r="AF218" s="27" t="s">
        <v>559</v>
      </c>
      <c r="AG218" s="27"/>
      <c r="AH218" s="28"/>
      <c r="AI218" s="27" t="s">
        <v>158</v>
      </c>
      <c r="AJ218" s="27"/>
      <c r="AK218" s="27" t="s">
        <v>5097</v>
      </c>
      <c r="AL218" s="27" t="s">
        <v>5090</v>
      </c>
    </row>
    <row r="219" spans="1:38">
      <c r="A219" s="27" t="s">
        <v>5098</v>
      </c>
      <c r="B219" s="27" t="s">
        <v>5099</v>
      </c>
      <c r="C219" s="27" t="s">
        <v>5100</v>
      </c>
      <c r="D219" s="27" t="s">
        <v>3252</v>
      </c>
      <c r="E219" s="27" t="s">
        <v>638</v>
      </c>
      <c r="F219" s="28">
        <v>46224.205672731485</v>
      </c>
      <c r="G219" s="28">
        <v>46224.205672731485</v>
      </c>
      <c r="H219" s="28">
        <v>46232.186743356484</v>
      </c>
      <c r="I219" s="27" t="s">
        <v>5101</v>
      </c>
      <c r="J219" s="27" t="s">
        <v>5102</v>
      </c>
      <c r="K219" s="27" t="s">
        <v>5103</v>
      </c>
      <c r="L219" s="27" t="s">
        <v>5104</v>
      </c>
      <c r="M219" s="27" t="s">
        <v>5105</v>
      </c>
      <c r="N219" s="27" t="s">
        <v>5106</v>
      </c>
      <c r="O219" s="27" t="s">
        <v>3256</v>
      </c>
      <c r="P219" s="27" t="s">
        <v>3257</v>
      </c>
      <c r="Q219" s="27" t="s">
        <v>5107</v>
      </c>
      <c r="R219" s="27" t="s">
        <v>116</v>
      </c>
      <c r="S219" s="27"/>
      <c r="T219" s="27"/>
      <c r="U219" s="27" t="s">
        <v>5108</v>
      </c>
      <c r="V219" s="28">
        <v>46224.206785555558</v>
      </c>
      <c r="W219" s="27" t="s">
        <v>5105</v>
      </c>
      <c r="X219" s="27" t="s">
        <v>559</v>
      </c>
      <c r="Y219" s="27" t="s">
        <v>5109</v>
      </c>
      <c r="Z219" s="28">
        <v>46224.426074814815</v>
      </c>
      <c r="AA219" s="27" t="s">
        <v>3429</v>
      </c>
      <c r="AB219" s="27" t="s">
        <v>559</v>
      </c>
      <c r="AC219" s="27" t="s">
        <v>631</v>
      </c>
      <c r="AD219" s="28">
        <v>46225.367471516205</v>
      </c>
      <c r="AE219" s="27" t="s">
        <v>162</v>
      </c>
      <c r="AF219" s="27" t="s">
        <v>559</v>
      </c>
      <c r="AG219" s="27" t="s">
        <v>5110</v>
      </c>
      <c r="AH219" s="28">
        <v>46232.186743356484</v>
      </c>
      <c r="AI219" s="27" t="s">
        <v>168</v>
      </c>
      <c r="AJ219" s="27" t="s">
        <v>559</v>
      </c>
      <c r="AK219" s="27" t="s">
        <v>5111</v>
      </c>
      <c r="AL219" s="27" t="s">
        <v>5112</v>
      </c>
    </row>
    <row r="220" spans="1:38">
      <c r="A220" s="27" t="s">
        <v>5113</v>
      </c>
      <c r="B220" s="27" t="s">
        <v>5114</v>
      </c>
      <c r="C220" s="27" t="s">
        <v>5100</v>
      </c>
      <c r="D220" s="27" t="s">
        <v>3252</v>
      </c>
      <c r="E220" s="27" t="s">
        <v>638</v>
      </c>
      <c r="F220" s="28">
        <v>46224.207256250003</v>
      </c>
      <c r="G220" s="28">
        <v>46224.207256250003</v>
      </c>
      <c r="H220" s="28">
        <v>46232.186232615742</v>
      </c>
      <c r="I220" s="27" t="s">
        <v>5101</v>
      </c>
      <c r="J220" s="27" t="s">
        <v>5102</v>
      </c>
      <c r="K220" s="27" t="s">
        <v>5103</v>
      </c>
      <c r="L220" s="27" t="s">
        <v>5104</v>
      </c>
      <c r="M220" s="27" t="s">
        <v>5105</v>
      </c>
      <c r="N220" s="27" t="s">
        <v>5106</v>
      </c>
      <c r="O220" s="27" t="s">
        <v>3256</v>
      </c>
      <c r="P220" s="27" t="s">
        <v>3292</v>
      </c>
      <c r="Q220" s="27" t="s">
        <v>5115</v>
      </c>
      <c r="R220" s="27" t="s">
        <v>116</v>
      </c>
      <c r="S220" s="27"/>
      <c r="T220" s="27"/>
      <c r="U220" s="27" t="s">
        <v>5108</v>
      </c>
      <c r="V220" s="28">
        <v>46224.209344710645</v>
      </c>
      <c r="W220" s="27" t="s">
        <v>5105</v>
      </c>
      <c r="X220" s="27" t="s">
        <v>559</v>
      </c>
      <c r="Y220" s="27" t="s">
        <v>5109</v>
      </c>
      <c r="Z220" s="28">
        <v>46224.42559259259</v>
      </c>
      <c r="AA220" s="27" t="s">
        <v>3429</v>
      </c>
      <c r="AB220" s="27" t="s">
        <v>559</v>
      </c>
      <c r="AC220" s="27" t="s">
        <v>631</v>
      </c>
      <c r="AD220" s="28">
        <v>46225.367030254631</v>
      </c>
      <c r="AE220" s="27" t="s">
        <v>162</v>
      </c>
      <c r="AF220" s="27" t="s">
        <v>559</v>
      </c>
      <c r="AG220" s="27" t="s">
        <v>5116</v>
      </c>
      <c r="AH220" s="28">
        <v>46232.186232615742</v>
      </c>
      <c r="AI220" s="27" t="s">
        <v>168</v>
      </c>
      <c r="AJ220" s="27" t="s">
        <v>559</v>
      </c>
      <c r="AK220" s="27" t="s">
        <v>5117</v>
      </c>
      <c r="AL220" s="27" t="s">
        <v>5112</v>
      </c>
    </row>
    <row r="221" spans="1:38">
      <c r="A221" s="27" t="s">
        <v>5118</v>
      </c>
      <c r="B221" s="27" t="s">
        <v>5119</v>
      </c>
      <c r="C221" s="27" t="s">
        <v>3085</v>
      </c>
      <c r="D221" s="27" t="s">
        <v>3252</v>
      </c>
      <c r="E221" s="27" t="s">
        <v>549</v>
      </c>
      <c r="F221" s="28">
        <v>46224.31845791667</v>
      </c>
      <c r="G221" s="28">
        <v>46224.31845791667</v>
      </c>
      <c r="H221" s="28">
        <v>46232.308063912038</v>
      </c>
      <c r="I221" s="27" t="s">
        <v>5120</v>
      </c>
      <c r="J221" s="27" t="s">
        <v>5121</v>
      </c>
      <c r="K221" s="27">
        <v>1841</v>
      </c>
      <c r="L221" s="27" t="s">
        <v>5122</v>
      </c>
      <c r="M221" s="27" t="s">
        <v>4972</v>
      </c>
      <c r="N221" s="27" t="s">
        <v>5123</v>
      </c>
      <c r="O221" s="27" t="s">
        <v>3256</v>
      </c>
      <c r="P221" s="27" t="s">
        <v>3292</v>
      </c>
      <c r="Q221" s="27" t="s">
        <v>5124</v>
      </c>
      <c r="R221" s="27" t="s">
        <v>125</v>
      </c>
      <c r="S221" s="27"/>
      <c r="T221" s="27"/>
      <c r="U221" s="27" t="s">
        <v>5032</v>
      </c>
      <c r="V221" s="28">
        <v>46224.332152337964</v>
      </c>
      <c r="W221" s="27" t="s">
        <v>4975</v>
      </c>
      <c r="X221" s="27" t="s">
        <v>559</v>
      </c>
      <c r="Y221" s="27" t="s">
        <v>5125</v>
      </c>
      <c r="Z221" s="28">
        <v>46232.308063912038</v>
      </c>
      <c r="AA221" s="27" t="s">
        <v>2748</v>
      </c>
      <c r="AB221" s="27" t="s">
        <v>549</v>
      </c>
      <c r="AC221" s="27"/>
      <c r="AD221" s="28"/>
      <c r="AE221" s="27" t="s">
        <v>2491</v>
      </c>
      <c r="AF221" s="27"/>
      <c r="AG221" s="27"/>
      <c r="AH221" s="28"/>
      <c r="AI221" s="27" t="s">
        <v>126</v>
      </c>
      <c r="AJ221" s="27"/>
      <c r="AK221" s="27"/>
      <c r="AL221" s="27" t="s">
        <v>5126</v>
      </c>
    </row>
    <row r="222" spans="1:38">
      <c r="A222" s="27" t="s">
        <v>5127</v>
      </c>
      <c r="B222" s="27" t="s">
        <v>5128</v>
      </c>
      <c r="C222" s="27" t="s">
        <v>3085</v>
      </c>
      <c r="D222" s="27" t="s">
        <v>3252</v>
      </c>
      <c r="E222" s="27" t="s">
        <v>549</v>
      </c>
      <c r="F222" s="28">
        <v>46224.326280810186</v>
      </c>
      <c r="G222" s="28">
        <v>46224.326280810186</v>
      </c>
      <c r="H222" s="28">
        <v>46232.30649826389</v>
      </c>
      <c r="I222" s="27" t="s">
        <v>5129</v>
      </c>
      <c r="J222" s="27" t="s">
        <v>5130</v>
      </c>
      <c r="K222" s="27">
        <v>3763</v>
      </c>
      <c r="L222" s="27" t="s">
        <v>5131</v>
      </c>
      <c r="M222" s="27" t="s">
        <v>4972</v>
      </c>
      <c r="N222" s="27" t="s">
        <v>5132</v>
      </c>
      <c r="O222" s="27" t="s">
        <v>3256</v>
      </c>
      <c r="P222" s="27" t="s">
        <v>3344</v>
      </c>
      <c r="Q222" s="27" t="s">
        <v>5133</v>
      </c>
      <c r="R222" s="27" t="s">
        <v>107</v>
      </c>
      <c r="S222" s="27"/>
      <c r="T222" s="27"/>
      <c r="U222" s="27" t="s">
        <v>5032</v>
      </c>
      <c r="V222" s="28">
        <v>46224.331812372686</v>
      </c>
      <c r="W222" s="27" t="s">
        <v>4975</v>
      </c>
      <c r="X222" s="27" t="s">
        <v>559</v>
      </c>
      <c r="Y222" s="27" t="s">
        <v>5134</v>
      </c>
      <c r="Z222" s="28">
        <v>46232.306498275466</v>
      </c>
      <c r="AA222" s="27" t="s">
        <v>2748</v>
      </c>
      <c r="AB222" s="27" t="s">
        <v>549</v>
      </c>
      <c r="AC222" s="27"/>
      <c r="AD222" s="28"/>
      <c r="AE222" s="27" t="s">
        <v>2491</v>
      </c>
      <c r="AF222" s="27"/>
      <c r="AG222" s="27"/>
      <c r="AH222" s="28"/>
      <c r="AI222" s="27" t="s">
        <v>126</v>
      </c>
      <c r="AJ222" s="27"/>
      <c r="AK222" s="27"/>
      <c r="AL222" s="27" t="s">
        <v>5135</v>
      </c>
    </row>
    <row r="223" spans="1:38">
      <c r="A223" s="27" t="s">
        <v>5136</v>
      </c>
      <c r="B223" s="27" t="s">
        <v>5137</v>
      </c>
      <c r="C223" s="27" t="s">
        <v>3085</v>
      </c>
      <c r="D223" s="27" t="s">
        <v>3252</v>
      </c>
      <c r="E223" s="27" t="s">
        <v>549</v>
      </c>
      <c r="F223" s="28">
        <v>46224.327811909723</v>
      </c>
      <c r="G223" s="28">
        <v>46224.327811909723</v>
      </c>
      <c r="H223" s="28">
        <v>46232.30693460648</v>
      </c>
      <c r="I223" s="27" t="s">
        <v>5129</v>
      </c>
      <c r="J223" s="27" t="s">
        <v>5130</v>
      </c>
      <c r="K223" s="27">
        <v>3763</v>
      </c>
      <c r="L223" s="27" t="s">
        <v>5131</v>
      </c>
      <c r="M223" s="27" t="s">
        <v>4972</v>
      </c>
      <c r="N223" s="27" t="s">
        <v>5132</v>
      </c>
      <c r="O223" s="27" t="s">
        <v>3256</v>
      </c>
      <c r="P223" s="27" t="s">
        <v>3292</v>
      </c>
      <c r="Q223" s="27" t="s">
        <v>5138</v>
      </c>
      <c r="R223" s="27" t="s">
        <v>107</v>
      </c>
      <c r="S223" s="27"/>
      <c r="T223" s="27"/>
      <c r="U223" s="27" t="s">
        <v>5032</v>
      </c>
      <c r="V223" s="28">
        <v>46224.331504212962</v>
      </c>
      <c r="W223" s="27" t="s">
        <v>4975</v>
      </c>
      <c r="X223" s="27" t="s">
        <v>559</v>
      </c>
      <c r="Y223" s="27" t="s">
        <v>5134</v>
      </c>
      <c r="Z223" s="28">
        <v>46232.306934618056</v>
      </c>
      <c r="AA223" s="27" t="s">
        <v>2748</v>
      </c>
      <c r="AB223" s="27" t="s">
        <v>549</v>
      </c>
      <c r="AC223" s="27"/>
      <c r="AD223" s="28"/>
      <c r="AE223" s="27" t="s">
        <v>2491</v>
      </c>
      <c r="AF223" s="27"/>
      <c r="AG223" s="27"/>
      <c r="AH223" s="28"/>
      <c r="AI223" s="27" t="s">
        <v>126</v>
      </c>
      <c r="AJ223" s="27"/>
      <c r="AK223" s="27"/>
      <c r="AL223" s="27" t="s">
        <v>5135</v>
      </c>
    </row>
    <row r="224" spans="1:38">
      <c r="A224" s="27" t="s">
        <v>5139</v>
      </c>
      <c r="B224" s="27" t="s">
        <v>5140</v>
      </c>
      <c r="C224" s="27" t="s">
        <v>3085</v>
      </c>
      <c r="D224" s="27" t="s">
        <v>3252</v>
      </c>
      <c r="E224" s="27" t="s">
        <v>549</v>
      </c>
      <c r="F224" s="28">
        <v>46224.328993634263</v>
      </c>
      <c r="G224" s="28">
        <v>46224.328993634263</v>
      </c>
      <c r="H224" s="28">
        <v>46232.30718851852</v>
      </c>
      <c r="I224" s="27" t="s">
        <v>5129</v>
      </c>
      <c r="J224" s="27" t="s">
        <v>5130</v>
      </c>
      <c r="K224" s="27">
        <v>3763</v>
      </c>
      <c r="L224" s="27" t="s">
        <v>5131</v>
      </c>
      <c r="M224" s="27" t="s">
        <v>4972</v>
      </c>
      <c r="N224" s="27" t="s">
        <v>5132</v>
      </c>
      <c r="O224" s="27" t="s">
        <v>3256</v>
      </c>
      <c r="P224" s="27" t="s">
        <v>3257</v>
      </c>
      <c r="Q224" s="27" t="s">
        <v>5141</v>
      </c>
      <c r="R224" s="27" t="s">
        <v>107</v>
      </c>
      <c r="S224" s="27"/>
      <c r="T224" s="27"/>
      <c r="U224" s="27" t="s">
        <v>5032</v>
      </c>
      <c r="V224" s="28">
        <v>46224.331100694442</v>
      </c>
      <c r="W224" s="27" t="s">
        <v>4975</v>
      </c>
      <c r="X224" s="27" t="s">
        <v>559</v>
      </c>
      <c r="Y224" s="27" t="s">
        <v>5134</v>
      </c>
      <c r="Z224" s="28">
        <v>46232.307188530096</v>
      </c>
      <c r="AA224" s="27" t="s">
        <v>2748</v>
      </c>
      <c r="AB224" s="27" t="s">
        <v>549</v>
      </c>
      <c r="AC224" s="27"/>
      <c r="AD224" s="28"/>
      <c r="AE224" s="27" t="s">
        <v>2491</v>
      </c>
      <c r="AF224" s="27"/>
      <c r="AG224" s="27"/>
      <c r="AH224" s="28"/>
      <c r="AI224" s="27" t="s">
        <v>126</v>
      </c>
      <c r="AJ224" s="27"/>
      <c r="AK224" s="27"/>
      <c r="AL224" s="27" t="s">
        <v>5135</v>
      </c>
    </row>
    <row r="225" spans="1:38">
      <c r="A225" s="27" t="s">
        <v>5142</v>
      </c>
      <c r="B225" s="27" t="s">
        <v>327</v>
      </c>
      <c r="C225" s="27" t="s">
        <v>5143</v>
      </c>
      <c r="D225" s="27" t="s">
        <v>3252</v>
      </c>
      <c r="E225" s="27" t="s">
        <v>67</v>
      </c>
      <c r="F225" s="28">
        <v>46225.007476365739</v>
      </c>
      <c r="G225" s="28">
        <v>46227.135383321758</v>
      </c>
      <c r="H225" s="28">
        <v>46233.102915844909</v>
      </c>
      <c r="I225" s="27" t="s">
        <v>1877</v>
      </c>
      <c r="J225" s="27" t="s">
        <v>322</v>
      </c>
      <c r="K225" s="27">
        <v>4569</v>
      </c>
      <c r="L225" s="27" t="s">
        <v>323</v>
      </c>
      <c r="M225" s="27" t="s">
        <v>4296</v>
      </c>
      <c r="N225" s="27" t="s">
        <v>5144</v>
      </c>
      <c r="O225" s="27" t="s">
        <v>3256</v>
      </c>
      <c r="P225" s="27" t="s">
        <v>3344</v>
      </c>
      <c r="Q225" s="27" t="s">
        <v>5145</v>
      </c>
      <c r="R225" s="27" t="s">
        <v>125</v>
      </c>
      <c r="S225" s="27"/>
      <c r="T225" s="27"/>
      <c r="U225" s="27" t="s">
        <v>2597</v>
      </c>
      <c r="V225" s="28">
        <v>46227.14261116898</v>
      </c>
      <c r="W225" s="27" t="s">
        <v>4298</v>
      </c>
      <c r="X225" s="27" t="s">
        <v>559</v>
      </c>
      <c r="Y225" s="27" t="s">
        <v>2303</v>
      </c>
      <c r="Z225" s="28">
        <v>46231.351985682872</v>
      </c>
      <c r="AA225" s="27" t="s">
        <v>2748</v>
      </c>
      <c r="AB225" s="27" t="s">
        <v>559</v>
      </c>
      <c r="AC225" s="27" t="s">
        <v>631</v>
      </c>
      <c r="AD225" s="28">
        <v>46233.102915856478</v>
      </c>
      <c r="AE225" s="27" t="s">
        <v>162</v>
      </c>
      <c r="AF225" s="27" t="s">
        <v>559</v>
      </c>
      <c r="AG225" s="27"/>
      <c r="AH225" s="28"/>
      <c r="AI225" s="27" t="s">
        <v>162</v>
      </c>
      <c r="AJ225" s="27"/>
      <c r="AK225" s="27" t="s">
        <v>5146</v>
      </c>
      <c r="AL225" s="27" t="s">
        <v>4637</v>
      </c>
    </row>
    <row r="226" spans="1:38">
      <c r="A226" s="27" t="s">
        <v>5147</v>
      </c>
      <c r="B226" s="27" t="s">
        <v>5148</v>
      </c>
      <c r="C226" s="27" t="s">
        <v>2193</v>
      </c>
      <c r="D226" s="27" t="s">
        <v>3252</v>
      </c>
      <c r="E226" s="27" t="s">
        <v>638</v>
      </c>
      <c r="F226" s="28">
        <v>46225.072298726853</v>
      </c>
      <c r="G226" s="28">
        <v>46225.130283634258</v>
      </c>
      <c r="H226" s="28">
        <v>46230.221877905089</v>
      </c>
      <c r="I226" s="27" t="s">
        <v>3726</v>
      </c>
      <c r="J226" s="27" t="s">
        <v>3727</v>
      </c>
      <c r="K226" s="27" t="s">
        <v>3728</v>
      </c>
      <c r="L226" s="27" t="s">
        <v>3729</v>
      </c>
      <c r="M226" s="27" t="s">
        <v>963</v>
      </c>
      <c r="N226" s="27" t="s">
        <v>3730</v>
      </c>
      <c r="O226" s="27" t="s">
        <v>3322</v>
      </c>
      <c r="P226" s="27" t="s">
        <v>3257</v>
      </c>
      <c r="Q226" s="27" t="s">
        <v>5149</v>
      </c>
      <c r="R226" s="27" t="s">
        <v>116</v>
      </c>
      <c r="S226" s="27" t="s">
        <v>5150</v>
      </c>
      <c r="T226" s="27"/>
      <c r="U226" s="27" t="s">
        <v>5151</v>
      </c>
      <c r="V226" s="28">
        <v>46225.136044907405</v>
      </c>
      <c r="W226" s="27" t="s">
        <v>912</v>
      </c>
      <c r="X226" s="27" t="s">
        <v>559</v>
      </c>
      <c r="Y226" s="27" t="s">
        <v>5152</v>
      </c>
      <c r="Z226" s="28">
        <v>46227.080020983798</v>
      </c>
      <c r="AA226" s="27" t="s">
        <v>2748</v>
      </c>
      <c r="AB226" s="27" t="s">
        <v>559</v>
      </c>
      <c r="AC226" s="27" t="s">
        <v>2597</v>
      </c>
      <c r="AD226" s="28">
        <v>46229.6344641088</v>
      </c>
      <c r="AE226" s="27" t="s">
        <v>162</v>
      </c>
      <c r="AF226" s="27" t="s">
        <v>559</v>
      </c>
      <c r="AG226" s="27" t="s">
        <v>5153</v>
      </c>
      <c r="AH226" s="28">
        <v>46230.221877916665</v>
      </c>
      <c r="AI226" s="27" t="s">
        <v>259</v>
      </c>
      <c r="AJ226" s="27" t="s">
        <v>559</v>
      </c>
      <c r="AK226" s="27" t="s">
        <v>5154</v>
      </c>
      <c r="AL226" s="27" t="s">
        <v>3736</v>
      </c>
    </row>
    <row r="227" spans="1:38">
      <c r="A227" s="27" t="s">
        <v>5155</v>
      </c>
      <c r="B227" s="27" t="s">
        <v>366</v>
      </c>
      <c r="C227" s="27" t="s">
        <v>4702</v>
      </c>
      <c r="D227" s="27" t="s">
        <v>3252</v>
      </c>
      <c r="E227" s="27" t="s">
        <v>67</v>
      </c>
      <c r="F227" s="28">
        <v>46225.100457233799</v>
      </c>
      <c r="G227" s="28">
        <v>46225.100457233799</v>
      </c>
      <c r="H227" s="28">
        <v>46233.103644826391</v>
      </c>
      <c r="I227" s="27" t="s">
        <v>4703</v>
      </c>
      <c r="J227" s="27" t="s">
        <v>367</v>
      </c>
      <c r="K227" s="27">
        <v>1799</v>
      </c>
      <c r="L227" s="27" t="s">
        <v>368</v>
      </c>
      <c r="M227" s="27" t="s">
        <v>5156</v>
      </c>
      <c r="N227" s="27" t="s">
        <v>367</v>
      </c>
      <c r="O227" s="27" t="s">
        <v>3322</v>
      </c>
      <c r="P227" s="27" t="s">
        <v>3257</v>
      </c>
      <c r="Q227" s="27" t="s">
        <v>5157</v>
      </c>
      <c r="R227" s="27" t="s">
        <v>107</v>
      </c>
      <c r="S227" s="27">
        <v>1799</v>
      </c>
      <c r="T227" s="27"/>
      <c r="U227" s="27" t="s">
        <v>5158</v>
      </c>
      <c r="V227" s="28">
        <v>46225.101675266204</v>
      </c>
      <c r="W227" s="27" t="s">
        <v>5156</v>
      </c>
      <c r="X227" s="27" t="s">
        <v>559</v>
      </c>
      <c r="Y227" s="27" t="s">
        <v>2303</v>
      </c>
      <c r="Z227" s="28">
        <v>46231.338716168983</v>
      </c>
      <c r="AA227" s="27" t="s">
        <v>2748</v>
      </c>
      <c r="AB227" s="27" t="s">
        <v>559</v>
      </c>
      <c r="AC227" s="27" t="s">
        <v>631</v>
      </c>
      <c r="AD227" s="28">
        <v>46233.10364483796</v>
      </c>
      <c r="AE227" s="27" t="s">
        <v>162</v>
      </c>
      <c r="AF227" s="27" t="s">
        <v>559</v>
      </c>
      <c r="AG227" s="27"/>
      <c r="AH227" s="28"/>
      <c r="AI227" s="27" t="s">
        <v>295</v>
      </c>
      <c r="AJ227" s="27"/>
      <c r="AK227" s="27" t="s">
        <v>5159</v>
      </c>
      <c r="AL227" s="27" t="s">
        <v>4708</v>
      </c>
    </row>
    <row r="228" spans="1:38">
      <c r="A228" s="27" t="s">
        <v>5160</v>
      </c>
      <c r="B228" s="27" t="s">
        <v>318</v>
      </c>
      <c r="C228" s="27" t="s">
        <v>4858</v>
      </c>
      <c r="D228" s="27" t="s">
        <v>3252</v>
      </c>
      <c r="E228" s="27" t="s">
        <v>67</v>
      </c>
      <c r="F228" s="28">
        <v>46225.157867696762</v>
      </c>
      <c r="G228" s="28">
        <v>46225.157867696762</v>
      </c>
      <c r="H228" s="28">
        <v>46225.366409664355</v>
      </c>
      <c r="I228" s="27" t="s">
        <v>4859</v>
      </c>
      <c r="J228" s="27" t="s">
        <v>319</v>
      </c>
      <c r="K228" s="27">
        <v>3055</v>
      </c>
      <c r="L228" s="27" t="s">
        <v>320</v>
      </c>
      <c r="M228" s="27" t="s">
        <v>4860</v>
      </c>
      <c r="N228" s="27" t="s">
        <v>4861</v>
      </c>
      <c r="O228" s="27" t="s">
        <v>4145</v>
      </c>
      <c r="P228" s="27" t="s">
        <v>3257</v>
      </c>
      <c r="Q228" s="27" t="s">
        <v>5161</v>
      </c>
      <c r="R228" s="27" t="s">
        <v>107</v>
      </c>
      <c r="S228" s="27"/>
      <c r="T228" s="27"/>
      <c r="U228" s="27" t="s">
        <v>4147</v>
      </c>
      <c r="V228" s="28">
        <v>46225.157867696762</v>
      </c>
      <c r="W228" s="27" t="s">
        <v>4864</v>
      </c>
      <c r="X228" s="27" t="s">
        <v>559</v>
      </c>
      <c r="Y228" s="27" t="s">
        <v>4147</v>
      </c>
      <c r="Z228" s="28">
        <v>46225.157867696762</v>
      </c>
      <c r="AA228" s="27" t="s">
        <v>3325</v>
      </c>
      <c r="AB228" s="27" t="s">
        <v>559</v>
      </c>
      <c r="AC228" s="27" t="s">
        <v>631</v>
      </c>
      <c r="AD228" s="28">
        <v>46225.366409675924</v>
      </c>
      <c r="AE228" s="27" t="s">
        <v>162</v>
      </c>
      <c r="AF228" s="27" t="s">
        <v>559</v>
      </c>
      <c r="AG228" s="27"/>
      <c r="AH228" s="28"/>
      <c r="AI228" s="27" t="s">
        <v>158</v>
      </c>
      <c r="AJ228" s="27"/>
      <c r="AK228" s="27" t="s">
        <v>5162</v>
      </c>
      <c r="AL228" s="27" t="s">
        <v>4865</v>
      </c>
    </row>
    <row r="229" spans="1:38">
      <c r="A229" s="27" t="s">
        <v>5163</v>
      </c>
      <c r="B229" s="27" t="s">
        <v>5164</v>
      </c>
      <c r="C229" s="27" t="s">
        <v>3528</v>
      </c>
      <c r="D229" s="27" t="s">
        <v>3252</v>
      </c>
      <c r="E229" s="27" t="s">
        <v>668</v>
      </c>
      <c r="F229" s="28">
        <v>46225.32844002315</v>
      </c>
      <c r="G229" s="28">
        <v>46225.32844002315</v>
      </c>
      <c r="H229" s="28">
        <v>46225.32844002315</v>
      </c>
      <c r="I229" s="27" t="s">
        <v>5165</v>
      </c>
      <c r="J229" s="27" t="s">
        <v>5166</v>
      </c>
      <c r="K229" s="27" t="s">
        <v>5167</v>
      </c>
      <c r="L229" s="27" t="s">
        <v>5166</v>
      </c>
      <c r="M229" s="27" t="s">
        <v>5168</v>
      </c>
      <c r="N229" s="27" t="s">
        <v>5169</v>
      </c>
      <c r="O229" s="27" t="s">
        <v>3256</v>
      </c>
      <c r="P229" s="27" t="s">
        <v>3257</v>
      </c>
      <c r="Q229" s="27" t="s">
        <v>5170</v>
      </c>
      <c r="R229" s="27"/>
      <c r="S229" s="27"/>
      <c r="T229" s="27"/>
      <c r="U229" s="27"/>
      <c r="V229" s="28"/>
      <c r="W229" s="27" t="s">
        <v>5171</v>
      </c>
      <c r="X229" s="27"/>
      <c r="Y229" s="27"/>
      <c r="Z229" s="28"/>
      <c r="AA229" s="27" t="s">
        <v>2723</v>
      </c>
      <c r="AB229" s="27"/>
      <c r="AC229" s="27"/>
      <c r="AD229" s="28"/>
      <c r="AE229" s="27" t="s">
        <v>2491</v>
      </c>
      <c r="AF229" s="27"/>
      <c r="AG229" s="27"/>
      <c r="AH229" s="28"/>
      <c r="AI229" s="27" t="s">
        <v>126</v>
      </c>
      <c r="AJ229" s="27"/>
      <c r="AK229" s="27"/>
      <c r="AL229" s="27" t="s">
        <v>5172</v>
      </c>
    </row>
    <row r="230" spans="1:38">
      <c r="A230" s="27" t="s">
        <v>5173</v>
      </c>
      <c r="B230" s="27" t="s">
        <v>5174</v>
      </c>
      <c r="C230" s="27" t="s">
        <v>5175</v>
      </c>
      <c r="D230" s="27" t="s">
        <v>3252</v>
      </c>
      <c r="E230" s="27" t="s">
        <v>668</v>
      </c>
      <c r="F230" s="28">
        <v>46226.060592442132</v>
      </c>
      <c r="G230" s="28">
        <v>46231.350330590278</v>
      </c>
      <c r="H230" s="28">
        <v>46231.350330590278</v>
      </c>
      <c r="I230" s="27" t="s">
        <v>5176</v>
      </c>
      <c r="J230" s="27" t="s">
        <v>5177</v>
      </c>
      <c r="K230" s="27" t="s">
        <v>5178</v>
      </c>
      <c r="L230" s="27" t="s">
        <v>5179</v>
      </c>
      <c r="M230" s="27" t="s">
        <v>1545</v>
      </c>
      <c r="N230" s="27" t="s">
        <v>5180</v>
      </c>
      <c r="O230" s="27" t="s">
        <v>3256</v>
      </c>
      <c r="P230" s="27" t="s">
        <v>3292</v>
      </c>
      <c r="Q230" s="27" t="s">
        <v>5181</v>
      </c>
      <c r="R230" s="27" t="s">
        <v>107</v>
      </c>
      <c r="S230" s="27"/>
      <c r="T230" s="27"/>
      <c r="U230" s="27"/>
      <c r="V230" s="28"/>
      <c r="W230" s="27" t="s">
        <v>1541</v>
      </c>
      <c r="X230" s="27"/>
      <c r="Y230" s="27"/>
      <c r="Z230" s="28"/>
      <c r="AA230" s="27" t="s">
        <v>2723</v>
      </c>
      <c r="AB230" s="27"/>
      <c r="AC230" s="27"/>
      <c r="AD230" s="28"/>
      <c r="AE230" s="27" t="s">
        <v>2491</v>
      </c>
      <c r="AF230" s="27"/>
      <c r="AG230" s="27"/>
      <c r="AH230" s="28"/>
      <c r="AI230" s="27" t="s">
        <v>126</v>
      </c>
      <c r="AJ230" s="27"/>
      <c r="AK230" s="27"/>
      <c r="AL230" s="27" t="s">
        <v>5182</v>
      </c>
    </row>
    <row r="231" spans="1:38">
      <c r="A231" s="27" t="s">
        <v>5183</v>
      </c>
      <c r="B231" s="27" t="s">
        <v>5184</v>
      </c>
      <c r="C231" s="27" t="s">
        <v>5185</v>
      </c>
      <c r="D231" s="27" t="s">
        <v>3252</v>
      </c>
      <c r="E231" s="27" t="s">
        <v>549</v>
      </c>
      <c r="F231" s="28">
        <v>46226.143833784721</v>
      </c>
      <c r="G231" s="28">
        <v>46226.154961215281</v>
      </c>
      <c r="H231" s="28">
        <v>46231.348839143517</v>
      </c>
      <c r="I231" s="27" t="s">
        <v>5186</v>
      </c>
      <c r="J231" s="27" t="s">
        <v>5187</v>
      </c>
      <c r="K231" s="27" t="s">
        <v>5188</v>
      </c>
      <c r="L231" s="27" t="s">
        <v>5189</v>
      </c>
      <c r="M231" s="27" t="s">
        <v>5190</v>
      </c>
      <c r="N231" s="27" t="s">
        <v>5191</v>
      </c>
      <c r="O231" s="27" t="s">
        <v>3256</v>
      </c>
      <c r="P231" s="27" t="s">
        <v>3257</v>
      </c>
      <c r="Q231" s="27" t="s">
        <v>5192</v>
      </c>
      <c r="R231" s="27" t="s">
        <v>107</v>
      </c>
      <c r="S231" s="27"/>
      <c r="T231" s="27"/>
      <c r="U231" s="27" t="s">
        <v>681</v>
      </c>
      <c r="V231" s="28">
        <v>46226.257759398148</v>
      </c>
      <c r="W231" s="27" t="s">
        <v>5193</v>
      </c>
      <c r="X231" s="27" t="s">
        <v>559</v>
      </c>
      <c r="Y231" s="27" t="s">
        <v>5194</v>
      </c>
      <c r="Z231" s="28">
        <v>46231.348839155093</v>
      </c>
      <c r="AA231" s="27" t="s">
        <v>2748</v>
      </c>
      <c r="AB231" s="27" t="s">
        <v>549</v>
      </c>
      <c r="AC231" s="27"/>
      <c r="AD231" s="28"/>
      <c r="AE231" s="27" t="s">
        <v>2491</v>
      </c>
      <c r="AF231" s="27"/>
      <c r="AG231" s="27"/>
      <c r="AH231" s="28"/>
      <c r="AI231" s="27" t="s">
        <v>126</v>
      </c>
      <c r="AJ231" s="27"/>
      <c r="AK231" s="27"/>
      <c r="AL231" s="27" t="s">
        <v>5195</v>
      </c>
    </row>
    <row r="232" spans="1:38">
      <c r="A232" s="27" t="s">
        <v>5196</v>
      </c>
      <c r="B232" s="27" t="s">
        <v>321</v>
      </c>
      <c r="C232" s="27" t="s">
        <v>5143</v>
      </c>
      <c r="D232" s="27" t="s">
        <v>3252</v>
      </c>
      <c r="E232" s="27" t="s">
        <v>67</v>
      </c>
      <c r="F232" s="28">
        <v>46227.136849074072</v>
      </c>
      <c r="G232" s="28">
        <v>46227.136849074072</v>
      </c>
      <c r="H232" s="28">
        <v>46233.102639467594</v>
      </c>
      <c r="I232" s="27" t="s">
        <v>1877</v>
      </c>
      <c r="J232" s="27" t="s">
        <v>322</v>
      </c>
      <c r="K232" s="27">
        <v>4569</v>
      </c>
      <c r="L232" s="27" t="s">
        <v>323</v>
      </c>
      <c r="M232" s="27" t="s">
        <v>4296</v>
      </c>
      <c r="N232" s="27" t="s">
        <v>5144</v>
      </c>
      <c r="O232" s="27" t="s">
        <v>3256</v>
      </c>
      <c r="P232" s="27" t="s">
        <v>3257</v>
      </c>
      <c r="Q232" s="27" t="s">
        <v>5197</v>
      </c>
      <c r="R232" s="27" t="s">
        <v>125</v>
      </c>
      <c r="S232" s="27"/>
      <c r="T232" s="27"/>
      <c r="U232" s="27" t="s">
        <v>2597</v>
      </c>
      <c r="V232" s="28">
        <v>46227.137818333336</v>
      </c>
      <c r="W232" s="27" t="s">
        <v>4298</v>
      </c>
      <c r="X232" s="27" t="s">
        <v>559</v>
      </c>
      <c r="Y232" s="27" t="s">
        <v>2303</v>
      </c>
      <c r="Z232" s="28">
        <v>46231.336566076388</v>
      </c>
      <c r="AA232" s="27" t="s">
        <v>2748</v>
      </c>
      <c r="AB232" s="27" t="s">
        <v>559</v>
      </c>
      <c r="AC232" s="27" t="s">
        <v>631</v>
      </c>
      <c r="AD232" s="28">
        <v>46233.10263947917</v>
      </c>
      <c r="AE232" s="27" t="s">
        <v>162</v>
      </c>
      <c r="AF232" s="27" t="s">
        <v>559</v>
      </c>
      <c r="AG232" s="27"/>
      <c r="AH232" s="28"/>
      <c r="AI232" s="27" t="s">
        <v>162</v>
      </c>
      <c r="AJ232" s="27"/>
      <c r="AK232" s="27" t="s">
        <v>5198</v>
      </c>
      <c r="AL232" s="27" t="s">
        <v>3806</v>
      </c>
    </row>
    <row r="233" spans="1:38">
      <c r="A233" s="27" t="s">
        <v>5199</v>
      </c>
      <c r="B233" s="27" t="s">
        <v>345</v>
      </c>
      <c r="C233" s="27" t="s">
        <v>994</v>
      </c>
      <c r="D233" s="27" t="s">
        <v>3252</v>
      </c>
      <c r="E233" s="27" t="s">
        <v>67</v>
      </c>
      <c r="F233" s="28">
        <v>46227.353034155094</v>
      </c>
      <c r="G233" s="28">
        <v>46227.353034155094</v>
      </c>
      <c r="H233" s="28">
        <v>46233.10234542824</v>
      </c>
      <c r="I233" s="27" t="s">
        <v>999</v>
      </c>
      <c r="J233" s="27" t="s">
        <v>346</v>
      </c>
      <c r="K233" s="27">
        <v>100</v>
      </c>
      <c r="L233" s="27" t="s">
        <v>347</v>
      </c>
      <c r="M233" s="27" t="s">
        <v>996</v>
      </c>
      <c r="N233" s="27" t="s">
        <v>3871</v>
      </c>
      <c r="O233" s="27" t="s">
        <v>3256</v>
      </c>
      <c r="P233" s="27" t="s">
        <v>3292</v>
      </c>
      <c r="Q233" s="27" t="s">
        <v>5200</v>
      </c>
      <c r="R233" s="27" t="s">
        <v>107</v>
      </c>
      <c r="S233" s="27"/>
      <c r="T233" s="27"/>
      <c r="U233" s="27" t="s">
        <v>5201</v>
      </c>
      <c r="V233" s="28">
        <v>46227.358433020832</v>
      </c>
      <c r="W233" s="27" t="s">
        <v>998</v>
      </c>
      <c r="X233" s="27" t="s">
        <v>559</v>
      </c>
      <c r="Y233" s="27" t="s">
        <v>2303</v>
      </c>
      <c r="Z233" s="28">
        <v>46231.327960347226</v>
      </c>
      <c r="AA233" s="27" t="s">
        <v>2748</v>
      </c>
      <c r="AB233" s="27" t="s">
        <v>559</v>
      </c>
      <c r="AC233" s="27" t="s">
        <v>631</v>
      </c>
      <c r="AD233" s="28">
        <v>46233.102345439816</v>
      </c>
      <c r="AE233" s="27" t="s">
        <v>162</v>
      </c>
      <c r="AF233" s="27" t="s">
        <v>559</v>
      </c>
      <c r="AG233" s="27"/>
      <c r="AH233" s="28"/>
      <c r="AI233" s="27" t="s">
        <v>230</v>
      </c>
      <c r="AJ233" s="27"/>
      <c r="AK233" s="27" t="s">
        <v>5202</v>
      </c>
      <c r="AL233" s="27" t="s">
        <v>3876</v>
      </c>
    </row>
    <row r="234" spans="1:38">
      <c r="A234" s="27" t="s">
        <v>5203</v>
      </c>
      <c r="B234" s="27" t="s">
        <v>349</v>
      </c>
      <c r="C234" s="27" t="s">
        <v>994</v>
      </c>
      <c r="D234" s="27" t="s">
        <v>3252</v>
      </c>
      <c r="E234" s="27" t="s">
        <v>67</v>
      </c>
      <c r="F234" s="28">
        <v>46227.355753564814</v>
      </c>
      <c r="G234" s="28">
        <v>46227.355753564814</v>
      </c>
      <c r="H234" s="28">
        <v>46233.102050868052</v>
      </c>
      <c r="I234" s="27" t="s">
        <v>999</v>
      </c>
      <c r="J234" s="27" t="s">
        <v>346</v>
      </c>
      <c r="K234" s="27">
        <v>100</v>
      </c>
      <c r="L234" s="27" t="s">
        <v>347</v>
      </c>
      <c r="M234" s="27" t="s">
        <v>996</v>
      </c>
      <c r="N234" s="27" t="s">
        <v>3871</v>
      </c>
      <c r="O234" s="27" t="s">
        <v>3256</v>
      </c>
      <c r="P234" s="27" t="s">
        <v>3257</v>
      </c>
      <c r="Q234" s="27" t="s">
        <v>5204</v>
      </c>
      <c r="R234" s="27" t="s">
        <v>107</v>
      </c>
      <c r="S234" s="27"/>
      <c r="T234" s="27"/>
      <c r="U234" s="27" t="s">
        <v>5205</v>
      </c>
      <c r="V234" s="28">
        <v>46227.358890000003</v>
      </c>
      <c r="W234" s="27" t="s">
        <v>998</v>
      </c>
      <c r="X234" s="27" t="s">
        <v>559</v>
      </c>
      <c r="Y234" s="27" t="s">
        <v>2303</v>
      </c>
      <c r="Z234" s="28">
        <v>46231.323611030093</v>
      </c>
      <c r="AA234" s="27" t="s">
        <v>2748</v>
      </c>
      <c r="AB234" s="27" t="s">
        <v>559</v>
      </c>
      <c r="AC234" s="27" t="s">
        <v>631</v>
      </c>
      <c r="AD234" s="28">
        <v>46233.102050879628</v>
      </c>
      <c r="AE234" s="27" t="s">
        <v>162</v>
      </c>
      <c r="AF234" s="27" t="s">
        <v>559</v>
      </c>
      <c r="AG234" s="27"/>
      <c r="AH234" s="28"/>
      <c r="AI234" s="27" t="s">
        <v>230</v>
      </c>
      <c r="AJ234" s="27"/>
      <c r="AK234" s="27" t="s">
        <v>5206</v>
      </c>
      <c r="AL234" s="27" t="s">
        <v>3876</v>
      </c>
    </row>
    <row r="235" spans="1:38">
      <c r="A235" s="27" t="s">
        <v>5207</v>
      </c>
      <c r="B235" s="27" t="s">
        <v>5208</v>
      </c>
      <c r="C235" s="27" t="s">
        <v>716</v>
      </c>
      <c r="D235" s="27" t="s">
        <v>3252</v>
      </c>
      <c r="E235" s="27" t="s">
        <v>638</v>
      </c>
      <c r="F235" s="28">
        <v>46231.1506853588</v>
      </c>
      <c r="G235" s="28">
        <v>46231.1506853588</v>
      </c>
      <c r="H235" s="28">
        <v>46232.188983414351</v>
      </c>
      <c r="I235" s="27" t="s">
        <v>5209</v>
      </c>
      <c r="J235" s="27" t="s">
        <v>5210</v>
      </c>
      <c r="K235" s="27" t="s">
        <v>5211</v>
      </c>
      <c r="L235" s="27" t="s">
        <v>5212</v>
      </c>
      <c r="M235" s="27" t="s">
        <v>5213</v>
      </c>
      <c r="N235" s="27" t="s">
        <v>5214</v>
      </c>
      <c r="O235" s="27" t="s">
        <v>3256</v>
      </c>
      <c r="P235" s="27" t="s">
        <v>5215</v>
      </c>
      <c r="Q235" s="27" t="s">
        <v>5216</v>
      </c>
      <c r="R235" s="27" t="s">
        <v>116</v>
      </c>
      <c r="S235" s="27"/>
      <c r="T235" s="27"/>
      <c r="U235" s="27" t="s">
        <v>681</v>
      </c>
      <c r="V235" s="28">
        <v>46231.157287245369</v>
      </c>
      <c r="W235" s="27" t="s">
        <v>5213</v>
      </c>
      <c r="X235" s="27" t="s">
        <v>559</v>
      </c>
      <c r="Y235" s="27" t="s">
        <v>5217</v>
      </c>
      <c r="Z235" s="28">
        <v>46231.158680347224</v>
      </c>
      <c r="AA235" s="27" t="s">
        <v>3429</v>
      </c>
      <c r="AB235" s="27" t="s">
        <v>559</v>
      </c>
      <c r="AC235" s="27" t="s">
        <v>681</v>
      </c>
      <c r="AD235" s="28">
        <v>46231.181361249997</v>
      </c>
      <c r="AE235" s="27" t="s">
        <v>162</v>
      </c>
      <c r="AF235" s="27" t="s">
        <v>559</v>
      </c>
      <c r="AG235" s="27" t="s">
        <v>5218</v>
      </c>
      <c r="AH235" s="28">
        <v>46232.188983425927</v>
      </c>
      <c r="AI235" s="27" t="s">
        <v>168</v>
      </c>
      <c r="AJ235" s="27" t="s">
        <v>559</v>
      </c>
      <c r="AK235" s="27" t="s">
        <v>5219</v>
      </c>
      <c r="AL235" s="27" t="s">
        <v>5220</v>
      </c>
    </row>
    <row r="236" spans="1:38">
      <c r="A236" s="27" t="s">
        <v>5221</v>
      </c>
      <c r="B236" s="27" t="s">
        <v>324</v>
      </c>
      <c r="C236" s="27" t="s">
        <v>5222</v>
      </c>
      <c r="D236" s="27" t="s">
        <v>3252</v>
      </c>
      <c r="E236" s="27" t="s">
        <v>67</v>
      </c>
      <c r="F236" s="28">
        <v>46231.391528587963</v>
      </c>
      <c r="G236" s="28">
        <v>46231.391528587963</v>
      </c>
      <c r="H236" s="28">
        <v>46233.101292349536</v>
      </c>
      <c r="I236" s="27" t="s">
        <v>5223</v>
      </c>
      <c r="J236" s="27" t="s">
        <v>325</v>
      </c>
      <c r="K236" s="27" t="s">
        <v>5224</v>
      </c>
      <c r="L236" s="27" t="s">
        <v>326</v>
      </c>
      <c r="M236" s="27" t="s">
        <v>5225</v>
      </c>
      <c r="N236" s="27" t="s">
        <v>325</v>
      </c>
      <c r="O236" s="27" t="s">
        <v>3256</v>
      </c>
      <c r="P236" s="27" t="s">
        <v>3257</v>
      </c>
      <c r="Q236" s="27" t="s">
        <v>5226</v>
      </c>
      <c r="R236" s="27" t="s">
        <v>107</v>
      </c>
      <c r="S236" s="27"/>
      <c r="T236" s="27"/>
      <c r="U236" s="27" t="s">
        <v>5227</v>
      </c>
      <c r="V236" s="28">
        <v>46231.404331111109</v>
      </c>
      <c r="W236" s="27" t="s">
        <v>5225</v>
      </c>
      <c r="X236" s="27" t="s">
        <v>559</v>
      </c>
      <c r="Y236" s="27" t="s">
        <v>5228</v>
      </c>
      <c r="Z236" s="28">
        <v>46232.098070428241</v>
      </c>
      <c r="AA236" s="27" t="s">
        <v>3429</v>
      </c>
      <c r="AB236" s="27" t="s">
        <v>559</v>
      </c>
      <c r="AC236" s="27" t="s">
        <v>2597</v>
      </c>
      <c r="AD236" s="28">
        <v>46233.101292361112</v>
      </c>
      <c r="AE236" s="27" t="s">
        <v>162</v>
      </c>
      <c r="AF236" s="27" t="s">
        <v>559</v>
      </c>
      <c r="AG236" s="27"/>
      <c r="AH236" s="28"/>
      <c r="AI236" s="27" t="s">
        <v>162</v>
      </c>
      <c r="AJ236" s="27"/>
      <c r="AK236" s="27" t="s">
        <v>5229</v>
      </c>
      <c r="AL236" s="27" t="s">
        <v>5230</v>
      </c>
    </row>
    <row r="237" spans="1:38">
      <c r="A237" s="27" t="s">
        <v>5231</v>
      </c>
      <c r="B237" s="27" t="s">
        <v>331</v>
      </c>
      <c r="C237" s="27" t="s">
        <v>5222</v>
      </c>
      <c r="D237" s="27" t="s">
        <v>3252</v>
      </c>
      <c r="E237" s="27" t="s">
        <v>67</v>
      </c>
      <c r="F237" s="28">
        <v>46231.397869432869</v>
      </c>
      <c r="G237" s="28">
        <v>46231.397869432869</v>
      </c>
      <c r="H237" s="28">
        <v>46233.099746377316</v>
      </c>
      <c r="I237" s="27" t="s">
        <v>5232</v>
      </c>
      <c r="J237" s="27" t="s">
        <v>332</v>
      </c>
      <c r="K237" s="27">
        <v>3940</v>
      </c>
      <c r="L237" s="27" t="s">
        <v>333</v>
      </c>
      <c r="M237" s="27" t="s">
        <v>5225</v>
      </c>
      <c r="N237" s="27" t="s">
        <v>5233</v>
      </c>
      <c r="O237" s="27" t="s">
        <v>4145</v>
      </c>
      <c r="P237" s="27" t="s">
        <v>3257</v>
      </c>
      <c r="Q237" s="27" t="s">
        <v>5234</v>
      </c>
      <c r="R237" s="27" t="s">
        <v>107</v>
      </c>
      <c r="S237" s="27"/>
      <c r="T237" s="27"/>
      <c r="U237" s="27" t="s">
        <v>4147</v>
      </c>
      <c r="V237" s="28">
        <v>46231.397869432869</v>
      </c>
      <c r="W237" s="27" t="s">
        <v>5225</v>
      </c>
      <c r="X237" s="27" t="s">
        <v>559</v>
      </c>
      <c r="Y237" s="27" t="s">
        <v>4147</v>
      </c>
      <c r="Z237" s="28">
        <v>46231.397869432869</v>
      </c>
      <c r="AA237" s="27" t="s">
        <v>3325</v>
      </c>
      <c r="AB237" s="27" t="s">
        <v>559</v>
      </c>
      <c r="AC237" s="27" t="s">
        <v>631</v>
      </c>
      <c r="AD237" s="28">
        <v>46233.099746388893</v>
      </c>
      <c r="AE237" s="27" t="s">
        <v>162</v>
      </c>
      <c r="AF237" s="27" t="s">
        <v>559</v>
      </c>
      <c r="AG237" s="27"/>
      <c r="AH237" s="28"/>
      <c r="AI237" s="27" t="s">
        <v>168</v>
      </c>
      <c r="AJ237" s="27"/>
      <c r="AK237" s="27" t="s">
        <v>5235</v>
      </c>
      <c r="AL237" s="27" t="s">
        <v>5236</v>
      </c>
    </row>
    <row r="238" spans="1:38">
      <c r="A238" s="27" t="s">
        <v>5237</v>
      </c>
      <c r="B238" s="27" t="s">
        <v>5238</v>
      </c>
      <c r="C238" s="27" t="s">
        <v>5239</v>
      </c>
      <c r="D238" s="27" t="s">
        <v>3252</v>
      </c>
      <c r="E238" s="27" t="s">
        <v>549</v>
      </c>
      <c r="F238" s="28">
        <v>46232.097751111112</v>
      </c>
      <c r="G238" s="28">
        <v>46232.097751111112</v>
      </c>
      <c r="H238" s="28">
        <v>46240.079019340279</v>
      </c>
      <c r="I238" s="27" t="s">
        <v>5240</v>
      </c>
      <c r="J238" s="27" t="s">
        <v>354</v>
      </c>
      <c r="K238" s="27" t="s">
        <v>5241</v>
      </c>
      <c r="L238" s="27" t="s">
        <v>355</v>
      </c>
      <c r="M238" s="27" t="s">
        <v>2986</v>
      </c>
      <c r="N238" s="27" t="s">
        <v>5242</v>
      </c>
      <c r="O238" s="27" t="s">
        <v>3256</v>
      </c>
      <c r="P238" s="27" t="s">
        <v>3344</v>
      </c>
      <c r="Q238" s="27" t="s">
        <v>5243</v>
      </c>
      <c r="R238" s="27"/>
      <c r="S238" s="27"/>
      <c r="T238" s="27"/>
      <c r="U238" s="27" t="s">
        <v>2810</v>
      </c>
      <c r="V238" s="28">
        <v>46240.079019351855</v>
      </c>
      <c r="W238" s="27" t="s">
        <v>609</v>
      </c>
      <c r="X238" s="27" t="s">
        <v>549</v>
      </c>
      <c r="Y238" s="27"/>
      <c r="Z238" s="28"/>
      <c r="AA238" s="27" t="s">
        <v>2723</v>
      </c>
      <c r="AB238" s="27"/>
      <c r="AC238" s="27"/>
      <c r="AD238" s="28"/>
      <c r="AE238" s="27" t="s">
        <v>2491</v>
      </c>
      <c r="AF238" s="27"/>
      <c r="AG238" s="27"/>
      <c r="AH238" s="28"/>
      <c r="AI238" s="27" t="s">
        <v>126</v>
      </c>
      <c r="AJ238" s="27"/>
      <c r="AK238" s="27"/>
      <c r="AL238" s="27" t="s">
        <v>5244</v>
      </c>
    </row>
    <row r="239" spans="1:38">
      <c r="A239" s="27" t="s">
        <v>5245</v>
      </c>
      <c r="B239" s="27" t="s">
        <v>5246</v>
      </c>
      <c r="C239" s="27" t="s">
        <v>5175</v>
      </c>
      <c r="D239" s="27" t="s">
        <v>3252</v>
      </c>
      <c r="E239" s="27" t="s">
        <v>638</v>
      </c>
      <c r="F239" s="28">
        <v>46232.140511805555</v>
      </c>
      <c r="G239" s="28">
        <v>46232.140511805555</v>
      </c>
      <c r="H239" s="28">
        <v>46242.145454803242</v>
      </c>
      <c r="I239" s="27" t="s">
        <v>5176</v>
      </c>
      <c r="J239" s="27" t="s">
        <v>5177</v>
      </c>
      <c r="K239" s="27" t="s">
        <v>5178</v>
      </c>
      <c r="L239" s="27" t="s">
        <v>5179</v>
      </c>
      <c r="M239" s="27" t="s">
        <v>1541</v>
      </c>
      <c r="N239" s="27" t="s">
        <v>5180</v>
      </c>
      <c r="O239" s="27" t="s">
        <v>3256</v>
      </c>
      <c r="P239" s="27" t="s">
        <v>3292</v>
      </c>
      <c r="Q239" s="27" t="s">
        <v>5181</v>
      </c>
      <c r="R239" s="27" t="s">
        <v>125</v>
      </c>
      <c r="S239" s="27"/>
      <c r="T239" s="27"/>
      <c r="U239" s="27" t="s">
        <v>2597</v>
      </c>
      <c r="V239" s="28">
        <v>46232.153573796299</v>
      </c>
      <c r="W239" s="27" t="s">
        <v>1541</v>
      </c>
      <c r="X239" s="27" t="s">
        <v>559</v>
      </c>
      <c r="Y239" s="27" t="s">
        <v>2303</v>
      </c>
      <c r="Z239" s="28">
        <v>46232.282352349539</v>
      </c>
      <c r="AA239" s="27" t="s">
        <v>2748</v>
      </c>
      <c r="AB239" s="27" t="s">
        <v>559</v>
      </c>
      <c r="AC239" s="27" t="s">
        <v>2597</v>
      </c>
      <c r="AD239" s="28">
        <v>46232.322585104164</v>
      </c>
      <c r="AE239" s="27" t="s">
        <v>162</v>
      </c>
      <c r="AF239" s="27" t="s">
        <v>559</v>
      </c>
      <c r="AG239" s="27" t="s">
        <v>5247</v>
      </c>
      <c r="AH239" s="28">
        <v>46242.145454803242</v>
      </c>
      <c r="AI239" s="27" t="s">
        <v>158</v>
      </c>
      <c r="AJ239" s="27" t="s">
        <v>559</v>
      </c>
      <c r="AK239" s="27" t="s">
        <v>5248</v>
      </c>
      <c r="AL239" s="27" t="s">
        <v>5182</v>
      </c>
    </row>
    <row r="240" spans="1:38">
      <c r="A240" s="27" t="s">
        <v>5249</v>
      </c>
      <c r="B240" s="27" t="s">
        <v>365</v>
      </c>
      <c r="C240" s="27" t="s">
        <v>5239</v>
      </c>
      <c r="D240" s="27" t="s">
        <v>3252</v>
      </c>
      <c r="E240" s="27" t="s">
        <v>67</v>
      </c>
      <c r="F240" s="28">
        <v>46233.074819097223</v>
      </c>
      <c r="G240" s="28">
        <v>46233.074819097223</v>
      </c>
      <c r="H240" s="28">
        <v>46233.100357083335</v>
      </c>
      <c r="I240" s="27" t="s">
        <v>5240</v>
      </c>
      <c r="J240" s="27" t="s">
        <v>354</v>
      </c>
      <c r="K240" s="27" t="s">
        <v>5241</v>
      </c>
      <c r="L240" s="27" t="s">
        <v>355</v>
      </c>
      <c r="M240" s="27" t="s">
        <v>2990</v>
      </c>
      <c r="N240" s="27" t="s">
        <v>5242</v>
      </c>
      <c r="O240" s="27" t="s">
        <v>3256</v>
      </c>
      <c r="P240" s="27" t="s">
        <v>3292</v>
      </c>
      <c r="Q240" s="27" t="s">
        <v>5243</v>
      </c>
      <c r="R240" s="27" t="s">
        <v>125</v>
      </c>
      <c r="S240" s="27"/>
      <c r="T240" s="27"/>
      <c r="U240" s="27" t="s">
        <v>5250</v>
      </c>
      <c r="V240" s="28">
        <v>46233.077058854164</v>
      </c>
      <c r="W240" s="27" t="s">
        <v>2990</v>
      </c>
      <c r="X240" s="27" t="s">
        <v>559</v>
      </c>
      <c r="Y240" s="27" t="s">
        <v>2303</v>
      </c>
      <c r="Z240" s="28">
        <v>46233.09080017361</v>
      </c>
      <c r="AA240" s="27" t="s">
        <v>2748</v>
      </c>
      <c r="AB240" s="27" t="s">
        <v>559</v>
      </c>
      <c r="AC240" s="27" t="s">
        <v>2597</v>
      </c>
      <c r="AD240" s="28">
        <v>46233.100357094911</v>
      </c>
      <c r="AE240" s="27" t="s">
        <v>162</v>
      </c>
      <c r="AF240" s="27" t="s">
        <v>559</v>
      </c>
      <c r="AG240" s="27"/>
      <c r="AH240" s="28"/>
      <c r="AI240" s="27" t="s">
        <v>295</v>
      </c>
      <c r="AJ240" s="27"/>
      <c r="AK240" s="27" t="s">
        <v>5251</v>
      </c>
      <c r="AL240" s="27" t="s">
        <v>5244</v>
      </c>
    </row>
    <row r="241" spans="1:38">
      <c r="A241" s="27" t="s">
        <v>5252</v>
      </c>
      <c r="B241" s="27" t="s">
        <v>353</v>
      </c>
      <c r="C241" s="27" t="s">
        <v>5239</v>
      </c>
      <c r="D241" s="27" t="s">
        <v>3252</v>
      </c>
      <c r="E241" s="27" t="s">
        <v>67</v>
      </c>
      <c r="F241" s="28">
        <v>46233.110432719906</v>
      </c>
      <c r="G241" s="28">
        <v>46233.110432719906</v>
      </c>
      <c r="H241" s="28">
        <v>46238.16621505787</v>
      </c>
      <c r="I241" s="27" t="s">
        <v>5240</v>
      </c>
      <c r="J241" s="27" t="s">
        <v>354</v>
      </c>
      <c r="K241" s="27" t="s">
        <v>5241</v>
      </c>
      <c r="L241" s="27" t="s">
        <v>355</v>
      </c>
      <c r="M241" s="27" t="s">
        <v>2990</v>
      </c>
      <c r="N241" s="27" t="s">
        <v>5242</v>
      </c>
      <c r="O241" s="27" t="s">
        <v>3256</v>
      </c>
      <c r="P241" s="27" t="s">
        <v>3344</v>
      </c>
      <c r="Q241" s="27" t="s">
        <v>5243</v>
      </c>
      <c r="R241" s="27" t="s">
        <v>125</v>
      </c>
      <c r="S241" s="27"/>
      <c r="T241" s="27"/>
      <c r="U241" s="27" t="s">
        <v>5253</v>
      </c>
      <c r="V241" s="28">
        <v>46233.141382106478</v>
      </c>
      <c r="W241" s="27" t="s">
        <v>2990</v>
      </c>
      <c r="X241" s="27" t="s">
        <v>559</v>
      </c>
      <c r="Y241" s="27" t="s">
        <v>2303</v>
      </c>
      <c r="Z241" s="28">
        <v>46234.345401087965</v>
      </c>
      <c r="AA241" s="27" t="s">
        <v>2748</v>
      </c>
      <c r="AB241" s="27" t="s">
        <v>559</v>
      </c>
      <c r="AC241" s="27" t="s">
        <v>681</v>
      </c>
      <c r="AD241" s="28">
        <v>46238.166215069446</v>
      </c>
      <c r="AE241" s="27" t="s">
        <v>162</v>
      </c>
      <c r="AF241" s="27" t="s">
        <v>559</v>
      </c>
      <c r="AG241" s="27"/>
      <c r="AH241" s="28"/>
      <c r="AI241" s="27" t="s">
        <v>237</v>
      </c>
      <c r="AJ241" s="27"/>
      <c r="AK241" s="27" t="s">
        <v>5254</v>
      </c>
      <c r="AL241" s="27" t="s">
        <v>5244</v>
      </c>
    </row>
    <row r="242" spans="1:38">
      <c r="A242" s="27" t="s">
        <v>5255</v>
      </c>
      <c r="B242" s="27" t="s">
        <v>5256</v>
      </c>
      <c r="C242" s="27" t="s">
        <v>3458</v>
      </c>
      <c r="D242" s="27" t="s">
        <v>3252</v>
      </c>
      <c r="E242" s="27" t="s">
        <v>668</v>
      </c>
      <c r="F242" s="28">
        <v>46233.362619618056</v>
      </c>
      <c r="G242" s="28">
        <v>46233.362619618056</v>
      </c>
      <c r="H242" s="28">
        <v>46233.362619618056</v>
      </c>
      <c r="I242" s="27" t="s">
        <v>4950</v>
      </c>
      <c r="J242" s="27" t="s">
        <v>4951</v>
      </c>
      <c r="K242" s="27" t="s">
        <v>4952</v>
      </c>
      <c r="L242" s="27" t="s">
        <v>4953</v>
      </c>
      <c r="M242" s="27" t="s">
        <v>4954</v>
      </c>
      <c r="N242" s="27" t="s">
        <v>4953</v>
      </c>
      <c r="O242" s="27" t="s">
        <v>3256</v>
      </c>
      <c r="P242" s="27" t="s">
        <v>3344</v>
      </c>
      <c r="Q242" s="27" t="s">
        <v>5257</v>
      </c>
      <c r="R242" s="27"/>
      <c r="S242" s="27"/>
      <c r="T242" s="27"/>
      <c r="U242" s="27"/>
      <c r="V242" s="28"/>
      <c r="W242" s="27" t="s">
        <v>4957</v>
      </c>
      <c r="X242" s="27"/>
      <c r="Y242" s="27"/>
      <c r="Z242" s="28"/>
      <c r="AA242" s="27" t="s">
        <v>2723</v>
      </c>
      <c r="AB242" s="27"/>
      <c r="AC242" s="27"/>
      <c r="AD242" s="28"/>
      <c r="AE242" s="27" t="s">
        <v>2491</v>
      </c>
      <c r="AF242" s="27"/>
      <c r="AG242" s="27"/>
      <c r="AH242" s="28"/>
      <c r="AI242" s="27" t="s">
        <v>126</v>
      </c>
      <c r="AJ242" s="27"/>
      <c r="AK242" s="27"/>
      <c r="AL242" s="27" t="s">
        <v>4961</v>
      </c>
    </row>
    <row r="243" spans="1:38">
      <c r="A243" s="27" t="s">
        <v>5258</v>
      </c>
      <c r="B243" s="27" t="s">
        <v>5259</v>
      </c>
      <c r="C243" s="27" t="s">
        <v>3458</v>
      </c>
      <c r="D243" s="27" t="s">
        <v>3252</v>
      </c>
      <c r="E243" s="27" t="s">
        <v>638</v>
      </c>
      <c r="F243" s="28">
        <v>46234.288551064812</v>
      </c>
      <c r="G243" s="28">
        <v>46234.288551064812</v>
      </c>
      <c r="H243" s="28">
        <v>46249.373761828705</v>
      </c>
      <c r="I243" s="27" t="s">
        <v>4950</v>
      </c>
      <c r="J243" s="27" t="s">
        <v>4951</v>
      </c>
      <c r="K243" s="27" t="s">
        <v>4952</v>
      </c>
      <c r="L243" s="27" t="s">
        <v>4953</v>
      </c>
      <c r="M243" s="27" t="s">
        <v>4957</v>
      </c>
      <c r="N243" s="27" t="s">
        <v>4953</v>
      </c>
      <c r="O243" s="27" t="s">
        <v>3256</v>
      </c>
      <c r="P243" s="27" t="s">
        <v>3344</v>
      </c>
      <c r="Q243" s="27" t="s">
        <v>5260</v>
      </c>
      <c r="R243" s="27" t="s">
        <v>125</v>
      </c>
      <c r="S243" s="27"/>
      <c r="T243" s="27"/>
      <c r="U243" s="27" t="s">
        <v>5261</v>
      </c>
      <c r="V243" s="28">
        <v>46234.289529097223</v>
      </c>
      <c r="W243" s="27" t="s">
        <v>4957</v>
      </c>
      <c r="X243" s="27" t="s">
        <v>559</v>
      </c>
      <c r="Y243" s="27" t="s">
        <v>5262</v>
      </c>
      <c r="Z243" s="28">
        <v>46234.354383912039</v>
      </c>
      <c r="AA243" s="27" t="s">
        <v>2748</v>
      </c>
      <c r="AB243" s="27" t="s">
        <v>559</v>
      </c>
      <c r="AC243" s="27" t="s">
        <v>631</v>
      </c>
      <c r="AD243" s="28">
        <v>46239.341372071758</v>
      </c>
      <c r="AE243" s="27" t="s">
        <v>162</v>
      </c>
      <c r="AF243" s="27" t="s">
        <v>559</v>
      </c>
      <c r="AG243" s="27" t="s">
        <v>638</v>
      </c>
      <c r="AH243" s="28">
        <v>46249.37376185185</v>
      </c>
      <c r="AI243" s="27" t="s">
        <v>237</v>
      </c>
      <c r="AJ243" s="27" t="s">
        <v>559</v>
      </c>
      <c r="AK243" s="27" t="s">
        <v>5263</v>
      </c>
      <c r="AL243" s="27" t="s">
        <v>4961</v>
      </c>
    </row>
    <row r="244" spans="1:38">
      <c r="A244" s="27" t="s">
        <v>5264</v>
      </c>
      <c r="B244" s="27" t="s">
        <v>5265</v>
      </c>
      <c r="C244" s="27" t="s">
        <v>5266</v>
      </c>
      <c r="D244" s="27" t="s">
        <v>3252</v>
      </c>
      <c r="E244" s="27" t="s">
        <v>668</v>
      </c>
      <c r="F244" s="28">
        <v>46235.607306388891</v>
      </c>
      <c r="G244" s="28">
        <v>46235.607306388891</v>
      </c>
      <c r="H244" s="28">
        <v>46235.607306388891</v>
      </c>
      <c r="I244" s="27" t="s">
        <v>3551</v>
      </c>
      <c r="J244" s="27" t="s">
        <v>329</v>
      </c>
      <c r="K244" s="27">
        <v>4007</v>
      </c>
      <c r="L244" s="27" t="s">
        <v>330</v>
      </c>
      <c r="M244" s="27" t="s">
        <v>5267</v>
      </c>
      <c r="N244" s="27" t="s">
        <v>5268</v>
      </c>
      <c r="O244" s="27" t="s">
        <v>3256</v>
      </c>
      <c r="P244" s="27" t="s">
        <v>3344</v>
      </c>
      <c r="Q244" s="27" t="s">
        <v>5269</v>
      </c>
      <c r="R244" s="27"/>
      <c r="S244" s="27"/>
      <c r="T244" s="27"/>
      <c r="U244" s="27"/>
      <c r="V244" s="28"/>
      <c r="W244" s="27" t="s">
        <v>3370</v>
      </c>
      <c r="X244" s="27"/>
      <c r="Y244" s="27"/>
      <c r="Z244" s="28"/>
      <c r="AA244" s="27" t="s">
        <v>2723</v>
      </c>
      <c r="AB244" s="27"/>
      <c r="AC244" s="27"/>
      <c r="AD244" s="28"/>
      <c r="AE244" s="27" t="s">
        <v>2491</v>
      </c>
      <c r="AF244" s="27"/>
      <c r="AG244" s="27"/>
      <c r="AH244" s="28"/>
      <c r="AI244" s="27" t="s">
        <v>126</v>
      </c>
      <c r="AJ244" s="27"/>
      <c r="AK244" s="27"/>
      <c r="AL244" s="27" t="s">
        <v>3555</v>
      </c>
    </row>
    <row r="245" spans="1:38">
      <c r="A245" s="27" t="s">
        <v>5270</v>
      </c>
      <c r="B245" s="27" t="s">
        <v>5271</v>
      </c>
      <c r="C245" s="27" t="s">
        <v>5036</v>
      </c>
      <c r="D245" s="27" t="s">
        <v>3252</v>
      </c>
      <c r="E245" s="27" t="s">
        <v>668</v>
      </c>
      <c r="F245" s="28">
        <v>46237.081278807869</v>
      </c>
      <c r="G245" s="28">
        <v>46237.081278807869</v>
      </c>
      <c r="H245" s="28">
        <v>46237.081278807869</v>
      </c>
      <c r="I245" s="27" t="s">
        <v>5037</v>
      </c>
      <c r="J245" s="27" t="s">
        <v>5038</v>
      </c>
      <c r="K245" s="27" t="s">
        <v>5039</v>
      </c>
      <c r="L245" s="27" t="s">
        <v>5040</v>
      </c>
      <c r="M245" s="27" t="s">
        <v>5041</v>
      </c>
      <c r="N245" s="27" t="s">
        <v>5042</v>
      </c>
      <c r="O245" s="27" t="s">
        <v>3256</v>
      </c>
      <c r="P245" s="27" t="s">
        <v>3257</v>
      </c>
      <c r="Q245" s="27" t="s">
        <v>5272</v>
      </c>
      <c r="R245" s="27"/>
      <c r="S245" s="27"/>
      <c r="T245" s="27"/>
      <c r="U245" s="27"/>
      <c r="V245" s="28"/>
      <c r="W245" s="27" t="s">
        <v>1249</v>
      </c>
      <c r="X245" s="27"/>
      <c r="Y245" s="27"/>
      <c r="Z245" s="28"/>
      <c r="AA245" s="27" t="s">
        <v>2723</v>
      </c>
      <c r="AB245" s="27"/>
      <c r="AC245" s="27"/>
      <c r="AD245" s="28"/>
      <c r="AE245" s="27" t="s">
        <v>2491</v>
      </c>
      <c r="AF245" s="27"/>
      <c r="AG245" s="27"/>
      <c r="AH245" s="28"/>
      <c r="AI245" s="27" t="s">
        <v>126</v>
      </c>
      <c r="AJ245" s="27"/>
      <c r="AK245" s="27"/>
      <c r="AL245" s="27" t="s">
        <v>5045</v>
      </c>
    </row>
    <row r="246" spans="1:38">
      <c r="A246" s="27" t="s">
        <v>5273</v>
      </c>
      <c r="B246" s="27" t="s">
        <v>334</v>
      </c>
      <c r="C246" s="27" t="s">
        <v>1400</v>
      </c>
      <c r="D246" s="27" t="s">
        <v>3252</v>
      </c>
      <c r="E246" s="27" t="s">
        <v>67</v>
      </c>
      <c r="F246" s="28">
        <v>46237.211060590278</v>
      </c>
      <c r="G246" s="28">
        <v>46237.211060590278</v>
      </c>
      <c r="H246" s="28">
        <v>46243.274711018516</v>
      </c>
      <c r="I246" s="27" t="s">
        <v>5274</v>
      </c>
      <c r="J246" s="27" t="s">
        <v>335</v>
      </c>
      <c r="K246" s="27" t="s">
        <v>5275</v>
      </c>
      <c r="L246" s="27" t="s">
        <v>336</v>
      </c>
      <c r="M246" s="27" t="s">
        <v>1121</v>
      </c>
      <c r="N246" s="27" t="s">
        <v>5276</v>
      </c>
      <c r="O246" s="27" t="s">
        <v>3256</v>
      </c>
      <c r="P246" s="27" t="s">
        <v>3257</v>
      </c>
      <c r="Q246" s="27" t="s">
        <v>5277</v>
      </c>
      <c r="R246" s="27" t="s">
        <v>107</v>
      </c>
      <c r="S246" s="27"/>
      <c r="T246" s="27"/>
      <c r="U246" s="27" t="s">
        <v>559</v>
      </c>
      <c r="V246" s="28">
        <v>46237.261783761576</v>
      </c>
      <c r="W246" s="27" t="s">
        <v>1121</v>
      </c>
      <c r="X246" s="27" t="s">
        <v>559</v>
      </c>
      <c r="Y246" s="27" t="s">
        <v>5278</v>
      </c>
      <c r="Z246" s="28">
        <v>46238.120039780093</v>
      </c>
      <c r="AA246" s="27" t="s">
        <v>2748</v>
      </c>
      <c r="AB246" s="27" t="s">
        <v>559</v>
      </c>
      <c r="AC246" s="27" t="s">
        <v>2597</v>
      </c>
      <c r="AD246" s="28">
        <v>46243.274711041668</v>
      </c>
      <c r="AE246" s="27" t="s">
        <v>162</v>
      </c>
      <c r="AF246" s="27" t="s">
        <v>559</v>
      </c>
      <c r="AG246" s="27"/>
      <c r="AH246" s="28"/>
      <c r="AI246" s="27" t="s">
        <v>168</v>
      </c>
      <c r="AJ246" s="27"/>
      <c r="AK246" s="27" t="s">
        <v>5279</v>
      </c>
      <c r="AL246" s="27" t="s">
        <v>5280</v>
      </c>
    </row>
    <row r="247" spans="1:38">
      <c r="A247" s="27" t="s">
        <v>5281</v>
      </c>
      <c r="B247" s="27" t="s">
        <v>328</v>
      </c>
      <c r="C247" s="27" t="s">
        <v>5266</v>
      </c>
      <c r="D247" s="27" t="s">
        <v>3252</v>
      </c>
      <c r="E247" s="27" t="s">
        <v>67</v>
      </c>
      <c r="F247" s="28">
        <v>46237.502958680554</v>
      </c>
      <c r="G247" s="28">
        <v>46237.502958680554</v>
      </c>
      <c r="H247" s="28">
        <v>46243.274047013889</v>
      </c>
      <c r="I247" s="27" t="s">
        <v>3551</v>
      </c>
      <c r="J247" s="27" t="s">
        <v>329</v>
      </c>
      <c r="K247" s="27">
        <v>4007</v>
      </c>
      <c r="L247" s="27" t="s">
        <v>330</v>
      </c>
      <c r="M247" s="27" t="s">
        <v>3370</v>
      </c>
      <c r="N247" s="27" t="s">
        <v>5268</v>
      </c>
      <c r="O247" s="27" t="s">
        <v>3256</v>
      </c>
      <c r="P247" s="27" t="s">
        <v>3344</v>
      </c>
      <c r="Q247" s="27" t="s">
        <v>5282</v>
      </c>
      <c r="R247" s="27" t="s">
        <v>107</v>
      </c>
      <c r="S247" s="27"/>
      <c r="T247" s="27"/>
      <c r="U247" s="27" t="s">
        <v>681</v>
      </c>
      <c r="V247" s="28">
        <v>46237.583406192127</v>
      </c>
      <c r="W247" s="27" t="s">
        <v>3370</v>
      </c>
      <c r="X247" s="27" t="s">
        <v>559</v>
      </c>
      <c r="Y247" s="27" t="s">
        <v>5283</v>
      </c>
      <c r="Z247" s="28">
        <v>46238.122394085651</v>
      </c>
      <c r="AA247" s="27" t="s">
        <v>2748</v>
      </c>
      <c r="AB247" s="27" t="s">
        <v>559</v>
      </c>
      <c r="AC247" s="27" t="s">
        <v>2597</v>
      </c>
      <c r="AD247" s="28">
        <v>46243.274047025465</v>
      </c>
      <c r="AE247" s="27" t="s">
        <v>162</v>
      </c>
      <c r="AF247" s="27" t="s">
        <v>559</v>
      </c>
      <c r="AG247" s="27"/>
      <c r="AH247" s="28"/>
      <c r="AI247" s="27" t="s">
        <v>168</v>
      </c>
      <c r="AJ247" s="27"/>
      <c r="AK247" s="27" t="s">
        <v>5284</v>
      </c>
      <c r="AL247" s="27" t="s">
        <v>3555</v>
      </c>
    </row>
    <row r="248" spans="1:38">
      <c r="A248" s="27" t="s">
        <v>5285</v>
      </c>
      <c r="B248" s="27" t="s">
        <v>5286</v>
      </c>
      <c r="C248" s="27" t="s">
        <v>5036</v>
      </c>
      <c r="D248" s="27" t="s">
        <v>3252</v>
      </c>
      <c r="E248" s="27" t="s">
        <v>668</v>
      </c>
      <c r="F248" s="28">
        <v>46238.17587684028</v>
      </c>
      <c r="G248" s="28">
        <v>46238.17587684028</v>
      </c>
      <c r="H248" s="28">
        <v>46238.17587684028</v>
      </c>
      <c r="I248" s="27" t="s">
        <v>5037</v>
      </c>
      <c r="J248" s="27" t="s">
        <v>5038</v>
      </c>
      <c r="K248" s="27" t="s">
        <v>5039</v>
      </c>
      <c r="L248" s="27" t="s">
        <v>5040</v>
      </c>
      <c r="M248" s="27" t="s">
        <v>1249</v>
      </c>
      <c r="N248" s="27" t="s">
        <v>5042</v>
      </c>
      <c r="O248" s="27" t="s">
        <v>3256</v>
      </c>
      <c r="P248" s="27" t="s">
        <v>3257</v>
      </c>
      <c r="Q248" s="27" t="s">
        <v>5287</v>
      </c>
      <c r="R248" s="27"/>
      <c r="S248" s="27"/>
      <c r="T248" s="27"/>
      <c r="U248" s="27"/>
      <c r="V248" s="28"/>
      <c r="W248" s="27" t="s">
        <v>1249</v>
      </c>
      <c r="X248" s="27"/>
      <c r="Y248" s="27"/>
      <c r="Z248" s="28"/>
      <c r="AA248" s="27" t="s">
        <v>2723</v>
      </c>
      <c r="AB248" s="27"/>
      <c r="AC248" s="27"/>
      <c r="AD248" s="28"/>
      <c r="AE248" s="27" t="s">
        <v>2491</v>
      </c>
      <c r="AF248" s="27"/>
      <c r="AG248" s="27"/>
      <c r="AH248" s="28"/>
      <c r="AI248" s="27" t="s">
        <v>126</v>
      </c>
      <c r="AJ248" s="27"/>
      <c r="AK248" s="27"/>
      <c r="AL248" s="27" t="s">
        <v>5045</v>
      </c>
    </row>
    <row r="249" spans="1:38">
      <c r="A249" s="27" t="s">
        <v>5288</v>
      </c>
      <c r="B249" s="27" t="s">
        <v>5289</v>
      </c>
      <c r="C249" s="27" t="s">
        <v>5290</v>
      </c>
      <c r="D249" s="27" t="s">
        <v>3252</v>
      </c>
      <c r="E249" s="27" t="s">
        <v>549</v>
      </c>
      <c r="F249" s="28">
        <v>46240.378803460648</v>
      </c>
      <c r="G249" s="28">
        <v>46240.378803460648</v>
      </c>
      <c r="H249" s="28">
        <v>46245.194728113427</v>
      </c>
      <c r="I249" s="27" t="s">
        <v>4051</v>
      </c>
      <c r="J249" s="27" t="s">
        <v>351</v>
      </c>
      <c r="K249" s="27" t="s">
        <v>4343</v>
      </c>
      <c r="L249" s="27" t="s">
        <v>352</v>
      </c>
      <c r="M249" s="27" t="s">
        <v>4342</v>
      </c>
      <c r="N249" s="27" t="s">
        <v>4345</v>
      </c>
      <c r="O249" s="27" t="s">
        <v>3322</v>
      </c>
      <c r="P249" s="27" t="s">
        <v>3292</v>
      </c>
      <c r="Q249" s="27" t="s">
        <v>5291</v>
      </c>
      <c r="R249" s="27" t="s">
        <v>116</v>
      </c>
      <c r="S249" s="27"/>
      <c r="T249" s="27"/>
      <c r="U249" s="27" t="s">
        <v>5292</v>
      </c>
      <c r="V249" s="28">
        <v>46240.381731979163</v>
      </c>
      <c r="W249" s="27" t="s">
        <v>4342</v>
      </c>
      <c r="X249" s="27" t="s">
        <v>559</v>
      </c>
      <c r="Y249" s="27" t="s">
        <v>5293</v>
      </c>
      <c r="Z249" s="28">
        <v>46245.194728136572</v>
      </c>
      <c r="AA249" s="27" t="s">
        <v>2748</v>
      </c>
      <c r="AB249" s="27" t="s">
        <v>549</v>
      </c>
      <c r="AC249" s="27"/>
      <c r="AD249" s="28"/>
      <c r="AE249" s="27" t="s">
        <v>2491</v>
      </c>
      <c r="AF249" s="27"/>
      <c r="AG249" s="27"/>
      <c r="AH249" s="28"/>
      <c r="AI249" s="27" t="s">
        <v>126</v>
      </c>
      <c r="AJ249" s="27"/>
      <c r="AK249" s="27"/>
      <c r="AL249" s="27" t="s">
        <v>4351</v>
      </c>
    </row>
    <row r="250" spans="1:38">
      <c r="A250" s="27" t="s">
        <v>5294</v>
      </c>
      <c r="B250" s="27" t="s">
        <v>5295</v>
      </c>
      <c r="C250" s="27" t="s">
        <v>5296</v>
      </c>
      <c r="D250" s="27" t="s">
        <v>3252</v>
      </c>
      <c r="E250" s="27" t="s">
        <v>549</v>
      </c>
      <c r="F250" s="28">
        <v>46244.125039502316</v>
      </c>
      <c r="G250" s="28">
        <v>46244.335952164351</v>
      </c>
      <c r="H250" s="28">
        <v>46244.338357222223</v>
      </c>
      <c r="I250" s="27" t="s">
        <v>5297</v>
      </c>
      <c r="J250" s="27" t="s">
        <v>357</v>
      </c>
      <c r="K250" s="27" t="s">
        <v>5298</v>
      </c>
      <c r="L250" s="27" t="s">
        <v>358</v>
      </c>
      <c r="M250" s="27" t="s">
        <v>5299</v>
      </c>
      <c r="N250" s="27" t="s">
        <v>5300</v>
      </c>
      <c r="O250" s="27" t="s">
        <v>3322</v>
      </c>
      <c r="P250" s="27" t="s">
        <v>3257</v>
      </c>
      <c r="Q250" s="27" t="s">
        <v>5301</v>
      </c>
      <c r="R250" s="27" t="s">
        <v>107</v>
      </c>
      <c r="S250" s="27" t="s">
        <v>5302</v>
      </c>
      <c r="T250" s="27"/>
      <c r="U250" s="27"/>
      <c r="V250" s="28">
        <v>46244.338357233799</v>
      </c>
      <c r="W250" s="27" t="s">
        <v>5299</v>
      </c>
      <c r="X250" s="27" t="s">
        <v>549</v>
      </c>
      <c r="Y250" s="27"/>
      <c r="Z250" s="28"/>
      <c r="AA250" s="27" t="s">
        <v>2723</v>
      </c>
      <c r="AB250" s="27"/>
      <c r="AC250" s="27"/>
      <c r="AD250" s="28"/>
      <c r="AE250" s="27" t="s">
        <v>2491</v>
      </c>
      <c r="AF250" s="27"/>
      <c r="AG250" s="27"/>
      <c r="AH250" s="28"/>
      <c r="AI250" s="27" t="s">
        <v>126</v>
      </c>
      <c r="AJ250" s="27"/>
      <c r="AK250" s="27"/>
      <c r="AL250" s="27" t="s">
        <v>5303</v>
      </c>
    </row>
    <row r="251" spans="1:38">
      <c r="A251" s="27" t="s">
        <v>5304</v>
      </c>
      <c r="B251" s="27" t="s">
        <v>356</v>
      </c>
      <c r="C251" s="27" t="s">
        <v>5296</v>
      </c>
      <c r="D251" s="27" t="s">
        <v>3252</v>
      </c>
      <c r="E251" s="27" t="s">
        <v>67</v>
      </c>
      <c r="F251" s="28">
        <v>46244.343212916669</v>
      </c>
      <c r="G251" s="28">
        <v>46244.343212916669</v>
      </c>
      <c r="H251" s="28">
        <v>46247.304909398146</v>
      </c>
      <c r="I251" s="27" t="s">
        <v>5297</v>
      </c>
      <c r="J251" s="27" t="s">
        <v>357</v>
      </c>
      <c r="K251" s="27" t="s">
        <v>5298</v>
      </c>
      <c r="L251" s="27" t="s">
        <v>358</v>
      </c>
      <c r="M251" s="27" t="s">
        <v>5299</v>
      </c>
      <c r="N251" s="27" t="s">
        <v>5300</v>
      </c>
      <c r="O251" s="27" t="s">
        <v>3322</v>
      </c>
      <c r="P251" s="27" t="s">
        <v>3257</v>
      </c>
      <c r="Q251" s="27" t="s">
        <v>5305</v>
      </c>
      <c r="R251" s="27" t="s">
        <v>116</v>
      </c>
      <c r="S251" s="27" t="s">
        <v>5302</v>
      </c>
      <c r="T251" s="27"/>
      <c r="U251" s="27" t="s">
        <v>631</v>
      </c>
      <c r="V251" s="28">
        <v>46244.369191724538</v>
      </c>
      <c r="W251" s="27" t="s">
        <v>5299</v>
      </c>
      <c r="X251" s="27" t="s">
        <v>559</v>
      </c>
      <c r="Y251" s="27" t="s">
        <v>2303</v>
      </c>
      <c r="Z251" s="28">
        <v>46244.373270231481</v>
      </c>
      <c r="AA251" s="27" t="s">
        <v>2748</v>
      </c>
      <c r="AB251" s="27" t="s">
        <v>559</v>
      </c>
      <c r="AC251" s="27" t="s">
        <v>631</v>
      </c>
      <c r="AD251" s="28">
        <v>46247.304909409722</v>
      </c>
      <c r="AE251" s="27" t="s">
        <v>162</v>
      </c>
      <c r="AF251" s="27" t="s">
        <v>559</v>
      </c>
      <c r="AG251" s="27"/>
      <c r="AH251" s="28"/>
      <c r="AI251" s="27" t="s">
        <v>237</v>
      </c>
      <c r="AJ251" s="27"/>
      <c r="AK251" s="27" t="s">
        <v>5306</v>
      </c>
      <c r="AL251" s="27" t="s">
        <v>5303</v>
      </c>
    </row>
    <row r="252" spans="1:38">
      <c r="A252" s="27" t="s">
        <v>5307</v>
      </c>
      <c r="B252" s="27" t="s">
        <v>5308</v>
      </c>
      <c r="C252" s="27" t="s">
        <v>4470</v>
      </c>
      <c r="D252" s="27" t="s">
        <v>3252</v>
      </c>
      <c r="E252" s="27" t="s">
        <v>549</v>
      </c>
      <c r="F252" s="28">
        <v>46244.354611643517</v>
      </c>
      <c r="G252" s="28">
        <v>46244.354611643517</v>
      </c>
      <c r="H252" s="28">
        <v>46244.361857372685</v>
      </c>
      <c r="I252" s="27" t="s">
        <v>4471</v>
      </c>
      <c r="J252" s="27" t="s">
        <v>4472</v>
      </c>
      <c r="K252" s="27" t="s">
        <v>4473</v>
      </c>
      <c r="L252" s="27" t="s">
        <v>4474</v>
      </c>
      <c r="M252" s="27" t="s">
        <v>4475</v>
      </c>
      <c r="N252" s="27" t="s">
        <v>4474</v>
      </c>
      <c r="O252" s="27" t="s">
        <v>3256</v>
      </c>
      <c r="P252" s="27" t="s">
        <v>3344</v>
      </c>
      <c r="Q252" s="27" t="s">
        <v>5309</v>
      </c>
      <c r="R252" s="27"/>
      <c r="S252" s="27"/>
      <c r="T252" s="27"/>
      <c r="U252" s="27" t="s">
        <v>5310</v>
      </c>
      <c r="V252" s="28">
        <v>46244.361857384261</v>
      </c>
      <c r="W252" s="27" t="s">
        <v>4475</v>
      </c>
      <c r="X252" s="27" t="s">
        <v>549</v>
      </c>
      <c r="Y252" s="27"/>
      <c r="Z252" s="28"/>
      <c r="AA252" s="27" t="s">
        <v>2723</v>
      </c>
      <c r="AB252" s="27"/>
      <c r="AC252" s="27"/>
      <c r="AD252" s="28"/>
      <c r="AE252" s="27" t="s">
        <v>2491</v>
      </c>
      <c r="AF252" s="27"/>
      <c r="AG252" s="27"/>
      <c r="AH252" s="28"/>
      <c r="AI252" s="27" t="s">
        <v>126</v>
      </c>
      <c r="AJ252" s="27"/>
      <c r="AK252" s="27"/>
      <c r="AL252" s="27" t="s">
        <v>4481</v>
      </c>
    </row>
    <row r="253" spans="1:38">
      <c r="A253" s="27" t="s">
        <v>5311</v>
      </c>
      <c r="B253" s="27" t="s">
        <v>5312</v>
      </c>
      <c r="C253" s="27" t="s">
        <v>4470</v>
      </c>
      <c r="D253" s="27" t="s">
        <v>3252</v>
      </c>
      <c r="E253" s="27" t="s">
        <v>549</v>
      </c>
      <c r="F253" s="28">
        <v>46244.35588722222</v>
      </c>
      <c r="G253" s="28">
        <v>46244.35588722222</v>
      </c>
      <c r="H253" s="28">
        <v>46244.89826170139</v>
      </c>
      <c r="I253" s="27" t="s">
        <v>4471</v>
      </c>
      <c r="J253" s="27" t="s">
        <v>4472</v>
      </c>
      <c r="K253" s="27" t="s">
        <v>4473</v>
      </c>
      <c r="L253" s="27" t="s">
        <v>4474</v>
      </c>
      <c r="M253" s="27" t="s">
        <v>4475</v>
      </c>
      <c r="N253" s="27" t="s">
        <v>4474</v>
      </c>
      <c r="O253" s="27" t="s">
        <v>3256</v>
      </c>
      <c r="P253" s="27" t="s">
        <v>3292</v>
      </c>
      <c r="Q253" s="27" t="s">
        <v>5313</v>
      </c>
      <c r="R253" s="27"/>
      <c r="S253" s="27"/>
      <c r="T253" s="27"/>
      <c r="U253" s="27" t="s">
        <v>5314</v>
      </c>
      <c r="V253" s="28">
        <v>46244.89826170139</v>
      </c>
      <c r="W253" s="27" t="s">
        <v>4475</v>
      </c>
      <c r="X253" s="27" t="s">
        <v>549</v>
      </c>
      <c r="Y253" s="27"/>
      <c r="Z253" s="28"/>
      <c r="AA253" s="27" t="s">
        <v>2723</v>
      </c>
      <c r="AB253" s="27"/>
      <c r="AC253" s="27"/>
      <c r="AD253" s="28"/>
      <c r="AE253" s="27" t="s">
        <v>2491</v>
      </c>
      <c r="AF253" s="27"/>
      <c r="AG253" s="27"/>
      <c r="AH253" s="28"/>
      <c r="AI253" s="27" t="s">
        <v>126</v>
      </c>
      <c r="AJ253" s="27"/>
      <c r="AK253" s="27"/>
      <c r="AL253" s="27" t="s">
        <v>4481</v>
      </c>
    </row>
    <row r="254" spans="1:38">
      <c r="A254" s="27" t="s">
        <v>5315</v>
      </c>
      <c r="B254" s="27" t="s">
        <v>5316</v>
      </c>
      <c r="C254" s="27" t="s">
        <v>5317</v>
      </c>
      <c r="D254" s="27" t="s">
        <v>3252</v>
      </c>
      <c r="E254" s="27" t="s">
        <v>549</v>
      </c>
      <c r="F254" s="28">
        <v>46244.599556076391</v>
      </c>
      <c r="G254" s="28">
        <v>46244.599556076391</v>
      </c>
      <c r="H254" s="28">
        <v>46246.142648958332</v>
      </c>
      <c r="I254" s="27" t="s">
        <v>5318</v>
      </c>
      <c r="J254" s="27" t="s">
        <v>151</v>
      </c>
      <c r="K254" s="27" t="s">
        <v>5319</v>
      </c>
      <c r="L254" s="27" t="s">
        <v>152</v>
      </c>
      <c r="M254" s="27" t="s">
        <v>5320</v>
      </c>
      <c r="N254" s="27" t="s">
        <v>5321</v>
      </c>
      <c r="O254" s="27" t="s">
        <v>3256</v>
      </c>
      <c r="P254" s="27" t="s">
        <v>3292</v>
      </c>
      <c r="Q254" s="27" t="s">
        <v>5322</v>
      </c>
      <c r="R254" s="27"/>
      <c r="S254" s="27"/>
      <c r="T254" s="27"/>
      <c r="U254" s="27"/>
      <c r="V254" s="28">
        <v>46246.142648981484</v>
      </c>
      <c r="W254" s="27" t="s">
        <v>5320</v>
      </c>
      <c r="X254" s="27" t="s">
        <v>549</v>
      </c>
      <c r="Y254" s="27"/>
      <c r="Z254" s="28"/>
      <c r="AA254" s="27" t="s">
        <v>2723</v>
      </c>
      <c r="AB254" s="27"/>
      <c r="AC254" s="27"/>
      <c r="AD254" s="28"/>
      <c r="AE254" s="27" t="s">
        <v>2491</v>
      </c>
      <c r="AF254" s="27"/>
      <c r="AG254" s="27"/>
      <c r="AH254" s="28"/>
      <c r="AI254" s="27" t="s">
        <v>126</v>
      </c>
      <c r="AJ254" s="27"/>
      <c r="AK254" s="27"/>
      <c r="AL254" s="27" t="s">
        <v>5323</v>
      </c>
    </row>
    <row r="255" spans="1:38">
      <c r="A255" s="27" t="s">
        <v>5324</v>
      </c>
      <c r="B255" s="27" t="s">
        <v>359</v>
      </c>
      <c r="C255" s="27" t="s">
        <v>3585</v>
      </c>
      <c r="D255" s="27" t="s">
        <v>3252</v>
      </c>
      <c r="E255" s="27" t="s">
        <v>67</v>
      </c>
      <c r="F255" s="28">
        <v>46245.382851111113</v>
      </c>
      <c r="G255" s="28">
        <v>46245.382851111113</v>
      </c>
      <c r="H255" s="28">
        <v>46249.352948148146</v>
      </c>
      <c r="I255" s="27" t="s">
        <v>3586</v>
      </c>
      <c r="J255" s="27" t="s">
        <v>360</v>
      </c>
      <c r="K255" s="27" t="s">
        <v>3587</v>
      </c>
      <c r="L255" s="27" t="s">
        <v>361</v>
      </c>
      <c r="M255" s="27" t="s">
        <v>5325</v>
      </c>
      <c r="N255" s="27" t="s">
        <v>5326</v>
      </c>
      <c r="O255" s="27" t="s">
        <v>3256</v>
      </c>
      <c r="P255" s="27" t="s">
        <v>3292</v>
      </c>
      <c r="Q255" s="27" t="s">
        <v>5327</v>
      </c>
      <c r="R255" s="27" t="s">
        <v>107</v>
      </c>
      <c r="S255" s="27"/>
      <c r="T255" s="27"/>
      <c r="U255" s="27" t="s">
        <v>5328</v>
      </c>
      <c r="V255" s="28">
        <v>46246.025241319447</v>
      </c>
      <c r="W255" s="27" t="s">
        <v>2038</v>
      </c>
      <c r="X255" s="27" t="s">
        <v>559</v>
      </c>
      <c r="Y255" s="27" t="s">
        <v>5329</v>
      </c>
      <c r="Z255" s="28">
        <v>46246.110032569442</v>
      </c>
      <c r="AA255" s="27" t="s">
        <v>2748</v>
      </c>
      <c r="AB255" s="27" t="s">
        <v>559</v>
      </c>
      <c r="AC255" s="27" t="s">
        <v>2597</v>
      </c>
      <c r="AD255" s="28">
        <v>46249.352948159722</v>
      </c>
      <c r="AE255" s="27" t="s">
        <v>251</v>
      </c>
      <c r="AF255" s="27" t="s">
        <v>559</v>
      </c>
      <c r="AG255" s="27"/>
      <c r="AH255" s="28"/>
      <c r="AI255" s="27" t="s">
        <v>251</v>
      </c>
      <c r="AJ255" s="27"/>
      <c r="AK255" s="27" t="s">
        <v>5330</v>
      </c>
      <c r="AL255" s="27" t="s">
        <v>3592</v>
      </c>
    </row>
    <row r="256" spans="1:38">
      <c r="A256" s="27" t="s">
        <v>5331</v>
      </c>
      <c r="B256" s="27" t="s">
        <v>350</v>
      </c>
      <c r="C256" s="27" t="s">
        <v>5290</v>
      </c>
      <c r="D256" s="27" t="s">
        <v>3252</v>
      </c>
      <c r="E256" s="27" t="s">
        <v>67</v>
      </c>
      <c r="F256" s="28">
        <v>46246.173350740741</v>
      </c>
      <c r="G256" s="28">
        <v>46246.173350740741</v>
      </c>
      <c r="H256" s="28">
        <v>46249.226012465275</v>
      </c>
      <c r="I256" s="27" t="s">
        <v>4051</v>
      </c>
      <c r="J256" s="27" t="s">
        <v>351</v>
      </c>
      <c r="K256" s="27" t="s">
        <v>4343</v>
      </c>
      <c r="L256" s="27" t="s">
        <v>352</v>
      </c>
      <c r="M256" s="27" t="s">
        <v>5332</v>
      </c>
      <c r="N256" s="27" t="s">
        <v>4345</v>
      </c>
      <c r="O256" s="27" t="s">
        <v>3322</v>
      </c>
      <c r="P256" s="27" t="s">
        <v>3292</v>
      </c>
      <c r="Q256" s="27" t="s">
        <v>5333</v>
      </c>
      <c r="R256" s="27" t="s">
        <v>116</v>
      </c>
      <c r="S256" s="27"/>
      <c r="T256" s="27"/>
      <c r="U256" s="27" t="s">
        <v>5334</v>
      </c>
      <c r="V256" s="28">
        <v>46246.24824364583</v>
      </c>
      <c r="W256" s="27" t="s">
        <v>4342</v>
      </c>
      <c r="X256" s="27" t="s">
        <v>559</v>
      </c>
      <c r="Y256" s="27" t="s">
        <v>2303</v>
      </c>
      <c r="Z256" s="28">
        <v>46246.297560775463</v>
      </c>
      <c r="AA256" s="27" t="s">
        <v>2748</v>
      </c>
      <c r="AB256" s="27" t="s">
        <v>559</v>
      </c>
      <c r="AC256" s="27" t="s">
        <v>2597</v>
      </c>
      <c r="AD256" s="28">
        <v>46249.226012465275</v>
      </c>
      <c r="AE256" s="27" t="s">
        <v>162</v>
      </c>
      <c r="AF256" s="27" t="s">
        <v>559</v>
      </c>
      <c r="AG256" s="27"/>
      <c r="AH256" s="28"/>
      <c r="AI256" s="27" t="s">
        <v>237</v>
      </c>
      <c r="AJ256" s="27"/>
      <c r="AK256" s="27" t="s">
        <v>5335</v>
      </c>
      <c r="AL256" s="27" t="s">
        <v>4351</v>
      </c>
    </row>
    <row r="257" spans="1:38">
      <c r="A257" s="27" t="s">
        <v>5336</v>
      </c>
      <c r="B257" s="27" t="s">
        <v>337</v>
      </c>
      <c r="C257" s="27" t="s">
        <v>5337</v>
      </c>
      <c r="D257" s="27" t="s">
        <v>3252</v>
      </c>
      <c r="E257" s="27" t="s">
        <v>67</v>
      </c>
      <c r="F257" s="28">
        <v>46246.635681412037</v>
      </c>
      <c r="G257" s="28">
        <v>46246.635681412037</v>
      </c>
      <c r="H257" s="28">
        <v>46249.355909687503</v>
      </c>
      <c r="I257" s="27" t="s">
        <v>5338</v>
      </c>
      <c r="J257" s="27" t="s">
        <v>338</v>
      </c>
      <c r="K257" s="27" t="s">
        <v>5339</v>
      </c>
      <c r="L257" s="27" t="s">
        <v>339</v>
      </c>
      <c r="M257" s="27" t="s">
        <v>5340</v>
      </c>
      <c r="N257" s="27" t="s">
        <v>5341</v>
      </c>
      <c r="O257" s="27" t="s">
        <v>3256</v>
      </c>
      <c r="P257" s="27" t="s">
        <v>3257</v>
      </c>
      <c r="Q257" s="27" t="s">
        <v>5342</v>
      </c>
      <c r="R257" s="27" t="s">
        <v>116</v>
      </c>
      <c r="S257" s="27"/>
      <c r="T257" s="27"/>
      <c r="U257" s="27" t="s">
        <v>5343</v>
      </c>
      <c r="V257" s="28">
        <v>46246.980111689816</v>
      </c>
      <c r="W257" s="27" t="s">
        <v>5344</v>
      </c>
      <c r="X257" s="27" t="s">
        <v>559</v>
      </c>
      <c r="Y257" s="27" t="s">
        <v>5345</v>
      </c>
      <c r="Z257" s="28">
        <v>46247.136905358799</v>
      </c>
      <c r="AA257" s="27" t="s">
        <v>2748</v>
      </c>
      <c r="AB257" s="27" t="s">
        <v>559</v>
      </c>
      <c r="AC257" s="27" t="s">
        <v>2597</v>
      </c>
      <c r="AD257" s="28">
        <v>46249.355909687503</v>
      </c>
      <c r="AE257" s="27" t="s">
        <v>251</v>
      </c>
      <c r="AF257" s="27" t="s">
        <v>559</v>
      </c>
      <c r="AG257" s="27"/>
      <c r="AH257" s="28"/>
      <c r="AI257" s="27" t="s">
        <v>340</v>
      </c>
      <c r="AJ257" s="27"/>
      <c r="AK257" s="27" t="s">
        <v>5346</v>
      </c>
      <c r="AL257" s="27" t="s">
        <v>5347</v>
      </c>
    </row>
    <row r="258" spans="1:38">
      <c r="A258" s="27" t="s">
        <v>5348</v>
      </c>
      <c r="B258" s="27" t="s">
        <v>341</v>
      </c>
      <c r="C258" s="27" t="s">
        <v>5317</v>
      </c>
      <c r="D258" s="27" t="s">
        <v>3252</v>
      </c>
      <c r="E258" s="27" t="s">
        <v>67</v>
      </c>
      <c r="F258" s="28">
        <v>46247.049233344907</v>
      </c>
      <c r="G258" s="28">
        <v>46247.049233344907</v>
      </c>
      <c r="H258" s="28">
        <v>46249.193385092593</v>
      </c>
      <c r="I258" s="27" t="s">
        <v>5318</v>
      </c>
      <c r="J258" s="27" t="s">
        <v>151</v>
      </c>
      <c r="K258" s="27" t="s">
        <v>5319</v>
      </c>
      <c r="L258" s="27" t="s">
        <v>152</v>
      </c>
      <c r="M258" s="27" t="s">
        <v>5320</v>
      </c>
      <c r="N258" s="27" t="s">
        <v>5321</v>
      </c>
      <c r="O258" s="27" t="s">
        <v>3256</v>
      </c>
      <c r="P258" s="27" t="s">
        <v>3292</v>
      </c>
      <c r="Q258" s="27" t="s">
        <v>5322</v>
      </c>
      <c r="R258" s="27" t="s">
        <v>107</v>
      </c>
      <c r="S258" s="27"/>
      <c r="T258" s="27"/>
      <c r="U258" s="27" t="s">
        <v>5349</v>
      </c>
      <c r="V258" s="28">
        <v>46247.193422268516</v>
      </c>
      <c r="W258" s="27" t="s">
        <v>5320</v>
      </c>
      <c r="X258" s="27" t="s">
        <v>559</v>
      </c>
      <c r="Y258" s="27" t="s">
        <v>2303</v>
      </c>
      <c r="Z258" s="28">
        <v>46247.284265798611</v>
      </c>
      <c r="AA258" s="27" t="s">
        <v>2748</v>
      </c>
      <c r="AB258" s="27" t="s">
        <v>559</v>
      </c>
      <c r="AC258" s="27" t="s">
        <v>2597</v>
      </c>
      <c r="AD258" s="28">
        <v>46249.193385104169</v>
      </c>
      <c r="AE258" s="27" t="s">
        <v>162</v>
      </c>
      <c r="AF258" s="27" t="s">
        <v>559</v>
      </c>
      <c r="AG258" s="27"/>
      <c r="AH258" s="28"/>
      <c r="AI258" s="27" t="s">
        <v>340</v>
      </c>
      <c r="AJ258" s="27"/>
      <c r="AK258" s="27" t="s">
        <v>5350</v>
      </c>
      <c r="AL258" s="27" t="s">
        <v>5323</v>
      </c>
    </row>
    <row r="259" spans="1:38">
      <c r="A259" s="27" t="s">
        <v>5351</v>
      </c>
      <c r="B259" s="27" t="s">
        <v>145</v>
      </c>
      <c r="C259" s="27" t="s">
        <v>4868</v>
      </c>
      <c r="D259" s="27" t="s">
        <v>3252</v>
      </c>
      <c r="E259" s="27" t="s">
        <v>70</v>
      </c>
      <c r="F259" s="28">
        <v>46247.25359472222</v>
      </c>
      <c r="G259" s="28">
        <v>46247.25359472222</v>
      </c>
      <c r="H259" s="28">
        <v>46247.257060046293</v>
      </c>
      <c r="I259" s="27" t="s">
        <v>4869</v>
      </c>
      <c r="J259" s="27" t="s">
        <v>147</v>
      </c>
      <c r="K259" s="27" t="s">
        <v>4870</v>
      </c>
      <c r="L259" s="27" t="s">
        <v>148</v>
      </c>
      <c r="M259" s="27" t="s">
        <v>584</v>
      </c>
      <c r="N259" s="27" t="s">
        <v>4871</v>
      </c>
      <c r="O259" s="27" t="s">
        <v>3256</v>
      </c>
      <c r="P259" s="27" t="s">
        <v>3257</v>
      </c>
      <c r="Q259" s="27" t="s">
        <v>5352</v>
      </c>
      <c r="R259" s="27"/>
      <c r="S259" s="27"/>
      <c r="T259" s="27"/>
      <c r="U259" s="27" t="s">
        <v>867</v>
      </c>
      <c r="V259" s="28">
        <v>46247.257060057869</v>
      </c>
      <c r="W259" s="27" t="s">
        <v>584</v>
      </c>
      <c r="X259" s="27" t="s">
        <v>559</v>
      </c>
      <c r="Y259" s="27"/>
      <c r="Z259" s="28"/>
      <c r="AA259" s="27" t="s">
        <v>2723</v>
      </c>
      <c r="AB259" s="27"/>
      <c r="AC259" s="27"/>
      <c r="AD259" s="28"/>
      <c r="AE259" s="27" t="s">
        <v>2491</v>
      </c>
      <c r="AF259" s="27"/>
      <c r="AG259" s="27"/>
      <c r="AH259" s="28"/>
      <c r="AI259" s="27" t="s">
        <v>126</v>
      </c>
      <c r="AJ259" s="27"/>
      <c r="AK259" s="27"/>
      <c r="AL259" s="27" t="s">
        <v>4874</v>
      </c>
    </row>
    <row r="260" spans="1:38">
      <c r="A260" s="27" t="s">
        <v>5353</v>
      </c>
      <c r="B260" s="27" t="s">
        <v>150</v>
      </c>
      <c r="C260" s="27" t="s">
        <v>5317</v>
      </c>
      <c r="D260" s="27" t="s">
        <v>3252</v>
      </c>
      <c r="E260" s="27" t="s">
        <v>70</v>
      </c>
      <c r="F260" s="28">
        <v>46247.26036521991</v>
      </c>
      <c r="G260" s="28">
        <v>46247.26036521991</v>
      </c>
      <c r="H260" s="28">
        <v>46251.170836134261</v>
      </c>
      <c r="I260" s="27" t="s">
        <v>5318</v>
      </c>
      <c r="J260" s="27" t="s">
        <v>151</v>
      </c>
      <c r="K260" s="27" t="s">
        <v>5319</v>
      </c>
      <c r="L260" s="27" t="s">
        <v>152</v>
      </c>
      <c r="M260" s="27" t="s">
        <v>5320</v>
      </c>
      <c r="N260" s="27" t="s">
        <v>5321</v>
      </c>
      <c r="O260" s="27" t="s">
        <v>3256</v>
      </c>
      <c r="P260" s="27" t="s">
        <v>3257</v>
      </c>
      <c r="Q260" s="27" t="s">
        <v>5322</v>
      </c>
      <c r="R260" s="27" t="s">
        <v>107</v>
      </c>
      <c r="S260" s="27"/>
      <c r="T260" s="27"/>
      <c r="U260" s="27" t="s">
        <v>5354</v>
      </c>
      <c r="V260" s="28">
        <v>46248.269833472223</v>
      </c>
      <c r="W260" s="27" t="s">
        <v>5320</v>
      </c>
      <c r="X260" s="27" t="s">
        <v>559</v>
      </c>
      <c r="Y260" s="27" t="s">
        <v>2303</v>
      </c>
      <c r="Z260" s="28">
        <v>46251.170836145837</v>
      </c>
      <c r="AA260" s="27" t="s">
        <v>2748</v>
      </c>
      <c r="AB260" s="27" t="s">
        <v>559</v>
      </c>
      <c r="AC260" s="27"/>
      <c r="AD260" s="28"/>
      <c r="AE260" s="27" t="s">
        <v>2491</v>
      </c>
      <c r="AF260" s="27"/>
      <c r="AG260" s="27"/>
      <c r="AH260" s="28"/>
      <c r="AI260" s="27" t="s">
        <v>126</v>
      </c>
      <c r="AJ260" s="27"/>
      <c r="AK260" s="27"/>
      <c r="AL260" s="27" t="s">
        <v>5323</v>
      </c>
    </row>
    <row r="261" spans="1:38">
      <c r="A261" s="27" t="s">
        <v>5355</v>
      </c>
      <c r="B261" s="27" t="s">
        <v>5356</v>
      </c>
      <c r="C261" s="27" t="s">
        <v>5357</v>
      </c>
      <c r="D261" s="27" t="s">
        <v>3252</v>
      </c>
      <c r="E261" s="27" t="s">
        <v>549</v>
      </c>
      <c r="F261" s="28">
        <v>46248.098343113423</v>
      </c>
      <c r="G261" s="28">
        <v>46248.098343113423</v>
      </c>
      <c r="H261" s="28">
        <v>46251.164826261571</v>
      </c>
      <c r="I261" s="27" t="s">
        <v>5358</v>
      </c>
      <c r="J261" s="27" t="s">
        <v>5359</v>
      </c>
      <c r="K261" s="27" t="s">
        <v>5360</v>
      </c>
      <c r="L261" s="27" t="s">
        <v>5361</v>
      </c>
      <c r="M261" s="27" t="s">
        <v>5362</v>
      </c>
      <c r="N261" s="27" t="s">
        <v>5363</v>
      </c>
      <c r="O261" s="27" t="s">
        <v>3256</v>
      </c>
      <c r="P261" s="27" t="s">
        <v>5215</v>
      </c>
      <c r="Q261" s="27" t="s">
        <v>5364</v>
      </c>
      <c r="R261" s="27" t="s">
        <v>107</v>
      </c>
      <c r="S261" s="27"/>
      <c r="T261" s="27"/>
      <c r="U261" s="27" t="s">
        <v>5365</v>
      </c>
      <c r="V261" s="28">
        <v>46248.100088043982</v>
      </c>
      <c r="W261" s="27" t="s">
        <v>5362</v>
      </c>
      <c r="X261" s="27" t="s">
        <v>559</v>
      </c>
      <c r="Y261" s="27" t="s">
        <v>5125</v>
      </c>
      <c r="Z261" s="28">
        <v>46251.164826273147</v>
      </c>
      <c r="AA261" s="27" t="s">
        <v>2748</v>
      </c>
      <c r="AB261" s="27" t="s">
        <v>549</v>
      </c>
      <c r="AC261" s="27"/>
      <c r="AD261" s="28"/>
      <c r="AE261" s="27" t="s">
        <v>2491</v>
      </c>
      <c r="AF261" s="27"/>
      <c r="AG261" s="27"/>
      <c r="AH261" s="28"/>
      <c r="AI261" s="27" t="s">
        <v>126</v>
      </c>
      <c r="AJ261" s="27"/>
      <c r="AK261" s="27"/>
      <c r="AL261" s="27" t="s">
        <v>5366</v>
      </c>
    </row>
    <row r="262" spans="1:38">
      <c r="A262" s="27" t="s">
        <v>5367</v>
      </c>
      <c r="B262" s="27" t="s">
        <v>153</v>
      </c>
      <c r="C262" s="27" t="s">
        <v>4929</v>
      </c>
      <c r="D262" s="27" t="s">
        <v>3252</v>
      </c>
      <c r="E262" s="27" t="s">
        <v>70</v>
      </c>
      <c r="F262" s="28">
        <v>46248.336791122689</v>
      </c>
      <c r="G262" s="28">
        <v>46248.336791122689</v>
      </c>
      <c r="H262" s="28">
        <v>46251.157290625</v>
      </c>
      <c r="I262" s="27" t="s">
        <v>4930</v>
      </c>
      <c r="J262" s="27" t="s">
        <v>154</v>
      </c>
      <c r="K262" s="27" t="s">
        <v>4931</v>
      </c>
      <c r="L262" s="27" t="s">
        <v>155</v>
      </c>
      <c r="M262" s="27" t="s">
        <v>4932</v>
      </c>
      <c r="N262" s="27" t="s">
        <v>4933</v>
      </c>
      <c r="O262" s="27" t="s">
        <v>3256</v>
      </c>
      <c r="P262" s="27" t="s">
        <v>3257</v>
      </c>
      <c r="Q262" s="27" t="s">
        <v>5368</v>
      </c>
      <c r="R262" s="27" t="s">
        <v>116</v>
      </c>
      <c r="S262" s="27"/>
      <c r="T262" s="27"/>
      <c r="U262" s="27" t="s">
        <v>5369</v>
      </c>
      <c r="V262" s="28">
        <v>46251.091994988426</v>
      </c>
      <c r="W262" s="27" t="s">
        <v>4280</v>
      </c>
      <c r="X262" s="27" t="s">
        <v>559</v>
      </c>
      <c r="Y262" s="27" t="s">
        <v>5370</v>
      </c>
      <c r="Z262" s="28">
        <v>46251.157290636576</v>
      </c>
      <c r="AA262" s="27" t="s">
        <v>2748</v>
      </c>
      <c r="AB262" s="27" t="s">
        <v>559</v>
      </c>
      <c r="AC262" s="27"/>
      <c r="AD262" s="28"/>
      <c r="AE262" s="27" t="s">
        <v>2491</v>
      </c>
      <c r="AF262" s="27"/>
      <c r="AG262" s="27"/>
      <c r="AH262" s="28"/>
      <c r="AI262" s="27" t="s">
        <v>126</v>
      </c>
      <c r="AJ262" s="27"/>
      <c r="AK262" s="27"/>
      <c r="AL262" s="27" t="s">
        <v>4937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 Me</vt:lpstr>
      <vt:lpstr>Dashboard</vt:lpstr>
      <vt:lpstr>Task Master</vt:lpstr>
      <vt:lpstr>Daily Targets</vt:lpstr>
      <vt:lpstr>Engineer Updates</vt:lpstr>
      <vt:lpstr>Assignment History</vt:lpstr>
      <vt:lpstr>Scope Review</vt:lpstr>
      <vt:lpstr>Engineer Capacity</vt:lpstr>
      <vt:lpstr>Configuration</vt:lpstr>
      <vt:lpstr>Raw Decommissioning</vt:lpstr>
      <vt:lpstr>Raw Provisioning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Raditya Nugraha (EXT/DIGITAL)</cp:lastModifiedBy>
  <dcterms:modified xsi:type="dcterms:W3CDTF">2026-08-18T02:29:08Z</dcterms:modified>
</cp:coreProperties>
</file>